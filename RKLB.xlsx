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EDC4D43-F303-4D38-9417-0BC88E520F2A}" xr6:coauthVersionLast="47" xr6:coauthVersionMax="47" xr10:uidLastSave="{00000000-0000-0000-0000-000000000000}"/>
  <bookViews>
    <workbookView xWindow="17870" yWindow="5100" windowWidth="17990" windowHeight="15580" activeTab="1" xr2:uid="{A778BC9B-7EBE-5B45-8488-3EB01E2EBBF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2" l="1"/>
  <c r="T21" i="2"/>
  <c r="Z23" i="2"/>
  <c r="Y23" i="2"/>
  <c r="W23" i="2"/>
  <c r="Z21" i="2"/>
  <c r="Y21" i="2"/>
  <c r="X21" i="2"/>
  <c r="X23" i="2" s="1"/>
  <c r="W21" i="2"/>
  <c r="L21" i="2"/>
  <c r="P21" i="2"/>
  <c r="P23" i="2" s="1"/>
  <c r="M21" i="2"/>
  <c r="Q21" i="2"/>
  <c r="Q23" i="2" s="1"/>
  <c r="R28" i="2"/>
  <c r="R21" i="2"/>
  <c r="R23" i="2" s="1"/>
  <c r="O21" i="2"/>
  <c r="O35" i="2" s="1"/>
  <c r="S28" i="2"/>
  <c r="S21" i="2"/>
  <c r="S23" i="2" s="1"/>
  <c r="L6" i="1"/>
  <c r="L5" i="1"/>
  <c r="AC67" i="2"/>
  <c r="AC26" i="2"/>
  <c r="AC23" i="2"/>
  <c r="AC36" i="2" s="1"/>
  <c r="AC9" i="2"/>
  <c r="AG18" i="2"/>
  <c r="AG19" i="2"/>
  <c r="AH12" i="2"/>
  <c r="AI12" i="2" s="1"/>
  <c r="AJ12" i="2" s="1"/>
  <c r="AK12" i="2" s="1"/>
  <c r="AL12" i="2" s="1"/>
  <c r="AM12" i="2" s="1"/>
  <c r="AN12" i="2" s="1"/>
  <c r="AO12" i="2" s="1"/>
  <c r="AP12" i="2" s="1"/>
  <c r="AQ12" i="2" s="1"/>
  <c r="AH19" i="2"/>
  <c r="AI19" i="2" s="1"/>
  <c r="AJ19" i="2" s="1"/>
  <c r="AK19" i="2" s="1"/>
  <c r="AL19" i="2" s="1"/>
  <c r="AM19" i="2" s="1"/>
  <c r="AN19" i="2" s="1"/>
  <c r="AO19" i="2" s="1"/>
  <c r="AP19" i="2" s="1"/>
  <c r="AQ19" i="2" s="1"/>
  <c r="AE17" i="2"/>
  <c r="AF17" i="2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G9" i="2"/>
  <c r="AH7" i="2"/>
  <c r="AI7" i="2" s="1"/>
  <c r="AI18" i="2" s="1"/>
  <c r="AD9" i="2"/>
  <c r="AF9" i="2"/>
  <c r="AE9" i="2"/>
  <c r="AG6" i="2"/>
  <c r="AF6" i="2"/>
  <c r="AE6" i="2"/>
  <c r="AF8" i="2"/>
  <c r="AG8" i="2"/>
  <c r="AE4" i="2"/>
  <c r="AF4" i="2"/>
  <c r="AG4" i="2"/>
  <c r="AD67" i="2"/>
  <c r="AD26" i="2"/>
  <c r="AD23" i="2"/>
  <c r="AF67" i="2"/>
  <c r="AE67" i="2"/>
  <c r="N58" i="2"/>
  <c r="N56" i="2"/>
  <c r="N40" i="2"/>
  <c r="N47" i="2"/>
  <c r="N46" i="2"/>
  <c r="AE33" i="2"/>
  <c r="AF33" i="2"/>
  <c r="AG33" i="2" s="1"/>
  <c r="AH33" i="2" s="1"/>
  <c r="AF30" i="2"/>
  <c r="AF25" i="2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F24" i="2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F21" i="2"/>
  <c r="AE28" i="2"/>
  <c r="AE21" i="2"/>
  <c r="AE23" i="2" s="1"/>
  <c r="AE26" i="2"/>
  <c r="O33" i="2"/>
  <c r="J28" i="2"/>
  <c r="N28" i="2"/>
  <c r="J21" i="2"/>
  <c r="J23" i="2" s="1"/>
  <c r="J36" i="2" s="1"/>
  <c r="N21" i="2"/>
  <c r="N23" i="2" s="1"/>
  <c r="N36" i="2" s="1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V26" i="2"/>
  <c r="U26" i="2"/>
  <c r="T26" i="2"/>
  <c r="S26" i="2"/>
  <c r="R26" i="2"/>
  <c r="Q26" i="2"/>
  <c r="P26" i="2"/>
  <c r="G36" i="2"/>
  <c r="G26" i="2"/>
  <c r="G27" i="2" s="1"/>
  <c r="G29" i="2" s="1"/>
  <c r="G31" i="2" s="1"/>
  <c r="G32" i="2" s="1"/>
  <c r="J26" i="2"/>
  <c r="I26" i="2"/>
  <c r="K26" i="2"/>
  <c r="K23" i="2"/>
  <c r="K36" i="2" s="1"/>
  <c r="K35" i="2"/>
  <c r="AF22" i="2"/>
  <c r="N26" i="2"/>
  <c r="I28" i="2"/>
  <c r="I23" i="2"/>
  <c r="I36" i="2" s="1"/>
  <c r="M35" i="2"/>
  <c r="M28" i="2"/>
  <c r="M23" i="2"/>
  <c r="M36" i="2" s="1"/>
  <c r="M26" i="2"/>
  <c r="L35" i="2"/>
  <c r="H28" i="2"/>
  <c r="H26" i="2"/>
  <c r="H23" i="2"/>
  <c r="H36" i="2" s="1"/>
  <c r="L28" i="2"/>
  <c r="L26" i="2"/>
  <c r="L23" i="2"/>
  <c r="L36" i="2" s="1"/>
  <c r="L4" i="1"/>
  <c r="O23" i="2" l="1"/>
  <c r="AH18" i="2"/>
  <c r="AC27" i="2"/>
  <c r="AC29" i="2" s="1"/>
  <c r="AC31" i="2" s="1"/>
  <c r="AC32" i="2" s="1"/>
  <c r="AH8" i="2"/>
  <c r="AH20" i="2"/>
  <c r="AG20" i="2"/>
  <c r="AJ7" i="2"/>
  <c r="AJ18" i="2" s="1"/>
  <c r="AI20" i="2"/>
  <c r="AI21" i="2" s="1"/>
  <c r="AI23" i="2" s="1"/>
  <c r="AI8" i="2"/>
  <c r="N62" i="2"/>
  <c r="AD27" i="2"/>
  <c r="AD29" i="2" s="1"/>
  <c r="AD31" i="2" s="1"/>
  <c r="AD32" i="2" s="1"/>
  <c r="AD36" i="2"/>
  <c r="O26" i="2"/>
  <c r="M27" i="2"/>
  <c r="M29" i="2" s="1"/>
  <c r="M31" i="2" s="1"/>
  <c r="M32" i="2" s="1"/>
  <c r="AF28" i="2"/>
  <c r="N50" i="2"/>
  <c r="N39" i="2"/>
  <c r="AF35" i="2"/>
  <c r="AF26" i="2"/>
  <c r="AE36" i="2"/>
  <c r="AE27" i="2"/>
  <c r="AE29" i="2" s="1"/>
  <c r="AE31" i="2" s="1"/>
  <c r="AE32" i="2" s="1"/>
  <c r="AF23" i="2"/>
  <c r="AF36" i="2" s="1"/>
  <c r="N35" i="2"/>
  <c r="J27" i="2"/>
  <c r="J29" i="2" s="1"/>
  <c r="L7" i="1"/>
  <c r="AG26" i="2"/>
  <c r="K27" i="2"/>
  <c r="K29" i="2" s="1"/>
  <c r="K31" i="2" s="1"/>
  <c r="K32" i="2" s="1"/>
  <c r="I27" i="2"/>
  <c r="I29" i="2" s="1"/>
  <c r="I31" i="2" s="1"/>
  <c r="I32" i="2" s="1"/>
  <c r="AI33" i="2"/>
  <c r="N27" i="2"/>
  <c r="N29" i="2" s="1"/>
  <c r="N31" i="2" s="1"/>
  <c r="N32" i="2" s="1"/>
  <c r="L27" i="2"/>
  <c r="L29" i="2" s="1"/>
  <c r="L31" i="2" s="1"/>
  <c r="L32" i="2" s="1"/>
  <c r="H27" i="2"/>
  <c r="H29" i="2" s="1"/>
  <c r="H31" i="2" s="1"/>
  <c r="H32" i="2" s="1"/>
  <c r="AK7" i="2" l="1"/>
  <c r="AK18" i="2" s="1"/>
  <c r="AJ20" i="2"/>
  <c r="AJ21" i="2" s="1"/>
  <c r="AJ23" i="2" s="1"/>
  <c r="AJ8" i="2"/>
  <c r="O27" i="2"/>
  <c r="O29" i="2" s="1"/>
  <c r="O31" i="2" s="1"/>
  <c r="O32" i="2" s="1"/>
  <c r="AF27" i="2"/>
  <c r="AF29" i="2" s="1"/>
  <c r="AF31" i="2" s="1"/>
  <c r="AF32" i="2" s="1"/>
  <c r="O36" i="2"/>
  <c r="J31" i="2"/>
  <c r="J32" i="2" s="1"/>
  <c r="S35" i="2"/>
  <c r="P35" i="2"/>
  <c r="AH26" i="2"/>
  <c r="AJ33" i="2"/>
  <c r="AL7" i="2" l="1"/>
  <c r="AL18" i="2" s="1"/>
  <c r="AK20" i="2"/>
  <c r="AK21" i="2" s="1"/>
  <c r="AK23" i="2" s="1"/>
  <c r="AK8" i="2"/>
  <c r="S36" i="2"/>
  <c r="S27" i="2"/>
  <c r="S29" i="2" s="1"/>
  <c r="S31" i="2" s="1"/>
  <c r="S32" i="2" s="1"/>
  <c r="P36" i="2"/>
  <c r="P27" i="2"/>
  <c r="P29" i="2" s="1"/>
  <c r="P31" i="2" s="1"/>
  <c r="P32" i="2" s="1"/>
  <c r="T35" i="2"/>
  <c r="Q35" i="2"/>
  <c r="AG21" i="2"/>
  <c r="U21" i="2"/>
  <c r="AI26" i="2"/>
  <c r="AK33" i="2"/>
  <c r="AM7" i="2" l="1"/>
  <c r="AM18" i="2" s="1"/>
  <c r="AL20" i="2"/>
  <c r="AL21" i="2" s="1"/>
  <c r="AL23" i="2" s="1"/>
  <c r="AL8" i="2"/>
  <c r="Q36" i="2"/>
  <c r="Q27" i="2"/>
  <c r="Q29" i="2" s="1"/>
  <c r="Q31" i="2" s="1"/>
  <c r="Q32" i="2" s="1"/>
  <c r="U35" i="2"/>
  <c r="U23" i="2"/>
  <c r="R35" i="2"/>
  <c r="V21" i="2"/>
  <c r="AH21" i="2" s="1"/>
  <c r="T36" i="2"/>
  <c r="T27" i="2"/>
  <c r="T29" i="2" s="1"/>
  <c r="T31" i="2" s="1"/>
  <c r="T32" i="2" s="1"/>
  <c r="AJ26" i="2"/>
  <c r="AL33" i="2"/>
  <c r="AM20" i="2" l="1"/>
  <c r="AM21" i="2" s="1"/>
  <c r="AM23" i="2" s="1"/>
  <c r="AM8" i="2"/>
  <c r="AN7" i="2"/>
  <c r="AN18" i="2" s="1"/>
  <c r="AG35" i="2"/>
  <c r="AG23" i="2"/>
  <c r="V35" i="2"/>
  <c r="V23" i="2"/>
  <c r="U36" i="2"/>
  <c r="U27" i="2"/>
  <c r="U29" i="2" s="1"/>
  <c r="U31" i="2" s="1"/>
  <c r="U32" i="2" s="1"/>
  <c r="R36" i="2"/>
  <c r="R27" i="2"/>
  <c r="R29" i="2" s="1"/>
  <c r="R31" i="2" s="1"/>
  <c r="R32" i="2" s="1"/>
  <c r="AK26" i="2"/>
  <c r="AM33" i="2"/>
  <c r="AN20" i="2" l="1"/>
  <c r="AN21" i="2" s="1"/>
  <c r="AN23" i="2" s="1"/>
  <c r="AN8" i="2"/>
  <c r="AO7" i="2"/>
  <c r="AO18" i="2" s="1"/>
  <c r="AH35" i="2"/>
  <c r="AH23" i="2"/>
  <c r="V36" i="2"/>
  <c r="V27" i="2"/>
  <c r="V29" i="2" s="1"/>
  <c r="V31" i="2" s="1"/>
  <c r="V32" i="2" s="1"/>
  <c r="AG36" i="2"/>
  <c r="AG27" i="2"/>
  <c r="AG29" i="2" s="1"/>
  <c r="AG31" i="2" s="1"/>
  <c r="AG32" i="2" s="1"/>
  <c r="AL26" i="2"/>
  <c r="AN33" i="2"/>
  <c r="AO20" i="2" l="1"/>
  <c r="AO21" i="2" s="1"/>
  <c r="AO23" i="2" s="1"/>
  <c r="AO8" i="2"/>
  <c r="AP7" i="2"/>
  <c r="AP18" i="2" s="1"/>
  <c r="AI35" i="2"/>
  <c r="AH36" i="2"/>
  <c r="AH27" i="2"/>
  <c r="AH29" i="2" s="1"/>
  <c r="AM26" i="2"/>
  <c r="AO33" i="2"/>
  <c r="AP20" i="2" l="1"/>
  <c r="AP21" i="2" s="1"/>
  <c r="AP23" i="2" s="1"/>
  <c r="AP8" i="2"/>
  <c r="AQ7" i="2"/>
  <c r="AQ18" i="2" s="1"/>
  <c r="AH30" i="2"/>
  <c r="AH31" i="2" s="1"/>
  <c r="AH32" i="2" s="1"/>
  <c r="AJ35" i="2"/>
  <c r="AI36" i="2"/>
  <c r="AI27" i="2"/>
  <c r="AI29" i="2" s="1"/>
  <c r="AN26" i="2"/>
  <c r="AP33" i="2"/>
  <c r="AQ20" i="2" l="1"/>
  <c r="AQ21" i="2" s="1"/>
  <c r="AQ23" i="2" s="1"/>
  <c r="AQ8" i="2"/>
  <c r="AI30" i="2"/>
  <c r="AI31" i="2" s="1"/>
  <c r="AI32" i="2" s="1"/>
  <c r="AJ36" i="2"/>
  <c r="AJ27" i="2"/>
  <c r="AJ29" i="2" s="1"/>
  <c r="AK35" i="2"/>
  <c r="AO26" i="2"/>
  <c r="AQ33" i="2"/>
  <c r="AK36" i="2" l="1"/>
  <c r="AK27" i="2"/>
  <c r="AK29" i="2" s="1"/>
  <c r="AL35" i="2"/>
  <c r="AJ30" i="2"/>
  <c r="AJ31" i="2" s="1"/>
  <c r="AJ32" i="2" s="1"/>
  <c r="AQ26" i="2"/>
  <c r="AP26" i="2"/>
  <c r="AK30" i="2" l="1"/>
  <c r="AK31" i="2" s="1"/>
  <c r="AM35" i="2"/>
  <c r="AL36" i="2"/>
  <c r="AL27" i="2"/>
  <c r="AL29" i="2" s="1"/>
  <c r="AK32" i="2" l="1"/>
  <c r="AM36" i="2"/>
  <c r="AM27" i="2"/>
  <c r="AM29" i="2" s="1"/>
  <c r="AL30" i="2"/>
  <c r="AL31" i="2" s="1"/>
  <c r="AN35" i="2"/>
  <c r="AL32" i="2" l="1"/>
  <c r="AN36" i="2"/>
  <c r="AN27" i="2"/>
  <c r="AN29" i="2" s="1"/>
  <c r="AM30" i="2"/>
  <c r="AM31" i="2" s="1"/>
  <c r="AO35" i="2"/>
  <c r="AM32" i="2" l="1"/>
  <c r="AO36" i="2"/>
  <c r="AO27" i="2"/>
  <c r="AO29" i="2" s="1"/>
  <c r="AP35" i="2"/>
  <c r="AN30" i="2"/>
  <c r="AN31" i="2" s="1"/>
  <c r="AN32" i="2" l="1"/>
  <c r="AP36" i="2"/>
  <c r="AP27" i="2"/>
  <c r="AP29" i="2" s="1"/>
  <c r="AQ35" i="2"/>
  <c r="AO30" i="2"/>
  <c r="AO31" i="2" s="1"/>
  <c r="AO32" i="2" l="1"/>
  <c r="AQ36" i="2"/>
  <c r="AQ27" i="2"/>
  <c r="AQ29" i="2" s="1"/>
  <c r="AP30" i="2"/>
  <c r="AP31" i="2" s="1"/>
  <c r="AP32" i="2" s="1"/>
  <c r="AQ30" i="2" l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BK31" i="2" s="1"/>
  <c r="BL31" i="2" s="1"/>
  <c r="BM31" i="2" s="1"/>
  <c r="BN31" i="2" s="1"/>
  <c r="BO31" i="2" s="1"/>
  <c r="BP31" i="2" s="1"/>
  <c r="BQ31" i="2" s="1"/>
  <c r="BR31" i="2" s="1"/>
  <c r="BS31" i="2" s="1"/>
  <c r="BT31" i="2" s="1"/>
  <c r="BU31" i="2" s="1"/>
  <c r="BV31" i="2" s="1"/>
  <c r="BW31" i="2" s="1"/>
  <c r="BX31" i="2" s="1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CI31" i="2" s="1"/>
  <c r="CJ31" i="2" s="1"/>
  <c r="CK31" i="2" s="1"/>
  <c r="CL31" i="2" s="1"/>
  <c r="CM31" i="2" s="1"/>
  <c r="CN31" i="2" s="1"/>
  <c r="AQ32" i="2" l="1"/>
  <c r="AT41" i="2" l="1"/>
  <c r="AT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tc={7C490838-ACE2-4089-B8B4-E7570189DF76}</author>
    <author>tc={B980DFC1-D1E7-43B0-9A9A-36845A1D4350}</author>
    <author>tc={B9AACB42-C1A4-4D17-B69E-457C0DA419A4}</author>
    <author>tc={00EE5752-EB32-46FA-B36E-6B2A568E7B85}</author>
    <author>tc={AEA8E02C-0A58-4A2B-A093-F123936465FA}</author>
    <author>tc={03775A23-BDF7-4E28-9807-8625A4579057}</author>
    <author>tc={425FA12F-DBA5-4F99-A098-A7E8974CB780}</author>
    <author>tc={3425B146-A8A4-41D3-A6CD-EC2A5A135EDE}</author>
  </authors>
  <commentList>
    <comment ref="K6" authorId="0" shapeId="0" xr:uid="{7C490838-ACE2-4089-B8B4-E7570189DF76}">
      <text>
        <t>[Threaded comment]
Your version of Excel allows you to read this threaded comment; however, any edits to it will get removed if the file is opened in a newer version of Excel. Learn more: https://go.microsoft.com/fwlink/?linkid=870924
Comment:
    43: Spire/NorthStar?
44: Astroscale
45: Synspective
46: NRO</t>
      </text>
    </comment>
    <comment ref="L6" authorId="1" shapeId="0" xr:uid="{B980DFC1-D1E7-43B0-9A9A-36845A1D4350}">
      <text>
        <t>[Threaded comment]
Your version of Excel allows you to read this threaded comment; however, any edits to it will get removed if the file is opened in a newer version of Excel. Learn more: https://go.microsoft.com/fwlink/?linkid=870924
Comment:
    47: KAIST/NASA (4/23/24)
48: NASA (5/25/24)
49: NASA (6/5/24)
50: Kineis</t>
      </text>
    </comment>
    <comment ref="M6" authorId="2" shapeId="0" xr:uid="{B9AACB42-C1A4-4D17-B69E-457C0DA4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51: Synspective (7/24/24 sets launch date)
53: Kineis</t>
      </text>
    </comment>
    <comment ref="N6" authorId="3" shapeId="0" xr:uid="{00EE5752-EB32-46FA-B36E-6B2A568E7B85}">
      <text>
        <t>[Threaded comment]
Your version of Excel allows you to read this threaded comment; however, any edits to it will get removed if the file is opened in a newer version of Excel. Learn more: https://go.microsoft.com/fwlink/?linkid=870924
Comment:
    54: 11/5/24 confidential customer</t>
      </text>
    </comment>
    <comment ref="O6" authorId="4" shapeId="0" xr:uid="{AEA8E02C-0A58-4A2B-A093-F1239364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60: BlackSky
61: iQPS</t>
      </text>
    </comment>
    <comment ref="K21" authorId="5" shapeId="0" xr:uid="{03775A23-BDF7-4E28-9807-8625A4579057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guidance: 92-98m</t>
      </text>
    </comment>
    <comment ref="L21" authorId="6" shapeId="0" xr:uid="{425FA12F-DBA5-4F99-A098-A7E8974CB780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Q124: 105-100m</t>
      </text>
    </comment>
    <comment ref="S21" authorId="7" shapeId="0" xr:uid="{3425B146-A8A4-41D3-A6CD-EC2A5A135ED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Q425 guidance: 185-200m</t>
      </text>
    </comment>
  </commentList>
</comments>
</file>

<file path=xl/sharedStrings.xml><?xml version="1.0" encoding="utf-8"?>
<sst xmlns="http://schemas.openxmlformats.org/spreadsheetml/2006/main" count="119" uniqueCount="109">
  <si>
    <t>Price</t>
  </si>
  <si>
    <t>Shares</t>
  </si>
  <si>
    <t>MC</t>
  </si>
  <si>
    <t>Cash</t>
  </si>
  <si>
    <t>Debt</t>
  </si>
  <si>
    <t>EV</t>
  </si>
  <si>
    <t>Q324</t>
  </si>
  <si>
    <t>Q224</t>
  </si>
  <si>
    <t>PP&amp;E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</si>
  <si>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</si>
  <si>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</si>
  <si>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</si>
  <si>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</si>
  <si>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</si>
  <si>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</si>
  <si>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</si>
  <si>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</si>
  <si>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</si>
  <si>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</si>
  <si>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</si>
  <si>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Q424</t>
  </si>
  <si>
    <t>Gross Margin</t>
  </si>
  <si>
    <t>COGS</t>
  </si>
  <si>
    <t>Gross Profit</t>
  </si>
  <si>
    <t>R&amp;D</t>
  </si>
  <si>
    <t>SG&amp;A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</si>
  <si>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</si>
  <si>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</si>
  <si>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</si>
  <si>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</si>
  <si>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</si>
  <si>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</si>
  <si>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</si>
  <si>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</si>
  <si>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Backlog</t>
  </si>
  <si>
    <t>Neutron</t>
  </si>
  <si>
    <t>Electron</t>
  </si>
  <si>
    <t>Q125</t>
  </si>
  <si>
    <t>Q225</t>
  </si>
  <si>
    <t>Q325</t>
  </si>
  <si>
    <t>Q425</t>
  </si>
  <si>
    <t>Q126</t>
  </si>
  <si>
    <t>Q226</t>
  </si>
  <si>
    <t>Q326</t>
  </si>
  <si>
    <t>Q426</t>
  </si>
  <si>
    <t>DR</t>
  </si>
  <si>
    <t>Mat</t>
  </si>
  <si>
    <t>NPV</t>
  </si>
  <si>
    <t>Share</t>
  </si>
  <si>
    <t>Product</t>
  </si>
  <si>
    <t>Services</t>
  </si>
  <si>
    <t>CEO</t>
  </si>
  <si>
    <t>Peter Beck</t>
  </si>
  <si>
    <t>16 launches in 2024</t>
  </si>
  <si>
    <t>10 launches in 2023</t>
  </si>
  <si>
    <t>debut launch in 2H25</t>
  </si>
  <si>
    <t>Flatellite</t>
  </si>
  <si>
    <t>20+ launches expected in 2025</t>
  </si>
  <si>
    <t>HASTE?</t>
  </si>
  <si>
    <t>iQPS big customer - but only $300m MC (5595 JP)</t>
  </si>
  <si>
    <t>Subcontractor for Kratos hypersonic flight testing? $1.48B 5-year KRATOS (KTOS) contract</t>
  </si>
  <si>
    <t>medium-left reusable rocket</t>
  </si>
  <si>
    <t>Low-cost satellite, high-speed and remote sensing</t>
  </si>
  <si>
    <t>Rocket Lab Pioneer</t>
  </si>
  <si>
    <t>spacecraft</t>
  </si>
  <si>
    <t>Varda customer, has used 3 spacecrafts</t>
  </si>
  <si>
    <t>SDA Tranche 2 Constellation</t>
  </si>
  <si>
    <t>VICTUS HAZE - $32m responsive space mission</t>
  </si>
  <si>
    <t>AR</t>
  </si>
  <si>
    <t>Contract</t>
  </si>
  <si>
    <t>Inventories</t>
  </si>
  <si>
    <t>Prepaids</t>
  </si>
  <si>
    <t>Goodwill</t>
  </si>
  <si>
    <t>ROU</t>
  </si>
  <si>
    <t>DTA</t>
  </si>
  <si>
    <t>ONCA</t>
  </si>
  <si>
    <t>Assets</t>
  </si>
  <si>
    <t>Net Cash</t>
  </si>
  <si>
    <t>AP</t>
  </si>
  <si>
    <t>AE</t>
  </si>
  <si>
    <t>Compensation</t>
  </si>
  <si>
    <t>OCL</t>
  </si>
  <si>
    <t>Lease</t>
  </si>
  <si>
    <t>DTL</t>
  </si>
  <si>
    <t>ONCL</t>
  </si>
  <si>
    <t>SE</t>
  </si>
  <si>
    <t>L+SE</t>
  </si>
  <si>
    <t>CFFO</t>
  </si>
  <si>
    <t>FCF</t>
  </si>
  <si>
    <t>CX</t>
  </si>
  <si>
    <t>$8m price tag?</t>
  </si>
  <si>
    <t>OroraTech</t>
  </si>
  <si>
    <t>Electron since inception</t>
  </si>
  <si>
    <t>Electron launches</t>
  </si>
  <si>
    <t>Synspective</t>
  </si>
  <si>
    <t>Kineis: 4/5 launches completed in Q125. French IoT provider, raised $100m.</t>
  </si>
  <si>
    <t>SpaceX</t>
  </si>
  <si>
    <t>10% Customers: LMT, Dynetics Inc., MDA Corp, NOC</t>
  </si>
  <si>
    <t>Launch</t>
  </si>
  <si>
    <t>Launch Rev / Launch</t>
  </si>
  <si>
    <t>Space Systems</t>
  </si>
  <si>
    <t>Sinclair Interplanetary (acquired April 2020), Advanced Solutions, Incorporated (acquired October 2021), Planetary Systems Corp (acquired November 2021) and SolAero Technologies Corp. (acquired January 2022).</t>
  </si>
  <si>
    <t>Non-Launch Services</t>
  </si>
  <si>
    <t>Neutron Launches</t>
  </si>
  <si>
    <t>Neutron Price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</si>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</sst>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9" fontId="2" fillId="0" borderId="0" xfId="0" applyNumberFormat="1" applyFont="1"/>
    <xf numFmtId="9" fontId="3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5" fillId="0" borderId="0" xfId="1" applyFont="1"/>
    <xf numFmtId="0" fontId="6" fillId="0" borderId="0" xfId="0" applyFont="1"/>
    <xf numFmtId="0" fontId="6" fillId="0" borderId="0" xfId="0" applyFont="1" applyAlignment="1">
      <alignment horizontal="right"/>
    </xf>
    <xf numFmtId="9" fontId="6" fillId="0" borderId="0" xfId="0" applyNumberFormat="1" applyFont="1"/>
    <xf numFmtId="4" fontId="6" fillId="0" borderId="0" xfId="0" applyNumberFormat="1" applyFont="1"/>
    <xf numFmtId="4" fontId="6" fillId="0" borderId="0" xfId="0" applyNumberFormat="1" applyFont="1" applyAlignment="1">
      <alignment horizontal="right"/>
    </xf>
    <xf numFmtId="0" fontId="1" fillId="0" borderId="0" xfId="0" quotePrefix="1" applyFont="1"/>
    <xf numFmtId="0" fontId="7" fillId="0" borderId="0" xfId="0" applyFont="1"/>
    <xf numFmtId="3" fontId="1" fillId="0" borderId="0" xfId="0" applyNumberFormat="1" applyFont="1" applyAlignment="1">
      <alignment horizontal="right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782BFC1-AE4D-4C50-B417-8CF30EF7EC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87014</xdr:colOff>
      <xdr:row>0</xdr:row>
      <xdr:rowOff>0</xdr:rowOff>
    </xdr:from>
    <xdr:to>
      <xdr:col>19</xdr:col>
      <xdr:colOff>87014</xdr:colOff>
      <xdr:row>70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D4E3C38-BDB2-659D-64E5-2CD1ED73761F}"/>
            </a:ext>
          </a:extLst>
        </xdr:cNvPr>
        <xdr:cNvCxnSpPr/>
      </xdr:nvCxnSpPr>
      <xdr:spPr>
        <a:xfrm>
          <a:off x="12831188" y="0"/>
          <a:ext cx="0" cy="114127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53578</xdr:colOff>
      <xdr:row>0</xdr:row>
      <xdr:rowOff>0</xdr:rowOff>
    </xdr:from>
    <xdr:to>
      <xdr:col>32</xdr:col>
      <xdr:colOff>53578</xdr:colOff>
      <xdr:row>84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ED4654E-8BD0-C87A-8B1B-0109A006908B}"/>
            </a:ext>
          </a:extLst>
        </xdr:cNvPr>
        <xdr:cNvCxnSpPr/>
      </xdr:nvCxnSpPr>
      <xdr:spPr>
        <a:xfrm>
          <a:off x="16829484" y="0"/>
          <a:ext cx="0" cy="112335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DEF1D47-70DD-40CE-94E3-B1DEC513F057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03-25T16:37:03.96" personId="{5DEF1D47-70DD-40CE-94E3-B1DEC513F057}" id="{7C490838-ACE2-4089-B8B4-E7570189DF76}">
    <text>43: Spire/NorthStar?
44: Astroscale
45: Synspective
46: NRO</text>
  </threadedComment>
  <threadedComment ref="L6" dT="2025-03-25T16:35:40.53" personId="{5DEF1D47-70DD-40CE-94E3-B1DEC513F057}" id="{B980DFC1-D1E7-43B0-9A9A-36845A1D4350}">
    <text>47: KAIST/NASA (4/23/24)
48: NASA (5/25/24)
49: NASA (6/5/24)
50: Kineis</text>
  </threadedComment>
  <threadedComment ref="M6" dT="2025-03-25T16:34:00.29" personId="{5DEF1D47-70DD-40CE-94E3-B1DEC513F057}" id="{B9AACB42-C1A4-4D17-B69E-457C0DA419A4}">
    <text>51: Synspective (7/24/24 sets launch date)
53: Kineis</text>
  </threadedComment>
  <threadedComment ref="N6" dT="2025-03-25T16:33:20.70" personId="{5DEF1D47-70DD-40CE-94E3-B1DEC513F057}" id="{00EE5752-EB32-46FA-B36E-6B2A568E7B85}">
    <text>54: 11/5/24 confidential customer</text>
  </threadedComment>
  <threadedComment ref="O6" dT="2025-03-25T16:31:57.25" personId="{5DEF1D47-70DD-40CE-94E3-B1DEC513F057}" id="{AEA8E02C-0A58-4A2B-A093-F123936465FA}">
    <text>60: BlackSky
61: iQPS</text>
  </threadedComment>
  <threadedComment ref="K21" dT="2025-03-25T16:41:03.25" personId="{5DEF1D47-70DD-40CE-94E3-B1DEC513F057}" id="{03775A23-BDF7-4E28-9807-8625A4579057}">
    <text>Q423 guidance: 92-98m</text>
  </threadedComment>
  <threadedComment ref="L21" dT="2025-03-25T16:42:53.79" personId="{5DEF1D47-70DD-40CE-94E3-B1DEC513F057}" id="{425FA12F-DBA5-4F99-A098-A7E8974CB780}">
    <text>Q124: 105-100m</text>
  </threadedComment>
  <threadedComment ref="S21" dT="2026-06-29T13:05:31.48" personId="{5DEF1D47-70DD-40CE-94E3-B1DEC513F057}" id="{3425B146-A8A4-41D3-A6CD-EC2A5A135EDE}">
    <text>Q425 guidance: 185-200m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575A-4E82-0140-888F-E0BFFC460CEB}">
  <dimension ref="D2:M34"/>
  <sheetViews>
    <sheetView zoomScale="115" zoomScaleNormal="115" workbookViewId="0">
      <selection activeCell="L5" sqref="L5"/>
    </sheetView>
  </sheetViews>
  <sheetFormatPr defaultColWidth="10.83203125" defaultRowHeight="12.5" x14ac:dyDescent="0.25"/>
  <cols>
    <col min="1" max="3" width="2.58203125" style="1" customWidth="1"/>
    <col min="4" max="4" width="17.75" style="1" customWidth="1"/>
    <col min="5" max="10" width="10.83203125" style="1"/>
    <col min="11" max="11" width="7.5" style="1" customWidth="1"/>
    <col min="12" max="16384" width="10.83203125" style="1"/>
  </cols>
  <sheetData>
    <row r="2" spans="4:13" x14ac:dyDescent="0.25">
      <c r="K2" s="1" t="s">
        <v>0</v>
      </c>
      <c r="L2" s="2">
        <v>92.47</v>
      </c>
    </row>
    <row r="3" spans="4:13" x14ac:dyDescent="0.25">
      <c r="D3" s="15" t="s">
        <v>36</v>
      </c>
      <c r="E3" s="15" t="s">
        <v>90</v>
      </c>
      <c r="K3" s="1" t="s">
        <v>1</v>
      </c>
      <c r="L3" s="3">
        <v>578.75099</v>
      </c>
      <c r="M3" s="28" t="s">
        <v>41</v>
      </c>
    </row>
    <row r="4" spans="4:13" x14ac:dyDescent="0.25">
      <c r="K4" s="1" t="s">
        <v>2</v>
      </c>
      <c r="L4" s="3">
        <f>L3*L2</f>
        <v>53517.104045300002</v>
      </c>
      <c r="M4" s="4"/>
    </row>
    <row r="5" spans="4:13" x14ac:dyDescent="0.25">
      <c r="E5" s="15" t="s">
        <v>57</v>
      </c>
      <c r="K5" s="1" t="s">
        <v>3</v>
      </c>
      <c r="L5" s="3">
        <f>1205.499+177.852+93.494+5.524</f>
        <v>1482.3689999999999</v>
      </c>
      <c r="M5" s="28" t="s">
        <v>41</v>
      </c>
    </row>
    <row r="6" spans="4:13" x14ac:dyDescent="0.25">
      <c r="E6" s="15" t="s">
        <v>53</v>
      </c>
      <c r="K6" s="1" t="s">
        <v>4</v>
      </c>
      <c r="L6" s="3">
        <f>36.869+1.716</f>
        <v>38.585000000000001</v>
      </c>
      <c r="M6" s="28" t="s">
        <v>41</v>
      </c>
    </row>
    <row r="7" spans="4:13" x14ac:dyDescent="0.25">
      <c r="E7" s="15" t="s">
        <v>54</v>
      </c>
      <c r="K7" s="1" t="s">
        <v>5</v>
      </c>
      <c r="L7" s="3">
        <f>L4-L5+L6</f>
        <v>52073.320045300003</v>
      </c>
    </row>
    <row r="8" spans="4:13" x14ac:dyDescent="0.25">
      <c r="E8" s="15" t="s">
        <v>58</v>
      </c>
    </row>
    <row r="9" spans="4:13" x14ac:dyDescent="0.25">
      <c r="K9" s="1" t="s">
        <v>8</v>
      </c>
      <c r="L9" s="3">
        <v>155.89400000000001</v>
      </c>
      <c r="M9" s="4" t="s">
        <v>7</v>
      </c>
    </row>
    <row r="10" spans="4:13" x14ac:dyDescent="0.25">
      <c r="E10" s="15" t="s">
        <v>59</v>
      </c>
    </row>
    <row r="11" spans="4:13" x14ac:dyDescent="0.25">
      <c r="E11" s="15" t="s">
        <v>91</v>
      </c>
      <c r="K11" s="15" t="s">
        <v>51</v>
      </c>
      <c r="L11" s="15" t="s">
        <v>52</v>
      </c>
    </row>
    <row r="12" spans="4:13" x14ac:dyDescent="0.25">
      <c r="E12" s="15" t="s">
        <v>95</v>
      </c>
      <c r="F12" s="15"/>
    </row>
    <row r="13" spans="4:13" x14ac:dyDescent="0.25">
      <c r="E13" s="15" t="s">
        <v>94</v>
      </c>
    </row>
    <row r="15" spans="4:13" x14ac:dyDescent="0.25">
      <c r="D15" s="15" t="s">
        <v>35</v>
      </c>
      <c r="E15" s="15" t="s">
        <v>61</v>
      </c>
    </row>
    <row r="16" spans="4:13" x14ac:dyDescent="0.25">
      <c r="E16" s="15" t="s">
        <v>55</v>
      </c>
    </row>
    <row r="20" spans="4:5" x14ac:dyDescent="0.25">
      <c r="D20" s="15" t="s">
        <v>66</v>
      </c>
    </row>
    <row r="21" spans="4:5" x14ac:dyDescent="0.25">
      <c r="D21" s="15" t="s">
        <v>67</v>
      </c>
    </row>
    <row r="22" spans="4:5" x14ac:dyDescent="0.25">
      <c r="D22" s="15" t="s">
        <v>60</v>
      </c>
    </row>
    <row r="25" spans="4:5" x14ac:dyDescent="0.25">
      <c r="D25" s="15" t="s">
        <v>97</v>
      </c>
    </row>
    <row r="28" spans="4:5" ht="13" x14ac:dyDescent="0.3">
      <c r="D28" s="24" t="s">
        <v>100</v>
      </c>
    </row>
    <row r="29" spans="4:5" x14ac:dyDescent="0.25">
      <c r="D29" s="23" t="s">
        <v>101</v>
      </c>
    </row>
    <row r="31" spans="4:5" x14ac:dyDescent="0.25">
      <c r="D31" s="15" t="s">
        <v>56</v>
      </c>
      <c r="E31" s="15" t="s">
        <v>62</v>
      </c>
    </row>
    <row r="33" spans="4:5" x14ac:dyDescent="0.25">
      <c r="D33" s="15" t="s">
        <v>63</v>
      </c>
      <c r="E33" s="15" t="s">
        <v>64</v>
      </c>
    </row>
    <row r="34" spans="4:5" x14ac:dyDescent="0.25">
      <c r="E34" s="1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480A-89CE-8044-87A6-DFDCA847CECC}">
  <dimension ref="A1:CN67"/>
  <sheetViews>
    <sheetView tabSelected="1" zoomScale="115" zoomScaleNormal="115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T24" sqref="T24"/>
    </sheetView>
  </sheetViews>
  <sheetFormatPr defaultColWidth="10.83203125" defaultRowHeight="12.5" x14ac:dyDescent="0.25"/>
  <cols>
    <col min="1" max="1" width="4.33203125" style="1" bestFit="1" customWidth="1"/>
    <col min="2" max="2" width="17.08203125" style="1" bestFit="1" customWidth="1"/>
    <col min="3" max="13" width="9" style="4" customWidth="1"/>
    <col min="14" max="18" width="7.83203125" style="4" customWidth="1"/>
    <col min="19" max="27" width="7.83203125" style="1" customWidth="1"/>
    <col min="28" max="28" width="10.83203125" style="1"/>
    <col min="29" max="37" width="8.58203125" style="1" customWidth="1"/>
    <col min="38" max="43" width="8.5" style="1" customWidth="1"/>
    <col min="44" max="45" width="10.83203125" style="1"/>
    <col min="46" max="46" width="7.08203125" style="1" customWidth="1"/>
    <col min="47" max="16384" width="10.83203125" style="1"/>
  </cols>
  <sheetData>
    <row r="1" spans="1:43" x14ac:dyDescent="0.25">
      <c r="A1" s="17" t="s">
        <v>9</v>
      </c>
    </row>
    <row r="2" spans="1:43" x14ac:dyDescent="0.25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7</v>
      </c>
      <c r="M2" s="4" t="s">
        <v>6</v>
      </c>
      <c r="N2" s="4" t="s">
        <v>20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28" t="s">
        <v>105</v>
      </c>
      <c r="X2" s="28" t="s">
        <v>106</v>
      </c>
      <c r="Y2" s="28" t="s">
        <v>107</v>
      </c>
      <c r="Z2" s="28" t="s">
        <v>108</v>
      </c>
      <c r="AA2" s="4"/>
      <c r="AC2" s="1">
        <v>2021</v>
      </c>
      <c r="AD2" s="1">
        <v>2022</v>
      </c>
      <c r="AE2" s="1">
        <v>2023</v>
      </c>
      <c r="AF2" s="1">
        <v>2024</v>
      </c>
      <c r="AG2" s="1">
        <f t="shared" ref="AG2:AQ2" si="0">AF2+1</f>
        <v>2025</v>
      </c>
      <c r="AH2" s="1">
        <f t="shared" si="0"/>
        <v>2026</v>
      </c>
      <c r="AI2" s="1">
        <f t="shared" si="0"/>
        <v>2027</v>
      </c>
      <c r="AJ2" s="1">
        <f t="shared" si="0"/>
        <v>2028</v>
      </c>
      <c r="AK2" s="1">
        <f t="shared" si="0"/>
        <v>2029</v>
      </c>
      <c r="AL2" s="1">
        <f t="shared" si="0"/>
        <v>2030</v>
      </c>
      <c r="AM2" s="1">
        <f t="shared" si="0"/>
        <v>2031</v>
      </c>
      <c r="AN2" s="1">
        <f t="shared" si="0"/>
        <v>2032</v>
      </c>
      <c r="AO2" s="1">
        <f t="shared" si="0"/>
        <v>2033</v>
      </c>
      <c r="AP2" s="1">
        <f t="shared" si="0"/>
        <v>2034</v>
      </c>
      <c r="AQ2" s="1">
        <f t="shared" si="0"/>
        <v>2035</v>
      </c>
    </row>
    <row r="3" spans="1:43" x14ac:dyDescent="0.25">
      <c r="B3" s="15" t="s">
        <v>96</v>
      </c>
      <c r="S3" s="4"/>
      <c r="T3" s="4"/>
      <c r="U3" s="4"/>
      <c r="V3" s="4"/>
      <c r="W3" s="4"/>
      <c r="X3" s="4"/>
      <c r="Y3" s="4"/>
      <c r="Z3" s="4"/>
      <c r="AA3" s="4"/>
      <c r="AC3" s="1">
        <v>31</v>
      </c>
      <c r="AD3" s="1">
        <v>61</v>
      </c>
      <c r="AE3" s="1">
        <v>96</v>
      </c>
      <c r="AF3" s="1">
        <v>134</v>
      </c>
      <c r="AG3" s="1">
        <v>175</v>
      </c>
    </row>
    <row r="4" spans="1:43" s="18" customFormat="1" ht="13" x14ac:dyDescent="0.3"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E4" s="20">
        <f>AE3/AD3-1</f>
        <v>0.57377049180327866</v>
      </c>
      <c r="AF4" s="20">
        <f>AF3/AE3-1</f>
        <v>0.39583333333333326</v>
      </c>
      <c r="AG4" s="20">
        <f>AG3/AF3-1</f>
        <v>0.30597014925373145</v>
      </c>
    </row>
    <row r="5" spans="1:43" s="18" customFormat="1" ht="13" x14ac:dyDescent="0.3"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E5" s="20"/>
      <c r="AF5" s="20"/>
      <c r="AG5" s="20"/>
    </row>
    <row r="6" spans="1:43" x14ac:dyDescent="0.25">
      <c r="B6" s="15" t="s">
        <v>92</v>
      </c>
      <c r="K6" s="4">
        <v>46</v>
      </c>
      <c r="L6" s="4">
        <v>50</v>
      </c>
      <c r="M6" s="4">
        <v>53</v>
      </c>
      <c r="N6" s="4">
        <v>54</v>
      </c>
      <c r="O6" s="4">
        <v>61</v>
      </c>
      <c r="S6" s="4"/>
      <c r="T6" s="4"/>
      <c r="U6" s="4"/>
      <c r="V6" s="4"/>
      <c r="W6" s="4"/>
      <c r="X6" s="4"/>
      <c r="Y6" s="4"/>
      <c r="Z6" s="4"/>
      <c r="AA6" s="4"/>
      <c r="AE6" s="1">
        <f>+AE7+AD7</f>
        <v>19</v>
      </c>
      <c r="AF6" s="1">
        <f>+AF7+AE7</f>
        <v>26</v>
      </c>
      <c r="AG6" s="1">
        <f>+AG7+AF7</f>
        <v>36</v>
      </c>
    </row>
    <row r="7" spans="1:43" x14ac:dyDescent="0.25">
      <c r="B7" s="15" t="s">
        <v>93</v>
      </c>
      <c r="K7" s="4">
        <v>4</v>
      </c>
      <c r="L7" s="4">
        <v>4</v>
      </c>
      <c r="M7" s="4">
        <v>3</v>
      </c>
      <c r="N7" s="4">
        <v>5</v>
      </c>
      <c r="S7" s="4"/>
      <c r="T7" s="4"/>
      <c r="U7" s="4"/>
      <c r="V7" s="4"/>
      <c r="W7" s="4"/>
      <c r="X7" s="4"/>
      <c r="Y7" s="4"/>
      <c r="Z7" s="4"/>
      <c r="AA7" s="4"/>
      <c r="AC7" s="1">
        <v>9</v>
      </c>
      <c r="AD7" s="1">
        <v>9</v>
      </c>
      <c r="AE7" s="1">
        <v>10</v>
      </c>
      <c r="AF7" s="1">
        <v>16</v>
      </c>
      <c r="AG7" s="1">
        <v>20</v>
      </c>
      <c r="AH7" s="1">
        <f t="shared" ref="AH7:AQ7" si="1">+AG7+8</f>
        <v>28</v>
      </c>
      <c r="AI7" s="1">
        <f t="shared" si="1"/>
        <v>36</v>
      </c>
      <c r="AJ7" s="1">
        <f t="shared" si="1"/>
        <v>44</v>
      </c>
      <c r="AK7" s="1">
        <f t="shared" si="1"/>
        <v>52</v>
      </c>
      <c r="AL7" s="1">
        <f t="shared" si="1"/>
        <v>60</v>
      </c>
      <c r="AM7" s="1">
        <f t="shared" si="1"/>
        <v>68</v>
      </c>
      <c r="AN7" s="1">
        <f t="shared" si="1"/>
        <v>76</v>
      </c>
      <c r="AO7" s="1">
        <f t="shared" si="1"/>
        <v>84</v>
      </c>
      <c r="AP7" s="1">
        <f t="shared" si="1"/>
        <v>92</v>
      </c>
      <c r="AQ7" s="1">
        <f t="shared" si="1"/>
        <v>100</v>
      </c>
    </row>
    <row r="8" spans="1:43" s="18" customFormat="1" ht="13" x14ac:dyDescent="0.3"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F8" s="20">
        <f>+AF7/AE7-1</f>
        <v>0.60000000000000009</v>
      </c>
      <c r="AG8" s="20">
        <f>+AG7/AF7-1</f>
        <v>0.25</v>
      </c>
      <c r="AH8" s="20">
        <f>+AH7/AG7-1</f>
        <v>0.39999999999999991</v>
      </c>
      <c r="AI8" s="20">
        <f t="shared" ref="AI8:AQ8" si="2">+AI7/AH7-1</f>
        <v>0.28571428571428581</v>
      </c>
      <c r="AJ8" s="20">
        <f t="shared" si="2"/>
        <v>0.22222222222222232</v>
      </c>
      <c r="AK8" s="20">
        <f t="shared" si="2"/>
        <v>0.18181818181818188</v>
      </c>
      <c r="AL8" s="20">
        <f t="shared" si="2"/>
        <v>0.15384615384615374</v>
      </c>
      <c r="AM8" s="20">
        <f t="shared" si="2"/>
        <v>0.1333333333333333</v>
      </c>
      <c r="AN8" s="20">
        <f t="shared" si="2"/>
        <v>0.11764705882352944</v>
      </c>
      <c r="AO8" s="20">
        <f t="shared" si="2"/>
        <v>0.10526315789473695</v>
      </c>
      <c r="AP8" s="20">
        <f t="shared" si="2"/>
        <v>9.5238095238095344E-2</v>
      </c>
      <c r="AQ8" s="20">
        <f t="shared" si="2"/>
        <v>8.6956521739130377E-2</v>
      </c>
    </row>
    <row r="9" spans="1:43" s="21" customFormat="1" ht="13" x14ac:dyDescent="0.3">
      <c r="B9" s="21" t="s">
        <v>99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C9" s="21">
        <f>+AC18/AC7</f>
        <v>6.7428888888888885</v>
      </c>
      <c r="AD9" s="21">
        <f>+AD18/AD7</f>
        <v>6.7428888888888885</v>
      </c>
      <c r="AE9" s="21">
        <f>+AE18/AE7</f>
        <v>7.1894000000000009</v>
      </c>
      <c r="AF9" s="21">
        <f>+AF18/AF7</f>
        <v>7.8360000000000003</v>
      </c>
      <c r="AG9" s="21">
        <f>+AG18/AG7</f>
        <v>10.75</v>
      </c>
    </row>
    <row r="10" spans="1:43" s="18" customFormat="1" ht="13" x14ac:dyDescent="0.3"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F10" s="20"/>
      <c r="AG10" s="20"/>
    </row>
    <row r="11" spans="1:43" s="16" customFormat="1" x14ac:dyDescent="0.25">
      <c r="B11" s="16" t="s">
        <v>103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G11" s="16">
        <v>1</v>
      </c>
      <c r="AH11" s="16">
        <v>3</v>
      </c>
      <c r="AI11" s="16">
        <v>6</v>
      </c>
      <c r="AJ11" s="16">
        <v>10</v>
      </c>
      <c r="AK11" s="16">
        <v>15</v>
      </c>
      <c r="AL11" s="16">
        <v>20</v>
      </c>
      <c r="AM11" s="16">
        <v>25</v>
      </c>
      <c r="AN11" s="16">
        <v>30</v>
      </c>
      <c r="AO11" s="16">
        <v>35</v>
      </c>
      <c r="AP11" s="16">
        <v>40</v>
      </c>
      <c r="AQ11" s="16">
        <v>45</v>
      </c>
    </row>
    <row r="12" spans="1:43" s="26" customFormat="1" ht="13" x14ac:dyDescent="0.3">
      <c r="B12" s="26" t="s">
        <v>104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G12" s="26">
        <v>55</v>
      </c>
      <c r="AH12" s="26">
        <f>+AG12*1.03</f>
        <v>56.65</v>
      </c>
      <c r="AI12" s="26">
        <f t="shared" ref="AI12:AQ12" si="3">+AH12*1.03</f>
        <v>58.349499999999999</v>
      </c>
      <c r="AJ12" s="26">
        <f t="shared" si="3"/>
        <v>60.099985000000004</v>
      </c>
      <c r="AK12" s="26">
        <f t="shared" si="3"/>
        <v>61.902984550000006</v>
      </c>
      <c r="AL12" s="26">
        <f t="shared" si="3"/>
        <v>63.760074086500005</v>
      </c>
      <c r="AM12" s="26">
        <f t="shared" si="3"/>
        <v>65.672876309095003</v>
      </c>
      <c r="AN12" s="26">
        <f t="shared" si="3"/>
        <v>67.643062598367848</v>
      </c>
      <c r="AO12" s="26">
        <f t="shared" si="3"/>
        <v>69.672354476318887</v>
      </c>
      <c r="AP12" s="26">
        <f t="shared" si="3"/>
        <v>71.762525110608451</v>
      </c>
      <c r="AQ12" s="26">
        <f t="shared" si="3"/>
        <v>73.915400863926706</v>
      </c>
    </row>
    <row r="13" spans="1:43" s="18" customFormat="1" ht="13" x14ac:dyDescent="0.3"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F13" s="20"/>
      <c r="AG13" s="20"/>
    </row>
    <row r="14" spans="1:43" s="18" customFormat="1" ht="13" x14ac:dyDescent="0.3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F14" s="20"/>
      <c r="AG14" s="20"/>
    </row>
    <row r="15" spans="1:43" x14ac:dyDescent="0.25">
      <c r="B15" s="1" t="s">
        <v>34</v>
      </c>
      <c r="M15" s="5">
        <v>1050</v>
      </c>
      <c r="Q15" s="5"/>
    </row>
    <row r="16" spans="1:43" x14ac:dyDescent="0.25">
      <c r="B16" s="15" t="s">
        <v>100</v>
      </c>
      <c r="M16" s="5"/>
      <c r="Q16" s="5"/>
      <c r="AC16" s="3">
        <v>133.10300000000001</v>
      </c>
      <c r="AD16" s="3">
        <v>133.10300000000001</v>
      </c>
      <c r="AE16" s="3">
        <v>155.56</v>
      </c>
      <c r="AF16" s="3">
        <v>289.851</v>
      </c>
    </row>
    <row r="17" spans="2:92" x14ac:dyDescent="0.25">
      <c r="B17" s="15" t="s">
        <v>102</v>
      </c>
      <c r="M17" s="5"/>
      <c r="Q17" s="5"/>
      <c r="AC17" s="3"/>
      <c r="AD17" s="3"/>
      <c r="AE17" s="3">
        <f>+AE20-AE18</f>
        <v>16.137999999999991</v>
      </c>
      <c r="AF17" s="3">
        <f>+AF20-AF18</f>
        <v>20.986999999999995</v>
      </c>
      <c r="AG17" s="3">
        <f>+AF17*1.1</f>
        <v>23.085699999999996</v>
      </c>
      <c r="AH17" s="3">
        <f t="shared" ref="AH17:AQ17" si="4">+AG17*1.1</f>
        <v>25.394269999999999</v>
      </c>
      <c r="AI17" s="3">
        <f t="shared" si="4"/>
        <v>27.933697000000002</v>
      </c>
      <c r="AJ17" s="3">
        <f t="shared" si="4"/>
        <v>30.727066700000005</v>
      </c>
      <c r="AK17" s="3">
        <f t="shared" si="4"/>
        <v>33.799773370000011</v>
      </c>
      <c r="AL17" s="3">
        <f t="shared" si="4"/>
        <v>37.179750707000018</v>
      </c>
      <c r="AM17" s="3">
        <f t="shared" si="4"/>
        <v>40.897725777700025</v>
      </c>
      <c r="AN17" s="3">
        <f t="shared" si="4"/>
        <v>44.987498355470031</v>
      </c>
      <c r="AO17" s="3">
        <f t="shared" si="4"/>
        <v>49.48624819101704</v>
      </c>
      <c r="AP17" s="3">
        <f t="shared" si="4"/>
        <v>54.43487301011875</v>
      </c>
      <c r="AQ17" s="3">
        <f t="shared" si="4"/>
        <v>59.878360311130628</v>
      </c>
    </row>
    <row r="18" spans="2:92" x14ac:dyDescent="0.25">
      <c r="B18" s="15" t="s">
        <v>98</v>
      </c>
      <c r="M18" s="5"/>
      <c r="Q18" s="5"/>
      <c r="AC18" s="3">
        <v>60.686</v>
      </c>
      <c r="AD18" s="3">
        <v>60.686</v>
      </c>
      <c r="AE18" s="3">
        <v>71.894000000000005</v>
      </c>
      <c r="AF18" s="3">
        <v>125.376</v>
      </c>
      <c r="AG18" s="3">
        <f>+AG7*8+(AG11*AG12)</f>
        <v>215</v>
      </c>
      <c r="AH18" s="3">
        <f t="shared" ref="AH18:AQ18" si="5">+AH7*8+(AH11*AH12)</f>
        <v>393.95</v>
      </c>
      <c r="AI18" s="3">
        <f t="shared" si="5"/>
        <v>638.09699999999998</v>
      </c>
      <c r="AJ18" s="3">
        <f t="shared" si="5"/>
        <v>952.99985000000004</v>
      </c>
      <c r="AK18" s="3">
        <f t="shared" si="5"/>
        <v>1344.5447682500001</v>
      </c>
      <c r="AL18" s="3">
        <f t="shared" si="5"/>
        <v>1755.2014817300001</v>
      </c>
      <c r="AM18" s="3">
        <f t="shared" si="5"/>
        <v>2185.8219077273752</v>
      </c>
      <c r="AN18" s="3">
        <f t="shared" si="5"/>
        <v>2637.2918779510355</v>
      </c>
      <c r="AO18" s="3">
        <f t="shared" si="5"/>
        <v>3110.532406671161</v>
      </c>
      <c r="AP18" s="3">
        <f t="shared" si="5"/>
        <v>3606.5010044243381</v>
      </c>
      <c r="AQ18" s="3">
        <f t="shared" si="5"/>
        <v>4126.1930388767014</v>
      </c>
    </row>
    <row r="19" spans="2:92" s="3" customFormat="1" x14ac:dyDescent="0.25">
      <c r="B19" s="16" t="s">
        <v>49</v>
      </c>
      <c r="C19" s="5"/>
      <c r="D19" s="5"/>
      <c r="E19" s="5"/>
      <c r="F19" s="5"/>
      <c r="G19" s="5"/>
      <c r="H19" s="5"/>
      <c r="I19" s="5"/>
      <c r="J19" s="5">
        <v>47.868000000000002</v>
      </c>
      <c r="K19" s="5"/>
      <c r="L19" s="5">
        <v>72.283000000000001</v>
      </c>
      <c r="M19" s="5">
        <v>79.418999999999997</v>
      </c>
      <c r="N19" s="5">
        <v>84.003</v>
      </c>
      <c r="O19" s="5">
        <v>80.804000000000002</v>
      </c>
      <c r="P19" s="5">
        <v>92.724999999999994</v>
      </c>
      <c r="Q19" s="5">
        <v>104.042</v>
      </c>
      <c r="R19" s="5">
        <v>94.046000000000006</v>
      </c>
      <c r="S19" s="3">
        <v>127.488</v>
      </c>
      <c r="AE19" s="3">
        <v>156.56</v>
      </c>
      <c r="AF19" s="3">
        <v>289.851</v>
      </c>
      <c r="AG19" s="3">
        <f>+AF19*1.2</f>
        <v>347.82119999999998</v>
      </c>
      <c r="AH19" s="3">
        <f t="shared" ref="AH19:AQ19" si="6">+AG19*1.2</f>
        <v>417.38543999999996</v>
      </c>
      <c r="AI19" s="3">
        <f t="shared" si="6"/>
        <v>500.86252799999994</v>
      </c>
      <c r="AJ19" s="3">
        <f t="shared" si="6"/>
        <v>601.03503359999991</v>
      </c>
      <c r="AK19" s="3">
        <f t="shared" si="6"/>
        <v>721.24204031999989</v>
      </c>
      <c r="AL19" s="3">
        <f t="shared" si="6"/>
        <v>865.49044838399982</v>
      </c>
      <c r="AM19" s="3">
        <f t="shared" si="6"/>
        <v>1038.5885380607997</v>
      </c>
      <c r="AN19" s="3">
        <f t="shared" si="6"/>
        <v>1246.3062456729597</v>
      </c>
      <c r="AO19" s="3">
        <f t="shared" si="6"/>
        <v>1495.5674948075516</v>
      </c>
      <c r="AP19" s="3">
        <f t="shared" si="6"/>
        <v>1794.6809937690618</v>
      </c>
      <c r="AQ19" s="3">
        <f t="shared" si="6"/>
        <v>2153.6171925228741</v>
      </c>
    </row>
    <row r="20" spans="2:92" s="3" customFormat="1" x14ac:dyDescent="0.25">
      <c r="B20" s="16" t="s">
        <v>50</v>
      </c>
      <c r="C20" s="5"/>
      <c r="D20" s="5"/>
      <c r="E20" s="5"/>
      <c r="F20" s="5"/>
      <c r="G20" s="5"/>
      <c r="H20" s="5"/>
      <c r="I20" s="5"/>
      <c r="J20" s="5">
        <v>12.122999999999999</v>
      </c>
      <c r="K20" s="5"/>
      <c r="L20" s="5">
        <v>33.968000000000004</v>
      </c>
      <c r="M20" s="5">
        <v>25.388999999999999</v>
      </c>
      <c r="N20" s="5">
        <v>48.384999999999998</v>
      </c>
      <c r="O20" s="5">
        <v>41.765000000000001</v>
      </c>
      <c r="P20" s="5">
        <v>51.773000000000003</v>
      </c>
      <c r="Q20" s="5">
        <v>51.037999999999997</v>
      </c>
      <c r="R20" s="5">
        <v>85.605999999999995</v>
      </c>
      <c r="S20" s="3">
        <v>72.86</v>
      </c>
      <c r="AE20" s="3">
        <v>88.031999999999996</v>
      </c>
      <c r="AF20" s="3">
        <v>146.363</v>
      </c>
      <c r="AG20" s="3">
        <f>+AG18+AG17</f>
        <v>238.0857</v>
      </c>
      <c r="AH20" s="3">
        <f t="shared" ref="AH20:AQ20" si="7">+AH18+AH17</f>
        <v>419.34426999999999</v>
      </c>
      <c r="AI20" s="3">
        <f t="shared" si="7"/>
        <v>666.03069700000003</v>
      </c>
      <c r="AJ20" s="3">
        <f t="shared" si="7"/>
        <v>983.72691670000006</v>
      </c>
      <c r="AK20" s="3">
        <f t="shared" si="7"/>
        <v>1378.34454162</v>
      </c>
      <c r="AL20" s="3">
        <f t="shared" si="7"/>
        <v>1792.3812324370001</v>
      </c>
      <c r="AM20" s="3">
        <f t="shared" si="7"/>
        <v>2226.7196335050753</v>
      </c>
      <c r="AN20" s="3">
        <f t="shared" si="7"/>
        <v>2682.2793763065056</v>
      </c>
      <c r="AO20" s="3">
        <f t="shared" si="7"/>
        <v>3160.0186548621782</v>
      </c>
      <c r="AP20" s="3">
        <f t="shared" si="7"/>
        <v>3660.9358774344569</v>
      </c>
      <c r="AQ20" s="3">
        <f t="shared" si="7"/>
        <v>4186.071399187832</v>
      </c>
    </row>
    <row r="21" spans="2:92" s="6" customFormat="1" ht="13" x14ac:dyDescent="0.3">
      <c r="B21" s="6" t="s">
        <v>10</v>
      </c>
      <c r="C21" s="7"/>
      <c r="D21" s="7"/>
      <c r="E21" s="7"/>
      <c r="F21" s="7"/>
      <c r="G21" s="7">
        <v>54.895000000000003</v>
      </c>
      <c r="H21" s="7">
        <v>62.045000000000002</v>
      </c>
      <c r="I21" s="7">
        <v>67.661000000000001</v>
      </c>
      <c r="J21" s="7">
        <f>+J19+J20</f>
        <v>59.991</v>
      </c>
      <c r="K21" s="7">
        <v>92.766999999999996</v>
      </c>
      <c r="L21" s="7">
        <f>+L19+L20</f>
        <v>106.251</v>
      </c>
      <c r="M21" s="7">
        <f>+M19+M20</f>
        <v>104.80799999999999</v>
      </c>
      <c r="N21" s="7">
        <f>+N19+N20</f>
        <v>132.38800000000001</v>
      </c>
      <c r="O21" s="7">
        <f>+O19+O20</f>
        <v>122.569</v>
      </c>
      <c r="P21" s="7">
        <f>+P19+P20</f>
        <v>144.49799999999999</v>
      </c>
      <c r="Q21" s="7">
        <f>+Q20+Q19</f>
        <v>155.07999999999998</v>
      </c>
      <c r="R21" s="7">
        <f>+R20+R19</f>
        <v>179.65199999999999</v>
      </c>
      <c r="S21" s="6">
        <f>+S20+S19</f>
        <v>200.34800000000001</v>
      </c>
      <c r="T21" s="6">
        <f>P21*1.6</f>
        <v>231.1968</v>
      </c>
      <c r="U21" s="6">
        <f>Q21*1.4</f>
        <v>217.11199999999997</v>
      </c>
      <c r="V21" s="6">
        <f>R21*1.4</f>
        <v>251.51279999999997</v>
      </c>
      <c r="W21" s="6">
        <f t="shared" ref="W21:Z21" si="8">S21*1.4</f>
        <v>280.48719999999997</v>
      </c>
      <c r="X21" s="6">
        <f t="shared" si="8"/>
        <v>323.67551999999995</v>
      </c>
      <c r="Y21" s="6">
        <f t="shared" si="8"/>
        <v>303.95679999999993</v>
      </c>
      <c r="Z21" s="6">
        <f t="shared" si="8"/>
        <v>352.11791999999991</v>
      </c>
      <c r="AC21" s="6">
        <v>210</v>
      </c>
      <c r="AD21" s="6">
        <v>210</v>
      </c>
      <c r="AE21" s="6">
        <f>+AE19+AE20</f>
        <v>244.59199999999998</v>
      </c>
      <c r="AF21" s="6">
        <f>+AF19+AF20</f>
        <v>436.214</v>
      </c>
      <c r="AG21" s="6">
        <f>SUM(O21:R21)</f>
        <v>601.79899999999998</v>
      </c>
      <c r="AH21" s="6">
        <f>SUM(S21:V21)</f>
        <v>900.16959999999995</v>
      </c>
      <c r="AI21" s="6">
        <f>AI20+AI19</f>
        <v>1166.893225</v>
      </c>
      <c r="AJ21" s="6">
        <f t="shared" ref="AJ21:AQ21" si="9">AJ20+AJ19</f>
        <v>1584.7619503000001</v>
      </c>
      <c r="AK21" s="6">
        <f t="shared" si="9"/>
        <v>2099.5865819399996</v>
      </c>
      <c r="AL21" s="6">
        <f t="shared" si="9"/>
        <v>2657.8716808210002</v>
      </c>
      <c r="AM21" s="6">
        <f t="shared" si="9"/>
        <v>3265.308171565875</v>
      </c>
      <c r="AN21" s="6">
        <f t="shared" si="9"/>
        <v>3928.585621979465</v>
      </c>
      <c r="AO21" s="6">
        <f t="shared" si="9"/>
        <v>4655.5861496697298</v>
      </c>
      <c r="AP21" s="6">
        <f t="shared" si="9"/>
        <v>5455.6168712035187</v>
      </c>
      <c r="AQ21" s="6">
        <f t="shared" si="9"/>
        <v>6339.6885917107065</v>
      </c>
    </row>
    <row r="22" spans="2:92" s="3" customFormat="1" x14ac:dyDescent="0.25">
      <c r="B22" s="3" t="s">
        <v>22</v>
      </c>
      <c r="C22" s="5"/>
      <c r="D22" s="5"/>
      <c r="E22" s="5"/>
      <c r="F22" s="5"/>
      <c r="G22" s="5"/>
      <c r="H22" s="5">
        <v>47.451999999999998</v>
      </c>
      <c r="I22" s="5">
        <v>52.694000000000003</v>
      </c>
      <c r="J22" s="5">
        <v>44.499000000000002</v>
      </c>
      <c r="K22" s="5">
        <v>68.593000000000004</v>
      </c>
      <c r="L22" s="5">
        <v>79.088999999999999</v>
      </c>
      <c r="M22" s="5">
        <v>76.811999999999998</v>
      </c>
      <c r="N22" s="5">
        <v>95.570999999999998</v>
      </c>
      <c r="O22" s="5">
        <v>87.322000000000003</v>
      </c>
      <c r="P22" s="5">
        <v>98.11</v>
      </c>
      <c r="Q22" s="5">
        <v>97.766000000000005</v>
      </c>
      <c r="R22" s="5">
        <v>111.42</v>
      </c>
      <c r="S22" s="3">
        <v>123.855</v>
      </c>
      <c r="AE22" s="3">
        <v>193.18299999999999</v>
      </c>
      <c r="AF22" s="3">
        <f>SUM(K22:N22)</f>
        <v>320.06500000000005</v>
      </c>
    </row>
    <row r="23" spans="2:92" s="3" customFormat="1" x14ac:dyDescent="0.25">
      <c r="B23" s="3" t="s">
        <v>23</v>
      </c>
      <c r="C23" s="5"/>
      <c r="D23" s="5"/>
      <c r="E23" s="5"/>
      <c r="F23" s="5"/>
      <c r="G23" s="5"/>
      <c r="H23" s="5">
        <f>H21-H22</f>
        <v>14.593000000000004</v>
      </c>
      <c r="I23" s="5">
        <f>I21-I22</f>
        <v>14.966999999999999</v>
      </c>
      <c r="J23" s="5">
        <f>+J21-J22</f>
        <v>15.491999999999997</v>
      </c>
      <c r="K23" s="5">
        <f>K21-K22</f>
        <v>24.173999999999992</v>
      </c>
      <c r="L23" s="5">
        <f>L21-L22</f>
        <v>27.162000000000006</v>
      </c>
      <c r="M23" s="5">
        <f>M21-M22</f>
        <v>27.995999999999995</v>
      </c>
      <c r="N23" s="5">
        <f t="shared" ref="N23:S23" si="10">+N21-N22</f>
        <v>36.817000000000007</v>
      </c>
      <c r="O23" s="5">
        <f t="shared" si="10"/>
        <v>35.247</v>
      </c>
      <c r="P23" s="5">
        <f t="shared" si="10"/>
        <v>46.387999999999991</v>
      </c>
      <c r="Q23" s="5">
        <f t="shared" si="10"/>
        <v>57.313999999999979</v>
      </c>
      <c r="R23" s="5">
        <f t="shared" si="10"/>
        <v>68.231999999999985</v>
      </c>
      <c r="S23" s="5">
        <f t="shared" si="10"/>
        <v>76.493000000000009</v>
      </c>
      <c r="T23" s="5">
        <f>T21*0.35</f>
        <v>80.918879999999987</v>
      </c>
      <c r="U23" s="5">
        <f>U21*0.32</f>
        <v>69.475839999999991</v>
      </c>
      <c r="V23" s="5">
        <f>V21*0.32</f>
        <v>80.484095999999994</v>
      </c>
      <c r="W23" s="5">
        <f t="shared" ref="W23:Z23" si="11">W21*0.32</f>
        <v>89.755903999999987</v>
      </c>
      <c r="X23" s="5">
        <f t="shared" si="11"/>
        <v>103.57616639999999</v>
      </c>
      <c r="Y23" s="5">
        <f t="shared" si="11"/>
        <v>97.266175999999973</v>
      </c>
      <c r="Z23" s="5">
        <f t="shared" si="11"/>
        <v>112.67773439999998</v>
      </c>
      <c r="AA23" s="5"/>
      <c r="AC23" s="3">
        <f t="shared" ref="AC23:AE23" si="12">AC21-AC22</f>
        <v>210</v>
      </c>
      <c r="AD23" s="3">
        <f t="shared" si="12"/>
        <v>210</v>
      </c>
      <c r="AE23" s="3">
        <f t="shared" si="12"/>
        <v>51.408999999999992</v>
      </c>
      <c r="AF23" s="3">
        <f>AF21-AF22</f>
        <v>116.14899999999994</v>
      </c>
      <c r="AG23" s="3">
        <f>AG21*0.31</f>
        <v>186.55768999999998</v>
      </c>
      <c r="AH23" s="3">
        <f>AH21*0.33</f>
        <v>297.05596800000001</v>
      </c>
      <c r="AI23" s="3">
        <f>AI21*0.33</f>
        <v>385.07476425000004</v>
      </c>
      <c r="AJ23" s="3">
        <f t="shared" ref="AJ23:AQ23" si="13">AJ21*0.33</f>
        <v>522.97144359900005</v>
      </c>
      <c r="AK23" s="3">
        <f t="shared" si="13"/>
        <v>692.86357204019987</v>
      </c>
      <c r="AL23" s="3">
        <f t="shared" si="13"/>
        <v>877.09765467093007</v>
      </c>
      <c r="AM23" s="3">
        <f t="shared" si="13"/>
        <v>1077.5516966167388</v>
      </c>
      <c r="AN23" s="3">
        <f t="shared" si="13"/>
        <v>1296.4332552532235</v>
      </c>
      <c r="AO23" s="3">
        <f t="shared" si="13"/>
        <v>1536.3434293910109</v>
      </c>
      <c r="AP23" s="3">
        <f t="shared" si="13"/>
        <v>1800.3535674971613</v>
      </c>
      <c r="AQ23" s="3">
        <f t="shared" si="13"/>
        <v>2092.0972352645331</v>
      </c>
    </row>
    <row r="24" spans="2:92" s="3" customFormat="1" x14ac:dyDescent="0.25">
      <c r="B24" s="3" t="s">
        <v>24</v>
      </c>
      <c r="C24" s="5"/>
      <c r="D24" s="5"/>
      <c r="E24" s="5"/>
      <c r="F24" s="5"/>
      <c r="G24" s="5"/>
      <c r="H24" s="5">
        <v>31.035</v>
      </c>
      <c r="I24" s="5">
        <v>26.626000000000001</v>
      </c>
      <c r="J24" s="5">
        <v>37.488</v>
      </c>
      <c r="K24" s="5">
        <v>38.503999999999998</v>
      </c>
      <c r="L24" s="5">
        <v>39.911999999999999</v>
      </c>
      <c r="M24" s="5">
        <v>47.722999999999999</v>
      </c>
      <c r="N24" s="5">
        <v>48.255000000000003</v>
      </c>
      <c r="O24" s="5">
        <v>55.109000000000002</v>
      </c>
      <c r="P24" s="5">
        <v>66.134</v>
      </c>
      <c r="Q24" s="5">
        <v>70.694000000000003</v>
      </c>
      <c r="R24" s="5">
        <v>78.778999999999996</v>
      </c>
      <c r="S24" s="3">
        <v>80.513000000000005</v>
      </c>
      <c r="AE24" s="3">
        <v>119.054</v>
      </c>
      <c r="AF24" s="3">
        <f>SUM(K24:N24)</f>
        <v>174.39400000000001</v>
      </c>
      <c r="AG24" s="3">
        <f t="shared" ref="AG24" si="14">AF24*1.1</f>
        <v>191.83340000000001</v>
      </c>
      <c r="AH24" s="3">
        <f>AG24*1.15</f>
        <v>220.60840999999999</v>
      </c>
      <c r="AI24" s="3">
        <f t="shared" ref="AI24:AQ24" si="15">AH24*1.15</f>
        <v>253.69967149999997</v>
      </c>
      <c r="AJ24" s="3">
        <f t="shared" si="15"/>
        <v>291.75462222499993</v>
      </c>
      <c r="AK24" s="3">
        <f t="shared" si="15"/>
        <v>335.51781555874987</v>
      </c>
      <c r="AL24" s="3">
        <f t="shared" si="15"/>
        <v>385.84548789256235</v>
      </c>
      <c r="AM24" s="3">
        <f t="shared" si="15"/>
        <v>443.72231107644666</v>
      </c>
      <c r="AN24" s="3">
        <f t="shared" si="15"/>
        <v>510.2806577379136</v>
      </c>
      <c r="AO24" s="3">
        <f t="shared" si="15"/>
        <v>586.82275639860063</v>
      </c>
      <c r="AP24" s="3">
        <f t="shared" si="15"/>
        <v>674.84616985839068</v>
      </c>
      <c r="AQ24" s="3">
        <f t="shared" si="15"/>
        <v>776.0730953371492</v>
      </c>
    </row>
    <row r="25" spans="2:92" s="3" customFormat="1" x14ac:dyDescent="0.25">
      <c r="B25" s="3" t="s">
        <v>25</v>
      </c>
      <c r="C25" s="5"/>
      <c r="D25" s="5"/>
      <c r="E25" s="5"/>
      <c r="F25" s="5"/>
      <c r="G25" s="5"/>
      <c r="H25" s="5">
        <v>28.716999999999999</v>
      </c>
      <c r="I25" s="5">
        <v>27.2</v>
      </c>
      <c r="J25" s="5">
        <v>25.887</v>
      </c>
      <c r="K25" s="5">
        <v>28.748999999999999</v>
      </c>
      <c r="L25" s="5">
        <v>30.524000000000001</v>
      </c>
      <c r="M25" s="5">
        <v>32.171999999999997</v>
      </c>
      <c r="N25" s="5">
        <v>40.110999999999997</v>
      </c>
      <c r="O25" s="5">
        <v>39.326000000000001</v>
      </c>
      <c r="P25" s="5">
        <v>39.893000000000001</v>
      </c>
      <c r="Q25" s="5">
        <v>45.588999999999999</v>
      </c>
      <c r="R25" s="5">
        <v>40.494999999999997</v>
      </c>
      <c r="S25" s="3">
        <v>51.948999999999998</v>
      </c>
      <c r="AE25" s="3">
        <v>110.273</v>
      </c>
      <c r="AF25" s="3">
        <f>SUM(K25:N25)</f>
        <v>131.55599999999998</v>
      </c>
      <c r="AG25" s="3">
        <f t="shared" ref="AG25" si="16">AF25*1.1</f>
        <v>144.7116</v>
      </c>
      <c r="AH25" s="3">
        <f>AG25*1.15</f>
        <v>166.41834</v>
      </c>
      <c r="AI25" s="3">
        <f t="shared" ref="AI25:AQ25" si="17">AH25*1.15</f>
        <v>191.381091</v>
      </c>
      <c r="AJ25" s="3">
        <f t="shared" si="17"/>
        <v>220.08825464999998</v>
      </c>
      <c r="AK25" s="3">
        <f t="shared" si="17"/>
        <v>253.10149284749997</v>
      </c>
      <c r="AL25" s="3">
        <f t="shared" si="17"/>
        <v>291.06671677462492</v>
      </c>
      <c r="AM25" s="3">
        <f t="shared" si="17"/>
        <v>334.72672429081865</v>
      </c>
      <c r="AN25" s="3">
        <f t="shared" si="17"/>
        <v>384.93573293444143</v>
      </c>
      <c r="AO25" s="3">
        <f t="shared" si="17"/>
        <v>442.6760928746076</v>
      </c>
      <c r="AP25" s="3">
        <f t="shared" si="17"/>
        <v>509.07750680579869</v>
      </c>
      <c r="AQ25" s="3">
        <f t="shared" si="17"/>
        <v>585.43913282666847</v>
      </c>
    </row>
    <row r="26" spans="2:92" s="3" customFormat="1" x14ac:dyDescent="0.25">
      <c r="B26" s="3" t="s">
        <v>26</v>
      </c>
      <c r="C26" s="5"/>
      <c r="D26" s="5"/>
      <c r="E26" s="5"/>
      <c r="F26" s="5"/>
      <c r="G26" s="5">
        <f t="shared" ref="G26:R26" si="18">G24+G25</f>
        <v>0</v>
      </c>
      <c r="H26" s="5">
        <f t="shared" si="18"/>
        <v>59.751999999999995</v>
      </c>
      <c r="I26" s="5">
        <f t="shared" si="18"/>
        <v>53.826000000000001</v>
      </c>
      <c r="J26" s="5">
        <f t="shared" si="18"/>
        <v>63.375</v>
      </c>
      <c r="K26" s="5">
        <f t="shared" si="18"/>
        <v>67.253</v>
      </c>
      <c r="L26" s="5">
        <f t="shared" si="18"/>
        <v>70.436000000000007</v>
      </c>
      <c r="M26" s="5">
        <f t="shared" si="18"/>
        <v>79.894999999999996</v>
      </c>
      <c r="N26" s="5">
        <f t="shared" si="18"/>
        <v>88.366</v>
      </c>
      <c r="O26" s="5">
        <f t="shared" si="18"/>
        <v>94.435000000000002</v>
      </c>
      <c r="P26" s="5">
        <f t="shared" si="18"/>
        <v>106.027</v>
      </c>
      <c r="Q26" s="5">
        <f t="shared" si="18"/>
        <v>116.283</v>
      </c>
      <c r="R26" s="5">
        <f t="shared" si="18"/>
        <v>119.274</v>
      </c>
      <c r="S26" s="5">
        <f t="shared" ref="S26:AF26" si="19">S24+S25</f>
        <v>132.46199999999999</v>
      </c>
      <c r="T26" s="5">
        <f t="shared" si="19"/>
        <v>0</v>
      </c>
      <c r="U26" s="5">
        <f t="shared" si="19"/>
        <v>0</v>
      </c>
      <c r="V26" s="5">
        <f t="shared" si="19"/>
        <v>0</v>
      </c>
      <c r="W26" s="5"/>
      <c r="X26" s="5"/>
      <c r="Y26" s="5"/>
      <c r="Z26" s="5"/>
      <c r="AA26" s="5"/>
      <c r="AC26" s="5">
        <f t="shared" ref="AC26:AD26" si="20">AC24+AC25</f>
        <v>0</v>
      </c>
      <c r="AD26" s="5">
        <f t="shared" si="20"/>
        <v>0</v>
      </c>
      <c r="AE26" s="5">
        <f t="shared" ref="AE26" si="21">AE24+AE25</f>
        <v>229.327</v>
      </c>
      <c r="AF26" s="5">
        <f t="shared" si="19"/>
        <v>305.95</v>
      </c>
      <c r="AG26" s="5">
        <f t="shared" ref="AG26" si="22">AG24+AG25</f>
        <v>336.54500000000002</v>
      </c>
      <c r="AH26" s="5">
        <f t="shared" ref="AH26" si="23">AH24+AH25</f>
        <v>387.02674999999999</v>
      </c>
      <c r="AI26" s="5">
        <f t="shared" ref="AI26" si="24">AI24+AI25</f>
        <v>445.08076249999999</v>
      </c>
      <c r="AJ26" s="5">
        <f t="shared" ref="AJ26" si="25">AJ24+AJ25</f>
        <v>511.84287687499989</v>
      </c>
      <c r="AK26" s="5">
        <f t="shared" ref="AK26" si="26">AK24+AK25</f>
        <v>588.61930840624984</v>
      </c>
      <c r="AL26" s="5">
        <f t="shared" ref="AL26" si="27">AL24+AL25</f>
        <v>676.91220466718732</v>
      </c>
      <c r="AM26" s="5">
        <f t="shared" ref="AM26" si="28">AM24+AM25</f>
        <v>778.44903536726531</v>
      </c>
      <c r="AN26" s="5">
        <f t="shared" ref="AN26" si="29">AN24+AN25</f>
        <v>895.21639067235503</v>
      </c>
      <c r="AO26" s="5">
        <f t="shared" ref="AO26" si="30">AO24+AO25</f>
        <v>1029.4988492732082</v>
      </c>
      <c r="AP26" s="5">
        <f t="shared" ref="AP26" si="31">AP24+AP25</f>
        <v>1183.9236766641893</v>
      </c>
      <c r="AQ26" s="5">
        <f t="shared" ref="AQ26" si="32">AQ24+AQ25</f>
        <v>1361.5122281638178</v>
      </c>
    </row>
    <row r="27" spans="2:92" s="3" customFormat="1" x14ac:dyDescent="0.25">
      <c r="B27" s="3" t="s">
        <v>27</v>
      </c>
      <c r="C27" s="5"/>
      <c r="D27" s="5"/>
      <c r="E27" s="5"/>
      <c r="F27" s="5"/>
      <c r="G27" s="5">
        <f t="shared" ref="G27:R27" si="33">G23-G26</f>
        <v>0</v>
      </c>
      <c r="H27" s="5">
        <f t="shared" si="33"/>
        <v>-45.158999999999992</v>
      </c>
      <c r="I27" s="5">
        <f t="shared" si="33"/>
        <v>-38.859000000000002</v>
      </c>
      <c r="J27" s="5">
        <f t="shared" si="33"/>
        <v>-47.883000000000003</v>
      </c>
      <c r="K27" s="5">
        <f t="shared" si="33"/>
        <v>-43.079000000000008</v>
      </c>
      <c r="L27" s="5">
        <f t="shared" si="33"/>
        <v>-43.274000000000001</v>
      </c>
      <c r="M27" s="5">
        <f t="shared" si="33"/>
        <v>-51.899000000000001</v>
      </c>
      <c r="N27" s="5">
        <f t="shared" si="33"/>
        <v>-51.548999999999992</v>
      </c>
      <c r="O27" s="5">
        <f t="shared" si="33"/>
        <v>-59.188000000000002</v>
      </c>
      <c r="P27" s="5">
        <f t="shared" si="33"/>
        <v>-59.63900000000001</v>
      </c>
      <c r="Q27" s="5">
        <f t="shared" si="33"/>
        <v>-58.969000000000023</v>
      </c>
      <c r="R27" s="5">
        <f t="shared" si="33"/>
        <v>-51.042000000000016</v>
      </c>
      <c r="S27" s="5">
        <f t="shared" ref="S27:AF27" si="34">S23-S26</f>
        <v>-55.96899999999998</v>
      </c>
      <c r="T27" s="5">
        <f t="shared" si="34"/>
        <v>80.918879999999987</v>
      </c>
      <c r="U27" s="5">
        <f t="shared" si="34"/>
        <v>69.475839999999991</v>
      </c>
      <c r="V27" s="5">
        <f t="shared" si="34"/>
        <v>80.484095999999994</v>
      </c>
      <c r="W27" s="5"/>
      <c r="X27" s="5"/>
      <c r="Y27" s="5"/>
      <c r="Z27" s="5"/>
      <c r="AA27" s="5"/>
      <c r="AC27" s="5">
        <f t="shared" ref="AC27:AD27" si="35">AC23-AC26</f>
        <v>210</v>
      </c>
      <c r="AD27" s="5">
        <f t="shared" si="35"/>
        <v>210</v>
      </c>
      <c r="AE27" s="5">
        <f t="shared" ref="AE27" si="36">AE23-AE26</f>
        <v>-177.91800000000001</v>
      </c>
      <c r="AF27" s="5">
        <f t="shared" si="34"/>
        <v>-189.80100000000004</v>
      </c>
      <c r="AG27" s="5">
        <f t="shared" ref="AG27" si="37">AG23-AG26</f>
        <v>-149.98731000000004</v>
      </c>
      <c r="AH27" s="5">
        <f t="shared" ref="AH27" si="38">AH23-AH26</f>
        <v>-89.970781999999986</v>
      </c>
      <c r="AI27" s="5">
        <f t="shared" ref="AI27" si="39">AI23-AI26</f>
        <v>-60.005998249999948</v>
      </c>
      <c r="AJ27" s="5">
        <f t="shared" ref="AJ27" si="40">AJ23-AJ26</f>
        <v>11.128566724000166</v>
      </c>
      <c r="AK27" s="5">
        <f t="shared" ref="AK27" si="41">AK23-AK26</f>
        <v>104.24426363395003</v>
      </c>
      <c r="AL27" s="5">
        <f t="shared" ref="AL27" si="42">AL23-AL26</f>
        <v>200.18545000374274</v>
      </c>
      <c r="AM27" s="5">
        <f t="shared" ref="AM27" si="43">AM23-AM26</f>
        <v>299.1026612494735</v>
      </c>
      <c r="AN27" s="5">
        <f t="shared" ref="AN27" si="44">AN23-AN26</f>
        <v>401.21686458086845</v>
      </c>
      <c r="AO27" s="5">
        <f t="shared" ref="AO27" si="45">AO23-AO26</f>
        <v>506.84458011780271</v>
      </c>
      <c r="AP27" s="5">
        <f t="shared" ref="AP27" si="46">AP23-AP26</f>
        <v>616.42989083297198</v>
      </c>
      <c r="AQ27" s="5">
        <f t="shared" ref="AQ27" si="47">AQ23-AQ26</f>
        <v>730.5850071007153</v>
      </c>
    </row>
    <row r="28" spans="2:92" s="3" customFormat="1" x14ac:dyDescent="0.25">
      <c r="B28" s="3" t="s">
        <v>28</v>
      </c>
      <c r="C28" s="5"/>
      <c r="D28" s="5"/>
      <c r="E28" s="5"/>
      <c r="F28" s="5"/>
      <c r="G28" s="5"/>
      <c r="H28" s="5">
        <f>-0.745+0.866</f>
        <v>0.121</v>
      </c>
      <c r="I28" s="5">
        <f>-1.413+1.176</f>
        <v>-0.2370000000000001</v>
      </c>
      <c r="J28" s="5">
        <f>-1.405+0.196</f>
        <v>-1.2090000000000001</v>
      </c>
      <c r="K28" s="5"/>
      <c r="L28" s="5">
        <f>-0.824+1.893</f>
        <v>1.069</v>
      </c>
      <c r="M28" s="5">
        <f>-0.454+1.848</f>
        <v>1.3940000000000001</v>
      </c>
      <c r="N28" s="5">
        <f>-1.778+1.279</f>
        <v>-0.49900000000000011</v>
      </c>
      <c r="O28" s="5">
        <v>0</v>
      </c>
      <c r="P28" s="5">
        <v>-2.371</v>
      </c>
      <c r="Q28" s="5">
        <v>-0.59</v>
      </c>
      <c r="R28" s="5">
        <f>-5.019+9.589</f>
        <v>4.57</v>
      </c>
      <c r="S28" s="3">
        <f>-1.274+10.149</f>
        <v>8.875</v>
      </c>
      <c r="AE28" s="3">
        <f>-4.248+3.715</f>
        <v>-0.53300000000000036</v>
      </c>
      <c r="AF28" s="3">
        <f>SUM(K28:N28)</f>
        <v>1.964</v>
      </c>
    </row>
    <row r="29" spans="2:92" s="3" customFormat="1" x14ac:dyDescent="0.25">
      <c r="B29" s="3" t="s">
        <v>29</v>
      </c>
      <c r="C29" s="5"/>
      <c r="D29" s="5"/>
      <c r="E29" s="5"/>
      <c r="F29" s="5"/>
      <c r="G29" s="5">
        <f t="shared" ref="G29:R29" si="48">G27+G28</f>
        <v>0</v>
      </c>
      <c r="H29" s="5">
        <f t="shared" si="48"/>
        <v>-45.03799999999999</v>
      </c>
      <c r="I29" s="5">
        <f t="shared" si="48"/>
        <v>-39.096000000000004</v>
      </c>
      <c r="J29" s="5">
        <f t="shared" si="48"/>
        <v>-49.092000000000006</v>
      </c>
      <c r="K29" s="5">
        <f t="shared" si="48"/>
        <v>-43.079000000000008</v>
      </c>
      <c r="L29" s="5">
        <f t="shared" si="48"/>
        <v>-42.204999999999998</v>
      </c>
      <c r="M29" s="5">
        <f t="shared" si="48"/>
        <v>-50.505000000000003</v>
      </c>
      <c r="N29" s="5">
        <f t="shared" si="48"/>
        <v>-52.047999999999995</v>
      </c>
      <c r="O29" s="5">
        <f t="shared" si="48"/>
        <v>-59.188000000000002</v>
      </c>
      <c r="P29" s="5">
        <f t="shared" si="48"/>
        <v>-62.010000000000012</v>
      </c>
      <c r="Q29" s="5">
        <f t="shared" si="48"/>
        <v>-59.559000000000026</v>
      </c>
      <c r="R29" s="5">
        <f t="shared" si="48"/>
        <v>-46.472000000000016</v>
      </c>
      <c r="S29" s="5">
        <f t="shared" ref="S29:V29" si="49">S27+S28</f>
        <v>-47.09399999999998</v>
      </c>
      <c r="T29" s="5">
        <f t="shared" si="49"/>
        <v>80.918879999999987</v>
      </c>
      <c r="U29" s="5">
        <f t="shared" si="49"/>
        <v>69.475839999999991</v>
      </c>
      <c r="V29" s="5">
        <f t="shared" si="49"/>
        <v>80.484095999999994</v>
      </c>
      <c r="W29" s="5"/>
      <c r="X29" s="5"/>
      <c r="Y29" s="5"/>
      <c r="Z29" s="5"/>
      <c r="AA29" s="5"/>
      <c r="AC29" s="5">
        <f t="shared" ref="AC29:AD29" si="50">AC27+AC28</f>
        <v>210</v>
      </c>
      <c r="AD29" s="5">
        <f t="shared" si="50"/>
        <v>210</v>
      </c>
      <c r="AE29" s="5">
        <f t="shared" ref="AE29:AF29" si="51">AE27+AE28</f>
        <v>-178.45099999999999</v>
      </c>
      <c r="AF29" s="5">
        <f t="shared" si="51"/>
        <v>-187.83700000000005</v>
      </c>
      <c r="AG29" s="5">
        <f t="shared" ref="AG29" si="52">AG27+AG28</f>
        <v>-149.98731000000004</v>
      </c>
      <c r="AH29" s="5">
        <f t="shared" ref="AH29" si="53">AH27+AH28</f>
        <v>-89.970781999999986</v>
      </c>
      <c r="AI29" s="5">
        <f t="shared" ref="AI29" si="54">AI27+AI28</f>
        <v>-60.005998249999948</v>
      </c>
      <c r="AJ29" s="5">
        <f t="shared" ref="AJ29" si="55">AJ27+AJ28</f>
        <v>11.128566724000166</v>
      </c>
      <c r="AK29" s="5">
        <f t="shared" ref="AK29" si="56">AK27+AK28</f>
        <v>104.24426363395003</v>
      </c>
      <c r="AL29" s="5">
        <f t="shared" ref="AL29" si="57">AL27+AL28</f>
        <v>200.18545000374274</v>
      </c>
      <c r="AM29" s="5">
        <f t="shared" ref="AM29" si="58">AM27+AM28</f>
        <v>299.1026612494735</v>
      </c>
      <c r="AN29" s="5">
        <f t="shared" ref="AN29" si="59">AN27+AN28</f>
        <v>401.21686458086845</v>
      </c>
      <c r="AO29" s="5">
        <f t="shared" ref="AO29" si="60">AO27+AO28</f>
        <v>506.84458011780271</v>
      </c>
      <c r="AP29" s="5">
        <f t="shared" ref="AP29" si="61">AP27+AP28</f>
        <v>616.42989083297198</v>
      </c>
      <c r="AQ29" s="5">
        <f t="shared" ref="AQ29" si="62">AQ27+AQ28</f>
        <v>730.5850071007153</v>
      </c>
    </row>
    <row r="30" spans="2:92" s="3" customFormat="1" x14ac:dyDescent="0.25">
      <c r="B30" s="3" t="s">
        <v>30</v>
      </c>
      <c r="C30" s="5"/>
      <c r="D30" s="5"/>
      <c r="E30" s="5"/>
      <c r="F30" s="5"/>
      <c r="G30" s="5"/>
      <c r="H30" s="5">
        <v>0</v>
      </c>
      <c r="I30" s="5">
        <v>1.3520000000000001</v>
      </c>
      <c r="J30" s="5">
        <v>1.0109999999999999</v>
      </c>
      <c r="K30" s="5"/>
      <c r="L30" s="5">
        <v>0</v>
      </c>
      <c r="M30" s="5">
        <v>0.94399999999999995</v>
      </c>
      <c r="N30" s="5">
        <v>0.67500000000000004</v>
      </c>
      <c r="O30" s="5">
        <v>0</v>
      </c>
      <c r="P30" s="5">
        <v>0</v>
      </c>
      <c r="Q30" s="5">
        <v>0</v>
      </c>
      <c r="R30" s="5">
        <v>0</v>
      </c>
      <c r="S30" s="3">
        <v>-1.792</v>
      </c>
      <c r="AE30" s="3">
        <v>0.67500000000000004</v>
      </c>
      <c r="AF30" s="3">
        <f>SUM(K30:N30)</f>
        <v>1.619</v>
      </c>
      <c r="AH30" s="3">
        <f t="shared" ref="AH30:AQ30" si="63">AH29*0.1</f>
        <v>-8.9970781999999989</v>
      </c>
      <c r="AI30" s="3">
        <f t="shared" si="63"/>
        <v>-6.0005998249999948</v>
      </c>
      <c r="AJ30" s="3">
        <f t="shared" si="63"/>
        <v>1.1128566724000166</v>
      </c>
      <c r="AK30" s="3">
        <f t="shared" si="63"/>
        <v>10.424426363395003</v>
      </c>
      <c r="AL30" s="3">
        <f t="shared" si="63"/>
        <v>20.018545000374274</v>
      </c>
      <c r="AM30" s="3">
        <f t="shared" si="63"/>
        <v>29.910266124947352</v>
      </c>
      <c r="AN30" s="3">
        <f t="shared" si="63"/>
        <v>40.121686458086849</v>
      </c>
      <c r="AO30" s="3">
        <f t="shared" si="63"/>
        <v>50.684458011780272</v>
      </c>
      <c r="AP30" s="3">
        <f t="shared" si="63"/>
        <v>61.642989083297202</v>
      </c>
      <c r="AQ30" s="3">
        <f t="shared" si="63"/>
        <v>73.058500710071527</v>
      </c>
    </row>
    <row r="31" spans="2:92" x14ac:dyDescent="0.25">
      <c r="B31" s="1" t="s">
        <v>31</v>
      </c>
      <c r="G31" s="5">
        <f t="shared" ref="G31:R31" si="64">G29-G30</f>
        <v>0</v>
      </c>
      <c r="H31" s="5">
        <f t="shared" si="64"/>
        <v>-45.03799999999999</v>
      </c>
      <c r="I31" s="5">
        <f t="shared" si="64"/>
        <v>-40.448</v>
      </c>
      <c r="J31" s="5">
        <f t="shared" si="64"/>
        <v>-50.103000000000009</v>
      </c>
      <c r="K31" s="5">
        <f t="shared" si="64"/>
        <v>-43.079000000000008</v>
      </c>
      <c r="L31" s="5">
        <f t="shared" si="64"/>
        <v>-42.204999999999998</v>
      </c>
      <c r="M31" s="5">
        <f t="shared" si="64"/>
        <v>-51.449000000000005</v>
      </c>
      <c r="N31" s="5">
        <f t="shared" si="64"/>
        <v>-52.722999999999992</v>
      </c>
      <c r="O31" s="5">
        <f t="shared" si="64"/>
        <v>-59.188000000000002</v>
      </c>
      <c r="P31" s="5">
        <f t="shared" si="64"/>
        <v>-62.010000000000012</v>
      </c>
      <c r="Q31" s="5">
        <f t="shared" si="64"/>
        <v>-59.559000000000026</v>
      </c>
      <c r="R31" s="5">
        <f t="shared" si="64"/>
        <v>-46.472000000000016</v>
      </c>
      <c r="S31" s="5">
        <f t="shared" ref="S31:V31" si="65">S29-S30</f>
        <v>-45.301999999999978</v>
      </c>
      <c r="T31" s="5">
        <f t="shared" si="65"/>
        <v>80.918879999999987</v>
      </c>
      <c r="U31" s="5">
        <f t="shared" si="65"/>
        <v>69.475839999999991</v>
      </c>
      <c r="V31" s="5">
        <f t="shared" si="65"/>
        <v>80.484095999999994</v>
      </c>
      <c r="W31" s="5"/>
      <c r="X31" s="5"/>
      <c r="Y31" s="5"/>
      <c r="Z31" s="5"/>
      <c r="AA31" s="5"/>
      <c r="AC31" s="5">
        <f t="shared" ref="AC31:AD31" si="66">AC29-AC30</f>
        <v>210</v>
      </c>
      <c r="AD31" s="5">
        <f t="shared" si="66"/>
        <v>210</v>
      </c>
      <c r="AE31" s="5">
        <f t="shared" ref="AE31:AF31" si="67">AE29-AE30</f>
        <v>-179.126</v>
      </c>
      <c r="AF31" s="5">
        <f t="shared" si="67"/>
        <v>-189.45600000000005</v>
      </c>
      <c r="AG31" s="5">
        <f t="shared" ref="AG31" si="68">AG29-AG30</f>
        <v>-149.98731000000004</v>
      </c>
      <c r="AH31" s="5">
        <f t="shared" ref="AH31" si="69">AH29-AH30</f>
        <v>-80.973703799999981</v>
      </c>
      <c r="AI31" s="5">
        <f t="shared" ref="AI31" si="70">AI29-AI30</f>
        <v>-54.005398424999953</v>
      </c>
      <c r="AJ31" s="5">
        <f t="shared" ref="AJ31" si="71">AJ29-AJ30</f>
        <v>10.015710051600148</v>
      </c>
      <c r="AK31" s="5">
        <f t="shared" ref="AK31" si="72">AK29-AK30</f>
        <v>93.819837270555027</v>
      </c>
      <c r="AL31" s="5">
        <f t="shared" ref="AL31" si="73">AL29-AL30</f>
        <v>180.16690500336847</v>
      </c>
      <c r="AM31" s="5">
        <f t="shared" ref="AM31" si="74">AM29-AM30</f>
        <v>269.19239512452617</v>
      </c>
      <c r="AN31" s="5">
        <f t="shared" ref="AN31" si="75">AN29-AN30</f>
        <v>361.09517812278159</v>
      </c>
      <c r="AO31" s="5">
        <f t="shared" ref="AO31" si="76">AO29-AO30</f>
        <v>456.16012210602241</v>
      </c>
      <c r="AP31" s="5">
        <f t="shared" ref="AP31" si="77">AP29-AP30</f>
        <v>554.78690174967483</v>
      </c>
      <c r="AQ31" s="5">
        <f t="shared" ref="AQ31" si="78">AQ29-AQ30</f>
        <v>657.52650639064382</v>
      </c>
      <c r="AR31" s="3">
        <f>AQ31*(1+$AT$40)</f>
        <v>664.10177145455032</v>
      </c>
      <c r="AS31" s="3">
        <f t="shared" ref="AS31:CN31" si="79">AR31*(1+$AT$40)</f>
        <v>670.74278916909577</v>
      </c>
      <c r="AT31" s="3">
        <f t="shared" si="79"/>
        <v>677.45021706078671</v>
      </c>
      <c r="AU31" s="3">
        <f t="shared" si="79"/>
        <v>684.2247192313946</v>
      </c>
      <c r="AV31" s="3">
        <f t="shared" si="79"/>
        <v>691.06696642370855</v>
      </c>
      <c r="AW31" s="3">
        <f t="shared" si="79"/>
        <v>697.9776360879456</v>
      </c>
      <c r="AX31" s="3">
        <f t="shared" si="79"/>
        <v>704.95741244882504</v>
      </c>
      <c r="AY31" s="3">
        <f t="shared" si="79"/>
        <v>712.00698657331327</v>
      </c>
      <c r="AZ31" s="3">
        <f t="shared" si="79"/>
        <v>719.12705643904644</v>
      </c>
      <c r="BA31" s="3">
        <f t="shared" si="79"/>
        <v>726.31832700343693</v>
      </c>
      <c r="BB31" s="3">
        <f t="shared" si="79"/>
        <v>733.58151027347128</v>
      </c>
      <c r="BC31" s="3">
        <f t="shared" si="79"/>
        <v>740.91732537620601</v>
      </c>
      <c r="BD31" s="3">
        <f t="shared" si="79"/>
        <v>748.32649862996811</v>
      </c>
      <c r="BE31" s="3">
        <f t="shared" si="79"/>
        <v>755.80976361626779</v>
      </c>
      <c r="BF31" s="3">
        <f t="shared" si="79"/>
        <v>763.36786125243043</v>
      </c>
      <c r="BG31" s="3">
        <f t="shared" si="79"/>
        <v>771.00153986495479</v>
      </c>
      <c r="BH31" s="3">
        <f t="shared" si="79"/>
        <v>778.7115552636044</v>
      </c>
      <c r="BI31" s="3">
        <f t="shared" si="79"/>
        <v>786.49867081624041</v>
      </c>
      <c r="BJ31" s="3">
        <f t="shared" si="79"/>
        <v>794.36365752440281</v>
      </c>
      <c r="BK31" s="3">
        <f t="shared" si="79"/>
        <v>802.30729409964681</v>
      </c>
      <c r="BL31" s="3">
        <f t="shared" si="79"/>
        <v>810.3303670406433</v>
      </c>
      <c r="BM31" s="3">
        <f t="shared" si="79"/>
        <v>818.43367071104979</v>
      </c>
      <c r="BN31" s="3">
        <f t="shared" si="79"/>
        <v>826.61800741816035</v>
      </c>
      <c r="BO31" s="3">
        <f t="shared" si="79"/>
        <v>834.88418749234199</v>
      </c>
      <c r="BP31" s="3">
        <f t="shared" si="79"/>
        <v>843.23302936726543</v>
      </c>
      <c r="BQ31" s="3">
        <f t="shared" si="79"/>
        <v>851.66535966093807</v>
      </c>
      <c r="BR31" s="3">
        <f t="shared" si="79"/>
        <v>860.18201325754751</v>
      </c>
      <c r="BS31" s="3">
        <f t="shared" si="79"/>
        <v>868.78383339012294</v>
      </c>
      <c r="BT31" s="3">
        <f t="shared" si="79"/>
        <v>877.47167172402419</v>
      </c>
      <c r="BU31" s="3">
        <f t="shared" si="79"/>
        <v>886.24638844126446</v>
      </c>
      <c r="BV31" s="3">
        <f t="shared" si="79"/>
        <v>895.10885232567716</v>
      </c>
      <c r="BW31" s="3">
        <f t="shared" si="79"/>
        <v>904.05994084893393</v>
      </c>
      <c r="BX31" s="3">
        <f t="shared" si="79"/>
        <v>913.10054025742329</v>
      </c>
      <c r="BY31" s="3">
        <f t="shared" si="79"/>
        <v>922.23154565999755</v>
      </c>
      <c r="BZ31" s="3">
        <f t="shared" si="79"/>
        <v>931.45386111659752</v>
      </c>
      <c r="CA31" s="3">
        <f t="shared" si="79"/>
        <v>940.76839972776349</v>
      </c>
      <c r="CB31" s="3">
        <f t="shared" si="79"/>
        <v>950.17608372504117</v>
      </c>
      <c r="CC31" s="3">
        <f t="shared" si="79"/>
        <v>959.67784456229163</v>
      </c>
      <c r="CD31" s="3">
        <f t="shared" si="79"/>
        <v>969.27462300791456</v>
      </c>
      <c r="CE31" s="3">
        <f t="shared" si="79"/>
        <v>978.96736923799369</v>
      </c>
      <c r="CF31" s="3">
        <f t="shared" si="79"/>
        <v>988.75704293037359</v>
      </c>
      <c r="CG31" s="3">
        <f t="shared" si="79"/>
        <v>998.64461335967735</v>
      </c>
      <c r="CH31" s="3">
        <f t="shared" si="79"/>
        <v>1008.6310594932742</v>
      </c>
      <c r="CI31" s="3">
        <f t="shared" si="79"/>
        <v>1018.717370088207</v>
      </c>
      <c r="CJ31" s="3">
        <f t="shared" si="79"/>
        <v>1028.9045437890891</v>
      </c>
      <c r="CK31" s="3">
        <f t="shared" si="79"/>
        <v>1039.1935892269801</v>
      </c>
      <c r="CL31" s="3">
        <f t="shared" si="79"/>
        <v>1049.58552511925</v>
      </c>
      <c r="CM31" s="3">
        <f t="shared" si="79"/>
        <v>1060.0813803704425</v>
      </c>
      <c r="CN31" s="3">
        <f t="shared" si="79"/>
        <v>1070.6821941741468</v>
      </c>
    </row>
    <row r="32" spans="2:92" x14ac:dyDescent="0.25">
      <c r="B32" s="1" t="s">
        <v>32</v>
      </c>
      <c r="G32" s="8">
        <f t="shared" ref="G32:R32" si="80">G31/G33</f>
        <v>0</v>
      </c>
      <c r="H32" s="8">
        <f t="shared" si="80"/>
        <v>-9.38808288956378E-2</v>
      </c>
      <c r="I32" s="8">
        <f t="shared" si="80"/>
        <v>-8.3564365451455999E-2</v>
      </c>
      <c r="J32" s="8">
        <f t="shared" si="80"/>
        <v>-0.10288946972574847</v>
      </c>
      <c r="K32" s="8">
        <f t="shared" si="80"/>
        <v>-8.7917275857768512E-2</v>
      </c>
      <c r="L32" s="8">
        <f t="shared" si="80"/>
        <v>-8.5402253253211713E-2</v>
      </c>
      <c r="M32" s="8">
        <f t="shared" si="80"/>
        <v>-0.10337316197514008</v>
      </c>
      <c r="N32" s="8">
        <f t="shared" si="80"/>
        <v>-0.10507845720286654</v>
      </c>
      <c r="O32" s="8">
        <f t="shared" si="80"/>
        <v>-0.11628290766208252</v>
      </c>
      <c r="P32" s="8">
        <f t="shared" si="80"/>
        <v>-0.12038751594001283</v>
      </c>
      <c r="Q32" s="8">
        <f t="shared" si="80"/>
        <v>-0.11264625203399314</v>
      </c>
      <c r="R32" s="8">
        <f t="shared" si="80"/>
        <v>-8.1171190447627883E-2</v>
      </c>
      <c r="S32" s="8">
        <f t="shared" ref="S32:V32" si="81">S31/S33</f>
        <v>-7.4825582907427968E-2</v>
      </c>
      <c r="T32" s="8" t="e">
        <f t="shared" si="81"/>
        <v>#DIV/0!</v>
      </c>
      <c r="U32" s="8" t="e">
        <f t="shared" si="81"/>
        <v>#DIV/0!</v>
      </c>
      <c r="V32" s="8" t="e">
        <f t="shared" si="81"/>
        <v>#DIV/0!</v>
      </c>
      <c r="W32" s="8"/>
      <c r="X32" s="8"/>
      <c r="Y32" s="8"/>
      <c r="Z32" s="8"/>
      <c r="AA32" s="8"/>
      <c r="AC32" s="2" t="e">
        <f t="shared" ref="AC32:AE32" si="82">AC31/AC33</f>
        <v>#DIV/0!</v>
      </c>
      <c r="AD32" s="2" t="e">
        <f t="shared" si="82"/>
        <v>#DIV/0!</v>
      </c>
      <c r="AE32" s="2">
        <f t="shared" si="82"/>
        <v>-0.37183724227469539</v>
      </c>
      <c r="AF32" s="2">
        <f>AF31/AF33</f>
        <v>-0.38203782796889313</v>
      </c>
      <c r="AG32" s="2">
        <f t="shared" ref="AG32:AQ32" si="83">AG31/AG33</f>
        <v>-0.30244925542235157</v>
      </c>
      <c r="AH32" s="2">
        <f t="shared" si="83"/>
        <v>-0.16328338992878816</v>
      </c>
      <c r="AI32" s="2">
        <f t="shared" si="83"/>
        <v>-0.10890183004434623</v>
      </c>
      <c r="AJ32" s="2">
        <f t="shared" si="83"/>
        <v>2.0196668955744502E-2</v>
      </c>
      <c r="AK32" s="2">
        <f t="shared" si="83"/>
        <v>0.18918760478020141</v>
      </c>
      <c r="AL32" s="2">
        <f t="shared" si="83"/>
        <v>0.36330637751966038</v>
      </c>
      <c r="AM32" s="2">
        <f t="shared" si="83"/>
        <v>0.54282618623383794</v>
      </c>
      <c r="AN32" s="2">
        <f t="shared" si="83"/>
        <v>0.72814805305753327</v>
      </c>
      <c r="AO32" s="2">
        <f t="shared" si="83"/>
        <v>0.91984641423554714</v>
      </c>
      <c r="AP32" s="2">
        <f t="shared" si="83"/>
        <v>1.1187272133373312</v>
      </c>
      <c r="AQ32" s="2">
        <f t="shared" si="83"/>
        <v>1.3259015197906427</v>
      </c>
    </row>
    <row r="33" spans="2:46" s="3" customFormat="1" x14ac:dyDescent="0.25">
      <c r="B33" s="3" t="s">
        <v>1</v>
      </c>
      <c r="C33" s="5"/>
      <c r="D33" s="5"/>
      <c r="E33" s="5"/>
      <c r="F33" s="5"/>
      <c r="G33" s="5">
        <v>476.19970999999998</v>
      </c>
      <c r="H33" s="5">
        <v>479.73585800000001</v>
      </c>
      <c r="I33" s="5">
        <v>484.03407099999998</v>
      </c>
      <c r="J33" s="5">
        <v>486.95945399999999</v>
      </c>
      <c r="K33" s="5">
        <v>489.994709</v>
      </c>
      <c r="L33" s="5">
        <v>494.19070799999997</v>
      </c>
      <c r="M33" s="5">
        <v>497.70171499999998</v>
      </c>
      <c r="N33" s="5">
        <v>501.748897</v>
      </c>
      <c r="O33" s="5">
        <f>458+51</f>
        <v>509</v>
      </c>
      <c r="P33" s="5">
        <v>515.08663100000001</v>
      </c>
      <c r="Q33" s="5">
        <v>528.72598000000005</v>
      </c>
      <c r="R33" s="5">
        <v>572.51839900000004</v>
      </c>
      <c r="S33" s="3">
        <v>605.43464200000005</v>
      </c>
      <c r="AE33" s="3">
        <f>AVERAGE(G33:J33)</f>
        <v>481.73227324999999</v>
      </c>
      <c r="AF33" s="3">
        <f>AVERAGE(K33:N33)</f>
        <v>495.90900724999995</v>
      </c>
      <c r="AG33" s="3">
        <f>AF33</f>
        <v>495.90900724999995</v>
      </c>
      <c r="AH33" s="3">
        <f t="shared" ref="AH33:AQ33" si="84">AG33</f>
        <v>495.90900724999995</v>
      </c>
      <c r="AI33" s="3">
        <f t="shared" si="84"/>
        <v>495.90900724999995</v>
      </c>
      <c r="AJ33" s="3">
        <f t="shared" si="84"/>
        <v>495.90900724999995</v>
      </c>
      <c r="AK33" s="3">
        <f t="shared" si="84"/>
        <v>495.90900724999995</v>
      </c>
      <c r="AL33" s="3">
        <f t="shared" si="84"/>
        <v>495.90900724999995</v>
      </c>
      <c r="AM33" s="3">
        <f t="shared" si="84"/>
        <v>495.90900724999995</v>
      </c>
      <c r="AN33" s="3">
        <f t="shared" si="84"/>
        <v>495.90900724999995</v>
      </c>
      <c r="AO33" s="3">
        <f t="shared" si="84"/>
        <v>495.90900724999995</v>
      </c>
      <c r="AP33" s="3">
        <f t="shared" si="84"/>
        <v>495.90900724999995</v>
      </c>
      <c r="AQ33" s="3">
        <f t="shared" si="84"/>
        <v>495.90900724999995</v>
      </c>
    </row>
    <row r="35" spans="2:46" s="10" customFormat="1" ht="13" x14ac:dyDescent="0.3">
      <c r="B35" s="10" t="s">
        <v>33</v>
      </c>
      <c r="C35" s="11"/>
      <c r="D35" s="11"/>
      <c r="E35" s="11"/>
      <c r="F35" s="11"/>
      <c r="G35" s="11"/>
      <c r="H35" s="11"/>
      <c r="I35" s="11"/>
      <c r="J35" s="11"/>
      <c r="K35" s="12">
        <f t="shared" ref="K35:R35" si="85">K21/G21-1</f>
        <v>0.68989889789598302</v>
      </c>
      <c r="L35" s="12">
        <f t="shared" si="85"/>
        <v>0.71248287533241994</v>
      </c>
      <c r="M35" s="12">
        <f t="shared" si="85"/>
        <v>0.54901642009429352</v>
      </c>
      <c r="N35" s="12">
        <f t="shared" si="85"/>
        <v>1.2067976863196148</v>
      </c>
      <c r="O35" s="12">
        <f t="shared" si="85"/>
        <v>0.32125648129183881</v>
      </c>
      <c r="P35" s="12">
        <f t="shared" si="85"/>
        <v>0.35996837676821847</v>
      </c>
      <c r="Q35" s="12">
        <f t="shared" si="85"/>
        <v>0.47965804137088774</v>
      </c>
      <c r="R35" s="12">
        <f t="shared" si="85"/>
        <v>0.35701120947517895</v>
      </c>
      <c r="S35" s="12">
        <f t="shared" ref="S35:V35" si="86">S21/O21-1</f>
        <v>0.63457317918886513</v>
      </c>
      <c r="T35" s="12">
        <f t="shared" si="86"/>
        <v>0.60000000000000009</v>
      </c>
      <c r="U35" s="12">
        <f t="shared" si="86"/>
        <v>0.39999999999999991</v>
      </c>
      <c r="V35" s="12">
        <f t="shared" si="86"/>
        <v>0.39999999999999991</v>
      </c>
      <c r="W35" s="12"/>
      <c r="X35" s="12"/>
      <c r="Y35" s="12"/>
      <c r="Z35" s="12"/>
      <c r="AA35" s="12"/>
      <c r="AF35" s="14">
        <f t="shared" ref="AF35:AQ35" si="87">AF21/AE21-1</f>
        <v>0.78343527179956829</v>
      </c>
      <c r="AG35" s="14">
        <f t="shared" si="87"/>
        <v>0.37959579472460758</v>
      </c>
      <c r="AH35" s="14">
        <f t="shared" si="87"/>
        <v>0.49579776636385242</v>
      </c>
      <c r="AI35" s="14">
        <f t="shared" si="87"/>
        <v>0.29630374653843017</v>
      </c>
      <c r="AJ35" s="14">
        <f t="shared" si="87"/>
        <v>0.35810365194296168</v>
      </c>
      <c r="AK35" s="14">
        <f t="shared" si="87"/>
        <v>0.32485928346685866</v>
      </c>
      <c r="AL35" s="14">
        <f t="shared" si="87"/>
        <v>0.26590239415854433</v>
      </c>
      <c r="AM35" s="14">
        <f t="shared" si="87"/>
        <v>0.22854244436557658</v>
      </c>
      <c r="AN35" s="14">
        <f t="shared" si="87"/>
        <v>0.20312859171742925</v>
      </c>
      <c r="AO35" s="14">
        <f t="shared" si="87"/>
        <v>0.18505401120008091</v>
      </c>
      <c r="AP35" s="14">
        <f t="shared" si="87"/>
        <v>0.17184317845574482</v>
      </c>
      <c r="AQ35" s="14">
        <f t="shared" si="87"/>
        <v>0.16204798492606765</v>
      </c>
    </row>
    <row r="36" spans="2:46" x14ac:dyDescent="0.25">
      <c r="B36" s="1" t="s">
        <v>21</v>
      </c>
      <c r="G36" s="9">
        <f>G23/G21</f>
        <v>0</v>
      </c>
      <c r="H36" s="9">
        <f>H23/H21</f>
        <v>0.23520025787734714</v>
      </c>
      <c r="I36" s="9">
        <f>I23/I21</f>
        <v>0.22120571673489897</v>
      </c>
      <c r="J36" s="9">
        <f t="shared" ref="J36:R36" si="88">J23/J21</f>
        <v>0.25823873581037149</v>
      </c>
      <c r="K36" s="9">
        <f t="shared" si="88"/>
        <v>0.26058835577306577</v>
      </c>
      <c r="L36" s="9">
        <f t="shared" si="88"/>
        <v>0.25563994691814668</v>
      </c>
      <c r="M36" s="9">
        <f t="shared" si="88"/>
        <v>0.26711701396839932</v>
      </c>
      <c r="N36" s="9">
        <f t="shared" si="88"/>
        <v>0.27809922349457661</v>
      </c>
      <c r="O36" s="9">
        <f t="shared" si="88"/>
        <v>0.28756863480978062</v>
      </c>
      <c r="P36" s="9">
        <f t="shared" si="88"/>
        <v>0.32102866475660558</v>
      </c>
      <c r="Q36" s="9">
        <f t="shared" si="88"/>
        <v>0.3695769925199896</v>
      </c>
      <c r="R36" s="9">
        <f t="shared" si="88"/>
        <v>0.37980094850043411</v>
      </c>
      <c r="S36" s="9">
        <f t="shared" ref="S36:AQ36" si="89">S23/S21</f>
        <v>0.38180066683969893</v>
      </c>
      <c r="T36" s="9">
        <f t="shared" si="89"/>
        <v>0.35</v>
      </c>
      <c r="U36" s="9">
        <f t="shared" si="89"/>
        <v>0.32</v>
      </c>
      <c r="V36" s="9">
        <f t="shared" si="89"/>
        <v>0.32</v>
      </c>
      <c r="W36" s="9"/>
      <c r="X36" s="9"/>
      <c r="Y36" s="9"/>
      <c r="Z36" s="9"/>
      <c r="AA36" s="9"/>
      <c r="AC36" s="9">
        <f t="shared" ref="AC36:AD36" si="90">AC23/AC21</f>
        <v>1</v>
      </c>
      <c r="AD36" s="9">
        <f t="shared" si="90"/>
        <v>1</v>
      </c>
      <c r="AE36" s="9">
        <f t="shared" ref="AE36" si="91">AE23/AE21</f>
        <v>0.21018267155099102</v>
      </c>
      <c r="AF36" s="9">
        <f t="shared" si="89"/>
        <v>0.26626609874969615</v>
      </c>
      <c r="AG36" s="9">
        <f t="shared" si="89"/>
        <v>0.31</v>
      </c>
      <c r="AH36" s="9">
        <f t="shared" si="89"/>
        <v>0.33</v>
      </c>
      <c r="AI36" s="9">
        <f t="shared" si="89"/>
        <v>0.33</v>
      </c>
      <c r="AJ36" s="9">
        <f t="shared" si="89"/>
        <v>0.33</v>
      </c>
      <c r="AK36" s="9">
        <f t="shared" si="89"/>
        <v>0.33</v>
      </c>
      <c r="AL36" s="9">
        <f t="shared" si="89"/>
        <v>0.33</v>
      </c>
      <c r="AM36" s="9">
        <f t="shared" si="89"/>
        <v>0.33</v>
      </c>
      <c r="AN36" s="9">
        <f t="shared" si="89"/>
        <v>0.33</v>
      </c>
      <c r="AO36" s="9">
        <f t="shared" si="89"/>
        <v>0.33</v>
      </c>
      <c r="AP36" s="9">
        <f t="shared" si="89"/>
        <v>0.33</v>
      </c>
      <c r="AQ36" s="9">
        <f t="shared" si="89"/>
        <v>0.33</v>
      </c>
    </row>
    <row r="39" spans="2:46" x14ac:dyDescent="0.25">
      <c r="B39" s="15" t="s">
        <v>77</v>
      </c>
      <c r="N39" s="5">
        <f>+N40-N56</f>
        <v>82.449999999999989</v>
      </c>
      <c r="AS39" s="3" t="s">
        <v>45</v>
      </c>
      <c r="AT39" s="13">
        <v>0.1</v>
      </c>
    </row>
    <row r="40" spans="2:46" s="3" customFormat="1" x14ac:dyDescent="0.25">
      <c r="B40" s="16" t="s">
        <v>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f>271.042+147.948+60.686+4.26</f>
        <v>483.93599999999998</v>
      </c>
      <c r="O40" s="5"/>
      <c r="P40" s="5"/>
      <c r="Q40" s="5"/>
      <c r="R40" s="5"/>
      <c r="AP40" s="13"/>
      <c r="AQ40" s="13"/>
      <c r="AS40" s="3" t="s">
        <v>46</v>
      </c>
      <c r="AT40" s="13">
        <v>0.01</v>
      </c>
    </row>
    <row r="41" spans="2:46" s="3" customFormat="1" x14ac:dyDescent="0.25">
      <c r="B41" s="16" t="s">
        <v>68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36.44</v>
      </c>
      <c r="O41" s="5"/>
      <c r="P41" s="5"/>
      <c r="Q41" s="5"/>
      <c r="R41" s="5"/>
      <c r="AQ41" s="13"/>
      <c r="AS41" s="3" t="s">
        <v>47</v>
      </c>
      <c r="AT41" s="3">
        <f>NPV(AT39,AG31:CN31)</f>
        <v>3414.1497057639426</v>
      </c>
    </row>
    <row r="42" spans="2:46" s="3" customFormat="1" x14ac:dyDescent="0.25">
      <c r="B42" s="16" t="s">
        <v>69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63.107999999999997</v>
      </c>
      <c r="O42" s="5"/>
      <c r="P42" s="5"/>
      <c r="Q42" s="5"/>
      <c r="R42" s="5"/>
      <c r="AQ42" s="13"/>
      <c r="AS42" s="3" t="s">
        <v>48</v>
      </c>
      <c r="AT42" s="2">
        <f>AT41/Main!L3</f>
        <v>5.899168666240973</v>
      </c>
    </row>
    <row r="43" spans="2:46" s="3" customFormat="1" x14ac:dyDescent="0.25">
      <c r="B43" s="16" t="s">
        <v>70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119.074</v>
      </c>
      <c r="O43" s="5"/>
      <c r="P43" s="5"/>
      <c r="Q43" s="5"/>
      <c r="R43" s="5"/>
    </row>
    <row r="44" spans="2:46" s="3" customFormat="1" x14ac:dyDescent="0.25">
      <c r="B44" s="16" t="s">
        <v>71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55.009</v>
      </c>
      <c r="O44" s="5"/>
      <c r="P44" s="5"/>
      <c r="Q44" s="5"/>
      <c r="R44" s="5"/>
    </row>
    <row r="45" spans="2:46" s="6" customFormat="1" ht="13" x14ac:dyDescent="0.3">
      <c r="B45" s="6" t="s">
        <v>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v>194.83799999999999</v>
      </c>
      <c r="O45" s="7"/>
      <c r="P45" s="7"/>
      <c r="Q45" s="7"/>
      <c r="R45" s="7"/>
    </row>
    <row r="46" spans="2:46" s="3" customFormat="1" x14ac:dyDescent="0.25">
      <c r="B46" s="16" t="s">
        <v>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f>58.637+71.02</f>
        <v>129.65699999999998</v>
      </c>
      <c r="O46" s="5"/>
      <c r="P46" s="5"/>
      <c r="Q46" s="5"/>
      <c r="R46" s="5"/>
    </row>
    <row r="47" spans="2:46" s="3" customFormat="1" x14ac:dyDescent="0.25">
      <c r="B47" s="16" t="s">
        <v>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f>53.664+14.396</f>
        <v>68.06</v>
      </c>
      <c r="O47" s="5"/>
      <c r="P47" s="5"/>
      <c r="Q47" s="5"/>
      <c r="R47" s="5"/>
    </row>
    <row r="48" spans="2:46" s="3" customFormat="1" x14ac:dyDescent="0.25">
      <c r="B48" s="16" t="s">
        <v>74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3.01</v>
      </c>
      <c r="O48" s="5"/>
      <c r="P48" s="5"/>
      <c r="Q48" s="5"/>
      <c r="R48" s="5"/>
    </row>
    <row r="49" spans="2:18" s="3" customFormat="1" x14ac:dyDescent="0.25">
      <c r="B49" s="16" t="s">
        <v>75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31.21</v>
      </c>
      <c r="O49" s="5"/>
      <c r="P49" s="5"/>
      <c r="Q49" s="5"/>
      <c r="R49" s="5"/>
    </row>
    <row r="50" spans="2:18" s="3" customFormat="1" x14ac:dyDescent="0.25">
      <c r="B50" s="16" t="s">
        <v>76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f>SUM(N40:N49)</f>
        <v>1184.3419999999999</v>
      </c>
      <c r="O50" s="5"/>
      <c r="P50" s="5"/>
      <c r="Q50" s="5"/>
      <c r="R50" s="5"/>
    </row>
    <row r="52" spans="2:18" s="3" customFormat="1" x14ac:dyDescent="0.25">
      <c r="B52" s="16" t="s">
        <v>78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53.058999999999997</v>
      </c>
      <c r="O52" s="5"/>
      <c r="P52" s="5"/>
      <c r="Q52" s="5"/>
      <c r="R52" s="5"/>
    </row>
    <row r="53" spans="2:18" s="3" customFormat="1" x14ac:dyDescent="0.25">
      <c r="B53" s="16" t="s">
        <v>79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19.46</v>
      </c>
      <c r="O53" s="5"/>
      <c r="P53" s="5"/>
      <c r="Q53" s="5"/>
      <c r="R53" s="5"/>
    </row>
    <row r="54" spans="2:18" s="3" customFormat="1" x14ac:dyDescent="0.25">
      <c r="B54" s="16" t="s">
        <v>80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20.847000000000001</v>
      </c>
      <c r="O54" s="5"/>
      <c r="P54" s="5"/>
      <c r="Q54" s="5"/>
      <c r="R54" s="5"/>
    </row>
    <row r="55" spans="2:18" s="3" customFormat="1" x14ac:dyDescent="0.25">
      <c r="B55" s="16" t="s">
        <v>69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216.16</v>
      </c>
      <c r="O55" s="5"/>
      <c r="P55" s="5"/>
      <c r="Q55" s="5"/>
      <c r="R55" s="5"/>
    </row>
    <row r="56" spans="2:18" s="3" customFormat="1" x14ac:dyDescent="0.25">
      <c r="B56" s="16" t="s">
        <v>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f>12.045+345.392+44.049</f>
        <v>401.48599999999999</v>
      </c>
      <c r="O56" s="5"/>
      <c r="P56" s="5"/>
      <c r="Q56" s="5"/>
      <c r="R56" s="5"/>
    </row>
    <row r="57" spans="2:18" s="3" customFormat="1" x14ac:dyDescent="0.25">
      <c r="B57" s="16" t="s">
        <v>81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17.954000000000001</v>
      </c>
      <c r="O57" s="5"/>
      <c r="P57" s="5"/>
      <c r="Q57" s="5"/>
      <c r="R57" s="5"/>
    </row>
    <row r="58" spans="2:18" s="3" customFormat="1" x14ac:dyDescent="0.25">
      <c r="B58" s="16" t="s">
        <v>82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f>51.965+14.97</f>
        <v>66.935000000000002</v>
      </c>
      <c r="O58" s="5"/>
      <c r="P58" s="5"/>
      <c r="Q58" s="5"/>
      <c r="R58" s="5"/>
    </row>
    <row r="59" spans="2:18" s="3" customFormat="1" x14ac:dyDescent="0.25">
      <c r="B59" s="16" t="s">
        <v>83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0.89100000000000001</v>
      </c>
      <c r="O59" s="5"/>
      <c r="P59" s="5"/>
      <c r="Q59" s="5"/>
      <c r="R59" s="5"/>
    </row>
    <row r="60" spans="2:18" s="3" customFormat="1" x14ac:dyDescent="0.25">
      <c r="B60" s="16" t="s">
        <v>84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5.0970000000000004</v>
      </c>
      <c r="O60" s="5"/>
      <c r="P60" s="5"/>
      <c r="Q60" s="5"/>
      <c r="R60" s="5"/>
    </row>
    <row r="61" spans="2:18" s="3" customFormat="1" x14ac:dyDescent="0.25">
      <c r="B61" s="16" t="s">
        <v>85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382.45299999999997</v>
      </c>
      <c r="O61" s="5"/>
      <c r="P61" s="5"/>
      <c r="Q61" s="5"/>
      <c r="R61" s="5"/>
    </row>
    <row r="62" spans="2:18" s="3" customFormat="1" x14ac:dyDescent="0.25">
      <c r="B62" s="16" t="s">
        <v>86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f>SUM(N52:N61)</f>
        <v>1184.3419999999996</v>
      </c>
      <c r="O62" s="5"/>
      <c r="P62" s="5"/>
      <c r="Q62" s="5"/>
      <c r="R62" s="5"/>
    </row>
    <row r="65" spans="2:32" s="3" customFormat="1" x14ac:dyDescent="0.25">
      <c r="B65" s="16" t="s">
        <v>87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AC65" s="3">
        <v>-98.867000000000004</v>
      </c>
      <c r="AD65" s="3">
        <v>-98.867000000000004</v>
      </c>
      <c r="AE65" s="3">
        <v>-98.867000000000004</v>
      </c>
      <c r="AF65" s="3">
        <v>-48.89</v>
      </c>
    </row>
    <row r="66" spans="2:32" s="3" customFormat="1" x14ac:dyDescent="0.25">
      <c r="B66" s="16" t="s">
        <v>89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AC66" s="3">
        <v>-54.707000000000001</v>
      </c>
      <c r="AD66" s="3">
        <v>-54.707000000000001</v>
      </c>
      <c r="AE66" s="3">
        <v>-54.707000000000001</v>
      </c>
      <c r="AF66" s="3">
        <v>-67.093000000000004</v>
      </c>
    </row>
    <row r="67" spans="2:32" s="3" customFormat="1" x14ac:dyDescent="0.25">
      <c r="B67" s="16" t="s">
        <v>88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AC67" s="3">
        <f>+AC65+AC66</f>
        <v>-153.57400000000001</v>
      </c>
      <c r="AD67" s="3">
        <f>+AD65+AD66</f>
        <v>-153.57400000000001</v>
      </c>
      <c r="AE67" s="3">
        <f>+AE65+AE66</f>
        <v>-153.57400000000001</v>
      </c>
      <c r="AF67" s="3">
        <f>+AF65+AF66</f>
        <v>-115.983</v>
      </c>
    </row>
  </sheetData>
  <hyperlinks>
    <hyperlink ref="A1" location="Main!A1" display="Main" xr:uid="{959F42D5-9E5C-4A53-8BBC-36B0EE49866A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2024-11-27T19:58:22Z</dcterms:created>
  <dcterms:modified xsi:type="dcterms:W3CDTF">2026-06-29T16:02:12Z</dcterms:modified>
</cp:coreProperties>
</file>