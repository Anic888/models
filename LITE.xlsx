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A6785A7-AD0E-4240-9A30-EE3D47BCB6EA}" xr6:coauthVersionLast="47" xr6:coauthVersionMax="47" xr10:uidLastSave="{00000000-0000-0000-0000-000000000000}"/>
  <bookViews>
    <workbookView xWindow="9320" yWindow="4780" windowWidth="21060" windowHeight="15500" activeTab="1" xr2:uid="{BA3094E2-7313-4B8B-92CD-4B005CE11B1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1" i="2" l="1"/>
  <c r="T21" i="2"/>
  <c r="S19" i="2"/>
  <c r="S17" i="2" s="1"/>
  <c r="T19" i="2"/>
  <c r="T17" i="2"/>
  <c r="U17" i="2"/>
  <c r="U19" i="2"/>
  <c r="U14" i="2"/>
  <c r="T14" i="2"/>
  <c r="S14" i="2"/>
  <c r="U11" i="2"/>
  <c r="U12" i="2" s="1"/>
  <c r="T11" i="2"/>
  <c r="T12" i="2" s="1"/>
  <c r="S11" i="2"/>
  <c r="S12" i="2" s="1"/>
  <c r="U10" i="2"/>
  <c r="T10" i="2"/>
  <c r="S10" i="2"/>
  <c r="U9" i="2"/>
  <c r="T9" i="2"/>
  <c r="S9" i="2"/>
  <c r="U6" i="2"/>
  <c r="T6" i="2"/>
  <c r="S6" i="2"/>
  <c r="P6" i="2"/>
  <c r="O6" i="2"/>
  <c r="O21" i="2"/>
  <c r="L10" i="2"/>
  <c r="M10" i="2" s="1"/>
  <c r="N10" i="2" s="1"/>
  <c r="O10" i="2" s="1"/>
  <c r="P10" i="2" s="1"/>
  <c r="L9" i="2"/>
  <c r="L11" i="2" s="1"/>
  <c r="N8" i="2"/>
  <c r="N7" i="2" s="1"/>
  <c r="M8" i="2"/>
  <c r="M7" i="2" s="1"/>
  <c r="L8" i="2"/>
  <c r="L7" i="2" s="1"/>
  <c r="U7" i="2" s="1"/>
  <c r="L19" i="2"/>
  <c r="M19" i="2" s="1"/>
  <c r="N19" i="2" s="1"/>
  <c r="O19" i="2" s="1"/>
  <c r="P19" i="2" s="1"/>
  <c r="N22" i="2"/>
  <c r="M22" i="2"/>
  <c r="F22" i="2"/>
  <c r="D22" i="2"/>
  <c r="T7" i="2"/>
  <c r="S7" i="2"/>
  <c r="T8" i="2"/>
  <c r="N21" i="2"/>
  <c r="M21" i="2"/>
  <c r="L21" i="2"/>
  <c r="I6" i="1"/>
  <c r="I5" i="1"/>
  <c r="I4" i="1"/>
  <c r="I7" i="1" s="1"/>
  <c r="H21" i="2"/>
  <c r="G21" i="2"/>
  <c r="I21" i="2"/>
  <c r="J21" i="2"/>
  <c r="F11" i="2"/>
  <c r="E11" i="2"/>
  <c r="D11" i="2"/>
  <c r="C11" i="2"/>
  <c r="F8" i="2"/>
  <c r="E8" i="2"/>
  <c r="E22" i="2" s="1"/>
  <c r="D8" i="2"/>
  <c r="C8" i="2"/>
  <c r="C22" i="2" s="1"/>
  <c r="K21" i="2"/>
  <c r="J11" i="2"/>
  <c r="I11" i="2"/>
  <c r="H11" i="2"/>
  <c r="G11" i="2"/>
  <c r="K11" i="2"/>
  <c r="J8" i="2"/>
  <c r="J22" i="2" s="1"/>
  <c r="I8" i="2"/>
  <c r="I22" i="2" s="1"/>
  <c r="H8" i="2"/>
  <c r="H22" i="2" s="1"/>
  <c r="G8" i="2"/>
  <c r="G22" i="2" s="1"/>
  <c r="K8" i="2"/>
  <c r="K12" i="2" s="1"/>
  <c r="K14" i="2" s="1"/>
  <c r="K16" i="2" s="1"/>
  <c r="K17" i="2" s="1"/>
  <c r="U15" i="2" l="1"/>
  <c r="U16" i="2" s="1"/>
  <c r="T15" i="2"/>
  <c r="T16" i="2" s="1"/>
  <c r="S15" i="2"/>
  <c r="S16" i="2" s="1"/>
  <c r="L22" i="2"/>
  <c r="O8" i="2"/>
  <c r="O22" i="2" s="1"/>
  <c r="O7" i="2"/>
  <c r="S8" i="2"/>
  <c r="U8" i="2"/>
  <c r="L12" i="2"/>
  <c r="L14" i="2" s="1"/>
  <c r="L16" i="2" s="1"/>
  <c r="L17" i="2" s="1"/>
  <c r="M9" i="2"/>
  <c r="K22" i="2"/>
  <c r="D12" i="2"/>
  <c r="D14" i="2" s="1"/>
  <c r="D16" i="2" s="1"/>
  <c r="D17" i="2" s="1"/>
  <c r="C12" i="2"/>
  <c r="C14" i="2" s="1"/>
  <c r="C16" i="2" s="1"/>
  <c r="C17" i="2" s="1"/>
  <c r="E12" i="2"/>
  <c r="E14" i="2" s="1"/>
  <c r="E16" i="2" s="1"/>
  <c r="E17" i="2" s="1"/>
  <c r="F12" i="2"/>
  <c r="F14" i="2" s="1"/>
  <c r="F16" i="2" s="1"/>
  <c r="F17" i="2" s="1"/>
  <c r="G12" i="2"/>
  <c r="G14" i="2" s="1"/>
  <c r="G16" i="2" s="1"/>
  <c r="G17" i="2" s="1"/>
  <c r="H12" i="2"/>
  <c r="H14" i="2" s="1"/>
  <c r="H16" i="2" s="1"/>
  <c r="H17" i="2" s="1"/>
  <c r="I12" i="2"/>
  <c r="I14" i="2" s="1"/>
  <c r="I16" i="2" s="1"/>
  <c r="I17" i="2" s="1"/>
  <c r="J12" i="2"/>
  <c r="J14" i="2" s="1"/>
  <c r="J16" i="2" s="1"/>
  <c r="J17" i="2" s="1"/>
  <c r="P8" i="2" l="1"/>
  <c r="P22" i="2" s="1"/>
  <c r="P21" i="2"/>
  <c r="N9" i="2"/>
  <c r="M11" i="2"/>
  <c r="M12" i="2" s="1"/>
  <c r="M14" i="2" s="1"/>
  <c r="N11" i="2" l="1"/>
  <c r="N12" i="2" s="1"/>
  <c r="N14" i="2" s="1"/>
  <c r="O9" i="2"/>
  <c r="P7" i="2"/>
  <c r="M15" i="2"/>
  <c r="M16" i="2" s="1"/>
  <c r="M17" i="2" s="1"/>
  <c r="N15" i="2"/>
  <c r="N16" i="2" s="1"/>
  <c r="N17" i="2" s="1"/>
  <c r="P9" i="2" l="1"/>
  <c r="P11" i="2" s="1"/>
  <c r="P12" i="2" s="1"/>
  <c r="P14" i="2" s="1"/>
  <c r="P15" i="2" s="1"/>
  <c r="P16" i="2" s="1"/>
  <c r="P17" i="2" s="1"/>
  <c r="O11" i="2"/>
  <c r="O12" i="2" s="1"/>
  <c r="O14" i="2" s="1"/>
  <c r="O15" i="2" s="1"/>
  <c r="O16" i="2" s="1"/>
  <c r="O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tc={3C7E040D-8137-46E1-94DC-0B8634DE31E8}</author>
    <author>tc={7DCAAB47-6767-4950-B087-8BD300A2D46D}</author>
  </authors>
  <commentList>
    <comment ref="L6" authorId="0" shapeId="0" xr:uid="{3C7E040D-8137-46E1-94DC-0B8634DE31E8}">
      <text>
        <t>[Threaded comment]
Your version of Excel allows you to read this threaded comment; however, any edits to it will get removed if the file is opened in a newer version of Excel. Learn more: https://go.microsoft.com/fwlink/?linkid=870924
Comment:
    FQ3 guidance: 960-1010m</t>
      </text>
    </comment>
    <comment ref="L17" authorId="1" shapeId="0" xr:uid="{7DCAAB47-6767-4950-B087-8BD300A2D46D}">
      <text>
        <t>[Threaded comment]
Your version of Excel allows you to read this threaded comment; however, any edits to it will get removed if the file is opened in a newer version of Excel. Learn more: https://go.microsoft.com/fwlink/?linkid=870924
Comment:
    FQ3 guidance: 2.85-3.05eps</t>
      </text>
    </comment>
  </commentList>
</comments>
</file>

<file path=xl/sharedStrings.xml><?xml version="1.0" encoding="utf-8"?>
<sst xmlns="http://schemas.openxmlformats.org/spreadsheetml/2006/main" count="51" uniqueCount="48">
  <si>
    <t>Price</t>
  </si>
  <si>
    <t>Shares</t>
  </si>
  <si>
    <t>MC</t>
  </si>
  <si>
    <t>Cash</t>
  </si>
  <si>
    <t>Debt</t>
  </si>
  <si>
    <t>EV</t>
  </si>
  <si>
    <t>Main</t>
  </si>
  <si>
    <t>Revenue</t>
  </si>
  <si>
    <t>Q126</t>
  </si>
  <si>
    <t>Gross Profit</t>
  </si>
  <si>
    <t>COGS</t>
  </si>
  <si>
    <t>R&amp;D</t>
  </si>
  <si>
    <t>SG&amp;A</t>
  </si>
  <si>
    <t>Operating Expenses</t>
  </si>
  <si>
    <t>Operating Income</t>
  </si>
  <si>
    <t>EPS</t>
  </si>
  <si>
    <t>Net Income</t>
  </si>
  <si>
    <t>Taxes</t>
  </si>
  <si>
    <t>Pretax Income</t>
  </si>
  <si>
    <t>Interest Income</t>
  </si>
  <si>
    <t>Revenue y/y</t>
  </si>
  <si>
    <t>Gross Margin</t>
  </si>
  <si>
    <t>Consensus EPS</t>
  </si>
  <si>
    <t>FQ326</t>
  </si>
  <si>
    <t>FQ426</t>
  </si>
  <si>
    <t>FQ126</t>
  </si>
  <si>
    <t>FQ227</t>
  </si>
  <si>
    <t>FQ127</t>
  </si>
  <si>
    <t>FQ327</t>
  </si>
  <si>
    <t>FQ427</t>
  </si>
  <si>
    <t>Consensus Revenue</t>
  </si>
  <si>
    <t>F2027</t>
  </si>
  <si>
    <t>F2026</t>
  </si>
  <si>
    <t>F2025</t>
  </si>
  <si>
    <t>F2028</t>
  </si>
  <si>
    <t>FQ226</t>
  </si>
  <si>
    <t>FQ425</t>
  </si>
  <si>
    <t>FQ325</t>
  </si>
  <si>
    <t>FQ225</t>
  </si>
  <si>
    <t>FQ125</t>
  </si>
  <si>
    <t>F2029</t>
  </si>
  <si>
    <t>F2030</t>
  </si>
  <si>
    <t>F2031</t>
  </si>
  <si>
    <t>F2032</t>
  </si>
  <si>
    <t>F2033</t>
  </si>
  <si>
    <t>F2034</t>
  </si>
  <si>
    <t>F2035</t>
  </si>
  <si>
    <t>F2036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</si>
</sst>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4" fillId="0" borderId="0" xfId="1" applyFont="1"/>
    <xf numFmtId="0" fontId="5" fillId="0" borderId="0" xfId="0" applyFont="1"/>
    <xf numFmtId="4" fontId="5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27608</xdr:colOff>
      <xdr:row>0</xdr:row>
      <xdr:rowOff>16565</xdr:rowOff>
    </xdr:from>
    <xdr:to>
      <xdr:col>11</xdr:col>
      <xdr:colOff>27608</xdr:colOff>
      <xdr:row>53</xdr:row>
      <xdr:rowOff>88348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F1C6D0-21A1-780E-D37F-C37E3D3ECC66}"/>
            </a:ext>
          </a:extLst>
        </xdr:cNvPr>
        <xdr:cNvCxnSpPr/>
      </xdr:nvCxnSpPr>
      <xdr:spPr>
        <a:xfrm>
          <a:off x="7018130" y="16565"/>
          <a:ext cx="0" cy="79236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B042D094-9D54-4096-9F0F-B8CD84E74519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" dT="2026-08-11T18:13:36.06" personId="{B042D094-9D54-4096-9F0F-B8CD84E74519}" id="{3C7E040D-8137-46E1-94DC-0B8634DE31E8}">
    <text>FQ3 guidance: 960-1010m</text>
  </threadedComment>
  <threadedComment ref="L17" dT="2026-08-11T18:13:56.46" personId="{B042D094-9D54-4096-9F0F-B8CD84E74519}" id="{7DCAAB47-6767-4950-B087-8BD300A2D46D}">
    <text>FQ3 guidance: 2.85-3.05eps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EF34-294F-4F51-BBFD-DBBC0F410650}">
  <dimension ref="H2:J7"/>
  <sheetViews>
    <sheetView zoomScale="175" zoomScaleNormal="175" workbookViewId="0">
      <selection activeCell="I3" sqref="I3"/>
    </sheetView>
  </sheetViews>
  <sheetFormatPr defaultRowHeight="12.5" x14ac:dyDescent="0.25"/>
  <cols>
    <col min="1" max="16384" width="8.7265625" style="1"/>
  </cols>
  <sheetData>
    <row r="2" spans="8:10" x14ac:dyDescent="0.25">
      <c r="H2" s="1" t="s">
        <v>0</v>
      </c>
      <c r="I2" s="9">
        <v>818</v>
      </c>
    </row>
    <row r="3" spans="8:10" x14ac:dyDescent="0.25">
      <c r="H3" s="1" t="s">
        <v>1</v>
      </c>
      <c r="I3" s="7">
        <v>96.2</v>
      </c>
      <c r="J3" s="2" t="s">
        <v>8</v>
      </c>
    </row>
    <row r="4" spans="8:10" x14ac:dyDescent="0.25">
      <c r="H4" s="1" t="s">
        <v>2</v>
      </c>
      <c r="I4" s="7">
        <f>+I2*I3</f>
        <v>78691.600000000006</v>
      </c>
    </row>
    <row r="5" spans="8:10" x14ac:dyDescent="0.25">
      <c r="H5" s="1" t="s">
        <v>3</v>
      </c>
      <c r="I5" s="7">
        <f>2617.8+554.5</f>
        <v>3172.3</v>
      </c>
      <c r="J5" s="2" t="s">
        <v>8</v>
      </c>
    </row>
    <row r="6" spans="8:10" x14ac:dyDescent="0.25">
      <c r="H6" s="1" t="s">
        <v>4</v>
      </c>
      <c r="I6" s="7">
        <f>43.2+3238.6</f>
        <v>3281.7999999999997</v>
      </c>
      <c r="J6" s="2" t="s">
        <v>8</v>
      </c>
    </row>
    <row r="7" spans="8:10" x14ac:dyDescent="0.25">
      <c r="H7" s="1" t="s">
        <v>5</v>
      </c>
      <c r="I7" s="7">
        <f>+I4-I5+I6</f>
        <v>78801.100000000006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8F03-9B68-4DDA-A200-C9C5ECCDD394}">
  <dimension ref="A1:AD22"/>
  <sheetViews>
    <sheetView tabSelected="1" zoomScale="115" zoomScaleNormal="115" workbookViewId="0">
      <pane xSplit="2" ySplit="4" topLeftCell="I5" activePane="bottomRight" state="frozen"/>
      <selection pane="topRight" activeCell="C1" sqref="C1"/>
      <selection pane="bottomLeft" activeCell="A3" sqref="A3"/>
      <selection pane="bottomRight" activeCell="V6" sqref="V6"/>
    </sheetView>
  </sheetViews>
  <sheetFormatPr defaultRowHeight="12.5" x14ac:dyDescent="0.25"/>
  <cols>
    <col min="1" max="1" width="4.6328125" style="1" bestFit="1" customWidth="1"/>
    <col min="2" max="2" width="17.1796875" style="1" bestFit="1" customWidth="1"/>
    <col min="3" max="10" width="8.7265625" style="2"/>
    <col min="11" max="11" width="9" style="2" bestFit="1" customWidth="1"/>
    <col min="12" max="16" width="8.7265625" style="2"/>
    <col min="17" max="18" width="8.7265625" style="1"/>
    <col min="19" max="30" width="8.7265625" style="2"/>
    <col min="31" max="16384" width="8.7265625" style="1"/>
  </cols>
  <sheetData>
    <row r="1" spans="1:30" x14ac:dyDescent="0.25">
      <c r="A1" s="10" t="s">
        <v>6</v>
      </c>
    </row>
    <row r="2" spans="1:30" x14ac:dyDescent="0.25">
      <c r="A2" s="10"/>
    </row>
    <row r="3" spans="1:30" x14ac:dyDescent="0.25">
      <c r="A3" s="10"/>
      <c r="K3" s="13">
        <v>46109</v>
      </c>
    </row>
    <row r="4" spans="1:30" x14ac:dyDescent="0.25">
      <c r="E4" s="2" t="s">
        <v>39</v>
      </c>
      <c r="F4" s="2" t="s">
        <v>38</v>
      </c>
      <c r="G4" s="2" t="s">
        <v>37</v>
      </c>
      <c r="H4" s="2" t="s">
        <v>36</v>
      </c>
      <c r="I4" s="2" t="s">
        <v>25</v>
      </c>
      <c r="J4" s="2" t="s">
        <v>35</v>
      </c>
      <c r="K4" s="2" t="s">
        <v>23</v>
      </c>
      <c r="L4" s="2" t="s">
        <v>24</v>
      </c>
      <c r="M4" s="2" t="s">
        <v>27</v>
      </c>
      <c r="N4" s="2" t="s">
        <v>26</v>
      </c>
      <c r="O4" s="2" t="s">
        <v>28</v>
      </c>
      <c r="P4" s="2" t="s">
        <v>29</v>
      </c>
      <c r="S4" s="2" t="s">
        <v>33</v>
      </c>
      <c r="T4" s="2" t="s">
        <v>32</v>
      </c>
      <c r="U4" s="2" t="s">
        <v>31</v>
      </c>
      <c r="V4" s="2" t="s">
        <v>34</v>
      </c>
      <c r="W4" s="2" t="s">
        <v>40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46</v>
      </c>
      <c r="AD4" s="2" t="s">
        <v>47</v>
      </c>
    </row>
    <row r="5" spans="1:30" s="15" customFormat="1" ht="13" x14ac:dyDescent="0.3">
      <c r="B5" s="15" t="s">
        <v>30</v>
      </c>
      <c r="C5" s="16"/>
      <c r="D5" s="16"/>
      <c r="E5" s="16"/>
      <c r="F5" s="16"/>
      <c r="G5" s="16"/>
      <c r="H5" s="16"/>
      <c r="I5" s="16"/>
      <c r="J5" s="16"/>
      <c r="K5" s="16"/>
      <c r="L5" s="16">
        <v>987.7</v>
      </c>
      <c r="M5" s="16">
        <v>1160</v>
      </c>
      <c r="N5" s="16">
        <v>1360</v>
      </c>
      <c r="O5" s="16">
        <v>1510</v>
      </c>
      <c r="P5" s="16">
        <v>1660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s="5" customFormat="1" ht="13" x14ac:dyDescent="0.3">
      <c r="B6" s="5" t="s">
        <v>7</v>
      </c>
      <c r="C6" s="6">
        <v>366.5</v>
      </c>
      <c r="D6" s="6">
        <v>308.3</v>
      </c>
      <c r="E6" s="6">
        <v>336.9</v>
      </c>
      <c r="F6" s="6">
        <v>402.2</v>
      </c>
      <c r="G6" s="6">
        <v>425.2</v>
      </c>
      <c r="H6" s="6">
        <v>480.7</v>
      </c>
      <c r="I6" s="6">
        <v>533.79999999999995</v>
      </c>
      <c r="J6" s="6">
        <v>665.5</v>
      </c>
      <c r="K6" s="6">
        <v>808.4</v>
      </c>
      <c r="L6" s="6">
        <v>1015</v>
      </c>
      <c r="M6" s="6">
        <v>1120</v>
      </c>
      <c r="N6" s="6">
        <v>1360</v>
      </c>
      <c r="O6" s="6">
        <f>+N6+150</f>
        <v>1510</v>
      </c>
      <c r="P6" s="6">
        <f>+O6+150</f>
        <v>1660</v>
      </c>
      <c r="S6" s="6">
        <f>SUM(E6:H6)</f>
        <v>1645</v>
      </c>
      <c r="T6" s="6">
        <f>SUM(I6:L6)</f>
        <v>3022.7</v>
      </c>
      <c r="U6" s="6">
        <f>SUM(M6:P6)</f>
        <v>5650</v>
      </c>
      <c r="V6" s="6"/>
      <c r="W6" s="6"/>
      <c r="X6" s="6"/>
      <c r="Y6" s="6"/>
      <c r="Z6" s="6"/>
      <c r="AA6" s="6"/>
      <c r="AB6" s="6"/>
      <c r="AC6" s="6"/>
      <c r="AD6" s="6"/>
    </row>
    <row r="7" spans="1:30" s="7" customFormat="1" x14ac:dyDescent="0.25">
      <c r="B7" s="7" t="s">
        <v>10</v>
      </c>
      <c r="C7" s="8">
        <v>284.7</v>
      </c>
      <c r="D7" s="8">
        <v>234.9</v>
      </c>
      <c r="E7" s="8">
        <v>236.5</v>
      </c>
      <c r="F7" s="8">
        <v>281.2</v>
      </c>
      <c r="G7" s="8">
        <v>283.7</v>
      </c>
      <c r="H7" s="8">
        <v>301.5</v>
      </c>
      <c r="I7" s="8">
        <v>332.8</v>
      </c>
      <c r="J7" s="8">
        <v>405.8</v>
      </c>
      <c r="K7" s="8">
        <v>432.1</v>
      </c>
      <c r="L7" s="8">
        <f>+L6-L8</f>
        <v>558.25</v>
      </c>
      <c r="M7" s="8">
        <f>+M6-M8</f>
        <v>616</v>
      </c>
      <c r="N7" s="8">
        <f>+N6-N8</f>
        <v>748</v>
      </c>
      <c r="O7" s="8">
        <f t="shared" ref="O7:P7" si="0">+O6-O8</f>
        <v>830.5</v>
      </c>
      <c r="P7" s="8">
        <f t="shared" si="0"/>
        <v>913</v>
      </c>
      <c r="S7" s="8">
        <f t="shared" ref="S7" si="1">SUM(C7:F7)</f>
        <v>1037.3</v>
      </c>
      <c r="T7" s="8">
        <f t="shared" ref="T7" si="2">SUM(G7:J7)</f>
        <v>1323.8</v>
      </c>
      <c r="U7" s="8">
        <f t="shared" ref="U7" si="3">SUM(K7:N7)</f>
        <v>2354.35</v>
      </c>
      <c r="V7" s="8"/>
      <c r="W7" s="8"/>
      <c r="X7" s="8"/>
      <c r="Y7" s="8"/>
      <c r="Z7" s="8"/>
      <c r="AA7" s="8"/>
      <c r="AB7" s="8"/>
      <c r="AC7" s="8"/>
      <c r="AD7" s="8"/>
    </row>
    <row r="8" spans="1:30" s="7" customFormat="1" x14ac:dyDescent="0.25">
      <c r="B8" s="7" t="s">
        <v>9</v>
      </c>
      <c r="C8" s="8">
        <f t="shared" ref="C8" si="4">+C6-C7</f>
        <v>81.800000000000011</v>
      </c>
      <c r="D8" s="8">
        <f t="shared" ref="D8" si="5">+D6-D7</f>
        <v>73.400000000000006</v>
      </c>
      <c r="E8" s="8">
        <f t="shared" ref="E8" si="6">+E6-E7</f>
        <v>100.39999999999998</v>
      </c>
      <c r="F8" s="8">
        <f t="shared" ref="F8" si="7">+F6-F7</f>
        <v>121</v>
      </c>
      <c r="G8" s="8">
        <f t="shared" ref="G8:J8" si="8">+G6-G7</f>
        <v>141.5</v>
      </c>
      <c r="H8" s="8">
        <f t="shared" si="8"/>
        <v>179.2</v>
      </c>
      <c r="I8" s="8">
        <f t="shared" si="8"/>
        <v>200.99999999999994</v>
      </c>
      <c r="J8" s="8">
        <f t="shared" si="8"/>
        <v>259.7</v>
      </c>
      <c r="K8" s="8">
        <f>+K6-K7</f>
        <v>376.29999999999995</v>
      </c>
      <c r="L8" s="8">
        <f>+L6*0.45</f>
        <v>456.75</v>
      </c>
      <c r="M8" s="8">
        <f>+M6*0.45</f>
        <v>504</v>
      </c>
      <c r="N8" s="8">
        <f>+N6*0.45</f>
        <v>612</v>
      </c>
      <c r="O8" s="8">
        <f t="shared" ref="O8:P8" si="9">+O6*0.45</f>
        <v>679.5</v>
      </c>
      <c r="P8" s="8">
        <f t="shared" si="9"/>
        <v>747</v>
      </c>
      <c r="S8" s="8">
        <f>+S6-S7</f>
        <v>607.70000000000005</v>
      </c>
      <c r="T8" s="8">
        <f>+T6-T7</f>
        <v>1698.8999999999999</v>
      </c>
      <c r="U8" s="8">
        <f>+U6-U7</f>
        <v>3295.65</v>
      </c>
      <c r="V8" s="8"/>
      <c r="W8" s="8"/>
      <c r="X8" s="8"/>
      <c r="Y8" s="8"/>
      <c r="Z8" s="8"/>
      <c r="AA8" s="8"/>
      <c r="AB8" s="8"/>
      <c r="AC8" s="8"/>
      <c r="AD8" s="8"/>
    </row>
    <row r="9" spans="1:30" s="7" customFormat="1" x14ac:dyDescent="0.25">
      <c r="B9" s="7" t="s">
        <v>11</v>
      </c>
      <c r="C9" s="8">
        <v>77.2</v>
      </c>
      <c r="D9" s="8">
        <v>73.2</v>
      </c>
      <c r="E9" s="8">
        <v>74.3</v>
      </c>
      <c r="F9" s="8">
        <v>74.2</v>
      </c>
      <c r="G9" s="8">
        <v>75.900000000000006</v>
      </c>
      <c r="H9" s="8">
        <v>79.5</v>
      </c>
      <c r="I9" s="8">
        <v>81.400000000000006</v>
      </c>
      <c r="J9" s="8">
        <v>80.099999999999994</v>
      </c>
      <c r="K9" s="8">
        <v>90.6</v>
      </c>
      <c r="L9" s="8">
        <f>+K9</f>
        <v>90.6</v>
      </c>
      <c r="M9" s="8">
        <f t="shared" ref="M9:N9" si="10">+L9</f>
        <v>90.6</v>
      </c>
      <c r="N9" s="8">
        <f t="shared" si="10"/>
        <v>90.6</v>
      </c>
      <c r="O9" s="8">
        <f t="shared" ref="O9:P9" si="11">+N9</f>
        <v>90.6</v>
      </c>
      <c r="P9" s="8">
        <f t="shared" si="11"/>
        <v>90.6</v>
      </c>
      <c r="S9" s="8">
        <f t="shared" ref="S9:S10" si="12">SUM(C9:F9)</f>
        <v>298.89999999999998</v>
      </c>
      <c r="T9" s="8">
        <f t="shared" ref="T9:T10" si="13">SUM(G9:J9)</f>
        <v>316.89999999999998</v>
      </c>
      <c r="U9" s="8">
        <f t="shared" ref="U9:U10" si="14">SUM(K9:N9)</f>
        <v>362.4</v>
      </c>
      <c r="V9" s="8"/>
      <c r="W9" s="8"/>
      <c r="X9" s="8"/>
      <c r="Y9" s="8"/>
      <c r="Z9" s="8"/>
      <c r="AA9" s="8"/>
      <c r="AB9" s="8"/>
      <c r="AC9" s="8"/>
      <c r="AD9" s="8"/>
    </row>
    <row r="10" spans="1:30" s="7" customFormat="1" x14ac:dyDescent="0.25">
      <c r="B10" s="7" t="s">
        <v>12</v>
      </c>
      <c r="C10" s="8">
        <v>77.7</v>
      </c>
      <c r="D10" s="8">
        <v>74.900000000000006</v>
      </c>
      <c r="E10" s="8">
        <v>76.3</v>
      </c>
      <c r="F10" s="8">
        <v>76.3</v>
      </c>
      <c r="G10" s="8">
        <v>112</v>
      </c>
      <c r="H10" s="8">
        <v>83.6</v>
      </c>
      <c r="I10" s="8">
        <v>85.1</v>
      </c>
      <c r="J10" s="8">
        <v>96.1</v>
      </c>
      <c r="K10" s="8">
        <v>90.8</v>
      </c>
      <c r="L10" s="8">
        <f t="shared" ref="L10:N10" si="15">+K10</f>
        <v>90.8</v>
      </c>
      <c r="M10" s="8">
        <f t="shared" si="15"/>
        <v>90.8</v>
      </c>
      <c r="N10" s="8">
        <f t="shared" si="15"/>
        <v>90.8</v>
      </c>
      <c r="O10" s="8">
        <f t="shared" ref="O10:P10" si="16">+N10</f>
        <v>90.8</v>
      </c>
      <c r="P10" s="8">
        <f t="shared" si="16"/>
        <v>90.8</v>
      </c>
      <c r="S10" s="8">
        <f t="shared" si="12"/>
        <v>305.20000000000005</v>
      </c>
      <c r="T10" s="8">
        <f t="shared" si="13"/>
        <v>376.79999999999995</v>
      </c>
      <c r="U10" s="8">
        <f t="shared" si="14"/>
        <v>363.2</v>
      </c>
      <c r="V10" s="8"/>
      <c r="W10" s="8"/>
      <c r="X10" s="8"/>
      <c r="Y10" s="8"/>
      <c r="Z10" s="8"/>
      <c r="AA10" s="8"/>
      <c r="AB10" s="8"/>
      <c r="AC10" s="8"/>
      <c r="AD10" s="8"/>
    </row>
    <row r="11" spans="1:30" s="7" customFormat="1" x14ac:dyDescent="0.25">
      <c r="B11" s="7" t="s">
        <v>13</v>
      </c>
      <c r="C11" s="8">
        <f t="shared" ref="C11" si="17">+C9+C10</f>
        <v>154.9</v>
      </c>
      <c r="D11" s="8">
        <f t="shared" ref="D11" si="18">+D9+D10</f>
        <v>148.10000000000002</v>
      </c>
      <c r="E11" s="8">
        <f t="shared" ref="E11" si="19">+E9+E10</f>
        <v>150.6</v>
      </c>
      <c r="F11" s="8">
        <f t="shared" ref="F11" si="20">+F9+F10</f>
        <v>150.5</v>
      </c>
      <c r="G11" s="8">
        <f t="shared" ref="G11:J11" si="21">+G9+G10</f>
        <v>187.9</v>
      </c>
      <c r="H11" s="8">
        <f t="shared" si="21"/>
        <v>163.1</v>
      </c>
      <c r="I11" s="8">
        <f t="shared" si="21"/>
        <v>166.5</v>
      </c>
      <c r="J11" s="8">
        <f t="shared" si="21"/>
        <v>176.2</v>
      </c>
      <c r="K11" s="8">
        <f>+K9+K10</f>
        <v>181.39999999999998</v>
      </c>
      <c r="L11" s="8">
        <f>+L9+L10</f>
        <v>181.39999999999998</v>
      </c>
      <c r="M11" s="8">
        <f>+M9+M10</f>
        <v>181.39999999999998</v>
      </c>
      <c r="N11" s="8">
        <f>+N9+N10</f>
        <v>181.39999999999998</v>
      </c>
      <c r="O11" s="8">
        <f t="shared" ref="O11:P11" si="22">+O9+O10</f>
        <v>181.39999999999998</v>
      </c>
      <c r="P11" s="8">
        <f t="shared" si="22"/>
        <v>181.39999999999998</v>
      </c>
      <c r="S11" s="8">
        <f t="shared" ref="S11" si="23">+S9+S10</f>
        <v>604.1</v>
      </c>
      <c r="T11" s="8">
        <f t="shared" ref="T11" si="24">+T9+T10</f>
        <v>693.69999999999993</v>
      </c>
      <c r="U11" s="8">
        <f t="shared" ref="U11" si="25">+U9+U10</f>
        <v>725.59999999999991</v>
      </c>
      <c r="V11" s="8"/>
      <c r="W11" s="8"/>
      <c r="X11" s="8"/>
      <c r="Y11" s="8"/>
      <c r="Z11" s="8"/>
      <c r="AA11" s="8"/>
      <c r="AB11" s="8"/>
      <c r="AC11" s="8"/>
      <c r="AD11" s="8"/>
    </row>
    <row r="12" spans="1:30" s="7" customFormat="1" x14ac:dyDescent="0.25">
      <c r="B12" s="7" t="s">
        <v>14</v>
      </c>
      <c r="C12" s="8">
        <f t="shared" ref="C12" si="26">+C8-C11</f>
        <v>-73.099999999999994</v>
      </c>
      <c r="D12" s="8">
        <f t="shared" ref="D12" si="27">+D8-D11</f>
        <v>-74.700000000000017</v>
      </c>
      <c r="E12" s="8">
        <f t="shared" ref="E12" si="28">+E8-E11</f>
        <v>-50.200000000000017</v>
      </c>
      <c r="F12" s="8">
        <f t="shared" ref="F12" si="29">+F8-F11</f>
        <v>-29.5</v>
      </c>
      <c r="G12" s="8">
        <f t="shared" ref="G12:J12" si="30">+G8-G11</f>
        <v>-46.400000000000006</v>
      </c>
      <c r="H12" s="8">
        <f t="shared" si="30"/>
        <v>16.099999999999994</v>
      </c>
      <c r="I12" s="8">
        <f t="shared" si="30"/>
        <v>34.499999999999943</v>
      </c>
      <c r="J12" s="8">
        <f t="shared" si="30"/>
        <v>83.5</v>
      </c>
      <c r="K12" s="8">
        <f>+K8-K11</f>
        <v>194.89999999999998</v>
      </c>
      <c r="L12" s="8">
        <f>+L8-L11</f>
        <v>275.35000000000002</v>
      </c>
      <c r="M12" s="8">
        <f>+M8-M11</f>
        <v>322.60000000000002</v>
      </c>
      <c r="N12" s="8">
        <f>+N8-N11</f>
        <v>430.6</v>
      </c>
      <c r="O12" s="8">
        <f t="shared" ref="O12:P12" si="31">+O8-O11</f>
        <v>498.1</v>
      </c>
      <c r="P12" s="8">
        <f t="shared" si="31"/>
        <v>565.6</v>
      </c>
      <c r="S12" s="8">
        <f t="shared" ref="S12" si="32">+S8-S11</f>
        <v>3.6000000000000227</v>
      </c>
      <c r="T12" s="8">
        <f t="shared" ref="T12" si="33">+T8-T11</f>
        <v>1005.1999999999999</v>
      </c>
      <c r="U12" s="8">
        <f t="shared" ref="U12" si="34">+U8-U11</f>
        <v>2570.0500000000002</v>
      </c>
      <c r="V12" s="8"/>
      <c r="W12" s="8"/>
      <c r="X12" s="8"/>
      <c r="Y12" s="8"/>
      <c r="Z12" s="8"/>
      <c r="AA12" s="8"/>
      <c r="AB12" s="8"/>
      <c r="AC12" s="8"/>
      <c r="AD12" s="8"/>
    </row>
    <row r="13" spans="1:30" s="7" customFormat="1" x14ac:dyDescent="0.25">
      <c r="B13" s="7" t="s">
        <v>19</v>
      </c>
      <c r="C13" s="8"/>
      <c r="D13" s="8"/>
      <c r="E13" s="8"/>
      <c r="F13" s="8"/>
      <c r="G13" s="8"/>
      <c r="H13" s="8"/>
      <c r="I13" s="8"/>
      <c r="J13" s="8"/>
      <c r="K13" s="8">
        <v>15.5</v>
      </c>
      <c r="L13" s="8"/>
      <c r="M13" s="8"/>
      <c r="N13" s="8"/>
      <c r="O13" s="8"/>
      <c r="P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s="7" customFormat="1" x14ac:dyDescent="0.25">
      <c r="B14" s="7" t="s">
        <v>18</v>
      </c>
      <c r="C14" s="8">
        <f t="shared" ref="C14:N14" si="35">+C12+C13</f>
        <v>-73.099999999999994</v>
      </c>
      <c r="D14" s="8">
        <f t="shared" si="35"/>
        <v>-74.700000000000017</v>
      </c>
      <c r="E14" s="8">
        <f t="shared" si="35"/>
        <v>-50.200000000000017</v>
      </c>
      <c r="F14" s="8">
        <f t="shared" si="35"/>
        <v>-29.5</v>
      </c>
      <c r="G14" s="8">
        <f t="shared" si="35"/>
        <v>-46.400000000000006</v>
      </c>
      <c r="H14" s="8">
        <f t="shared" si="35"/>
        <v>16.099999999999994</v>
      </c>
      <c r="I14" s="8">
        <f t="shared" si="35"/>
        <v>34.499999999999943</v>
      </c>
      <c r="J14" s="8">
        <f t="shared" si="35"/>
        <v>83.5</v>
      </c>
      <c r="K14" s="8">
        <f t="shared" si="35"/>
        <v>210.39999999999998</v>
      </c>
      <c r="L14" s="8">
        <f t="shared" si="35"/>
        <v>275.35000000000002</v>
      </c>
      <c r="M14" s="8">
        <f t="shared" si="35"/>
        <v>322.60000000000002</v>
      </c>
      <c r="N14" s="8">
        <f t="shared" si="35"/>
        <v>430.6</v>
      </c>
      <c r="O14" s="8">
        <f t="shared" ref="O14" si="36">+O12+O13</f>
        <v>498.1</v>
      </c>
      <c r="P14" s="8">
        <f t="shared" ref="P14" si="37">+P12+P13</f>
        <v>565.6</v>
      </c>
      <c r="S14" s="8">
        <f t="shared" ref="S14:U14" si="38">+S12+S13</f>
        <v>3.6000000000000227</v>
      </c>
      <c r="T14" s="8">
        <f t="shared" si="38"/>
        <v>1005.1999999999999</v>
      </c>
      <c r="U14" s="8">
        <f t="shared" si="38"/>
        <v>2570.0500000000002</v>
      </c>
      <c r="V14" s="8"/>
      <c r="W14" s="8"/>
      <c r="X14" s="8"/>
      <c r="Y14" s="8"/>
      <c r="Z14" s="8"/>
      <c r="AA14" s="8"/>
      <c r="AB14" s="8"/>
      <c r="AC14" s="8"/>
      <c r="AD14" s="8"/>
    </row>
    <row r="15" spans="1:30" s="7" customFormat="1" x14ac:dyDescent="0.25">
      <c r="B15" s="7" t="s">
        <v>17</v>
      </c>
      <c r="C15" s="8"/>
      <c r="D15" s="8"/>
      <c r="E15" s="8"/>
      <c r="F15" s="8"/>
      <c r="G15" s="8">
        <v>0</v>
      </c>
      <c r="H15" s="8"/>
      <c r="I15" s="8"/>
      <c r="J15" s="8"/>
      <c r="K15" s="8">
        <v>39.6</v>
      </c>
      <c r="L15" s="8">
        <v>0</v>
      </c>
      <c r="M15" s="8">
        <f>+M14*0.2</f>
        <v>64.52000000000001</v>
      </c>
      <c r="N15" s="8">
        <f>+N14*0.2</f>
        <v>86.12</v>
      </c>
      <c r="O15" s="8">
        <f t="shared" ref="O15:P15" si="39">+O14*0.2</f>
        <v>99.62</v>
      </c>
      <c r="P15" s="8">
        <f t="shared" si="39"/>
        <v>113.12</v>
      </c>
      <c r="S15" s="8">
        <f t="shared" ref="S15:U15" si="40">+S14*0.2</f>
        <v>0.72000000000000464</v>
      </c>
      <c r="T15" s="8">
        <f t="shared" si="40"/>
        <v>201.04</v>
      </c>
      <c r="U15" s="8">
        <f t="shared" si="40"/>
        <v>514.0100000000001</v>
      </c>
      <c r="V15" s="8"/>
      <c r="W15" s="8"/>
      <c r="X15" s="8"/>
      <c r="Y15" s="8"/>
      <c r="Z15" s="8"/>
      <c r="AA15" s="8"/>
      <c r="AB15" s="8"/>
      <c r="AC15" s="8"/>
      <c r="AD15" s="8"/>
    </row>
    <row r="16" spans="1:30" s="7" customFormat="1" x14ac:dyDescent="0.25">
      <c r="B16" s="7" t="s">
        <v>16</v>
      </c>
      <c r="C16" s="8">
        <f t="shared" ref="C16" si="41">+C14-C15</f>
        <v>-73.099999999999994</v>
      </c>
      <c r="D16" s="8">
        <f t="shared" ref="D16" si="42">+D14-D15</f>
        <v>-74.700000000000017</v>
      </c>
      <c r="E16" s="8">
        <f t="shared" ref="E16" si="43">+E14-E15</f>
        <v>-50.200000000000017</v>
      </c>
      <c r="F16" s="8">
        <f t="shared" ref="F16" si="44">+F14-F15</f>
        <v>-29.5</v>
      </c>
      <c r="G16" s="8">
        <f t="shared" ref="G16:J16" si="45">+G14-G15</f>
        <v>-46.400000000000006</v>
      </c>
      <c r="H16" s="8">
        <f t="shared" si="45"/>
        <v>16.099999999999994</v>
      </c>
      <c r="I16" s="8">
        <f t="shared" si="45"/>
        <v>34.499999999999943</v>
      </c>
      <c r="J16" s="8">
        <f t="shared" si="45"/>
        <v>83.5</v>
      </c>
      <c r="K16" s="8">
        <f>+K14-K15</f>
        <v>170.79999999999998</v>
      </c>
      <c r="L16" s="8">
        <f t="shared" ref="L16:N16" si="46">+L14-L15</f>
        <v>275.35000000000002</v>
      </c>
      <c r="M16" s="8">
        <f t="shared" si="46"/>
        <v>258.08000000000004</v>
      </c>
      <c r="N16" s="8">
        <f t="shared" si="46"/>
        <v>344.48</v>
      </c>
      <c r="O16" s="8">
        <f t="shared" ref="O16" si="47">+O14-O15</f>
        <v>398.48</v>
      </c>
      <c r="P16" s="8">
        <f t="shared" ref="P16" si="48">+P14-P15</f>
        <v>452.48</v>
      </c>
      <c r="S16" s="8">
        <f t="shared" ref="S16:U16" si="49">+S14-S15</f>
        <v>2.8800000000000181</v>
      </c>
      <c r="T16" s="8">
        <f t="shared" si="49"/>
        <v>804.16</v>
      </c>
      <c r="U16" s="8">
        <f t="shared" si="49"/>
        <v>2056.04</v>
      </c>
      <c r="V16" s="8"/>
      <c r="W16" s="8"/>
      <c r="X16" s="8"/>
      <c r="Y16" s="8"/>
      <c r="Z16" s="8"/>
      <c r="AA16" s="8"/>
      <c r="AB16" s="8"/>
      <c r="AC16" s="8"/>
      <c r="AD16" s="8"/>
    </row>
    <row r="17" spans="2:30" x14ac:dyDescent="0.25">
      <c r="B17" s="1" t="s">
        <v>15</v>
      </c>
      <c r="C17" s="3">
        <f t="shared" ref="C17" si="50">+C16/C19</f>
        <v>-1.0829629629629629</v>
      </c>
      <c r="D17" s="3">
        <f t="shared" ref="D17" si="51">+D16/D19</f>
        <v>-1.101769911504425</v>
      </c>
      <c r="E17" s="3">
        <f t="shared" ref="E17" si="52">+E16/E19</f>
        <v>-0.73499267935578361</v>
      </c>
      <c r="F17" s="3">
        <f t="shared" ref="F17" si="53">+F16/F19</f>
        <v>-0.42815674891146588</v>
      </c>
      <c r="G17" s="3">
        <f t="shared" ref="G17:J17" si="54">+G16/G19</f>
        <v>-0.66955266955266968</v>
      </c>
      <c r="H17" s="3">
        <f t="shared" si="54"/>
        <v>0.22361111111111104</v>
      </c>
      <c r="I17" s="3">
        <f t="shared" si="54"/>
        <v>0.44061302681992265</v>
      </c>
      <c r="J17" s="3">
        <f t="shared" si="54"/>
        <v>0.95102505694760819</v>
      </c>
      <c r="K17" s="3">
        <f>+K16/K19</f>
        <v>1.7754677754677752</v>
      </c>
      <c r="L17" s="3">
        <f t="shared" ref="L17:N17" si="55">+L16/L19</f>
        <v>2.8622661122661124</v>
      </c>
      <c r="M17" s="3">
        <f t="shared" si="55"/>
        <v>2.6827442827442831</v>
      </c>
      <c r="N17" s="3">
        <f t="shared" si="55"/>
        <v>3.5808731808731808</v>
      </c>
      <c r="O17" s="3">
        <f t="shared" ref="O17" si="56">+O16/O19</f>
        <v>4.1422037422037423</v>
      </c>
      <c r="P17" s="3">
        <f t="shared" ref="P17" si="57">+P16/P19</f>
        <v>4.7035343035343038</v>
      </c>
      <c r="S17" s="3">
        <f t="shared" ref="S17:T17" si="58">+S16/S19</f>
        <v>4.1364452423698642E-2</v>
      </c>
      <c r="T17" s="3">
        <f t="shared" si="58"/>
        <v>8.9724965132496504</v>
      </c>
      <c r="U17" s="3">
        <f>+U16/U19</f>
        <v>21.372557172557173</v>
      </c>
    </row>
    <row r="18" spans="2:30" s="11" customFormat="1" ht="13" x14ac:dyDescent="0.3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>
        <v>2.97</v>
      </c>
      <c r="M18" s="12">
        <v>3.61</v>
      </c>
      <c r="N18" s="12">
        <v>4.3499999999999996</v>
      </c>
      <c r="O18" s="12">
        <v>4.92</v>
      </c>
      <c r="P18" s="12">
        <v>5.52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" t="s">
        <v>1</v>
      </c>
      <c r="C19" s="2">
        <v>67.5</v>
      </c>
      <c r="D19" s="2">
        <v>67.8</v>
      </c>
      <c r="E19" s="2">
        <v>68.3</v>
      </c>
      <c r="F19" s="2">
        <v>68.900000000000006</v>
      </c>
      <c r="G19" s="2">
        <v>69.3</v>
      </c>
      <c r="H19" s="2">
        <v>72</v>
      </c>
      <c r="I19" s="2">
        <v>78.3</v>
      </c>
      <c r="J19" s="2">
        <v>87.8</v>
      </c>
      <c r="K19" s="2">
        <v>96.2</v>
      </c>
      <c r="L19" s="2">
        <f>+K19</f>
        <v>96.2</v>
      </c>
      <c r="M19" s="2">
        <f>+L19</f>
        <v>96.2</v>
      </c>
      <c r="N19" s="2">
        <f>+M19</f>
        <v>96.2</v>
      </c>
      <c r="O19" s="2">
        <f t="shared" ref="O19:P19" si="59">+N19</f>
        <v>96.2</v>
      </c>
      <c r="P19" s="2">
        <f t="shared" si="59"/>
        <v>96.2</v>
      </c>
      <c r="S19" s="8">
        <f>AVERAGE(E19:H19)</f>
        <v>69.625</v>
      </c>
      <c r="T19" s="8">
        <f>AVERAGE(I19:L19)</f>
        <v>89.625</v>
      </c>
      <c r="U19" s="8">
        <f>AVERAGE(M19:P19)</f>
        <v>96.2</v>
      </c>
    </row>
    <row r="21" spans="2:30" x14ac:dyDescent="0.25">
      <c r="B21" s="1" t="s">
        <v>20</v>
      </c>
      <c r="G21" s="4">
        <f t="shared" ref="G21:N21" si="60">+G6/C6-1</f>
        <v>0.16016371077762614</v>
      </c>
      <c r="H21" s="4">
        <f t="shared" si="60"/>
        <v>0.55919558871229302</v>
      </c>
      <c r="I21" s="4">
        <f t="shared" si="60"/>
        <v>0.58444642327100027</v>
      </c>
      <c r="J21" s="4">
        <f t="shared" si="60"/>
        <v>0.65464942814520133</v>
      </c>
      <c r="K21" s="4">
        <f t="shared" si="60"/>
        <v>0.90122295390404505</v>
      </c>
      <c r="L21" s="4">
        <f t="shared" si="60"/>
        <v>1.1115040565841481</v>
      </c>
      <c r="M21" s="4">
        <f t="shared" si="60"/>
        <v>1.0981641064068941</v>
      </c>
      <c r="N21" s="4">
        <f t="shared" si="60"/>
        <v>1.0435762584522914</v>
      </c>
      <c r="O21" s="4">
        <f t="shared" ref="O21" si="61">+O6/K6-1</f>
        <v>0.86788718456209812</v>
      </c>
      <c r="P21" s="4">
        <f t="shared" ref="P21" si="62">+P6/L6-1</f>
        <v>0.6354679802955665</v>
      </c>
      <c r="T21" s="4">
        <f>+T6/S6-1</f>
        <v>0.83750759878419445</v>
      </c>
      <c r="U21" s="4">
        <f>+U6/T6-1</f>
        <v>0.86918979720117795</v>
      </c>
    </row>
    <row r="22" spans="2:30" x14ac:dyDescent="0.25">
      <c r="B22" s="1" t="s">
        <v>21</v>
      </c>
      <c r="C22" s="4">
        <f t="shared" ref="C22:K22" si="63">+C8/C6</f>
        <v>0.2231923601637108</v>
      </c>
      <c r="D22" s="4">
        <f t="shared" si="63"/>
        <v>0.23807979240999028</v>
      </c>
      <c r="E22" s="4">
        <f t="shared" si="63"/>
        <v>0.29801127931136834</v>
      </c>
      <c r="F22" s="4">
        <f t="shared" si="63"/>
        <v>0.3008453505718548</v>
      </c>
      <c r="G22" s="4">
        <f t="shared" si="63"/>
        <v>0.33278457196613359</v>
      </c>
      <c r="H22" s="4">
        <f t="shared" si="63"/>
        <v>0.37278968171416682</v>
      </c>
      <c r="I22" s="4">
        <f t="shared" si="63"/>
        <v>0.37654552266766572</v>
      </c>
      <c r="J22" s="4">
        <f t="shared" si="63"/>
        <v>0.3902329075882795</v>
      </c>
      <c r="K22" s="4">
        <f>+K8/K6</f>
        <v>0.4654873824839188</v>
      </c>
      <c r="L22" s="4">
        <f t="shared" ref="L22:N22" si="64">+L8/L6</f>
        <v>0.45</v>
      </c>
      <c r="M22" s="4">
        <f t="shared" si="64"/>
        <v>0.45</v>
      </c>
      <c r="N22" s="4">
        <f t="shared" si="64"/>
        <v>0.45</v>
      </c>
      <c r="O22" s="4">
        <f t="shared" ref="O22:P22" si="65">+O8/O6</f>
        <v>0.45</v>
      </c>
      <c r="P22" s="4">
        <f t="shared" si="65"/>
        <v>0.45</v>
      </c>
    </row>
  </sheetData>
  <phoneticPr fontId="7" type="noConversion"/>
  <hyperlinks>
    <hyperlink ref="A1" location="Main!A1" display="Main" xr:uid="{C6681EF3-0C4A-40DE-A73D-34AD1A605E24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2026-07-14T13:39:44Z</dcterms:created>
  <dcterms:modified xsi:type="dcterms:W3CDTF">2026-08-11T18:56:06Z</dcterms:modified>
</cp:coreProperties>
</file>