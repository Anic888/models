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909DC7C0-8AB7-46AC-9047-5533E7B9D56E}" xr6:coauthVersionLast="47" xr6:coauthVersionMax="47" xr10:uidLastSave="{00000000-0000-0000-0000-000000000000}"/>
  <bookViews>
    <workbookView xWindow="18040" yWindow="7930" windowWidth="19890" windowHeight="10280" activeTab="1" xr2:uid="{671DB3F5-1146-490A-8CDE-C96942034B03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C6" i="2"/>
  <c r="C5" i="2"/>
  <c r="C4" i="2"/>
  <c r="D7" i="2"/>
  <c r="D6" i="2"/>
  <c r="D5" i="2"/>
  <c r="D4" i="2"/>
  <c r="D13" i="2"/>
  <c r="D10" i="2"/>
  <c r="D23" i="2" s="1"/>
  <c r="E4" i="2"/>
  <c r="E6" i="2"/>
  <c r="E7" i="2"/>
  <c r="E5" i="2"/>
  <c r="F7" i="2"/>
  <c r="F6" i="2"/>
  <c r="F5" i="2"/>
  <c r="F4" i="2"/>
  <c r="G7" i="2"/>
  <c r="G6" i="2"/>
  <c r="G5" i="2"/>
  <c r="G4" i="2"/>
  <c r="C13" i="2"/>
  <c r="C10" i="2"/>
  <c r="C23" i="2" s="1"/>
  <c r="G10" i="2"/>
  <c r="H6" i="2"/>
  <c r="H7" i="2"/>
  <c r="H5" i="2"/>
  <c r="H4" i="2"/>
  <c r="I7" i="2"/>
  <c r="I6" i="2"/>
  <c r="I5" i="2"/>
  <c r="I4" i="2"/>
  <c r="J7" i="2"/>
  <c r="J6" i="2"/>
  <c r="J5" i="2"/>
  <c r="J4" i="2"/>
  <c r="K7" i="2"/>
  <c r="K6" i="2"/>
  <c r="K5" i="2"/>
  <c r="K4" i="2"/>
  <c r="L7" i="2"/>
  <c r="L6" i="2"/>
  <c r="L5" i="2"/>
  <c r="L4" i="2"/>
  <c r="G23" i="2"/>
  <c r="L22" i="2"/>
  <c r="K22" i="2"/>
  <c r="H10" i="2"/>
  <c r="H23" i="2" s="1"/>
  <c r="K10" i="2"/>
  <c r="K23" i="2" s="1"/>
  <c r="H13" i="2"/>
  <c r="H14" i="2" s="1"/>
  <c r="H16" i="2" s="1"/>
  <c r="H18" i="2" s="1"/>
  <c r="H19" i="2" s="1"/>
  <c r="G13" i="2"/>
  <c r="L13" i="2"/>
  <c r="K13" i="2"/>
  <c r="K14" i="2" s="1"/>
  <c r="K16" i="2" s="1"/>
  <c r="K18" i="2" s="1"/>
  <c r="K19" i="2" s="1"/>
  <c r="L10" i="2"/>
  <c r="L23" i="2" s="1"/>
  <c r="Q49" i="2"/>
  <c r="Q52" i="2"/>
  <c r="Q48" i="2"/>
  <c r="Q59" i="2"/>
  <c r="R64" i="2"/>
  <c r="R65" i="2" s="1"/>
  <c r="R58" i="2"/>
  <c r="R57" i="2"/>
  <c r="R59" i="2" s="1"/>
  <c r="R52" i="2"/>
  <c r="R49" i="2"/>
  <c r="R48" i="2"/>
  <c r="R38" i="2"/>
  <c r="R42" i="2" s="1"/>
  <c r="R26" i="2"/>
  <c r="R31" i="2"/>
  <c r="R29" i="2"/>
  <c r="P10" i="2"/>
  <c r="P23" i="2" s="1"/>
  <c r="Q10" i="2"/>
  <c r="Q23" i="2" s="1"/>
  <c r="R13" i="2"/>
  <c r="Q13" i="2"/>
  <c r="P13" i="2"/>
  <c r="R10" i="2"/>
  <c r="R23" i="2" s="1"/>
  <c r="S22" i="2"/>
  <c r="R22" i="2"/>
  <c r="Q22" i="2"/>
  <c r="AD79" i="2"/>
  <c r="AD81" i="2" s="1"/>
  <c r="AC38" i="2"/>
  <c r="AC42" i="2" s="1"/>
  <c r="AC33" i="2"/>
  <c r="AE3" i="2"/>
  <c r="AF3" i="2" s="1"/>
  <c r="AG3" i="2" s="1"/>
  <c r="AH3" i="2" s="1"/>
  <c r="AI3" i="2" s="1"/>
  <c r="AJ3" i="2" s="1"/>
  <c r="AK3" i="2" s="1"/>
  <c r="AL3" i="2" s="1"/>
  <c r="J22" i="2"/>
  <c r="I22" i="2"/>
  <c r="E13" i="2"/>
  <c r="E10" i="2"/>
  <c r="E23" i="2" s="1"/>
  <c r="I13" i="2"/>
  <c r="I10" i="2"/>
  <c r="I23" i="2" s="1"/>
  <c r="F13" i="2"/>
  <c r="J13" i="2"/>
  <c r="J10" i="2"/>
  <c r="F10" i="2"/>
  <c r="F23" i="2" s="1"/>
  <c r="T22" i="2"/>
  <c r="S69" i="2"/>
  <c r="S13" i="2"/>
  <c r="S10" i="2"/>
  <c r="S23" i="2" s="1"/>
  <c r="U22" i="2"/>
  <c r="T69" i="2"/>
  <c r="T13" i="2"/>
  <c r="T10" i="2"/>
  <c r="T23" i="2" s="1"/>
  <c r="V22" i="2"/>
  <c r="U69" i="2"/>
  <c r="U13" i="2"/>
  <c r="U10" i="2"/>
  <c r="U23" i="2" s="1"/>
  <c r="W22" i="2"/>
  <c r="V69" i="2"/>
  <c r="V13" i="2"/>
  <c r="V10" i="2"/>
  <c r="V23" i="2" s="1"/>
  <c r="X22" i="2"/>
  <c r="W69" i="2"/>
  <c r="W13" i="2"/>
  <c r="W10" i="2"/>
  <c r="Y22" i="2"/>
  <c r="X69" i="2"/>
  <c r="X13" i="2"/>
  <c r="X10" i="2"/>
  <c r="X23" i="2" s="1"/>
  <c r="Z22" i="2"/>
  <c r="Y69" i="2"/>
  <c r="Y13" i="2"/>
  <c r="Y10" i="2"/>
  <c r="Y23" i="2" s="1"/>
  <c r="AA22" i="2"/>
  <c r="Z69" i="2"/>
  <c r="Z13" i="2"/>
  <c r="Z10" i="2"/>
  <c r="Z23" i="2" s="1"/>
  <c r="AB22" i="2"/>
  <c r="AA69" i="2"/>
  <c r="AA13" i="2"/>
  <c r="AA10" i="2"/>
  <c r="AA23" i="2" s="1"/>
  <c r="AD69" i="2"/>
  <c r="AE69" i="2" s="1"/>
  <c r="AF69" i="2" s="1"/>
  <c r="AG69" i="2" s="1"/>
  <c r="AH69" i="2" s="1"/>
  <c r="AI69" i="2" s="1"/>
  <c r="AJ69" i="2" s="1"/>
  <c r="AK69" i="2" s="1"/>
  <c r="AL69" i="2" s="1"/>
  <c r="AM69" i="2" s="1"/>
  <c r="AN69" i="2" s="1"/>
  <c r="AO69" i="2" s="1"/>
  <c r="AP69" i="2" s="1"/>
  <c r="AQ69" i="2" s="1"/>
  <c r="AR69" i="2" s="1"/>
  <c r="AS69" i="2" s="1"/>
  <c r="AT69" i="2" s="1"/>
  <c r="AU69" i="2" s="1"/>
  <c r="AV69" i="2" s="1"/>
  <c r="AW69" i="2" s="1"/>
  <c r="AX69" i="2" s="1"/>
  <c r="AY69" i="2" s="1"/>
  <c r="AZ69" i="2" s="1"/>
  <c r="BA69" i="2" s="1"/>
  <c r="BB69" i="2" s="1"/>
  <c r="BC69" i="2" s="1"/>
  <c r="BD69" i="2" s="1"/>
  <c r="BE69" i="2" s="1"/>
  <c r="BF69" i="2" s="1"/>
  <c r="BG69" i="2" s="1"/>
  <c r="BH69" i="2" s="1"/>
  <c r="BI69" i="2" s="1"/>
  <c r="BJ69" i="2" s="1"/>
  <c r="BK69" i="2" s="1"/>
  <c r="BL69" i="2" s="1"/>
  <c r="BM69" i="2" s="1"/>
  <c r="BN69" i="2" s="1"/>
  <c r="BO69" i="2" s="1"/>
  <c r="BP69" i="2" s="1"/>
  <c r="BQ69" i="2" s="1"/>
  <c r="BR69" i="2" s="1"/>
  <c r="BS69" i="2" s="1"/>
  <c r="BT69" i="2" s="1"/>
  <c r="BU69" i="2" s="1"/>
  <c r="BV69" i="2" s="1"/>
  <c r="BW69" i="2" s="1"/>
  <c r="BX69" i="2" s="1"/>
  <c r="BY69" i="2" s="1"/>
  <c r="BZ69" i="2" s="1"/>
  <c r="CA69" i="2" s="1"/>
  <c r="CB69" i="2" s="1"/>
  <c r="CC69" i="2" s="1"/>
  <c r="AC69" i="2"/>
  <c r="AB69" i="2"/>
  <c r="AD22" i="2"/>
  <c r="AC22" i="2"/>
  <c r="AB13" i="2"/>
  <c r="AB10" i="2"/>
  <c r="AB23" i="2" s="1"/>
  <c r="AC13" i="2"/>
  <c r="AC10" i="2"/>
  <c r="AC23" i="2" s="1"/>
  <c r="AD13" i="2"/>
  <c r="AD10" i="2"/>
  <c r="AD23" i="2" s="1"/>
  <c r="AD38" i="2"/>
  <c r="AD42" i="2" s="1"/>
  <c r="AD26" i="2"/>
  <c r="AD33" i="2" s="1"/>
  <c r="L4" i="1"/>
  <c r="L7" i="1" s="1"/>
  <c r="D14" i="2" l="1"/>
  <c r="D16" i="2" s="1"/>
  <c r="D18" i="2" s="1"/>
  <c r="D19" i="2" s="1"/>
  <c r="C14" i="2"/>
  <c r="C16" i="2" s="1"/>
  <c r="C18" i="2" s="1"/>
  <c r="C19" i="2" s="1"/>
  <c r="G14" i="2"/>
  <c r="G16" i="2" s="1"/>
  <c r="G18" i="2" s="1"/>
  <c r="G19" i="2" s="1"/>
  <c r="W14" i="2"/>
  <c r="W16" i="2" s="1"/>
  <c r="W18" i="2" s="1"/>
  <c r="W19" i="2" s="1"/>
  <c r="P14" i="2"/>
  <c r="P16" i="2" s="1"/>
  <c r="P18" i="2" s="1"/>
  <c r="P19" i="2" s="1"/>
  <c r="L14" i="2"/>
  <c r="L16" i="2" s="1"/>
  <c r="L18" i="2" s="1"/>
  <c r="L19" i="2" s="1"/>
  <c r="Q53" i="2"/>
  <c r="AC25" i="2"/>
  <c r="R33" i="2"/>
  <c r="R53" i="2"/>
  <c r="R69" i="2" s="1"/>
  <c r="J14" i="2"/>
  <c r="J16" i="2" s="1"/>
  <c r="J18" i="2" s="1"/>
  <c r="Q14" i="2"/>
  <c r="Q16" i="2" s="1"/>
  <c r="Q18" i="2" s="1"/>
  <c r="R14" i="2"/>
  <c r="R16" i="2" s="1"/>
  <c r="R18" i="2" s="1"/>
  <c r="AD25" i="2"/>
  <c r="I14" i="2"/>
  <c r="I16" i="2" s="1"/>
  <c r="I18" i="2" s="1"/>
  <c r="E14" i="2"/>
  <c r="E16" i="2" s="1"/>
  <c r="E18" i="2" s="1"/>
  <c r="J23" i="2"/>
  <c r="F14" i="2"/>
  <c r="F16" i="2" s="1"/>
  <c r="F18" i="2" s="1"/>
  <c r="S14" i="2"/>
  <c r="S16" i="2" s="1"/>
  <c r="S18" i="2" s="1"/>
  <c r="S19" i="2" s="1"/>
  <c r="T14" i="2"/>
  <c r="T16" i="2" s="1"/>
  <c r="T18" i="2" s="1"/>
  <c r="T19" i="2" s="1"/>
  <c r="U14" i="2"/>
  <c r="U16" i="2" s="1"/>
  <c r="U18" i="2" s="1"/>
  <c r="U19" i="2" s="1"/>
  <c r="V14" i="2"/>
  <c r="V16" i="2" s="1"/>
  <c r="V18" i="2" s="1"/>
  <c r="V19" i="2" s="1"/>
  <c r="W23" i="2"/>
  <c r="X14" i="2"/>
  <c r="X16" i="2" s="1"/>
  <c r="X18" i="2" s="1"/>
  <c r="X19" i="2" s="1"/>
  <c r="Y14" i="2"/>
  <c r="Y16" i="2" s="1"/>
  <c r="Y18" i="2" s="1"/>
  <c r="Y19" i="2" s="1"/>
  <c r="Z14" i="2"/>
  <c r="Z16" i="2" s="1"/>
  <c r="Z18" i="2" s="1"/>
  <c r="Z19" i="2" s="1"/>
  <c r="AA14" i="2"/>
  <c r="AA16" i="2" s="1"/>
  <c r="AA18" i="2" s="1"/>
  <c r="AA19" i="2" s="1"/>
  <c r="AB14" i="2"/>
  <c r="AB16" i="2" s="1"/>
  <c r="AB18" i="2" s="1"/>
  <c r="AB19" i="2" s="1"/>
  <c r="AD14" i="2"/>
  <c r="AD16" i="2" s="1"/>
  <c r="AD18" i="2" s="1"/>
  <c r="AD19" i="2" s="1"/>
  <c r="AC14" i="2"/>
  <c r="AC16" i="2" s="1"/>
  <c r="AC18" i="2" s="1"/>
  <c r="AC19" i="2" s="1"/>
  <c r="Q19" i="2" l="1"/>
  <c r="Q44" i="2"/>
  <c r="R67" i="2"/>
  <c r="R19" i="2"/>
  <c r="R4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tc={EA0C07D1-A7C6-48AF-9670-3BCB4E5586DD}</author>
  </authors>
  <commentList>
    <comment ref="Q56" authorId="0" shapeId="0" xr:uid="{EA0C07D1-A7C6-48AF-9670-3BCB4E5586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Acquired Novellus</t>
      </text>
    </comment>
  </commentList>
</comments>
</file>

<file path=xl/sharedStrings.xml><?xml version="1.0" encoding="utf-8"?>
<sst xmlns="http://schemas.openxmlformats.org/spreadsheetml/2006/main" count="109" uniqueCount="99">
  <si>
    <t>Price</t>
  </si>
  <si>
    <t>Shares</t>
  </si>
  <si>
    <t>MC</t>
  </si>
  <si>
    <t>Cash</t>
  </si>
  <si>
    <t>Debt</t>
  </si>
  <si>
    <t>Q225</t>
  </si>
  <si>
    <t>Main</t>
  </si>
  <si>
    <t>WFE for DRAM</t>
  </si>
  <si>
    <t>Wafers are 12 inches diameter</t>
  </si>
  <si>
    <t>Chip patterns are etched on the wafer hundreds-thousands of times</t>
  </si>
  <si>
    <t xml:space="preserve">  Each individual chip is a die</t>
  </si>
  <si>
    <t>wafer → cut → die → package → integrated circuit</t>
  </si>
  <si>
    <t>deposition</t>
  </si>
  <si>
    <t>etch</t>
  </si>
  <si>
    <t>clean</t>
  </si>
  <si>
    <t>wafer-level packaging</t>
  </si>
  <si>
    <t>Metal Films</t>
  </si>
  <si>
    <t>Dielectric Films</t>
  </si>
  <si>
    <t>Electrochemical Deposition</t>
  </si>
  <si>
    <t>Chemical Vapor Deposition, Atomic Layer Deposition</t>
  </si>
  <si>
    <t>Revenue</t>
  </si>
  <si>
    <t>AR</t>
  </si>
  <si>
    <t>Inventories</t>
  </si>
  <si>
    <t>Prepaids</t>
  </si>
  <si>
    <t>PP&amp;E</t>
  </si>
  <si>
    <t>Goodwill</t>
  </si>
  <si>
    <t>Other</t>
  </si>
  <si>
    <t>Assets</t>
  </si>
  <si>
    <t>AP</t>
  </si>
  <si>
    <t>L+SE</t>
  </si>
  <si>
    <t>AE</t>
  </si>
  <si>
    <t>DP</t>
  </si>
  <si>
    <t>OLTL</t>
  </si>
  <si>
    <t>E</t>
  </si>
  <si>
    <t>Taxes</t>
  </si>
  <si>
    <t>EV</t>
  </si>
  <si>
    <t>Operating Income</t>
  </si>
  <si>
    <t>Operating Expenses</t>
  </si>
  <si>
    <t>SG&amp;A</t>
  </si>
  <si>
    <t>R&amp;D</t>
  </si>
  <si>
    <t>Gross Profit</t>
  </si>
  <si>
    <t>COGS</t>
  </si>
  <si>
    <t>Pretax Income</t>
  </si>
  <si>
    <t>Interest Income</t>
  </si>
  <si>
    <t>Net Income</t>
  </si>
  <si>
    <t>EPS</t>
  </si>
  <si>
    <t>S/O</t>
  </si>
  <si>
    <t>Revenue y/y</t>
  </si>
  <si>
    <t>Gross Margin</t>
  </si>
  <si>
    <t>CFFO</t>
  </si>
  <si>
    <t>CX</t>
  </si>
  <si>
    <t>FCF</t>
  </si>
  <si>
    <t>Plasma Etch</t>
  </si>
  <si>
    <t>TSMC, Samsung, Micron are customers</t>
  </si>
  <si>
    <t>dominates NAND etch</t>
  </si>
  <si>
    <t>wet etch is less precise</t>
  </si>
  <si>
    <t>plasma/dry etch uses gas plasma in a vacuum and is extremely accurate</t>
  </si>
  <si>
    <t>50:1 or 100:1 aspect ratios for modern chips (not very wide but very deep)</t>
  </si>
  <si>
    <t>holes go through the other side, trenches don’t</t>
  </si>
  <si>
    <t>HAR (high aspect ratio) king</t>
  </si>
  <si>
    <t>Net Debt</t>
  </si>
  <si>
    <t>ROP</t>
  </si>
  <si>
    <t>Gross PP&amp;E</t>
  </si>
  <si>
    <t>Buildings &amp; Improvements</t>
  </si>
  <si>
    <t>Manfuacturing &amp; Engineering Equipment</t>
  </si>
  <si>
    <t>Computers</t>
  </si>
  <si>
    <t>Land</t>
  </si>
  <si>
    <t>Office Equipment</t>
  </si>
  <si>
    <t>CapEx</t>
  </si>
  <si>
    <t>Net PP&amp;E</t>
  </si>
  <si>
    <t>Model NI</t>
  </si>
  <si>
    <t>SBC</t>
  </si>
  <si>
    <t>Impairment</t>
  </si>
  <si>
    <t>D&amp;A</t>
  </si>
  <si>
    <t>Reported NI</t>
  </si>
  <si>
    <t>WC</t>
  </si>
  <si>
    <t>Convert Discount</t>
  </si>
  <si>
    <t>Acquisitions</t>
  </si>
  <si>
    <t>Investments</t>
  </si>
  <si>
    <t>CFFI</t>
  </si>
  <si>
    <t>Buybacks</t>
  </si>
  <si>
    <t>Issuance</t>
  </si>
  <si>
    <t>Repurchases</t>
  </si>
  <si>
    <t>FX</t>
  </si>
  <si>
    <t>CFFF</t>
  </si>
  <si>
    <t>CIC</t>
  </si>
  <si>
    <t>Foundry</t>
  </si>
  <si>
    <t>Logic/Other</t>
  </si>
  <si>
    <t>DRAM</t>
  </si>
  <si>
    <t>NVM</t>
  </si>
  <si>
    <t>Q226</t>
  </si>
  <si>
    <t>Q126</t>
  </si>
  <si>
    <t>Q425</t>
  </si>
  <si>
    <t>Q325</t>
  </si>
  <si>
    <t>Q125</t>
  </si>
  <si>
    <t>Q124</t>
  </si>
  <si>
    <t>Q224</t>
  </si>
  <si>
    <t>Q324</t>
  </si>
  <si>
    <t>Q424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</si>
</sst>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0" fontId="2" fillId="0" borderId="0" xfId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3" fontId="3" fillId="0" borderId="0" xfId="0" applyNumberFormat="1" applyFont="1"/>
    <xf numFmtId="4" fontId="4" fillId="0" borderId="0" xfId="0" applyNumberFormat="1" applyFont="1"/>
    <xf numFmtId="9" fontId="3" fillId="0" borderId="0" xfId="0" applyNumberFormat="1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9" fontId="3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19843</xdr:colOff>
      <xdr:row>0</xdr:row>
      <xdr:rowOff>59531</xdr:rowOff>
    </xdr:from>
    <xdr:to>
      <xdr:col>30</xdr:col>
      <xdr:colOff>19843</xdr:colOff>
      <xdr:row>95</xdr:row>
      <xdr:rowOff>40105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0172D50-374B-B396-3C92-87CB50536052}"/>
            </a:ext>
          </a:extLst>
        </xdr:cNvPr>
        <xdr:cNvCxnSpPr/>
      </xdr:nvCxnSpPr>
      <xdr:spPr>
        <a:xfrm>
          <a:off x="13882896" y="59531"/>
          <a:ext cx="0" cy="1090257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F33889C3-9F45-4B86-B557-FC72E1F3698B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6" dT="2026-03-17T00:12:08.38" personId="{F33889C3-9F45-4B86-B557-FC72E1F3698B}" id="{EA0C07D1-A7C6-48AF-9670-3BCB4E5586DD}">
    <text>Acquired Novellus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38D6E-B347-453E-A685-1D84D64CB554}">
  <dimension ref="B2:M22"/>
  <sheetViews>
    <sheetView zoomScale="150" zoomScaleNormal="150" workbookViewId="0"/>
  </sheetViews>
  <sheetFormatPr defaultRowHeight="14.5" x14ac:dyDescent="0.35"/>
  <cols>
    <col min="2" max="2" width="10" customWidth="1"/>
    <col min="3" max="3" width="10.26953125" customWidth="1"/>
  </cols>
  <sheetData>
    <row r="2" spans="2:13" x14ac:dyDescent="0.35">
      <c r="B2" t="s">
        <v>7</v>
      </c>
      <c r="K2" t="s">
        <v>0</v>
      </c>
      <c r="L2">
        <v>199.33</v>
      </c>
    </row>
    <row r="3" spans="2:13" x14ac:dyDescent="0.35">
      <c r="B3" t="s">
        <v>8</v>
      </c>
      <c r="K3" t="s">
        <v>1</v>
      </c>
      <c r="L3" s="1">
        <v>1265.6210000000001</v>
      </c>
      <c r="M3" s="2" t="s">
        <v>5</v>
      </c>
    </row>
    <row r="4" spans="2:13" x14ac:dyDescent="0.35">
      <c r="B4" t="s">
        <v>9</v>
      </c>
      <c r="K4" t="s">
        <v>2</v>
      </c>
      <c r="L4" s="1">
        <f>L2*L3</f>
        <v>252276.23393000005</v>
      </c>
    </row>
    <row r="5" spans="2:13" x14ac:dyDescent="0.35">
      <c r="B5" t="s">
        <v>10</v>
      </c>
      <c r="K5" t="s">
        <v>3</v>
      </c>
      <c r="L5" s="1">
        <v>6391</v>
      </c>
      <c r="M5" s="2" t="s">
        <v>5</v>
      </c>
    </row>
    <row r="6" spans="2:13" x14ac:dyDescent="0.35">
      <c r="B6" t="s">
        <v>11</v>
      </c>
      <c r="K6" t="s">
        <v>4</v>
      </c>
      <c r="L6" s="1">
        <v>4485</v>
      </c>
      <c r="M6" s="2" t="s">
        <v>5</v>
      </c>
    </row>
    <row r="7" spans="2:13" x14ac:dyDescent="0.35">
      <c r="K7" t="s">
        <v>35</v>
      </c>
      <c r="L7" s="1">
        <f>L4-L5+L6</f>
        <v>250370.23393000005</v>
      </c>
    </row>
    <row r="8" spans="2:13" x14ac:dyDescent="0.35">
      <c r="B8" t="s">
        <v>12</v>
      </c>
    </row>
    <row r="9" spans="2:13" x14ac:dyDescent="0.35">
      <c r="C9" t="s">
        <v>16</v>
      </c>
      <c r="D9" t="s">
        <v>18</v>
      </c>
    </row>
    <row r="10" spans="2:13" x14ac:dyDescent="0.35">
      <c r="C10" t="s">
        <v>17</v>
      </c>
      <c r="D10" t="s">
        <v>19</v>
      </c>
    </row>
    <row r="11" spans="2:13" x14ac:dyDescent="0.35">
      <c r="B11" t="s">
        <v>13</v>
      </c>
    </row>
    <row r="12" spans="2:13" x14ac:dyDescent="0.35">
      <c r="C12" t="s">
        <v>52</v>
      </c>
    </row>
    <row r="13" spans="2:13" x14ac:dyDescent="0.35">
      <c r="B13" t="s">
        <v>14</v>
      </c>
    </row>
    <row r="14" spans="2:13" x14ac:dyDescent="0.35">
      <c r="B14" t="s">
        <v>15</v>
      </c>
    </row>
    <row r="16" spans="2:13" x14ac:dyDescent="0.35">
      <c r="B16" t="s">
        <v>53</v>
      </c>
    </row>
    <row r="17" spans="2:3" x14ac:dyDescent="0.35">
      <c r="B17" t="s">
        <v>54</v>
      </c>
    </row>
    <row r="18" spans="2:3" x14ac:dyDescent="0.35">
      <c r="C18" t="s">
        <v>55</v>
      </c>
    </row>
    <row r="19" spans="2:3" x14ac:dyDescent="0.35">
      <c r="C19" t="s">
        <v>56</v>
      </c>
    </row>
    <row r="20" spans="2:3" x14ac:dyDescent="0.35">
      <c r="C20" t="s">
        <v>57</v>
      </c>
    </row>
    <row r="21" spans="2:3" x14ac:dyDescent="0.35">
      <c r="C21" t="s">
        <v>58</v>
      </c>
    </row>
    <row r="22" spans="2:3" x14ac:dyDescent="0.35">
      <c r="C22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53292-6F6F-4496-8970-716BF9513FEB}">
  <dimension ref="A1:CC81"/>
  <sheetViews>
    <sheetView tabSelected="1" zoomScale="145" zoomScaleNormal="14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E7" sqref="E7"/>
    </sheetView>
  </sheetViews>
  <sheetFormatPr defaultRowHeight="12.5" x14ac:dyDescent="0.25"/>
  <cols>
    <col min="1" max="1" width="4.7265625" style="4" bestFit="1" customWidth="1"/>
    <col min="2" max="2" width="16.90625" style="4" customWidth="1"/>
    <col min="3" max="5" width="10.08984375" style="4" customWidth="1"/>
    <col min="6" max="6" width="10.08984375" style="4" bestFit="1" customWidth="1"/>
    <col min="7" max="9" width="10.08984375" style="4" customWidth="1"/>
    <col min="10" max="10" width="10.08984375" style="11" bestFit="1" customWidth="1"/>
    <col min="11" max="12" width="10.08984375" style="11" customWidth="1"/>
    <col min="13" max="14" width="9.08984375" style="4" customWidth="1"/>
    <col min="15" max="15" width="9.08984375" style="4" bestFit="1" customWidth="1"/>
    <col min="16" max="18" width="9.08984375" style="4" customWidth="1"/>
    <col min="19" max="30" width="9.08984375" style="4" bestFit="1" customWidth="1"/>
    <col min="31" max="16384" width="8.7265625" style="4"/>
  </cols>
  <sheetData>
    <row r="1" spans="1:38" x14ac:dyDescent="0.25">
      <c r="A1" s="3" t="s">
        <v>6</v>
      </c>
    </row>
    <row r="3" spans="1:38" s="5" customFormat="1" x14ac:dyDescent="0.25">
      <c r="C3" s="12" t="s">
        <v>95</v>
      </c>
      <c r="D3" s="12" t="s">
        <v>96</v>
      </c>
      <c r="E3" s="12" t="s">
        <v>97</v>
      </c>
      <c r="F3" s="12" t="s">
        <v>98</v>
      </c>
      <c r="G3" s="12" t="s">
        <v>94</v>
      </c>
      <c r="H3" s="12" t="s">
        <v>5</v>
      </c>
      <c r="I3" s="12" t="s">
        <v>93</v>
      </c>
      <c r="J3" s="12" t="s">
        <v>92</v>
      </c>
      <c r="K3" s="12" t="s">
        <v>91</v>
      </c>
      <c r="L3" s="12" t="s">
        <v>90</v>
      </c>
      <c r="P3" s="5">
        <v>40724</v>
      </c>
      <c r="Q3" s="5">
        <v>41090</v>
      </c>
      <c r="R3" s="5">
        <v>41455</v>
      </c>
      <c r="S3" s="5">
        <v>41820</v>
      </c>
      <c r="T3" s="5">
        <v>42185</v>
      </c>
      <c r="U3" s="5">
        <v>42551</v>
      </c>
      <c r="V3" s="5">
        <v>42916</v>
      </c>
      <c r="W3" s="5">
        <v>43281</v>
      </c>
      <c r="X3" s="5">
        <v>43646</v>
      </c>
      <c r="Y3" s="5">
        <v>44012</v>
      </c>
      <c r="Z3" s="5">
        <v>44377</v>
      </c>
      <c r="AA3" s="5">
        <v>44742</v>
      </c>
      <c r="AB3" s="5">
        <v>45107</v>
      </c>
      <c r="AC3" s="5">
        <v>45473</v>
      </c>
      <c r="AD3" s="5">
        <v>45837</v>
      </c>
      <c r="AE3" s="5">
        <f t="shared" ref="AE3:AL3" si="0">+AD3+365</f>
        <v>46202</v>
      </c>
      <c r="AF3" s="5">
        <f t="shared" si="0"/>
        <v>46567</v>
      </c>
      <c r="AG3" s="5">
        <f t="shared" si="0"/>
        <v>46932</v>
      </c>
      <c r="AH3" s="5">
        <f t="shared" si="0"/>
        <v>47297</v>
      </c>
      <c r="AI3" s="5">
        <f t="shared" si="0"/>
        <v>47662</v>
      </c>
      <c r="AJ3" s="5">
        <f t="shared" si="0"/>
        <v>48027</v>
      </c>
      <c r="AK3" s="5">
        <f t="shared" si="0"/>
        <v>48392</v>
      </c>
      <c r="AL3" s="5">
        <f t="shared" si="0"/>
        <v>48757</v>
      </c>
    </row>
    <row r="4" spans="1:38" s="8" customFormat="1" x14ac:dyDescent="0.25">
      <c r="B4" s="8" t="s">
        <v>86</v>
      </c>
      <c r="C4" s="8">
        <f>+C8*0.44</f>
        <v>1669.16552</v>
      </c>
      <c r="D4" s="8">
        <f>+D8*0.43</f>
        <v>1664.74801</v>
      </c>
      <c r="E4" s="8">
        <f>+E8*0.41</f>
        <v>1708.8701599999997</v>
      </c>
      <c r="F4" s="8">
        <f>+F8*0.35</f>
        <v>1531.6164499999998</v>
      </c>
      <c r="G4" s="8">
        <f>+G8*0.48</f>
        <v>2265.6840000000002</v>
      </c>
      <c r="H4" s="8">
        <f>+H8*0.52</f>
        <v>2689.1243600000003</v>
      </c>
      <c r="I4" s="8">
        <f>+I8*0.6</f>
        <v>3194.5038</v>
      </c>
      <c r="J4" s="13">
        <f>+J8*0.59</f>
        <v>3153.4266899999998</v>
      </c>
      <c r="K4" s="13">
        <f>+K8*0.54</f>
        <v>3154.4035200000003</v>
      </c>
      <c r="L4" s="13">
        <f>+L8*0.44</f>
        <v>2957.7847200000001</v>
      </c>
    </row>
    <row r="5" spans="1:38" s="8" customFormat="1" x14ac:dyDescent="0.25">
      <c r="B5" s="8" t="s">
        <v>88</v>
      </c>
      <c r="C5" s="8">
        <f>+C8*0.23</f>
        <v>872.51834000000008</v>
      </c>
      <c r="D5" s="8">
        <f>+D8*0.19</f>
        <v>735.58632999999998</v>
      </c>
      <c r="E5" s="8">
        <f>+E8*0.24</f>
        <v>1000.3142399999999</v>
      </c>
      <c r="F5" s="8">
        <f>+F8*0.26</f>
        <v>1137.7722199999998</v>
      </c>
      <c r="G5" s="8">
        <f>+G8*0.23</f>
        <v>1085.6402500000002</v>
      </c>
      <c r="H5" s="8">
        <f>+H8*0.14</f>
        <v>723.99502000000007</v>
      </c>
      <c r="I5" s="8">
        <f>+I8*0.16</f>
        <v>851.86767999999995</v>
      </c>
      <c r="J5" s="13">
        <f>0.23*J8</f>
        <v>1229.3019300000001</v>
      </c>
      <c r="K5" s="13">
        <f>0.27*K8</f>
        <v>1577.2017600000001</v>
      </c>
      <c r="L5" s="13">
        <f>0.23*L8</f>
        <v>1546.1147400000002</v>
      </c>
    </row>
    <row r="6" spans="1:38" s="8" customFormat="1" x14ac:dyDescent="0.25">
      <c r="B6" s="8" t="s">
        <v>89</v>
      </c>
      <c r="C6" s="8">
        <f>+C8*0.21</f>
        <v>796.64717999999993</v>
      </c>
      <c r="D6" s="8">
        <f>+D8*0.17</f>
        <v>658.15619000000004</v>
      </c>
      <c r="E6" s="8">
        <f>+E8*0.11</f>
        <v>458.47735999999998</v>
      </c>
      <c r="F6" s="8">
        <f>+F8*0.24</f>
        <v>1050.25128</v>
      </c>
      <c r="G6" s="8">
        <f>+G8*0.2</f>
        <v>944.03500000000008</v>
      </c>
      <c r="H6" s="8">
        <f>+H8*0.27</f>
        <v>1396.27611</v>
      </c>
      <c r="I6" s="8">
        <f>+I8*0.18</f>
        <v>958.35113999999987</v>
      </c>
      <c r="J6" s="13">
        <f>0.11*J8</f>
        <v>587.92701</v>
      </c>
      <c r="K6" s="13">
        <f>0.12*K8</f>
        <v>700.97856000000002</v>
      </c>
      <c r="L6" s="13">
        <f>0.23*L8</f>
        <v>1546.1147400000002</v>
      </c>
    </row>
    <row r="7" spans="1:38" s="8" customFormat="1" x14ac:dyDescent="0.25">
      <c r="B7" s="8" t="s">
        <v>87</v>
      </c>
      <c r="C7" s="8">
        <f>+C8*0.12</f>
        <v>455.22695999999996</v>
      </c>
      <c r="D7" s="8">
        <f>+D8*0.21</f>
        <v>813.01647000000003</v>
      </c>
      <c r="E7" s="8">
        <f>+E8*0.24</f>
        <v>1000.3142399999999</v>
      </c>
      <c r="F7" s="8">
        <f>+F8*0.15</f>
        <v>656.40704999999991</v>
      </c>
      <c r="G7" s="8">
        <f>+G8*0.09</f>
        <v>424.81574999999998</v>
      </c>
      <c r="H7" s="8">
        <f>+H8*0.07</f>
        <v>361.99751000000003</v>
      </c>
      <c r="I7" s="8">
        <f>+I8*0.06</f>
        <v>319.45038</v>
      </c>
      <c r="J7" s="13">
        <f>0.07*J8</f>
        <v>374.13537000000002</v>
      </c>
      <c r="K7" s="13">
        <f>0.07*K8</f>
        <v>408.90416000000005</v>
      </c>
      <c r="L7" s="13">
        <f>+L8*0.1</f>
        <v>672.2238000000001</v>
      </c>
    </row>
    <row r="8" spans="1:38" s="6" customFormat="1" ht="13" x14ac:dyDescent="0.3">
      <c r="B8" s="6" t="s">
        <v>20</v>
      </c>
      <c r="C8" s="7">
        <v>3793.558</v>
      </c>
      <c r="D8" s="7">
        <v>3871.5070000000001</v>
      </c>
      <c r="E8" s="7">
        <v>4167.9759999999997</v>
      </c>
      <c r="F8" s="7">
        <v>4376.0469999999996</v>
      </c>
      <c r="G8" s="7">
        <v>4720.1750000000002</v>
      </c>
      <c r="H8" s="7">
        <v>5171.393</v>
      </c>
      <c r="I8" s="7">
        <v>5324.1729999999998</v>
      </c>
      <c r="J8" s="14">
        <v>5344.7910000000002</v>
      </c>
      <c r="K8" s="14">
        <v>5841.4880000000003</v>
      </c>
      <c r="L8" s="14">
        <v>6722.2380000000003</v>
      </c>
      <c r="M8" s="7"/>
      <c r="N8" s="7"/>
      <c r="O8" s="7"/>
      <c r="P8" s="7">
        <v>3237.6930000000002</v>
      </c>
      <c r="Q8" s="7">
        <v>2665.192</v>
      </c>
      <c r="R8" s="7">
        <v>3598.9160000000002</v>
      </c>
      <c r="S8" s="7">
        <v>4607.3090000000002</v>
      </c>
      <c r="T8" s="7">
        <v>5259.3119999999999</v>
      </c>
      <c r="U8" s="7">
        <v>5885.893</v>
      </c>
      <c r="V8" s="7">
        <v>8013.62</v>
      </c>
      <c r="W8" s="7">
        <v>11076.998</v>
      </c>
      <c r="X8" s="7">
        <v>9653.5589999999993</v>
      </c>
      <c r="Y8" s="7">
        <v>10044.736000000001</v>
      </c>
      <c r="Z8" s="7">
        <v>14626.15</v>
      </c>
      <c r="AA8" s="7">
        <v>17227.039000000001</v>
      </c>
      <c r="AB8" s="7">
        <v>17428.516</v>
      </c>
      <c r="AC8" s="7">
        <v>14905.386</v>
      </c>
      <c r="AD8" s="7">
        <v>18435.591</v>
      </c>
    </row>
    <row r="9" spans="1:38" x14ac:dyDescent="0.25">
      <c r="B9" s="4" t="s">
        <v>41</v>
      </c>
      <c r="C9" s="8">
        <v>1977.82</v>
      </c>
      <c r="D9" s="8">
        <v>2026.133</v>
      </c>
      <c r="E9" s="8">
        <v>2165.2930000000001</v>
      </c>
      <c r="F9" s="8">
        <v>2303.0659999999998</v>
      </c>
      <c r="G9" s="8">
        <v>2406.489</v>
      </c>
      <c r="H9" s="8">
        <v>2581.6840000000002</v>
      </c>
      <c r="I9" s="8">
        <v>2639.2939999999999</v>
      </c>
      <c r="J9" s="13">
        <v>2693.6289999999999</v>
      </c>
      <c r="K9" s="13">
        <v>2930.9609999999998</v>
      </c>
      <c r="L9" s="13">
        <v>3243.498</v>
      </c>
      <c r="M9" s="8"/>
      <c r="N9" s="8"/>
      <c r="O9" s="8"/>
      <c r="P9" s="8">
        <v>1740.461</v>
      </c>
      <c r="Q9" s="8">
        <v>1581.123</v>
      </c>
      <c r="R9" s="8">
        <v>2195.857</v>
      </c>
      <c r="S9" s="8">
        <v>2599.828</v>
      </c>
      <c r="T9" s="8">
        <v>2974.9760000000001</v>
      </c>
      <c r="U9" s="8">
        <v>3266.971</v>
      </c>
      <c r="V9" s="8">
        <v>4410.2610000000004</v>
      </c>
      <c r="W9" s="8">
        <v>5911.9660000000003</v>
      </c>
      <c r="X9" s="8">
        <v>5295.1</v>
      </c>
      <c r="Y9" s="8">
        <v>5436.0429999999997</v>
      </c>
      <c r="Z9" s="8">
        <v>7820.8440000000001</v>
      </c>
      <c r="AA9" s="8">
        <v>9355.232</v>
      </c>
      <c r="AB9" s="8">
        <v>9573.4249999999993</v>
      </c>
      <c r="AC9" s="8">
        <v>7809.22</v>
      </c>
      <c r="AD9" s="8">
        <v>9456.5319999999992</v>
      </c>
    </row>
    <row r="10" spans="1:38" x14ac:dyDescent="0.25">
      <c r="B10" s="4" t="s">
        <v>40</v>
      </c>
      <c r="C10" s="8">
        <f>C8-C9</f>
        <v>1815.7380000000001</v>
      </c>
      <c r="D10" s="8">
        <f>D8-D9</f>
        <v>1845.374</v>
      </c>
      <c r="E10" s="8">
        <f>E8-E9</f>
        <v>2002.6829999999995</v>
      </c>
      <c r="F10" s="8">
        <f>F8-F9</f>
        <v>2072.9809999999998</v>
      </c>
      <c r="G10" s="8">
        <f>G8-G9</f>
        <v>2313.6860000000001</v>
      </c>
      <c r="H10" s="8">
        <f>H8-H9</f>
        <v>2589.7089999999998</v>
      </c>
      <c r="I10" s="8">
        <f>I8-I9</f>
        <v>2684.8789999999999</v>
      </c>
      <c r="J10" s="13">
        <f>J8-J9</f>
        <v>2651.1620000000003</v>
      </c>
      <c r="K10" s="13">
        <f>K8-K9</f>
        <v>2910.5270000000005</v>
      </c>
      <c r="L10" s="13">
        <f>+L8-L9</f>
        <v>3478.7400000000002</v>
      </c>
      <c r="M10" s="8"/>
      <c r="N10" s="8"/>
      <c r="O10" s="8"/>
      <c r="P10" s="8">
        <f t="shared" ref="P10" si="1">+P8-P9</f>
        <v>1497.2320000000002</v>
      </c>
      <c r="Q10" s="8">
        <f>+Q8-Q9</f>
        <v>1084.069</v>
      </c>
      <c r="R10" s="8">
        <f>+R8-R9</f>
        <v>1403.0590000000002</v>
      </c>
      <c r="S10" s="8">
        <f t="shared" ref="S10:AD10" si="2">S8-S9</f>
        <v>2007.4810000000002</v>
      </c>
      <c r="T10" s="8">
        <f t="shared" si="2"/>
        <v>2284.3359999999998</v>
      </c>
      <c r="U10" s="8">
        <f t="shared" si="2"/>
        <v>2618.922</v>
      </c>
      <c r="V10" s="8">
        <f t="shared" si="2"/>
        <v>3603.3589999999995</v>
      </c>
      <c r="W10" s="8">
        <f t="shared" si="2"/>
        <v>5165.0319999999992</v>
      </c>
      <c r="X10" s="8">
        <f t="shared" si="2"/>
        <v>4358.4589999999989</v>
      </c>
      <c r="Y10" s="8">
        <f t="shared" si="2"/>
        <v>4608.6930000000011</v>
      </c>
      <c r="Z10" s="8">
        <f t="shared" si="2"/>
        <v>6805.3059999999996</v>
      </c>
      <c r="AA10" s="8">
        <f t="shared" si="2"/>
        <v>7871.8070000000007</v>
      </c>
      <c r="AB10" s="8">
        <f t="shared" si="2"/>
        <v>7855.0910000000003</v>
      </c>
      <c r="AC10" s="8">
        <f t="shared" si="2"/>
        <v>7096.1660000000002</v>
      </c>
      <c r="AD10" s="8">
        <f t="shared" si="2"/>
        <v>8979.0590000000011</v>
      </c>
    </row>
    <row r="11" spans="1:38" x14ac:dyDescent="0.25">
      <c r="B11" s="4" t="s">
        <v>39</v>
      </c>
      <c r="C11" s="8">
        <v>512.274</v>
      </c>
      <c r="D11" s="8">
        <v>497.82900000000001</v>
      </c>
      <c r="E11" s="8">
        <v>495.35899999999998</v>
      </c>
      <c r="F11" s="8">
        <v>494.97399999999999</v>
      </c>
      <c r="G11" s="8">
        <v>525.904</v>
      </c>
      <c r="H11" s="8">
        <v>580.178</v>
      </c>
      <c r="I11" s="8">
        <v>576.44600000000003</v>
      </c>
      <c r="J11" s="13">
        <v>573.30499999999995</v>
      </c>
      <c r="K11" s="13">
        <v>583.20000000000005</v>
      </c>
      <c r="L11" s="13">
        <v>642.92200000000003</v>
      </c>
      <c r="M11" s="8"/>
      <c r="N11" s="8"/>
      <c r="O11" s="8"/>
      <c r="P11" s="8">
        <v>373.29300000000001</v>
      </c>
      <c r="Q11" s="8">
        <v>444.55900000000003</v>
      </c>
      <c r="R11" s="8">
        <v>683.68799999999999</v>
      </c>
      <c r="S11" s="8">
        <v>716.471</v>
      </c>
      <c r="T11" s="8">
        <v>825.24199999999996</v>
      </c>
      <c r="U11" s="8">
        <v>913.71199999999999</v>
      </c>
      <c r="V11" s="8">
        <v>1033.742</v>
      </c>
      <c r="W11" s="8">
        <v>1189.5139999999999</v>
      </c>
      <c r="X11" s="8">
        <v>1191.32</v>
      </c>
      <c r="Y11" s="8">
        <v>1252.412</v>
      </c>
      <c r="Z11" s="8">
        <v>1493.4079999999999</v>
      </c>
      <c r="AA11" s="8">
        <v>1604.248</v>
      </c>
      <c r="AB11" s="8">
        <v>1727.162</v>
      </c>
      <c r="AC11" s="8">
        <v>1902.444</v>
      </c>
      <c r="AD11" s="8">
        <v>2096.3870000000002</v>
      </c>
    </row>
    <row r="12" spans="1:38" x14ac:dyDescent="0.25">
      <c r="B12" s="4" t="s">
        <v>38</v>
      </c>
      <c r="C12" s="8">
        <v>215.904</v>
      </c>
      <c r="D12" s="8">
        <v>216.477</v>
      </c>
      <c r="E12" s="8">
        <v>243.12799999999999</v>
      </c>
      <c r="F12" s="8">
        <v>244.15</v>
      </c>
      <c r="G12" s="8">
        <v>226.023</v>
      </c>
      <c r="H12" s="8">
        <v>268.40300000000002</v>
      </c>
      <c r="I12" s="8">
        <v>279.34500000000003</v>
      </c>
      <c r="J12" s="13">
        <v>267.654</v>
      </c>
      <c r="K12" s="13">
        <v>280.31099999999998</v>
      </c>
      <c r="L12" s="13">
        <v>322.33</v>
      </c>
      <c r="M12" s="8"/>
      <c r="N12" s="8"/>
      <c r="O12" s="8"/>
      <c r="P12" s="8">
        <v>308.07499999999999</v>
      </c>
      <c r="Q12" s="8">
        <v>400.05200000000002</v>
      </c>
      <c r="R12" s="8">
        <v>599.48699999999997</v>
      </c>
      <c r="S12" s="8">
        <v>613.34100000000001</v>
      </c>
      <c r="T12" s="8">
        <v>591.61099999999999</v>
      </c>
      <c r="U12" s="8">
        <v>630.95399999999995</v>
      </c>
      <c r="V12" s="8">
        <v>667.48500000000001</v>
      </c>
      <c r="W12" s="8">
        <v>762.21900000000005</v>
      </c>
      <c r="X12" s="8">
        <v>702.40700000000004</v>
      </c>
      <c r="Y12" s="8">
        <v>682.47900000000004</v>
      </c>
      <c r="Z12" s="8">
        <v>829.875</v>
      </c>
      <c r="AA12" s="8">
        <v>885.73699999999997</v>
      </c>
      <c r="AB12" s="8">
        <v>832.75300000000004</v>
      </c>
      <c r="AC12" s="8">
        <v>868.24699999999996</v>
      </c>
      <c r="AD12" s="8">
        <v>981.70399999999995</v>
      </c>
    </row>
    <row r="13" spans="1:38" x14ac:dyDescent="0.25">
      <c r="B13" s="4" t="s">
        <v>37</v>
      </c>
      <c r="C13" s="8">
        <f t="shared" ref="C13:D13" si="3">C12+C11</f>
        <v>728.178</v>
      </c>
      <c r="D13" s="8">
        <f t="shared" si="3"/>
        <v>714.30600000000004</v>
      </c>
      <c r="E13" s="8">
        <f t="shared" ref="E13:I13" si="4">E12+E11</f>
        <v>738.48699999999997</v>
      </c>
      <c r="F13" s="8">
        <f t="shared" si="4"/>
        <v>739.12400000000002</v>
      </c>
      <c r="G13" s="8">
        <f t="shared" si="4"/>
        <v>751.92700000000002</v>
      </c>
      <c r="H13" s="8">
        <f t="shared" si="4"/>
        <v>848.58100000000002</v>
      </c>
      <c r="I13" s="8">
        <f t="shared" si="4"/>
        <v>855.79100000000005</v>
      </c>
      <c r="J13" s="13">
        <f>J12+J11</f>
        <v>840.95899999999995</v>
      </c>
      <c r="K13" s="13">
        <f t="shared" ref="K13:L13" si="5">K12+K11</f>
        <v>863.51099999999997</v>
      </c>
      <c r="L13" s="13">
        <f t="shared" si="5"/>
        <v>965.25199999999995</v>
      </c>
      <c r="M13" s="8"/>
      <c r="N13" s="8"/>
      <c r="O13" s="8"/>
      <c r="P13" s="8">
        <f t="shared" ref="P13" si="6">P12+P11</f>
        <v>681.36799999999994</v>
      </c>
      <c r="Q13" s="8">
        <f t="shared" ref="Q13" si="7">Q12+Q11</f>
        <v>844.6110000000001</v>
      </c>
      <c r="R13" s="8">
        <f t="shared" ref="R13" si="8">R12+R11</f>
        <v>1283.175</v>
      </c>
      <c r="S13" s="8">
        <f t="shared" ref="S13:AD13" si="9">S12+S11</f>
        <v>1329.8119999999999</v>
      </c>
      <c r="T13" s="8">
        <f t="shared" si="9"/>
        <v>1416.8530000000001</v>
      </c>
      <c r="U13" s="8">
        <f t="shared" si="9"/>
        <v>1544.6659999999999</v>
      </c>
      <c r="V13" s="8">
        <f t="shared" si="9"/>
        <v>1701.2269999999999</v>
      </c>
      <c r="W13" s="8">
        <f t="shared" si="9"/>
        <v>1951.7329999999999</v>
      </c>
      <c r="X13" s="8">
        <f t="shared" si="9"/>
        <v>1893.7269999999999</v>
      </c>
      <c r="Y13" s="8">
        <f t="shared" si="9"/>
        <v>1934.8910000000001</v>
      </c>
      <c r="Z13" s="8">
        <f t="shared" si="9"/>
        <v>2323.2829999999999</v>
      </c>
      <c r="AA13" s="8">
        <f t="shared" si="9"/>
        <v>2489.9850000000001</v>
      </c>
      <c r="AB13" s="8">
        <f t="shared" si="9"/>
        <v>2559.915</v>
      </c>
      <c r="AC13" s="8">
        <f t="shared" si="9"/>
        <v>2770.6909999999998</v>
      </c>
      <c r="AD13" s="8">
        <f t="shared" si="9"/>
        <v>3078.0910000000003</v>
      </c>
    </row>
    <row r="14" spans="1:38" x14ac:dyDescent="0.25">
      <c r="B14" s="4" t="s">
        <v>36</v>
      </c>
      <c r="C14" s="8">
        <f t="shared" ref="C14:D14" si="10">C10-C13</f>
        <v>1087.56</v>
      </c>
      <c r="D14" s="8">
        <f t="shared" si="10"/>
        <v>1131.068</v>
      </c>
      <c r="E14" s="8">
        <f t="shared" ref="E14:I14" si="11">E10-E13</f>
        <v>1264.1959999999995</v>
      </c>
      <c r="F14" s="8">
        <f t="shared" si="11"/>
        <v>1333.8569999999997</v>
      </c>
      <c r="G14" s="8">
        <f t="shared" si="11"/>
        <v>1561.759</v>
      </c>
      <c r="H14" s="8">
        <f t="shared" si="11"/>
        <v>1741.1279999999997</v>
      </c>
      <c r="I14" s="8">
        <f t="shared" si="11"/>
        <v>1829.0879999999997</v>
      </c>
      <c r="J14" s="13">
        <f>J10-J13</f>
        <v>1810.2030000000004</v>
      </c>
      <c r="K14" s="13">
        <f t="shared" ref="K14:L14" si="12">K10-K13</f>
        <v>2047.0160000000005</v>
      </c>
      <c r="L14" s="13">
        <f t="shared" si="12"/>
        <v>2513.4880000000003</v>
      </c>
      <c r="M14" s="8"/>
      <c r="N14" s="8"/>
      <c r="O14" s="8"/>
      <c r="P14" s="8">
        <f t="shared" ref="P14" si="13">P10-P13</f>
        <v>815.86400000000026</v>
      </c>
      <c r="Q14" s="8">
        <f t="shared" ref="Q14" si="14">Q10-Q13</f>
        <v>239.45799999999986</v>
      </c>
      <c r="R14" s="8">
        <f t="shared" ref="R14" si="15">R10-R13</f>
        <v>119.88400000000024</v>
      </c>
      <c r="S14" s="8">
        <f t="shared" ref="S14:AD14" si="16">S10-S13</f>
        <v>677.66900000000032</v>
      </c>
      <c r="T14" s="8">
        <f t="shared" si="16"/>
        <v>867.48299999999972</v>
      </c>
      <c r="U14" s="8">
        <f t="shared" si="16"/>
        <v>1074.2560000000001</v>
      </c>
      <c r="V14" s="8">
        <f t="shared" si="16"/>
        <v>1902.1319999999996</v>
      </c>
      <c r="W14" s="8">
        <f t="shared" si="16"/>
        <v>3213.2989999999991</v>
      </c>
      <c r="X14" s="8">
        <f t="shared" si="16"/>
        <v>2464.7319999999991</v>
      </c>
      <c r="Y14" s="8">
        <f t="shared" si="16"/>
        <v>2673.802000000001</v>
      </c>
      <c r="Z14" s="8">
        <f t="shared" si="16"/>
        <v>4482.0229999999992</v>
      </c>
      <c r="AA14" s="8">
        <f t="shared" si="16"/>
        <v>5381.8220000000001</v>
      </c>
      <c r="AB14" s="8">
        <f t="shared" si="16"/>
        <v>5295.1760000000004</v>
      </c>
      <c r="AC14" s="8">
        <f t="shared" si="16"/>
        <v>4325.4750000000004</v>
      </c>
      <c r="AD14" s="8">
        <f t="shared" si="16"/>
        <v>5900.9680000000008</v>
      </c>
    </row>
    <row r="15" spans="1:38" x14ac:dyDescent="0.25">
      <c r="B15" s="4" t="s">
        <v>43</v>
      </c>
      <c r="C15" s="8">
        <v>36.073</v>
      </c>
      <c r="D15" s="8">
        <v>27.795999999999999</v>
      </c>
      <c r="E15" s="8">
        <v>30.081</v>
      </c>
      <c r="F15" s="8">
        <v>14.262</v>
      </c>
      <c r="G15" s="8">
        <v>-25.035</v>
      </c>
      <c r="H15" s="8">
        <v>37.853000000000002</v>
      </c>
      <c r="I15" s="8">
        <v>30.074000000000002</v>
      </c>
      <c r="J15" s="13">
        <v>26.41</v>
      </c>
      <c r="K15" s="13">
        <v>-35.46</v>
      </c>
      <c r="L15" s="13">
        <v>41.654000000000003</v>
      </c>
      <c r="M15" s="8"/>
      <c r="N15" s="8"/>
      <c r="O15" s="8"/>
      <c r="P15" s="8">
        <v>-3.4089999999999998</v>
      </c>
      <c r="Q15" s="8">
        <v>-33.314999999999998</v>
      </c>
      <c r="R15" s="8">
        <v>-51.412999999999997</v>
      </c>
      <c r="S15" s="8">
        <v>-37.396000000000001</v>
      </c>
      <c r="T15" s="8">
        <v>-47.189</v>
      </c>
      <c r="U15" s="8">
        <v>-114.139</v>
      </c>
      <c r="V15" s="8">
        <v>-90.459000000000003</v>
      </c>
      <c r="W15" s="8">
        <v>-61.51</v>
      </c>
      <c r="X15" s="8">
        <v>-18.161000000000001</v>
      </c>
      <c r="Y15" s="8">
        <v>-98.823999999999998</v>
      </c>
      <c r="Z15" s="8">
        <v>-111.21899999999999</v>
      </c>
      <c r="AA15" s="8">
        <v>-188.708</v>
      </c>
      <c r="AB15" s="8">
        <v>-65.650000000000006</v>
      </c>
      <c r="AC15" s="8">
        <v>96.308999999999997</v>
      </c>
      <c r="AD15" s="8">
        <v>57.161000000000001</v>
      </c>
    </row>
    <row r="16" spans="1:38" x14ac:dyDescent="0.25">
      <c r="B16" s="4" t="s">
        <v>42</v>
      </c>
      <c r="C16" s="8">
        <f>C14+C15</f>
        <v>1123.633</v>
      </c>
      <c r="D16" s="8">
        <f>D14+D15</f>
        <v>1158.864</v>
      </c>
      <c r="E16" s="8">
        <f>E14+E15</f>
        <v>1294.2769999999994</v>
      </c>
      <c r="F16" s="8">
        <f>F14+F15</f>
        <v>1348.1189999999997</v>
      </c>
      <c r="G16" s="8">
        <f>G14+G15</f>
        <v>1536.7239999999999</v>
      </c>
      <c r="H16" s="8">
        <f>H14+H15</f>
        <v>1778.9809999999998</v>
      </c>
      <c r="I16" s="8">
        <f>I14+I15</f>
        <v>1859.1619999999998</v>
      </c>
      <c r="J16" s="13">
        <f>J14+J15</f>
        <v>1836.6130000000005</v>
      </c>
      <c r="K16" s="13">
        <f>K14+K15</f>
        <v>2011.5560000000005</v>
      </c>
      <c r="L16" s="13">
        <f>L14+L15</f>
        <v>2555.1420000000003</v>
      </c>
      <c r="M16" s="8"/>
      <c r="N16" s="8"/>
      <c r="O16" s="8"/>
      <c r="P16" s="8">
        <f t="shared" ref="P16" si="17">P14+P15</f>
        <v>812.45500000000027</v>
      </c>
      <c r="Q16" s="8">
        <f t="shared" ref="Q16" si="18">Q14+Q15</f>
        <v>206.14299999999986</v>
      </c>
      <c r="R16" s="8">
        <f t="shared" ref="R16" si="19">R14+R15</f>
        <v>68.471000000000245</v>
      </c>
      <c r="S16" s="8">
        <f t="shared" ref="S16:AD16" si="20">S14+S15</f>
        <v>640.27300000000037</v>
      </c>
      <c r="T16" s="8">
        <f t="shared" si="20"/>
        <v>820.29399999999976</v>
      </c>
      <c r="U16" s="8">
        <f t="shared" si="20"/>
        <v>960.11700000000008</v>
      </c>
      <c r="V16" s="8">
        <f t="shared" si="20"/>
        <v>1811.6729999999995</v>
      </c>
      <c r="W16" s="8">
        <f t="shared" si="20"/>
        <v>3151.7889999999989</v>
      </c>
      <c r="X16" s="8">
        <f t="shared" si="20"/>
        <v>2446.570999999999</v>
      </c>
      <c r="Y16" s="8">
        <f t="shared" si="20"/>
        <v>2574.978000000001</v>
      </c>
      <c r="Z16" s="8">
        <f t="shared" si="20"/>
        <v>4370.8039999999992</v>
      </c>
      <c r="AA16" s="8">
        <f t="shared" si="20"/>
        <v>5193.1140000000005</v>
      </c>
      <c r="AB16" s="8">
        <f t="shared" si="20"/>
        <v>5229.5260000000007</v>
      </c>
      <c r="AC16" s="8">
        <f t="shared" si="20"/>
        <v>4421.7840000000006</v>
      </c>
      <c r="AD16" s="8">
        <f t="shared" si="20"/>
        <v>5958.1290000000008</v>
      </c>
    </row>
    <row r="17" spans="2:30" x14ac:dyDescent="0.25">
      <c r="B17" s="4" t="s">
        <v>34</v>
      </c>
      <c r="C17" s="8">
        <v>127.35899999999999</v>
      </c>
      <c r="D17" s="8">
        <v>134.07400000000001</v>
      </c>
      <c r="E17" s="8">
        <v>177.834</v>
      </c>
      <c r="F17" s="8">
        <v>157.12799999999999</v>
      </c>
      <c r="G17" s="8">
        <v>206.05699999999999</v>
      </c>
      <c r="H17" s="8">
        <v>58.893000000000001</v>
      </c>
      <c r="I17" s="8">
        <v>290.50200000000001</v>
      </c>
      <c r="J17" s="13">
        <v>242.619</v>
      </c>
      <c r="K17" s="13">
        <v>186.096</v>
      </c>
      <c r="L17" s="13">
        <v>277.86</v>
      </c>
      <c r="M17" s="8"/>
      <c r="N17" s="8"/>
      <c r="O17" s="8"/>
      <c r="P17" s="8">
        <v>77.128</v>
      </c>
      <c r="Q17" s="8">
        <v>35.695</v>
      </c>
      <c r="R17" s="8">
        <v>0</v>
      </c>
      <c r="S17" s="8">
        <v>91.073999999999998</v>
      </c>
      <c r="T17" s="8">
        <v>85.272999999999996</v>
      </c>
      <c r="U17" s="8">
        <v>46.067999999999998</v>
      </c>
      <c r="V17" s="8">
        <v>113.91</v>
      </c>
      <c r="W17" s="8">
        <v>771.10799999999995</v>
      </c>
      <c r="X17" s="8">
        <v>255.14099999999999</v>
      </c>
      <c r="Y17" s="8">
        <v>323.22500000000002</v>
      </c>
      <c r="Z17" s="8">
        <v>462.346</v>
      </c>
      <c r="AA17" s="8">
        <v>587.82799999999997</v>
      </c>
      <c r="AB17" s="8">
        <v>598.279</v>
      </c>
      <c r="AC17" s="8">
        <v>532.45000000000005</v>
      </c>
      <c r="AD17" s="8">
        <v>599.91200000000003</v>
      </c>
    </row>
    <row r="18" spans="2:30" x14ac:dyDescent="0.25">
      <c r="B18" s="4" t="s">
        <v>44</v>
      </c>
      <c r="C18" s="8">
        <f t="shared" ref="C18:D18" si="21">C16-C17</f>
        <v>996.274</v>
      </c>
      <c r="D18" s="8">
        <f t="shared" si="21"/>
        <v>1024.79</v>
      </c>
      <c r="E18" s="8">
        <f t="shared" ref="E18:L18" si="22">E16-E17</f>
        <v>1116.4429999999993</v>
      </c>
      <c r="F18" s="8">
        <f t="shared" si="22"/>
        <v>1190.9909999999998</v>
      </c>
      <c r="G18" s="8">
        <f t="shared" si="22"/>
        <v>1330.6669999999999</v>
      </c>
      <c r="H18" s="8">
        <f t="shared" si="22"/>
        <v>1720.0879999999997</v>
      </c>
      <c r="I18" s="8">
        <f t="shared" si="22"/>
        <v>1568.6599999999999</v>
      </c>
      <c r="J18" s="13">
        <f t="shared" si="22"/>
        <v>1593.9940000000006</v>
      </c>
      <c r="K18" s="13">
        <f t="shared" si="22"/>
        <v>1825.4600000000005</v>
      </c>
      <c r="L18" s="13">
        <f t="shared" si="22"/>
        <v>2277.2820000000002</v>
      </c>
      <c r="M18" s="8"/>
      <c r="N18" s="8"/>
      <c r="O18" s="8"/>
      <c r="P18" s="8">
        <f t="shared" ref="P18" si="23">P16-P17</f>
        <v>735.32700000000023</v>
      </c>
      <c r="Q18" s="8">
        <f t="shared" ref="Q18" si="24">Q16-Q17</f>
        <v>170.44799999999987</v>
      </c>
      <c r="R18" s="8">
        <f t="shared" ref="R18" si="25">R16-R17</f>
        <v>68.471000000000245</v>
      </c>
      <c r="S18" s="8">
        <f t="shared" ref="S18:AD18" si="26">S16-S17</f>
        <v>549.19900000000041</v>
      </c>
      <c r="T18" s="8">
        <f t="shared" si="26"/>
        <v>735.02099999999973</v>
      </c>
      <c r="U18" s="8">
        <f t="shared" si="26"/>
        <v>914.04900000000009</v>
      </c>
      <c r="V18" s="8">
        <f t="shared" si="26"/>
        <v>1697.7629999999995</v>
      </c>
      <c r="W18" s="8">
        <f t="shared" si="26"/>
        <v>2380.6809999999987</v>
      </c>
      <c r="X18" s="8">
        <f t="shared" si="26"/>
        <v>2191.4299999999989</v>
      </c>
      <c r="Y18" s="8">
        <f t="shared" si="26"/>
        <v>2251.7530000000011</v>
      </c>
      <c r="Z18" s="8">
        <f t="shared" si="26"/>
        <v>3908.4579999999992</v>
      </c>
      <c r="AA18" s="8">
        <f t="shared" si="26"/>
        <v>4605.2860000000001</v>
      </c>
      <c r="AB18" s="8">
        <f t="shared" si="26"/>
        <v>4631.2470000000012</v>
      </c>
      <c r="AC18" s="8">
        <f t="shared" si="26"/>
        <v>3889.3340000000007</v>
      </c>
      <c r="AD18" s="8">
        <f t="shared" si="26"/>
        <v>5358.2170000000006</v>
      </c>
    </row>
    <row r="19" spans="2:30" ht="13" x14ac:dyDescent="0.3">
      <c r="B19" s="4" t="s">
        <v>45</v>
      </c>
      <c r="C19" s="9">
        <f>+C18/C20</f>
        <v>0.75752027482211526</v>
      </c>
      <c r="D19" s="9">
        <f>+D18/D20</f>
        <v>7.8161419244615287</v>
      </c>
      <c r="E19" s="9"/>
      <c r="F19" s="9"/>
      <c r="G19" s="9">
        <f>+G18/G20</f>
        <v>1.0330463473332816</v>
      </c>
      <c r="H19" s="9">
        <f>+H18/H20</f>
        <v>1.3470463994587027</v>
      </c>
      <c r="I19" s="9"/>
      <c r="J19" s="15"/>
      <c r="K19" s="15">
        <f>+K18/K20</f>
        <v>1.4518600998150839</v>
      </c>
      <c r="L19" s="15">
        <f>+L18/L20</f>
        <v>1.8130764184351993</v>
      </c>
      <c r="M19" s="9"/>
      <c r="N19" s="9"/>
      <c r="O19" s="9"/>
      <c r="P19" s="9">
        <f t="shared" ref="P19" si="27">P18/P20</f>
        <v>5.8817219782593062</v>
      </c>
      <c r="Q19" s="9">
        <f t="shared" ref="Q19" si="28">Q18/Q20</f>
        <v>1.3610470083763853</v>
      </c>
      <c r="R19" s="9">
        <f t="shared" ref="R19" si="29">R18/R20</f>
        <v>0.39480482038863079</v>
      </c>
      <c r="S19" s="9">
        <f t="shared" ref="S19:AD19" si="30">S18/S20</f>
        <v>3.1472180994023051</v>
      </c>
      <c r="T19" s="9">
        <f t="shared" si="30"/>
        <v>4.1510897005088454</v>
      </c>
      <c r="U19" s="9">
        <f t="shared" si="30"/>
        <v>5.2183958574780638</v>
      </c>
      <c r="V19" s="9">
        <f t="shared" si="30"/>
        <v>9.238520977308589</v>
      </c>
      <c r="W19" s="9">
        <f t="shared" si="30"/>
        <v>13.168794459625397</v>
      </c>
      <c r="X19" s="9">
        <f t="shared" si="30"/>
        <v>13.703717599974981</v>
      </c>
      <c r="Y19" s="9">
        <f t="shared" si="30"/>
        <v>15.103313434838023</v>
      </c>
      <c r="Z19" s="9">
        <f t="shared" si="30"/>
        <v>26.895527112579131</v>
      </c>
      <c r="AA19" s="9">
        <f t="shared" si="30"/>
        <v>32.748001820405612</v>
      </c>
      <c r="AB19" s="9">
        <f t="shared" si="30"/>
        <v>3.4095003003675095</v>
      </c>
      <c r="AC19" s="9">
        <f t="shared" si="30"/>
        <v>2.9465789966127485</v>
      </c>
      <c r="AD19" s="9">
        <f t="shared" si="30"/>
        <v>4.1531994152581655</v>
      </c>
    </row>
    <row r="20" spans="2:30" x14ac:dyDescent="0.25">
      <c r="B20" s="4" t="s">
        <v>46</v>
      </c>
      <c r="C20" s="8">
        <v>1315.1780000000001</v>
      </c>
      <c r="D20" s="8">
        <v>131.11199999999999</v>
      </c>
      <c r="E20" s="8"/>
      <c r="F20" s="8"/>
      <c r="G20" s="8">
        <v>1288.0999999999999</v>
      </c>
      <c r="H20" s="8">
        <v>1276.933</v>
      </c>
      <c r="I20" s="8"/>
      <c r="J20" s="13"/>
      <c r="K20" s="13">
        <v>1257.325</v>
      </c>
      <c r="L20" s="13">
        <v>1256.0319999999999</v>
      </c>
      <c r="M20" s="8"/>
      <c r="N20" s="8"/>
      <c r="O20" s="8"/>
      <c r="P20" s="8">
        <v>125.01900000000001</v>
      </c>
      <c r="Q20" s="8">
        <v>125.233</v>
      </c>
      <c r="R20" s="8">
        <v>173.43</v>
      </c>
      <c r="S20" s="8">
        <v>174.50299999999999</v>
      </c>
      <c r="T20" s="8">
        <v>177.06700000000001</v>
      </c>
      <c r="U20" s="8">
        <v>175.15899999999999</v>
      </c>
      <c r="V20" s="8">
        <v>183.77</v>
      </c>
      <c r="W20" s="8">
        <v>180.78200000000001</v>
      </c>
      <c r="X20" s="8">
        <v>159.91499999999999</v>
      </c>
      <c r="Y20" s="8">
        <v>149.09</v>
      </c>
      <c r="Z20" s="8">
        <v>145.32</v>
      </c>
      <c r="AA20" s="8">
        <v>140.62799999999999</v>
      </c>
      <c r="AB20" s="8">
        <v>1358.336</v>
      </c>
      <c r="AC20" s="8">
        <v>1319.9490000000001</v>
      </c>
      <c r="AD20" s="8">
        <v>1290.1420000000001</v>
      </c>
    </row>
    <row r="22" spans="2:30" x14ac:dyDescent="0.25">
      <c r="B22" s="4" t="s">
        <v>47</v>
      </c>
      <c r="I22" s="10">
        <f>I8/E8-1</f>
        <v>0.2774001097894998</v>
      </c>
      <c r="J22" s="16">
        <f>J8/F8-1</f>
        <v>0.22137422198619006</v>
      </c>
      <c r="K22" s="16">
        <f t="shared" ref="K22:L22" si="31">K8/G8-1</f>
        <v>0.2375575058128141</v>
      </c>
      <c r="L22" s="16">
        <f t="shared" si="31"/>
        <v>0.29988921747003183</v>
      </c>
      <c r="Q22" s="10">
        <f t="shared" ref="Q22:S22" si="32">Q8/P8-1</f>
        <v>-0.1768237445613281</v>
      </c>
      <c r="R22" s="10">
        <f t="shared" si="32"/>
        <v>0.35034023815169801</v>
      </c>
      <c r="S22" s="10">
        <f t="shared" si="32"/>
        <v>0.28019353605363384</v>
      </c>
      <c r="T22" s="10">
        <f t="shared" ref="T22:AD22" si="33">T8/S8-1</f>
        <v>0.14151492769423535</v>
      </c>
      <c r="U22" s="10">
        <f t="shared" si="33"/>
        <v>0.11913744611462485</v>
      </c>
      <c r="V22" s="10">
        <f t="shared" si="33"/>
        <v>0.36149603806932951</v>
      </c>
      <c r="W22" s="10">
        <f t="shared" si="33"/>
        <v>0.38227143288551235</v>
      </c>
      <c r="X22" s="10">
        <f t="shared" si="33"/>
        <v>-0.12850404053517028</v>
      </c>
      <c r="Y22" s="10">
        <f t="shared" si="33"/>
        <v>4.0521532007004035E-2</v>
      </c>
      <c r="Z22" s="10">
        <f t="shared" si="33"/>
        <v>0.45610098662622867</v>
      </c>
      <c r="AA22" s="10">
        <f t="shared" si="33"/>
        <v>0.1778245813149737</v>
      </c>
      <c r="AB22" s="10">
        <f t="shared" si="33"/>
        <v>1.169539350320159E-2</v>
      </c>
      <c r="AC22" s="10">
        <f t="shared" si="33"/>
        <v>-0.14477021451510841</v>
      </c>
      <c r="AD22" s="10">
        <f t="shared" si="33"/>
        <v>0.23684089764599192</v>
      </c>
    </row>
    <row r="23" spans="2:30" x14ac:dyDescent="0.25">
      <c r="B23" s="4" t="s">
        <v>48</v>
      </c>
      <c r="C23" s="10">
        <f t="shared" ref="C23:D23" si="34">C10/C8</f>
        <v>0.47863720549415617</v>
      </c>
      <c r="D23" s="10">
        <f t="shared" si="34"/>
        <v>0.47665521462314286</v>
      </c>
      <c r="E23" s="10">
        <f t="shared" ref="E23" si="35">E10/E8</f>
        <v>0.48049292990170761</v>
      </c>
      <c r="F23" s="10">
        <f t="shared" ref="F23:J23" si="36">F10/F8</f>
        <v>0.47371086279466373</v>
      </c>
      <c r="G23" s="10">
        <f t="shared" si="36"/>
        <v>0.49016953820568093</v>
      </c>
      <c r="H23" s="10">
        <f t="shared" si="36"/>
        <v>0.50077590312706843</v>
      </c>
      <c r="I23" s="10">
        <f t="shared" si="36"/>
        <v>0.50428094654324718</v>
      </c>
      <c r="J23" s="16">
        <f t="shared" si="36"/>
        <v>0.4960272534510704</v>
      </c>
      <c r="K23" s="16">
        <f t="shared" ref="K23:L23" si="37">K10/K8</f>
        <v>0.49825095934460539</v>
      </c>
      <c r="L23" s="16">
        <f t="shared" si="37"/>
        <v>0.51749729777493747</v>
      </c>
      <c r="M23" s="10"/>
      <c r="N23" s="10"/>
      <c r="O23" s="10"/>
      <c r="P23" s="10">
        <f t="shared" ref="P23:R23" si="38">P10/P8</f>
        <v>0.46243791489804625</v>
      </c>
      <c r="Q23" s="10">
        <f t="shared" si="38"/>
        <v>0.40675080819693288</v>
      </c>
      <c r="R23" s="10">
        <f t="shared" si="38"/>
        <v>0.38985600108477114</v>
      </c>
      <c r="S23" s="10">
        <f t="shared" ref="S23:AD23" si="39">S10/S8</f>
        <v>0.43571659725883377</v>
      </c>
      <c r="T23" s="10">
        <f t="shared" si="39"/>
        <v>0.43434122181760654</v>
      </c>
      <c r="U23" s="10">
        <f t="shared" si="39"/>
        <v>0.44494896526321492</v>
      </c>
      <c r="V23" s="10">
        <f t="shared" si="39"/>
        <v>0.44965433848872288</v>
      </c>
      <c r="W23" s="10">
        <f t="shared" si="39"/>
        <v>0.46628445721485184</v>
      </c>
      <c r="X23" s="10">
        <f t="shared" si="39"/>
        <v>0.45148727013529405</v>
      </c>
      <c r="Y23" s="10">
        <f t="shared" si="39"/>
        <v>0.45881673744337342</v>
      </c>
      <c r="Z23" s="10">
        <f t="shared" si="39"/>
        <v>0.46528348198261332</v>
      </c>
      <c r="AA23" s="10">
        <f t="shared" si="39"/>
        <v>0.45694486440763271</v>
      </c>
      <c r="AB23" s="10">
        <f t="shared" si="39"/>
        <v>0.45070337600745813</v>
      </c>
      <c r="AC23" s="10">
        <f t="shared" si="39"/>
        <v>0.47608065970247265</v>
      </c>
      <c r="AD23" s="10">
        <f t="shared" si="39"/>
        <v>0.48705023885591742</v>
      </c>
    </row>
    <row r="25" spans="2:30" x14ac:dyDescent="0.25">
      <c r="B25" s="4" t="s">
        <v>60</v>
      </c>
      <c r="AC25" s="8">
        <f>+AC26-AC38</f>
        <v>864.52199999999903</v>
      </c>
      <c r="AD25" s="8">
        <f>+AD26-AD38</f>
        <v>1906.1539999999995</v>
      </c>
    </row>
    <row r="26" spans="2:30" x14ac:dyDescent="0.25">
      <c r="B26" s="4" t="s">
        <v>3</v>
      </c>
      <c r="R26" s="8">
        <f>1162.473+1334.745+166.536</f>
        <v>2663.7539999999999</v>
      </c>
      <c r="AC26" s="8">
        <v>5847.8559999999998</v>
      </c>
      <c r="AD26" s="8">
        <f>6390.659</f>
        <v>6390.6589999999997</v>
      </c>
    </row>
    <row r="27" spans="2:30" x14ac:dyDescent="0.25">
      <c r="B27" s="4" t="s">
        <v>21</v>
      </c>
      <c r="R27" s="8">
        <v>602.62400000000002</v>
      </c>
      <c r="AC27" s="8">
        <v>2519.25</v>
      </c>
      <c r="AD27" s="8">
        <v>3378.0709999999999</v>
      </c>
    </row>
    <row r="28" spans="2:30" x14ac:dyDescent="0.25">
      <c r="B28" s="4" t="s">
        <v>22</v>
      </c>
      <c r="R28" s="8">
        <v>559.31700000000001</v>
      </c>
      <c r="AC28" s="8">
        <v>4217.924</v>
      </c>
      <c r="AD28" s="8">
        <v>4307.991</v>
      </c>
    </row>
    <row r="29" spans="2:30" x14ac:dyDescent="0.25">
      <c r="B29" s="4" t="s">
        <v>23</v>
      </c>
      <c r="R29" s="8">
        <f>27.674+106.996</f>
        <v>134.66999999999999</v>
      </c>
      <c r="AC29" s="8">
        <v>298.19</v>
      </c>
      <c r="AD29" s="8">
        <v>440.274</v>
      </c>
    </row>
    <row r="30" spans="2:30" s="6" customFormat="1" ht="13" x14ac:dyDescent="0.3">
      <c r="B30" s="6" t="s">
        <v>24</v>
      </c>
      <c r="J30" s="17"/>
      <c r="K30" s="17"/>
      <c r="L30" s="17"/>
      <c r="R30" s="7">
        <v>603.91</v>
      </c>
      <c r="AC30" s="7">
        <v>2154.518</v>
      </c>
      <c r="AD30" s="7">
        <v>2428.7440000000001</v>
      </c>
    </row>
    <row r="31" spans="2:30" x14ac:dyDescent="0.25">
      <c r="B31" s="4" t="s">
        <v>25</v>
      </c>
      <c r="R31" s="8">
        <f>1452.196+1074.345</f>
        <v>2526.5410000000002</v>
      </c>
      <c r="AC31" s="8">
        <v>1765.0730000000001</v>
      </c>
      <c r="AD31" s="8">
        <v>1808.6849999999999</v>
      </c>
    </row>
    <row r="32" spans="2:30" x14ac:dyDescent="0.25">
      <c r="B32" s="4" t="s">
        <v>26</v>
      </c>
      <c r="R32" s="8">
        <v>159.499</v>
      </c>
      <c r="AC32" s="8">
        <v>1941.9169999999999</v>
      </c>
      <c r="AD32" s="8">
        <v>2590.8359999999998</v>
      </c>
    </row>
    <row r="33" spans="2:30" x14ac:dyDescent="0.25">
      <c r="B33" s="4" t="s">
        <v>27</v>
      </c>
      <c r="R33" s="8">
        <f>SUM(R26:R32)</f>
        <v>7250.3149999999996</v>
      </c>
      <c r="AC33" s="8">
        <f t="shared" ref="AC33" si="40">SUM(AC26:AC32)</f>
        <v>18744.727999999999</v>
      </c>
      <c r="AD33" s="8">
        <f>SUM(AD26:AD32)</f>
        <v>21345.26</v>
      </c>
    </row>
    <row r="35" spans="2:30" x14ac:dyDescent="0.25">
      <c r="B35" s="4" t="s">
        <v>28</v>
      </c>
      <c r="R35" s="8">
        <v>200.25399999999999</v>
      </c>
      <c r="AC35" s="8">
        <v>613.96600000000001</v>
      </c>
      <c r="AD35" s="8">
        <v>854.20799999999997</v>
      </c>
    </row>
    <row r="36" spans="2:30" x14ac:dyDescent="0.25">
      <c r="B36" s="4" t="s">
        <v>30</v>
      </c>
      <c r="R36" s="8">
        <v>464.52800000000002</v>
      </c>
      <c r="AC36" s="8">
        <v>1801.877</v>
      </c>
      <c r="AD36" s="8">
        <v>2394.366</v>
      </c>
    </row>
    <row r="37" spans="2:30" x14ac:dyDescent="0.25">
      <c r="B37" s="4" t="s">
        <v>31</v>
      </c>
      <c r="R37" s="8">
        <v>225.03800000000001</v>
      </c>
      <c r="AC37" s="8">
        <v>1417.7809999999999</v>
      </c>
      <c r="AD37" s="8">
        <v>2565.54</v>
      </c>
    </row>
    <row r="38" spans="2:30" x14ac:dyDescent="0.25">
      <c r="B38" s="4" t="s">
        <v>4</v>
      </c>
      <c r="R38" s="8">
        <f>514.655+789.256+186.92</f>
        <v>1490.8310000000001</v>
      </c>
      <c r="AC38" s="8">
        <f>504.814+4478.52</f>
        <v>4983.3340000000007</v>
      </c>
      <c r="AD38" s="8">
        <f>754.311+3730.194</f>
        <v>4484.5050000000001</v>
      </c>
    </row>
    <row r="39" spans="2:30" x14ac:dyDescent="0.25">
      <c r="B39" s="4" t="s">
        <v>34</v>
      </c>
      <c r="R39" s="8">
        <v>246.47900000000001</v>
      </c>
      <c r="AC39" s="8">
        <v>813.30399999999997</v>
      </c>
      <c r="AD39" s="8">
        <v>603.41200000000003</v>
      </c>
    </row>
    <row r="40" spans="2:30" x14ac:dyDescent="0.25">
      <c r="B40" s="4" t="s">
        <v>32</v>
      </c>
      <c r="R40" s="8">
        <v>134.31299999999999</v>
      </c>
      <c r="AC40" s="8">
        <v>575.01199999999994</v>
      </c>
      <c r="AD40" s="8">
        <v>581.61</v>
      </c>
    </row>
    <row r="41" spans="2:30" x14ac:dyDescent="0.25">
      <c r="B41" s="4" t="s">
        <v>33</v>
      </c>
      <c r="R41" s="8">
        <v>4488.8720000000003</v>
      </c>
      <c r="AC41" s="8">
        <v>8539.4539999999997</v>
      </c>
      <c r="AD41" s="8">
        <v>9861.6190000000006</v>
      </c>
    </row>
    <row r="42" spans="2:30" x14ac:dyDescent="0.25">
      <c r="B42" s="4" t="s">
        <v>29</v>
      </c>
      <c r="R42" s="8">
        <f>SUM(R35:R41)</f>
        <v>7250.3150000000005</v>
      </c>
      <c r="AC42" s="8">
        <f t="shared" ref="AC42" si="41">SUM(AC35:AC41)</f>
        <v>18744.728000000003</v>
      </c>
      <c r="AD42" s="8">
        <f>SUM(AD35:AD41)</f>
        <v>21345.260000000002</v>
      </c>
    </row>
    <row r="44" spans="2:30" x14ac:dyDescent="0.25">
      <c r="B44" s="4" t="s">
        <v>70</v>
      </c>
      <c r="Q44" s="8">
        <f t="shared" ref="Q44" si="42">Q18</f>
        <v>170.44799999999987</v>
      </c>
      <c r="R44" s="8">
        <f>R18</f>
        <v>68.471000000000245</v>
      </c>
    </row>
    <row r="45" spans="2:30" x14ac:dyDescent="0.25">
      <c r="B45" s="4" t="s">
        <v>74</v>
      </c>
      <c r="C45" s="8"/>
      <c r="D45" s="8"/>
      <c r="E45" s="8"/>
      <c r="F45" s="8"/>
      <c r="G45" s="8"/>
      <c r="H45" s="8"/>
      <c r="I45" s="8"/>
      <c r="J45" s="13"/>
      <c r="K45" s="13"/>
      <c r="L45" s="13"/>
      <c r="M45" s="8"/>
      <c r="N45" s="8"/>
      <c r="O45" s="8"/>
      <c r="P45" s="8"/>
      <c r="Q45" s="8">
        <v>168.72300000000001</v>
      </c>
      <c r="R45" s="8">
        <v>113.879</v>
      </c>
    </row>
    <row r="46" spans="2:30" x14ac:dyDescent="0.25">
      <c r="B46" s="4" t="s">
        <v>73</v>
      </c>
      <c r="C46" s="8"/>
      <c r="D46" s="8"/>
      <c r="E46" s="8"/>
      <c r="F46" s="8"/>
      <c r="G46" s="8"/>
      <c r="H46" s="8"/>
      <c r="I46" s="8"/>
      <c r="J46" s="13"/>
      <c r="K46" s="13"/>
      <c r="L46" s="13"/>
      <c r="M46" s="8"/>
      <c r="N46" s="8"/>
      <c r="O46" s="8"/>
      <c r="P46" s="8"/>
      <c r="Q46" s="8">
        <v>100.825</v>
      </c>
      <c r="R46" s="8">
        <v>304.11599999999999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2:30" x14ac:dyDescent="0.25">
      <c r="B47" s="4" t="s">
        <v>34</v>
      </c>
      <c r="C47" s="8"/>
      <c r="D47" s="8"/>
      <c r="E47" s="8"/>
      <c r="F47" s="8"/>
      <c r="G47" s="8"/>
      <c r="H47" s="8"/>
      <c r="I47" s="8"/>
      <c r="J47" s="13"/>
      <c r="K47" s="13"/>
      <c r="L47" s="13"/>
      <c r="M47" s="8"/>
      <c r="N47" s="8"/>
      <c r="O47" s="8"/>
      <c r="P47" s="8"/>
      <c r="Q47" s="8">
        <v>42.445999999999998</v>
      </c>
      <c r="R47" s="8">
        <v>-70.155000000000001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2:30" x14ac:dyDescent="0.25">
      <c r="B48" s="4" t="s">
        <v>72</v>
      </c>
      <c r="C48" s="8"/>
      <c r="D48" s="8"/>
      <c r="E48" s="8"/>
      <c r="F48" s="8"/>
      <c r="G48" s="8"/>
      <c r="H48" s="8"/>
      <c r="I48" s="8"/>
      <c r="J48" s="13"/>
      <c r="K48" s="13"/>
      <c r="L48" s="13"/>
      <c r="M48" s="8"/>
      <c r="N48" s="8"/>
      <c r="O48" s="8"/>
      <c r="P48" s="8"/>
      <c r="Q48" s="8">
        <f>0.866+1.724</f>
        <v>2.59</v>
      </c>
      <c r="R48" s="8">
        <f>1.813+3.711</f>
        <v>5.524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2:30" x14ac:dyDescent="0.25">
      <c r="B49" s="4" t="s">
        <v>71</v>
      </c>
      <c r="C49" s="8"/>
      <c r="D49" s="8"/>
      <c r="E49" s="8"/>
      <c r="F49" s="8"/>
      <c r="G49" s="8"/>
      <c r="H49" s="8"/>
      <c r="I49" s="8"/>
      <c r="J49" s="13"/>
      <c r="K49" s="13"/>
      <c r="L49" s="13"/>
      <c r="M49" s="8"/>
      <c r="N49" s="8"/>
      <c r="O49" s="8"/>
      <c r="P49" s="8"/>
      <c r="Q49" s="8">
        <f>81.559+1.51-2.686</f>
        <v>80.38300000000001</v>
      </c>
      <c r="R49" s="8">
        <f>99.33-0.483+0.539</f>
        <v>99.385999999999996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2:30" x14ac:dyDescent="0.25">
      <c r="B50" s="4" t="s">
        <v>76</v>
      </c>
      <c r="C50" s="8"/>
      <c r="D50" s="8"/>
      <c r="E50" s="8"/>
      <c r="F50" s="8"/>
      <c r="G50" s="8"/>
      <c r="H50" s="8"/>
      <c r="I50" s="8"/>
      <c r="J50" s="13"/>
      <c r="K50" s="13"/>
      <c r="L50" s="13"/>
      <c r="M50" s="8"/>
      <c r="N50" s="8"/>
      <c r="O50" s="8"/>
      <c r="P50" s="8"/>
      <c r="Q50" s="8">
        <v>27.027999999999999</v>
      </c>
      <c r="R50" s="8">
        <v>31.558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2:30" x14ac:dyDescent="0.25">
      <c r="B51" s="4" t="s">
        <v>26</v>
      </c>
      <c r="C51" s="8"/>
      <c r="D51" s="8"/>
      <c r="E51" s="8"/>
      <c r="F51" s="8"/>
      <c r="G51" s="8"/>
      <c r="H51" s="8"/>
      <c r="I51" s="8"/>
      <c r="J51" s="13"/>
      <c r="K51" s="13"/>
      <c r="L51" s="13"/>
      <c r="M51" s="8"/>
      <c r="N51" s="8"/>
      <c r="O51" s="8"/>
      <c r="P51" s="8"/>
      <c r="Q51" s="8">
        <v>10.877000000000001</v>
      </c>
      <c r="R51" s="8">
        <v>35.387999999999998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2:30" x14ac:dyDescent="0.25">
      <c r="B52" s="4" t="s">
        <v>75</v>
      </c>
      <c r="C52" s="8"/>
      <c r="D52" s="8"/>
      <c r="E52" s="8"/>
      <c r="F52" s="8"/>
      <c r="G52" s="8"/>
      <c r="H52" s="8"/>
      <c r="I52" s="8"/>
      <c r="J52" s="13"/>
      <c r="K52" s="13"/>
      <c r="L52" s="13"/>
      <c r="M52" s="8"/>
      <c r="N52" s="8"/>
      <c r="O52" s="8"/>
      <c r="P52" s="8"/>
      <c r="Q52" s="8">
        <f>66.064+73.987+43.171+12.145-9.236-119.975</f>
        <v>66.156000000000006</v>
      </c>
      <c r="R52" s="8">
        <f>162.634+76.351+2.88-58.081+60.205-43.752</f>
        <v>200.23699999999997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2:30" x14ac:dyDescent="0.25">
      <c r="B53" s="4" t="s">
        <v>49</v>
      </c>
      <c r="C53" s="8"/>
      <c r="D53" s="8"/>
      <c r="E53" s="8"/>
      <c r="F53" s="8"/>
      <c r="G53" s="8"/>
      <c r="H53" s="8"/>
      <c r="I53" s="8"/>
      <c r="J53" s="13"/>
      <c r="K53" s="13"/>
      <c r="L53" s="13"/>
      <c r="M53" s="8"/>
      <c r="N53" s="8"/>
      <c r="O53" s="8"/>
      <c r="P53" s="8"/>
      <c r="Q53" s="8">
        <f t="shared" ref="Q53" si="43">SUM(Q45:Q52)</f>
        <v>499.02800000000002</v>
      </c>
      <c r="R53" s="8">
        <f>SUM(R45:R52)</f>
        <v>719.93299999999999</v>
      </c>
      <c r="S53" s="8">
        <v>717.04899999999998</v>
      </c>
      <c r="T53" s="8">
        <v>785.50300000000004</v>
      </c>
      <c r="U53" s="8">
        <v>1350.277</v>
      </c>
      <c r="V53" s="8">
        <v>2029.2819999999999</v>
      </c>
      <c r="W53" s="8">
        <v>2655.7469999999998</v>
      </c>
      <c r="X53" s="8">
        <v>3176.0129999999999</v>
      </c>
      <c r="Y53" s="8">
        <v>2126.451</v>
      </c>
      <c r="Z53" s="8">
        <v>3588.163</v>
      </c>
      <c r="AA53" s="8">
        <v>3099.674</v>
      </c>
      <c r="AB53" s="8">
        <v>5178.9380000000001</v>
      </c>
      <c r="AC53" s="8">
        <v>4652.2690000000002</v>
      </c>
      <c r="AD53" s="8">
        <v>6173.2640000000001</v>
      </c>
    </row>
    <row r="54" spans="2:30" x14ac:dyDescent="0.25">
      <c r="C54" s="8"/>
      <c r="D54" s="8"/>
      <c r="E54" s="8"/>
      <c r="F54" s="8"/>
      <c r="G54" s="8"/>
      <c r="H54" s="8"/>
      <c r="I54" s="8"/>
      <c r="J54" s="13"/>
      <c r="K54" s="13"/>
      <c r="L54" s="13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2:30" x14ac:dyDescent="0.25">
      <c r="B55" s="4" t="s">
        <v>50</v>
      </c>
      <c r="C55" s="8"/>
      <c r="D55" s="8"/>
      <c r="E55" s="8"/>
      <c r="F55" s="8"/>
      <c r="G55" s="8"/>
      <c r="H55" s="8"/>
      <c r="I55" s="8"/>
      <c r="J55" s="13"/>
      <c r="K55" s="13"/>
      <c r="L55" s="13"/>
      <c r="M55" s="8"/>
      <c r="N55" s="8"/>
      <c r="O55" s="8"/>
      <c r="P55" s="8"/>
      <c r="Q55" s="8"/>
      <c r="R55" s="8">
        <v>-160.79499999999999</v>
      </c>
      <c r="S55" s="8">
        <v>145.50299999999999</v>
      </c>
      <c r="T55" s="8">
        <v>198.26499999999999</v>
      </c>
      <c r="U55" s="8">
        <v>175.33</v>
      </c>
      <c r="V55" s="8">
        <v>157.41900000000001</v>
      </c>
      <c r="W55" s="8">
        <v>273.46899999999999</v>
      </c>
      <c r="X55" s="8">
        <v>303.49099999999999</v>
      </c>
      <c r="Y55" s="8">
        <v>203.239</v>
      </c>
      <c r="Z55" s="8">
        <v>349.096</v>
      </c>
      <c r="AA55" s="8">
        <v>546.03399999999999</v>
      </c>
      <c r="AB55" s="8">
        <v>501.56799999999998</v>
      </c>
      <c r="AC55" s="8">
        <v>396.67</v>
      </c>
      <c r="AD55" s="8">
        <v>759.18600000000004</v>
      </c>
    </row>
    <row r="56" spans="2:30" x14ac:dyDescent="0.25">
      <c r="B56" s="4" t="s">
        <v>77</v>
      </c>
      <c r="C56" s="8"/>
      <c r="D56" s="8"/>
      <c r="E56" s="8"/>
      <c r="F56" s="8"/>
      <c r="G56" s="8"/>
      <c r="H56" s="8"/>
      <c r="I56" s="8"/>
      <c r="J56" s="13"/>
      <c r="K56" s="13"/>
      <c r="L56" s="13"/>
      <c r="M56" s="8"/>
      <c r="N56" s="8"/>
      <c r="O56" s="8"/>
      <c r="P56" s="8"/>
      <c r="Q56" s="8">
        <v>418.68099999999998</v>
      </c>
      <c r="R56" s="8">
        <v>-9.9160000000000004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2:30" x14ac:dyDescent="0.25">
      <c r="B57" s="4" t="s">
        <v>78</v>
      </c>
      <c r="C57" s="8"/>
      <c r="D57" s="8"/>
      <c r="E57" s="8"/>
      <c r="F57" s="8"/>
      <c r="G57" s="8"/>
      <c r="H57" s="8"/>
      <c r="I57" s="8"/>
      <c r="J57" s="13"/>
      <c r="K57" s="13"/>
      <c r="L57" s="13"/>
      <c r="M57" s="8"/>
      <c r="N57" s="8"/>
      <c r="O57" s="8"/>
      <c r="P57" s="8"/>
      <c r="Q57" s="8"/>
      <c r="R57" s="8">
        <f>-1097.956+1039.551</f>
        <v>-58.404999999999973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spans="2:30" x14ac:dyDescent="0.25">
      <c r="B58" s="4" t="s">
        <v>26</v>
      </c>
      <c r="C58" s="8"/>
      <c r="D58" s="8"/>
      <c r="E58" s="8"/>
      <c r="F58" s="8"/>
      <c r="G58" s="8"/>
      <c r="H58" s="8"/>
      <c r="I58" s="8"/>
      <c r="J58" s="13"/>
      <c r="K58" s="13"/>
      <c r="L58" s="13"/>
      <c r="M58" s="8"/>
      <c r="N58" s="8"/>
      <c r="O58" s="8"/>
      <c r="P58" s="8"/>
      <c r="Q58" s="8"/>
      <c r="R58" s="8">
        <f>-10+0.66-0.181</f>
        <v>-9.520999999999999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spans="2:30" x14ac:dyDescent="0.25">
      <c r="B59" s="4" t="s">
        <v>79</v>
      </c>
      <c r="C59" s="8"/>
      <c r="D59" s="8"/>
      <c r="E59" s="8"/>
      <c r="F59" s="8"/>
      <c r="G59" s="8"/>
      <c r="H59" s="8"/>
      <c r="I59" s="8"/>
      <c r="J59" s="13"/>
      <c r="K59" s="13"/>
      <c r="L59" s="13"/>
      <c r="M59" s="8"/>
      <c r="N59" s="8"/>
      <c r="O59" s="8"/>
      <c r="P59" s="8"/>
      <c r="Q59" s="8">
        <f t="shared" ref="Q59" si="44">SUM(Q55:Q58)</f>
        <v>418.68099999999998</v>
      </c>
      <c r="R59" s="8">
        <f>SUM(R55:R58)</f>
        <v>-238.63699999999994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spans="2:30" x14ac:dyDescent="0.25">
      <c r="C60" s="8"/>
      <c r="D60" s="8"/>
      <c r="E60" s="8"/>
      <c r="F60" s="8"/>
      <c r="G60" s="8"/>
      <c r="H60" s="8"/>
      <c r="I60" s="8"/>
      <c r="J60" s="13"/>
      <c r="K60" s="13"/>
      <c r="L60" s="13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spans="2:30" x14ac:dyDescent="0.25">
      <c r="B61" s="4" t="s">
        <v>80</v>
      </c>
      <c r="C61" s="8"/>
      <c r="D61" s="8"/>
      <c r="E61" s="8"/>
      <c r="F61" s="8"/>
      <c r="G61" s="8"/>
      <c r="H61" s="8"/>
      <c r="I61" s="8"/>
      <c r="J61" s="13"/>
      <c r="K61" s="13"/>
      <c r="L61" s="13"/>
      <c r="M61" s="8"/>
      <c r="N61" s="8"/>
      <c r="O61" s="8"/>
      <c r="P61" s="8"/>
      <c r="Q61" s="8"/>
      <c r="R61" s="8">
        <v>-955.66099999999994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spans="2:30" x14ac:dyDescent="0.25">
      <c r="B62" s="4" t="s">
        <v>82</v>
      </c>
      <c r="C62" s="8"/>
      <c r="D62" s="8"/>
      <c r="E62" s="8"/>
      <c r="F62" s="8"/>
      <c r="G62" s="8"/>
      <c r="H62" s="8"/>
      <c r="I62" s="8"/>
      <c r="J62" s="13"/>
      <c r="K62" s="13"/>
      <c r="L62" s="13"/>
      <c r="M62" s="8"/>
      <c r="N62" s="8"/>
      <c r="O62" s="8"/>
      <c r="P62" s="8"/>
      <c r="Q62" s="8"/>
      <c r="R62" s="8">
        <v>31.265000000000001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spans="2:30" x14ac:dyDescent="0.25">
      <c r="B63" s="4" t="s">
        <v>81</v>
      </c>
      <c r="C63" s="8"/>
      <c r="D63" s="8"/>
      <c r="E63" s="8"/>
      <c r="F63" s="8"/>
      <c r="G63" s="8"/>
      <c r="H63" s="8"/>
      <c r="I63" s="8"/>
      <c r="J63" s="13"/>
      <c r="K63" s="13"/>
      <c r="L63" s="13"/>
      <c r="M63" s="8"/>
      <c r="N63" s="8"/>
      <c r="O63" s="8"/>
      <c r="P63" s="8"/>
      <c r="Q63" s="8"/>
      <c r="R63" s="8">
        <v>39.378999999999998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spans="2:30" x14ac:dyDescent="0.25">
      <c r="B64" s="4" t="s">
        <v>26</v>
      </c>
      <c r="C64" s="8"/>
      <c r="D64" s="8"/>
      <c r="E64" s="8"/>
      <c r="F64" s="8"/>
      <c r="G64" s="8"/>
      <c r="H64" s="8"/>
      <c r="I64" s="8"/>
      <c r="J64" s="13"/>
      <c r="K64" s="13"/>
      <c r="L64" s="13"/>
      <c r="M64" s="8"/>
      <c r="N64" s="8"/>
      <c r="O64" s="8"/>
      <c r="P64" s="8"/>
      <c r="Q64" s="8"/>
      <c r="R64" s="8">
        <f>-2.234-0.539</f>
        <v>-2.7730000000000001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spans="2:81" x14ac:dyDescent="0.25">
      <c r="B65" s="4" t="s">
        <v>84</v>
      </c>
      <c r="C65" s="8"/>
      <c r="D65" s="8"/>
      <c r="E65" s="8"/>
      <c r="F65" s="8"/>
      <c r="G65" s="8"/>
      <c r="H65" s="8"/>
      <c r="I65" s="8"/>
      <c r="J65" s="13"/>
      <c r="K65" s="13"/>
      <c r="L65" s="13"/>
      <c r="M65" s="8"/>
      <c r="N65" s="8"/>
      <c r="O65" s="8"/>
      <c r="P65" s="8"/>
      <c r="Q65" s="8"/>
      <c r="R65" s="8">
        <f>SUM(R61:R64)</f>
        <v>-887.79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spans="2:81" x14ac:dyDescent="0.25">
      <c r="B66" s="4" t="s">
        <v>83</v>
      </c>
      <c r="C66" s="8"/>
      <c r="D66" s="8"/>
      <c r="E66" s="8"/>
      <c r="F66" s="8"/>
      <c r="G66" s="8"/>
      <c r="H66" s="8"/>
      <c r="I66" s="8"/>
      <c r="J66" s="13"/>
      <c r="K66" s="13"/>
      <c r="L66" s="13"/>
      <c r="M66" s="8"/>
      <c r="N66" s="8"/>
      <c r="O66" s="8"/>
      <c r="P66" s="8"/>
      <c r="Q66" s="8"/>
      <c r="R66" s="8">
        <v>4.2149999999999999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spans="2:81" x14ac:dyDescent="0.25">
      <c r="B67" s="4" t="s">
        <v>85</v>
      </c>
      <c r="C67" s="8"/>
      <c r="D67" s="8"/>
      <c r="E67" s="8"/>
      <c r="F67" s="8"/>
      <c r="G67" s="8"/>
      <c r="H67" s="8"/>
      <c r="I67" s="8"/>
      <c r="J67" s="13"/>
      <c r="K67" s="13"/>
      <c r="L67" s="13"/>
      <c r="M67" s="8"/>
      <c r="N67" s="8"/>
      <c r="O67" s="8"/>
      <c r="P67" s="8"/>
      <c r="Q67" s="8"/>
      <c r="R67" s="8">
        <f>+R66+R65+R59+R53</f>
        <v>-402.279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spans="2:81" x14ac:dyDescent="0.25">
      <c r="C68" s="8"/>
      <c r="D68" s="8"/>
      <c r="E68" s="8"/>
      <c r="F68" s="8"/>
      <c r="G68" s="8"/>
      <c r="H68" s="8"/>
      <c r="I68" s="8"/>
      <c r="J68" s="13"/>
      <c r="K68" s="13"/>
      <c r="L68" s="13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spans="2:81" ht="13" x14ac:dyDescent="0.3">
      <c r="B69" s="4" t="s">
        <v>51</v>
      </c>
      <c r="C69" s="8"/>
      <c r="D69" s="8"/>
      <c r="E69" s="8"/>
      <c r="F69" s="8"/>
      <c r="G69" s="8"/>
      <c r="H69" s="8"/>
      <c r="I69" s="8"/>
      <c r="J69" s="13"/>
      <c r="K69" s="13"/>
      <c r="L69" s="13"/>
      <c r="M69" s="8"/>
      <c r="N69" s="8"/>
      <c r="O69" s="8"/>
      <c r="P69" s="8"/>
      <c r="Q69" s="8"/>
      <c r="R69" s="8">
        <f t="shared" ref="R69:AD69" si="45">R53-R55</f>
        <v>880.72799999999995</v>
      </c>
      <c r="S69" s="8">
        <f t="shared" si="45"/>
        <v>571.54600000000005</v>
      </c>
      <c r="T69" s="8">
        <f t="shared" si="45"/>
        <v>587.23800000000006</v>
      </c>
      <c r="U69" s="8">
        <f t="shared" si="45"/>
        <v>1174.9470000000001</v>
      </c>
      <c r="V69" s="8">
        <f t="shared" si="45"/>
        <v>1871.8629999999998</v>
      </c>
      <c r="W69" s="8">
        <f t="shared" si="45"/>
        <v>2382.2779999999998</v>
      </c>
      <c r="X69" s="8">
        <f t="shared" si="45"/>
        <v>2872.5219999999999</v>
      </c>
      <c r="Y69" s="8">
        <f t="shared" si="45"/>
        <v>1923.212</v>
      </c>
      <c r="Z69" s="8">
        <f t="shared" si="45"/>
        <v>3239.067</v>
      </c>
      <c r="AA69" s="8">
        <f t="shared" si="45"/>
        <v>2553.64</v>
      </c>
      <c r="AB69" s="8">
        <f t="shared" si="45"/>
        <v>4677.37</v>
      </c>
      <c r="AC69" s="7">
        <f t="shared" si="45"/>
        <v>4255.5990000000002</v>
      </c>
      <c r="AD69" s="7">
        <f t="shared" si="45"/>
        <v>5414.0780000000004</v>
      </c>
      <c r="AE69" s="8">
        <f>+AD69</f>
        <v>5414.0780000000004</v>
      </c>
      <c r="AF69" s="8">
        <f t="shared" ref="AF69:CC69" si="46">+AE69</f>
        <v>5414.0780000000004</v>
      </c>
      <c r="AG69" s="8">
        <f t="shared" si="46"/>
        <v>5414.0780000000004</v>
      </c>
      <c r="AH69" s="8">
        <f t="shared" si="46"/>
        <v>5414.0780000000004</v>
      </c>
      <c r="AI69" s="8">
        <f t="shared" si="46"/>
        <v>5414.0780000000004</v>
      </c>
      <c r="AJ69" s="8">
        <f t="shared" si="46"/>
        <v>5414.0780000000004</v>
      </c>
      <c r="AK69" s="8">
        <f t="shared" si="46"/>
        <v>5414.0780000000004</v>
      </c>
      <c r="AL69" s="8">
        <f t="shared" si="46"/>
        <v>5414.0780000000004</v>
      </c>
      <c r="AM69" s="8">
        <f t="shared" si="46"/>
        <v>5414.0780000000004</v>
      </c>
      <c r="AN69" s="8">
        <f t="shared" si="46"/>
        <v>5414.0780000000004</v>
      </c>
      <c r="AO69" s="8">
        <f t="shared" si="46"/>
        <v>5414.0780000000004</v>
      </c>
      <c r="AP69" s="8">
        <f t="shared" si="46"/>
        <v>5414.0780000000004</v>
      </c>
      <c r="AQ69" s="8">
        <f t="shared" si="46"/>
        <v>5414.0780000000004</v>
      </c>
      <c r="AR69" s="8">
        <f t="shared" si="46"/>
        <v>5414.0780000000004</v>
      </c>
      <c r="AS69" s="8">
        <f t="shared" si="46"/>
        <v>5414.0780000000004</v>
      </c>
      <c r="AT69" s="8">
        <f t="shared" si="46"/>
        <v>5414.0780000000004</v>
      </c>
      <c r="AU69" s="8">
        <f t="shared" si="46"/>
        <v>5414.0780000000004</v>
      </c>
      <c r="AV69" s="8">
        <f t="shared" si="46"/>
        <v>5414.0780000000004</v>
      </c>
      <c r="AW69" s="8">
        <f t="shared" si="46"/>
        <v>5414.0780000000004</v>
      </c>
      <c r="AX69" s="8">
        <f t="shared" si="46"/>
        <v>5414.0780000000004</v>
      </c>
      <c r="AY69" s="8">
        <f t="shared" si="46"/>
        <v>5414.0780000000004</v>
      </c>
      <c r="AZ69" s="8">
        <f t="shared" si="46"/>
        <v>5414.0780000000004</v>
      </c>
      <c r="BA69" s="8">
        <f t="shared" si="46"/>
        <v>5414.0780000000004</v>
      </c>
      <c r="BB69" s="8">
        <f t="shared" si="46"/>
        <v>5414.0780000000004</v>
      </c>
      <c r="BC69" s="8">
        <f t="shared" si="46"/>
        <v>5414.0780000000004</v>
      </c>
      <c r="BD69" s="8">
        <f t="shared" si="46"/>
        <v>5414.0780000000004</v>
      </c>
      <c r="BE69" s="8">
        <f t="shared" si="46"/>
        <v>5414.0780000000004</v>
      </c>
      <c r="BF69" s="8">
        <f t="shared" si="46"/>
        <v>5414.0780000000004</v>
      </c>
      <c r="BG69" s="8">
        <f t="shared" si="46"/>
        <v>5414.0780000000004</v>
      </c>
      <c r="BH69" s="8">
        <f t="shared" si="46"/>
        <v>5414.0780000000004</v>
      </c>
      <c r="BI69" s="8">
        <f t="shared" si="46"/>
        <v>5414.0780000000004</v>
      </c>
      <c r="BJ69" s="8">
        <f t="shared" si="46"/>
        <v>5414.0780000000004</v>
      </c>
      <c r="BK69" s="8">
        <f t="shared" si="46"/>
        <v>5414.0780000000004</v>
      </c>
      <c r="BL69" s="8">
        <f t="shared" si="46"/>
        <v>5414.0780000000004</v>
      </c>
      <c r="BM69" s="8">
        <f t="shared" si="46"/>
        <v>5414.0780000000004</v>
      </c>
      <c r="BN69" s="8">
        <f t="shared" si="46"/>
        <v>5414.0780000000004</v>
      </c>
      <c r="BO69" s="8">
        <f t="shared" si="46"/>
        <v>5414.0780000000004</v>
      </c>
      <c r="BP69" s="8">
        <f t="shared" si="46"/>
        <v>5414.0780000000004</v>
      </c>
      <c r="BQ69" s="8">
        <f t="shared" si="46"/>
        <v>5414.0780000000004</v>
      </c>
      <c r="BR69" s="8">
        <f t="shared" si="46"/>
        <v>5414.0780000000004</v>
      </c>
      <c r="BS69" s="8">
        <f t="shared" si="46"/>
        <v>5414.0780000000004</v>
      </c>
      <c r="BT69" s="8">
        <f t="shared" si="46"/>
        <v>5414.0780000000004</v>
      </c>
      <c r="BU69" s="8">
        <f t="shared" si="46"/>
        <v>5414.0780000000004</v>
      </c>
      <c r="BV69" s="8">
        <f t="shared" si="46"/>
        <v>5414.0780000000004</v>
      </c>
      <c r="BW69" s="8">
        <f t="shared" si="46"/>
        <v>5414.0780000000004</v>
      </c>
      <c r="BX69" s="8">
        <f t="shared" si="46"/>
        <v>5414.0780000000004</v>
      </c>
      <c r="BY69" s="8">
        <f t="shared" si="46"/>
        <v>5414.0780000000004</v>
      </c>
      <c r="BZ69" s="8">
        <f t="shared" si="46"/>
        <v>5414.0780000000004</v>
      </c>
      <c r="CA69" s="8">
        <f t="shared" si="46"/>
        <v>5414.0780000000004</v>
      </c>
      <c r="CB69" s="8">
        <f t="shared" si="46"/>
        <v>5414.0780000000004</v>
      </c>
      <c r="CC69" s="8">
        <f t="shared" si="46"/>
        <v>5414.0780000000004</v>
      </c>
    </row>
    <row r="71" spans="2:81" x14ac:dyDescent="0.25">
      <c r="B71" s="4" t="s">
        <v>61</v>
      </c>
      <c r="AD71" s="10"/>
    </row>
    <row r="74" spans="2:81" x14ac:dyDescent="0.25">
      <c r="B74" s="4" t="s">
        <v>64</v>
      </c>
      <c r="AD74" s="8">
        <v>2219.2069999999999</v>
      </c>
    </row>
    <row r="75" spans="2:81" x14ac:dyDescent="0.25">
      <c r="B75" s="4" t="s">
        <v>63</v>
      </c>
      <c r="AD75" s="8">
        <v>1914.57</v>
      </c>
    </row>
    <row r="76" spans="2:81" x14ac:dyDescent="0.25">
      <c r="B76" s="4" t="s">
        <v>65</v>
      </c>
      <c r="AD76" s="8">
        <v>182.43899999999999</v>
      </c>
    </row>
    <row r="77" spans="2:81" x14ac:dyDescent="0.25">
      <c r="B77" s="4" t="s">
        <v>66</v>
      </c>
      <c r="AD77" s="8">
        <v>166.20699999999999</v>
      </c>
    </row>
    <row r="78" spans="2:81" x14ac:dyDescent="0.25">
      <c r="B78" s="4" t="s">
        <v>67</v>
      </c>
      <c r="AD78" s="8">
        <v>92.74</v>
      </c>
    </row>
    <row r="79" spans="2:81" ht="13" x14ac:dyDescent="0.3">
      <c r="B79" s="4" t="s">
        <v>62</v>
      </c>
      <c r="AD79" s="7">
        <f>SUM(AD74:AD78)</f>
        <v>4575.1630000000005</v>
      </c>
    </row>
    <row r="80" spans="2:81" x14ac:dyDescent="0.25">
      <c r="B80" s="4" t="s">
        <v>68</v>
      </c>
      <c r="AD80" s="8">
        <v>2169.6410000000001</v>
      </c>
    </row>
    <row r="81" spans="2:30" x14ac:dyDescent="0.25">
      <c r="B81" s="4" t="s">
        <v>69</v>
      </c>
      <c r="AD81" s="8">
        <f>+AD79-AD80</f>
        <v>2405.5220000000004</v>
      </c>
    </row>
  </sheetData>
  <hyperlinks>
    <hyperlink ref="A1" location="Main!A1" display="Main" xr:uid="{D4EFCBEB-EF28-44E3-A2A2-128EC5C09008}"/>
  </hyperlink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2026-03-08T17:29:43Z</dcterms:created>
  <dcterms:modified xsi:type="dcterms:W3CDTF">2026-08-18T22:12:09Z</dcterms:modified>
</cp:coreProperties>
</file>