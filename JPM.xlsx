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62C01F14-6CAE-4AB5-A2A4-901D675C6845}" xr6:coauthVersionLast="47" xr6:coauthVersionMax="47" xr10:uidLastSave="{00000000-0000-0000-0000-000000000000}"/>
  <bookViews>
    <workbookView xWindow="21360" yWindow="4600" windowWidth="24170" windowHeight="12950" activeTab="1" xr2:uid="{6FF43043-9969-4618-AD8F-D77E99073F7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2" l="1"/>
  <c r="R14" i="2"/>
  <c r="V15" i="2"/>
  <c r="V14" i="2"/>
  <c r="R7" i="2"/>
  <c r="R6" i="2"/>
  <c r="R5" i="2"/>
  <c r="R13" i="2"/>
  <c r="R12" i="2"/>
  <c r="R11" i="2"/>
  <c r="R10" i="2"/>
  <c r="R9" i="2"/>
  <c r="R8" i="2"/>
  <c r="V13" i="2"/>
  <c r="V12" i="2"/>
  <c r="V11" i="2"/>
  <c r="V10" i="2"/>
  <c r="V9" i="2"/>
  <c r="V8" i="2"/>
  <c r="V7" i="2"/>
  <c r="V6" i="2"/>
  <c r="V5" i="2"/>
  <c r="T32" i="2"/>
  <c r="K6" i="1" s="1"/>
  <c r="T22" i="2"/>
  <c r="K5" i="1" s="1"/>
  <c r="T36" i="2"/>
  <c r="T28" i="2"/>
  <c r="J32" i="2"/>
  <c r="J36" i="2" s="1"/>
  <c r="J22" i="2"/>
  <c r="J28" i="2" s="1"/>
  <c r="K4" i="1"/>
  <c r="K7" i="1" l="1"/>
  <c r="J38" i="2"/>
  <c r="J39" i="2" s="1"/>
  <c r="T38" i="2"/>
  <c r="T39" i="2" s="1"/>
</calcChain>
</file>

<file path=xl/sharedStrings.xml><?xml version="1.0" encoding="utf-8"?>
<sst xmlns="http://schemas.openxmlformats.org/spreadsheetml/2006/main" count="66" uniqueCount="60">
  <si>
    <t>Price</t>
  </si>
  <si>
    <t>Shares</t>
  </si>
  <si>
    <t>MC</t>
  </si>
  <si>
    <t>Cash</t>
  </si>
  <si>
    <t>Debt</t>
  </si>
  <si>
    <t>EV</t>
  </si>
  <si>
    <t>Q422</t>
  </si>
  <si>
    <t>Main</t>
  </si>
  <si>
    <t>Q121</t>
  </si>
  <si>
    <t>Q221</t>
  </si>
  <si>
    <t>Q321</t>
  </si>
  <si>
    <t>Q421</t>
  </si>
  <si>
    <t>Q122</t>
  </si>
  <si>
    <t>Q222</t>
  </si>
  <si>
    <t>Q322</t>
  </si>
  <si>
    <t>Deposits</t>
  </si>
  <si>
    <t>Federal Funds Sold &amp; Securities Purchased under Resale Agreements</t>
  </si>
  <si>
    <t>Securities Borrowed</t>
  </si>
  <si>
    <t>Trading Assets</t>
  </si>
  <si>
    <t>Securities</t>
  </si>
  <si>
    <t>Loans</t>
  </si>
  <si>
    <t>Accrued Interest</t>
  </si>
  <si>
    <t>PP&amp;E</t>
  </si>
  <si>
    <t>Goodwill</t>
  </si>
  <si>
    <t>Other</t>
  </si>
  <si>
    <t>Assets</t>
  </si>
  <si>
    <t>Federal Funds Purchased</t>
  </si>
  <si>
    <t>Trading Liabilities</t>
  </si>
  <si>
    <t>AP</t>
  </si>
  <si>
    <t>VIEs</t>
  </si>
  <si>
    <t>Liabilities</t>
  </si>
  <si>
    <t>BOOK VALUE</t>
  </si>
  <si>
    <t>TANGIBLE BOOK VALUE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</si>
  <si>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</si>
  <si>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</si>
  <si>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</si>
  <si>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</si>
  <si>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</si>
  <si>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</si>
  <si>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</si>
  <si>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</si>
  <si>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</si>
  <si>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</si>
  <si>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</si>
  <si>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</si>
  <si>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</si>
  <si>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</si>
  <si>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</si>
  <si>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</si>
  <si>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Consumer Banking &amp; Wealth Management</t>
  </si>
  <si>
    <t>Consumer Home Lending</t>
  </si>
  <si>
    <t>Consumer Card Services &amp; Auto</t>
  </si>
  <si>
    <t>Investment Banking</t>
  </si>
  <si>
    <t>Commercial Payments</t>
  </si>
  <si>
    <t>Commercial Lending</t>
  </si>
  <si>
    <t>Securities Services</t>
  </si>
  <si>
    <t>Equities</t>
  </si>
  <si>
    <t>Fixed Income</t>
  </si>
  <si>
    <t>Asset Management</t>
  </si>
  <si>
    <t>Global Private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</si>
</sst>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0" borderId="0" xfId="1"/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93869</xdr:colOff>
      <xdr:row>0</xdr:row>
      <xdr:rowOff>0</xdr:rowOff>
    </xdr:from>
    <xdr:to>
      <xdr:col>24</xdr:col>
      <xdr:colOff>93869</xdr:colOff>
      <xdr:row>61</xdr:row>
      <xdr:rowOff>88347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999D2C-018C-8305-9F97-F44A47A2F2BE}"/>
            </a:ext>
          </a:extLst>
        </xdr:cNvPr>
        <xdr:cNvCxnSpPr/>
      </xdr:nvCxnSpPr>
      <xdr:spPr>
        <a:xfrm>
          <a:off x="15781130" y="0"/>
          <a:ext cx="0" cy="88237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1C86-EC61-4610-903D-70620392B3EE}">
  <dimension ref="H2:L7"/>
  <sheetViews>
    <sheetView zoomScale="175" zoomScaleNormal="175" workbookViewId="0">
      <selection activeCell="L6" sqref="L6"/>
    </sheetView>
  </sheetViews>
  <sheetFormatPr defaultRowHeight="12.5" x14ac:dyDescent="0.25"/>
  <cols>
    <col min="8" max="8" width="11.26953125" bestFit="1" customWidth="1"/>
    <col min="11" max="11" width="8.90625" bestFit="1" customWidth="1"/>
  </cols>
  <sheetData>
    <row r="2" spans="8:12" x14ac:dyDescent="0.25">
      <c r="H2" s="2"/>
      <c r="J2" t="s">
        <v>0</v>
      </c>
      <c r="K2" s="1">
        <v>311</v>
      </c>
    </row>
    <row r="3" spans="8:12" x14ac:dyDescent="0.25">
      <c r="J3" t="s">
        <v>1</v>
      </c>
      <c r="K3" s="2">
        <v>2749.753854</v>
      </c>
      <c r="L3" s="4" t="s">
        <v>42</v>
      </c>
    </row>
    <row r="4" spans="8:12" ht="13" x14ac:dyDescent="0.3">
      <c r="J4" t="s">
        <v>2</v>
      </c>
      <c r="K4" s="3">
        <f>K2*K3</f>
        <v>855173.44859399996</v>
      </c>
    </row>
    <row r="5" spans="8:12" x14ac:dyDescent="0.25">
      <c r="J5" t="s">
        <v>3</v>
      </c>
      <c r="K5" s="2">
        <f>+Model!T17+Model!T18+Model!T20+Model!T21+Model!T22+Model!T23</f>
        <v>3667137</v>
      </c>
      <c r="L5" s="4" t="s">
        <v>42</v>
      </c>
    </row>
    <row r="6" spans="8:12" x14ac:dyDescent="0.25">
      <c r="J6" t="s">
        <v>4</v>
      </c>
      <c r="K6" s="2">
        <f>Model!T30+Model!T32+Model!T33</f>
        <v>3268877</v>
      </c>
      <c r="L6" s="4" t="s">
        <v>42</v>
      </c>
    </row>
    <row r="7" spans="8:12" ht="13" x14ac:dyDescent="0.3">
      <c r="J7" t="s">
        <v>5</v>
      </c>
      <c r="K7" s="3">
        <f>+K4-K5+K6</f>
        <v>456913.44859400019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4F3A-0E9F-4DB7-B175-0A62FF848762}">
  <dimension ref="A1:Z39"/>
  <sheetViews>
    <sheetView tabSelected="1" zoomScale="115" zoomScaleNormal="115" workbookViewId="0">
      <pane xSplit="2" ySplit="4" topLeftCell="O5" activePane="bottomRight" state="frozen"/>
      <selection pane="topRight" activeCell="C1" sqref="C1"/>
      <selection pane="bottomLeft" activeCell="A5" sqref="A5"/>
      <selection pane="bottomRight" activeCell="T6" sqref="T6"/>
    </sheetView>
  </sheetViews>
  <sheetFormatPr defaultRowHeight="12.5" x14ac:dyDescent="0.25"/>
  <cols>
    <col min="1" max="1" width="5" bestFit="1" customWidth="1"/>
    <col min="2" max="2" width="26.7265625" customWidth="1"/>
    <col min="3" max="9" width="9.1796875" style="4"/>
    <col min="10" max="10" width="9.54296875" style="4" customWidth="1"/>
    <col min="20" max="20" width="9" bestFit="1" customWidth="1"/>
  </cols>
  <sheetData>
    <row r="1" spans="1:26" x14ac:dyDescent="0.25">
      <c r="A1" s="8" t="s">
        <v>7</v>
      </c>
    </row>
    <row r="4" spans="1:26" x14ac:dyDescent="0.25"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6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 t="s">
        <v>38</v>
      </c>
      <c r="Q4" s="4" t="s">
        <v>39</v>
      </c>
      <c r="R4" s="4" t="s">
        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>
        <v>45</v>
      </c>
      <c r="X4" s="4" t="s">
        <v>46</v>
      </c>
      <c r="Y4" s="4" t="s">
        <v>47</v>
      </c>
      <c r="Z4" s="4" t="s">
        <v>48</v>
      </c>
    </row>
    <row r="5" spans="1:26" s="2" customFormat="1" x14ac:dyDescent="0.25">
      <c r="B5" s="2" t="s">
        <v>49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10324</v>
      </c>
      <c r="P5" s="6">
        <v>10375</v>
      </c>
      <c r="Q5" s="6">
        <v>10090</v>
      </c>
      <c r="R5" s="6">
        <f>40943-Q5-P5-O5</f>
        <v>10154</v>
      </c>
      <c r="S5" s="6">
        <v>10254</v>
      </c>
      <c r="T5" s="6">
        <v>10698</v>
      </c>
      <c r="U5" s="6">
        <v>11040</v>
      </c>
      <c r="V5" s="6">
        <f>42862-U5-T5-S5</f>
        <v>10870</v>
      </c>
      <c r="W5" s="6">
        <v>10577</v>
      </c>
      <c r="X5" s="6">
        <v>11229</v>
      </c>
      <c r="Y5" s="6"/>
      <c r="Z5" s="6"/>
    </row>
    <row r="6" spans="1:26" s="2" customFormat="1" x14ac:dyDescent="0.25">
      <c r="B6" s="2" t="s">
        <v>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1186</v>
      </c>
      <c r="P6" s="6">
        <v>1319</v>
      </c>
      <c r="Q6" s="6">
        <v>1295</v>
      </c>
      <c r="R6" s="6">
        <f>5097-Q6-P6-O6</f>
        <v>1297</v>
      </c>
      <c r="S6" s="6">
        <v>1207</v>
      </c>
      <c r="T6" s="6">
        <v>1250</v>
      </c>
      <c r="U6" s="6">
        <v>1260</v>
      </c>
      <c r="V6" s="6">
        <f>4966-U6-T6-S6</f>
        <v>1249</v>
      </c>
      <c r="W6" s="6">
        <v>1232</v>
      </c>
      <c r="X6" s="6">
        <v>1285</v>
      </c>
      <c r="Y6" s="6"/>
      <c r="Z6" s="6"/>
    </row>
    <row r="7" spans="1:26" s="2" customFormat="1" x14ac:dyDescent="0.25">
      <c r="B7" s="2" t="s">
        <v>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6143</v>
      </c>
      <c r="P7" s="6">
        <v>6007</v>
      </c>
      <c r="Q7" s="6">
        <v>6406</v>
      </c>
      <c r="R7" s="6">
        <f>25467-Q7-P7-O7</f>
        <v>6911</v>
      </c>
      <c r="S7" s="6">
        <v>6852</v>
      </c>
      <c r="T7" s="6">
        <v>6899</v>
      </c>
      <c r="U7" s="6">
        <v>7173</v>
      </c>
      <c r="V7" s="6">
        <f>28201-U7-T7-S7</f>
        <v>7277</v>
      </c>
      <c r="W7" s="6">
        <v>7759</v>
      </c>
      <c r="X7" s="6">
        <v>7758</v>
      </c>
      <c r="Y7" s="6"/>
      <c r="Z7" s="6"/>
    </row>
    <row r="8" spans="1:26" s="2" customFormat="1" x14ac:dyDescent="0.25">
      <c r="B8" s="2" t="s">
        <v>52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2216</v>
      </c>
      <c r="P8" s="6">
        <v>2464</v>
      </c>
      <c r="Q8" s="6">
        <v>2354</v>
      </c>
      <c r="R8" s="6">
        <f>9636-Q8-P8-O8</f>
        <v>2602</v>
      </c>
      <c r="S8" s="6">
        <v>2268</v>
      </c>
      <c r="T8" s="6">
        <v>2684</v>
      </c>
      <c r="U8" s="6">
        <v>2694</v>
      </c>
      <c r="V8" s="6">
        <f>10198-U8-T8-S8</f>
        <v>2552</v>
      </c>
      <c r="W8" s="6">
        <v>3136</v>
      </c>
      <c r="X8" s="6">
        <v>3902</v>
      </c>
      <c r="Y8" s="6"/>
      <c r="Z8" s="6"/>
    </row>
    <row r="9" spans="1:26" s="2" customFormat="1" x14ac:dyDescent="0.25">
      <c r="B9" s="2" t="s">
        <v>53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4466</v>
      </c>
      <c r="P9" s="6">
        <v>4546</v>
      </c>
      <c r="Q9" s="6">
        <v>4370</v>
      </c>
      <c r="R9" s="6">
        <f>18085-Q9-P9-O9</f>
        <v>4703</v>
      </c>
      <c r="S9" s="6">
        <v>4565</v>
      </c>
      <c r="T9" s="6">
        <v>4735</v>
      </c>
      <c r="U9" s="6">
        <v>4917</v>
      </c>
      <c r="V9" s="6">
        <f>19331-U9-T9-S9</f>
        <v>5114</v>
      </c>
      <c r="W9" s="6">
        <v>5123</v>
      </c>
      <c r="X9" s="6">
        <v>5296</v>
      </c>
      <c r="Y9" s="6"/>
      <c r="Z9" s="6"/>
    </row>
    <row r="10" spans="1:26" s="2" customFormat="1" x14ac:dyDescent="0.25">
      <c r="B10" s="2" t="s">
        <v>54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1724</v>
      </c>
      <c r="P10" s="6">
        <v>1936</v>
      </c>
      <c r="Q10" s="6">
        <v>1894</v>
      </c>
      <c r="R10" s="6">
        <f>7470-Q10-P10-O10</f>
        <v>1916</v>
      </c>
      <c r="S10" s="6">
        <v>1915</v>
      </c>
      <c r="T10" s="6">
        <v>1829</v>
      </c>
      <c r="U10" s="6">
        <v>1872</v>
      </c>
      <c r="V10" s="6">
        <f>7601-U10-T10-S10</f>
        <v>1985</v>
      </c>
      <c r="W10" s="6">
        <v>2166</v>
      </c>
      <c r="X10" s="6">
        <v>1964</v>
      </c>
      <c r="Y10" s="6"/>
      <c r="Z10" s="6"/>
    </row>
    <row r="11" spans="1:26" s="2" customFormat="1" x14ac:dyDescent="0.25">
      <c r="B11" s="2" t="s">
        <v>57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5428</v>
      </c>
      <c r="P11" s="6">
        <v>4981</v>
      </c>
      <c r="Q11" s="6">
        <v>4651</v>
      </c>
      <c r="R11" s="6">
        <f>20066-Q11-P11-O11</f>
        <v>5006</v>
      </c>
      <c r="S11" s="6">
        <v>5849</v>
      </c>
      <c r="T11" s="6">
        <v>5690</v>
      </c>
      <c r="U11" s="6">
        <v>5613</v>
      </c>
      <c r="V11" s="6">
        <f>22532-U11-T11-S11</f>
        <v>5380</v>
      </c>
      <c r="W11" s="6">
        <v>7078</v>
      </c>
      <c r="X11" s="6">
        <v>6053</v>
      </c>
      <c r="Y11" s="6"/>
      <c r="Z11" s="6"/>
    </row>
    <row r="12" spans="1:26" s="2" customFormat="1" x14ac:dyDescent="0.25">
      <c r="B12" s="2" t="s">
        <v>56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2585</v>
      </c>
      <c r="P12" s="6">
        <v>2812</v>
      </c>
      <c r="Q12" s="6">
        <v>2501</v>
      </c>
      <c r="R12" s="6">
        <f>9941-Q12-P12-O12</f>
        <v>2043</v>
      </c>
      <c r="S12" s="6">
        <v>3814</v>
      </c>
      <c r="T12" s="6">
        <v>3246</v>
      </c>
      <c r="U12" s="6">
        <v>3331</v>
      </c>
      <c r="V12" s="6">
        <f>13250-U12-T12-S12</f>
        <v>2859</v>
      </c>
      <c r="W12" s="6">
        <v>4481</v>
      </c>
      <c r="X12" s="6">
        <v>6025</v>
      </c>
      <c r="Y12" s="6"/>
      <c r="Z12" s="6"/>
    </row>
    <row r="13" spans="1:26" s="2" customFormat="1" x14ac:dyDescent="0.25">
      <c r="B13" s="2" t="s">
        <v>55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1183</v>
      </c>
      <c r="P13" s="6">
        <v>1261</v>
      </c>
      <c r="Q13" s="6">
        <v>1326</v>
      </c>
      <c r="R13" s="6">
        <f>5084-Q13-P13-O13</f>
        <v>1314</v>
      </c>
      <c r="S13" s="6">
        <v>1269</v>
      </c>
      <c r="T13" s="6">
        <v>1418</v>
      </c>
      <c r="U13" s="6">
        <v>1423</v>
      </c>
      <c r="V13" s="6">
        <f>5599-U13-T13-S13</f>
        <v>1489</v>
      </c>
      <c r="W13" s="6">
        <v>1499</v>
      </c>
      <c r="X13" s="6">
        <v>1657</v>
      </c>
      <c r="Y13" s="6"/>
      <c r="Z13" s="6"/>
    </row>
    <row r="14" spans="1:26" s="2" customFormat="1" x14ac:dyDescent="0.25">
      <c r="B14" s="2" t="s">
        <v>58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2326</v>
      </c>
      <c r="P14" s="6">
        <v>2437</v>
      </c>
      <c r="Q14" s="6">
        <v>2525</v>
      </c>
      <c r="R14" s="6">
        <f>10175-Q14-P14-O14</f>
        <v>2887</v>
      </c>
      <c r="S14" s="6">
        <v>2671</v>
      </c>
      <c r="T14" s="6">
        <v>2705</v>
      </c>
      <c r="U14" s="6">
        <v>2916</v>
      </c>
      <c r="V14" s="6">
        <f>11700-U14-T14-S14</f>
        <v>3408</v>
      </c>
      <c r="W14" s="2">
        <v>3072</v>
      </c>
      <c r="X14" s="2">
        <v>3320</v>
      </c>
    </row>
    <row r="15" spans="1:26" s="2" customFormat="1" x14ac:dyDescent="0.25">
      <c r="B15" s="2" t="s">
        <v>59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2783</v>
      </c>
      <c r="P15" s="6">
        <v>2815</v>
      </c>
      <c r="Q15" s="6">
        <v>2914</v>
      </c>
      <c r="R15" s="6">
        <f>11403-Q15-P15-O15</f>
        <v>2891</v>
      </c>
      <c r="S15" s="6">
        <v>3060</v>
      </c>
      <c r="T15" s="6">
        <v>3055</v>
      </c>
      <c r="U15" s="6">
        <v>3150</v>
      </c>
      <c r="V15" s="6">
        <f>12373-U15-T15-S15</f>
        <v>3108</v>
      </c>
      <c r="W15" s="2">
        <v>3302</v>
      </c>
      <c r="X15" s="6">
        <v>3531</v>
      </c>
    </row>
    <row r="16" spans="1:26" x14ac:dyDescent="0.25"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0" ht="13" x14ac:dyDescent="0.3">
      <c r="B17" s="5" t="s">
        <v>3</v>
      </c>
      <c r="J17" s="7">
        <v>27697</v>
      </c>
      <c r="T17" s="7">
        <v>23759</v>
      </c>
    </row>
    <row r="18" spans="2:20" ht="13" x14ac:dyDescent="0.3">
      <c r="B18" s="5" t="s">
        <v>15</v>
      </c>
      <c r="J18" s="7">
        <v>539537</v>
      </c>
      <c r="T18" s="7">
        <v>396568</v>
      </c>
    </row>
    <row r="19" spans="2:20" s="9" customFormat="1" ht="13" x14ac:dyDescent="0.3">
      <c r="B19" s="9" t="s">
        <v>16</v>
      </c>
      <c r="C19" s="10"/>
      <c r="D19" s="10"/>
      <c r="E19" s="10"/>
      <c r="F19" s="10"/>
      <c r="G19" s="10"/>
      <c r="H19" s="10"/>
      <c r="I19" s="10"/>
      <c r="J19" s="11">
        <v>315592</v>
      </c>
      <c r="T19" s="11">
        <v>470589</v>
      </c>
    </row>
    <row r="20" spans="2:20" s="5" customFormat="1" ht="13" x14ac:dyDescent="0.3">
      <c r="B20" s="5" t="s">
        <v>17</v>
      </c>
      <c r="C20" s="12"/>
      <c r="D20" s="12"/>
      <c r="E20" s="12"/>
      <c r="F20" s="12"/>
      <c r="G20" s="12"/>
      <c r="H20" s="12"/>
      <c r="I20" s="12"/>
      <c r="J20" s="7">
        <v>185369</v>
      </c>
      <c r="T20" s="7">
        <v>223976</v>
      </c>
    </row>
    <row r="21" spans="2:20" s="5" customFormat="1" ht="13" x14ac:dyDescent="0.3">
      <c r="B21" s="5" t="s">
        <v>18</v>
      </c>
      <c r="C21" s="12"/>
      <c r="D21" s="12"/>
      <c r="E21" s="12"/>
      <c r="F21" s="12"/>
      <c r="G21" s="12"/>
      <c r="H21" s="12"/>
      <c r="I21" s="12"/>
      <c r="J21" s="7">
        <v>453799</v>
      </c>
      <c r="T21" s="7">
        <v>889856</v>
      </c>
    </row>
    <row r="22" spans="2:20" ht="13" x14ac:dyDescent="0.3">
      <c r="B22" s="5" t="s">
        <v>19</v>
      </c>
      <c r="J22" s="7">
        <f>205857+425305</f>
        <v>631162</v>
      </c>
      <c r="T22" s="7">
        <f>485380+260559</f>
        <v>745939</v>
      </c>
    </row>
    <row r="23" spans="2:20" ht="13" x14ac:dyDescent="0.3">
      <c r="B23" s="5" t="s">
        <v>20</v>
      </c>
      <c r="J23" s="7">
        <v>1115921</v>
      </c>
      <c r="T23" s="7">
        <v>1387039</v>
      </c>
    </row>
    <row r="24" spans="2:20" x14ac:dyDescent="0.25">
      <c r="B24" t="s">
        <v>21</v>
      </c>
      <c r="J24" s="6">
        <v>125189</v>
      </c>
      <c r="T24" s="6">
        <v>124463</v>
      </c>
    </row>
    <row r="25" spans="2:20" x14ac:dyDescent="0.25">
      <c r="B25" t="s">
        <v>22</v>
      </c>
      <c r="J25" s="6">
        <v>27734</v>
      </c>
      <c r="T25" s="6">
        <v>33562</v>
      </c>
    </row>
    <row r="26" spans="2:20" x14ac:dyDescent="0.25">
      <c r="B26" t="s">
        <v>23</v>
      </c>
      <c r="J26" s="6">
        <v>60859</v>
      </c>
      <c r="T26" s="6">
        <v>64465</v>
      </c>
    </row>
    <row r="27" spans="2:20" x14ac:dyDescent="0.25">
      <c r="B27" t="s">
        <v>24</v>
      </c>
      <c r="J27" s="6">
        <v>182884</v>
      </c>
      <c r="T27" s="6">
        <v>192266</v>
      </c>
    </row>
    <row r="28" spans="2:20" ht="13" x14ac:dyDescent="0.3">
      <c r="B28" t="s">
        <v>25</v>
      </c>
      <c r="J28" s="7">
        <f>SUM(J17:J27)</f>
        <v>3665743</v>
      </c>
      <c r="T28" s="7">
        <f>SUM(T17:T27)</f>
        <v>4552482</v>
      </c>
    </row>
    <row r="29" spans="2:20" x14ac:dyDescent="0.25">
      <c r="T29" s="4"/>
    </row>
    <row r="30" spans="2:20" ht="13" x14ac:dyDescent="0.3">
      <c r="B30" s="5" t="s">
        <v>15</v>
      </c>
      <c r="J30" s="6">
        <v>2340179</v>
      </c>
      <c r="T30" s="7">
        <v>2562380</v>
      </c>
    </row>
    <row r="31" spans="2:20" s="9" customFormat="1" ht="13" x14ac:dyDescent="0.3">
      <c r="B31" s="9" t="s">
        <v>26</v>
      </c>
      <c r="C31" s="10"/>
      <c r="D31" s="10"/>
      <c r="E31" s="10"/>
      <c r="F31" s="10"/>
      <c r="G31" s="10"/>
      <c r="H31" s="10"/>
      <c r="I31" s="10"/>
      <c r="J31" s="11">
        <v>202613</v>
      </c>
      <c r="T31" s="11">
        <v>595340</v>
      </c>
    </row>
    <row r="32" spans="2:20" s="5" customFormat="1" ht="13" x14ac:dyDescent="0.3">
      <c r="B32" s="5" t="s">
        <v>4</v>
      </c>
      <c r="C32" s="12"/>
      <c r="D32" s="12"/>
      <c r="E32" s="12"/>
      <c r="F32" s="12"/>
      <c r="G32" s="12"/>
      <c r="H32" s="12"/>
      <c r="I32" s="12"/>
      <c r="J32" s="7">
        <f>44027+295865</f>
        <v>339892</v>
      </c>
      <c r="T32" s="7">
        <f>419802+65293</f>
        <v>485095</v>
      </c>
    </row>
    <row r="33" spans="2:20" s="5" customFormat="1" ht="13" x14ac:dyDescent="0.3">
      <c r="B33" s="5" t="s">
        <v>27</v>
      </c>
      <c r="C33" s="12"/>
      <c r="D33" s="12"/>
      <c r="E33" s="12"/>
      <c r="F33" s="12"/>
      <c r="G33" s="12"/>
      <c r="H33" s="12"/>
      <c r="I33" s="12"/>
      <c r="J33" s="7">
        <v>177976</v>
      </c>
      <c r="T33" s="7">
        <v>221402</v>
      </c>
    </row>
    <row r="34" spans="2:20" x14ac:dyDescent="0.25">
      <c r="B34" t="s">
        <v>28</v>
      </c>
      <c r="J34" s="6">
        <v>300141</v>
      </c>
      <c r="T34" s="6">
        <v>303641</v>
      </c>
    </row>
    <row r="35" spans="2:20" x14ac:dyDescent="0.25">
      <c r="B35" t="s">
        <v>29</v>
      </c>
      <c r="J35" s="4">
        <v>12610</v>
      </c>
      <c r="T35" s="6">
        <v>27700</v>
      </c>
    </row>
    <row r="36" spans="2:20" ht="13" x14ac:dyDescent="0.3">
      <c r="B36" t="s">
        <v>30</v>
      </c>
      <c r="J36" s="7">
        <f>SUM(J30:J35)</f>
        <v>3373411</v>
      </c>
      <c r="T36" s="7">
        <f>SUM(T30:T35)</f>
        <v>4195558</v>
      </c>
    </row>
    <row r="37" spans="2:20" ht="13" x14ac:dyDescent="0.3">
      <c r="J37" s="7"/>
      <c r="T37" s="7"/>
    </row>
    <row r="38" spans="2:20" ht="13" x14ac:dyDescent="0.3">
      <c r="B38" t="s">
        <v>31</v>
      </c>
      <c r="J38" s="7">
        <f>J28-J36</f>
        <v>292332</v>
      </c>
      <c r="T38" s="7">
        <f>T28-T36</f>
        <v>356924</v>
      </c>
    </row>
    <row r="39" spans="2:20" ht="13" x14ac:dyDescent="0.3">
      <c r="B39" t="s">
        <v>32</v>
      </c>
      <c r="J39" s="7">
        <f>J38-J26</f>
        <v>231473</v>
      </c>
      <c r="T39" s="7">
        <f>T38-T26</f>
        <v>292459</v>
      </c>
    </row>
  </sheetData>
  <hyperlinks>
    <hyperlink ref="A1" location="Main!A1" display="Main" xr:uid="{46973D5C-681B-4F76-BF91-D6D47D1751B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2023-03-12T20:37:09Z</dcterms:created>
  <dcterms:modified xsi:type="dcterms:W3CDTF">2026-08-18T21:17:25Z</dcterms:modified>
</cp:coreProperties>
</file>