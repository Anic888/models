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71DBF62-1BAF-4E37-B97D-CE8FF20EAC86}" xr6:coauthVersionLast="47" xr6:coauthVersionMax="47" xr10:uidLastSave="{00000000-0000-0000-0000-000000000000}"/>
  <bookViews>
    <workbookView xWindow="4530" yWindow="3740" windowWidth="24170" windowHeight="12950" activeTab="1" xr2:uid="{040A5584-314E-40E5-8C54-C0576405A9F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30" i="2" l="1"/>
  <c r="CJ30" i="2"/>
  <c r="CL30" i="2" s="1"/>
  <c r="CM30" i="2" s="1"/>
  <c r="CN30" i="2" s="1"/>
  <c r="CO30" i="2" s="1"/>
  <c r="CK125" i="2"/>
  <c r="CK124" i="2"/>
  <c r="CK123" i="2"/>
  <c r="CK122" i="2"/>
  <c r="CH81" i="2"/>
  <c r="CH30" i="2"/>
  <c r="CI30" i="2"/>
  <c r="CI98" i="2"/>
  <c r="CH98" i="2"/>
  <c r="CE119" i="2"/>
  <c r="CD119" i="2"/>
  <c r="CD116" i="2"/>
  <c r="CE116" i="2"/>
  <c r="CB119" i="2"/>
  <c r="CA119" i="2"/>
  <c r="CC119" i="2"/>
  <c r="BB79" i="2"/>
  <c r="BB80" i="2"/>
  <c r="BC79" i="2"/>
  <c r="BC77" i="2"/>
  <c r="BC81" i="2" s="1"/>
  <c r="BC80" i="2"/>
  <c r="BD79" i="2"/>
  <c r="BD81" i="2" s="1"/>
  <c r="BD80" i="2"/>
  <c r="BC71" i="2"/>
  <c r="BC66" i="2"/>
  <c r="BC53" i="2" s="1"/>
  <c r="BC67" i="2"/>
  <c r="BC70" i="2"/>
  <c r="BC72" i="2"/>
  <c r="BC63" i="2"/>
  <c r="BC57" i="2"/>
  <c r="BC54" i="2"/>
  <c r="BD71" i="2"/>
  <c r="BD114" i="2" s="1"/>
  <c r="BD70" i="2"/>
  <c r="BD67" i="2"/>
  <c r="BD66" i="2"/>
  <c r="BD72" i="2" s="1"/>
  <c r="BD62" i="2"/>
  <c r="BD57" i="2"/>
  <c r="BD63" i="2" s="1"/>
  <c r="BD54" i="2"/>
  <c r="AT101" i="2"/>
  <c r="AT100" i="2"/>
  <c r="AS100" i="2"/>
  <c r="AT99" i="2"/>
  <c r="AS99" i="2"/>
  <c r="AR99" i="2"/>
  <c r="AX98" i="2"/>
  <c r="AW98" i="2"/>
  <c r="AV98" i="2"/>
  <c r="AU98" i="2"/>
  <c r="AW101" i="2" s="1"/>
  <c r="AT98" i="2"/>
  <c r="AX102" i="2" s="1"/>
  <c r="AS98" i="2"/>
  <c r="AW102" i="2" s="1"/>
  <c r="AR98" i="2"/>
  <c r="AV102" i="2" s="1"/>
  <c r="AQ98" i="2"/>
  <c r="AU102" i="2" s="1"/>
  <c r="AX50" i="2"/>
  <c r="AW50" i="2"/>
  <c r="AV50" i="2"/>
  <c r="AU50" i="2"/>
  <c r="AT50" i="2"/>
  <c r="AS50" i="2"/>
  <c r="AR50" i="2"/>
  <c r="AU51" i="2"/>
  <c r="AT51" i="2"/>
  <c r="AS51" i="2"/>
  <c r="AR51" i="2"/>
  <c r="AQ51" i="2"/>
  <c r="AX40" i="2"/>
  <c r="AW40" i="2"/>
  <c r="AV40" i="2"/>
  <c r="AU40" i="2"/>
  <c r="AT40" i="2"/>
  <c r="AS40" i="2"/>
  <c r="AR40" i="2"/>
  <c r="AQ40" i="2"/>
  <c r="AU32" i="2"/>
  <c r="AT32" i="2"/>
  <c r="AS32" i="2"/>
  <c r="AR32" i="2"/>
  <c r="AQ32" i="2"/>
  <c r="AW32" i="2"/>
  <c r="AW51" i="2" s="1"/>
  <c r="AV32" i="2"/>
  <c r="AV51" i="2" s="1"/>
  <c r="AX32" i="2"/>
  <c r="AV103" i="2" l="1"/>
  <c r="BD53" i="2"/>
  <c r="AW103" i="2"/>
  <c r="AX103" i="2"/>
  <c r="AU99" i="2"/>
  <c r="AV99" i="2"/>
  <c r="BA103" i="2"/>
  <c r="AW99" i="2"/>
  <c r="AW104" i="2"/>
  <c r="AX99" i="2"/>
  <c r="AX104" i="2"/>
  <c r="AW100" i="2"/>
  <c r="AV101" i="2"/>
  <c r="AS41" i="2"/>
  <c r="AS43" i="2" s="1"/>
  <c r="AS45" i="2" s="1"/>
  <c r="AS46" i="2" s="1"/>
  <c r="AX101" i="2"/>
  <c r="AT41" i="2"/>
  <c r="AT43" i="2" s="1"/>
  <c r="AT45" i="2" s="1"/>
  <c r="AT46" i="2" s="1"/>
  <c r="AU41" i="2"/>
  <c r="AU43" i="2" s="1"/>
  <c r="AU45" i="2" s="1"/>
  <c r="AU46" i="2" s="1"/>
  <c r="AZ101" i="2"/>
  <c r="AW41" i="2"/>
  <c r="AW43" i="2" s="1"/>
  <c r="AW45" i="2" s="1"/>
  <c r="AW46" i="2" s="1"/>
  <c r="AX41" i="2"/>
  <c r="AX43" i="2" s="1"/>
  <c r="AX45" i="2" s="1"/>
  <c r="AX46" i="2" s="1"/>
  <c r="BA102" i="2"/>
  <c r="AU100" i="2"/>
  <c r="AX105" i="2"/>
  <c r="AV100" i="2"/>
  <c r="AX100" i="2"/>
  <c r="AU101" i="2"/>
  <c r="AQ41" i="2"/>
  <c r="AQ43" i="2" s="1"/>
  <c r="AQ45" i="2" s="1"/>
  <c r="AQ46" i="2" s="1"/>
  <c r="BA107" i="2"/>
  <c r="AR41" i="2"/>
  <c r="AR43" i="2" s="1"/>
  <c r="AR45" i="2" s="1"/>
  <c r="AR46" i="2" s="1"/>
  <c r="AV41" i="2"/>
  <c r="AV43" i="2" s="1"/>
  <c r="AV45" i="2" s="1"/>
  <c r="AV46" i="2" s="1"/>
  <c r="BB81" i="2"/>
  <c r="BB98" i="2" s="1"/>
  <c r="BI80" i="2"/>
  <c r="BI77" i="2"/>
  <c r="BI71" i="2"/>
  <c r="BI67" i="2"/>
  <c r="BI66" i="2"/>
  <c r="BI62" i="2"/>
  <c r="BI57" i="2"/>
  <c r="BI54" i="2"/>
  <c r="BI63" i="2"/>
  <c r="BI53" i="2"/>
  <c r="BJ80" i="2"/>
  <c r="BJ77" i="2"/>
  <c r="BJ81" i="2"/>
  <c r="BJ98" i="2" s="1"/>
  <c r="BJ71" i="2"/>
  <c r="BJ113" i="2" s="1"/>
  <c r="BJ70" i="2"/>
  <c r="BJ67" i="2"/>
  <c r="BJ66" i="2"/>
  <c r="BJ62" i="2"/>
  <c r="BJ57" i="2"/>
  <c r="BJ54" i="2"/>
  <c r="BI42" i="2"/>
  <c r="BI41" i="2"/>
  <c r="BI40" i="2"/>
  <c r="BI32" i="2"/>
  <c r="BK42" i="2"/>
  <c r="BK80" i="2"/>
  <c r="BK77" i="2"/>
  <c r="BK81" i="2"/>
  <c r="BK98" i="2" s="1"/>
  <c r="BK70" i="2"/>
  <c r="BK67" i="2"/>
  <c r="BK66" i="2"/>
  <c r="BK54" i="2"/>
  <c r="BK63" i="2" s="1"/>
  <c r="BK62" i="2"/>
  <c r="BK57" i="2"/>
  <c r="BJ42" i="2"/>
  <c r="BJ41" i="2"/>
  <c r="BJ43" i="2" s="1"/>
  <c r="BJ45" i="2" s="1"/>
  <c r="BJ46" i="2" s="1"/>
  <c r="BJ40" i="2"/>
  <c r="BJ32" i="2"/>
  <c r="BL80" i="2"/>
  <c r="BL81" i="2" s="1"/>
  <c r="BL70" i="2"/>
  <c r="BL67" i="2"/>
  <c r="BL66" i="2"/>
  <c r="BL60" i="2"/>
  <c r="BL114" i="2" s="1"/>
  <c r="BL62" i="2"/>
  <c r="BL57" i="2"/>
  <c r="BL54" i="2"/>
  <c r="BL63" i="2"/>
  <c r="BL53" i="2"/>
  <c r="BK41" i="2"/>
  <c r="BK40" i="2"/>
  <c r="BK32" i="2"/>
  <c r="BM79" i="2"/>
  <c r="BM80" i="2"/>
  <c r="BM71" i="2"/>
  <c r="BM113" i="2" s="1"/>
  <c r="BM70" i="2"/>
  <c r="BM67" i="2"/>
  <c r="BM66" i="2"/>
  <c r="BM72" i="2" s="1"/>
  <c r="BM62" i="2"/>
  <c r="BM60" i="2"/>
  <c r="BM57" i="2"/>
  <c r="BM54" i="2"/>
  <c r="BL41" i="2"/>
  <c r="BL43" i="2" s="1"/>
  <c r="BL45" i="2" s="1"/>
  <c r="BL46" i="2" s="1"/>
  <c r="BL40" i="2"/>
  <c r="BL32" i="2"/>
  <c r="BN79" i="2"/>
  <c r="BN80" i="2"/>
  <c r="BN81" i="2"/>
  <c r="BN71" i="2"/>
  <c r="BN67" i="2"/>
  <c r="BN72" i="2" s="1"/>
  <c r="BN66" i="2"/>
  <c r="BN60" i="2"/>
  <c r="BN54" i="2"/>
  <c r="BN63" i="2" s="1"/>
  <c r="BM41" i="2"/>
  <c r="BM40" i="2"/>
  <c r="BM32" i="2"/>
  <c r="BO71" i="2"/>
  <c r="BO113" i="2" s="1"/>
  <c r="BO67" i="2"/>
  <c r="BO66" i="2"/>
  <c r="BO54" i="2"/>
  <c r="BO63" i="2" s="1"/>
  <c r="BN42" i="2"/>
  <c r="BN40" i="2"/>
  <c r="BN32" i="2"/>
  <c r="BO80" i="2"/>
  <c r="BO79" i="2"/>
  <c r="BP66" i="2"/>
  <c r="BP67" i="2"/>
  <c r="BP54" i="2"/>
  <c r="BP63" i="2" s="1"/>
  <c r="BO42" i="2"/>
  <c r="BO40" i="2"/>
  <c r="BO32" i="2"/>
  <c r="BP80" i="2"/>
  <c r="BP79" i="2"/>
  <c r="BP77" i="2"/>
  <c r="BQ67" i="2"/>
  <c r="BQ66" i="2"/>
  <c r="BQ54" i="2"/>
  <c r="BQ63" i="2" s="1"/>
  <c r="BP42" i="2"/>
  <c r="BP40" i="2"/>
  <c r="BP32" i="2"/>
  <c r="BQ80" i="2"/>
  <c r="BQ77" i="2"/>
  <c r="BR67" i="2"/>
  <c r="BR66" i="2"/>
  <c r="BR72" i="2" s="1"/>
  <c r="BR54" i="2"/>
  <c r="BR63" i="2" s="1"/>
  <c r="BQ42" i="2"/>
  <c r="BQ40" i="2"/>
  <c r="BQ32" i="2"/>
  <c r="BR80" i="2"/>
  <c r="BR79" i="2"/>
  <c r="BR77" i="2"/>
  <c r="BS80" i="2"/>
  <c r="BS77" i="2"/>
  <c r="BS81" i="2" s="1"/>
  <c r="BS67" i="2"/>
  <c r="BS66" i="2"/>
  <c r="BS54" i="2"/>
  <c r="BS63" i="2" s="1"/>
  <c r="BR42" i="2"/>
  <c r="BR40" i="2"/>
  <c r="BR32" i="2"/>
  <c r="BT80" i="2"/>
  <c r="BT79" i="2"/>
  <c r="BT77" i="2"/>
  <c r="BT81" i="2" s="1"/>
  <c r="BT67" i="2"/>
  <c r="BT66" i="2"/>
  <c r="BT54" i="2"/>
  <c r="BT63" i="2" s="1"/>
  <c r="BS42" i="2"/>
  <c r="BS40" i="2"/>
  <c r="BS32" i="2"/>
  <c r="BU80" i="2"/>
  <c r="BU79" i="2"/>
  <c r="BU81" i="2" s="1"/>
  <c r="BU71" i="2"/>
  <c r="BU113" i="2" s="1"/>
  <c r="BU66" i="2"/>
  <c r="BU72" i="2"/>
  <c r="BU54" i="2"/>
  <c r="BT42" i="2"/>
  <c r="BT40" i="2"/>
  <c r="BT32" i="2"/>
  <c r="BV80" i="2"/>
  <c r="BV79" i="2"/>
  <c r="BV71" i="2"/>
  <c r="BV114" i="2" s="1"/>
  <c r="BV66" i="2"/>
  <c r="BV54" i="2"/>
  <c r="BV63" i="2" s="1"/>
  <c r="BU42" i="2"/>
  <c r="BU40" i="2"/>
  <c r="BU32" i="2"/>
  <c r="BT114" i="2"/>
  <c r="BS114" i="2"/>
  <c r="BR114" i="2"/>
  <c r="BQ114" i="2"/>
  <c r="BP114" i="2"/>
  <c r="BK114" i="2"/>
  <c r="BH114" i="2"/>
  <c r="BG114" i="2"/>
  <c r="BF114" i="2"/>
  <c r="BE114" i="2"/>
  <c r="BC114" i="2"/>
  <c r="BB114" i="2"/>
  <c r="BA114" i="2"/>
  <c r="AZ114" i="2"/>
  <c r="AY114" i="2"/>
  <c r="AX114" i="2"/>
  <c r="AW114" i="2"/>
  <c r="BT113" i="2"/>
  <c r="BS113" i="2"/>
  <c r="BR113" i="2"/>
  <c r="BQ113" i="2"/>
  <c r="BP113" i="2"/>
  <c r="BL113" i="2"/>
  <c r="BK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BV118" i="2"/>
  <c r="BW80" i="2"/>
  <c r="BW79" i="2"/>
  <c r="BX80" i="2"/>
  <c r="BX79" i="2"/>
  <c r="BW66" i="2"/>
  <c r="BW72" i="2" s="1"/>
  <c r="BW54" i="2"/>
  <c r="BW53" i="2" s="1"/>
  <c r="BW60" i="2"/>
  <c r="BW114" i="2" s="1"/>
  <c r="BW63" i="2"/>
  <c r="BW42" i="2"/>
  <c r="BV42" i="2"/>
  <c r="BW40" i="2"/>
  <c r="BV40" i="2"/>
  <c r="BV32" i="2"/>
  <c r="BW32" i="2"/>
  <c r="CC80" i="2"/>
  <c r="CC66" i="2"/>
  <c r="CC72" i="2" s="1"/>
  <c r="CC60" i="2"/>
  <c r="CC114" i="2" s="1"/>
  <c r="CC57" i="2"/>
  <c r="CC54" i="2"/>
  <c r="CB80" i="2"/>
  <c r="CB77" i="2"/>
  <c r="CB81" i="2" s="1"/>
  <c r="CB98" i="2" s="1"/>
  <c r="CB66" i="2"/>
  <c r="CB60" i="2"/>
  <c r="CB54" i="2"/>
  <c r="CB57" i="2"/>
  <c r="CA80" i="2"/>
  <c r="CA81" i="2" s="1"/>
  <c r="BZ80" i="2"/>
  <c r="BZ81" i="2" s="1"/>
  <c r="BZ71" i="2"/>
  <c r="BZ113" i="2" s="1"/>
  <c r="BZ66" i="2"/>
  <c r="BZ54" i="2"/>
  <c r="BZ60" i="2"/>
  <c r="CA66" i="2"/>
  <c r="CA72" i="2" s="1"/>
  <c r="CA60" i="2"/>
  <c r="CA114" i="2" s="1"/>
  <c r="CA54" i="2"/>
  <c r="BZ30" i="2"/>
  <c r="BZ118" i="2" s="1"/>
  <c r="BY30" i="2"/>
  <c r="BY112" i="2" s="1"/>
  <c r="BW118" i="2"/>
  <c r="CC113" i="2"/>
  <c r="CB113" i="2"/>
  <c r="CA113" i="2"/>
  <c r="BW113" i="2"/>
  <c r="BX71" i="2"/>
  <c r="BX113" i="2" s="1"/>
  <c r="BX66" i="2"/>
  <c r="BX60" i="2"/>
  <c r="BX54" i="2"/>
  <c r="BX63" i="2" s="1"/>
  <c r="BX118" i="2"/>
  <c r="BY80" i="2"/>
  <c r="BY77" i="2"/>
  <c r="BY81" i="2" s="1"/>
  <c r="BY71" i="2"/>
  <c r="BY113" i="2" s="1"/>
  <c r="BY66" i="2"/>
  <c r="BY60" i="2"/>
  <c r="BY54" i="2"/>
  <c r="AY98" i="2"/>
  <c r="BA105" i="2" s="1"/>
  <c r="AY40" i="2"/>
  <c r="AY32" i="2"/>
  <c r="AY51" i="2" s="1"/>
  <c r="BA98" i="2"/>
  <c r="AZ98" i="2"/>
  <c r="AX51" i="2"/>
  <c r="BA50" i="2"/>
  <c r="AZ50" i="2"/>
  <c r="AY50" i="2"/>
  <c r="AZ32" i="2"/>
  <c r="AZ51" i="2" s="1"/>
  <c r="BA32" i="2"/>
  <c r="BA40" i="2"/>
  <c r="AZ40" i="2"/>
  <c r="BB40" i="2"/>
  <c r="BB32" i="2"/>
  <c r="BB51" i="2" s="1"/>
  <c r="BE32" i="2"/>
  <c r="BE51" i="2" s="1"/>
  <c r="BF80" i="2"/>
  <c r="BF81" i="2" s="1"/>
  <c r="BF98" i="2" s="1"/>
  <c r="BG80" i="2"/>
  <c r="BG81" i="2" s="1"/>
  <c r="BG98" i="2" s="1"/>
  <c r="BH77" i="2"/>
  <c r="BH80" i="2"/>
  <c r="BH70" i="2"/>
  <c r="BH66" i="2"/>
  <c r="BH67" i="2"/>
  <c r="BH57" i="2"/>
  <c r="BH54" i="2"/>
  <c r="BF42" i="2"/>
  <c r="BG42" i="2"/>
  <c r="BH42" i="2"/>
  <c r="BH40" i="2"/>
  <c r="BG40" i="2"/>
  <c r="BF40" i="2"/>
  <c r="BH32" i="2"/>
  <c r="BH51" i="2" s="1"/>
  <c r="BG32" i="2"/>
  <c r="BG51" i="2" s="1"/>
  <c r="BF32" i="2"/>
  <c r="BF51" i="2" s="1"/>
  <c r="BE40" i="2"/>
  <c r="BD40" i="2"/>
  <c r="BD32" i="2"/>
  <c r="BD51" i="2" s="1"/>
  <c r="BC40" i="2"/>
  <c r="BC32" i="2"/>
  <c r="BC51" i="2" s="1"/>
  <c r="BE98" i="2"/>
  <c r="BD98" i="2"/>
  <c r="BC98" i="2"/>
  <c r="BE50" i="2"/>
  <c r="BD50" i="2"/>
  <c r="BC50" i="2"/>
  <c r="BB50" i="2"/>
  <c r="BF50" i="2"/>
  <c r="BG50" i="2"/>
  <c r="BI50" i="2"/>
  <c r="BH50" i="2"/>
  <c r="AJ42" i="2"/>
  <c r="AK42" i="2" s="1"/>
  <c r="AL42" i="2" s="1"/>
  <c r="AM42" i="2" s="1"/>
  <c r="AN42" i="2" s="1"/>
  <c r="AJ38" i="2"/>
  <c r="AJ40" i="2" s="1"/>
  <c r="AN32" i="2"/>
  <c r="AN31" i="2" s="1"/>
  <c r="AM32" i="2"/>
  <c r="AM31" i="2" s="1"/>
  <c r="AL32" i="2"/>
  <c r="AL51" i="2" s="1"/>
  <c r="AK32" i="2"/>
  <c r="AK31" i="2" s="1"/>
  <c r="AJ32" i="2"/>
  <c r="AJ31" i="2" s="1"/>
  <c r="F95" i="2"/>
  <c r="F93" i="2"/>
  <c r="F91" i="2"/>
  <c r="F90" i="2"/>
  <c r="F86" i="2"/>
  <c r="F85" i="2"/>
  <c r="F83" i="2"/>
  <c r="F79" i="2"/>
  <c r="F78" i="2"/>
  <c r="F77" i="2"/>
  <c r="F76" i="2"/>
  <c r="F75" i="2"/>
  <c r="F118" i="2"/>
  <c r="E118" i="2"/>
  <c r="F71" i="2"/>
  <c r="F66" i="2"/>
  <c r="F72" i="2" s="1"/>
  <c r="F54" i="2"/>
  <c r="F53" i="2" s="1"/>
  <c r="F60" i="2"/>
  <c r="D42" i="2"/>
  <c r="D94" i="2"/>
  <c r="D87" i="2"/>
  <c r="D81" i="2"/>
  <c r="D98" i="2" s="1"/>
  <c r="D72" i="2"/>
  <c r="D63" i="2"/>
  <c r="D53" i="2"/>
  <c r="D40" i="2"/>
  <c r="D32" i="2"/>
  <c r="D51" i="2" s="1"/>
  <c r="E92" i="2"/>
  <c r="E94" i="2" s="1"/>
  <c r="E84" i="2"/>
  <c r="E87" i="2" s="1"/>
  <c r="E80" i="2"/>
  <c r="E81" i="2" s="1"/>
  <c r="E98" i="2" s="1"/>
  <c r="E71" i="2"/>
  <c r="E66" i="2"/>
  <c r="E72" i="2"/>
  <c r="E60" i="2"/>
  <c r="E54" i="2"/>
  <c r="C42" i="2"/>
  <c r="C53" i="2"/>
  <c r="C40" i="2"/>
  <c r="C32" i="2"/>
  <c r="C51" i="2" s="1"/>
  <c r="E32" i="2"/>
  <c r="E51" i="2" s="1"/>
  <c r="E40" i="2"/>
  <c r="E42" i="2"/>
  <c r="I34" i="2"/>
  <c r="H15" i="2"/>
  <c r="H14" i="2"/>
  <c r="L66" i="2"/>
  <c r="L72" i="2" s="1"/>
  <c r="L60" i="2"/>
  <c r="L54" i="2"/>
  <c r="K50" i="2"/>
  <c r="J50" i="2"/>
  <c r="I50" i="2"/>
  <c r="H44" i="2"/>
  <c r="H39" i="2"/>
  <c r="H38" i="2"/>
  <c r="H31" i="2"/>
  <c r="H30" i="2"/>
  <c r="H20" i="2"/>
  <c r="H19" i="2"/>
  <c r="H18" i="2"/>
  <c r="H17" i="2"/>
  <c r="H94" i="2"/>
  <c r="H87" i="2"/>
  <c r="H81" i="2"/>
  <c r="H98" i="2" s="1"/>
  <c r="H72" i="2"/>
  <c r="H63" i="2"/>
  <c r="H53" i="2"/>
  <c r="K118" i="2"/>
  <c r="J118" i="2"/>
  <c r="I118" i="2"/>
  <c r="K71" i="2"/>
  <c r="K66" i="2"/>
  <c r="K60" i="2"/>
  <c r="K54" i="2"/>
  <c r="G42" i="2"/>
  <c r="G40" i="2"/>
  <c r="G94" i="2"/>
  <c r="G87" i="2"/>
  <c r="G81" i="2"/>
  <c r="G98" i="2" s="1"/>
  <c r="G72" i="2"/>
  <c r="G63" i="2"/>
  <c r="G53" i="2"/>
  <c r="G32" i="2"/>
  <c r="G51" i="2" s="1"/>
  <c r="J95" i="2"/>
  <c r="K95" i="2" s="1"/>
  <c r="L95" i="2" s="1"/>
  <c r="J92" i="2"/>
  <c r="K92" i="2" s="1"/>
  <c r="L92" i="2" s="1"/>
  <c r="J90" i="2"/>
  <c r="K90" i="2" s="1"/>
  <c r="L90" i="2" s="1"/>
  <c r="J86" i="2"/>
  <c r="K86" i="2" s="1"/>
  <c r="L86" i="2" s="1"/>
  <c r="J85" i="2"/>
  <c r="K85" i="2" s="1"/>
  <c r="L85" i="2" s="1"/>
  <c r="J83" i="2"/>
  <c r="K83" i="2" s="1"/>
  <c r="L83" i="2" s="1"/>
  <c r="J79" i="2"/>
  <c r="K79" i="2" s="1"/>
  <c r="L79" i="2" s="1"/>
  <c r="J78" i="2"/>
  <c r="K78" i="2" s="1"/>
  <c r="L78" i="2" s="1"/>
  <c r="J77" i="2"/>
  <c r="K77" i="2" s="1"/>
  <c r="L77" i="2" s="1"/>
  <c r="J76" i="2"/>
  <c r="J34" i="2" s="1"/>
  <c r="J75" i="2"/>
  <c r="K75" i="2" s="1"/>
  <c r="L75" i="2" s="1"/>
  <c r="J71" i="2"/>
  <c r="J66" i="2"/>
  <c r="J54" i="2"/>
  <c r="J60" i="2"/>
  <c r="F42" i="2"/>
  <c r="F40" i="2"/>
  <c r="F32" i="2"/>
  <c r="F51" i="2" s="1"/>
  <c r="I93" i="2"/>
  <c r="J93" i="2" s="1"/>
  <c r="K93" i="2" s="1"/>
  <c r="L93" i="2" s="1"/>
  <c r="I91" i="2"/>
  <c r="I84" i="2"/>
  <c r="I87" i="2" s="1"/>
  <c r="I80" i="2"/>
  <c r="I81" i="2" s="1"/>
  <c r="I98" i="2" s="1"/>
  <c r="I66" i="2"/>
  <c r="I54" i="2"/>
  <c r="I59" i="2"/>
  <c r="M34" i="2"/>
  <c r="L15" i="2"/>
  <c r="L14" i="2"/>
  <c r="L44" i="2"/>
  <c r="L39" i="2"/>
  <c r="L38" i="2"/>
  <c r="L40" i="2" s="1"/>
  <c r="L31" i="2"/>
  <c r="L30" i="2"/>
  <c r="L18" i="2"/>
  <c r="L20" i="2"/>
  <c r="L19" i="2"/>
  <c r="L17" i="2"/>
  <c r="O118" i="2"/>
  <c r="N118" i="2"/>
  <c r="M118" i="2"/>
  <c r="P92" i="2"/>
  <c r="P66" i="2"/>
  <c r="P72" i="2" s="1"/>
  <c r="M50" i="2"/>
  <c r="O50" i="2"/>
  <c r="N50" i="2"/>
  <c r="P60" i="2"/>
  <c r="P57" i="2"/>
  <c r="P54" i="2"/>
  <c r="O66" i="2"/>
  <c r="O72" i="2" s="1"/>
  <c r="O60" i="2"/>
  <c r="O57" i="2"/>
  <c r="O54" i="2"/>
  <c r="K42" i="2"/>
  <c r="K40" i="2"/>
  <c r="K32" i="2"/>
  <c r="N95" i="2"/>
  <c r="O95" i="2" s="1"/>
  <c r="P95" i="2" s="1"/>
  <c r="N91" i="2"/>
  <c r="O91" i="2" s="1"/>
  <c r="P91" i="2" s="1"/>
  <c r="N93" i="2"/>
  <c r="O93" i="2" s="1"/>
  <c r="P93" i="2" s="1"/>
  <c r="N90" i="2"/>
  <c r="N86" i="2"/>
  <c r="O86" i="2" s="1"/>
  <c r="P86" i="2" s="1"/>
  <c r="N85" i="2"/>
  <c r="O85" i="2" s="1"/>
  <c r="P85" i="2" s="1"/>
  <c r="N83" i="2"/>
  <c r="O83" i="2" s="1"/>
  <c r="P83" i="2" s="1"/>
  <c r="N78" i="2"/>
  <c r="O78" i="2" s="1"/>
  <c r="P78" i="2" s="1"/>
  <c r="N77" i="2"/>
  <c r="O77" i="2" s="1"/>
  <c r="P77" i="2" s="1"/>
  <c r="N76" i="2"/>
  <c r="O76" i="2" s="1"/>
  <c r="P76" i="2" s="1"/>
  <c r="P34" i="2" s="1"/>
  <c r="N75" i="2"/>
  <c r="N66" i="2"/>
  <c r="N72" i="2" s="1"/>
  <c r="N60" i="2"/>
  <c r="N57" i="2"/>
  <c r="N54" i="2"/>
  <c r="J42" i="2"/>
  <c r="J40" i="2"/>
  <c r="J32" i="2"/>
  <c r="M94" i="2"/>
  <c r="M84" i="2"/>
  <c r="N84" i="2" s="1"/>
  <c r="M80" i="2"/>
  <c r="N80" i="2" s="1"/>
  <c r="O80" i="2" s="1"/>
  <c r="P80" i="2" s="1"/>
  <c r="M66" i="2"/>
  <c r="M72" i="2" s="1"/>
  <c r="M54" i="2"/>
  <c r="M60" i="2"/>
  <c r="I42" i="2"/>
  <c r="I40" i="2"/>
  <c r="I32" i="2"/>
  <c r="I51" i="2" s="1"/>
  <c r="S50" i="2"/>
  <c r="R50" i="2"/>
  <c r="Q50" i="2"/>
  <c r="P15" i="2"/>
  <c r="P14" i="2"/>
  <c r="Q34" i="2"/>
  <c r="T66" i="2"/>
  <c r="T72" i="2" s="1"/>
  <c r="T60" i="2"/>
  <c r="T54" i="2"/>
  <c r="T57" i="2"/>
  <c r="P44" i="2"/>
  <c r="P39" i="2"/>
  <c r="P38" i="2"/>
  <c r="P31" i="2"/>
  <c r="P30" i="2"/>
  <c r="T50" i="2" s="1"/>
  <c r="P20" i="2"/>
  <c r="P19" i="2"/>
  <c r="P18" i="2"/>
  <c r="P17" i="2"/>
  <c r="R78" i="2"/>
  <c r="S78" i="2" s="1"/>
  <c r="T78" i="2" s="1"/>
  <c r="S66" i="2"/>
  <c r="S72" i="2" s="1"/>
  <c r="S60" i="2"/>
  <c r="S54" i="2"/>
  <c r="S57" i="2"/>
  <c r="O42" i="2"/>
  <c r="O40" i="2"/>
  <c r="O32" i="2"/>
  <c r="O51" i="2" s="1"/>
  <c r="N42" i="2"/>
  <c r="N40" i="2"/>
  <c r="N32" i="2"/>
  <c r="N51" i="2" s="1"/>
  <c r="R95" i="2"/>
  <c r="S95" i="2" s="1"/>
  <c r="T95" i="2" s="1"/>
  <c r="R93" i="2"/>
  <c r="S93" i="2" s="1"/>
  <c r="T93" i="2" s="1"/>
  <c r="R90" i="2"/>
  <c r="S90" i="2" s="1"/>
  <c r="T90" i="2" s="1"/>
  <c r="R89" i="2"/>
  <c r="S89" i="2" s="1"/>
  <c r="T89" i="2" s="1"/>
  <c r="R85" i="2"/>
  <c r="S85" i="2" s="1"/>
  <c r="T85" i="2" s="1"/>
  <c r="R83" i="2"/>
  <c r="S83" i="2" s="1"/>
  <c r="T83" i="2" s="1"/>
  <c r="R79" i="2"/>
  <c r="S79" i="2" s="1"/>
  <c r="T79" i="2" s="1"/>
  <c r="R76" i="2"/>
  <c r="R34" i="2" s="1"/>
  <c r="R75" i="2"/>
  <c r="S75" i="2" s="1"/>
  <c r="T75" i="2" s="1"/>
  <c r="R66" i="2"/>
  <c r="R72" i="2" s="1"/>
  <c r="R54" i="2"/>
  <c r="R60" i="2"/>
  <c r="R57" i="2"/>
  <c r="T118" i="2"/>
  <c r="S118" i="2"/>
  <c r="R118" i="2"/>
  <c r="Q118" i="2"/>
  <c r="Q92" i="2"/>
  <c r="R92" i="2" s="1"/>
  <c r="S92" i="2" s="1"/>
  <c r="T92" i="2" s="1"/>
  <c r="Q91" i="2"/>
  <c r="R91" i="2" s="1"/>
  <c r="S91" i="2" s="1"/>
  <c r="T91" i="2" s="1"/>
  <c r="Q86" i="2"/>
  <c r="R86" i="2" s="1"/>
  <c r="S86" i="2" s="1"/>
  <c r="T86" i="2" s="1"/>
  <c r="Q84" i="2"/>
  <c r="R84" i="2" s="1"/>
  <c r="S84" i="2" s="1"/>
  <c r="T84" i="2" s="1"/>
  <c r="Q80" i="2"/>
  <c r="Q81" i="2" s="1"/>
  <c r="Q98" i="2" s="1"/>
  <c r="Q66" i="2"/>
  <c r="Q72" i="2" s="1"/>
  <c r="Q54" i="2"/>
  <c r="Q60" i="2"/>
  <c r="Q57" i="2"/>
  <c r="M42" i="2"/>
  <c r="M40" i="2"/>
  <c r="M32" i="2"/>
  <c r="M51" i="2" s="1"/>
  <c r="CG71" i="2"/>
  <c r="CG70" i="2"/>
  <c r="CG69" i="2"/>
  <c r="CG68" i="2"/>
  <c r="CG67" i="2"/>
  <c r="CG65" i="2"/>
  <c r="CG62" i="2"/>
  <c r="CG61" i="2"/>
  <c r="CG59" i="2"/>
  <c r="CG58" i="2"/>
  <c r="CD71" i="2"/>
  <c r="CD113" i="2" s="1"/>
  <c r="CD70" i="2"/>
  <c r="CD69" i="2"/>
  <c r="CD68" i="2"/>
  <c r="CD67" i="2"/>
  <c r="CD65" i="2"/>
  <c r="CD64" i="2"/>
  <c r="CD62" i="2"/>
  <c r="CD61" i="2"/>
  <c r="CD59" i="2"/>
  <c r="CD58" i="2"/>
  <c r="CD57" i="2"/>
  <c r="CD56" i="2"/>
  <c r="CD55" i="2"/>
  <c r="CF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CE79" i="2"/>
  <c r="CE77" i="2"/>
  <c r="CE71" i="2"/>
  <c r="CE70" i="2"/>
  <c r="CE69" i="2"/>
  <c r="CE68" i="2"/>
  <c r="CE67" i="2"/>
  <c r="CE65" i="2"/>
  <c r="CE62" i="2"/>
  <c r="CE61" i="2"/>
  <c r="CE59" i="2"/>
  <c r="CE58" i="2"/>
  <c r="CE57" i="2"/>
  <c r="CE56" i="2"/>
  <c r="CE55" i="2"/>
  <c r="CF92" i="2"/>
  <c r="CF90" i="2"/>
  <c r="CF79" i="2"/>
  <c r="CF77" i="2"/>
  <c r="CF71" i="2"/>
  <c r="CF113" i="2" s="1"/>
  <c r="CF70" i="2"/>
  <c r="CF69" i="2"/>
  <c r="CF68" i="2"/>
  <c r="CF67" i="2"/>
  <c r="CF65" i="2"/>
  <c r="CF62" i="2"/>
  <c r="CF61" i="2"/>
  <c r="CF59" i="2"/>
  <c r="CF58" i="2"/>
  <c r="CF118" i="2" s="1"/>
  <c r="CF57" i="2"/>
  <c r="CF56" i="2"/>
  <c r="CF55" i="2"/>
  <c r="AG34" i="2"/>
  <c r="AA118" i="2"/>
  <c r="Z118" i="2"/>
  <c r="Y118" i="2"/>
  <c r="X118" i="2"/>
  <c r="W118" i="2"/>
  <c r="V118" i="2"/>
  <c r="U118" i="2"/>
  <c r="AB15" i="2"/>
  <c r="AB14" i="2"/>
  <c r="AB66" i="2"/>
  <c r="AB72" i="2" s="1"/>
  <c r="CE72" i="2" s="1"/>
  <c r="AB54" i="2"/>
  <c r="AB60" i="2"/>
  <c r="CE60" i="2" s="1"/>
  <c r="AA66" i="2"/>
  <c r="AA72" i="2" s="1"/>
  <c r="AA54" i="2"/>
  <c r="AA60" i="2"/>
  <c r="Z66" i="2"/>
  <c r="Z72" i="2" s="1"/>
  <c r="Z54" i="2"/>
  <c r="Z60" i="2"/>
  <c r="Y66" i="2"/>
  <c r="Y72" i="2" s="1"/>
  <c r="Y60" i="2"/>
  <c r="Y54" i="2"/>
  <c r="U34" i="2"/>
  <c r="T15" i="2"/>
  <c r="T14" i="2"/>
  <c r="X15" i="2"/>
  <c r="X14" i="2"/>
  <c r="X79" i="2"/>
  <c r="CD79" i="2" s="1"/>
  <c r="X66" i="2"/>
  <c r="CD66" i="2" s="1"/>
  <c r="X54" i="2"/>
  <c r="CD54" i="2" s="1"/>
  <c r="X60" i="2"/>
  <c r="T20" i="2"/>
  <c r="T19" i="2"/>
  <c r="T18" i="2"/>
  <c r="T17" i="2"/>
  <c r="X20" i="2"/>
  <c r="X19" i="2"/>
  <c r="X18" i="2"/>
  <c r="X17" i="2"/>
  <c r="W50" i="2"/>
  <c r="V50" i="2"/>
  <c r="U50" i="2"/>
  <c r="S42" i="2"/>
  <c r="S40" i="2"/>
  <c r="S32" i="2"/>
  <c r="S51" i="2" s="1"/>
  <c r="W66" i="2"/>
  <c r="W72" i="2" s="1"/>
  <c r="W60" i="2"/>
  <c r="W54" i="2"/>
  <c r="W42" i="2"/>
  <c r="V95" i="2"/>
  <c r="W95" i="2" s="1"/>
  <c r="X95" i="2" s="1"/>
  <c r="V93" i="2"/>
  <c r="W93" i="2" s="1"/>
  <c r="X93" i="2" s="1"/>
  <c r="V92" i="2"/>
  <c r="W92" i="2" s="1"/>
  <c r="X92" i="2" s="1"/>
  <c r="V90" i="2"/>
  <c r="W90" i="2" s="1"/>
  <c r="X90" i="2" s="1"/>
  <c r="V89" i="2"/>
  <c r="V86" i="2"/>
  <c r="W86" i="2" s="1"/>
  <c r="X86" i="2" s="1"/>
  <c r="V85" i="2"/>
  <c r="W85" i="2" s="1"/>
  <c r="X85" i="2" s="1"/>
  <c r="V83" i="2"/>
  <c r="W83" i="2" s="1"/>
  <c r="X83" i="2" s="1"/>
  <c r="V78" i="2"/>
  <c r="W78" i="2" s="1"/>
  <c r="X78" i="2" s="1"/>
  <c r="V77" i="2"/>
  <c r="V76" i="2"/>
  <c r="V34" i="2" s="1"/>
  <c r="V75" i="2"/>
  <c r="W75" i="2" s="1"/>
  <c r="X75" i="2" s="1"/>
  <c r="V66" i="2"/>
  <c r="V72" i="2" s="1"/>
  <c r="V60" i="2"/>
  <c r="V54" i="2"/>
  <c r="R42" i="2"/>
  <c r="R40" i="2"/>
  <c r="R32" i="2"/>
  <c r="U91" i="2"/>
  <c r="U94" i="2" s="1"/>
  <c r="U84" i="2"/>
  <c r="U87" i="2" s="1"/>
  <c r="U80" i="2"/>
  <c r="U81" i="2" s="1"/>
  <c r="U98" i="2" s="1"/>
  <c r="U66" i="2"/>
  <c r="U72" i="2" s="1"/>
  <c r="U60" i="2"/>
  <c r="U54" i="2"/>
  <c r="Q42" i="2"/>
  <c r="Q40" i="2"/>
  <c r="Q32" i="2"/>
  <c r="Q51" i="2" s="1"/>
  <c r="AC118" i="2"/>
  <c r="AI118" i="2"/>
  <c r="AH118" i="2"/>
  <c r="AG118" i="2"/>
  <c r="AE118" i="2"/>
  <c r="AD118" i="2"/>
  <c r="AB92" i="2"/>
  <c r="CE92" i="2" s="1"/>
  <c r="AF60" i="2"/>
  <c r="CF60" i="2" s="1"/>
  <c r="AF66" i="2"/>
  <c r="AF72" i="2" s="1"/>
  <c r="CF72" i="2" s="1"/>
  <c r="AF54" i="2"/>
  <c r="AE66" i="2"/>
  <c r="AE72" i="2" s="1"/>
  <c r="AE60" i="2"/>
  <c r="AE54" i="2"/>
  <c r="AC34" i="2"/>
  <c r="AD95" i="2"/>
  <c r="AE95" i="2" s="1"/>
  <c r="AF95" i="2" s="1"/>
  <c r="AD93" i="2"/>
  <c r="AE93" i="2" s="1"/>
  <c r="AD91" i="2"/>
  <c r="AE91" i="2" s="1"/>
  <c r="AF91" i="2" s="1"/>
  <c r="AD89" i="2"/>
  <c r="AE89" i="2" s="1"/>
  <c r="AF89" i="2" s="1"/>
  <c r="AD86" i="2"/>
  <c r="AE86" i="2" s="1"/>
  <c r="AF86" i="2" s="1"/>
  <c r="AD85" i="2"/>
  <c r="AE85" i="2" s="1"/>
  <c r="AF85" i="2" s="1"/>
  <c r="AD83" i="2"/>
  <c r="AE83" i="2" s="1"/>
  <c r="AD78" i="2"/>
  <c r="AE78" i="2" s="1"/>
  <c r="AF78" i="2" s="1"/>
  <c r="AD76" i="2"/>
  <c r="AD34" i="2" s="1"/>
  <c r="AD75" i="2"/>
  <c r="AE75" i="2" s="1"/>
  <c r="AF75" i="2" s="1"/>
  <c r="AD66" i="2"/>
  <c r="AD72" i="2" s="1"/>
  <c r="AD54" i="2"/>
  <c r="AD60" i="2"/>
  <c r="AC84" i="2"/>
  <c r="AD84" i="2" s="1"/>
  <c r="AE84" i="2" s="1"/>
  <c r="AF84" i="2" s="1"/>
  <c r="AC80" i="2"/>
  <c r="AC81" i="2" s="1"/>
  <c r="AC98" i="2" s="1"/>
  <c r="AC66" i="2"/>
  <c r="AC72" i="2" s="1"/>
  <c r="AC54" i="2"/>
  <c r="AC60" i="2"/>
  <c r="CH39" i="2"/>
  <c r="CI39" i="2" s="1"/>
  <c r="CG39" i="2"/>
  <c r="CG30" i="2"/>
  <c r="CG50" i="2" s="1"/>
  <c r="AN50" i="2"/>
  <c r="AM50" i="2"/>
  <c r="AL50" i="2"/>
  <c r="AK50" i="2"/>
  <c r="AH95" i="2"/>
  <c r="AI95" i="2" s="1"/>
  <c r="AH93" i="2"/>
  <c r="AI93" i="2" s="1"/>
  <c r="AH91" i="2"/>
  <c r="AI91" i="2" s="1"/>
  <c r="AH89" i="2"/>
  <c r="AH86" i="2"/>
  <c r="AI86" i="2" s="1"/>
  <c r="AH85" i="2"/>
  <c r="AI85" i="2" s="1"/>
  <c r="AH83" i="2"/>
  <c r="AH78" i="2"/>
  <c r="AI78" i="2" s="1"/>
  <c r="AH76" i="2"/>
  <c r="AI76" i="2" s="1"/>
  <c r="AI34" i="2" s="1"/>
  <c r="AH75" i="2"/>
  <c r="AI75" i="2" s="1"/>
  <c r="AH66" i="2"/>
  <c r="AH72" i="2" s="1"/>
  <c r="AH54" i="2"/>
  <c r="AH60" i="2"/>
  <c r="AG92" i="2"/>
  <c r="AH92" i="2" s="1"/>
  <c r="AI92" i="2" s="1"/>
  <c r="AC94" i="2"/>
  <c r="AG84" i="2"/>
  <c r="AH84" i="2" s="1"/>
  <c r="AI84" i="2" s="1"/>
  <c r="AG80" i="2"/>
  <c r="AG81" i="2" s="1"/>
  <c r="AG98" i="2" s="1"/>
  <c r="AG66" i="2"/>
  <c r="AG72" i="2" s="1"/>
  <c r="AG60" i="2"/>
  <c r="AG54" i="2"/>
  <c r="AG63" i="2" s="1"/>
  <c r="AH9" i="2"/>
  <c r="AC10" i="2"/>
  <c r="AF10" i="2"/>
  <c r="AG10" i="2"/>
  <c r="AH10" i="2"/>
  <c r="AE10" i="2"/>
  <c r="AI10" i="2"/>
  <c r="AI9" i="2"/>
  <c r="AE9" i="2"/>
  <c r="AZ106" i="2" l="1"/>
  <c r="AY106" i="2"/>
  <c r="BU53" i="2"/>
  <c r="BQ81" i="2"/>
  <c r="AY99" i="2"/>
  <c r="AZ102" i="2"/>
  <c r="AY102" i="2"/>
  <c r="AY105" i="2"/>
  <c r="BY114" i="2"/>
  <c r="AZ104" i="2"/>
  <c r="BY72" i="2"/>
  <c r="AY104" i="2"/>
  <c r="BA106" i="2"/>
  <c r="AZ107" i="2"/>
  <c r="AZ100" i="2"/>
  <c r="BJ63" i="2"/>
  <c r="BA101" i="2"/>
  <c r="AZ103" i="2"/>
  <c r="AY103" i="2"/>
  <c r="AZ105" i="2"/>
  <c r="BS72" i="2"/>
  <c r="AY101" i="2"/>
  <c r="BA104" i="2"/>
  <c r="AY100" i="2"/>
  <c r="BB102" i="2"/>
  <c r="BB107" i="2"/>
  <c r="BB106" i="2"/>
  <c r="BB105" i="2"/>
  <c r="BB104" i="2"/>
  <c r="BB103" i="2"/>
  <c r="BC107" i="2"/>
  <c r="BC105" i="2"/>
  <c r="BC104" i="2"/>
  <c r="BC106" i="2"/>
  <c r="BC103" i="2"/>
  <c r="BF107" i="2"/>
  <c r="BE107" i="2"/>
  <c r="BD107" i="2"/>
  <c r="BF106" i="2"/>
  <c r="BD106" i="2"/>
  <c r="BE105" i="2"/>
  <c r="BD104" i="2"/>
  <c r="BG107" i="2"/>
  <c r="BE106" i="2"/>
  <c r="BD105" i="2"/>
  <c r="CA63" i="2"/>
  <c r="BW81" i="2"/>
  <c r="T53" i="2"/>
  <c r="BV81" i="2"/>
  <c r="BP81" i="2"/>
  <c r="BP98" i="2" s="1"/>
  <c r="AZ41" i="2"/>
  <c r="AZ43" i="2" s="1"/>
  <c r="AZ45" i="2" s="1"/>
  <c r="AZ46" i="2" s="1"/>
  <c r="BX53" i="2"/>
  <c r="BX81" i="2"/>
  <c r="CA53" i="2"/>
  <c r="BZ63" i="2"/>
  <c r="F92" i="2"/>
  <c r="BH53" i="2"/>
  <c r="BZ53" i="2"/>
  <c r="BP72" i="2"/>
  <c r="BI43" i="2"/>
  <c r="BI45" i="2" s="1"/>
  <c r="BI46" i="2" s="1"/>
  <c r="BK53" i="2"/>
  <c r="BK72" i="2"/>
  <c r="BW41" i="2"/>
  <c r="BW43" i="2" s="1"/>
  <c r="BW45" i="2" s="1"/>
  <c r="BW46" i="2" s="1"/>
  <c r="BO72" i="2"/>
  <c r="BM63" i="2"/>
  <c r="BX114" i="2"/>
  <c r="BT72" i="2"/>
  <c r="AA63" i="2"/>
  <c r="BH81" i="2"/>
  <c r="BH98" i="2" s="1"/>
  <c r="BH106" i="2" s="1"/>
  <c r="BX72" i="2"/>
  <c r="BR53" i="2"/>
  <c r="BJ53" i="2"/>
  <c r="BJ72" i="2"/>
  <c r="BL72" i="2"/>
  <c r="BJ114" i="2"/>
  <c r="BP53" i="2"/>
  <c r="BM53" i="2"/>
  <c r="BV53" i="2"/>
  <c r="BO114" i="2"/>
  <c r="BV113" i="2"/>
  <c r="BE104" i="2"/>
  <c r="BZ114" i="2"/>
  <c r="BS53" i="2"/>
  <c r="BM81" i="2"/>
  <c r="BM98" i="2" s="1"/>
  <c r="BK43" i="2"/>
  <c r="BK45" i="2" s="1"/>
  <c r="BK46" i="2" s="1"/>
  <c r="BE102" i="2"/>
  <c r="BG106" i="2"/>
  <c r="BE103" i="2"/>
  <c r="BT53" i="2"/>
  <c r="F94" i="2"/>
  <c r="BQ72" i="2"/>
  <c r="BN114" i="2"/>
  <c r="BM114" i="2"/>
  <c r="BY53" i="2"/>
  <c r="CB63" i="2"/>
  <c r="CB53" i="2"/>
  <c r="CB114" i="2"/>
  <c r="BV72" i="2"/>
  <c r="BO81" i="2"/>
  <c r="BO98" i="2" s="1"/>
  <c r="BI81" i="2"/>
  <c r="BI98" i="2" s="1"/>
  <c r="CC53" i="2"/>
  <c r="BR81" i="2"/>
  <c r="BR98" i="2" s="1"/>
  <c r="BF105" i="2"/>
  <c r="BN53" i="2"/>
  <c r="CB72" i="2"/>
  <c r="BT41" i="2"/>
  <c r="BU63" i="2"/>
  <c r="BY63" i="2"/>
  <c r="BD99" i="2"/>
  <c r="BS41" i="2"/>
  <c r="BS43" i="2" s="1"/>
  <c r="BS45" i="2" s="1"/>
  <c r="BS46" i="2" s="1"/>
  <c r="CC63" i="2"/>
  <c r="AZ99" i="2"/>
  <c r="BZ112" i="2"/>
  <c r="BH63" i="2"/>
  <c r="BC102" i="2"/>
  <c r="BR41" i="2"/>
  <c r="BR43" i="2" s="1"/>
  <c r="BR45" i="2" s="1"/>
  <c r="BR46" i="2" s="1"/>
  <c r="BI72" i="2"/>
  <c r="BO41" i="2"/>
  <c r="BO43" i="2" s="1"/>
  <c r="BO45" i="2" s="1"/>
  <c r="BO46" i="2" s="1"/>
  <c r="BE99" i="2"/>
  <c r="BQ41" i="2"/>
  <c r="BQ43" i="2" s="1"/>
  <c r="BQ45" i="2" s="1"/>
  <c r="BQ46" i="2" s="1"/>
  <c r="BD41" i="2"/>
  <c r="BD43" i="2" s="1"/>
  <c r="BD45" i="2" s="1"/>
  <c r="BF41" i="2"/>
  <c r="BF43" i="2" s="1"/>
  <c r="BF45" i="2" s="1"/>
  <c r="BF46" i="2" s="1"/>
  <c r="BU114" i="2"/>
  <c r="BN113" i="2"/>
  <c r="BN41" i="2"/>
  <c r="BN43" i="2" s="1"/>
  <c r="BN45" i="2" s="1"/>
  <c r="BN46" i="2" s="1"/>
  <c r="AY41" i="2"/>
  <c r="AY43" i="2" s="1"/>
  <c r="AY45" i="2" s="1"/>
  <c r="AY46" i="2" s="1"/>
  <c r="BU41" i="2"/>
  <c r="BU43" i="2" s="1"/>
  <c r="BU45" i="2" s="1"/>
  <c r="BU46" i="2" s="1"/>
  <c r="BB101" i="2"/>
  <c r="BP41" i="2"/>
  <c r="BP43" i="2" s="1"/>
  <c r="BP45" i="2" s="1"/>
  <c r="BP46" i="2" s="1"/>
  <c r="BD103" i="2"/>
  <c r="BQ53" i="2"/>
  <c r="BY118" i="2"/>
  <c r="BV41" i="2"/>
  <c r="BV43" i="2" s="1"/>
  <c r="BV45" i="2" s="1"/>
  <c r="BV46" i="2" s="1"/>
  <c r="BA100" i="2"/>
  <c r="BH72" i="2"/>
  <c r="BM43" i="2"/>
  <c r="BM45" i="2" s="1"/>
  <c r="BM46" i="2" s="1"/>
  <c r="BI113" i="2"/>
  <c r="BI114" i="2"/>
  <c r="BK99" i="2"/>
  <c r="BO53" i="2"/>
  <c r="BT43" i="2"/>
  <c r="BT45" i="2" s="1"/>
  <c r="BT46" i="2" s="1"/>
  <c r="BZ72" i="2"/>
  <c r="BG103" i="2"/>
  <c r="BF101" i="2"/>
  <c r="BF102" i="2"/>
  <c r="BF103" i="2"/>
  <c r="BE100" i="2"/>
  <c r="BC100" i="2"/>
  <c r="BB99" i="2"/>
  <c r="BC99" i="2"/>
  <c r="BB100" i="2"/>
  <c r="BC41" i="2"/>
  <c r="BC43" i="2" s="1"/>
  <c r="BC45" i="2" s="1"/>
  <c r="BD100" i="2"/>
  <c r="BA99" i="2"/>
  <c r="BC101" i="2"/>
  <c r="BD101" i="2"/>
  <c r="BE41" i="2"/>
  <c r="BE43" i="2" s="1"/>
  <c r="BE45" i="2" s="1"/>
  <c r="BE101" i="2"/>
  <c r="BD102" i="2"/>
  <c r="BB41" i="2"/>
  <c r="BB43" i="2" s="1"/>
  <c r="BB45" i="2" s="1"/>
  <c r="BF104" i="2"/>
  <c r="BG104" i="2"/>
  <c r="BG41" i="2"/>
  <c r="BG43" i="2" s="1"/>
  <c r="BG45" i="2" s="1"/>
  <c r="BH41" i="2"/>
  <c r="BH43" i="2" s="1"/>
  <c r="BH45" i="2" s="1"/>
  <c r="BG105" i="2"/>
  <c r="BA41" i="2"/>
  <c r="BA43" i="2" s="1"/>
  <c r="BA45" i="2" s="1"/>
  <c r="BA46" i="2" s="1"/>
  <c r="BA51" i="2"/>
  <c r="BG102" i="2"/>
  <c r="BF99" i="2"/>
  <c r="BF100" i="2"/>
  <c r="BH100" i="2"/>
  <c r="BG99" i="2"/>
  <c r="BG100" i="2"/>
  <c r="BG101" i="2"/>
  <c r="L63" i="2"/>
  <c r="Q53" i="2"/>
  <c r="O63" i="2"/>
  <c r="F80" i="2"/>
  <c r="F81" i="2" s="1"/>
  <c r="F98" i="2" s="1"/>
  <c r="F63" i="2"/>
  <c r="E53" i="2"/>
  <c r="F84" i="2"/>
  <c r="F87" i="2" s="1"/>
  <c r="L32" i="2"/>
  <c r="L51" i="2" s="1"/>
  <c r="CI31" i="2"/>
  <c r="CI32" i="2" s="1"/>
  <c r="CI51" i="2" s="1"/>
  <c r="I94" i="2"/>
  <c r="I96" i="2" s="1"/>
  <c r="M63" i="2"/>
  <c r="K63" i="2"/>
  <c r="E41" i="2"/>
  <c r="E43" i="2" s="1"/>
  <c r="E45" i="2" s="1"/>
  <c r="E74" i="2" s="1"/>
  <c r="D96" i="2"/>
  <c r="AJ41" i="2"/>
  <c r="AJ43" i="2" s="1"/>
  <c r="E96" i="2"/>
  <c r="E63" i="2"/>
  <c r="H42" i="2"/>
  <c r="D41" i="2"/>
  <c r="D43" i="2" s="1"/>
  <c r="D45" i="2" s="1"/>
  <c r="N63" i="2"/>
  <c r="J72" i="2"/>
  <c r="Y63" i="2"/>
  <c r="K72" i="2"/>
  <c r="C41" i="2"/>
  <c r="C43" i="2" s="1"/>
  <c r="C45" i="2" s="1"/>
  <c r="J35" i="2"/>
  <c r="J36" i="2" s="1"/>
  <c r="H40" i="2"/>
  <c r="L50" i="2"/>
  <c r="K76" i="2"/>
  <c r="J63" i="2"/>
  <c r="P118" i="2"/>
  <c r="I35" i="2"/>
  <c r="I36" i="2" s="1"/>
  <c r="L53" i="2"/>
  <c r="P63" i="2"/>
  <c r="H96" i="2"/>
  <c r="AC53" i="2"/>
  <c r="M87" i="2"/>
  <c r="G41" i="2"/>
  <c r="G43" i="2" s="1"/>
  <c r="G45" i="2" s="1"/>
  <c r="I53" i="2"/>
  <c r="G96" i="2"/>
  <c r="AF63" i="2"/>
  <c r="CF63" i="2" s="1"/>
  <c r="H32" i="2"/>
  <c r="L118" i="2"/>
  <c r="K53" i="2"/>
  <c r="J53" i="2"/>
  <c r="I63" i="2"/>
  <c r="AE63" i="2"/>
  <c r="J80" i="2"/>
  <c r="J84" i="2"/>
  <c r="J91" i="2"/>
  <c r="K91" i="2" s="1"/>
  <c r="N94" i="2"/>
  <c r="O90" i="2"/>
  <c r="P90" i="2" s="1"/>
  <c r="P94" i="2" s="1"/>
  <c r="M35" i="2"/>
  <c r="M36" i="2" s="1"/>
  <c r="L42" i="2"/>
  <c r="N81" i="2"/>
  <c r="N98" i="2" s="1"/>
  <c r="P50" i="2"/>
  <c r="I72" i="2"/>
  <c r="F41" i="2"/>
  <c r="F43" i="2" s="1"/>
  <c r="F45" i="2" s="1"/>
  <c r="W63" i="2"/>
  <c r="M53" i="2"/>
  <c r="N53" i="2"/>
  <c r="P53" i="2"/>
  <c r="N34" i="2"/>
  <c r="N35" i="2" s="1"/>
  <c r="N36" i="2" s="1"/>
  <c r="O34" i="2"/>
  <c r="O35" i="2" s="1"/>
  <c r="O36" i="2" s="1"/>
  <c r="R63" i="2"/>
  <c r="N87" i="2"/>
  <c r="O84" i="2"/>
  <c r="S76" i="2"/>
  <c r="T76" i="2" s="1"/>
  <c r="T34" i="2" s="1"/>
  <c r="AF53" i="2"/>
  <c r="CF53" i="2" s="1"/>
  <c r="O75" i="2"/>
  <c r="W53" i="2"/>
  <c r="CF75" i="2"/>
  <c r="O53" i="2"/>
  <c r="K41" i="2"/>
  <c r="K43" i="2" s="1"/>
  <c r="K45" i="2" s="1"/>
  <c r="K74" i="2" s="1"/>
  <c r="M81" i="2"/>
  <c r="M98" i="2" s="1"/>
  <c r="R53" i="2"/>
  <c r="X72" i="2"/>
  <c r="CD72" i="2" s="1"/>
  <c r="K51" i="2"/>
  <c r="J41" i="2"/>
  <c r="J43" i="2" s="1"/>
  <c r="J45" i="2" s="1"/>
  <c r="J74" i="2" s="1"/>
  <c r="J51" i="2"/>
  <c r="T87" i="2"/>
  <c r="P42" i="2"/>
  <c r="AA53" i="2"/>
  <c r="T63" i="2"/>
  <c r="Q35" i="2"/>
  <c r="Q36" i="2" s="1"/>
  <c r="R35" i="2"/>
  <c r="R36" i="2" s="1"/>
  <c r="Q94" i="2"/>
  <c r="V63" i="2"/>
  <c r="CF114" i="2"/>
  <c r="P40" i="2"/>
  <c r="T94" i="2"/>
  <c r="P32" i="2"/>
  <c r="P35" i="2" s="1"/>
  <c r="P36" i="2" s="1"/>
  <c r="I41" i="2"/>
  <c r="I43" i="2" s="1"/>
  <c r="I45" i="2" s="1"/>
  <c r="AG94" i="2"/>
  <c r="S87" i="2"/>
  <c r="S63" i="2"/>
  <c r="S53" i="2"/>
  <c r="S94" i="2"/>
  <c r="X53" i="2"/>
  <c r="CD53" i="2" s="1"/>
  <c r="X63" i="2"/>
  <c r="CD63" i="2" s="1"/>
  <c r="U63" i="2"/>
  <c r="AB53" i="2"/>
  <c r="CE53" i="2" s="1"/>
  <c r="AD53" i="2"/>
  <c r="Q63" i="2"/>
  <c r="R87" i="2"/>
  <c r="O41" i="2"/>
  <c r="O43" i="2" s="1"/>
  <c r="O45" i="2" s="1"/>
  <c r="CE114" i="2"/>
  <c r="R94" i="2"/>
  <c r="Q87" i="2"/>
  <c r="R80" i="2"/>
  <c r="CE113" i="2"/>
  <c r="N41" i="2"/>
  <c r="N43" i="2" s="1"/>
  <c r="N45" i="2" s="1"/>
  <c r="M41" i="2"/>
  <c r="M43" i="2" s="1"/>
  <c r="M45" i="2" s="1"/>
  <c r="Z63" i="2"/>
  <c r="CF78" i="2"/>
  <c r="V91" i="2"/>
  <c r="W91" i="2" s="1"/>
  <c r="X91" i="2" s="1"/>
  <c r="U53" i="2"/>
  <c r="CF85" i="2"/>
  <c r="CE54" i="2"/>
  <c r="Y53" i="2"/>
  <c r="AH53" i="2"/>
  <c r="CF54" i="2"/>
  <c r="Z53" i="2"/>
  <c r="CF95" i="2"/>
  <c r="CD75" i="2"/>
  <c r="AB63" i="2"/>
  <c r="CE63" i="2" s="1"/>
  <c r="CD83" i="2"/>
  <c r="CD86" i="2"/>
  <c r="CE66" i="2"/>
  <c r="CD93" i="2"/>
  <c r="CD95" i="2"/>
  <c r="CF91" i="2"/>
  <c r="CD78" i="2"/>
  <c r="CD85" i="2"/>
  <c r="CD90" i="2"/>
  <c r="CD92" i="2"/>
  <c r="CF84" i="2"/>
  <c r="CD60" i="2"/>
  <c r="CD114" i="2" s="1"/>
  <c r="R41" i="2"/>
  <c r="R43" i="2" s="1"/>
  <c r="R45" i="2" s="1"/>
  <c r="W76" i="2"/>
  <c r="W34" i="2" s="1"/>
  <c r="AH34" i="2"/>
  <c r="CF86" i="2"/>
  <c r="CF89" i="2"/>
  <c r="CF66" i="2"/>
  <c r="CG118" i="2"/>
  <c r="V53" i="2"/>
  <c r="W89" i="2"/>
  <c r="V80" i="2"/>
  <c r="AC63" i="2"/>
  <c r="V84" i="2"/>
  <c r="AE76" i="2"/>
  <c r="AF76" i="2" s="1"/>
  <c r="AF34" i="2" s="1"/>
  <c r="R51" i="2"/>
  <c r="W77" i="2"/>
  <c r="S41" i="2"/>
  <c r="S43" i="2" s="1"/>
  <c r="S45" i="2" s="1"/>
  <c r="U96" i="2"/>
  <c r="AE87" i="2"/>
  <c r="Q41" i="2"/>
  <c r="Q43" i="2" s="1"/>
  <c r="Q45" i="2" s="1"/>
  <c r="AF93" i="2"/>
  <c r="AF94" i="2" s="1"/>
  <c r="AE94" i="2"/>
  <c r="AC87" i="2"/>
  <c r="AF83" i="2"/>
  <c r="AD80" i="2"/>
  <c r="AD87" i="2"/>
  <c r="AD94" i="2"/>
  <c r="AG87" i="2"/>
  <c r="AE53" i="2"/>
  <c r="AD63" i="2"/>
  <c r="AG53" i="2"/>
  <c r="AH8" i="2"/>
  <c r="AH6" i="2" s="1"/>
  <c r="AH80" i="2"/>
  <c r="AI80" i="2" s="1"/>
  <c r="AI81" i="2" s="1"/>
  <c r="AJ81" i="2" s="1"/>
  <c r="AH87" i="2"/>
  <c r="CJ39" i="2"/>
  <c r="AH63" i="2"/>
  <c r="CH50" i="2"/>
  <c r="AM51" i="2"/>
  <c r="AN51" i="2"/>
  <c r="AL31" i="2"/>
  <c r="CH31" i="2" s="1"/>
  <c r="CH32" i="2" s="1"/>
  <c r="CH51" i="2" s="1"/>
  <c r="CI50" i="2"/>
  <c r="AK51" i="2"/>
  <c r="AH94" i="2"/>
  <c r="AI8" i="2"/>
  <c r="AI6" i="2" s="1"/>
  <c r="AE8" i="2"/>
  <c r="AE6" i="2" s="1"/>
  <c r="AI83" i="2"/>
  <c r="AI89" i="2"/>
  <c r="AI94" i="2" s="1"/>
  <c r="AJ47" i="2"/>
  <c r="CG38" i="2"/>
  <c r="CG40" i="2" s="1"/>
  <c r="CG31" i="2"/>
  <c r="CG32" i="2" s="1"/>
  <c r="AI66" i="2"/>
  <c r="AI54" i="2"/>
  <c r="AI60" i="2"/>
  <c r="AL2" i="2"/>
  <c r="AK2" i="2"/>
  <c r="AO2" i="2" s="1"/>
  <c r="AI50" i="2"/>
  <c r="AI40" i="2"/>
  <c r="AI32" i="2"/>
  <c r="AI51" i="2" s="1"/>
  <c r="AJ2" i="2"/>
  <c r="AN2" i="2" s="1"/>
  <c r="AE2" i="2"/>
  <c r="AI2" i="2" s="1"/>
  <c r="AM2" i="2" s="1"/>
  <c r="AH50" i="2"/>
  <c r="AG50" i="2"/>
  <c r="AE50" i="2"/>
  <c r="AD50" i="2"/>
  <c r="AC50" i="2"/>
  <c r="AF47" i="2"/>
  <c r="AF44" i="2"/>
  <c r="AF39" i="2"/>
  <c r="AF38" i="2"/>
  <c r="AF30" i="2"/>
  <c r="AF31" i="2"/>
  <c r="AE42" i="2"/>
  <c r="AE32" i="2"/>
  <c r="AB42" i="2"/>
  <c r="AB39" i="2"/>
  <c r="AB38" i="2"/>
  <c r="AB31" i="2"/>
  <c r="AB30" i="2"/>
  <c r="CF42" i="2"/>
  <c r="CE42" i="2"/>
  <c r="CF40" i="2"/>
  <c r="CE40" i="2"/>
  <c r="CE41" i="2" s="1"/>
  <c r="CF32" i="2"/>
  <c r="CF51" i="2" s="1"/>
  <c r="AC42" i="2"/>
  <c r="AC32" i="2"/>
  <c r="AC51" i="2" s="1"/>
  <c r="AG42" i="2"/>
  <c r="AG32" i="2"/>
  <c r="AG51" i="2" s="1"/>
  <c r="AD42" i="2"/>
  <c r="AD32" i="2"/>
  <c r="AD51" i="2" s="1"/>
  <c r="AH42" i="2"/>
  <c r="AH40" i="2"/>
  <c r="AG40" i="2"/>
  <c r="AE40" i="2"/>
  <c r="AD40" i="2"/>
  <c r="AC40" i="2"/>
  <c r="AH32" i="2"/>
  <c r="AH51" i="2" s="1"/>
  <c r="BL98" i="2"/>
  <c r="BJ50" i="2"/>
  <c r="BK50" i="2"/>
  <c r="BI51" i="2"/>
  <c r="BJ51" i="2"/>
  <c r="BN98" i="2"/>
  <c r="BL50" i="2"/>
  <c r="BM50" i="2"/>
  <c r="BK51" i="2"/>
  <c r="BL51" i="2"/>
  <c r="BQ98" i="2"/>
  <c r="BO51" i="2"/>
  <c r="BN51" i="2"/>
  <c r="BM51" i="2"/>
  <c r="BP50" i="2"/>
  <c r="BO50" i="2"/>
  <c r="BN50" i="2"/>
  <c r="BS98" i="2"/>
  <c r="BR50" i="2"/>
  <c r="BQ50" i="2"/>
  <c r="BQ51" i="2"/>
  <c r="BP51" i="2"/>
  <c r="BT98" i="2"/>
  <c r="BR51" i="2"/>
  <c r="BS50" i="2"/>
  <c r="BT50" i="2"/>
  <c r="BU50" i="2"/>
  <c r="BS51" i="2"/>
  <c r="BT51" i="2"/>
  <c r="BV98" i="2"/>
  <c r="BU98" i="2"/>
  <c r="BF2" i="2"/>
  <c r="BW98" i="2"/>
  <c r="BX50" i="2"/>
  <c r="BW50" i="2"/>
  <c r="BV50" i="2"/>
  <c r="BW51" i="2"/>
  <c r="BV51" i="2"/>
  <c r="BU51" i="2"/>
  <c r="BX98" i="2"/>
  <c r="BY50" i="2"/>
  <c r="BZ50" i="2"/>
  <c r="BX44" i="2"/>
  <c r="BX42" i="2"/>
  <c r="BX40" i="2"/>
  <c r="BX32" i="2"/>
  <c r="BX51" i="2" s="1"/>
  <c r="BY98" i="2"/>
  <c r="BY44" i="2"/>
  <c r="BY42" i="2"/>
  <c r="BY40" i="2"/>
  <c r="BY32" i="2"/>
  <c r="BY51" i="2" s="1"/>
  <c r="CA98" i="2"/>
  <c r="BZ98" i="2"/>
  <c r="BZ44" i="2"/>
  <c r="BZ42" i="2"/>
  <c r="BZ40" i="2"/>
  <c r="BZ32" i="2"/>
  <c r="BZ51" i="2" s="1"/>
  <c r="CA44" i="2"/>
  <c r="CA42" i="2"/>
  <c r="CA30" i="2"/>
  <c r="CA40" i="2"/>
  <c r="CC98" i="2"/>
  <c r="CB44" i="2"/>
  <c r="CB42" i="2"/>
  <c r="CC44" i="2"/>
  <c r="CC42" i="2"/>
  <c r="CD44" i="2"/>
  <c r="CD42" i="2"/>
  <c r="CC40" i="2"/>
  <c r="CB40" i="2"/>
  <c r="CD40" i="2"/>
  <c r="CB30" i="2"/>
  <c r="CC30" i="2"/>
  <c r="CD30" i="2"/>
  <c r="Z95" i="2"/>
  <c r="Z93" i="2"/>
  <c r="Z91" i="2"/>
  <c r="Z90" i="2"/>
  <c r="Z89" i="2"/>
  <c r="Z83" i="2"/>
  <c r="Z86" i="2"/>
  <c r="Z85" i="2"/>
  <c r="Z78" i="2"/>
  <c r="Z76" i="2"/>
  <c r="Z75" i="2"/>
  <c r="Y94" i="2"/>
  <c r="Y84" i="2"/>
  <c r="Y34" i="2"/>
  <c r="Y80" i="2"/>
  <c r="AB2" i="2"/>
  <c r="CG2" i="2" s="1"/>
  <c r="CH2" i="2" s="1"/>
  <c r="CI2" i="2" s="1"/>
  <c r="CJ2" i="2" s="1"/>
  <c r="CK2" i="2" s="1"/>
  <c r="CL2" i="2" s="1"/>
  <c r="CM2" i="2" s="1"/>
  <c r="CN2" i="2" s="1"/>
  <c r="CO2" i="2" s="1"/>
  <c r="AA50" i="2"/>
  <c r="Z50" i="2"/>
  <c r="Y50" i="2"/>
  <c r="X50" i="2"/>
  <c r="T44" i="2"/>
  <c r="T42" i="2"/>
  <c r="T40" i="2"/>
  <c r="T32" i="2"/>
  <c r="T51" i="2" s="1"/>
  <c r="U42" i="2"/>
  <c r="X40" i="2"/>
  <c r="X32" i="2"/>
  <c r="U40" i="2"/>
  <c r="U32" i="2"/>
  <c r="U51" i="2" s="1"/>
  <c r="Y44" i="2"/>
  <c r="Y42" i="2"/>
  <c r="V42" i="2"/>
  <c r="V40" i="2"/>
  <c r="V32" i="2"/>
  <c r="V51" i="2" s="1"/>
  <c r="Y32" i="2"/>
  <c r="Y51" i="2" s="1"/>
  <c r="Y40" i="2"/>
  <c r="Z44" i="2"/>
  <c r="Z42" i="2"/>
  <c r="Z32" i="2"/>
  <c r="Z51" i="2" s="1"/>
  <c r="AA44" i="2"/>
  <c r="AA42" i="2"/>
  <c r="Z40" i="2"/>
  <c r="W40" i="2"/>
  <c r="W32" i="2"/>
  <c r="W51" i="2" s="1"/>
  <c r="AA40" i="2"/>
  <c r="AA32" i="2"/>
  <c r="J4" i="1"/>
  <c r="J7" i="1" s="1"/>
  <c r="O7" i="1" s="1"/>
  <c r="BB46" i="2" l="1"/>
  <c r="BB74" i="2"/>
  <c r="BE46" i="2"/>
  <c r="BE74" i="2"/>
  <c r="BD46" i="2"/>
  <c r="BD74" i="2"/>
  <c r="BC46" i="2"/>
  <c r="BC74" i="2"/>
  <c r="BI106" i="2"/>
  <c r="BL105" i="2"/>
  <c r="BI74" i="2"/>
  <c r="L41" i="2"/>
  <c r="BF74" i="2"/>
  <c r="BH101" i="2"/>
  <c r="BL106" i="2"/>
  <c r="BJ107" i="2"/>
  <c r="BJ106" i="2"/>
  <c r="BH105" i="2"/>
  <c r="BH104" i="2"/>
  <c r="BH107" i="2"/>
  <c r="BJ102" i="2"/>
  <c r="BH99" i="2"/>
  <c r="BK103" i="2"/>
  <c r="BJ105" i="2"/>
  <c r="BI102" i="2"/>
  <c r="BI104" i="2"/>
  <c r="BH103" i="2"/>
  <c r="BK106" i="2"/>
  <c r="BJ103" i="2"/>
  <c r="BI103" i="2"/>
  <c r="BH102" i="2"/>
  <c r="BL107" i="2"/>
  <c r="BM107" i="2"/>
  <c r="BN106" i="2"/>
  <c r="BK104" i="2"/>
  <c r="BK105" i="2"/>
  <c r="BN102" i="2"/>
  <c r="BJ104" i="2"/>
  <c r="BK101" i="2"/>
  <c r="BI101" i="2"/>
  <c r="BL102" i="2"/>
  <c r="BL100" i="2"/>
  <c r="BK100" i="2"/>
  <c r="BJ100" i="2"/>
  <c r="BK102" i="2"/>
  <c r="BJ101" i="2"/>
  <c r="BK107" i="2"/>
  <c r="BI99" i="2"/>
  <c r="BI105" i="2"/>
  <c r="BI107" i="2"/>
  <c r="BN107" i="2"/>
  <c r="BJ99" i="2"/>
  <c r="BI100" i="2"/>
  <c r="AI87" i="2"/>
  <c r="AJ83" i="2"/>
  <c r="CG83" i="2" s="1"/>
  <c r="BM104" i="2"/>
  <c r="BM103" i="2"/>
  <c r="BN103" i="2"/>
  <c r="BL103" i="2"/>
  <c r="BS107" i="2"/>
  <c r="BV105" i="2"/>
  <c r="BW106" i="2"/>
  <c r="BX107" i="2"/>
  <c r="BU106" i="2"/>
  <c r="BT105" i="2"/>
  <c r="BS104" i="2"/>
  <c r="BV107" i="2"/>
  <c r="BM102" i="2"/>
  <c r="BV106" i="2"/>
  <c r="BN99" i="2"/>
  <c r="BW107" i="2"/>
  <c r="BU105" i="2"/>
  <c r="BL104" i="2"/>
  <c r="BL101" i="2"/>
  <c r="BM101" i="2"/>
  <c r="BR107" i="2"/>
  <c r="BP106" i="2"/>
  <c r="BO106" i="2"/>
  <c r="BH46" i="2"/>
  <c r="BH74" i="2"/>
  <c r="BQ107" i="2"/>
  <c r="CA106" i="2"/>
  <c r="BZ105" i="2"/>
  <c r="CB107" i="2"/>
  <c r="BO105" i="2"/>
  <c r="BN105" i="2"/>
  <c r="BO103" i="2"/>
  <c r="CC105" i="2"/>
  <c r="BY106" i="2"/>
  <c r="BX105" i="2"/>
  <c r="BZ107" i="2"/>
  <c r="BT106" i="2"/>
  <c r="BR106" i="2"/>
  <c r="BQ106" i="2"/>
  <c r="BS106" i="2"/>
  <c r="BQ105" i="2"/>
  <c r="BP105" i="2"/>
  <c r="BP104" i="2"/>
  <c r="BU107" i="2"/>
  <c r="BT107" i="2"/>
  <c r="BP107" i="2"/>
  <c r="BO104" i="2"/>
  <c r="BO107" i="2"/>
  <c r="BN104" i="2"/>
  <c r="BX106" i="2"/>
  <c r="BW105" i="2"/>
  <c r="BY107" i="2"/>
  <c r="CC106" i="2"/>
  <c r="CB105" i="2"/>
  <c r="BG46" i="2"/>
  <c r="BG74" i="2"/>
  <c r="BM106" i="2"/>
  <c r="CB106" i="2"/>
  <c r="CA105" i="2"/>
  <c r="CC107" i="2"/>
  <c r="BM105" i="2"/>
  <c r="BZ106" i="2"/>
  <c r="BY105" i="2"/>
  <c r="CA107" i="2"/>
  <c r="E46" i="2"/>
  <c r="BQ103" i="2"/>
  <c r="BM99" i="2"/>
  <c r="BR104" i="2"/>
  <c r="BO101" i="2"/>
  <c r="BS105" i="2"/>
  <c r="BN100" i="2"/>
  <c r="BP102" i="2"/>
  <c r="BR105" i="2"/>
  <c r="BN101" i="2"/>
  <c r="BM100" i="2"/>
  <c r="BP103" i="2"/>
  <c r="BL99" i="2"/>
  <c r="BQ104" i="2"/>
  <c r="BO102" i="2"/>
  <c r="F96" i="2"/>
  <c r="CB104" i="2"/>
  <c r="CK31" i="2"/>
  <c r="CJ31" i="2"/>
  <c r="CJ32" i="2" s="1"/>
  <c r="AJ44" i="2"/>
  <c r="AJ45" i="2" s="1"/>
  <c r="AJ46" i="2" s="1"/>
  <c r="D74" i="2"/>
  <c r="D46" i="2"/>
  <c r="J94" i="2"/>
  <c r="C74" i="2"/>
  <c r="C46" i="2"/>
  <c r="K34" i="2"/>
  <c r="K35" i="2" s="1"/>
  <c r="K36" i="2" s="1"/>
  <c r="L76" i="2"/>
  <c r="L34" i="2" s="1"/>
  <c r="L35" i="2" s="1"/>
  <c r="L36" i="2" s="1"/>
  <c r="K94" i="2"/>
  <c r="L91" i="2"/>
  <c r="L94" i="2" s="1"/>
  <c r="J87" i="2"/>
  <c r="K84" i="2"/>
  <c r="J81" i="2"/>
  <c r="J98" i="2" s="1"/>
  <c r="K80" i="2"/>
  <c r="N96" i="2"/>
  <c r="H51" i="2"/>
  <c r="H41" i="2"/>
  <c r="H43" i="2" s="1"/>
  <c r="H45" i="2" s="1"/>
  <c r="O94" i="2"/>
  <c r="G46" i="2"/>
  <c r="G74" i="2"/>
  <c r="L43" i="2"/>
  <c r="L45" i="2" s="1"/>
  <c r="L46" i="2" s="1"/>
  <c r="I46" i="2"/>
  <c r="I74" i="2"/>
  <c r="S34" i="2"/>
  <c r="S35" i="2" s="1"/>
  <c r="S36" i="2" s="1"/>
  <c r="M96" i="2"/>
  <c r="F74" i="2"/>
  <c r="F46" i="2"/>
  <c r="O81" i="2"/>
  <c r="O98" i="2" s="1"/>
  <c r="P75" i="2"/>
  <c r="P81" i="2" s="1"/>
  <c r="P98" i="2" s="1"/>
  <c r="J46" i="2"/>
  <c r="O87" i="2"/>
  <c r="P84" i="2"/>
  <c r="P87" i="2" s="1"/>
  <c r="K46" i="2"/>
  <c r="Q96" i="2"/>
  <c r="AG96" i="2"/>
  <c r="N46" i="2"/>
  <c r="N74" i="2"/>
  <c r="O46" i="2"/>
  <c r="O74" i="2"/>
  <c r="M46" i="2"/>
  <c r="M74" i="2"/>
  <c r="P51" i="2"/>
  <c r="P41" i="2"/>
  <c r="P43" i="2" s="1"/>
  <c r="P45" i="2" s="1"/>
  <c r="T35" i="2"/>
  <c r="T36" i="2" s="1"/>
  <c r="R81" i="2"/>
  <c r="R98" i="2" s="1"/>
  <c r="S80" i="2"/>
  <c r="CD91" i="2"/>
  <c r="V94" i="2"/>
  <c r="CC100" i="2"/>
  <c r="CF94" i="2"/>
  <c r="Q46" i="2"/>
  <c r="Q74" i="2"/>
  <c r="R46" i="2"/>
  <c r="R74" i="2"/>
  <c r="S46" i="2"/>
  <c r="S74" i="2"/>
  <c r="AI63" i="2"/>
  <c r="CG63" i="2" s="1"/>
  <c r="CG60" i="2"/>
  <c r="AI72" i="2"/>
  <c r="CG72" i="2" s="1"/>
  <c r="CG66" i="2"/>
  <c r="AH35" i="2"/>
  <c r="AH36" i="2" s="1"/>
  <c r="AI35" i="2"/>
  <c r="AI36" i="2" s="1"/>
  <c r="AA78" i="2"/>
  <c r="AB78" i="2" s="1"/>
  <c r="AA93" i="2"/>
  <c r="AB93" i="2" s="1"/>
  <c r="AB50" i="2"/>
  <c r="AB118" i="2"/>
  <c r="AA76" i="2"/>
  <c r="AA34" i="2" s="1"/>
  <c r="AA35" i="2" s="1"/>
  <c r="AA36" i="2" s="1"/>
  <c r="AA89" i="2"/>
  <c r="AB89" i="2" s="1"/>
  <c r="AA91" i="2"/>
  <c r="AB91" i="2" s="1"/>
  <c r="CB32" i="2"/>
  <c r="CB51" i="2" s="1"/>
  <c r="CB118" i="2"/>
  <c r="CB112" i="2"/>
  <c r="AA85" i="2"/>
  <c r="AB85" i="2" s="1"/>
  <c r="AA83" i="2"/>
  <c r="AB83" i="2" s="1"/>
  <c r="AE34" i="2"/>
  <c r="AE35" i="2" s="1"/>
  <c r="AE36" i="2" s="1"/>
  <c r="CF76" i="2"/>
  <c r="AG35" i="2"/>
  <c r="AG36" i="2" s="1"/>
  <c r="CA50" i="2"/>
  <c r="CA112" i="2"/>
  <c r="CA118" i="2"/>
  <c r="Y81" i="2"/>
  <c r="AA86" i="2"/>
  <c r="AB86" i="2" s="1"/>
  <c r="CE86" i="2"/>
  <c r="AF87" i="2"/>
  <c r="CF87" i="2" s="1"/>
  <c r="CF83" i="2"/>
  <c r="CC32" i="2"/>
  <c r="CC51" i="2" s="1"/>
  <c r="CC118" i="2"/>
  <c r="CC112" i="2"/>
  <c r="W84" i="2"/>
  <c r="X84" i="2" s="1"/>
  <c r="X87" i="2" s="1"/>
  <c r="CB99" i="2"/>
  <c r="Y87" i="2"/>
  <c r="AA90" i="2"/>
  <c r="AB90" i="2" s="1"/>
  <c r="AC96" i="2"/>
  <c r="AA95" i="2"/>
  <c r="AB95" i="2" s="1"/>
  <c r="CD32" i="2"/>
  <c r="CD41" i="2" s="1"/>
  <c r="CD43" i="2" s="1"/>
  <c r="CD45" i="2" s="1"/>
  <c r="CD46" i="2" s="1"/>
  <c r="CD112" i="2"/>
  <c r="CD118" i="2"/>
  <c r="CF93" i="2"/>
  <c r="U35" i="2"/>
  <c r="U36" i="2" s="1"/>
  <c r="W80" i="2"/>
  <c r="X80" i="2" s="1"/>
  <c r="X76" i="2"/>
  <c r="X34" i="2" s="1"/>
  <c r="X35" i="2" s="1"/>
  <c r="X36" i="2" s="1"/>
  <c r="W94" i="2"/>
  <c r="X89" i="2"/>
  <c r="V87" i="2"/>
  <c r="V81" i="2"/>
  <c r="V35" i="2"/>
  <c r="V36" i="2" s="1"/>
  <c r="W35" i="2"/>
  <c r="W36" i="2" s="1"/>
  <c r="X77" i="2"/>
  <c r="AE80" i="2"/>
  <c r="AD81" i="2"/>
  <c r="AC35" i="2"/>
  <c r="AC36" i="2" s="1"/>
  <c r="AE51" i="2"/>
  <c r="AJ50" i="2"/>
  <c r="AF118" i="2"/>
  <c r="AH81" i="2"/>
  <c r="CG81" i="2" s="1"/>
  <c r="AD35" i="2"/>
  <c r="AD36" i="2" s="1"/>
  <c r="AI96" i="2"/>
  <c r="CG54" i="2"/>
  <c r="CH42" i="2" s="1"/>
  <c r="AI53" i="2"/>
  <c r="CJ50" i="2"/>
  <c r="CG41" i="2"/>
  <c r="CG51" i="2"/>
  <c r="CK39" i="2"/>
  <c r="CG42" i="2"/>
  <c r="AK47" i="2"/>
  <c r="CG47" i="2"/>
  <c r="AF40" i="2"/>
  <c r="AK38" i="2"/>
  <c r="AI98" i="2"/>
  <c r="AJ51" i="2"/>
  <c r="AB40" i="2"/>
  <c r="AI41" i="2"/>
  <c r="AI43" i="2" s="1"/>
  <c r="AI45" i="2" s="1"/>
  <c r="AF42" i="2"/>
  <c r="AC41" i="2"/>
  <c r="AC43" i="2" s="1"/>
  <c r="AC45" i="2" s="1"/>
  <c r="AG41" i="2"/>
  <c r="AG43" i="2" s="1"/>
  <c r="AG45" i="2" s="1"/>
  <c r="AD41" i="2"/>
  <c r="AD43" i="2" s="1"/>
  <c r="AD45" i="2" s="1"/>
  <c r="CE30" i="2"/>
  <c r="AB32" i="2"/>
  <c r="AB51" i="2" s="1"/>
  <c r="AF32" i="2"/>
  <c r="AF51" i="2" s="1"/>
  <c r="AE41" i="2"/>
  <c r="AE43" i="2" s="1"/>
  <c r="AE45" i="2" s="1"/>
  <c r="AH41" i="2"/>
  <c r="AH43" i="2" s="1"/>
  <c r="AH45" i="2" s="1"/>
  <c r="AF50" i="2"/>
  <c r="CE43" i="2"/>
  <c r="CE45" i="2" s="1"/>
  <c r="CE46" i="2" s="1"/>
  <c r="CF41" i="2"/>
  <c r="CF43" i="2" s="1"/>
  <c r="CF45" i="2" s="1"/>
  <c r="CF46" i="2" s="1"/>
  <c r="BR99" i="2"/>
  <c r="BT103" i="2"/>
  <c r="BU104" i="2"/>
  <c r="BU103" i="2"/>
  <c r="BV103" i="2"/>
  <c r="BR100" i="2"/>
  <c r="BS100" i="2"/>
  <c r="BV104" i="2"/>
  <c r="BW104" i="2"/>
  <c r="BT104" i="2"/>
  <c r="BP99" i="2"/>
  <c r="BQ99" i="2"/>
  <c r="BQ100" i="2"/>
  <c r="BR101" i="2"/>
  <c r="BP101" i="2"/>
  <c r="BS101" i="2"/>
  <c r="BQ101" i="2"/>
  <c r="BT101" i="2"/>
  <c r="BQ102" i="2"/>
  <c r="BS102" i="2"/>
  <c r="BR102" i="2"/>
  <c r="BT102" i="2"/>
  <c r="BR103" i="2"/>
  <c r="BS103" i="2"/>
  <c r="BO99" i="2"/>
  <c r="BO100" i="2"/>
  <c r="BP100" i="2"/>
  <c r="BU102" i="2"/>
  <c r="BX100" i="2"/>
  <c r="BZ104" i="2"/>
  <c r="CA104" i="2"/>
  <c r="BV101" i="2"/>
  <c r="BX99" i="2"/>
  <c r="BX101" i="2"/>
  <c r="BU101" i="2"/>
  <c r="BV99" i="2"/>
  <c r="BY101" i="2"/>
  <c r="BY102" i="2"/>
  <c r="BV102" i="2"/>
  <c r="BZ102" i="2"/>
  <c r="BX103" i="2"/>
  <c r="BY103" i="2"/>
  <c r="BZ103" i="2"/>
  <c r="BY104" i="2"/>
  <c r="BS99" i="2"/>
  <c r="BT99" i="2"/>
  <c r="BW99" i="2"/>
  <c r="BU100" i="2"/>
  <c r="BV100" i="2"/>
  <c r="BX102" i="2"/>
  <c r="BX104" i="2"/>
  <c r="BW100" i="2"/>
  <c r="BW101" i="2"/>
  <c r="BW102" i="2"/>
  <c r="BU99" i="2"/>
  <c r="BT100" i="2"/>
  <c r="BW103" i="2"/>
  <c r="CA103" i="2"/>
  <c r="CC99" i="2"/>
  <c r="CA102" i="2"/>
  <c r="CB103" i="2"/>
  <c r="BY100" i="2"/>
  <c r="BZ101" i="2"/>
  <c r="CC104" i="2"/>
  <c r="CA99" i="2"/>
  <c r="CA32" i="2"/>
  <c r="CA51" i="2" s="1"/>
  <c r="X41" i="2"/>
  <c r="X43" i="2" s="1"/>
  <c r="X45" i="2" s="1"/>
  <c r="BX41" i="2"/>
  <c r="BX43" i="2" s="1"/>
  <c r="BX45" i="2" s="1"/>
  <c r="BX46" i="2" s="1"/>
  <c r="BZ100" i="2"/>
  <c r="CA101" i="2"/>
  <c r="CB102" i="2"/>
  <c r="BZ41" i="2"/>
  <c r="BZ43" i="2" s="1"/>
  <c r="BZ45" i="2" s="1"/>
  <c r="BZ46" i="2" s="1"/>
  <c r="BY99" i="2"/>
  <c r="CC103" i="2"/>
  <c r="BZ99" i="2"/>
  <c r="CB100" i="2"/>
  <c r="CC101" i="2"/>
  <c r="CB50" i="2"/>
  <c r="CA100" i="2"/>
  <c r="CB101" i="2"/>
  <c r="BY41" i="2"/>
  <c r="BY43" i="2" s="1"/>
  <c r="BY45" i="2" s="1"/>
  <c r="BY46" i="2" s="1"/>
  <c r="CC102" i="2"/>
  <c r="CC50" i="2"/>
  <c r="CD50" i="2"/>
  <c r="AA41" i="2"/>
  <c r="AA43" i="2" s="1"/>
  <c r="AA45" i="2" s="1"/>
  <c r="Z80" i="2"/>
  <c r="AA80" i="2" s="1"/>
  <c r="AB80" i="2" s="1"/>
  <c r="Z34" i="2"/>
  <c r="Z35" i="2" s="1"/>
  <c r="Z36" i="2" s="1"/>
  <c r="AA75" i="2"/>
  <c r="AB75" i="2" s="1"/>
  <c r="Z94" i="2"/>
  <c r="Z84" i="2"/>
  <c r="Y35" i="2"/>
  <c r="Y36" i="2" s="1"/>
  <c r="W41" i="2"/>
  <c r="W43" i="2" s="1"/>
  <c r="W45" i="2" s="1"/>
  <c r="X51" i="2"/>
  <c r="V41" i="2"/>
  <c r="V43" i="2" s="1"/>
  <c r="V45" i="2" s="1"/>
  <c r="T41" i="2"/>
  <c r="T43" i="2" s="1"/>
  <c r="T45" i="2" s="1"/>
  <c r="U41" i="2"/>
  <c r="U43" i="2" s="1"/>
  <c r="U45" i="2" s="1"/>
  <c r="Y41" i="2"/>
  <c r="Y43" i="2" s="1"/>
  <c r="Y45" i="2" s="1"/>
  <c r="AA51" i="2"/>
  <c r="Z41" i="2"/>
  <c r="Z43" i="2" s="1"/>
  <c r="Z45" i="2" s="1"/>
  <c r="CG98" i="2" l="1"/>
  <c r="BM74" i="2"/>
  <c r="BK74" i="2"/>
  <c r="BJ74" i="2"/>
  <c r="BL74" i="2"/>
  <c r="P96" i="2"/>
  <c r="O96" i="2"/>
  <c r="L74" i="2"/>
  <c r="J96" i="2"/>
  <c r="CE95" i="2"/>
  <c r="CE83" i="2"/>
  <c r="CE91" i="2"/>
  <c r="K81" i="2"/>
  <c r="K98" i="2" s="1"/>
  <c r="L80" i="2"/>
  <c r="L81" i="2" s="1"/>
  <c r="L98" i="2" s="1"/>
  <c r="K87" i="2"/>
  <c r="L84" i="2"/>
  <c r="L87" i="2" s="1"/>
  <c r="L96" i="2" s="1"/>
  <c r="H46" i="2"/>
  <c r="H74" i="2"/>
  <c r="BQ74" i="2" s="1"/>
  <c r="R96" i="2"/>
  <c r="CE78" i="2"/>
  <c r="CD84" i="2"/>
  <c r="CK50" i="2"/>
  <c r="P46" i="2"/>
  <c r="P74" i="2"/>
  <c r="BY74" i="2" s="1"/>
  <c r="CE90" i="2"/>
  <c r="CE93" i="2"/>
  <c r="S81" i="2"/>
  <c r="S96" i="2" s="1"/>
  <c r="T80" i="2"/>
  <c r="T81" i="2" s="1"/>
  <c r="CE89" i="2"/>
  <c r="CD80" i="2"/>
  <c r="CE85" i="2"/>
  <c r="T46" i="2"/>
  <c r="T74" i="2"/>
  <c r="CC41" i="2"/>
  <c r="CC43" i="2" s="1"/>
  <c r="CC45" i="2" s="1"/>
  <c r="CC46" i="2" s="1"/>
  <c r="CG112" i="2"/>
  <c r="CG114" i="2"/>
  <c r="CG113" i="2"/>
  <c r="AH98" i="2"/>
  <c r="CB41" i="2"/>
  <c r="CB43" i="2" s="1"/>
  <c r="CB45" i="2" s="1"/>
  <c r="CB46" i="2" s="1"/>
  <c r="AB76" i="2"/>
  <c r="AB34" i="2" s="1"/>
  <c r="AB35" i="2" s="1"/>
  <c r="AB36" i="2" s="1"/>
  <c r="Y96" i="2"/>
  <c r="CD76" i="2"/>
  <c r="AB94" i="2"/>
  <c r="AA94" i="2"/>
  <c r="CD51" i="2"/>
  <c r="W81" i="2"/>
  <c r="W98" i="2" s="1"/>
  <c r="AF35" i="2"/>
  <c r="AF36" i="2" s="1"/>
  <c r="W87" i="2"/>
  <c r="V98" i="2"/>
  <c r="CE112" i="2"/>
  <c r="CE118" i="2"/>
  <c r="AD98" i="2"/>
  <c r="X81" i="2"/>
  <c r="X98" i="2" s="1"/>
  <c r="X94" i="2"/>
  <c r="CD89" i="2"/>
  <c r="CE75" i="2"/>
  <c r="CE80" i="2"/>
  <c r="Y98" i="2"/>
  <c r="CD77" i="2"/>
  <c r="V96" i="2"/>
  <c r="CG43" i="2"/>
  <c r="U46" i="2"/>
  <c r="U74" i="2"/>
  <c r="X46" i="2"/>
  <c r="X74" i="2"/>
  <c r="AF80" i="2"/>
  <c r="AF81" i="2" s="1"/>
  <c r="AE81" i="2"/>
  <c r="W46" i="2"/>
  <c r="W74" i="2"/>
  <c r="AD96" i="2"/>
  <c r="V46" i="2"/>
  <c r="V74" i="2"/>
  <c r="AH96" i="2"/>
  <c r="CE51" i="2"/>
  <c r="CE50" i="2"/>
  <c r="CF50" i="2"/>
  <c r="BK121" i="2"/>
  <c r="CL39" i="2"/>
  <c r="CJ51" i="2"/>
  <c r="CL50" i="2"/>
  <c r="CK32" i="2"/>
  <c r="CG44" i="2"/>
  <c r="AL47" i="2"/>
  <c r="AM47" i="2" s="1"/>
  <c r="AN47" i="2" s="1"/>
  <c r="CH47" i="2"/>
  <c r="CI47" i="2" s="1"/>
  <c r="CJ47" i="2" s="1"/>
  <c r="CK47" i="2" s="1"/>
  <c r="CL47" i="2" s="1"/>
  <c r="CM47" i="2" s="1"/>
  <c r="CN47" i="2" s="1"/>
  <c r="CO47" i="2" s="1"/>
  <c r="AF41" i="2"/>
  <c r="AF43" i="2" s="1"/>
  <c r="AF45" i="2" s="1"/>
  <c r="AF46" i="2" s="1"/>
  <c r="AK40" i="2"/>
  <c r="AK41" i="2" s="1"/>
  <c r="AK43" i="2" s="1"/>
  <c r="AK44" i="2" s="1"/>
  <c r="AL38" i="2"/>
  <c r="AE46" i="2"/>
  <c r="AE74" i="2"/>
  <c r="AG46" i="2"/>
  <c r="AG74" i="2"/>
  <c r="AH46" i="2"/>
  <c r="AH74" i="2"/>
  <c r="AD46" i="2"/>
  <c r="AD74" i="2"/>
  <c r="AC46" i="2"/>
  <c r="AC74" i="2"/>
  <c r="AI46" i="2"/>
  <c r="AI74" i="2"/>
  <c r="AB41" i="2"/>
  <c r="AB43" i="2" s="1"/>
  <c r="AB45" i="2" s="1"/>
  <c r="CA41" i="2"/>
  <c r="CA43" i="2" s="1"/>
  <c r="CA45" i="2" s="1"/>
  <c r="CA46" i="2" s="1"/>
  <c r="AA81" i="2"/>
  <c r="AA98" i="2" s="1"/>
  <c r="Z81" i="2"/>
  <c r="Z98" i="2" s="1"/>
  <c r="Z46" i="2"/>
  <c r="Z74" i="2"/>
  <c r="AA46" i="2"/>
  <c r="AA74" i="2"/>
  <c r="AA84" i="2"/>
  <c r="Z87" i="2"/>
  <c r="Y46" i="2"/>
  <c r="Y74" i="2"/>
  <c r="CA74" i="2" l="1"/>
  <c r="BV74" i="2"/>
  <c r="BW74" i="2"/>
  <c r="S98" i="2"/>
  <c r="BX74" i="2"/>
  <c r="BU74" i="2"/>
  <c r="BS74" i="2"/>
  <c r="BT74" i="2"/>
  <c r="BN74" i="2"/>
  <c r="BP74" i="2"/>
  <c r="CC74" i="2"/>
  <c r="BZ74" i="2"/>
  <c r="BO74" i="2"/>
  <c r="CB74" i="2"/>
  <c r="X96" i="2"/>
  <c r="BR74" i="2"/>
  <c r="CF81" i="2"/>
  <c r="CF98" i="2" s="1"/>
  <c r="K96" i="2"/>
  <c r="CE76" i="2"/>
  <c r="W96" i="2"/>
  <c r="CD96" i="2" s="1"/>
  <c r="CD87" i="2"/>
  <c r="CE94" i="2"/>
  <c r="T98" i="2"/>
  <c r="T96" i="2"/>
  <c r="CD94" i="2"/>
  <c r="AB81" i="2"/>
  <c r="AB98" i="2" s="1"/>
  <c r="CG99" i="2"/>
  <c r="CG45" i="2"/>
  <c r="CG46" i="2" s="1"/>
  <c r="CD81" i="2"/>
  <c r="CD98" i="2" s="1"/>
  <c r="CD74" i="2"/>
  <c r="CF80" i="2"/>
  <c r="AA87" i="2"/>
  <c r="AA96" i="2" s="1"/>
  <c r="AB84" i="2"/>
  <c r="AB87" i="2" s="1"/>
  <c r="AE98" i="2"/>
  <c r="AE96" i="2"/>
  <c r="AF98" i="2"/>
  <c r="AF96" i="2"/>
  <c r="Z96" i="2"/>
  <c r="CM39" i="2"/>
  <c r="CK51" i="2"/>
  <c r="CL31" i="2"/>
  <c r="CL32" i="2" s="1"/>
  <c r="AK45" i="2"/>
  <c r="AK46" i="2" s="1"/>
  <c r="AF74" i="2"/>
  <c r="CF74" i="2" s="1"/>
  <c r="AM38" i="2"/>
  <c r="AL40" i="2"/>
  <c r="AL41" i="2" s="1"/>
  <c r="AL43" i="2" s="1"/>
  <c r="AL44" i="2" s="1"/>
  <c r="AL45" i="2" s="1"/>
  <c r="AL46" i="2" s="1"/>
  <c r="AB46" i="2"/>
  <c r="AB74" i="2"/>
  <c r="CE74" i="2" s="1"/>
  <c r="CE81" i="2" l="1"/>
  <c r="CE98" i="2" s="1"/>
  <c r="CE105" i="2" s="1"/>
  <c r="CD105" i="2"/>
  <c r="CG107" i="2"/>
  <c r="CG105" i="2"/>
  <c r="CF105" i="2"/>
  <c r="CF106" i="2"/>
  <c r="CE107" i="2"/>
  <c r="CD106" i="2"/>
  <c r="CG106" i="2"/>
  <c r="CE106" i="2"/>
  <c r="CF107" i="2"/>
  <c r="CD107" i="2"/>
  <c r="BK122" i="2"/>
  <c r="AB96" i="2"/>
  <c r="CE96" i="2" s="1"/>
  <c r="CG101" i="2"/>
  <c r="CG103" i="2"/>
  <c r="CG102" i="2"/>
  <c r="CF99" i="2"/>
  <c r="CG100" i="2"/>
  <c r="CG104" i="2"/>
  <c r="CF96" i="2"/>
  <c r="CE87" i="2"/>
  <c r="CF100" i="2"/>
  <c r="CD100" i="2"/>
  <c r="CD104" i="2"/>
  <c r="CF102" i="2"/>
  <c r="CF101" i="2"/>
  <c r="CF104" i="2"/>
  <c r="CD102" i="2"/>
  <c r="CD101" i="2"/>
  <c r="CE100" i="2"/>
  <c r="CF103" i="2"/>
  <c r="CD103" i="2"/>
  <c r="CD99" i="2"/>
  <c r="CE84" i="2"/>
  <c r="CN39" i="2"/>
  <c r="CM31" i="2"/>
  <c r="CM32" i="2" s="1"/>
  <c r="CM50" i="2"/>
  <c r="CL51" i="2"/>
  <c r="AM40" i="2"/>
  <c r="AM41" i="2" s="1"/>
  <c r="AM43" i="2" s="1"/>
  <c r="AN38" i="2"/>
  <c r="AN40" i="2" s="1"/>
  <c r="AN41" i="2" s="1"/>
  <c r="AN43" i="2" s="1"/>
  <c r="AN44" i="2" s="1"/>
  <c r="AN45" i="2" s="1"/>
  <c r="AN46" i="2" s="1"/>
  <c r="CE101" i="2"/>
  <c r="CE104" i="2"/>
  <c r="CE102" i="2"/>
  <c r="CE103" i="2"/>
  <c r="CE99" i="2"/>
  <c r="CO39" i="2" l="1"/>
  <c r="CN31" i="2"/>
  <c r="CN32" i="2" s="1"/>
  <c r="CN50" i="2"/>
  <c r="CM51" i="2"/>
  <c r="CH38" i="2"/>
  <c r="CI38" i="2" s="1"/>
  <c r="CJ38" i="2" s="1"/>
  <c r="CK38" i="2" s="1"/>
  <c r="CL38" i="2" s="1"/>
  <c r="CM38" i="2" s="1"/>
  <c r="CN38" i="2" s="1"/>
  <c r="CO38" i="2" s="1"/>
  <c r="AM44" i="2"/>
  <c r="CH44" i="2" s="1"/>
  <c r="AM45" i="2" l="1"/>
  <c r="AM46" i="2" s="1"/>
  <c r="CH40" i="2"/>
  <c r="CH41" i="2" s="1"/>
  <c r="CH43" i="2" s="1"/>
  <c r="CH45" i="2" s="1"/>
  <c r="CO31" i="2"/>
  <c r="CO32" i="2" s="1"/>
  <c r="CO50" i="2"/>
  <c r="CN51" i="2"/>
  <c r="CH46" i="2" l="1"/>
  <c r="CH54" i="2"/>
  <c r="CI42" i="2" s="1"/>
  <c r="CI40" i="2"/>
  <c r="CI41" i="2" s="1"/>
  <c r="CO51" i="2"/>
  <c r="CI43" i="2" l="1"/>
  <c r="CI44" i="2" s="1"/>
  <c r="CI45" i="2" s="1"/>
  <c r="CJ40" i="2"/>
  <c r="CJ41" i="2" s="1"/>
  <c r="CI54" i="2" l="1"/>
  <c r="CJ42" i="2" s="1"/>
  <c r="CJ43" i="2" s="1"/>
  <c r="CJ44" i="2" s="1"/>
  <c r="CJ45" i="2" s="1"/>
  <c r="CJ46" i="2" s="1"/>
  <c r="CI46" i="2"/>
  <c r="CK40" i="2"/>
  <c r="CK41" i="2" s="1"/>
  <c r="CJ54" i="2" l="1"/>
  <c r="CK42" i="2" s="1"/>
  <c r="CK43" i="2" s="1"/>
  <c r="CK44" i="2" s="1"/>
  <c r="CK45" i="2" s="1"/>
  <c r="CL40" i="2"/>
  <c r="CL41" i="2" s="1"/>
  <c r="CK54" i="2" l="1"/>
  <c r="CL42" i="2" s="1"/>
  <c r="CL43" i="2" s="1"/>
  <c r="CL44" i="2" s="1"/>
  <c r="CL45" i="2" s="1"/>
  <c r="CL46" i="2" s="1"/>
  <c r="CM40" i="2"/>
  <c r="CM41" i="2" s="1"/>
  <c r="CK46" i="2"/>
  <c r="CL54" i="2" l="1"/>
  <c r="CM42" i="2" s="1"/>
  <c r="CM43" i="2" s="1"/>
  <c r="CM44" i="2" s="1"/>
  <c r="CM45" i="2" s="1"/>
  <c r="CM46" i="2" s="1"/>
  <c r="CO40" i="2"/>
  <c r="CO41" i="2" s="1"/>
  <c r="CN40" i="2"/>
  <c r="CN41" i="2" s="1"/>
  <c r="CM54" i="2" l="1"/>
  <c r="CN42" i="2" s="1"/>
  <c r="CN43" i="2" s="1"/>
  <c r="CN44" i="2" s="1"/>
  <c r="CN45" i="2" s="1"/>
  <c r="CN46" i="2" l="1"/>
  <c r="CN54" i="2"/>
  <c r="CO42" i="2" s="1"/>
  <c r="CO43" i="2" s="1"/>
  <c r="CO44" i="2" s="1"/>
  <c r="CO45" i="2" s="1"/>
  <c r="CO46" i="2" l="1"/>
  <c r="CP45" i="2"/>
  <c r="CO54" i="2"/>
  <c r="CQ45" i="2" l="1"/>
  <c r="CR45" i="2" s="1"/>
  <c r="CS45" i="2" s="1"/>
  <c r="CT45" i="2" s="1"/>
  <c r="CU45" i="2" s="1"/>
  <c r="CV45" i="2" s="1"/>
  <c r="CW45" i="2" s="1"/>
  <c r="CX45" i="2" s="1"/>
  <c r="CY45" i="2" s="1"/>
  <c r="CZ45" i="2" s="1"/>
  <c r="DA45" i="2" s="1"/>
  <c r="DB45" i="2" s="1"/>
  <c r="DC45" i="2" s="1"/>
  <c r="DD45" i="2" s="1"/>
  <c r="DE45" i="2" s="1"/>
  <c r="DF45" i="2" s="1"/>
  <c r="DG45" i="2" s="1"/>
  <c r="DH45" i="2" s="1"/>
  <c r="DI45" i="2" s="1"/>
  <c r="DJ45" i="2" s="1"/>
  <c r="DK45" i="2" s="1"/>
  <c r="DL45" i="2" s="1"/>
  <c r="DM45" i="2" s="1"/>
  <c r="DN45" i="2" s="1"/>
  <c r="DO45" i="2" s="1"/>
  <c r="DP45" i="2" l="1"/>
  <c r="DQ45" i="2" s="1"/>
  <c r="DR45" i="2" s="1"/>
  <c r="DS45" i="2" s="1"/>
  <c r="DT45" i="2" s="1"/>
  <c r="DU45" i="2" s="1"/>
  <c r="DV45" i="2" s="1"/>
  <c r="DW45" i="2" s="1"/>
  <c r="DX45" i="2" s="1"/>
  <c r="DY45" i="2" s="1"/>
  <c r="DZ45" i="2" s="1"/>
  <c r="EA45" i="2" s="1"/>
  <c r="EB45" i="2" s="1"/>
  <c r="EC45" i="2" s="1"/>
  <c r="ED45" i="2" s="1"/>
  <c r="EE45" i="2" s="1"/>
  <c r="CR58" i="2" s="1"/>
  <c r="CR5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tc={7AC10753-DCE1-48D3-A34F-14C5C2B1822B}</author>
    <author>tc={EC184EE7-4065-4E37-A001-74AB1E8B1CC6}</author>
    <author>tc={3C179225-7501-4CA7-AC2C-BBA053EFE02B}</author>
    <author>tc={89057092-2B50-4FB1-9D80-26727E7981BA}</author>
    <author>tc={CC3E11A8-FEB3-4FF1-A2FA-FBEB1E6D718F}</author>
    <author>tc={11116789-A7DE-48A6-A82F-68A7702AB0EA}</author>
    <author>tc={33BCD81B-0849-40DC-9FDA-3B7AFE62F54A}</author>
    <author>tc={3B7F56F3-21D6-4E2E-AA36-7689C2F82F14}</author>
    <author>tc={C4C63E22-7E04-4C47-900C-151224437D6C}</author>
    <author>tc={6A4143ED-26E9-4411-9286-9237FAFF0E88}</author>
    <author>tc={3008C551-30A5-46FF-B334-8C2B5CB8A471}</author>
    <author>tc={F798A0F5-A887-4724-BC4E-5E9C410B72F3}</author>
    <author>tc={C2C56BEE-B08A-44C4-854B-7CF5BE0F99D5}</author>
    <author>tc={26F098AE-606C-469D-8EA5-E5734FC4346B}</author>
    <author>tc={A2CA7513-EFA4-44DE-A320-E3BC81A442B0}</author>
    <author>tc={B24314FC-4A9F-4AFD-A94C-83129BD06448}</author>
    <author>tc={5968C5FE-D54A-4B50-B813-1603B3559176}</author>
    <author>tc={9815DEC1-22DA-48EA-864F-C2F08422960A}</author>
    <author>tc={4B23F65F-968B-4BE7-8C55-5F91671872B8}</author>
    <author>tc={816B86D6-80F2-414F-B7D3-5F469703BD5F}</author>
    <author>tc={554E7526-D021-45FD-9708-807F1FB6EF62}</author>
  </authors>
  <commentList>
    <comment ref="E14" authorId="0" shapeId="0" xr:uid="{7AC10753-DCE1-48D3-A34F-14C5C2B1822B}">
      <text>
        <t>[Threaded comment]
Your version of Excel allows you to read this threaded comment; however, any edits to it will get removed if the file is opened in a newer version of Excel. Learn more: https://go.microsoft.com/fwlink/?linkid=870924
Comment:
    5373?</t>
      </text>
    </comment>
    <comment ref="F14" authorId="1" shapeId="0" xr:uid="{EC184EE7-4065-4E37-A001-74AB1E8B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3760</t>
      </text>
    </comment>
    <comment ref="BO14" authorId="2" shapeId="0" xr:uid="{3C179225-7501-4CA7-AC2C-BBA053EFE02B}">
      <text>
        <t>[Threaded comment]
Your version of Excel allows you to read this threaded comment; however, any edits to it will get removed if the file is opened in a newer version of Excel. Learn more: https://go.microsoft.com/fwlink/?linkid=870924
Comment:
    -51% price</t>
      </text>
    </comment>
    <comment ref="BP14" authorId="3" shapeId="0" xr:uid="{89057092-2B50-4FB1-9D80-26727E7981BA}">
      <text>
        <t>[Threaded comment]
Your version of Excel allows you to read this threaded comment; however, any edits to it will get removed if the file is opened in a newer version of Excel. Learn more: https://go.microsoft.com/fwlink/?linkid=870924
Comment:
    -52% price</t>
      </text>
    </comment>
    <comment ref="BQ14" authorId="4" shapeId="0" xr:uid="{CC3E11A8-FEB3-4FF1-A2FA-FBEB1E6D718F}">
      <text>
        <t>[Threaded comment]
Your version of Excel allows you to read this threaded comment; however, any edits to it will get removed if the file is opened in a newer version of Excel. Learn more: https://go.microsoft.com/fwlink/?linkid=870924
Comment:
    +28% price</t>
      </text>
    </comment>
    <comment ref="BR14" authorId="5" shapeId="0" xr:uid="{11116789-A7DE-48A6-A82F-68A7702AB0EA}">
      <text>
        <t>[Threaded comment]
Your version of Excel allows you to read this threaded comment; however, any edits to it will get removed if the file is opened in a newer version of Excel. Learn more: https://go.microsoft.com/fwlink/?linkid=870924
Comment:
    -39% price</t>
      </text>
    </comment>
    <comment ref="BS14" authorId="6" shapeId="0" xr:uid="{33BCD81B-0849-40DC-9FDA-3B7AFE62F54A}">
      <text>
        <t>[Threaded comment]
Your version of Excel allows you to read this threaded comment; however, any edits to it will get removed if the file is opened in a newer version of Excel. Learn more: https://go.microsoft.com/fwlink/?linkid=870924
Comment:
    -45% price</t>
      </text>
    </comment>
    <comment ref="E15" authorId="7" shapeId="0" xr:uid="{3B7F56F3-21D6-4E2E-AA36-7689C2F82F14}">
      <text>
        <t>[Threaded comment]
Your version of Excel allows you to read this threaded comment; however, any edits to it will get removed if the file is opened in a newer version of Excel. Learn more: https://go.microsoft.com/fwlink/?linkid=870924
Comment:
    2179?</t>
      </text>
    </comment>
    <comment ref="F15" authorId="8" shapeId="0" xr:uid="{C4C63E22-7E04-4C47-900C-151224437D6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1776</t>
      </text>
    </comment>
    <comment ref="B23" authorId="9" shapeId="0" xr:uid="{6A4143ED-26E9-4411-9286-9237FAFF0E88}">
      <text>
        <t>[Threaded comment]
Your version of Excel allows you to read this threaded comment; however, any edits to it will get removed if the file is opened in a newer version of Excel. Learn more: https://go.microsoft.com/fwlink/?linkid=870924
Comment:
    Cloud Memory</t>
      </text>
    </comment>
    <comment ref="B24" authorId="10" shapeId="0" xr:uid="{3008C551-30A5-46FF-B334-8C2B5CB8A47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Data Center</t>
      </text>
    </comment>
    <comment ref="B25" authorId="11" shapeId="0" xr:uid="{F798A0F5-A887-4724-BC4E-5E9C410B72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Mobile &amp; Client</t>
      </text>
    </comment>
    <comment ref="B26" authorId="12" shapeId="0" xr:uid="{C2C56BEE-B08A-44C4-854B-7CF5BE0F99D5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Automotive &amp; Embedded</t>
      </text>
    </comment>
    <comment ref="AA30" authorId="13" shapeId="0" xr:uid="{26F098AE-606C-469D-8EA5-E5734FC4346B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6.6B</t>
      </text>
    </comment>
    <comment ref="AH30" authorId="14" shapeId="0" xr:uid="{A2CA7513-EFA4-44DE-A320-E3BC81A442B0}">
      <text>
        <t>[Threaded comment]
Your version of Excel allows you to read this threaded comment; however, any edits to it will get removed if the file is opened in a newer version of Excel. Learn more: https://go.microsoft.com/fwlink/?linkid=870924
Comment:
    Q126 guidance: 18.7B</t>
      </text>
    </comment>
    <comment ref="AI30" authorId="15" shapeId="0" xr:uid="{B24314FC-4A9F-4AFD-A94C-83129BD06448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33.5B+-750m</t>
      </text>
    </comment>
    <comment ref="BD30" authorId="16" shapeId="0" xr:uid="{5968C5FE-D54A-4B50-B813-1603B3559176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later revised to 2058.9</t>
      </text>
    </comment>
    <comment ref="CG30" authorId="17" shapeId="0" xr:uid="{9815DEC1-22DA-48EA-864F-C2F08422960A}">
      <text>
        <t>[Threaded comment]
Your version of Excel allows you to read this threaded comment; however, any edits to it will get removed if the file is opened in a newer version of Excel. Learn more: https://go.microsoft.com/fwlink/?linkid=870924
Comment:
    DRAM low-mid +20% bit shipments</t>
      </text>
    </comment>
    <comment ref="CG46" authorId="18" shapeId="0" xr:uid="{4B23F65F-968B-4BE7-8C55-5F91671872B8}">
      <text>
        <t>[Threaded comment]
Your version of Excel allows you to read this threaded comment; however, any edits to it will get removed if the file is opened in a newer version of Excel. Learn more: https://go.microsoft.com/fwlink/?linkid=870924
Comment:
    7/11/26 consensus: 73.14</t>
      </text>
    </comment>
    <comment ref="CH46" authorId="19" shapeId="0" xr:uid="{816B86D6-80F2-414F-B7D3-5F469703BD5F}">
      <text>
        <t>[Threaded comment]
Your version of Excel allows you to read this threaded comment; however, any edits to it will get removed if the file is opened in a newer version of Excel. Learn more: https://go.microsoft.com/fwlink/?linkid=870924
Comment:
    7/11/26 consensus: 152.57</t>
      </text>
    </comment>
    <comment ref="CI46" authorId="20" shapeId="0" xr:uid="{554E7526-D021-45FD-9708-807F1FB6EF62}">
      <text>
        <t>[Threaded comment]
Your version of Excel allows you to read this threaded comment; however, any edits to it will get removed if the file is opened in a newer version of Excel. Learn more: https://go.microsoft.com/fwlink/?linkid=870924
Comment:
    7/11/28 consensus: 104.50</t>
      </text>
    </comment>
  </commentList>
</comments>
</file>

<file path=xl/sharedStrings.xml><?xml version="1.0" encoding="utf-8"?>
<sst xmlns="http://schemas.openxmlformats.org/spreadsheetml/2006/main" count="296" uniqueCount="280">
  <si>
    <t>Price</t>
  </si>
  <si>
    <t>Shares</t>
  </si>
  <si>
    <t>MC</t>
  </si>
  <si>
    <t>Cash</t>
  </si>
  <si>
    <t>Debt</t>
  </si>
  <si>
    <t>EV</t>
  </si>
  <si>
    <t>Main</t>
  </si>
  <si>
    <t>Revenue</t>
  </si>
  <si>
    <t>Gross Profit</t>
  </si>
  <si>
    <t>COGS</t>
  </si>
  <si>
    <t>Operating Expenses</t>
  </si>
  <si>
    <t>Operating Income</t>
  </si>
  <si>
    <t>R&amp;D</t>
  </si>
  <si>
    <t>SG&amp;A</t>
  </si>
  <si>
    <t>Interest Income</t>
  </si>
  <si>
    <t>Pretax Income</t>
  </si>
  <si>
    <t>Taxes</t>
  </si>
  <si>
    <t>Net Income</t>
  </si>
  <si>
    <t>EPS</t>
  </si>
  <si>
    <t>FQ324</t>
  </si>
  <si>
    <t>FQ224</t>
  </si>
  <si>
    <t>FQ124</t>
  </si>
  <si>
    <t>FQ423</t>
  </si>
  <si>
    <t>FQ323</t>
  </si>
  <si>
    <t>FQ223</t>
  </si>
  <si>
    <t>FQ123</t>
  </si>
  <si>
    <t>FQ424</t>
  </si>
  <si>
    <t>FQ125</t>
  </si>
  <si>
    <t>FQ225</t>
  </si>
  <si>
    <t>FQ325</t>
  </si>
  <si>
    <t>FQ425</t>
  </si>
  <si>
    <t>Gross Margin</t>
  </si>
  <si>
    <t>Revenue Growth</t>
  </si>
  <si>
    <t>FQ422</t>
  </si>
  <si>
    <t>Model NI</t>
  </si>
  <si>
    <t>Reported NI</t>
  </si>
  <si>
    <t>Depreciation</t>
  </si>
  <si>
    <t>SBC</t>
  </si>
  <si>
    <t>WC</t>
  </si>
  <si>
    <t>CFFO</t>
  </si>
  <si>
    <t>Gross Profit + D</t>
  </si>
  <si>
    <t>CFFI</t>
  </si>
  <si>
    <t>Securities</t>
  </si>
  <si>
    <t>Government</t>
  </si>
  <si>
    <t>Other</t>
  </si>
  <si>
    <t>Leases</t>
  </si>
  <si>
    <t>Dividends</t>
  </si>
  <si>
    <t>CIC</t>
  </si>
  <si>
    <t>FX</t>
  </si>
  <si>
    <t>CFFF</t>
  </si>
  <si>
    <t>FCF</t>
  </si>
  <si>
    <t>CapEx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</si>
  <si>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</si>
  <si>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</si>
  <si>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</si>
  <si>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</si>
  <si>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</si>
  <si>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</si>
  <si>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</si>
  <si>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</si>
  <si>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</si>
  <si>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</si>
  <si>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</si>
  <si>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</si>
  <si>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</si>
  <si>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</si>
  <si>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</si>
  <si>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</si>
  <si>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</si>
  <si>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</si>
  <si>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</si>
  <si>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</si>
  <si>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</si>
  <si>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</si>
  <si>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</si>
  <si>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</si>
  <si>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</si>
  <si>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</si>
  <si>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</si>
  <si>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</si>
  <si>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</si>
  <si>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</si>
  <si>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</si>
  <si>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</si>
  <si>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</si>
  <si>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</si>
  <si>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</si>
  <si>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</si>
  <si>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</si>
  <si>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</si>
  <si>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</si>
  <si>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</si>
  <si>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</si>
  <si>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</si>
  <si>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</si>
  <si>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</si>
  <si>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</si>
  <si>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</si>
  <si>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</si>
  <si>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F2021</t>
  </si>
  <si>
    <t>F2020</t>
  </si>
  <si>
    <t>F2019</t>
  </si>
  <si>
    <t>F2018</t>
  </si>
  <si>
    <t>Founded: 1978</t>
  </si>
  <si>
    <t>Boise, Idaho</t>
  </si>
  <si>
    <t>DRAM</t>
  </si>
  <si>
    <t>Volatile</t>
  </si>
  <si>
    <t>DDR4</t>
  </si>
  <si>
    <t>LPDRAM4</t>
  </si>
  <si>
    <t>1x, 1y, 1z, 1-alpha technology nodes</t>
  </si>
  <si>
    <t>FCF T2Y</t>
  </si>
  <si>
    <t>FCF T3Y</t>
  </si>
  <si>
    <t>FCF T4Y</t>
  </si>
  <si>
    <t>FCF T5Y</t>
  </si>
  <si>
    <t>FCF T6Y</t>
  </si>
  <si>
    <t>F2017</t>
  </si>
  <si>
    <t>FCF T7Y</t>
  </si>
  <si>
    <t>F2016</t>
  </si>
  <si>
    <t>F2015</t>
  </si>
  <si>
    <t>F2014</t>
  </si>
  <si>
    <t>F2013</t>
  </si>
  <si>
    <t>F2012</t>
  </si>
  <si>
    <t>F2011</t>
  </si>
  <si>
    <t>F2010</t>
  </si>
  <si>
    <t>F2009</t>
  </si>
  <si>
    <t>F2008</t>
  </si>
  <si>
    <t>F2007</t>
  </si>
  <si>
    <t>F2006</t>
  </si>
  <si>
    <t>F2005</t>
  </si>
  <si>
    <t>F2004</t>
  </si>
  <si>
    <t>F2002</t>
  </si>
  <si>
    <t>F2003</t>
  </si>
  <si>
    <t>F2001</t>
  </si>
  <si>
    <t>F2000</t>
  </si>
  <si>
    <t>F1999</t>
  </si>
  <si>
    <t>F1998</t>
  </si>
  <si>
    <t>F1997</t>
  </si>
  <si>
    <t>F1996</t>
  </si>
  <si>
    <t>F1995</t>
  </si>
  <si>
    <t>F1994</t>
  </si>
  <si>
    <t>F1993</t>
  </si>
  <si>
    <t>F1992</t>
  </si>
  <si>
    <t>F1991</t>
  </si>
  <si>
    <t>P/S</t>
  </si>
  <si>
    <t>R Revenue</t>
  </si>
  <si>
    <t>R FCF</t>
  </si>
  <si>
    <t>FQ126</t>
  </si>
  <si>
    <t>FQ226</t>
  </si>
  <si>
    <t>FQ326</t>
  </si>
  <si>
    <t>FQ426</t>
  </si>
  <si>
    <t>Q226</t>
  </si>
  <si>
    <t>FQ127</t>
  </si>
  <si>
    <t>FQ227</t>
  </si>
  <si>
    <t>FQ327</t>
  </si>
  <si>
    <t>FQ427</t>
  </si>
  <si>
    <t>Inventories</t>
  </si>
  <si>
    <t>AR</t>
  </si>
  <si>
    <t>OCA</t>
  </si>
  <si>
    <t>PP&amp;E</t>
  </si>
  <si>
    <t>Lease</t>
  </si>
  <si>
    <t>Intangibles</t>
  </si>
  <si>
    <t>DTA</t>
  </si>
  <si>
    <t>ONCA</t>
  </si>
  <si>
    <t>Assets</t>
  </si>
  <si>
    <t>AP</t>
  </si>
  <si>
    <t>OCL</t>
  </si>
  <si>
    <t>L+SE</t>
  </si>
  <si>
    <t>ONCL</t>
  </si>
  <si>
    <t>SE</t>
  </si>
  <si>
    <t>Nvidia</t>
  </si>
  <si>
    <t>Hynix</t>
  </si>
  <si>
    <t>Samsung</t>
  </si>
  <si>
    <t>Total Memory</t>
  </si>
  <si>
    <t>HBM?</t>
  </si>
  <si>
    <t>TPU</t>
  </si>
  <si>
    <t>CEO: Sanjay Mehrotra</t>
  </si>
  <si>
    <t>CMBU</t>
  </si>
  <si>
    <t>DCBU</t>
  </si>
  <si>
    <t>MCBU</t>
  </si>
  <si>
    <t>AEBU</t>
  </si>
  <si>
    <t>Buybacks</t>
  </si>
  <si>
    <t>Data Center SSD</t>
  </si>
  <si>
    <t>G9 NAND node</t>
  </si>
  <si>
    <t>2H27: next-gen manufacturing nodes begin production</t>
  </si>
  <si>
    <t>HBM4 12-high</t>
  </si>
  <si>
    <t>HBM3E 12-high</t>
  </si>
  <si>
    <t>DDR5 --&gt; DDR6</t>
  </si>
  <si>
    <t>LPDRAM5 --&gt; LP6</t>
  </si>
  <si>
    <t>1-delta node</t>
  </si>
  <si>
    <t>ASML EUV supplier</t>
  </si>
  <si>
    <t>ID1</t>
  </si>
  <si>
    <t>ID2</t>
  </si>
  <si>
    <t>Idaho fab</t>
  </si>
  <si>
    <t>Manassas</t>
  </si>
  <si>
    <t>Virginia fab</t>
  </si>
  <si>
    <t>1-alpha DDR4</t>
  </si>
  <si>
    <t>NY cluster</t>
  </si>
  <si>
    <t>January 2026 construction began</t>
  </si>
  <si>
    <t>New York fab</t>
  </si>
  <si>
    <t>first wafer mid 2027</t>
  </si>
  <si>
    <t>first wafer late 2028</t>
  </si>
  <si>
    <t>Tongluo</t>
  </si>
  <si>
    <t>Taiwan fab</t>
  </si>
  <si>
    <t>300sqft mid 2027 supply</t>
  </si>
  <si>
    <t>Singapore</t>
  </si>
  <si>
    <t>packaging</t>
  </si>
  <si>
    <t>NAND</t>
  </si>
  <si>
    <t>Maturity</t>
  </si>
  <si>
    <t>Discount</t>
  </si>
  <si>
    <t>NPV</t>
  </si>
  <si>
    <t>Share</t>
  </si>
  <si>
    <t>Consensus</t>
  </si>
  <si>
    <t>ROC</t>
  </si>
  <si>
    <t>Net Cash</t>
  </si>
  <si>
    <t>CNBU</t>
  </si>
  <si>
    <t>SBU</t>
  </si>
  <si>
    <t>MBU</t>
  </si>
  <si>
    <t>EBU</t>
  </si>
  <si>
    <t>Stock Price</t>
  </si>
  <si>
    <t>Headcount</t>
  </si>
  <si>
    <t>Crucial</t>
  </si>
  <si>
    <t>1-gamma</t>
  </si>
  <si>
    <t>first node incorporating EUV</t>
  </si>
  <si>
    <t>1-beta</t>
  </si>
  <si>
    <t>majority of production was on 1-beta</t>
  </si>
  <si>
    <t>HBM are 3D-stacked DRAM with through-silicon via (TSV) connections</t>
  </si>
  <si>
    <t>low-lower</t>
  </si>
  <si>
    <t>double-data rate</t>
  </si>
  <si>
    <t>DRAM, NAND, and NOR</t>
  </si>
  <si>
    <t>Revenue/PPE</t>
  </si>
  <si>
    <t>Writedown</t>
  </si>
  <si>
    <t>Auto, Industrial, Consumer</t>
  </si>
  <si>
    <t>Enterprise &amp; Cloud</t>
  </si>
  <si>
    <t>Client &amp; Graphics</t>
  </si>
  <si>
    <t>Mobile</t>
  </si>
  <si>
    <t>SSDs/Storage</t>
  </si>
  <si>
    <t>FQ222</t>
  </si>
  <si>
    <t>FQ322</t>
  </si>
  <si>
    <t>FQ122</t>
  </si>
  <si>
    <t>Impairments</t>
  </si>
  <si>
    <t>PPE Taiwan</t>
  </si>
  <si>
    <t>Japan</t>
  </si>
  <si>
    <t>US</t>
  </si>
  <si>
    <t>Malaysia</t>
  </si>
  <si>
    <t>China</t>
  </si>
  <si>
    <t>P/BV</t>
  </si>
  <si>
    <t>P/TBV</t>
  </si>
  <si>
    <t>FQ120</t>
  </si>
  <si>
    <t>FQ220</t>
  </si>
  <si>
    <t>FQ420</t>
  </si>
  <si>
    <t>FQ320</t>
  </si>
  <si>
    <t>FQ119</t>
  </si>
  <si>
    <t>FQ219</t>
  </si>
  <si>
    <t>FQ118</t>
  </si>
  <si>
    <t>FQ218</t>
  </si>
  <si>
    <t>FQ318</t>
  </si>
  <si>
    <t>FQ418</t>
  </si>
  <si>
    <t>FQ319</t>
  </si>
  <si>
    <t>FQ419</t>
  </si>
  <si>
    <t>FQ117</t>
  </si>
  <si>
    <t>FQ217</t>
  </si>
  <si>
    <t>FQ128</t>
  </si>
  <si>
    <t>FCF T8Y</t>
  </si>
  <si>
    <t>FCF T9Y</t>
  </si>
  <si>
    <t>FCF T10Y</t>
  </si>
  <si>
    <t>9/30/1998: acquires TXN memory business.</t>
  </si>
  <si>
    <t>F1990</t>
  </si>
  <si>
    <t>Partnered with Intel on NAND Flash in 2006-2007</t>
  </si>
  <si>
    <t>Partnered with Inotera/Nanya on 2008-2009 DRAM</t>
  </si>
  <si>
    <t>Elpida Memory was a competitor.</t>
  </si>
  <si>
    <t>1990: IPO</t>
  </si>
  <si>
    <t>1991: 128Kx8 SRAM</t>
  </si>
  <si>
    <t>F1989</t>
  </si>
  <si>
    <t>F1988</t>
  </si>
  <si>
    <t>F1987</t>
  </si>
  <si>
    <t>F1986</t>
  </si>
  <si>
    <t>F1985</t>
  </si>
  <si>
    <t>F1984</t>
  </si>
  <si>
    <t>Revenue/HC</t>
  </si>
  <si>
    <t>CXMT - ChangXin Memory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</si>
</sst>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#,##0.00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9" fontId="1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4" fontId="1" fillId="0" borderId="0" xfId="0" applyNumberFormat="1" applyFont="1"/>
    <xf numFmtId="9" fontId="0" fillId="0" borderId="0" xfId="0" applyNumberFormat="1"/>
    <xf numFmtId="165" fontId="0" fillId="0" borderId="0" xfId="0" applyNumberFormat="1"/>
    <xf numFmtId="3" fontId="0" fillId="2" borderId="0" xfId="0" applyNumberFormat="1" applyFill="1" applyAlignment="1">
      <alignment horizontal="right"/>
    </xf>
    <xf numFmtId="165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6A51B30-E201-47F6-8DBB-C49C069FCA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30035</xdr:colOff>
      <xdr:row>0</xdr:row>
      <xdr:rowOff>0</xdr:rowOff>
    </xdr:from>
    <xdr:to>
      <xdr:col>35</xdr:col>
      <xdr:colOff>30035</xdr:colOff>
      <xdr:row>130</xdr:row>
      <xdr:rowOff>7937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69379AA-F50B-4C2A-4EAF-5C5B161BD2A2}"/>
            </a:ext>
          </a:extLst>
        </xdr:cNvPr>
        <xdr:cNvCxnSpPr/>
      </xdr:nvCxnSpPr>
      <xdr:spPr>
        <a:xfrm>
          <a:off x="13031660" y="0"/>
          <a:ext cx="0" cy="18081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55562</xdr:colOff>
      <xdr:row>0</xdr:row>
      <xdr:rowOff>0</xdr:rowOff>
    </xdr:from>
    <xdr:to>
      <xdr:col>84</xdr:col>
      <xdr:colOff>55562</xdr:colOff>
      <xdr:row>158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08C9A1A-E082-EA61-3159-6F695B4AE2E0}"/>
            </a:ext>
          </a:extLst>
        </xdr:cNvPr>
        <xdr:cNvCxnSpPr/>
      </xdr:nvCxnSpPr>
      <xdr:spPr>
        <a:xfrm>
          <a:off x="38508953" y="0"/>
          <a:ext cx="0" cy="2443921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28FF62E-232B-4089-B24E-2DC7EF6F1249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4" dT="2026-07-13T02:48:33.66" personId="{628FF62E-232B-4089-B24E-2DC7EF6F1249}" id="{7AC10753-DCE1-48D3-A34F-14C5C2B1822B}">
    <text>5373?</text>
  </threadedComment>
  <threadedComment ref="F14" dT="2026-07-13T02:54:49.73" personId="{628FF62E-232B-4089-B24E-2DC7EF6F1249}" id="{EC184EE7-4065-4E37-A001-74AB1E8B1CC6}">
    <text>Was 3760</text>
  </threadedComment>
  <threadedComment ref="BO14" dT="2026-08-02T13:52:54.42" personId="{628FF62E-232B-4089-B24E-2DC7EF6F1249}" id="{3C179225-7501-4CA7-AC2C-BBA053EFE02B}">
    <text>-51% price</text>
  </threadedComment>
  <threadedComment ref="BP14" dT="2026-08-02T13:52:47.37" personId="{628FF62E-232B-4089-B24E-2DC7EF6F1249}" id="{89057092-2B50-4FB1-9D80-26727E7981BA}">
    <text>-52% price</text>
  </threadedComment>
  <threadedComment ref="BQ14" dT="2026-08-02T13:52:40.96" personId="{628FF62E-232B-4089-B24E-2DC7EF6F1249}" id="{CC3E11A8-FEB3-4FF1-A2FA-FBEB1E6D718F}">
    <text>+28% price</text>
  </threadedComment>
  <threadedComment ref="BR14" dT="2026-08-02T13:52:35.27" personId="{628FF62E-232B-4089-B24E-2DC7EF6F1249}" id="{11116789-A7DE-48A6-A82F-68A7702AB0EA}">
    <text>-39% price</text>
  </threadedComment>
  <threadedComment ref="BS14" dT="2026-08-02T13:52:29.81" personId="{628FF62E-232B-4089-B24E-2DC7EF6F1249}" id="{33BCD81B-0849-40DC-9FDA-3B7AFE62F54A}">
    <text>-45% price</text>
  </threadedComment>
  <threadedComment ref="E15" dT="2026-07-13T02:48:49.06" personId="{628FF62E-232B-4089-B24E-2DC7EF6F1249}" id="{3B7F56F3-21D6-4E2E-AA36-7689C2F82F14}">
    <text>2179?</text>
  </threadedComment>
  <threadedComment ref="F15" dT="2026-07-13T02:54:54.18" personId="{628FF62E-232B-4089-B24E-2DC7EF6F1249}" id="{C4C63E22-7E04-4C47-900C-151224437D6C}">
    <text>Was 1776</text>
  </threadedComment>
  <threadedComment ref="B23" dT="2026-07-11T21:33:57.60" personId="{628FF62E-232B-4089-B24E-2DC7EF6F1249}" id="{6A4143ED-26E9-4411-9286-9237FAFF0E88}">
    <text>Cloud Memory</text>
  </threadedComment>
  <threadedComment ref="B24" dT="2026-07-11T21:34:09.52" personId="{628FF62E-232B-4089-B24E-2DC7EF6F1249}" id="{3008C551-30A5-46FF-B334-8C2B5CB8A471}">
    <text>Core Data Center</text>
  </threadedComment>
  <threadedComment ref="B25" dT="2026-07-11T21:34:18.11" personId="{628FF62E-232B-4089-B24E-2DC7EF6F1249}" id="{F798A0F5-A887-4724-BC4E-5E9C410B72F3}">
    <text>Mobile &amp; Client</text>
  </threadedComment>
  <threadedComment ref="B26" dT="2026-07-11T21:34:27.71" personId="{628FF62E-232B-4089-B24E-2DC7EF6F1249}" id="{C2C56BEE-B08A-44C4-854B-7CF5BE0F99D5}">
    <text>Automotive &amp; Embedded</text>
  </threadedComment>
  <threadedComment ref="AA30" dT="2024-09-19T15:45:24.58" personId="{628FF62E-232B-4089-B24E-2DC7EF6F1249}" id="{26F098AE-606C-469D-8EA5-E5734FC4346B}">
    <text>Q2 guidance: 6.6B</text>
  </threadedComment>
  <threadedComment ref="AH30" dT="2026-07-04T14:18:57.09" personId="{628FF62E-232B-4089-B24E-2DC7EF6F1249}" id="{A2CA7513-EFA4-44DE-A320-E3BC81A442B0}">
    <text>Q126 guidance: 18.7B</text>
  </threadedComment>
  <threadedComment ref="AI30" dT="2026-07-04T14:26:55.83" personId="{628FF62E-232B-4089-B24E-2DC7EF6F1249}" id="{B24314FC-4A9F-4AFD-A94C-83129BD06448}">
    <text>Q2 guidance: 33.5B+-750m</text>
  </threadedComment>
  <threadedComment ref="BD30" dT="2026-08-02T00:16:52.69" personId="{628FF62E-232B-4089-B24E-2DC7EF6F1249}" id="{5968C5FE-D54A-4B50-B813-1603B3559176}">
    <text>later revised to 2058.9</text>
  </threadedComment>
  <threadedComment ref="CG30" dT="2026-07-04T15:32:27.53" personId="{628FF62E-232B-4089-B24E-2DC7EF6F1249}" id="{9815DEC1-22DA-48EA-864F-C2F08422960A}">
    <text>DRAM low-mid +20% bit shipments</text>
  </threadedComment>
  <threadedComment ref="CG46" dT="2026-07-11T14:15:51.03" personId="{628FF62E-232B-4089-B24E-2DC7EF6F1249}" id="{4B23F65F-968B-4BE7-8C55-5F91671872B8}">
    <text>7/11/26 consensus: 73.14</text>
  </threadedComment>
  <threadedComment ref="CH46" dT="2026-07-11T14:16:06.74" personId="{628FF62E-232B-4089-B24E-2DC7EF6F1249}" id="{816B86D6-80F2-414F-B7D3-5F469703BD5F}">
    <text>7/11/26 consensus: 152.57</text>
  </threadedComment>
  <threadedComment ref="CI46" dT="2026-07-11T14:16:22.27" personId="{628FF62E-232B-4089-B24E-2DC7EF6F1249}" id="{554E7526-D021-45FD-9708-807F1FB6EF62}">
    <text>7/11/28 consensus: 104.50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B3D3-F24B-4B90-87C3-03D13C01C91B}">
  <dimension ref="B2:O32"/>
  <sheetViews>
    <sheetView zoomScale="145" zoomScaleNormal="145" workbookViewId="0">
      <selection activeCell="J3" sqref="J3"/>
    </sheetView>
  </sheetViews>
  <sheetFormatPr defaultRowHeight="12.5" x14ac:dyDescent="0.25"/>
  <cols>
    <col min="2" max="2" width="10.08984375" customWidth="1"/>
    <col min="3" max="3" width="10.90625" customWidth="1"/>
    <col min="15" max="15" width="8.90625" bestFit="1" customWidth="1"/>
  </cols>
  <sheetData>
    <row r="2" spans="2:15" x14ac:dyDescent="0.25">
      <c r="B2" s="16" t="s">
        <v>228</v>
      </c>
      <c r="I2" t="s">
        <v>0</v>
      </c>
      <c r="J2" s="1">
        <v>1000</v>
      </c>
    </row>
    <row r="3" spans="2:15" x14ac:dyDescent="0.25">
      <c r="B3" t="s">
        <v>105</v>
      </c>
      <c r="F3" t="s">
        <v>220</v>
      </c>
      <c r="I3" t="s">
        <v>1</v>
      </c>
      <c r="J3" s="2">
        <v>1145</v>
      </c>
      <c r="K3" s="3" t="s">
        <v>150</v>
      </c>
    </row>
    <row r="4" spans="2:15" x14ac:dyDescent="0.25">
      <c r="C4" t="s">
        <v>106</v>
      </c>
      <c r="I4" t="s">
        <v>2</v>
      </c>
      <c r="J4" s="2">
        <f>+J2*J3</f>
        <v>1145000</v>
      </c>
    </row>
    <row r="5" spans="2:15" x14ac:dyDescent="0.25">
      <c r="C5" t="s">
        <v>108</v>
      </c>
      <c r="E5" t="s">
        <v>226</v>
      </c>
      <c r="I5" t="s">
        <v>3</v>
      </c>
      <c r="J5" s="2">
        <v>31025</v>
      </c>
      <c r="K5" s="3" t="s">
        <v>150</v>
      </c>
    </row>
    <row r="6" spans="2:15" x14ac:dyDescent="0.25">
      <c r="C6" t="s">
        <v>187</v>
      </c>
      <c r="I6" t="s">
        <v>4</v>
      </c>
      <c r="J6" s="2">
        <v>5722</v>
      </c>
      <c r="K6" s="3" t="s">
        <v>150</v>
      </c>
    </row>
    <row r="7" spans="2:15" ht="13" x14ac:dyDescent="0.3">
      <c r="C7" t="s">
        <v>107</v>
      </c>
      <c r="E7" t="s">
        <v>227</v>
      </c>
      <c r="I7" t="s">
        <v>5</v>
      </c>
      <c r="J7" s="2">
        <f>+J4-J5+J6</f>
        <v>1119697</v>
      </c>
      <c r="O7" s="9">
        <f>+J7*3</f>
        <v>3359091</v>
      </c>
    </row>
    <row r="8" spans="2:15" x14ac:dyDescent="0.25">
      <c r="C8" t="s">
        <v>186</v>
      </c>
      <c r="J8" s="1"/>
      <c r="K8" s="2"/>
    </row>
    <row r="9" spans="2:15" ht="13" x14ac:dyDescent="0.3">
      <c r="C9" t="s">
        <v>184</v>
      </c>
      <c r="I9" t="s">
        <v>103</v>
      </c>
      <c r="L9" s="2"/>
      <c r="O9" s="9">
        <v>336000</v>
      </c>
    </row>
    <row r="10" spans="2:15" x14ac:dyDescent="0.25">
      <c r="C10" t="s">
        <v>185</v>
      </c>
      <c r="I10" t="s">
        <v>104</v>
      </c>
      <c r="N10" s="1"/>
    </row>
    <row r="11" spans="2:15" x14ac:dyDescent="0.25">
      <c r="D11" t="s">
        <v>225</v>
      </c>
      <c r="I11" t="s">
        <v>175</v>
      </c>
    </row>
    <row r="12" spans="2:15" x14ac:dyDescent="0.25">
      <c r="B12" t="s">
        <v>109</v>
      </c>
    </row>
    <row r="13" spans="2:15" x14ac:dyDescent="0.25">
      <c r="B13" t="s">
        <v>182</v>
      </c>
    </row>
    <row r="15" spans="2:15" x14ac:dyDescent="0.25">
      <c r="B15" t="s">
        <v>188</v>
      </c>
    </row>
    <row r="16" spans="2:15" x14ac:dyDescent="0.25">
      <c r="C16" t="s">
        <v>189</v>
      </c>
    </row>
    <row r="17" spans="2:9" x14ac:dyDescent="0.25">
      <c r="B17" t="s">
        <v>221</v>
      </c>
    </row>
    <row r="18" spans="2:9" x14ac:dyDescent="0.25">
      <c r="C18" t="s">
        <v>222</v>
      </c>
      <c r="I18" t="s">
        <v>183</v>
      </c>
    </row>
    <row r="19" spans="2:9" x14ac:dyDescent="0.25">
      <c r="B19" t="s">
        <v>223</v>
      </c>
      <c r="I19" t="s">
        <v>269</v>
      </c>
    </row>
    <row r="20" spans="2:9" x14ac:dyDescent="0.25">
      <c r="C20" t="s">
        <v>224</v>
      </c>
      <c r="I20" t="s">
        <v>268</v>
      </c>
    </row>
    <row r="21" spans="2:9" x14ac:dyDescent="0.25">
      <c r="I21" t="s">
        <v>267</v>
      </c>
    </row>
    <row r="22" spans="2:9" x14ac:dyDescent="0.25">
      <c r="B22" t="s">
        <v>190</v>
      </c>
      <c r="C22" t="s">
        <v>192</v>
      </c>
      <c r="D22" t="s">
        <v>199</v>
      </c>
      <c r="I22" t="s">
        <v>265</v>
      </c>
    </row>
    <row r="23" spans="2:9" x14ac:dyDescent="0.25">
      <c r="B23" t="s">
        <v>191</v>
      </c>
      <c r="C23" t="s">
        <v>192</v>
      </c>
      <c r="D23" t="s">
        <v>200</v>
      </c>
    </row>
    <row r="24" spans="2:9" x14ac:dyDescent="0.25">
      <c r="B24" t="s">
        <v>193</v>
      </c>
      <c r="C24" t="s">
        <v>194</v>
      </c>
      <c r="D24" t="s">
        <v>195</v>
      </c>
      <c r="I24" t="s">
        <v>271</v>
      </c>
    </row>
    <row r="25" spans="2:9" x14ac:dyDescent="0.25">
      <c r="B25" t="s">
        <v>196</v>
      </c>
      <c r="C25" t="s">
        <v>198</v>
      </c>
      <c r="D25" t="s">
        <v>197</v>
      </c>
      <c r="I25" t="s">
        <v>270</v>
      </c>
    </row>
    <row r="26" spans="2:9" x14ac:dyDescent="0.25">
      <c r="B26" t="s">
        <v>201</v>
      </c>
      <c r="C26" t="s">
        <v>202</v>
      </c>
      <c r="D26" t="s">
        <v>203</v>
      </c>
    </row>
    <row r="27" spans="2:9" x14ac:dyDescent="0.25">
      <c r="B27" t="s">
        <v>204</v>
      </c>
      <c r="C27" t="s">
        <v>205</v>
      </c>
    </row>
    <row r="32" spans="2:9" x14ac:dyDescent="0.25">
      <c r="B32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ECE1-E2C2-4F5D-AB90-79F4AAA15D0A}">
  <dimension ref="A1:EE133"/>
  <sheetViews>
    <sheetView tabSelected="1" zoomScale="130" zoomScaleNormal="130" workbookViewId="0">
      <pane xSplit="2" ySplit="3" topLeftCell="Y9" activePane="bottomRight" state="frozen"/>
      <selection pane="topRight" activeCell="C1" sqref="C1"/>
      <selection pane="bottomLeft" activeCell="A3" sqref="A3"/>
      <selection pane="bottomRight" activeCell="AH24" sqref="AH24"/>
    </sheetView>
  </sheetViews>
  <sheetFormatPr defaultRowHeight="12.5" x14ac:dyDescent="0.25"/>
  <cols>
    <col min="1" max="1" width="5" bestFit="1" customWidth="1"/>
    <col min="2" max="2" width="18.1796875" bestFit="1" customWidth="1"/>
    <col min="3" max="19" width="8.7265625" style="3"/>
    <col min="20" max="29" width="9.1796875" style="3"/>
    <col min="70" max="70" width="9" customWidth="1"/>
    <col min="75" max="75" width="9.1796875" style="3"/>
    <col min="82" max="82" width="8.7265625" customWidth="1"/>
    <col min="83" max="83" width="8.81640625" bestFit="1" customWidth="1"/>
    <col min="84" max="84" width="8.90625" bestFit="1" customWidth="1"/>
    <col min="95" max="95" width="9.453125" customWidth="1"/>
    <col min="96" max="96" width="9" bestFit="1" customWidth="1"/>
  </cols>
  <sheetData>
    <row r="1" spans="1:127" x14ac:dyDescent="0.25">
      <c r="A1" s="11" t="s">
        <v>6</v>
      </c>
    </row>
    <row r="2" spans="1:127" s="4" customFormat="1" x14ac:dyDescent="0.25">
      <c r="C2" s="5">
        <v>43069</v>
      </c>
      <c r="D2" s="5">
        <v>42794</v>
      </c>
      <c r="E2" s="5">
        <v>43433</v>
      </c>
      <c r="F2" s="5">
        <v>43524</v>
      </c>
      <c r="G2" s="5">
        <v>43615</v>
      </c>
      <c r="H2" s="5">
        <v>43711</v>
      </c>
      <c r="I2" s="5">
        <v>43797</v>
      </c>
      <c r="J2" s="5">
        <v>43888</v>
      </c>
      <c r="K2" s="5">
        <v>43979</v>
      </c>
      <c r="L2" s="5">
        <v>44077</v>
      </c>
      <c r="M2" s="5">
        <v>44168</v>
      </c>
      <c r="N2" s="5">
        <v>44262</v>
      </c>
      <c r="O2" s="5">
        <v>44350</v>
      </c>
      <c r="P2" s="5">
        <v>44441</v>
      </c>
      <c r="Q2" s="5">
        <v>44532</v>
      </c>
      <c r="R2" s="5">
        <v>44621</v>
      </c>
      <c r="S2" s="5">
        <v>44714</v>
      </c>
      <c r="T2" s="5">
        <v>44805</v>
      </c>
      <c r="U2" s="5">
        <v>44896</v>
      </c>
      <c r="V2" s="5">
        <v>44987</v>
      </c>
      <c r="W2" s="5">
        <v>45078</v>
      </c>
      <c r="X2" s="5">
        <v>45169</v>
      </c>
      <c r="Y2" s="5">
        <v>45260</v>
      </c>
      <c r="Z2" s="5">
        <v>45351</v>
      </c>
      <c r="AA2" s="5">
        <v>45442</v>
      </c>
      <c r="AB2" s="5">
        <f>+X2+366</f>
        <v>45535</v>
      </c>
      <c r="AC2" s="5">
        <v>45624</v>
      </c>
      <c r="AD2" s="4">
        <v>45715</v>
      </c>
      <c r="AE2" s="4">
        <f>+AA2+365</f>
        <v>45807</v>
      </c>
      <c r="AF2" s="4">
        <v>45897</v>
      </c>
      <c r="AG2" s="4">
        <v>45988</v>
      </c>
      <c r="AH2" s="4">
        <v>46079</v>
      </c>
      <c r="AI2" s="4">
        <f>+AE2+365</f>
        <v>46172</v>
      </c>
      <c r="AJ2" s="4">
        <f>+AF2+365</f>
        <v>46262</v>
      </c>
      <c r="AK2" s="4">
        <f t="shared" ref="AK2:AO2" si="0">+AG2+365</f>
        <v>46353</v>
      </c>
      <c r="AL2" s="4">
        <f t="shared" si="0"/>
        <v>46444</v>
      </c>
      <c r="AM2" s="4">
        <f t="shared" si="0"/>
        <v>46537</v>
      </c>
      <c r="AN2" s="4">
        <f t="shared" si="0"/>
        <v>46627</v>
      </c>
      <c r="AO2" s="4">
        <f t="shared" si="0"/>
        <v>46718</v>
      </c>
      <c r="AV2" s="4">
        <v>32751</v>
      </c>
      <c r="AW2" s="4">
        <v>33115</v>
      </c>
      <c r="AX2" s="4">
        <v>33479</v>
      </c>
      <c r="AZ2" s="4">
        <v>34214</v>
      </c>
      <c r="BA2" s="4">
        <v>34578</v>
      </c>
      <c r="BB2" s="4">
        <v>34942</v>
      </c>
      <c r="BC2" s="4">
        <v>35306</v>
      </c>
      <c r="BD2" s="4">
        <v>35670</v>
      </c>
      <c r="BE2" s="4">
        <v>36041</v>
      </c>
      <c r="BF2" s="4">
        <f t="shared" ref="BF2" si="1">+BG2-365</f>
        <v>36404</v>
      </c>
      <c r="BG2" s="4">
        <v>36769</v>
      </c>
      <c r="BH2" s="4">
        <v>37133</v>
      </c>
      <c r="BI2" s="4">
        <v>37497</v>
      </c>
      <c r="BJ2" s="4">
        <v>37861</v>
      </c>
      <c r="BK2" s="4">
        <v>38232</v>
      </c>
      <c r="BL2" s="4">
        <v>38596</v>
      </c>
      <c r="BM2" s="4">
        <v>38960</v>
      </c>
      <c r="BN2" s="4">
        <v>39324</v>
      </c>
      <c r="BO2" s="4">
        <v>39688</v>
      </c>
      <c r="BP2" s="4">
        <v>40059</v>
      </c>
      <c r="BQ2" s="4">
        <v>40423</v>
      </c>
      <c r="BR2" s="5">
        <v>40787</v>
      </c>
      <c r="BS2" s="5">
        <v>41151</v>
      </c>
      <c r="BT2" s="5">
        <v>41515</v>
      </c>
      <c r="BU2" s="5">
        <v>41879</v>
      </c>
      <c r="BV2" s="5">
        <v>42250</v>
      </c>
      <c r="BW2" s="5">
        <v>42614</v>
      </c>
      <c r="BX2" s="4">
        <v>42978</v>
      </c>
      <c r="BY2" s="4">
        <v>43342</v>
      </c>
      <c r="BZ2" s="4">
        <v>43706</v>
      </c>
      <c r="CA2" s="4">
        <v>44077</v>
      </c>
      <c r="CB2" s="4">
        <v>44441</v>
      </c>
      <c r="CC2" s="4">
        <v>44805</v>
      </c>
      <c r="CD2" s="4">
        <v>45169</v>
      </c>
      <c r="CE2" s="4">
        <v>45533</v>
      </c>
      <c r="CF2" s="4">
        <v>45897</v>
      </c>
      <c r="CG2" s="4">
        <f t="shared" ref="CG2:CO2" si="2">+CF2+365</f>
        <v>46262</v>
      </c>
      <c r="CH2" s="4">
        <f t="shared" si="2"/>
        <v>46627</v>
      </c>
      <c r="CI2" s="4">
        <f t="shared" si="2"/>
        <v>46992</v>
      </c>
      <c r="CJ2" s="4">
        <f t="shared" si="2"/>
        <v>47357</v>
      </c>
      <c r="CK2" s="4">
        <f t="shared" si="2"/>
        <v>47722</v>
      </c>
      <c r="CL2" s="4">
        <f t="shared" si="2"/>
        <v>48087</v>
      </c>
      <c r="CM2" s="4">
        <f t="shared" si="2"/>
        <v>48452</v>
      </c>
      <c r="CN2" s="4">
        <f t="shared" si="2"/>
        <v>48817</v>
      </c>
      <c r="CO2" s="4">
        <f t="shared" si="2"/>
        <v>49182</v>
      </c>
    </row>
    <row r="3" spans="1:127" x14ac:dyDescent="0.25">
      <c r="C3" s="3" t="s">
        <v>259</v>
      </c>
      <c r="D3" s="3" t="s">
        <v>260</v>
      </c>
      <c r="E3" s="3" t="s">
        <v>253</v>
      </c>
      <c r="F3" s="3" t="s">
        <v>254</v>
      </c>
      <c r="G3" s="3" t="s">
        <v>255</v>
      </c>
      <c r="H3" s="3" t="s">
        <v>256</v>
      </c>
      <c r="I3" s="3" t="s">
        <v>251</v>
      </c>
      <c r="J3" s="3" t="s">
        <v>252</v>
      </c>
      <c r="K3" s="3" t="s">
        <v>257</v>
      </c>
      <c r="L3" s="3" t="s">
        <v>258</v>
      </c>
      <c r="M3" s="3" t="s">
        <v>247</v>
      </c>
      <c r="N3" s="3" t="s">
        <v>248</v>
      </c>
      <c r="O3" s="3" t="s">
        <v>250</v>
      </c>
      <c r="P3" s="3" t="s">
        <v>249</v>
      </c>
      <c r="Q3" s="3" t="s">
        <v>238</v>
      </c>
      <c r="R3" s="3" t="s">
        <v>236</v>
      </c>
      <c r="S3" s="3" t="s">
        <v>237</v>
      </c>
      <c r="T3" s="3" t="s">
        <v>33</v>
      </c>
      <c r="U3" s="3" t="s">
        <v>25</v>
      </c>
      <c r="V3" s="3" t="s">
        <v>24</v>
      </c>
      <c r="W3" s="3" t="s">
        <v>23</v>
      </c>
      <c r="X3" s="3" t="s">
        <v>22</v>
      </c>
      <c r="Y3" s="3" t="s">
        <v>21</v>
      </c>
      <c r="Z3" s="3" t="s">
        <v>20</v>
      </c>
      <c r="AA3" s="3" t="s">
        <v>19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146</v>
      </c>
      <c r="AH3" s="3" t="s">
        <v>147</v>
      </c>
      <c r="AI3" s="3" t="s">
        <v>148</v>
      </c>
      <c r="AJ3" s="3" t="s">
        <v>149</v>
      </c>
      <c r="AK3" s="3" t="s">
        <v>151</v>
      </c>
      <c r="AL3" s="3" t="s">
        <v>152</v>
      </c>
      <c r="AM3" s="3" t="s">
        <v>153</v>
      </c>
      <c r="AN3" s="3" t="s">
        <v>154</v>
      </c>
      <c r="AO3" s="3" t="s">
        <v>261</v>
      </c>
      <c r="AP3" s="3"/>
      <c r="AQ3" s="3" t="s">
        <v>277</v>
      </c>
      <c r="AR3" s="3" t="s">
        <v>276</v>
      </c>
      <c r="AS3" s="3" t="s">
        <v>275</v>
      </c>
      <c r="AT3" s="3" t="s">
        <v>274</v>
      </c>
      <c r="AU3" s="3" t="s">
        <v>273</v>
      </c>
      <c r="AV3" s="3" t="s">
        <v>272</v>
      </c>
      <c r="AW3" s="3" t="s">
        <v>266</v>
      </c>
      <c r="AX3" s="3" t="s">
        <v>142</v>
      </c>
      <c r="AY3" s="3" t="s">
        <v>141</v>
      </c>
      <c r="AZ3" s="3" t="s">
        <v>140</v>
      </c>
      <c r="BA3" s="3" t="s">
        <v>139</v>
      </c>
      <c r="BB3" s="3" t="s">
        <v>138</v>
      </c>
      <c r="BC3" s="3" t="s">
        <v>137</v>
      </c>
      <c r="BD3" s="3" t="s">
        <v>136</v>
      </c>
      <c r="BE3" s="3" t="s">
        <v>135</v>
      </c>
      <c r="BF3" s="3" t="s">
        <v>134</v>
      </c>
      <c r="BG3" s="3" t="s">
        <v>133</v>
      </c>
      <c r="BH3" s="3" t="s">
        <v>132</v>
      </c>
      <c r="BI3" s="3" t="s">
        <v>130</v>
      </c>
      <c r="BJ3" s="3" t="s">
        <v>131</v>
      </c>
      <c r="BK3" s="3" t="s">
        <v>129</v>
      </c>
      <c r="BL3" s="3" t="s">
        <v>128</v>
      </c>
      <c r="BM3" s="3" t="s">
        <v>127</v>
      </c>
      <c r="BN3" s="3" t="s">
        <v>126</v>
      </c>
      <c r="BO3" s="3" t="s">
        <v>125</v>
      </c>
      <c r="BP3" s="3" t="s">
        <v>124</v>
      </c>
      <c r="BQ3" s="3" t="s">
        <v>123</v>
      </c>
      <c r="BR3" s="3" t="s">
        <v>122</v>
      </c>
      <c r="BS3" s="3" t="s">
        <v>121</v>
      </c>
      <c r="BT3" s="3" t="s">
        <v>120</v>
      </c>
      <c r="BU3" s="3" t="s">
        <v>119</v>
      </c>
      <c r="BV3" s="3" t="s">
        <v>118</v>
      </c>
      <c r="BW3" s="3" t="s">
        <v>117</v>
      </c>
      <c r="BX3" s="3" t="s">
        <v>115</v>
      </c>
      <c r="BY3" s="3" t="s">
        <v>102</v>
      </c>
      <c r="BZ3" s="3" t="s">
        <v>101</v>
      </c>
      <c r="CA3" s="3" t="s">
        <v>100</v>
      </c>
      <c r="CB3" s="3" t="s">
        <v>99</v>
      </c>
      <c r="CC3" s="3" t="s">
        <v>52</v>
      </c>
      <c r="CD3" s="3" t="s">
        <v>53</v>
      </c>
      <c r="CE3" s="3" t="s">
        <v>54</v>
      </c>
      <c r="CF3" s="3" t="s">
        <v>55</v>
      </c>
      <c r="CG3" s="3" t="s">
        <v>56</v>
      </c>
      <c r="CH3" s="3" t="s">
        <v>57</v>
      </c>
      <c r="CI3" s="3" t="s">
        <v>58</v>
      </c>
      <c r="CJ3" s="3" t="s">
        <v>59</v>
      </c>
      <c r="CK3" s="3" t="s">
        <v>60</v>
      </c>
      <c r="CL3" s="3" t="s">
        <v>61</v>
      </c>
      <c r="CM3" s="3" t="s">
        <v>62</v>
      </c>
      <c r="CN3" s="3" t="s">
        <v>63</v>
      </c>
      <c r="CO3" s="3" t="s">
        <v>64</v>
      </c>
      <c r="CP3" s="3" t="s">
        <v>65</v>
      </c>
      <c r="CQ3" s="3" t="s">
        <v>66</v>
      </c>
      <c r="CR3" s="3" t="s">
        <v>67</v>
      </c>
      <c r="CS3" s="3" t="s">
        <v>68</v>
      </c>
      <c r="CT3" s="3" t="s">
        <v>69</v>
      </c>
      <c r="CU3" s="3" t="s">
        <v>70</v>
      </c>
      <c r="CV3" s="3" t="s">
        <v>71</v>
      </c>
      <c r="CW3" s="3" t="s">
        <v>72</v>
      </c>
      <c r="CX3" s="3" t="s">
        <v>73</v>
      </c>
      <c r="CY3" s="3" t="s">
        <v>74</v>
      </c>
      <c r="CZ3" s="3" t="s">
        <v>75</v>
      </c>
      <c r="DA3" s="3" t="s">
        <v>76</v>
      </c>
      <c r="DB3" s="3" t="s">
        <v>77</v>
      </c>
      <c r="DC3" s="3" t="s">
        <v>78</v>
      </c>
      <c r="DD3" s="3" t="s">
        <v>79</v>
      </c>
      <c r="DE3" s="3" t="s">
        <v>80</v>
      </c>
      <c r="DF3" s="3" t="s">
        <v>81</v>
      </c>
      <c r="DG3" s="3" t="s">
        <v>82</v>
      </c>
      <c r="DH3" s="3" t="s">
        <v>83</v>
      </c>
      <c r="DI3" s="3" t="s">
        <v>84</v>
      </c>
      <c r="DJ3" s="3" t="s">
        <v>85</v>
      </c>
      <c r="DK3" s="3" t="s">
        <v>86</v>
      </c>
      <c r="DL3" s="3" t="s">
        <v>87</v>
      </c>
      <c r="DM3" s="3" t="s">
        <v>88</v>
      </c>
      <c r="DN3" s="3" t="s">
        <v>89</v>
      </c>
      <c r="DO3" s="3" t="s">
        <v>90</v>
      </c>
      <c r="DP3" s="3" t="s">
        <v>91</v>
      </c>
      <c r="DQ3" s="3" t="s">
        <v>92</v>
      </c>
      <c r="DR3" s="3" t="s">
        <v>93</v>
      </c>
      <c r="DS3" s="3" t="s">
        <v>94</v>
      </c>
      <c r="DT3" s="3" t="s">
        <v>95</v>
      </c>
      <c r="DU3" s="3" t="s">
        <v>96</v>
      </c>
      <c r="DV3" s="3" t="s">
        <v>97</v>
      </c>
      <c r="DW3" s="3" t="s">
        <v>98</v>
      </c>
    </row>
    <row r="4" spans="1:127" x14ac:dyDescent="0.25">
      <c r="B4" t="s">
        <v>174</v>
      </c>
      <c r="AD4" s="3"/>
      <c r="AE4" s="3"/>
      <c r="AF4" s="3"/>
      <c r="AG4" s="3"/>
      <c r="AH4" s="3"/>
      <c r="AI4" s="6">
        <v>50000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</row>
    <row r="5" spans="1:127" x14ac:dyDescent="0.25">
      <c r="B5" t="s">
        <v>169</v>
      </c>
      <c r="AD5" s="6">
        <v>39331</v>
      </c>
      <c r="AE5" s="6">
        <v>44062</v>
      </c>
      <c r="AF5" s="6">
        <v>46743</v>
      </c>
      <c r="AG5" s="6">
        <v>57006</v>
      </c>
      <c r="AH5" s="6">
        <v>68100</v>
      </c>
      <c r="AI5" s="6">
        <v>81615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</row>
    <row r="6" spans="1:127" s="18" customFormat="1" ht="13" x14ac:dyDescent="0.3">
      <c r="B6" s="18" t="s">
        <v>173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0"/>
      <c r="AE6" s="10">
        <f>+AE8*0.15</f>
        <v>4979.9293945312502</v>
      </c>
      <c r="AF6" s="10"/>
      <c r="AG6" s="10"/>
      <c r="AH6" s="10">
        <f t="shared" ref="AH6:AI6" si="3">+AH8*0.15</f>
        <v>10571.699999999999</v>
      </c>
      <c r="AI6" s="10">
        <f t="shared" si="3"/>
        <v>18655.537402343751</v>
      </c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</row>
    <row r="7" spans="1:127" s="18" customFormat="1" ht="13" x14ac:dyDescent="0.3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0"/>
      <c r="AE7" s="10"/>
      <c r="AF7" s="10"/>
      <c r="AG7" s="10"/>
      <c r="AH7" s="10"/>
      <c r="AI7" s="10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</row>
    <row r="8" spans="1:127" s="18" customFormat="1" ht="13" x14ac:dyDescent="0.3">
      <c r="B8" s="18" t="s">
        <v>172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0"/>
      <c r="AE8" s="10">
        <f>+AE9+AE10+AE30</f>
        <v>33199.529296875</v>
      </c>
      <c r="AF8" s="10"/>
      <c r="AG8" s="10"/>
      <c r="AH8" s="10">
        <f>+AH9+AH10+AH30</f>
        <v>70478</v>
      </c>
      <c r="AI8" s="10">
        <f>+AI9+AI10+AI30</f>
        <v>124370.24934895834</v>
      </c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</row>
    <row r="9" spans="1:127" x14ac:dyDescent="0.25">
      <c r="B9" t="s">
        <v>170</v>
      </c>
      <c r="AD9" s="3"/>
      <c r="AE9" s="6">
        <f>17639141/1536</f>
        <v>11483.815755208334</v>
      </c>
      <c r="AF9" s="3"/>
      <c r="AG9" s="3"/>
      <c r="AH9" s="6">
        <f>32827000/1500</f>
        <v>21884.666666666668</v>
      </c>
      <c r="AI9" s="6">
        <f>52576287/1536</f>
        <v>34229.353515625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</row>
    <row r="10" spans="1:127" x14ac:dyDescent="0.25">
      <c r="B10" t="s">
        <v>171</v>
      </c>
      <c r="AC10" s="6">
        <f>22300000/1500</f>
        <v>14866.666666666666</v>
      </c>
      <c r="AD10" s="3"/>
      <c r="AE10" s="6">
        <f>19069000/1536</f>
        <v>12414.713541666666</v>
      </c>
      <c r="AF10" s="6">
        <f>21200000/1500</f>
        <v>14133.333333333334</v>
      </c>
      <c r="AG10" s="6">
        <f>26700000/1500</f>
        <v>17800</v>
      </c>
      <c r="AH10" s="6">
        <f>37100000/1500</f>
        <v>24733.333333333332</v>
      </c>
      <c r="AI10" s="6">
        <f>74780000/1536</f>
        <v>48684.895833333336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X10" s="3"/>
      <c r="BY10" s="3"/>
      <c r="BZ10" s="3"/>
      <c r="CA10" s="3"/>
      <c r="CB10" s="3"/>
      <c r="CC10" s="3"/>
      <c r="CD10" s="3"/>
      <c r="CE10" s="6">
        <v>844630</v>
      </c>
      <c r="CF10" s="6">
        <v>1040812</v>
      </c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</row>
    <row r="11" spans="1:127" x14ac:dyDescent="0.25"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</row>
    <row r="12" spans="1:127" x14ac:dyDescent="0.25"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</row>
    <row r="13" spans="1:127" x14ac:dyDescent="0.25">
      <c r="B13" t="s">
        <v>181</v>
      </c>
      <c r="AD13" s="3"/>
      <c r="AE13" s="3"/>
      <c r="AF13" s="3"/>
      <c r="AG13" s="3"/>
      <c r="AH13" s="6">
        <v>2500</v>
      </c>
      <c r="AI13" s="6">
        <v>5000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</row>
    <row r="14" spans="1:127" x14ac:dyDescent="0.25">
      <c r="B14" t="s">
        <v>105</v>
      </c>
      <c r="C14" s="6">
        <v>4562</v>
      </c>
      <c r="D14" s="6">
        <v>5213</v>
      </c>
      <c r="E14" s="23">
        <v>5893</v>
      </c>
      <c r="F14" s="23">
        <v>4151</v>
      </c>
      <c r="G14" s="6">
        <v>3398</v>
      </c>
      <c r="H14" s="6">
        <f>16841-G14-F14-E14</f>
        <v>3399</v>
      </c>
      <c r="I14" s="6">
        <v>3469</v>
      </c>
      <c r="J14" s="6">
        <v>3083</v>
      </c>
      <c r="K14" s="6">
        <v>3587</v>
      </c>
      <c r="L14" s="6">
        <f>14510-K14-J14-I14</f>
        <v>4371</v>
      </c>
      <c r="M14" s="6">
        <v>4056</v>
      </c>
      <c r="N14" s="6">
        <v>4444</v>
      </c>
      <c r="O14" s="6">
        <v>5448</v>
      </c>
      <c r="P14" s="6">
        <f>20039-O14-N14-M14</f>
        <v>6091</v>
      </c>
      <c r="Q14" s="6">
        <v>5587</v>
      </c>
      <c r="R14" s="6">
        <v>5719</v>
      </c>
      <c r="S14" s="6">
        <v>6271</v>
      </c>
      <c r="T14" s="6">
        <f>22386-S14-R14-Q14</f>
        <v>4809</v>
      </c>
      <c r="U14" s="6">
        <v>2829</v>
      </c>
      <c r="V14" s="6">
        <v>2722</v>
      </c>
      <c r="W14" s="6">
        <v>2672</v>
      </c>
      <c r="X14" s="6">
        <f>10978-W14-V14-U14</f>
        <v>2755</v>
      </c>
      <c r="Y14" s="6">
        <v>3427</v>
      </c>
      <c r="Z14" s="6">
        <v>4158</v>
      </c>
      <c r="AA14" s="6">
        <v>4692</v>
      </c>
      <c r="AB14" s="6">
        <f>17603-AA14-Z14-Y14</f>
        <v>5326</v>
      </c>
      <c r="AC14" s="6">
        <v>6400</v>
      </c>
      <c r="AD14" s="6">
        <v>6123</v>
      </c>
      <c r="AE14" s="6">
        <v>7071</v>
      </c>
      <c r="AF14" s="6"/>
      <c r="AG14" s="6"/>
      <c r="AH14" s="6">
        <v>18768</v>
      </c>
      <c r="AI14" s="6">
        <v>31328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6">
        <v>5052</v>
      </c>
      <c r="BR14" s="6">
        <v>3620</v>
      </c>
      <c r="BS14" s="6">
        <v>3178</v>
      </c>
      <c r="BT14" s="3"/>
      <c r="BU14" s="3"/>
      <c r="BV14" s="6">
        <v>10339</v>
      </c>
      <c r="BW14" s="6">
        <v>7207</v>
      </c>
      <c r="BX14" s="6">
        <v>12963</v>
      </c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</row>
    <row r="15" spans="1:127" x14ac:dyDescent="0.25">
      <c r="B15" t="s">
        <v>206</v>
      </c>
      <c r="C15" s="6">
        <v>1898</v>
      </c>
      <c r="D15" s="6">
        <v>1813</v>
      </c>
      <c r="E15" s="23">
        <v>1660</v>
      </c>
      <c r="F15" s="23">
        <v>1387</v>
      </c>
      <c r="G15" s="6">
        <v>1104</v>
      </c>
      <c r="H15" s="6">
        <f>5355-G15-F15-E15</f>
        <v>1204</v>
      </c>
      <c r="I15" s="6">
        <v>1422</v>
      </c>
      <c r="J15" s="6">
        <v>1514</v>
      </c>
      <c r="K15" s="6">
        <v>1665</v>
      </c>
      <c r="L15" s="6">
        <f>6131-K15-J15-I15</f>
        <v>1530</v>
      </c>
      <c r="M15" s="6">
        <v>1574</v>
      </c>
      <c r="N15" s="6">
        <v>1650</v>
      </c>
      <c r="O15" s="6">
        <v>1812</v>
      </c>
      <c r="P15" s="6">
        <f>7007-O15-N15-M15</f>
        <v>1971</v>
      </c>
      <c r="Q15" s="6">
        <v>1878</v>
      </c>
      <c r="R15" s="6">
        <v>1957</v>
      </c>
      <c r="S15" s="6">
        <v>2288</v>
      </c>
      <c r="T15" s="6">
        <f>7811-S15-R15-Q15</f>
        <v>1688</v>
      </c>
      <c r="U15" s="6">
        <v>1103</v>
      </c>
      <c r="V15" s="6">
        <v>885</v>
      </c>
      <c r="W15" s="6">
        <v>1013</v>
      </c>
      <c r="X15" s="6">
        <f>4206-W15-V15-U15</f>
        <v>1205</v>
      </c>
      <c r="Y15" s="6">
        <v>1230</v>
      </c>
      <c r="Z15" s="6">
        <v>1567</v>
      </c>
      <c r="AA15" s="6">
        <v>2065</v>
      </c>
      <c r="AB15" s="6">
        <f>7227-AA15-Z15-Y15</f>
        <v>2365</v>
      </c>
      <c r="AC15" s="6">
        <v>2241</v>
      </c>
      <c r="AD15" s="6">
        <v>1855</v>
      </c>
      <c r="AE15" s="6">
        <v>2155</v>
      </c>
      <c r="AF15" s="6"/>
      <c r="AG15" s="6"/>
      <c r="AH15" s="6">
        <v>4997</v>
      </c>
      <c r="AI15" s="6">
        <v>9943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6">
        <v>2555</v>
      </c>
      <c r="BR15" s="6">
        <v>3193</v>
      </c>
      <c r="BS15" s="6">
        <v>3627</v>
      </c>
      <c r="BT15" s="3"/>
      <c r="BU15" s="3"/>
      <c r="BV15" s="6">
        <v>4811</v>
      </c>
      <c r="BW15" s="6">
        <v>4138</v>
      </c>
      <c r="BX15" s="6">
        <v>6228</v>
      </c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</row>
    <row r="16" spans="1:127" x14ac:dyDescent="0.25">
      <c r="S16" s="6"/>
      <c r="T16" s="6"/>
      <c r="U16" s="6"/>
      <c r="V16" s="6"/>
      <c r="W16" s="6"/>
      <c r="X16" s="6"/>
      <c r="Y16" s="6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</row>
    <row r="17" spans="2:127" x14ac:dyDescent="0.25">
      <c r="B17" t="s">
        <v>214</v>
      </c>
      <c r="C17" s="6">
        <v>3212</v>
      </c>
      <c r="D17" s="6">
        <v>3691</v>
      </c>
      <c r="E17" s="6">
        <v>3604</v>
      </c>
      <c r="F17" s="6">
        <v>2382</v>
      </c>
      <c r="G17" s="6">
        <v>2079</v>
      </c>
      <c r="H17" s="6">
        <f>9968-G17-F17-E17</f>
        <v>1903</v>
      </c>
      <c r="I17" s="6">
        <v>1979</v>
      </c>
      <c r="J17" s="6">
        <v>1967</v>
      </c>
      <c r="K17" s="6">
        <v>2218</v>
      </c>
      <c r="L17" s="6">
        <f>9184-K17-J17-I17</f>
        <v>3020</v>
      </c>
      <c r="M17" s="6">
        <v>2546</v>
      </c>
      <c r="N17" s="6">
        <v>2636</v>
      </c>
      <c r="O17" s="6">
        <v>3304</v>
      </c>
      <c r="P17" s="6">
        <f>12280-O17-N17-M17</f>
        <v>3794</v>
      </c>
      <c r="Q17" s="6">
        <v>3406</v>
      </c>
      <c r="R17" s="6">
        <v>3461</v>
      </c>
      <c r="S17" s="6">
        <v>3895</v>
      </c>
      <c r="T17" s="6">
        <f>13693-S17-R17-Q17</f>
        <v>2931</v>
      </c>
      <c r="U17" s="6">
        <v>1746</v>
      </c>
      <c r="V17" s="6">
        <v>1375</v>
      </c>
      <c r="W17" s="6">
        <v>1389</v>
      </c>
      <c r="X17" s="6">
        <f>5710-W17-V17-U17</f>
        <v>1200</v>
      </c>
      <c r="Y17" s="6">
        <v>1737</v>
      </c>
      <c r="Z17" s="6">
        <v>2185</v>
      </c>
      <c r="AA17" s="6">
        <v>2573</v>
      </c>
      <c r="AB17" s="6">
        <v>3018</v>
      </c>
      <c r="AC17" s="6">
        <v>4395</v>
      </c>
      <c r="AD17" s="6">
        <v>4564</v>
      </c>
      <c r="AE17" s="6">
        <v>5069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</row>
    <row r="18" spans="2:127" x14ac:dyDescent="0.25">
      <c r="B18" t="s">
        <v>215</v>
      </c>
      <c r="C18" s="6">
        <v>1383</v>
      </c>
      <c r="D18" s="6">
        <v>1254</v>
      </c>
      <c r="E18" s="6">
        <v>1143</v>
      </c>
      <c r="F18" s="6">
        <v>1022</v>
      </c>
      <c r="G18" s="6">
        <v>813</v>
      </c>
      <c r="H18" s="6">
        <f>3826-G18-F18-E18</f>
        <v>848</v>
      </c>
      <c r="I18" s="6">
        <v>968</v>
      </c>
      <c r="J18" s="6">
        <v>870</v>
      </c>
      <c r="K18" s="6">
        <v>1014</v>
      </c>
      <c r="L18" s="6">
        <f>3765-K18-J18-I18</f>
        <v>913</v>
      </c>
      <c r="M18" s="6">
        <v>911</v>
      </c>
      <c r="N18" s="6">
        <v>850</v>
      </c>
      <c r="O18" s="6">
        <v>1009</v>
      </c>
      <c r="P18" s="6">
        <f>3973-O18-N18-M18</f>
        <v>1203</v>
      </c>
      <c r="Q18" s="6">
        <v>1150</v>
      </c>
      <c r="R18" s="6">
        <v>1171</v>
      </c>
      <c r="S18" s="6">
        <v>1341</v>
      </c>
      <c r="T18" s="6">
        <f>4553-S18-R18-Q18</f>
        <v>891</v>
      </c>
      <c r="U18" s="6">
        <v>680</v>
      </c>
      <c r="V18" s="6">
        <v>507</v>
      </c>
      <c r="W18" s="6">
        <v>627</v>
      </c>
      <c r="X18" s="6">
        <f>2553-W18-V18-U18</f>
        <v>739</v>
      </c>
      <c r="Y18" s="6">
        <v>653</v>
      </c>
      <c r="Z18" s="6">
        <v>905</v>
      </c>
      <c r="AA18" s="6">
        <v>1353</v>
      </c>
      <c r="AB18" s="6">
        <v>1681</v>
      </c>
      <c r="AC18" s="6">
        <v>1731</v>
      </c>
      <c r="AD18" s="6">
        <v>1392</v>
      </c>
      <c r="AE18" s="6">
        <v>1451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</row>
    <row r="19" spans="2:127" x14ac:dyDescent="0.25">
      <c r="B19" t="s">
        <v>216</v>
      </c>
      <c r="C19" s="6">
        <v>1365</v>
      </c>
      <c r="D19" s="6">
        <v>1566</v>
      </c>
      <c r="E19" s="6">
        <v>2212</v>
      </c>
      <c r="F19" s="6">
        <v>1611</v>
      </c>
      <c r="G19" s="6">
        <v>1174</v>
      </c>
      <c r="H19" s="6">
        <f>6403-G19-F19-E19</f>
        <v>1406</v>
      </c>
      <c r="I19" s="6">
        <v>1457</v>
      </c>
      <c r="J19" s="6">
        <v>1258</v>
      </c>
      <c r="K19" s="6">
        <v>1525</v>
      </c>
      <c r="L19" s="6">
        <f>5702-K19-J19-I19</f>
        <v>1462</v>
      </c>
      <c r="M19" s="6">
        <v>1501</v>
      </c>
      <c r="N19" s="6">
        <v>1811</v>
      </c>
      <c r="O19" s="6">
        <v>1999</v>
      </c>
      <c r="P19" s="6">
        <f>7203-O19-N19-M19</f>
        <v>1892</v>
      </c>
      <c r="Q19" s="6">
        <v>1907</v>
      </c>
      <c r="R19" s="6">
        <v>1875</v>
      </c>
      <c r="S19" s="6">
        <v>1967</v>
      </c>
      <c r="T19" s="6">
        <f>7260-S19-R19-Q19</f>
        <v>1511</v>
      </c>
      <c r="U19" s="6">
        <v>655</v>
      </c>
      <c r="V19" s="6">
        <v>945</v>
      </c>
      <c r="W19" s="6">
        <v>819</v>
      </c>
      <c r="X19" s="6">
        <f>3630-W19-V19-U19</f>
        <v>1211</v>
      </c>
      <c r="Y19" s="6">
        <v>1293</v>
      </c>
      <c r="Z19" s="6">
        <v>1598</v>
      </c>
      <c r="AA19" s="6">
        <v>1588</v>
      </c>
      <c r="AB19" s="6">
        <v>1875</v>
      </c>
      <c r="AC19" s="6">
        <v>1527</v>
      </c>
      <c r="AD19" s="6">
        <v>1068</v>
      </c>
      <c r="AE19" s="6">
        <v>1551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</row>
    <row r="20" spans="2:127" x14ac:dyDescent="0.25">
      <c r="B20" t="s">
        <v>217</v>
      </c>
      <c r="C20" s="6">
        <v>830</v>
      </c>
      <c r="D20" s="6">
        <v>829</v>
      </c>
      <c r="E20" s="6">
        <v>933</v>
      </c>
      <c r="F20" s="6">
        <v>799</v>
      </c>
      <c r="G20" s="6">
        <v>700</v>
      </c>
      <c r="H20" s="6">
        <f>3137-G20-F20-E20</f>
        <v>705</v>
      </c>
      <c r="I20" s="6">
        <v>734</v>
      </c>
      <c r="J20" s="6">
        <v>696</v>
      </c>
      <c r="K20" s="6">
        <v>675</v>
      </c>
      <c r="L20" s="6">
        <f>2759-K20-J20-I20</f>
        <v>654</v>
      </c>
      <c r="M20" s="6">
        <v>809</v>
      </c>
      <c r="N20" s="6">
        <v>935</v>
      </c>
      <c r="O20" s="6">
        <v>1105</v>
      </c>
      <c r="P20" s="6">
        <f>4209-O20-N20-M20</f>
        <v>1360</v>
      </c>
      <c r="Q20" s="6">
        <v>1220</v>
      </c>
      <c r="R20" s="6">
        <v>1277</v>
      </c>
      <c r="S20" s="6">
        <v>1435</v>
      </c>
      <c r="T20" s="6">
        <f>5235-S20-R20-Q20</f>
        <v>1303</v>
      </c>
      <c r="U20" s="6">
        <v>1000</v>
      </c>
      <c r="V20" s="6">
        <v>865</v>
      </c>
      <c r="W20" s="6">
        <v>912</v>
      </c>
      <c r="X20" s="6">
        <f>3637-W20-V20-U20</f>
        <v>860</v>
      </c>
      <c r="Y20" s="6">
        <v>1037</v>
      </c>
      <c r="Z20" s="6">
        <v>1111</v>
      </c>
      <c r="AA20" s="6">
        <v>1294</v>
      </c>
      <c r="AB20" s="6">
        <v>1172</v>
      </c>
      <c r="AC20" s="6">
        <v>1052</v>
      </c>
      <c r="AD20" s="6">
        <v>1025</v>
      </c>
      <c r="AE20" s="6">
        <v>1227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</row>
    <row r="21" spans="2:127" x14ac:dyDescent="0.25"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</row>
    <row r="22" spans="2:127" x14ac:dyDescent="0.25"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</row>
    <row r="23" spans="2:127" s="2" customFormat="1" x14ac:dyDescent="0.25">
      <c r="B23" s="2" t="s">
        <v>176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2648</v>
      </c>
      <c r="AD23" s="6">
        <v>2947</v>
      </c>
      <c r="AE23" s="6">
        <v>3386</v>
      </c>
      <c r="AF23" s="6">
        <v>4543</v>
      </c>
      <c r="AG23" s="6">
        <v>5284</v>
      </c>
      <c r="AH23" s="6">
        <v>7749</v>
      </c>
      <c r="AI23" s="6">
        <v>13769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Y23" s="6">
        <v>15252</v>
      </c>
      <c r="BZ23" s="6">
        <v>9968</v>
      </c>
      <c r="CA23" s="6">
        <v>9184</v>
      </c>
      <c r="CB23" s="6">
        <v>12280</v>
      </c>
      <c r="CC23" s="6">
        <v>13693</v>
      </c>
      <c r="CD23" s="6">
        <v>5710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</row>
    <row r="24" spans="2:127" s="2" customFormat="1" x14ac:dyDescent="0.25">
      <c r="B24" s="2" t="s">
        <v>177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2292</v>
      </c>
      <c r="AD24" s="6">
        <v>1830</v>
      </c>
      <c r="AE24" s="6">
        <v>1530</v>
      </c>
      <c r="AF24" s="6">
        <v>1577</v>
      </c>
      <c r="AG24" s="6">
        <v>2379</v>
      </c>
      <c r="AH24" s="6">
        <v>5687</v>
      </c>
      <c r="AI24" s="6">
        <v>11524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Y24" s="6">
        <v>6579</v>
      </c>
      <c r="BZ24" s="6">
        <v>6403</v>
      </c>
      <c r="CA24" s="6">
        <v>5702</v>
      </c>
      <c r="CB24" s="6">
        <v>7203</v>
      </c>
      <c r="CC24" s="6">
        <v>7260</v>
      </c>
      <c r="CD24" s="6">
        <v>3630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</row>
    <row r="25" spans="2:127" s="2" customFormat="1" x14ac:dyDescent="0.25">
      <c r="B25" s="2" t="s">
        <v>178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2608</v>
      </c>
      <c r="AD25" s="6">
        <v>2236</v>
      </c>
      <c r="AE25" s="6">
        <v>3255</v>
      </c>
      <c r="AF25" s="6">
        <v>3760</v>
      </c>
      <c r="AG25" s="6">
        <v>4255</v>
      </c>
      <c r="AH25" s="6">
        <v>7711</v>
      </c>
      <c r="AI25" s="6">
        <v>11521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Y25" s="6">
        <v>3479</v>
      </c>
      <c r="BZ25" s="6">
        <v>3137</v>
      </c>
      <c r="CA25" s="6">
        <v>2759</v>
      </c>
      <c r="CB25" s="6">
        <v>4209</v>
      </c>
      <c r="CC25" s="6">
        <v>5235</v>
      </c>
      <c r="CD25" s="6">
        <v>3640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</row>
    <row r="26" spans="2:127" s="2" customFormat="1" x14ac:dyDescent="0.25">
      <c r="B26" s="2" t="s">
        <v>179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1158</v>
      </c>
      <c r="AD26" s="6">
        <v>1034</v>
      </c>
      <c r="AE26" s="6">
        <v>1127</v>
      </c>
      <c r="AF26" s="6">
        <v>1434</v>
      </c>
      <c r="AG26" s="6">
        <v>1720</v>
      </c>
      <c r="AH26" s="6">
        <v>2708</v>
      </c>
      <c r="AI26" s="6">
        <v>4634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Y26" s="6">
        <v>5022</v>
      </c>
      <c r="BZ26" s="6">
        <v>3826</v>
      </c>
      <c r="CA26" s="6">
        <v>3765</v>
      </c>
      <c r="CB26" s="6">
        <v>3973</v>
      </c>
      <c r="CC26" s="6">
        <v>4553</v>
      </c>
      <c r="CD26" s="6">
        <v>2550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</row>
    <row r="27" spans="2:127" x14ac:dyDescent="0.25">
      <c r="B27" s="2" t="s">
        <v>44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Y27" s="3">
        <v>59</v>
      </c>
      <c r="BZ27" s="3">
        <v>72</v>
      </c>
      <c r="CA27" s="6">
        <v>25</v>
      </c>
      <c r="CB27" s="3">
        <v>40</v>
      </c>
      <c r="CC27" s="3">
        <v>17</v>
      </c>
      <c r="CD27" s="3">
        <v>10</v>
      </c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</row>
    <row r="28" spans="2:127" x14ac:dyDescent="0.25"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</row>
    <row r="29" spans="2:127" x14ac:dyDescent="0.25">
      <c r="B29" s="2" t="s">
        <v>211</v>
      </c>
      <c r="AD29" s="3"/>
      <c r="AE29" s="3"/>
      <c r="AF29" s="3"/>
      <c r="AG29" s="3"/>
      <c r="AH29" s="3"/>
      <c r="AI29" s="3"/>
      <c r="AJ29" s="3">
        <v>55000</v>
      </c>
      <c r="AK29" s="6">
        <v>57470</v>
      </c>
      <c r="AL29" s="6">
        <v>60730</v>
      </c>
      <c r="AM29" s="6">
        <v>64530</v>
      </c>
      <c r="AN29" s="6">
        <v>67890</v>
      </c>
      <c r="AO29" s="6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Y29" s="3"/>
      <c r="BZ29" s="3"/>
      <c r="CA29" s="3"/>
      <c r="CB29" s="3"/>
      <c r="CC29" s="3"/>
      <c r="CD29" s="3"/>
      <c r="CE29" s="3"/>
      <c r="CF29" s="3"/>
      <c r="CG29" s="3"/>
      <c r="CH29" s="6">
        <v>249000</v>
      </c>
      <c r="CI29" s="6">
        <v>279000</v>
      </c>
      <c r="CJ29" s="6">
        <v>305000</v>
      </c>
      <c r="CK29" s="6">
        <v>292000</v>
      </c>
      <c r="CL29" s="6">
        <v>154000</v>
      </c>
      <c r="CM29" s="6">
        <v>160000</v>
      </c>
      <c r="CN29" s="6">
        <v>166000</v>
      </c>
      <c r="CO29" s="6">
        <v>172000</v>
      </c>
      <c r="CP29" s="6">
        <v>178000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</row>
    <row r="30" spans="2:127" s="9" customFormat="1" ht="13" x14ac:dyDescent="0.3">
      <c r="B30" s="9" t="s">
        <v>7</v>
      </c>
      <c r="C30" s="10">
        <v>6803</v>
      </c>
      <c r="D30" s="10">
        <v>7351</v>
      </c>
      <c r="E30" s="10">
        <v>7913</v>
      </c>
      <c r="F30" s="10">
        <v>5835</v>
      </c>
      <c r="G30" s="10">
        <v>4788</v>
      </c>
      <c r="H30" s="10">
        <f>23406-G30-F30-E30</f>
        <v>4870</v>
      </c>
      <c r="I30" s="10">
        <v>5144</v>
      </c>
      <c r="J30" s="10">
        <v>4797</v>
      </c>
      <c r="K30" s="10">
        <v>5438</v>
      </c>
      <c r="L30" s="10">
        <f>21435-K30-J30-I30</f>
        <v>6056</v>
      </c>
      <c r="M30" s="10">
        <v>5773</v>
      </c>
      <c r="N30" s="10">
        <v>6236</v>
      </c>
      <c r="O30" s="10">
        <v>7422</v>
      </c>
      <c r="P30" s="10">
        <f>27705-O30-N30-M30</f>
        <v>8274</v>
      </c>
      <c r="Q30" s="10">
        <v>7687</v>
      </c>
      <c r="R30" s="10">
        <v>7786</v>
      </c>
      <c r="S30" s="10">
        <v>8642</v>
      </c>
      <c r="T30" s="10">
        <v>6643</v>
      </c>
      <c r="U30" s="10">
        <v>4085</v>
      </c>
      <c r="V30" s="10">
        <v>3693</v>
      </c>
      <c r="W30" s="10">
        <v>3752</v>
      </c>
      <c r="X30" s="10">
        <v>4010</v>
      </c>
      <c r="Y30" s="10">
        <v>4726</v>
      </c>
      <c r="Z30" s="10">
        <v>5824</v>
      </c>
      <c r="AA30" s="10">
        <v>6811</v>
      </c>
      <c r="AB30" s="10">
        <f>25111-AA30-Z30-Y30</f>
        <v>7750</v>
      </c>
      <c r="AC30" s="9">
        <v>8709</v>
      </c>
      <c r="AD30" s="9">
        <v>8053</v>
      </c>
      <c r="AE30" s="9">
        <v>9301</v>
      </c>
      <c r="AF30" s="9">
        <f>+CF30-AE30-AD30-AC30</f>
        <v>11315</v>
      </c>
      <c r="AG30" s="9">
        <v>13643</v>
      </c>
      <c r="AH30" s="9">
        <v>23860</v>
      </c>
      <c r="AI30" s="9">
        <v>41456</v>
      </c>
      <c r="AJ30" s="9">
        <v>60000</v>
      </c>
      <c r="AK30" s="9">
        <v>62500</v>
      </c>
      <c r="AL30" s="9">
        <v>67500</v>
      </c>
      <c r="AM30" s="9">
        <v>72500</v>
      </c>
      <c r="AN30" s="9">
        <v>77500</v>
      </c>
      <c r="AQ30" s="9">
        <v>87.355000000000004</v>
      </c>
      <c r="AR30" s="9">
        <v>75.882000000000005</v>
      </c>
      <c r="AS30" s="9">
        <v>48.865000000000002</v>
      </c>
      <c r="AT30" s="9">
        <v>91.186999999999998</v>
      </c>
      <c r="AU30" s="9">
        <v>300.5</v>
      </c>
      <c r="AV30" s="9">
        <v>446.42399999999998</v>
      </c>
      <c r="AW30" s="9">
        <v>333.34</v>
      </c>
      <c r="AX30" s="9">
        <v>425.36200000000002</v>
      </c>
      <c r="AY30" s="9">
        <v>506.3</v>
      </c>
      <c r="AZ30" s="9">
        <v>828.3</v>
      </c>
      <c r="BA30" s="9">
        <v>1628.6</v>
      </c>
      <c r="BB30" s="9">
        <v>2952.7</v>
      </c>
      <c r="BC30" s="9">
        <v>3653.8</v>
      </c>
      <c r="BD30" s="9">
        <v>3515.5</v>
      </c>
      <c r="BE30" s="9">
        <v>3011.9</v>
      </c>
      <c r="BF30" s="9">
        <v>2575.1</v>
      </c>
      <c r="BG30" s="9">
        <v>6362.4</v>
      </c>
      <c r="BH30" s="9">
        <v>3935.9</v>
      </c>
      <c r="BI30" s="9">
        <v>2589</v>
      </c>
      <c r="BJ30" s="9">
        <v>3091</v>
      </c>
      <c r="BK30" s="9">
        <v>4404</v>
      </c>
      <c r="BL30" s="9">
        <v>4880</v>
      </c>
      <c r="BM30" s="9">
        <v>5272</v>
      </c>
      <c r="BN30" s="9">
        <v>5688</v>
      </c>
      <c r="BO30" s="9">
        <v>5841</v>
      </c>
      <c r="BP30" s="9">
        <v>4803</v>
      </c>
      <c r="BQ30" s="9">
        <v>8482</v>
      </c>
      <c r="BR30" s="9">
        <v>8788</v>
      </c>
      <c r="BS30" s="9">
        <v>8234</v>
      </c>
      <c r="BT30" s="9">
        <v>9073</v>
      </c>
      <c r="BU30" s="9">
        <v>16358</v>
      </c>
      <c r="BV30" s="9">
        <v>16192</v>
      </c>
      <c r="BW30" s="10">
        <v>12399</v>
      </c>
      <c r="BX30" s="9">
        <v>20322</v>
      </c>
      <c r="BY30" s="9">
        <f t="shared" ref="BY30:BZ30" si="4">SUM(BY23:BY27)</f>
        <v>30391</v>
      </c>
      <c r="BZ30" s="9">
        <f t="shared" si="4"/>
        <v>23406</v>
      </c>
      <c r="CA30" s="9">
        <f>SUM(CA23:CA27)</f>
        <v>21435</v>
      </c>
      <c r="CB30" s="9">
        <f>SUM(CB23:CB27)</f>
        <v>27705</v>
      </c>
      <c r="CC30" s="9">
        <f>SUM(CC23:CC27)</f>
        <v>30758</v>
      </c>
      <c r="CD30" s="9">
        <f>SUM(CD23:CD27)</f>
        <v>15540</v>
      </c>
      <c r="CE30" s="9">
        <f>SUM(Y30:AB30)</f>
        <v>25111</v>
      </c>
      <c r="CF30" s="9">
        <v>37378</v>
      </c>
      <c r="CG30" s="9">
        <f>SUM(AG30:AJ30)</f>
        <v>138959</v>
      </c>
      <c r="CH30" s="9">
        <f>SUM(AK30:AN30)</f>
        <v>280000</v>
      </c>
      <c r="CI30" s="9">
        <f>+CH30*1.35</f>
        <v>378000</v>
      </c>
      <c r="CJ30" s="9">
        <f>+CI30*0.9</f>
        <v>340200</v>
      </c>
      <c r="CK30" s="9">
        <f>+CJ30*0.9</f>
        <v>306180</v>
      </c>
      <c r="CL30" s="9">
        <f>+CK30*0.7</f>
        <v>214326</v>
      </c>
      <c r="CM30" s="9">
        <f>+CL30*0.9</f>
        <v>192893.4</v>
      </c>
      <c r="CN30" s="9">
        <f>+CM30*0.9</f>
        <v>173604.06</v>
      </c>
      <c r="CO30" s="9">
        <f>+CN30*0.9</f>
        <v>156243.65400000001</v>
      </c>
    </row>
    <row r="31" spans="2:127" s="2" customFormat="1" x14ac:dyDescent="0.25">
      <c r="B31" s="2" t="s">
        <v>9</v>
      </c>
      <c r="C31" s="6">
        <v>3056</v>
      </c>
      <c r="D31" s="6">
        <v>3081</v>
      </c>
      <c r="E31" s="6">
        <v>3298</v>
      </c>
      <c r="F31" s="6">
        <v>2971</v>
      </c>
      <c r="G31" s="6">
        <v>2960</v>
      </c>
      <c r="H31" s="6">
        <f>12704-G31-F31-E31</f>
        <v>3475</v>
      </c>
      <c r="I31" s="6">
        <v>3778</v>
      </c>
      <c r="J31" s="6">
        <v>3442</v>
      </c>
      <c r="K31" s="6">
        <v>3675</v>
      </c>
      <c r="L31" s="6">
        <f>14883-K31-J31-I31</f>
        <v>3988</v>
      </c>
      <c r="M31" s="6">
        <v>4037</v>
      </c>
      <c r="N31" s="6">
        <v>4587</v>
      </c>
      <c r="O31" s="6">
        <v>4296</v>
      </c>
      <c r="P31" s="6">
        <f>17282-O31-N31-M31</f>
        <v>4362</v>
      </c>
      <c r="Q31" s="6">
        <v>4122</v>
      </c>
      <c r="R31" s="6">
        <v>4110</v>
      </c>
      <c r="S31" s="6">
        <v>4607</v>
      </c>
      <c r="T31" s="6">
        <v>4021</v>
      </c>
      <c r="U31" s="6">
        <v>3192</v>
      </c>
      <c r="V31" s="6">
        <v>4899</v>
      </c>
      <c r="W31" s="6">
        <v>4420</v>
      </c>
      <c r="X31" s="6">
        <v>4445</v>
      </c>
      <c r="Y31" s="6">
        <v>4761</v>
      </c>
      <c r="Z31" s="6">
        <v>4745</v>
      </c>
      <c r="AA31" s="6">
        <v>4979</v>
      </c>
      <c r="AB31" s="6">
        <f>19498-AA31-Z31-Y31</f>
        <v>5013</v>
      </c>
      <c r="AC31" s="2">
        <v>5361</v>
      </c>
      <c r="AD31" s="2">
        <v>5090</v>
      </c>
      <c r="AE31" s="2">
        <v>5793</v>
      </c>
      <c r="AF31" s="2">
        <f>+CF31-AE31-AD31-AC31</f>
        <v>6261</v>
      </c>
      <c r="AG31" s="2">
        <v>5997</v>
      </c>
      <c r="AH31" s="2">
        <v>6105</v>
      </c>
      <c r="AI31" s="2">
        <v>6400</v>
      </c>
      <c r="AJ31" s="2">
        <f>+AJ30-AJ32</f>
        <v>8400</v>
      </c>
      <c r="AK31" s="2">
        <f t="shared" ref="AK31:AN31" si="5">+AK30-AK32</f>
        <v>8125</v>
      </c>
      <c r="AL31" s="2">
        <f t="shared" si="5"/>
        <v>8100</v>
      </c>
      <c r="AM31" s="2">
        <f t="shared" si="5"/>
        <v>8700</v>
      </c>
      <c r="AN31" s="2">
        <f t="shared" si="5"/>
        <v>9300</v>
      </c>
      <c r="AQ31" s="2">
        <v>38.183</v>
      </c>
      <c r="AR31" s="2">
        <v>63.868000000000002</v>
      </c>
      <c r="AS31" s="2">
        <v>64.808000000000007</v>
      </c>
      <c r="AT31" s="2">
        <v>91.399000000000001</v>
      </c>
      <c r="AU31" s="2">
        <v>143.71100000000001</v>
      </c>
      <c r="AV31" s="2">
        <v>230.19300000000001</v>
      </c>
      <c r="AW31" s="2">
        <v>256.07900000000001</v>
      </c>
      <c r="AX31" s="2">
        <v>332.66699999999997</v>
      </c>
      <c r="AY31" s="2">
        <v>390.3</v>
      </c>
      <c r="AZ31" s="2">
        <v>517.20000000000005</v>
      </c>
      <c r="BA31" s="2">
        <v>789.4</v>
      </c>
      <c r="BB31" s="2">
        <v>1328.7</v>
      </c>
      <c r="BC31" s="2">
        <v>2198.4</v>
      </c>
      <c r="BD31" s="2">
        <v>2539.1999999999998</v>
      </c>
      <c r="BE31" s="2">
        <v>2731.5</v>
      </c>
      <c r="BF31" s="2">
        <v>1947</v>
      </c>
      <c r="BG31" s="2">
        <v>3114.3</v>
      </c>
      <c r="BH31" s="2">
        <v>3825.2</v>
      </c>
      <c r="BI31" s="2">
        <v>2699.6</v>
      </c>
      <c r="BJ31" s="2">
        <v>3112</v>
      </c>
      <c r="BK31" s="2">
        <v>3090</v>
      </c>
      <c r="BL31" s="2">
        <v>3734</v>
      </c>
      <c r="BM31" s="2">
        <v>4072</v>
      </c>
      <c r="BN31" s="2">
        <v>4610</v>
      </c>
      <c r="BO31" s="2">
        <v>5896</v>
      </c>
      <c r="BP31" s="2">
        <v>5243</v>
      </c>
      <c r="BQ31" s="2">
        <v>5768</v>
      </c>
      <c r="BR31" s="2">
        <v>7030</v>
      </c>
      <c r="BS31" s="2">
        <v>7266</v>
      </c>
      <c r="BT31" s="2">
        <v>7226</v>
      </c>
      <c r="BU31" s="2">
        <v>10921</v>
      </c>
      <c r="BV31" s="2">
        <v>10977</v>
      </c>
      <c r="BW31" s="6">
        <v>9894</v>
      </c>
      <c r="BX31" s="2">
        <v>11886</v>
      </c>
      <c r="BY31" s="2">
        <v>12500</v>
      </c>
      <c r="BZ31" s="2">
        <v>12704</v>
      </c>
      <c r="CA31" s="2">
        <v>14883</v>
      </c>
      <c r="CB31" s="2">
        <v>17282</v>
      </c>
      <c r="CC31" s="2">
        <v>16860</v>
      </c>
      <c r="CD31" s="2">
        <v>16956</v>
      </c>
      <c r="CE31" s="2">
        <v>19498</v>
      </c>
      <c r="CF31" s="2">
        <v>22505</v>
      </c>
      <c r="CG31" s="2">
        <f>SUM(AG31:AJ31)</f>
        <v>26902</v>
      </c>
      <c r="CH31" s="2">
        <f>SUM(AK31:AN31)</f>
        <v>34225</v>
      </c>
      <c r="CI31" s="2">
        <f>+CI30*0.1</f>
        <v>37800</v>
      </c>
      <c r="CJ31" s="2">
        <f>+CJ30*0.4</f>
        <v>136080</v>
      </c>
      <c r="CK31" s="2">
        <f>+CK30*0.5</f>
        <v>153090</v>
      </c>
      <c r="CL31" s="2">
        <f>+CL30*0.5</f>
        <v>107163</v>
      </c>
      <c r="CM31" s="2">
        <f t="shared" ref="CM31:CO31" si="6">+CM30*0.5</f>
        <v>96446.7</v>
      </c>
      <c r="CN31" s="2">
        <f t="shared" si="6"/>
        <v>86802.03</v>
      </c>
      <c r="CO31" s="2">
        <f t="shared" si="6"/>
        <v>78121.827000000005</v>
      </c>
    </row>
    <row r="32" spans="2:127" s="2" customFormat="1" ht="13" x14ac:dyDescent="0.3">
      <c r="B32" s="2" t="s">
        <v>8</v>
      </c>
      <c r="C32" s="6">
        <f t="shared" ref="C32:D32" si="7">+C30-C31</f>
        <v>3747</v>
      </c>
      <c r="D32" s="6">
        <f t="shared" si="7"/>
        <v>4270</v>
      </c>
      <c r="E32" s="6">
        <f t="shared" ref="E32:H32" si="8">+E30-E31</f>
        <v>4615</v>
      </c>
      <c r="F32" s="6">
        <f t="shared" si="8"/>
        <v>2864</v>
      </c>
      <c r="G32" s="6">
        <f t="shared" si="8"/>
        <v>1828</v>
      </c>
      <c r="H32" s="6">
        <f t="shared" si="8"/>
        <v>1395</v>
      </c>
      <c r="I32" s="6">
        <f t="shared" ref="I32:L32" si="9">+I30-I31</f>
        <v>1366</v>
      </c>
      <c r="J32" s="6">
        <f t="shared" si="9"/>
        <v>1355</v>
      </c>
      <c r="K32" s="6">
        <f t="shared" si="9"/>
        <v>1763</v>
      </c>
      <c r="L32" s="6">
        <f t="shared" si="9"/>
        <v>2068</v>
      </c>
      <c r="M32" s="6">
        <f t="shared" ref="M32:N32" si="10">+M30-M31</f>
        <v>1736</v>
      </c>
      <c r="N32" s="6">
        <f t="shared" si="10"/>
        <v>1649</v>
      </c>
      <c r="O32" s="6">
        <f t="shared" ref="O32:P32" si="11">+O30-O31</f>
        <v>3126</v>
      </c>
      <c r="P32" s="6">
        <f t="shared" si="11"/>
        <v>3912</v>
      </c>
      <c r="Q32" s="6">
        <f t="shared" ref="Q32:R32" si="12">+Q30-Q31</f>
        <v>3565</v>
      </c>
      <c r="R32" s="6">
        <f t="shared" si="12"/>
        <v>3676</v>
      </c>
      <c r="S32" s="6">
        <f t="shared" ref="S32" si="13">+S30-S31</f>
        <v>4035</v>
      </c>
      <c r="T32" s="6">
        <f t="shared" ref="T32:AB32" si="14">+T30-T31</f>
        <v>2622</v>
      </c>
      <c r="U32" s="6">
        <f t="shared" si="14"/>
        <v>893</v>
      </c>
      <c r="V32" s="10">
        <f t="shared" si="14"/>
        <v>-1206</v>
      </c>
      <c r="W32" s="10">
        <f t="shared" si="14"/>
        <v>-668</v>
      </c>
      <c r="X32" s="10">
        <f t="shared" si="14"/>
        <v>-435</v>
      </c>
      <c r="Y32" s="10">
        <f t="shared" si="14"/>
        <v>-35</v>
      </c>
      <c r="Z32" s="6">
        <f t="shared" si="14"/>
        <v>1079</v>
      </c>
      <c r="AA32" s="6">
        <f t="shared" si="14"/>
        <v>1832</v>
      </c>
      <c r="AB32" s="6">
        <f t="shared" si="14"/>
        <v>2737</v>
      </c>
      <c r="AC32" s="2">
        <f t="shared" ref="AC32" si="15">+AC30-AC31</f>
        <v>3348</v>
      </c>
      <c r="AD32" s="2">
        <f t="shared" ref="AD32:AI32" si="16">+AD30-AD31</f>
        <v>2963</v>
      </c>
      <c r="AE32" s="2">
        <f t="shared" si="16"/>
        <v>3508</v>
      </c>
      <c r="AF32" s="2">
        <f t="shared" si="16"/>
        <v>5054</v>
      </c>
      <c r="AG32" s="2">
        <f t="shared" si="16"/>
        <v>7646</v>
      </c>
      <c r="AH32" s="2">
        <f t="shared" si="16"/>
        <v>17755</v>
      </c>
      <c r="AI32" s="2">
        <f t="shared" si="16"/>
        <v>35056</v>
      </c>
      <c r="AJ32" s="2">
        <f>+AJ30*0.86</f>
        <v>51600</v>
      </c>
      <c r="AK32" s="2">
        <f>+AK30*0.87</f>
        <v>54375</v>
      </c>
      <c r="AL32" s="2">
        <f>+AL30*0.88</f>
        <v>59400</v>
      </c>
      <c r="AM32" s="2">
        <f>+AM30*0.88</f>
        <v>63800</v>
      </c>
      <c r="AN32" s="2">
        <f>+AN30*0.88</f>
        <v>68200</v>
      </c>
      <c r="AQ32" s="2">
        <f t="shared" ref="AQ32" si="17">+AQ30-AQ31</f>
        <v>49.172000000000004</v>
      </c>
      <c r="AR32" s="2">
        <f t="shared" ref="AR32" si="18">+AR30-AR31</f>
        <v>12.014000000000003</v>
      </c>
      <c r="AS32" s="2">
        <f t="shared" ref="AS32" si="19">+AS30-AS31</f>
        <v>-15.943000000000005</v>
      </c>
      <c r="AT32" s="2">
        <f t="shared" ref="AT32" si="20">+AT30-AT31</f>
        <v>-0.2120000000000033</v>
      </c>
      <c r="AU32" s="2">
        <f t="shared" ref="AU32" si="21">+AU30-AU31</f>
        <v>156.78899999999999</v>
      </c>
      <c r="AV32" s="2">
        <f t="shared" ref="AV32:AW32" si="22">+AV30-AV31</f>
        <v>216.23099999999997</v>
      </c>
      <c r="AW32" s="2">
        <f t="shared" si="22"/>
        <v>77.260999999999967</v>
      </c>
      <c r="AX32" s="2">
        <f t="shared" ref="AX32:BT32" si="23">+AX30-AX31</f>
        <v>92.69500000000005</v>
      </c>
      <c r="AY32" s="2">
        <f t="shared" si="23"/>
        <v>116</v>
      </c>
      <c r="AZ32" s="2">
        <f t="shared" si="23"/>
        <v>311.09999999999991</v>
      </c>
      <c r="BA32" s="2">
        <f t="shared" si="23"/>
        <v>839.19999999999993</v>
      </c>
      <c r="BB32" s="2">
        <f t="shared" si="23"/>
        <v>1623.9999999999998</v>
      </c>
      <c r="BC32" s="2">
        <f t="shared" si="23"/>
        <v>1455.4</v>
      </c>
      <c r="BD32" s="2">
        <f t="shared" si="23"/>
        <v>976.30000000000018</v>
      </c>
      <c r="BE32" s="2">
        <f t="shared" si="23"/>
        <v>280.40000000000009</v>
      </c>
      <c r="BF32" s="2">
        <f t="shared" si="23"/>
        <v>628.09999999999991</v>
      </c>
      <c r="BG32" s="2">
        <f t="shared" si="23"/>
        <v>3248.0999999999995</v>
      </c>
      <c r="BH32" s="2">
        <f t="shared" si="23"/>
        <v>110.70000000000027</v>
      </c>
      <c r="BI32" s="2">
        <f t="shared" si="23"/>
        <v>-110.59999999999991</v>
      </c>
      <c r="BJ32" s="2">
        <f t="shared" si="23"/>
        <v>-21</v>
      </c>
      <c r="BK32" s="2">
        <f t="shared" si="23"/>
        <v>1314</v>
      </c>
      <c r="BL32" s="2">
        <f t="shared" si="23"/>
        <v>1146</v>
      </c>
      <c r="BM32" s="2">
        <f t="shared" si="23"/>
        <v>1200</v>
      </c>
      <c r="BN32" s="2">
        <f t="shared" si="23"/>
        <v>1078</v>
      </c>
      <c r="BO32" s="2">
        <f t="shared" si="23"/>
        <v>-55</v>
      </c>
      <c r="BP32" s="2">
        <f t="shared" si="23"/>
        <v>-440</v>
      </c>
      <c r="BQ32" s="2">
        <f t="shared" si="23"/>
        <v>2714</v>
      </c>
      <c r="BR32" s="2">
        <f t="shared" si="23"/>
        <v>1758</v>
      </c>
      <c r="BS32" s="2">
        <f t="shared" si="23"/>
        <v>968</v>
      </c>
      <c r="BT32" s="2">
        <f t="shared" si="23"/>
        <v>1847</v>
      </c>
      <c r="BU32" s="2">
        <f t="shared" ref="BU32:CD32" si="24">+BU30-BU31</f>
        <v>5437</v>
      </c>
      <c r="BV32" s="2">
        <f t="shared" si="24"/>
        <v>5215</v>
      </c>
      <c r="BW32" s="2">
        <f t="shared" si="24"/>
        <v>2505</v>
      </c>
      <c r="BX32" s="2">
        <f t="shared" si="24"/>
        <v>8436</v>
      </c>
      <c r="BY32" s="2">
        <f t="shared" si="24"/>
        <v>17891</v>
      </c>
      <c r="BZ32" s="2">
        <f t="shared" si="24"/>
        <v>10702</v>
      </c>
      <c r="CA32" s="2">
        <f t="shared" si="24"/>
        <v>6552</v>
      </c>
      <c r="CB32" s="2">
        <f t="shared" si="24"/>
        <v>10423</v>
      </c>
      <c r="CC32" s="2">
        <f t="shared" si="24"/>
        <v>13898</v>
      </c>
      <c r="CD32" s="2">
        <f t="shared" si="24"/>
        <v>-1416</v>
      </c>
      <c r="CE32" s="2">
        <v>5613</v>
      </c>
      <c r="CF32" s="2">
        <f>+CF30-CF31</f>
        <v>14873</v>
      </c>
      <c r="CG32" s="2">
        <f>+CG30-CG31</f>
        <v>112057</v>
      </c>
      <c r="CH32" s="2">
        <f>+CH30-CH31</f>
        <v>245775</v>
      </c>
      <c r="CI32" s="2">
        <f t="shared" ref="CI32:CO32" si="25">+CI30-CI31</f>
        <v>340200</v>
      </c>
      <c r="CJ32" s="2">
        <f t="shared" si="25"/>
        <v>204120</v>
      </c>
      <c r="CK32" s="2">
        <f t="shared" si="25"/>
        <v>153090</v>
      </c>
      <c r="CL32" s="2">
        <f t="shared" si="25"/>
        <v>107163</v>
      </c>
      <c r="CM32" s="2">
        <f t="shared" si="25"/>
        <v>96446.7</v>
      </c>
      <c r="CN32" s="2">
        <f t="shared" si="25"/>
        <v>86802.03</v>
      </c>
      <c r="CO32" s="2">
        <f t="shared" si="25"/>
        <v>78121.827000000005</v>
      </c>
    </row>
    <row r="33" spans="2:135" s="2" customFormat="1" ht="13" x14ac:dyDescent="0.3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10"/>
      <c r="W33" s="10"/>
      <c r="X33" s="10"/>
      <c r="Y33" s="10"/>
      <c r="Z33" s="6"/>
      <c r="AA33" s="6"/>
      <c r="AB33" s="6"/>
      <c r="AC33" s="6"/>
      <c r="BW33" s="6"/>
    </row>
    <row r="34" spans="2:135" s="13" customFormat="1" ht="13" x14ac:dyDescent="0.3">
      <c r="B34" s="13" t="s">
        <v>36</v>
      </c>
      <c r="C34" s="14"/>
      <c r="D34" s="14"/>
      <c r="E34" s="14"/>
      <c r="F34" s="14"/>
      <c r="G34" s="14"/>
      <c r="H34" s="14"/>
      <c r="I34" s="14">
        <f t="shared" ref="I34:L34" si="26">+I76</f>
        <v>1296</v>
      </c>
      <c r="J34" s="14">
        <f t="shared" si="26"/>
        <v>1365</v>
      </c>
      <c r="K34" s="14">
        <f t="shared" si="26"/>
        <v>1422</v>
      </c>
      <c r="L34" s="14">
        <f t="shared" si="26"/>
        <v>1567</v>
      </c>
      <c r="M34" s="14">
        <f t="shared" ref="M34:P34" si="27">+M76</f>
        <v>1487</v>
      </c>
      <c r="N34" s="14">
        <f t="shared" si="27"/>
        <v>1549</v>
      </c>
      <c r="O34" s="14">
        <f t="shared" si="27"/>
        <v>1557</v>
      </c>
      <c r="P34" s="14">
        <f t="shared" si="27"/>
        <v>1621</v>
      </c>
      <c r="Q34" s="14">
        <f t="shared" ref="Q34:T34" si="28">+Q76</f>
        <v>1671</v>
      </c>
      <c r="R34" s="14">
        <f t="shared" si="28"/>
        <v>1742</v>
      </c>
      <c r="S34" s="14">
        <f t="shared" si="28"/>
        <v>1821</v>
      </c>
      <c r="T34" s="14">
        <f t="shared" si="28"/>
        <v>1882</v>
      </c>
      <c r="U34" s="14">
        <f t="shared" ref="U34:X34" si="29">+U76</f>
        <v>1921</v>
      </c>
      <c r="V34" s="14">
        <f t="shared" si="29"/>
        <v>1942</v>
      </c>
      <c r="W34" s="14">
        <f t="shared" si="29"/>
        <v>1956</v>
      </c>
      <c r="X34" s="14">
        <f t="shared" si="29"/>
        <v>1937</v>
      </c>
      <c r="Y34" s="14">
        <f>+Y76</f>
        <v>1915</v>
      </c>
      <c r="Z34" s="14">
        <f>+Z76</f>
        <v>1924</v>
      </c>
      <c r="AA34" s="14">
        <f>+AA76</f>
        <v>1955</v>
      </c>
      <c r="AB34" s="14">
        <f t="shared" ref="AB34:AE34" si="30">+AB76</f>
        <v>1986</v>
      </c>
      <c r="AC34" s="14">
        <f t="shared" si="30"/>
        <v>2030</v>
      </c>
      <c r="AD34" s="14">
        <f t="shared" si="30"/>
        <v>2079</v>
      </c>
      <c r="AE34" s="14">
        <f t="shared" si="30"/>
        <v>2094</v>
      </c>
      <c r="AF34" s="14">
        <f t="shared" ref="AF34:AI34" si="31">+AF76</f>
        <v>2149</v>
      </c>
      <c r="AG34" s="14">
        <f t="shared" si="31"/>
        <v>2212</v>
      </c>
      <c r="AH34" s="14">
        <f t="shared" si="31"/>
        <v>2286</v>
      </c>
      <c r="AI34" s="14">
        <f t="shared" si="31"/>
        <v>2364</v>
      </c>
      <c r="BW34" s="14"/>
    </row>
    <row r="35" spans="2:135" s="13" customFormat="1" ht="13" x14ac:dyDescent="0.3">
      <c r="B35" s="13" t="s">
        <v>40</v>
      </c>
      <c r="C35" s="14"/>
      <c r="D35" s="14"/>
      <c r="E35" s="14"/>
      <c r="F35" s="14"/>
      <c r="G35" s="14"/>
      <c r="H35" s="14"/>
      <c r="I35" s="14">
        <f t="shared" ref="I35" si="32">+I32+I34</f>
        <v>2662</v>
      </c>
      <c r="J35" s="14">
        <f t="shared" ref="J35" si="33">+J32+J34</f>
        <v>2720</v>
      </c>
      <c r="K35" s="14">
        <f t="shared" ref="K35" si="34">+K32+K34</f>
        <v>3185</v>
      </c>
      <c r="L35" s="14">
        <f t="shared" ref="L35" si="35">+L32+L34</f>
        <v>3635</v>
      </c>
      <c r="M35" s="14">
        <f t="shared" ref="M35" si="36">+M32+M34</f>
        <v>3223</v>
      </c>
      <c r="N35" s="14">
        <f t="shared" ref="N35" si="37">+N32+N34</f>
        <v>3198</v>
      </c>
      <c r="O35" s="14">
        <f t="shared" ref="O35" si="38">+O32+O34</f>
        <v>4683</v>
      </c>
      <c r="P35" s="14">
        <f t="shared" ref="P35" si="39">+P32+P34</f>
        <v>5533</v>
      </c>
      <c r="Q35" s="14">
        <f t="shared" ref="Q35" si="40">+Q32+Q34</f>
        <v>5236</v>
      </c>
      <c r="R35" s="14">
        <f t="shared" ref="R35" si="41">+R32+R34</f>
        <v>5418</v>
      </c>
      <c r="S35" s="14">
        <f t="shared" ref="S35" si="42">+S32+S34</f>
        <v>5856</v>
      </c>
      <c r="T35" s="14">
        <f t="shared" ref="T35" si="43">+T32+T34</f>
        <v>4504</v>
      </c>
      <c r="U35" s="14">
        <f t="shared" ref="U35:X35" si="44">+U32+U34</f>
        <v>2814</v>
      </c>
      <c r="V35" s="14">
        <f t="shared" si="44"/>
        <v>736</v>
      </c>
      <c r="W35" s="14">
        <f t="shared" si="44"/>
        <v>1288</v>
      </c>
      <c r="X35" s="14">
        <f t="shared" si="44"/>
        <v>1502</v>
      </c>
      <c r="Y35" s="14">
        <f>+Y32+Y34</f>
        <v>1880</v>
      </c>
      <c r="Z35" s="14">
        <f>+Z32+Z34</f>
        <v>3003</v>
      </c>
      <c r="AA35" s="14">
        <f>+AA32+AA34</f>
        <v>3787</v>
      </c>
      <c r="AB35" s="14">
        <f t="shared" ref="AB35:AE35" si="45">+AB32+AB34</f>
        <v>4723</v>
      </c>
      <c r="AC35" s="14">
        <f t="shared" si="45"/>
        <v>5378</v>
      </c>
      <c r="AD35" s="14">
        <f t="shared" si="45"/>
        <v>5042</v>
      </c>
      <c r="AE35" s="14">
        <f t="shared" si="45"/>
        <v>5602</v>
      </c>
      <c r="AF35" s="14">
        <f t="shared" ref="AF35:AI35" si="46">+AF32+AF34</f>
        <v>7203</v>
      </c>
      <c r="AG35" s="14">
        <f t="shared" si="46"/>
        <v>9858</v>
      </c>
      <c r="AH35" s="14">
        <f t="shared" si="46"/>
        <v>20041</v>
      </c>
      <c r="AI35" s="14">
        <f t="shared" si="46"/>
        <v>37420</v>
      </c>
      <c r="BW35" s="14"/>
    </row>
    <row r="36" spans="2:135" s="13" customFormat="1" ht="13" x14ac:dyDescent="0.3">
      <c r="B36" s="13" t="s">
        <v>31</v>
      </c>
      <c r="C36" s="14"/>
      <c r="D36" s="14"/>
      <c r="E36" s="14"/>
      <c r="F36" s="14"/>
      <c r="G36" s="14"/>
      <c r="H36" s="14"/>
      <c r="I36" s="15">
        <f t="shared" ref="I36" si="47">+I35/I30</f>
        <v>0.51749611197511669</v>
      </c>
      <c r="J36" s="15">
        <f t="shared" ref="J36" si="48">+J35/J30</f>
        <v>0.5670210548259329</v>
      </c>
      <c r="K36" s="15">
        <f t="shared" ref="K36" si="49">+K35/K30</f>
        <v>0.58569326958440604</v>
      </c>
      <c r="L36" s="15">
        <f t="shared" ref="L36" si="50">+L35/L30</f>
        <v>0.60023117569352713</v>
      </c>
      <c r="M36" s="15">
        <f t="shared" ref="M36" si="51">+M35/M30</f>
        <v>0.55828858479126975</v>
      </c>
      <c r="N36" s="15">
        <f t="shared" ref="N36" si="52">+N35/N30</f>
        <v>0.51282873636946757</v>
      </c>
      <c r="O36" s="15">
        <f t="shared" ref="O36" si="53">+O35/O30</f>
        <v>0.63096200485044462</v>
      </c>
      <c r="P36" s="15">
        <f t="shared" ref="P36" si="54">+P35/P30</f>
        <v>0.66872129562484894</v>
      </c>
      <c r="Q36" s="15">
        <f t="shared" ref="Q36" si="55">+Q35/Q30</f>
        <v>0.68114999349551186</v>
      </c>
      <c r="R36" s="15">
        <f t="shared" ref="R36" si="56">+R35/R30</f>
        <v>0.69586437194965323</v>
      </c>
      <c r="S36" s="15">
        <f t="shared" ref="S36" si="57">+S35/S30</f>
        <v>0.67762092108308258</v>
      </c>
      <c r="T36" s="15">
        <f t="shared" ref="T36" si="58">+T35/T30</f>
        <v>0.67800692458226708</v>
      </c>
      <c r="U36" s="15">
        <f t="shared" ref="U36:X36" si="59">+U35/U30</f>
        <v>0.68886168910648715</v>
      </c>
      <c r="V36" s="15">
        <f t="shared" si="59"/>
        <v>0.19929596533983213</v>
      </c>
      <c r="W36" s="15">
        <f t="shared" si="59"/>
        <v>0.34328358208955223</v>
      </c>
      <c r="X36" s="15">
        <f t="shared" si="59"/>
        <v>0.37456359102244391</v>
      </c>
      <c r="Y36" s="15">
        <f>+Y35/Y30</f>
        <v>0.3977994075327973</v>
      </c>
      <c r="Z36" s="15">
        <f>+Z35/Z30</f>
        <v>0.515625</v>
      </c>
      <c r="AA36" s="15">
        <f>+AA35/AA30</f>
        <v>0.55601233299075026</v>
      </c>
      <c r="AB36" s="15">
        <f t="shared" ref="AB36:AE36" si="60">+AB35/AB30</f>
        <v>0.60941935483870968</v>
      </c>
      <c r="AC36" s="15">
        <f t="shared" si="60"/>
        <v>0.61752210357101844</v>
      </c>
      <c r="AD36" s="15">
        <f t="shared" si="60"/>
        <v>0.6261020737613312</v>
      </c>
      <c r="AE36" s="15">
        <f t="shared" si="60"/>
        <v>0.60230082786797123</v>
      </c>
      <c r="AF36" s="15">
        <f t="shared" ref="AF36:AI36" si="61">+AF35/AF30</f>
        <v>0.63658859920459565</v>
      </c>
      <c r="AG36" s="15">
        <f t="shared" si="61"/>
        <v>0.72256835006963283</v>
      </c>
      <c r="AH36" s="15">
        <f t="shared" si="61"/>
        <v>0.8399413243922883</v>
      </c>
      <c r="AI36" s="15">
        <f t="shared" si="61"/>
        <v>0.9026437668853724</v>
      </c>
      <c r="BW36" s="14"/>
    </row>
    <row r="37" spans="2:135" s="2" customFormat="1" ht="13" x14ac:dyDescent="0.3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10"/>
      <c r="W37" s="10"/>
      <c r="X37" s="10"/>
      <c r="Y37" s="10"/>
      <c r="Z37" s="6"/>
      <c r="AA37" s="6"/>
      <c r="AB37" s="6"/>
      <c r="AC37" s="6"/>
      <c r="BW37" s="6"/>
    </row>
    <row r="38" spans="2:135" s="2" customFormat="1" x14ac:dyDescent="0.25">
      <c r="B38" s="2" t="s">
        <v>12</v>
      </c>
      <c r="C38" s="6">
        <v>448</v>
      </c>
      <c r="D38" s="6">
        <v>523</v>
      </c>
      <c r="E38" s="6">
        <v>611</v>
      </c>
      <c r="F38" s="6">
        <v>601</v>
      </c>
      <c r="G38" s="6">
        <v>606</v>
      </c>
      <c r="H38" s="6">
        <f>2441-G38-F38-E38</f>
        <v>623</v>
      </c>
      <c r="I38" s="6">
        <v>640</v>
      </c>
      <c r="J38" s="6">
        <v>681</v>
      </c>
      <c r="K38" s="6">
        <v>649</v>
      </c>
      <c r="L38" s="6">
        <f>2600-K38-J38-I38</f>
        <v>630</v>
      </c>
      <c r="M38" s="6">
        <v>647</v>
      </c>
      <c r="N38" s="6">
        <v>641</v>
      </c>
      <c r="O38" s="6">
        <v>670</v>
      </c>
      <c r="P38" s="6">
        <f>2663-O38-N38-M38</f>
        <v>705</v>
      </c>
      <c r="Q38" s="6">
        <v>712</v>
      </c>
      <c r="R38" s="6">
        <v>792</v>
      </c>
      <c r="S38" s="6">
        <v>773</v>
      </c>
      <c r="T38" s="6">
        <v>839</v>
      </c>
      <c r="U38" s="6">
        <v>849</v>
      </c>
      <c r="V38" s="6">
        <v>788</v>
      </c>
      <c r="W38" s="6">
        <v>758</v>
      </c>
      <c r="X38" s="6">
        <v>719</v>
      </c>
      <c r="Y38" s="6">
        <v>845</v>
      </c>
      <c r="Z38" s="6">
        <v>832</v>
      </c>
      <c r="AA38" s="6">
        <v>850</v>
      </c>
      <c r="AB38" s="6">
        <f>3430-AA38-Z38-Y38</f>
        <v>903</v>
      </c>
      <c r="AC38" s="2">
        <v>888</v>
      </c>
      <c r="AD38" s="2">
        <v>898</v>
      </c>
      <c r="AE38" s="2">
        <v>965</v>
      </c>
      <c r="AF38" s="2">
        <f t="shared" ref="AF38:AF39" si="62">+CF38-AE38-AD38-AC38</f>
        <v>1047</v>
      </c>
      <c r="AG38" s="2">
        <v>1171</v>
      </c>
      <c r="AH38" s="2">
        <v>1250</v>
      </c>
      <c r="AI38" s="2">
        <v>1316</v>
      </c>
      <c r="AJ38" s="2">
        <f>+AI38</f>
        <v>1316</v>
      </c>
      <c r="AK38" s="2">
        <f t="shared" ref="AK38:AN38" si="63">+AJ38</f>
        <v>1316</v>
      </c>
      <c r="AL38" s="2">
        <f t="shared" si="63"/>
        <v>1316</v>
      </c>
      <c r="AM38" s="2">
        <f t="shared" si="63"/>
        <v>1316</v>
      </c>
      <c r="AN38" s="2">
        <f t="shared" si="63"/>
        <v>1316</v>
      </c>
      <c r="AQ38" s="2">
        <v>2.6880000000000002</v>
      </c>
      <c r="AR38" s="2">
        <v>6.569</v>
      </c>
      <c r="AS38" s="2">
        <v>2.8929999999999998</v>
      </c>
      <c r="AT38" s="2">
        <v>5.3049999999999997</v>
      </c>
      <c r="AU38" s="2">
        <v>9.3109999999999999</v>
      </c>
      <c r="AV38" s="2">
        <v>21.417000000000002</v>
      </c>
      <c r="AW38" s="2">
        <v>35.649000000000001</v>
      </c>
      <c r="AX38" s="2">
        <v>35.808999999999997</v>
      </c>
      <c r="AY38" s="2">
        <v>47.6</v>
      </c>
      <c r="AZ38" s="2">
        <v>57.3</v>
      </c>
      <c r="BA38" s="2">
        <v>83.4</v>
      </c>
      <c r="BB38" s="2">
        <v>128.80000000000001</v>
      </c>
      <c r="BC38" s="2">
        <v>191.9</v>
      </c>
      <c r="BD38" s="2">
        <v>208.9</v>
      </c>
      <c r="BE38" s="2">
        <v>271.8</v>
      </c>
      <c r="BF38" s="2">
        <v>320.5</v>
      </c>
      <c r="BG38" s="2">
        <v>427</v>
      </c>
      <c r="BH38" s="2">
        <v>489.5</v>
      </c>
      <c r="BI38" s="2">
        <v>561.29999999999995</v>
      </c>
      <c r="BJ38" s="2">
        <v>656.4</v>
      </c>
      <c r="BK38" s="2">
        <v>755</v>
      </c>
      <c r="BL38" s="2">
        <v>604</v>
      </c>
      <c r="BM38" s="2">
        <v>656</v>
      </c>
      <c r="BN38" s="2">
        <v>805</v>
      </c>
      <c r="BO38" s="2">
        <v>680</v>
      </c>
      <c r="BP38" s="2">
        <v>647</v>
      </c>
      <c r="BQ38" s="2">
        <v>624</v>
      </c>
      <c r="BR38" s="2">
        <v>791</v>
      </c>
      <c r="BS38" s="2">
        <v>918</v>
      </c>
      <c r="BT38" s="2">
        <v>931</v>
      </c>
      <c r="BU38" s="2">
        <v>1371</v>
      </c>
      <c r="BV38" s="2">
        <v>1540</v>
      </c>
      <c r="BW38" s="6">
        <v>1617</v>
      </c>
      <c r="BX38" s="2">
        <v>1824</v>
      </c>
      <c r="BY38" s="2">
        <v>2141</v>
      </c>
      <c r="BZ38" s="2">
        <v>2441</v>
      </c>
      <c r="CA38" s="2">
        <v>2600</v>
      </c>
      <c r="CB38" s="2">
        <v>2663</v>
      </c>
      <c r="CC38" s="2">
        <v>3116</v>
      </c>
      <c r="CD38" s="2">
        <v>3114</v>
      </c>
      <c r="CE38" s="2">
        <v>3430</v>
      </c>
      <c r="CF38" s="2">
        <v>3798</v>
      </c>
      <c r="CG38" s="2">
        <f>SUM(AG38:AJ38)</f>
        <v>5053</v>
      </c>
      <c r="CH38" s="2">
        <f>SUM(AK38:AN38)</f>
        <v>5264</v>
      </c>
      <c r="CI38" s="2">
        <f>+CH38*1.03</f>
        <v>5421.92</v>
      </c>
      <c r="CJ38" s="2">
        <f t="shared" ref="CJ38:CO38" si="64">+CI38*1.03</f>
        <v>5584.5776000000005</v>
      </c>
      <c r="CK38" s="2">
        <f t="shared" si="64"/>
        <v>5752.1149280000009</v>
      </c>
      <c r="CL38" s="2">
        <f t="shared" si="64"/>
        <v>5924.6783758400006</v>
      </c>
      <c r="CM38" s="2">
        <f t="shared" si="64"/>
        <v>6102.4187271152005</v>
      </c>
      <c r="CN38" s="2">
        <f t="shared" si="64"/>
        <v>6285.491288928657</v>
      </c>
      <c r="CO38" s="2">
        <f t="shared" si="64"/>
        <v>6474.0560275965172</v>
      </c>
    </row>
    <row r="39" spans="2:135" s="2" customFormat="1" x14ac:dyDescent="0.25">
      <c r="B39" s="2" t="s">
        <v>13</v>
      </c>
      <c r="C39" s="6">
        <v>191</v>
      </c>
      <c r="D39" s="6">
        <v>196</v>
      </c>
      <c r="E39" s="6">
        <v>209</v>
      </c>
      <c r="F39" s="6">
        <v>209</v>
      </c>
      <c r="G39" s="6">
        <v>206</v>
      </c>
      <c r="H39" s="6">
        <f>836-G39-F39-E39</f>
        <v>212</v>
      </c>
      <c r="I39" s="6">
        <v>211</v>
      </c>
      <c r="J39" s="6">
        <v>223</v>
      </c>
      <c r="K39" s="6">
        <v>216</v>
      </c>
      <c r="L39" s="6">
        <f>881-K39-J39-I39</f>
        <v>231</v>
      </c>
      <c r="M39" s="6">
        <v>214</v>
      </c>
      <c r="N39" s="6">
        <v>214</v>
      </c>
      <c r="O39" s="6">
        <v>230</v>
      </c>
      <c r="P39" s="6">
        <f>894-O39-N39-M39</f>
        <v>236</v>
      </c>
      <c r="Q39" s="6">
        <v>259</v>
      </c>
      <c r="R39" s="6">
        <v>263</v>
      </c>
      <c r="S39" s="6">
        <v>264</v>
      </c>
      <c r="T39" s="6">
        <v>280</v>
      </c>
      <c r="U39" s="6">
        <v>251</v>
      </c>
      <c r="V39" s="6">
        <v>231</v>
      </c>
      <c r="W39" s="6">
        <v>219</v>
      </c>
      <c r="X39" s="6">
        <v>219</v>
      </c>
      <c r="Y39" s="6">
        <v>263</v>
      </c>
      <c r="Z39" s="6">
        <v>280</v>
      </c>
      <c r="AA39" s="6">
        <v>291</v>
      </c>
      <c r="AB39" s="6">
        <f>1129-AA39-Z39-Y39</f>
        <v>295</v>
      </c>
      <c r="AC39" s="2">
        <v>288</v>
      </c>
      <c r="AD39" s="2">
        <v>285</v>
      </c>
      <c r="AE39" s="2">
        <v>318</v>
      </c>
      <c r="AF39" s="2">
        <f t="shared" si="62"/>
        <v>314</v>
      </c>
      <c r="AG39" s="2">
        <v>337</v>
      </c>
      <c r="AH39" s="2">
        <v>344</v>
      </c>
      <c r="AI39" s="2">
        <v>407</v>
      </c>
      <c r="AJ39" s="2">
        <v>407</v>
      </c>
      <c r="AK39" s="2">
        <v>407</v>
      </c>
      <c r="AL39" s="2">
        <v>407</v>
      </c>
      <c r="AM39" s="2">
        <v>407</v>
      </c>
      <c r="AN39" s="2">
        <v>407</v>
      </c>
      <c r="AQ39" s="2">
        <v>9.0719999999999992</v>
      </c>
      <c r="AR39" s="2">
        <v>10.353</v>
      </c>
      <c r="AS39" s="2">
        <v>9.7919999999999998</v>
      </c>
      <c r="AT39" s="2">
        <v>12.645</v>
      </c>
      <c r="AU39" s="2">
        <v>28.574000000000002</v>
      </c>
      <c r="AV39" s="2">
        <v>44.366</v>
      </c>
      <c r="AW39" s="2">
        <v>37.841999999999999</v>
      </c>
      <c r="AX39" s="2">
        <v>45.125</v>
      </c>
      <c r="AY39" s="2">
        <v>54.7</v>
      </c>
      <c r="AZ39" s="2">
        <v>87.9</v>
      </c>
      <c r="BA39" s="2">
        <v>135.69999999999999</v>
      </c>
      <c r="BB39" s="2">
        <v>198.7</v>
      </c>
      <c r="BC39" s="2">
        <v>305.3</v>
      </c>
      <c r="BD39" s="2">
        <v>370.9</v>
      </c>
      <c r="BE39" s="2">
        <v>467.9</v>
      </c>
      <c r="BF39" s="2">
        <v>276.89999999999998</v>
      </c>
      <c r="BG39" s="2">
        <v>438.5</v>
      </c>
      <c r="BH39" s="2">
        <v>524.1</v>
      </c>
      <c r="BI39" s="2">
        <v>332.3</v>
      </c>
      <c r="BJ39" s="2">
        <v>358.2</v>
      </c>
      <c r="BK39" s="2">
        <v>332</v>
      </c>
      <c r="BL39" s="2">
        <v>348</v>
      </c>
      <c r="BM39" s="2">
        <v>450</v>
      </c>
      <c r="BN39" s="2">
        <v>610</v>
      </c>
      <c r="BO39" s="2">
        <v>455</v>
      </c>
      <c r="BP39" s="2">
        <v>354</v>
      </c>
      <c r="BQ39" s="2">
        <v>528</v>
      </c>
      <c r="BR39" s="2">
        <v>592</v>
      </c>
      <c r="BS39" s="2">
        <v>620</v>
      </c>
      <c r="BT39" s="2">
        <v>562</v>
      </c>
      <c r="BU39" s="2">
        <v>707</v>
      </c>
      <c r="BV39" s="2">
        <v>719</v>
      </c>
      <c r="BW39" s="6">
        <v>659</v>
      </c>
      <c r="BX39" s="2">
        <v>743</v>
      </c>
      <c r="BY39" s="2">
        <v>813</v>
      </c>
      <c r="BZ39" s="2">
        <v>836</v>
      </c>
      <c r="CA39" s="2">
        <v>881</v>
      </c>
      <c r="CB39" s="2">
        <v>894</v>
      </c>
      <c r="CC39" s="2">
        <v>1066</v>
      </c>
      <c r="CD39" s="2">
        <v>920</v>
      </c>
      <c r="CE39" s="2">
        <v>1129</v>
      </c>
      <c r="CF39" s="2">
        <v>1205</v>
      </c>
      <c r="CG39" s="2">
        <f>SUM(AG39:AJ39)</f>
        <v>1495</v>
      </c>
      <c r="CH39" s="2">
        <f>SUM(AK39:AN39)</f>
        <v>1628</v>
      </c>
      <c r="CI39" s="2">
        <f>+CH39</f>
        <v>1628</v>
      </c>
      <c r="CJ39" s="2">
        <f t="shared" ref="CJ39:CO39" si="65">+CI39</f>
        <v>1628</v>
      </c>
      <c r="CK39" s="2">
        <f t="shared" si="65"/>
        <v>1628</v>
      </c>
      <c r="CL39" s="2">
        <f t="shared" si="65"/>
        <v>1628</v>
      </c>
      <c r="CM39" s="2">
        <f t="shared" si="65"/>
        <v>1628</v>
      </c>
      <c r="CN39" s="2">
        <f t="shared" si="65"/>
        <v>1628</v>
      </c>
      <c r="CO39" s="2">
        <f t="shared" si="65"/>
        <v>1628</v>
      </c>
    </row>
    <row r="40" spans="2:135" s="2" customFormat="1" x14ac:dyDescent="0.25">
      <c r="B40" s="2" t="s">
        <v>10</v>
      </c>
      <c r="C40" s="6">
        <f t="shared" ref="C40:D40" si="66">+C38+C39</f>
        <v>639</v>
      </c>
      <c r="D40" s="6">
        <f t="shared" si="66"/>
        <v>719</v>
      </c>
      <c r="E40" s="6">
        <f t="shared" ref="E40:F40" si="67">+E38+E39</f>
        <v>820</v>
      </c>
      <c r="F40" s="6">
        <f t="shared" si="67"/>
        <v>810</v>
      </c>
      <c r="G40" s="6">
        <f>+G38+G39</f>
        <v>812</v>
      </c>
      <c r="H40" s="6">
        <f t="shared" ref="H40" si="68">+H38+H39</f>
        <v>835</v>
      </c>
      <c r="I40" s="6">
        <f t="shared" ref="I40:L40" si="69">+I38+I39</f>
        <v>851</v>
      </c>
      <c r="J40" s="6">
        <f t="shared" si="69"/>
        <v>904</v>
      </c>
      <c r="K40" s="6">
        <f t="shared" si="69"/>
        <v>865</v>
      </c>
      <c r="L40" s="6">
        <f t="shared" si="69"/>
        <v>861</v>
      </c>
      <c r="M40" s="6">
        <f t="shared" ref="M40:N40" si="70">+M38+M39</f>
        <v>861</v>
      </c>
      <c r="N40" s="6">
        <f t="shared" si="70"/>
        <v>855</v>
      </c>
      <c r="O40" s="6">
        <f t="shared" ref="O40:P40" si="71">+O38+O39</f>
        <v>900</v>
      </c>
      <c r="P40" s="6">
        <f t="shared" si="71"/>
        <v>941</v>
      </c>
      <c r="Q40" s="6">
        <f t="shared" ref="Q40:R40" si="72">+Q38+Q39</f>
        <v>971</v>
      </c>
      <c r="R40" s="6">
        <f t="shared" si="72"/>
        <v>1055</v>
      </c>
      <c r="S40" s="6">
        <f t="shared" ref="S40" si="73">+S38+S39</f>
        <v>1037</v>
      </c>
      <c r="T40" s="6">
        <f t="shared" ref="T40:Z40" si="74">+T38+T39</f>
        <v>1119</v>
      </c>
      <c r="U40" s="6">
        <f t="shared" si="74"/>
        <v>1100</v>
      </c>
      <c r="V40" s="6">
        <f t="shared" si="74"/>
        <v>1019</v>
      </c>
      <c r="W40" s="6">
        <f t="shared" si="74"/>
        <v>977</v>
      </c>
      <c r="X40" s="6">
        <f t="shared" si="74"/>
        <v>938</v>
      </c>
      <c r="Y40" s="6">
        <f t="shared" si="74"/>
        <v>1108</v>
      </c>
      <c r="Z40" s="6">
        <f t="shared" si="74"/>
        <v>1112</v>
      </c>
      <c r="AA40" s="6">
        <f>+AA38+AA39</f>
        <v>1141</v>
      </c>
      <c r="AB40" s="6">
        <f t="shared" ref="AB40:AI40" si="75">+AB38+AB39</f>
        <v>1198</v>
      </c>
      <c r="AC40" s="6">
        <f t="shared" si="75"/>
        <v>1176</v>
      </c>
      <c r="AD40" s="6">
        <f t="shared" si="75"/>
        <v>1183</v>
      </c>
      <c r="AE40" s="6">
        <f t="shared" si="75"/>
        <v>1283</v>
      </c>
      <c r="AF40" s="6">
        <f t="shared" si="75"/>
        <v>1361</v>
      </c>
      <c r="AG40" s="6">
        <f t="shared" si="75"/>
        <v>1508</v>
      </c>
      <c r="AH40" s="6">
        <f t="shared" si="75"/>
        <v>1594</v>
      </c>
      <c r="AI40" s="6">
        <f t="shared" si="75"/>
        <v>1723</v>
      </c>
      <c r="AJ40" s="6">
        <f>+AJ38+AJ39</f>
        <v>1723</v>
      </c>
      <c r="AK40" s="6">
        <f t="shared" ref="AK40:AN40" si="76">+AK38+AK39</f>
        <v>1723</v>
      </c>
      <c r="AL40" s="6">
        <f t="shared" si="76"/>
        <v>1723</v>
      </c>
      <c r="AM40" s="6">
        <f t="shared" si="76"/>
        <v>1723</v>
      </c>
      <c r="AN40" s="6">
        <f t="shared" si="76"/>
        <v>1723</v>
      </c>
      <c r="AO40" s="6"/>
      <c r="AQ40" s="2">
        <f t="shared" ref="AQ40" si="77">+AQ39+AQ38</f>
        <v>11.76</v>
      </c>
      <c r="AR40" s="2">
        <f t="shared" ref="AR40" si="78">+AR39+AR38</f>
        <v>16.922000000000001</v>
      </c>
      <c r="AS40" s="2">
        <f t="shared" ref="AS40" si="79">+AS39+AS38</f>
        <v>12.684999999999999</v>
      </c>
      <c r="AT40" s="2">
        <f t="shared" ref="AT40" si="80">+AT39+AT38</f>
        <v>17.95</v>
      </c>
      <c r="AU40" s="2">
        <f t="shared" ref="AU40" si="81">+AU39+AU38</f>
        <v>37.885000000000005</v>
      </c>
      <c r="AV40" s="2">
        <f t="shared" ref="AV40" si="82">+AV39+AV38</f>
        <v>65.783000000000001</v>
      </c>
      <c r="AW40" s="2">
        <f t="shared" ref="AW40" si="83">+AW39+AW38</f>
        <v>73.491</v>
      </c>
      <c r="AX40" s="2">
        <f t="shared" ref="AX40" si="84">+AX39+AX38</f>
        <v>80.933999999999997</v>
      </c>
      <c r="AY40" s="2">
        <f t="shared" ref="AY40" si="85">+AY39+AY38</f>
        <v>102.30000000000001</v>
      </c>
      <c r="AZ40" s="2">
        <f t="shared" ref="AZ40" si="86">+AZ39+AZ38</f>
        <v>145.19999999999999</v>
      </c>
      <c r="BA40" s="2">
        <f t="shared" ref="BA40" si="87">+BA39+BA38</f>
        <v>219.1</v>
      </c>
      <c r="BB40" s="2">
        <f t="shared" ref="BB40" si="88">+BB39+BB38</f>
        <v>327.5</v>
      </c>
      <c r="BC40" s="2">
        <f>+BC39+BC38</f>
        <v>497.20000000000005</v>
      </c>
      <c r="BD40" s="2">
        <f>+BD39+BD38</f>
        <v>579.79999999999995</v>
      </c>
      <c r="BE40" s="2">
        <f>+BE39+BE38</f>
        <v>739.7</v>
      </c>
      <c r="BF40" s="2">
        <f t="shared" ref="BF40:BH40" si="89">+BF39+BF38</f>
        <v>597.4</v>
      </c>
      <c r="BG40" s="2">
        <f t="shared" si="89"/>
        <v>865.5</v>
      </c>
      <c r="BH40" s="2">
        <f t="shared" si="89"/>
        <v>1013.6</v>
      </c>
      <c r="BI40" s="2">
        <f t="shared" ref="BI40:BJ40" si="90">+BI39+BI38</f>
        <v>893.59999999999991</v>
      </c>
      <c r="BJ40" s="2">
        <f t="shared" si="90"/>
        <v>1014.5999999999999</v>
      </c>
      <c r="BK40" s="2">
        <f t="shared" ref="BK40:BL40" si="91">+BK39+BK38</f>
        <v>1087</v>
      </c>
      <c r="BL40" s="2">
        <f t="shared" si="91"/>
        <v>952</v>
      </c>
      <c r="BM40" s="2">
        <f t="shared" ref="BM40" si="92">+BM39+BM38</f>
        <v>1106</v>
      </c>
      <c r="BN40" s="2">
        <f t="shared" ref="BN40:BO40" si="93">+BN39+BN38</f>
        <v>1415</v>
      </c>
      <c r="BO40" s="2">
        <f t="shared" si="93"/>
        <v>1135</v>
      </c>
      <c r="BP40" s="2">
        <f t="shared" ref="BP40:BQ40" si="94">+BP39+BP38</f>
        <v>1001</v>
      </c>
      <c r="BQ40" s="2">
        <f t="shared" si="94"/>
        <v>1152</v>
      </c>
      <c r="BR40" s="2">
        <f t="shared" ref="BR40" si="95">+BR39+BR38</f>
        <v>1383</v>
      </c>
      <c r="BS40" s="2">
        <f t="shared" ref="BS40" si="96">+BS39+BS38</f>
        <v>1538</v>
      </c>
      <c r="BT40" s="2">
        <f t="shared" ref="BT40" si="97">+BT39+BT38</f>
        <v>1493</v>
      </c>
      <c r="BU40" s="2">
        <f t="shared" ref="BU40" si="98">+BU39+BU38</f>
        <v>2078</v>
      </c>
      <c r="BV40" s="2">
        <f t="shared" ref="BV40:BW40" si="99">+BV39+BV38</f>
        <v>2259</v>
      </c>
      <c r="BW40" s="2">
        <f t="shared" si="99"/>
        <v>2276</v>
      </c>
      <c r="BX40" s="2">
        <f t="shared" ref="BX40:CC40" si="100">+BX39+BX38</f>
        <v>2567</v>
      </c>
      <c r="BY40" s="2">
        <f t="shared" si="100"/>
        <v>2954</v>
      </c>
      <c r="BZ40" s="2">
        <f t="shared" si="100"/>
        <v>3277</v>
      </c>
      <c r="CA40" s="2">
        <f t="shared" si="100"/>
        <v>3481</v>
      </c>
      <c r="CB40" s="2">
        <f t="shared" si="100"/>
        <v>3557</v>
      </c>
      <c r="CC40" s="2">
        <f t="shared" si="100"/>
        <v>4182</v>
      </c>
      <c r="CD40" s="2">
        <f>+CD39+CD38</f>
        <v>4034</v>
      </c>
      <c r="CE40" s="2">
        <f t="shared" ref="CE40:CH40" si="101">+CE39+CE38</f>
        <v>4559</v>
      </c>
      <c r="CF40" s="2">
        <f t="shared" si="101"/>
        <v>5003</v>
      </c>
      <c r="CG40" s="2">
        <f t="shared" si="101"/>
        <v>6548</v>
      </c>
      <c r="CH40" s="2">
        <f t="shared" si="101"/>
        <v>6892</v>
      </c>
      <c r="CI40" s="2">
        <f t="shared" ref="CI40:CO40" si="102">+CI39+CI38</f>
        <v>7049.92</v>
      </c>
      <c r="CJ40" s="2">
        <f t="shared" si="102"/>
        <v>7212.5776000000005</v>
      </c>
      <c r="CK40" s="2">
        <f t="shared" si="102"/>
        <v>7380.1149280000009</v>
      </c>
      <c r="CL40" s="2">
        <f t="shared" si="102"/>
        <v>7552.6783758400006</v>
      </c>
      <c r="CM40" s="2">
        <f t="shared" si="102"/>
        <v>7730.4187271152005</v>
      </c>
      <c r="CN40" s="2">
        <f t="shared" si="102"/>
        <v>7913.491288928657</v>
      </c>
      <c r="CO40" s="2">
        <f t="shared" si="102"/>
        <v>8102.0560275965172</v>
      </c>
    </row>
    <row r="41" spans="2:135" s="2" customFormat="1" x14ac:dyDescent="0.25">
      <c r="B41" s="2" t="s">
        <v>11</v>
      </c>
      <c r="C41" s="6">
        <f t="shared" ref="C41:D41" si="103">+C32-C40</f>
        <v>3108</v>
      </c>
      <c r="D41" s="6">
        <f t="shared" si="103"/>
        <v>3551</v>
      </c>
      <c r="E41" s="6">
        <f t="shared" ref="E41:F41" si="104">+E32-E40</f>
        <v>3795</v>
      </c>
      <c r="F41" s="6">
        <f t="shared" si="104"/>
        <v>2054</v>
      </c>
      <c r="G41" s="6">
        <f>+G32-G40</f>
        <v>1016</v>
      </c>
      <c r="H41" s="6">
        <f t="shared" ref="H41" si="105">+H32-H40</f>
        <v>560</v>
      </c>
      <c r="I41" s="6">
        <f t="shared" ref="I41:L41" si="106">+I32-I40</f>
        <v>515</v>
      </c>
      <c r="J41" s="6">
        <f t="shared" si="106"/>
        <v>451</v>
      </c>
      <c r="K41" s="6">
        <f t="shared" si="106"/>
        <v>898</v>
      </c>
      <c r="L41" s="6">
        <f t="shared" si="106"/>
        <v>1207</v>
      </c>
      <c r="M41" s="6">
        <f t="shared" ref="M41:N41" si="107">+M32-M40</f>
        <v>875</v>
      </c>
      <c r="N41" s="6">
        <f t="shared" si="107"/>
        <v>794</v>
      </c>
      <c r="O41" s="6">
        <f t="shared" ref="O41:P41" si="108">+O32-O40</f>
        <v>2226</v>
      </c>
      <c r="P41" s="6">
        <f t="shared" si="108"/>
        <v>2971</v>
      </c>
      <c r="Q41" s="6">
        <f t="shared" ref="Q41:R41" si="109">+Q32-Q40</f>
        <v>2594</v>
      </c>
      <c r="R41" s="6">
        <f t="shared" si="109"/>
        <v>2621</v>
      </c>
      <c r="S41" s="6">
        <f t="shared" ref="S41" si="110">+S32-S40</f>
        <v>2998</v>
      </c>
      <c r="T41" s="6">
        <f t="shared" ref="T41:Z41" si="111">+T32-T40</f>
        <v>1503</v>
      </c>
      <c r="U41" s="6">
        <f t="shared" si="111"/>
        <v>-207</v>
      </c>
      <c r="V41" s="6">
        <f t="shared" si="111"/>
        <v>-2225</v>
      </c>
      <c r="W41" s="6">
        <f t="shared" si="111"/>
        <v>-1645</v>
      </c>
      <c r="X41" s="6">
        <f t="shared" si="111"/>
        <v>-1373</v>
      </c>
      <c r="Y41" s="6">
        <f t="shared" si="111"/>
        <v>-1143</v>
      </c>
      <c r="Z41" s="6">
        <f t="shared" si="111"/>
        <v>-33</v>
      </c>
      <c r="AA41" s="6">
        <f>+AA32-AA40</f>
        <v>691</v>
      </c>
      <c r="AB41" s="6">
        <f t="shared" ref="AB41:AI41" si="112">+AB32-AB40</f>
        <v>1539</v>
      </c>
      <c r="AC41" s="6">
        <f t="shared" si="112"/>
        <v>2172</v>
      </c>
      <c r="AD41" s="6">
        <f t="shared" si="112"/>
        <v>1780</v>
      </c>
      <c r="AE41" s="6">
        <f t="shared" si="112"/>
        <v>2225</v>
      </c>
      <c r="AF41" s="6">
        <f t="shared" si="112"/>
        <v>3693</v>
      </c>
      <c r="AG41" s="6">
        <f t="shared" si="112"/>
        <v>6138</v>
      </c>
      <c r="AH41" s="6">
        <f t="shared" si="112"/>
        <v>16161</v>
      </c>
      <c r="AI41" s="6">
        <f t="shared" si="112"/>
        <v>33333</v>
      </c>
      <c r="AJ41" s="6">
        <f>+AJ32-AJ40</f>
        <v>49877</v>
      </c>
      <c r="AK41" s="6">
        <f t="shared" ref="AK41:AN41" si="113">+AK32-AK40</f>
        <v>52652</v>
      </c>
      <c r="AL41" s="6">
        <f t="shared" si="113"/>
        <v>57677</v>
      </c>
      <c r="AM41" s="6">
        <f t="shared" si="113"/>
        <v>62077</v>
      </c>
      <c r="AN41" s="6">
        <f t="shared" si="113"/>
        <v>66477</v>
      </c>
      <c r="AO41" s="6"/>
      <c r="AQ41" s="2">
        <f t="shared" ref="AQ41" si="114">+AQ32-AQ40</f>
        <v>37.412000000000006</v>
      </c>
      <c r="AR41" s="2">
        <f t="shared" ref="AR41" si="115">+AR32-AR40</f>
        <v>-4.9079999999999977</v>
      </c>
      <c r="AS41" s="2">
        <f t="shared" ref="AS41" si="116">+AS32-AS40</f>
        <v>-28.628000000000004</v>
      </c>
      <c r="AT41" s="2">
        <f t="shared" ref="AT41" si="117">+AT32-AT40</f>
        <v>-18.162000000000003</v>
      </c>
      <c r="AU41" s="2">
        <f t="shared" ref="AU41" si="118">+AU32-AU40</f>
        <v>118.90399999999998</v>
      </c>
      <c r="AV41" s="2">
        <f t="shared" ref="AV41" si="119">+AV32-AV40</f>
        <v>150.44799999999998</v>
      </c>
      <c r="AW41" s="2">
        <f t="shared" ref="AW41" si="120">+AW32-AW40</f>
        <v>3.7699999999999676</v>
      </c>
      <c r="AX41" s="2">
        <f t="shared" ref="AX41" si="121">+AX32-AX40</f>
        <v>11.761000000000053</v>
      </c>
      <c r="AY41" s="2">
        <f t="shared" ref="AY41" si="122">+AY32-AY40</f>
        <v>13.699999999999989</v>
      </c>
      <c r="AZ41" s="2">
        <f t="shared" ref="AZ41" si="123">+AZ32-AZ40</f>
        <v>165.89999999999992</v>
      </c>
      <c r="BA41" s="2">
        <f t="shared" ref="BA41" si="124">+BA32-BA40</f>
        <v>620.09999999999991</v>
      </c>
      <c r="BB41" s="2">
        <f t="shared" ref="BB41" si="125">+BB32-BB40</f>
        <v>1296.4999999999998</v>
      </c>
      <c r="BC41" s="2">
        <f>+BC32-BC40</f>
        <v>958.2</v>
      </c>
      <c r="BD41" s="2">
        <f>+BD32-BD40</f>
        <v>396.50000000000023</v>
      </c>
      <c r="BE41" s="2">
        <f>+BE32-BE40</f>
        <v>-459.29999999999995</v>
      </c>
      <c r="BF41" s="2">
        <f t="shared" ref="BF41:BH41" si="126">+BF32-BF40</f>
        <v>30.699999999999932</v>
      </c>
      <c r="BG41" s="2">
        <f t="shared" si="126"/>
        <v>2382.5999999999995</v>
      </c>
      <c r="BH41" s="2">
        <f t="shared" si="126"/>
        <v>-902.89999999999975</v>
      </c>
      <c r="BI41" s="2">
        <f>15-36</f>
        <v>-21</v>
      </c>
      <c r="BJ41" s="2">
        <f>15-36</f>
        <v>-21</v>
      </c>
      <c r="BK41" s="2">
        <f>15-36</f>
        <v>-21</v>
      </c>
      <c r="BL41" s="2">
        <f>32-47</f>
        <v>-15</v>
      </c>
      <c r="BM41" s="2">
        <f>101-25</f>
        <v>76</v>
      </c>
      <c r="BN41" s="2">
        <f t="shared" ref="BN41:BO41" si="127">+BN32-BN40</f>
        <v>-337</v>
      </c>
      <c r="BO41" s="2">
        <f t="shared" si="127"/>
        <v>-1190</v>
      </c>
      <c r="BP41" s="2">
        <f t="shared" ref="BP41:BQ41" si="128">+BP32-BP40</f>
        <v>-1441</v>
      </c>
      <c r="BQ41" s="2">
        <f t="shared" si="128"/>
        <v>1562</v>
      </c>
      <c r="BR41" s="2">
        <f t="shared" ref="BR41" si="129">+BR32-BR40</f>
        <v>375</v>
      </c>
      <c r="BS41" s="2">
        <f t="shared" ref="BS41" si="130">+BS32-BS40</f>
        <v>-570</v>
      </c>
      <c r="BT41" s="2">
        <f t="shared" ref="BT41" si="131">+BT32-BT40</f>
        <v>354</v>
      </c>
      <c r="BU41" s="2">
        <f t="shared" ref="BU41" si="132">+BU32-BU40</f>
        <v>3359</v>
      </c>
      <c r="BV41" s="2">
        <f t="shared" ref="BV41:BW41" si="133">+BV32-BV40</f>
        <v>2956</v>
      </c>
      <c r="BW41" s="2">
        <f t="shared" si="133"/>
        <v>229</v>
      </c>
      <c r="BX41" s="2">
        <f t="shared" ref="BX41:CC41" si="134">+BX32-BX40</f>
        <v>5869</v>
      </c>
      <c r="BY41" s="2">
        <f t="shared" si="134"/>
        <v>14937</v>
      </c>
      <c r="BZ41" s="2">
        <f t="shared" si="134"/>
        <v>7425</v>
      </c>
      <c r="CA41" s="2">
        <f t="shared" si="134"/>
        <v>3071</v>
      </c>
      <c r="CB41" s="2">
        <f t="shared" si="134"/>
        <v>6866</v>
      </c>
      <c r="CC41" s="2">
        <f t="shared" si="134"/>
        <v>9716</v>
      </c>
      <c r="CD41" s="2">
        <f>+CD32-CD40</f>
        <v>-5450</v>
      </c>
      <c r="CE41" s="2">
        <f t="shared" ref="CE41:CH41" si="135">+CE32-CE40</f>
        <v>1054</v>
      </c>
      <c r="CF41" s="2">
        <f t="shared" si="135"/>
        <v>9870</v>
      </c>
      <c r="CG41" s="2">
        <f t="shared" si="135"/>
        <v>105509</v>
      </c>
      <c r="CH41" s="2">
        <f t="shared" si="135"/>
        <v>238883</v>
      </c>
      <c r="CI41" s="2">
        <f t="shared" ref="CI41:CO41" si="136">+CI32-CI40</f>
        <v>333150.08000000002</v>
      </c>
      <c r="CJ41" s="2">
        <f t="shared" si="136"/>
        <v>196907.42240000001</v>
      </c>
      <c r="CK41" s="2">
        <f t="shared" si="136"/>
        <v>145709.885072</v>
      </c>
      <c r="CL41" s="2">
        <f t="shared" si="136"/>
        <v>99610.321624160002</v>
      </c>
      <c r="CM41" s="2">
        <f t="shared" si="136"/>
        <v>88716.281272884793</v>
      </c>
      <c r="CN41" s="2">
        <f t="shared" si="136"/>
        <v>78888.538711071335</v>
      </c>
      <c r="CO41" s="2">
        <f t="shared" si="136"/>
        <v>70019.770972403494</v>
      </c>
    </row>
    <row r="42" spans="2:135" x14ac:dyDescent="0.25">
      <c r="B42" s="2" t="s">
        <v>14</v>
      </c>
      <c r="C42" s="3">
        <f>23-124</f>
        <v>-101</v>
      </c>
      <c r="D42" s="3">
        <f>27-88</f>
        <v>-61</v>
      </c>
      <c r="E42" s="3">
        <f>38-33</f>
        <v>5</v>
      </c>
      <c r="F42" s="3">
        <f>58-27</f>
        <v>31</v>
      </c>
      <c r="G42" s="3">
        <f>52-29</f>
        <v>23</v>
      </c>
      <c r="H42" s="3">
        <f>205-128-G42-F42-E42</f>
        <v>18</v>
      </c>
      <c r="I42" s="3">
        <f>-44+47</f>
        <v>3</v>
      </c>
      <c r="J42" s="3">
        <f>34-46</f>
        <v>-12</v>
      </c>
      <c r="K42" s="3">
        <f>23-51</f>
        <v>-28</v>
      </c>
      <c r="L42" s="3">
        <f>114-194-K42-J42-I42</f>
        <v>-43</v>
      </c>
      <c r="M42" s="3">
        <f>10-48</f>
        <v>-38</v>
      </c>
      <c r="N42" s="3">
        <f>10-42</f>
        <v>-32</v>
      </c>
      <c r="O42" s="3">
        <f>8-46</f>
        <v>-38</v>
      </c>
      <c r="P42" s="3">
        <f>37-183-O42-N42-M42</f>
        <v>-38</v>
      </c>
      <c r="Q42" s="3">
        <f>75+10-45</f>
        <v>40</v>
      </c>
      <c r="R42" s="3">
        <f>12-55</f>
        <v>-43</v>
      </c>
      <c r="S42" s="3">
        <f>20-44</f>
        <v>-24</v>
      </c>
      <c r="T42" s="3">
        <f>23+54-45+23</f>
        <v>55</v>
      </c>
      <c r="U42" s="3">
        <f>11-51-4</f>
        <v>-44</v>
      </c>
      <c r="V42" s="3">
        <f>119-89+2-8</f>
        <v>24</v>
      </c>
      <c r="W42" s="6">
        <f>127-119</f>
        <v>8</v>
      </c>
      <c r="Y42" s="3">
        <f>-27-15</f>
        <v>-42</v>
      </c>
      <c r="Z42" s="3">
        <f>130-144-7</f>
        <v>-21</v>
      </c>
      <c r="AA42" s="6">
        <f>136-150+10</f>
        <v>-4</v>
      </c>
      <c r="AB42" s="3">
        <f>529-562</f>
        <v>-33</v>
      </c>
      <c r="AC42" s="3">
        <f>107-118</f>
        <v>-11</v>
      </c>
      <c r="AD42">
        <f>108-112</f>
        <v>-4</v>
      </c>
      <c r="AE42">
        <f>135-123</f>
        <v>12</v>
      </c>
      <c r="AF42" s="2">
        <f>+CF42-AE42-AD42-AC42</f>
        <v>22</v>
      </c>
      <c r="AG42">
        <f>139-74</f>
        <v>65</v>
      </c>
      <c r="AH42">
        <f>155-32</f>
        <v>123</v>
      </c>
      <c r="AI42">
        <v>215</v>
      </c>
      <c r="AJ42">
        <f>+AI42+5</f>
        <v>220</v>
      </c>
      <c r="AK42">
        <f>+AJ42+5</f>
        <v>225</v>
      </c>
      <c r="AL42">
        <f>+AK42+5</f>
        <v>230</v>
      </c>
      <c r="AM42">
        <f>+AL42+5</f>
        <v>235</v>
      </c>
      <c r="AN42">
        <f>+AM42+5</f>
        <v>240</v>
      </c>
      <c r="AX42" s="2"/>
      <c r="AY42" s="2"/>
      <c r="AZ42" s="2"/>
      <c r="BA42" s="2"/>
      <c r="BB42" s="2">
        <v>25</v>
      </c>
      <c r="BC42" s="2">
        <v>14.3</v>
      </c>
      <c r="BD42" s="2">
        <v>0.9</v>
      </c>
      <c r="BE42" s="2">
        <v>0.1</v>
      </c>
      <c r="BF42" s="2">
        <f>82.8-129.6</f>
        <v>-46.8</v>
      </c>
      <c r="BG42" s="2">
        <f>112.8-97.9</f>
        <v>14.899999999999991</v>
      </c>
      <c r="BH42" s="2">
        <f>135.8-16.7</f>
        <v>119.10000000000001</v>
      </c>
      <c r="BI42" s="2">
        <f>51.6-17.1</f>
        <v>34.5</v>
      </c>
      <c r="BJ42" s="2">
        <f>18.1-36.5</f>
        <v>-18.399999999999999</v>
      </c>
      <c r="BK42" s="2">
        <f>15.2-36</f>
        <v>-20.8</v>
      </c>
      <c r="BN42">
        <f>143-40</f>
        <v>103</v>
      </c>
      <c r="BO42">
        <f>79-118</f>
        <v>-39</v>
      </c>
      <c r="BP42">
        <f>22-182</f>
        <v>-160</v>
      </c>
      <c r="BQ42">
        <f>18-178</f>
        <v>-160</v>
      </c>
      <c r="BR42">
        <f>23-124</f>
        <v>-101</v>
      </c>
      <c r="BS42">
        <f>8-179</f>
        <v>-171</v>
      </c>
      <c r="BT42">
        <f>14-231</f>
        <v>-217</v>
      </c>
      <c r="BU42">
        <f>23-352</f>
        <v>-329</v>
      </c>
      <c r="BV42">
        <f>35-371</f>
        <v>-336</v>
      </c>
      <c r="BW42" s="3">
        <f>42-437</f>
        <v>-395</v>
      </c>
      <c r="BX42">
        <f>-1+41-601-112</f>
        <v>-673</v>
      </c>
      <c r="BY42">
        <f>57+120-342-465</f>
        <v>-630</v>
      </c>
      <c r="BZ42">
        <f>-78+205-128-405</f>
        <v>-406</v>
      </c>
      <c r="CA42">
        <f>-8+114-194+60</f>
        <v>-28</v>
      </c>
      <c r="CB42">
        <f>-95+37-183+81</f>
        <v>-160</v>
      </c>
      <c r="CC42">
        <f>34+96-189-38</f>
        <v>-97</v>
      </c>
      <c r="CD42">
        <f>-124+468-388+7</f>
        <v>-37</v>
      </c>
      <c r="CE42">
        <f>529-562</f>
        <v>-33</v>
      </c>
      <c r="CF42">
        <f>496-477</f>
        <v>19</v>
      </c>
      <c r="CG42" s="2">
        <f>SUM(AG42:AJ42)</f>
        <v>623</v>
      </c>
      <c r="CH42" s="2">
        <f t="shared" ref="CH42:CO42" si="137">+CG54*$CR$55</f>
        <v>2006.4</v>
      </c>
      <c r="CI42" s="2">
        <f t="shared" si="137"/>
        <v>12252.272500000001</v>
      </c>
      <c r="CJ42" s="2">
        <f t="shared" si="137"/>
        <v>26068.366600000005</v>
      </c>
      <c r="CK42" s="2">
        <f t="shared" si="137"/>
        <v>34987.398160000004</v>
      </c>
      <c r="CL42" s="2">
        <f t="shared" si="137"/>
        <v>42215.28948928001</v>
      </c>
      <c r="CM42" s="2">
        <f t="shared" si="137"/>
        <v>47888.313933817612</v>
      </c>
      <c r="CN42" s="2">
        <f t="shared" si="137"/>
        <v>53352.49774208571</v>
      </c>
      <c r="CO42" s="2">
        <f t="shared" si="137"/>
        <v>58642.139200211997</v>
      </c>
    </row>
    <row r="43" spans="2:135" x14ac:dyDescent="0.25">
      <c r="B43" s="2" t="s">
        <v>15</v>
      </c>
      <c r="C43" s="6">
        <f t="shared" ref="C43:D43" si="138">+C41+C42</f>
        <v>3007</v>
      </c>
      <c r="D43" s="6">
        <f t="shared" si="138"/>
        <v>3490</v>
      </c>
      <c r="E43" s="6">
        <f t="shared" ref="E43:H43" si="139">+E41+E42</f>
        <v>3800</v>
      </c>
      <c r="F43" s="6">
        <f t="shared" si="139"/>
        <v>2085</v>
      </c>
      <c r="G43" s="6">
        <f t="shared" si="139"/>
        <v>1039</v>
      </c>
      <c r="H43" s="6">
        <f t="shared" si="139"/>
        <v>578</v>
      </c>
      <c r="I43" s="6">
        <f t="shared" ref="I43:L43" si="140">+I41+I42</f>
        <v>518</v>
      </c>
      <c r="J43" s="6">
        <f t="shared" si="140"/>
        <v>439</v>
      </c>
      <c r="K43" s="6">
        <f t="shared" si="140"/>
        <v>870</v>
      </c>
      <c r="L43" s="6">
        <f t="shared" si="140"/>
        <v>1164</v>
      </c>
      <c r="M43" s="6">
        <f t="shared" ref="M43:N43" si="141">+M41+M42</f>
        <v>837</v>
      </c>
      <c r="N43" s="6">
        <f t="shared" si="141"/>
        <v>762</v>
      </c>
      <c r="O43" s="6">
        <f t="shared" ref="O43:P43" si="142">+O41+O42</f>
        <v>2188</v>
      </c>
      <c r="P43" s="6">
        <f t="shared" si="142"/>
        <v>2933</v>
      </c>
      <c r="Q43" s="6">
        <f t="shared" ref="Q43:R43" si="143">+Q41+Q42</f>
        <v>2634</v>
      </c>
      <c r="R43" s="6">
        <f t="shared" si="143"/>
        <v>2578</v>
      </c>
      <c r="S43" s="6">
        <f t="shared" ref="S43" si="144">+S41+S42</f>
        <v>2974</v>
      </c>
      <c r="T43" s="6">
        <f t="shared" ref="T43:Y43" si="145">+T41+T42</f>
        <v>1558</v>
      </c>
      <c r="U43" s="6">
        <f t="shared" si="145"/>
        <v>-251</v>
      </c>
      <c r="V43" s="6">
        <f t="shared" si="145"/>
        <v>-2201</v>
      </c>
      <c r="W43" s="6">
        <f t="shared" si="145"/>
        <v>-1637</v>
      </c>
      <c r="X43" s="6">
        <f t="shared" si="145"/>
        <v>-1373</v>
      </c>
      <c r="Y43" s="6">
        <f t="shared" si="145"/>
        <v>-1185</v>
      </c>
      <c r="Z43" s="6">
        <f>+Z41+Z42</f>
        <v>-54</v>
      </c>
      <c r="AA43" s="6">
        <f>+AA41+AA42</f>
        <v>687</v>
      </c>
      <c r="AB43" s="6">
        <f t="shared" ref="AB43:AI43" si="146">+AB41+AB42</f>
        <v>1506</v>
      </c>
      <c r="AC43" s="6">
        <f t="shared" si="146"/>
        <v>2161</v>
      </c>
      <c r="AD43" s="6">
        <f t="shared" si="146"/>
        <v>1776</v>
      </c>
      <c r="AE43" s="6">
        <f t="shared" si="146"/>
        <v>2237</v>
      </c>
      <c r="AF43" s="6">
        <f t="shared" si="146"/>
        <v>3715</v>
      </c>
      <c r="AG43" s="6">
        <f t="shared" si="146"/>
        <v>6203</v>
      </c>
      <c r="AH43" s="6">
        <f t="shared" si="146"/>
        <v>16284</v>
      </c>
      <c r="AI43" s="6">
        <f t="shared" si="146"/>
        <v>33548</v>
      </c>
      <c r="AJ43" s="6">
        <f>+AJ41+AJ42</f>
        <v>50097</v>
      </c>
      <c r="AK43" s="6">
        <f t="shared" ref="AK43:AN43" si="147">+AK41+AK42</f>
        <v>52877</v>
      </c>
      <c r="AL43" s="6">
        <f t="shared" si="147"/>
        <v>57907</v>
      </c>
      <c r="AM43" s="6">
        <f t="shared" si="147"/>
        <v>62312</v>
      </c>
      <c r="AN43" s="6">
        <f t="shared" si="147"/>
        <v>66717</v>
      </c>
      <c r="AO43" s="6"/>
      <c r="AQ43" s="2">
        <f t="shared" ref="AQ43" si="148">+AQ41+AQ42</f>
        <v>37.412000000000006</v>
      </c>
      <c r="AR43" s="2">
        <f t="shared" ref="AR43" si="149">+AR41+AR42</f>
        <v>-4.9079999999999977</v>
      </c>
      <c r="AS43" s="2">
        <f t="shared" ref="AS43" si="150">+AS41+AS42</f>
        <v>-28.628000000000004</v>
      </c>
      <c r="AT43" s="2">
        <f t="shared" ref="AT43" si="151">+AT41+AT42</f>
        <v>-18.162000000000003</v>
      </c>
      <c r="AU43" s="2">
        <f t="shared" ref="AU43" si="152">+AU41+AU42</f>
        <v>118.90399999999998</v>
      </c>
      <c r="AV43" s="2">
        <f t="shared" ref="AV43" si="153">+AV41+AV42</f>
        <v>150.44799999999998</v>
      </c>
      <c r="AW43" s="2">
        <f t="shared" ref="AW43" si="154">+AW41+AW42</f>
        <v>3.7699999999999676</v>
      </c>
      <c r="AX43" s="2">
        <f t="shared" ref="AX43" si="155">+AX41+AX42</f>
        <v>11.761000000000053</v>
      </c>
      <c r="AY43" s="2">
        <f t="shared" ref="AY43" si="156">+AY41+AY42</f>
        <v>13.699999999999989</v>
      </c>
      <c r="AZ43" s="2">
        <f t="shared" ref="AZ43" si="157">+AZ41+AZ42</f>
        <v>165.89999999999992</v>
      </c>
      <c r="BA43" s="2">
        <f t="shared" ref="BA43" si="158">+BA41+BA42</f>
        <v>620.09999999999991</v>
      </c>
      <c r="BB43" s="2">
        <f t="shared" ref="BB43" si="159">+BB41+BB42</f>
        <v>1321.4999999999998</v>
      </c>
      <c r="BC43" s="2">
        <f t="shared" ref="BC43" si="160">+BC41+BC42</f>
        <v>972.5</v>
      </c>
      <c r="BD43" s="2">
        <f t="shared" ref="BD43" si="161">+BD41+BD42</f>
        <v>397.4000000000002</v>
      </c>
      <c r="BE43" s="2">
        <f t="shared" ref="BE43:BG43" si="162">+BE41+BE42</f>
        <v>-459.19999999999993</v>
      </c>
      <c r="BF43" s="2">
        <f t="shared" si="162"/>
        <v>-16.100000000000065</v>
      </c>
      <c r="BG43" s="2">
        <f t="shared" si="162"/>
        <v>2397.4999999999995</v>
      </c>
      <c r="BH43" s="2">
        <f>+BH41+BH42</f>
        <v>-783.79999999999973</v>
      </c>
      <c r="BI43" s="2">
        <f t="shared" ref="BI43:BJ43" si="163">+BI41+BI42</f>
        <v>13.5</v>
      </c>
      <c r="BJ43" s="2">
        <f t="shared" si="163"/>
        <v>-39.4</v>
      </c>
      <c r="BK43" s="2">
        <f t="shared" ref="BK43:BL43" si="164">+BK41+BK42</f>
        <v>-41.8</v>
      </c>
      <c r="BL43" s="2">
        <f t="shared" si="164"/>
        <v>-15</v>
      </c>
      <c r="BM43" s="2">
        <f t="shared" ref="BM43" si="165">+BM41+BM42</f>
        <v>76</v>
      </c>
      <c r="BN43" s="2">
        <f t="shared" ref="BN43:BO43" si="166">+BN41+BN42</f>
        <v>-234</v>
      </c>
      <c r="BO43" s="2">
        <f t="shared" si="166"/>
        <v>-1229</v>
      </c>
      <c r="BP43" s="2">
        <f t="shared" ref="BP43:BQ43" si="167">+BP41+BP42</f>
        <v>-1601</v>
      </c>
      <c r="BQ43" s="2">
        <f t="shared" si="167"/>
        <v>1402</v>
      </c>
      <c r="BR43" s="2">
        <f t="shared" ref="BR43" si="168">+BR41+BR42</f>
        <v>274</v>
      </c>
      <c r="BS43" s="2">
        <f t="shared" ref="BS43:CD43" si="169">+BS41+BS42</f>
        <v>-741</v>
      </c>
      <c r="BT43" s="2">
        <f t="shared" si="169"/>
        <v>137</v>
      </c>
      <c r="BU43" s="2">
        <f t="shared" si="169"/>
        <v>3030</v>
      </c>
      <c r="BV43" s="2">
        <f t="shared" si="169"/>
        <v>2620</v>
      </c>
      <c r="BW43" s="2">
        <f t="shared" si="169"/>
        <v>-166</v>
      </c>
      <c r="BX43" s="2">
        <f t="shared" si="169"/>
        <v>5196</v>
      </c>
      <c r="BY43" s="2">
        <f t="shared" si="169"/>
        <v>14307</v>
      </c>
      <c r="BZ43" s="2">
        <f t="shared" si="169"/>
        <v>7019</v>
      </c>
      <c r="CA43" s="2">
        <f t="shared" si="169"/>
        <v>3043</v>
      </c>
      <c r="CB43" s="2">
        <f t="shared" si="169"/>
        <v>6706</v>
      </c>
      <c r="CC43" s="2">
        <f t="shared" si="169"/>
        <v>9619</v>
      </c>
      <c r="CD43" s="2">
        <f t="shared" si="169"/>
        <v>-5487</v>
      </c>
      <c r="CE43" s="2">
        <f t="shared" ref="CE43" si="170">+CE41+CE42</f>
        <v>1021</v>
      </c>
      <c r="CF43" s="2">
        <f t="shared" ref="CF43:CH43" si="171">+CF41+CF42</f>
        <v>9889</v>
      </c>
      <c r="CG43" s="2">
        <f t="shared" si="171"/>
        <v>106132</v>
      </c>
      <c r="CH43" s="2">
        <f t="shared" si="171"/>
        <v>240889.4</v>
      </c>
      <c r="CI43" s="2">
        <f t="shared" ref="CI43:CO43" si="172">+CI41+CI42</f>
        <v>345402.35250000004</v>
      </c>
      <c r="CJ43" s="2">
        <f t="shared" si="172"/>
        <v>222975.78900000002</v>
      </c>
      <c r="CK43" s="2">
        <f t="shared" si="172"/>
        <v>180697.28323200002</v>
      </c>
      <c r="CL43" s="2">
        <f t="shared" si="172"/>
        <v>141825.61111344001</v>
      </c>
      <c r="CM43" s="2">
        <f t="shared" si="172"/>
        <v>136604.59520670242</v>
      </c>
      <c r="CN43" s="2">
        <f t="shared" si="172"/>
        <v>132241.03645315705</v>
      </c>
      <c r="CO43" s="2">
        <f t="shared" si="172"/>
        <v>128661.91017261549</v>
      </c>
    </row>
    <row r="44" spans="2:135" x14ac:dyDescent="0.25">
      <c r="B44" s="2" t="s">
        <v>16</v>
      </c>
      <c r="C44" s="3">
        <v>114</v>
      </c>
      <c r="D44" s="3">
        <v>143</v>
      </c>
      <c r="E44" s="3">
        <v>477</v>
      </c>
      <c r="F44" s="3">
        <v>280</v>
      </c>
      <c r="G44" s="3">
        <v>0</v>
      </c>
      <c r="H44" s="3">
        <f>693-G44-F44-E44</f>
        <v>-64</v>
      </c>
      <c r="I44" s="3">
        <v>55</v>
      </c>
      <c r="J44" s="3">
        <v>21</v>
      </c>
      <c r="K44" s="3">
        <v>68</v>
      </c>
      <c r="L44" s="3">
        <f>280-K44-J44-I44</f>
        <v>136</v>
      </c>
      <c r="M44" s="3">
        <v>51</v>
      </c>
      <c r="N44" s="3">
        <v>0</v>
      </c>
      <c r="O44" s="3">
        <v>0</v>
      </c>
      <c r="P44" s="3">
        <f>394-O44-N44-M44</f>
        <v>343</v>
      </c>
      <c r="Q44" s="3">
        <v>219</v>
      </c>
      <c r="R44" s="3">
        <v>255</v>
      </c>
      <c r="S44" s="3">
        <v>0</v>
      </c>
      <c r="T44" s="3">
        <f>56+5</f>
        <v>61</v>
      </c>
      <c r="U44" s="3">
        <v>19</v>
      </c>
      <c r="V44" s="3">
        <v>0</v>
      </c>
      <c r="W44" s="6">
        <v>0</v>
      </c>
      <c r="Y44" s="3">
        <f>73+6</f>
        <v>79</v>
      </c>
      <c r="Z44" s="6">
        <f>622+1</f>
        <v>623</v>
      </c>
      <c r="AA44" s="6">
        <f>377+6</f>
        <v>383</v>
      </c>
      <c r="AB44" s="3">
        <v>451</v>
      </c>
      <c r="AC44" s="3">
        <v>283</v>
      </c>
      <c r="AD44" s="2">
        <v>177</v>
      </c>
      <c r="AE44" s="2">
        <v>235</v>
      </c>
      <c r="AF44" s="2">
        <f>+CF44-AE44-AD44-AC44</f>
        <v>429</v>
      </c>
      <c r="AG44" s="2">
        <v>829</v>
      </c>
      <c r="AH44" s="2">
        <v>2371</v>
      </c>
      <c r="AI44" s="2">
        <v>4978</v>
      </c>
      <c r="AJ44" s="2">
        <f>+AJ43*0.15</f>
        <v>7514.5499999999993</v>
      </c>
      <c r="AK44" s="2">
        <f t="shared" ref="AK44:AN44" si="173">+AK43*0.15</f>
        <v>7931.5499999999993</v>
      </c>
      <c r="AL44" s="2">
        <f t="shared" si="173"/>
        <v>8686.0499999999993</v>
      </c>
      <c r="AM44" s="2">
        <f t="shared" si="173"/>
        <v>9346.7999999999993</v>
      </c>
      <c r="AN44" s="2">
        <f t="shared" si="173"/>
        <v>10007.549999999999</v>
      </c>
      <c r="AO44" s="2"/>
      <c r="AV44" s="2">
        <v>59.7</v>
      </c>
      <c r="AW44">
        <v>0</v>
      </c>
      <c r="AX44" s="2">
        <v>0.82399999999999995</v>
      </c>
      <c r="AY44" s="2"/>
      <c r="AZ44" s="2"/>
      <c r="BA44" s="2"/>
      <c r="BB44" s="2">
        <v>506.4</v>
      </c>
      <c r="BC44" s="2">
        <v>357</v>
      </c>
      <c r="BD44" s="2">
        <v>267.3</v>
      </c>
      <c r="BE44" s="2">
        <v>0</v>
      </c>
      <c r="BF44" s="2">
        <v>0</v>
      </c>
      <c r="BG44" s="2">
        <v>829.8</v>
      </c>
      <c r="BH44" s="2">
        <v>0</v>
      </c>
      <c r="BI44">
        <v>0</v>
      </c>
      <c r="BJ44">
        <v>73</v>
      </c>
      <c r="BK44">
        <v>75</v>
      </c>
      <c r="BL44">
        <v>11</v>
      </c>
      <c r="BM44">
        <v>18</v>
      </c>
      <c r="BN44">
        <v>30</v>
      </c>
      <c r="BO44">
        <v>18</v>
      </c>
      <c r="BP44">
        <v>1</v>
      </c>
      <c r="BQ44">
        <v>0</v>
      </c>
      <c r="BR44">
        <v>203</v>
      </c>
      <c r="BS44">
        <v>0</v>
      </c>
      <c r="BT44">
        <v>8</v>
      </c>
      <c r="BU44">
        <v>128</v>
      </c>
      <c r="BV44">
        <v>157</v>
      </c>
      <c r="BW44" s="3">
        <v>19</v>
      </c>
      <c r="BX44">
        <f>114-8</f>
        <v>106</v>
      </c>
      <c r="BY44">
        <f>168+1</f>
        <v>169</v>
      </c>
      <c r="BZ44">
        <f>693-3</f>
        <v>690</v>
      </c>
      <c r="CA44">
        <f>280-7</f>
        <v>273</v>
      </c>
      <c r="CB44">
        <f>394-37</f>
        <v>357</v>
      </c>
      <c r="CC44">
        <f>888-4</f>
        <v>884</v>
      </c>
      <c r="CD44">
        <f>177-2</f>
        <v>175</v>
      </c>
      <c r="CE44">
        <v>451</v>
      </c>
      <c r="CF44" s="2">
        <v>1124</v>
      </c>
      <c r="CG44" s="2">
        <f>SUM(AG44:AJ44)</f>
        <v>15692.55</v>
      </c>
      <c r="CH44" s="2">
        <f>SUM(AK44:AN44)</f>
        <v>35971.949999999997</v>
      </c>
      <c r="CI44" s="2">
        <f>+CI43*0.2</f>
        <v>69080.47050000001</v>
      </c>
      <c r="CJ44" s="2">
        <f t="shared" ref="CJ44:CO44" si="174">+CJ43*0.2</f>
        <v>44595.157800000008</v>
      </c>
      <c r="CK44" s="2">
        <f t="shared" si="174"/>
        <v>36139.456646400002</v>
      </c>
      <c r="CL44" s="2">
        <f t="shared" si="174"/>
        <v>28365.122222688005</v>
      </c>
      <c r="CM44" s="2">
        <f t="shared" si="174"/>
        <v>27320.919041340487</v>
      </c>
      <c r="CN44" s="2">
        <f t="shared" si="174"/>
        <v>26448.207290631413</v>
      </c>
      <c r="CO44" s="2">
        <f t="shared" si="174"/>
        <v>25732.3820345231</v>
      </c>
    </row>
    <row r="45" spans="2:135" x14ac:dyDescent="0.25">
      <c r="B45" s="2" t="s">
        <v>17</v>
      </c>
      <c r="C45" s="6">
        <f t="shared" ref="C45:D45" si="175">+C43-C44</f>
        <v>2893</v>
      </c>
      <c r="D45" s="6">
        <f t="shared" si="175"/>
        <v>3347</v>
      </c>
      <c r="E45" s="6">
        <f t="shared" ref="E45:H45" si="176">+E43-E44</f>
        <v>3323</v>
      </c>
      <c r="F45" s="6">
        <f t="shared" si="176"/>
        <v>1805</v>
      </c>
      <c r="G45" s="6">
        <f t="shared" si="176"/>
        <v>1039</v>
      </c>
      <c r="H45" s="6">
        <f t="shared" si="176"/>
        <v>642</v>
      </c>
      <c r="I45" s="6">
        <f t="shared" ref="I45:L45" si="177">+I43-I44</f>
        <v>463</v>
      </c>
      <c r="J45" s="6">
        <f t="shared" si="177"/>
        <v>418</v>
      </c>
      <c r="K45" s="6">
        <f t="shared" si="177"/>
        <v>802</v>
      </c>
      <c r="L45" s="6">
        <f t="shared" si="177"/>
        <v>1028</v>
      </c>
      <c r="M45" s="6">
        <f t="shared" ref="M45:N45" si="178">+M43-M44</f>
        <v>786</v>
      </c>
      <c r="N45" s="6">
        <f t="shared" si="178"/>
        <v>762</v>
      </c>
      <c r="O45" s="6">
        <f t="shared" ref="O45:P45" si="179">+O43-O44</f>
        <v>2188</v>
      </c>
      <c r="P45" s="6">
        <f t="shared" si="179"/>
        <v>2590</v>
      </c>
      <c r="Q45" s="6">
        <f t="shared" ref="Q45:R45" si="180">+Q43-Q44</f>
        <v>2415</v>
      </c>
      <c r="R45" s="6">
        <f t="shared" si="180"/>
        <v>2323</v>
      </c>
      <c r="S45" s="6">
        <f t="shared" ref="S45" si="181">+S43-S44</f>
        <v>2974</v>
      </c>
      <c r="T45" s="6">
        <f t="shared" ref="T45:Y45" si="182">+T43-T44</f>
        <v>1497</v>
      </c>
      <c r="U45" s="6">
        <f t="shared" si="182"/>
        <v>-270</v>
      </c>
      <c r="V45" s="6">
        <f t="shared" si="182"/>
        <v>-2201</v>
      </c>
      <c r="W45" s="6">
        <f t="shared" si="182"/>
        <v>-1637</v>
      </c>
      <c r="X45" s="6">
        <f t="shared" si="182"/>
        <v>-1373</v>
      </c>
      <c r="Y45" s="6">
        <f t="shared" si="182"/>
        <v>-1264</v>
      </c>
      <c r="Z45" s="6">
        <f>+Z43-Z44</f>
        <v>-677</v>
      </c>
      <c r="AA45" s="6">
        <f>+AA43-AA44</f>
        <v>304</v>
      </c>
      <c r="AB45" s="6">
        <f t="shared" ref="AB45:AI45" si="183">+AB43-AB44</f>
        <v>1055</v>
      </c>
      <c r="AC45" s="6">
        <f t="shared" si="183"/>
        <v>1878</v>
      </c>
      <c r="AD45" s="6">
        <f t="shared" si="183"/>
        <v>1599</v>
      </c>
      <c r="AE45" s="6">
        <f t="shared" si="183"/>
        <v>2002</v>
      </c>
      <c r="AF45" s="6">
        <f t="shared" si="183"/>
        <v>3286</v>
      </c>
      <c r="AG45" s="6">
        <f t="shared" si="183"/>
        <v>5374</v>
      </c>
      <c r="AH45" s="6">
        <f t="shared" si="183"/>
        <v>13913</v>
      </c>
      <c r="AI45" s="6">
        <f t="shared" si="183"/>
        <v>28570</v>
      </c>
      <c r="AJ45" s="6">
        <f>+AJ43-AJ44</f>
        <v>42582.45</v>
      </c>
      <c r="AK45" s="6">
        <f t="shared" ref="AK45:AN45" si="184">+AK43-AK44</f>
        <v>44945.45</v>
      </c>
      <c r="AL45" s="6">
        <f t="shared" si="184"/>
        <v>49220.95</v>
      </c>
      <c r="AM45" s="6">
        <f t="shared" si="184"/>
        <v>52965.2</v>
      </c>
      <c r="AN45" s="6">
        <f t="shared" si="184"/>
        <v>56709.45</v>
      </c>
      <c r="AO45" s="6"/>
      <c r="AQ45" s="2">
        <f t="shared" ref="AQ45" si="185">+AQ43-AQ44</f>
        <v>37.412000000000006</v>
      </c>
      <c r="AR45" s="2">
        <f t="shared" ref="AR45" si="186">+AR43-AR44</f>
        <v>-4.9079999999999977</v>
      </c>
      <c r="AS45" s="2">
        <f t="shared" ref="AS45" si="187">+AS43-AS44</f>
        <v>-28.628000000000004</v>
      </c>
      <c r="AT45" s="2">
        <f t="shared" ref="AT45" si="188">+AT43-AT44</f>
        <v>-18.162000000000003</v>
      </c>
      <c r="AU45" s="2">
        <f t="shared" ref="AU45" si="189">+AU43-AU44</f>
        <v>118.90399999999998</v>
      </c>
      <c r="AV45" s="2">
        <f t="shared" ref="AV45" si="190">+AV43-AV44</f>
        <v>90.747999999999976</v>
      </c>
      <c r="AW45" s="2">
        <f t="shared" ref="AW45" si="191">+AW43-AW44</f>
        <v>3.7699999999999676</v>
      </c>
      <c r="AX45" s="2">
        <f t="shared" ref="AX45" si="192">+AX43-AX44</f>
        <v>10.937000000000053</v>
      </c>
      <c r="AY45" s="2">
        <f t="shared" ref="AY45" si="193">+AY43-AY44</f>
        <v>13.699999999999989</v>
      </c>
      <c r="AZ45" s="2">
        <f t="shared" ref="AZ45" si="194">+AZ43-AZ44</f>
        <v>165.89999999999992</v>
      </c>
      <c r="BA45" s="2">
        <f t="shared" ref="BA45" si="195">+BA43-BA44</f>
        <v>620.09999999999991</v>
      </c>
      <c r="BB45" s="2">
        <f t="shared" ref="BB45:BD45" si="196">+BB43-BB44</f>
        <v>815.0999999999998</v>
      </c>
      <c r="BC45" s="2">
        <f t="shared" si="196"/>
        <v>615.5</v>
      </c>
      <c r="BD45" s="2">
        <f t="shared" si="196"/>
        <v>130.10000000000019</v>
      </c>
      <c r="BE45" s="2">
        <f>+BE43-BE44</f>
        <v>-459.19999999999993</v>
      </c>
      <c r="BF45" s="2">
        <f>+BF43-BF44</f>
        <v>-16.100000000000065</v>
      </c>
      <c r="BG45" s="2">
        <f>+BG43-BG44</f>
        <v>1567.6999999999996</v>
      </c>
      <c r="BH45" s="2">
        <f>+BH43-BH44</f>
        <v>-783.79999999999973</v>
      </c>
      <c r="BI45" s="2">
        <f t="shared" ref="BI45:BJ45" si="197">+BI43-BI44</f>
        <v>13.5</v>
      </c>
      <c r="BJ45" s="2">
        <f t="shared" si="197"/>
        <v>-112.4</v>
      </c>
      <c r="BK45" s="2">
        <f t="shared" ref="BK45:BL45" si="198">+BK43-BK44</f>
        <v>-116.8</v>
      </c>
      <c r="BL45" s="2">
        <f t="shared" si="198"/>
        <v>-26</v>
      </c>
      <c r="BM45" s="2">
        <f t="shared" ref="BM45" si="199">+BM43-BM44</f>
        <v>58</v>
      </c>
      <c r="BN45" s="2">
        <f t="shared" ref="BN45:BO45" si="200">+BN43-BN44</f>
        <v>-264</v>
      </c>
      <c r="BO45" s="2">
        <f t="shared" si="200"/>
        <v>-1247</v>
      </c>
      <c r="BP45" s="2">
        <f t="shared" ref="BP45:BQ45" si="201">+BP43-BP44</f>
        <v>-1602</v>
      </c>
      <c r="BQ45" s="2">
        <f t="shared" si="201"/>
        <v>1402</v>
      </c>
      <c r="BR45" s="2">
        <f t="shared" ref="BR45" si="202">+BR43-BR44</f>
        <v>71</v>
      </c>
      <c r="BS45" s="2">
        <f t="shared" ref="BS45:CD45" si="203">+BS43-BS44</f>
        <v>-741</v>
      </c>
      <c r="BT45" s="2">
        <f t="shared" si="203"/>
        <v>129</v>
      </c>
      <c r="BU45" s="2">
        <f t="shared" si="203"/>
        <v>2902</v>
      </c>
      <c r="BV45" s="2">
        <f t="shared" si="203"/>
        <v>2463</v>
      </c>
      <c r="BW45" s="2">
        <f t="shared" si="203"/>
        <v>-185</v>
      </c>
      <c r="BX45" s="2">
        <f t="shared" si="203"/>
        <v>5090</v>
      </c>
      <c r="BY45" s="2">
        <f t="shared" si="203"/>
        <v>14138</v>
      </c>
      <c r="BZ45" s="2">
        <f t="shared" si="203"/>
        <v>6329</v>
      </c>
      <c r="CA45" s="2">
        <f t="shared" si="203"/>
        <v>2770</v>
      </c>
      <c r="CB45" s="2">
        <f t="shared" si="203"/>
        <v>6349</v>
      </c>
      <c r="CC45" s="2">
        <f t="shared" si="203"/>
        <v>8735</v>
      </c>
      <c r="CD45" s="2">
        <f t="shared" si="203"/>
        <v>-5662</v>
      </c>
      <c r="CE45" s="2">
        <f t="shared" ref="CE45" si="204">+CE43-CE44</f>
        <v>570</v>
      </c>
      <c r="CF45" s="2">
        <f t="shared" ref="CF45:CH45" si="205">+CF43-CF44</f>
        <v>8765</v>
      </c>
      <c r="CG45" s="2">
        <f t="shared" si="205"/>
        <v>90439.45</v>
      </c>
      <c r="CH45" s="2">
        <f t="shared" si="205"/>
        <v>204917.45</v>
      </c>
      <c r="CI45" s="2">
        <f t="shared" ref="CI45:CO45" si="206">+CI43-CI44</f>
        <v>276321.88200000004</v>
      </c>
      <c r="CJ45" s="2">
        <f t="shared" si="206"/>
        <v>178380.6312</v>
      </c>
      <c r="CK45" s="2">
        <f t="shared" si="206"/>
        <v>144557.82658560001</v>
      </c>
      <c r="CL45" s="2">
        <f t="shared" si="206"/>
        <v>113460.48889075201</v>
      </c>
      <c r="CM45" s="2">
        <f t="shared" si="206"/>
        <v>109283.67616536193</v>
      </c>
      <c r="CN45" s="2">
        <f t="shared" si="206"/>
        <v>105792.82916252564</v>
      </c>
      <c r="CO45" s="2">
        <f t="shared" si="206"/>
        <v>102929.5281380924</v>
      </c>
      <c r="CP45" s="2">
        <f t="shared" ref="CP45:EE45" si="207">CO45*(1+$CR$56)</f>
        <v>97783.051731187777</v>
      </c>
      <c r="CQ45" s="2">
        <f t="shared" si="207"/>
        <v>92893.899144628391</v>
      </c>
      <c r="CR45" s="2">
        <f t="shared" si="207"/>
        <v>88249.204187396972</v>
      </c>
      <c r="CS45" s="2">
        <f t="shared" si="207"/>
        <v>83836.743978027123</v>
      </c>
      <c r="CT45" s="2">
        <f t="shared" si="207"/>
        <v>79644.906779125769</v>
      </c>
      <c r="CU45" s="2">
        <f t="shared" si="207"/>
        <v>75662.661440169482</v>
      </c>
      <c r="CV45" s="2">
        <f t="shared" si="207"/>
        <v>71879.528368161002</v>
      </c>
      <c r="CW45" s="2">
        <f t="shared" si="207"/>
        <v>68285.551949752946</v>
      </c>
      <c r="CX45" s="2">
        <f t="shared" si="207"/>
        <v>64871.274352265296</v>
      </c>
      <c r="CY45" s="2">
        <f t="shared" si="207"/>
        <v>61627.71063465203</v>
      </c>
      <c r="CZ45" s="2">
        <f t="shared" si="207"/>
        <v>58546.325102919429</v>
      </c>
      <c r="DA45" s="2">
        <f t="shared" si="207"/>
        <v>55619.008847773453</v>
      </c>
      <c r="DB45" s="2">
        <f t="shared" si="207"/>
        <v>52838.058405384778</v>
      </c>
      <c r="DC45" s="2">
        <f t="shared" si="207"/>
        <v>50196.155485115538</v>
      </c>
      <c r="DD45" s="2">
        <f t="shared" si="207"/>
        <v>47686.347710859758</v>
      </c>
      <c r="DE45" s="2">
        <f t="shared" si="207"/>
        <v>45302.030325316766</v>
      </c>
      <c r="DF45" s="2">
        <f t="shared" si="207"/>
        <v>43036.928809050929</v>
      </c>
      <c r="DG45" s="2">
        <f t="shared" si="207"/>
        <v>40885.082368598378</v>
      </c>
      <c r="DH45" s="2">
        <f t="shared" si="207"/>
        <v>38840.828250168459</v>
      </c>
      <c r="DI45" s="2">
        <f t="shared" si="207"/>
        <v>36898.786837660031</v>
      </c>
      <c r="DJ45" s="2">
        <f t="shared" si="207"/>
        <v>35053.84749577703</v>
      </c>
      <c r="DK45" s="2">
        <f t="shared" si="207"/>
        <v>33301.15512098818</v>
      </c>
      <c r="DL45" s="2">
        <f t="shared" si="207"/>
        <v>31636.097364938771</v>
      </c>
      <c r="DM45" s="2">
        <f t="shared" si="207"/>
        <v>30054.292496691829</v>
      </c>
      <c r="DN45" s="2">
        <f t="shared" si="207"/>
        <v>28551.577871857236</v>
      </c>
      <c r="DO45" s="2">
        <f t="shared" si="207"/>
        <v>27123.998978264375</v>
      </c>
      <c r="DP45" s="2">
        <f t="shared" si="207"/>
        <v>25767.799029351154</v>
      </c>
      <c r="DQ45" s="2">
        <f t="shared" si="207"/>
        <v>24479.409077883596</v>
      </c>
      <c r="DR45" s="2">
        <f t="shared" si="207"/>
        <v>23255.438623989416</v>
      </c>
      <c r="DS45" s="2">
        <f t="shared" si="207"/>
        <v>22092.666692789942</v>
      </c>
      <c r="DT45" s="2">
        <f t="shared" si="207"/>
        <v>20988.033358150446</v>
      </c>
      <c r="DU45" s="2">
        <f t="shared" si="207"/>
        <v>19938.631690242921</v>
      </c>
      <c r="DV45" s="2">
        <f t="shared" si="207"/>
        <v>18941.700105730775</v>
      </c>
      <c r="DW45" s="2">
        <f t="shared" si="207"/>
        <v>17994.615100444236</v>
      </c>
      <c r="DX45" s="2">
        <f t="shared" si="207"/>
        <v>17094.884345422022</v>
      </c>
      <c r="DY45" s="2">
        <f t="shared" si="207"/>
        <v>16240.140128150921</v>
      </c>
      <c r="DZ45" s="2">
        <f t="shared" si="207"/>
        <v>15428.133121743374</v>
      </c>
      <c r="EA45" s="2">
        <f t="shared" si="207"/>
        <v>14656.726465656206</v>
      </c>
      <c r="EB45" s="2">
        <f t="shared" si="207"/>
        <v>13923.890142373395</v>
      </c>
      <c r="EC45" s="2">
        <f t="shared" si="207"/>
        <v>13227.695635254724</v>
      </c>
      <c r="ED45" s="2">
        <f t="shared" si="207"/>
        <v>12566.310853491987</v>
      </c>
      <c r="EE45" s="2">
        <f t="shared" si="207"/>
        <v>11937.995310817387</v>
      </c>
    </row>
    <row r="46" spans="2:135" x14ac:dyDescent="0.25">
      <c r="B46" s="2" t="s">
        <v>18</v>
      </c>
      <c r="C46" s="8">
        <f t="shared" ref="C46:D46" si="208">+C45/C47</f>
        <v>2.3616326530612244</v>
      </c>
      <c r="D46" s="8">
        <f t="shared" si="208"/>
        <v>2.7035541195476576</v>
      </c>
      <c r="E46" s="8">
        <f t="shared" ref="E46:H46" si="209">+E45/E47</f>
        <v>2.8304940374787053</v>
      </c>
      <c r="F46" s="8">
        <f t="shared" si="209"/>
        <v>1.581945661700263</v>
      </c>
      <c r="G46" s="8">
        <f t="shared" si="209"/>
        <v>0.92028343666961909</v>
      </c>
      <c r="H46" s="8">
        <f t="shared" si="209"/>
        <v>0.56167979002624668</v>
      </c>
      <c r="I46" s="8">
        <f t="shared" ref="I46:L46" si="210">+I45/I47</f>
        <v>0.41009743135518156</v>
      </c>
      <c r="J46" s="8">
        <f t="shared" si="210"/>
        <v>0.36893203883495146</v>
      </c>
      <c r="K46" s="8">
        <f t="shared" si="210"/>
        <v>0.71036315323294952</v>
      </c>
      <c r="L46" s="8">
        <f t="shared" si="210"/>
        <v>0.90893015030946067</v>
      </c>
      <c r="M46" s="8">
        <f t="shared" ref="M46:N46" si="211">+M45/M47</f>
        <v>0.69251101321585906</v>
      </c>
      <c r="N46" s="8">
        <f t="shared" si="211"/>
        <v>0.66608391608391604</v>
      </c>
      <c r="O46" s="8">
        <f t="shared" ref="O46:P46" si="212">+O45/O47</f>
        <v>1.9109170305676857</v>
      </c>
      <c r="P46" s="8">
        <f t="shared" si="212"/>
        <v>2.2699386503067487</v>
      </c>
      <c r="Q46" s="8">
        <f t="shared" ref="Q46:R46" si="213">+Q45/Q47</f>
        <v>2.1371681415929205</v>
      </c>
      <c r="R46" s="8">
        <f t="shared" si="213"/>
        <v>2.0557522123893803</v>
      </c>
      <c r="S46" s="8">
        <f t="shared" ref="S46" si="214">+S45/S47</f>
        <v>2.6529884032114182</v>
      </c>
      <c r="T46" s="8">
        <f t="shared" ref="T46:AA46" si="215">+T45/T47</f>
        <v>1.3535262206148282</v>
      </c>
      <c r="U46" s="8">
        <f t="shared" si="215"/>
        <v>-0.24770642201834864</v>
      </c>
      <c r="V46" s="8">
        <f t="shared" si="215"/>
        <v>-2.0174152153987168</v>
      </c>
      <c r="W46" s="6">
        <f t="shared" si="215"/>
        <v>-1.4963436928702012</v>
      </c>
      <c r="X46" s="8">
        <f t="shared" si="215"/>
        <v>-1.2538812785388127</v>
      </c>
      <c r="Y46" s="8">
        <f t="shared" si="215"/>
        <v>-1.1490909090909092</v>
      </c>
      <c r="Z46" s="8">
        <f t="shared" si="215"/>
        <v>-0.6077199281867145</v>
      </c>
      <c r="AA46" s="8">
        <f t="shared" si="215"/>
        <v>0.27070347284060553</v>
      </c>
      <c r="AB46" s="8">
        <f t="shared" ref="AB46" si="216">+AB45/AB47</f>
        <v>0.94364937388193204</v>
      </c>
      <c r="AC46" s="8">
        <f t="shared" ref="AC46" si="217">+AC45/AC47</f>
        <v>1.6737967914438503</v>
      </c>
      <c r="AD46" s="8">
        <f t="shared" ref="AD46" si="218">+AD45/AD47</f>
        <v>1.4238646482635797</v>
      </c>
      <c r="AE46" s="8">
        <f t="shared" ref="AE46" si="219">+AE45/AE47</f>
        <v>1.7795555555555556</v>
      </c>
      <c r="AF46" s="8">
        <f t="shared" ref="AF46" si="220">+AF45/AF47</f>
        <v>2.9208888888888889</v>
      </c>
      <c r="AG46" s="8">
        <f t="shared" ref="AG46" si="221">+AG45/AG47</f>
        <v>4.72231985940246</v>
      </c>
      <c r="AH46" s="8">
        <f t="shared" ref="AH46:AN46" si="222">+AH45/AH47</f>
        <v>12.183012259194395</v>
      </c>
      <c r="AI46" s="8">
        <f t="shared" si="222"/>
        <v>24.951965065502183</v>
      </c>
      <c r="AJ46" s="8">
        <f>+AJ45/AJ47</f>
        <v>37.189912663755457</v>
      </c>
      <c r="AK46" s="8">
        <f t="shared" si="222"/>
        <v>39.253668122270739</v>
      </c>
      <c r="AL46" s="8">
        <f t="shared" si="222"/>
        <v>42.987729257641917</v>
      </c>
      <c r="AM46" s="8">
        <f t="shared" si="222"/>
        <v>46.25781659388646</v>
      </c>
      <c r="AN46" s="8">
        <f t="shared" si="222"/>
        <v>49.527903930131004</v>
      </c>
      <c r="AO46" s="8"/>
      <c r="AQ46" s="1">
        <f t="shared" ref="AQ46:AU46" si="223">+AQ45/AQ47</f>
        <v>0.95135410044500968</v>
      </c>
      <c r="AR46" s="1">
        <f t="shared" si="223"/>
        <v>-0.2567214143738884</v>
      </c>
      <c r="AS46" s="1">
        <f t="shared" si="223"/>
        <v>-1.4735433395099857</v>
      </c>
      <c r="AT46" s="1">
        <f t="shared" si="223"/>
        <v>-0.74817713697219379</v>
      </c>
      <c r="AU46" s="1">
        <f t="shared" si="223"/>
        <v>3.8993867444987371</v>
      </c>
      <c r="AV46" s="1">
        <f>+AV45/AV47</f>
        <v>2.433378918295658</v>
      </c>
      <c r="AW46" s="1">
        <f>+AW45/AW47</f>
        <v>0.1014204239750341</v>
      </c>
      <c r="AX46" s="1">
        <f t="shared" ref="AX46:BD46" si="224">+AX45/AX47</f>
        <v>0.2875736222128748</v>
      </c>
      <c r="AY46" s="1">
        <f t="shared" si="224"/>
        <v>0.14080164439876658</v>
      </c>
      <c r="AZ46" s="1">
        <f t="shared" si="224"/>
        <v>0.81885488647581406</v>
      </c>
      <c r="BA46" s="1">
        <f t="shared" si="224"/>
        <v>2.9472433460076042</v>
      </c>
      <c r="BB46" s="1">
        <f t="shared" si="224"/>
        <v>3.7701202590194258</v>
      </c>
      <c r="BC46" s="1">
        <f t="shared" si="224"/>
        <v>2.8627906976744186</v>
      </c>
      <c r="BD46" s="1">
        <f t="shared" si="224"/>
        <v>0.59816091954023076</v>
      </c>
      <c r="BE46" s="2">
        <f t="shared" ref="BE46:BG46" si="225">+BE45/BE47</f>
        <v>-2.1639962299717244</v>
      </c>
      <c r="BF46" s="2">
        <f t="shared" si="225"/>
        <v>-3.0872483221476635E-2</v>
      </c>
      <c r="BG46" s="2">
        <f t="shared" si="225"/>
        <v>2.5895275850677231</v>
      </c>
      <c r="BH46" s="2">
        <f>+BH45/BH47</f>
        <v>-1.3230925050641453</v>
      </c>
      <c r="BI46" s="1">
        <f t="shared" ref="BI46:BJ46" si="226">+BI45/BI47</f>
        <v>2.2443890274314215E-2</v>
      </c>
      <c r="BJ46" s="1">
        <f t="shared" si="226"/>
        <v>-0.18502057613168726</v>
      </c>
      <c r="BK46" s="1">
        <f t="shared" ref="BK46:BL46" si="227">+BK45/BK47</f>
        <v>-0.18080495356037152</v>
      </c>
      <c r="BL46" s="1">
        <f t="shared" si="227"/>
        <v>-3.7037037037037035E-2</v>
      </c>
      <c r="BM46" s="1">
        <f t="shared" ref="BM46" si="228">+BM45/BM47</f>
        <v>7.9988967039029094E-2</v>
      </c>
      <c r="BN46" s="1">
        <f t="shared" ref="BN46:BO46" si="229">+BN45/BN47</f>
        <v>-0.3432583539201664</v>
      </c>
      <c r="BO46" s="1">
        <f t="shared" si="229"/>
        <v>-1.6142394822006472</v>
      </c>
      <c r="BP46" s="1">
        <f t="shared" ref="BP46:BQ46" si="230">+BP45/BP47</f>
        <v>-2.0007493443237165</v>
      </c>
      <c r="BQ46" s="1">
        <f t="shared" si="230"/>
        <v>1.3343485295517274</v>
      </c>
      <c r="BR46" s="1">
        <f t="shared" ref="BR46" si="231">+BR45/BR47</f>
        <v>7.0471464019851118E-2</v>
      </c>
      <c r="BS46" s="1">
        <f t="shared" ref="BS46:CH46" si="232">+BS45/BS47</f>
        <v>-0.74772956609485364</v>
      </c>
      <c r="BT46" s="1">
        <f t="shared" si="232"/>
        <v>0.12204351939451277</v>
      </c>
      <c r="BU46" s="1">
        <f t="shared" si="232"/>
        <v>2.4223706176961604</v>
      </c>
      <c r="BV46" s="1">
        <f t="shared" si="232"/>
        <v>2.1051282051282052</v>
      </c>
      <c r="BW46" s="1">
        <f t="shared" si="232"/>
        <v>-0.17857142857142858</v>
      </c>
      <c r="BX46" s="1">
        <f t="shared" si="232"/>
        <v>4.4107452339688038</v>
      </c>
      <c r="BY46" s="1">
        <f t="shared" si="232"/>
        <v>11.503661513425548</v>
      </c>
      <c r="BZ46" s="1">
        <f t="shared" si="232"/>
        <v>5.5371828521434825</v>
      </c>
      <c r="CA46" s="1">
        <f t="shared" si="232"/>
        <v>2.4491600353669321</v>
      </c>
      <c r="CB46" s="1">
        <f t="shared" si="232"/>
        <v>5.5644171779141107</v>
      </c>
      <c r="CC46" s="1">
        <f t="shared" si="232"/>
        <v>7.785204991087344</v>
      </c>
      <c r="CD46" s="1">
        <f t="shared" si="232"/>
        <v>-5.1802378774016464</v>
      </c>
      <c r="CE46" s="1">
        <f t="shared" si="232"/>
        <v>0.50983899821109124</v>
      </c>
      <c r="CF46" s="1">
        <f t="shared" si="232"/>
        <v>7.7911111111111113</v>
      </c>
      <c r="CG46" s="1">
        <f t="shared" si="232"/>
        <v>79.15925601750547</v>
      </c>
      <c r="CH46" s="1">
        <f t="shared" si="232"/>
        <v>178.96720524017468</v>
      </c>
      <c r="CI46" s="1">
        <f t="shared" ref="CI46:CO46" si="233">+CI45/CI47</f>
        <v>241.32915458515288</v>
      </c>
      <c r="CJ46" s="1">
        <f t="shared" si="233"/>
        <v>155.79094427947598</v>
      </c>
      <c r="CK46" s="1">
        <f t="shared" si="233"/>
        <v>126.25137693065503</v>
      </c>
      <c r="CL46" s="1">
        <f t="shared" si="233"/>
        <v>99.092130035591268</v>
      </c>
      <c r="CM46" s="1">
        <f t="shared" si="233"/>
        <v>95.444258659704744</v>
      </c>
      <c r="CN46" s="1">
        <f t="shared" si="233"/>
        <v>92.395483984738547</v>
      </c>
      <c r="CO46" s="1">
        <f t="shared" si="233"/>
        <v>89.894784400080695</v>
      </c>
    </row>
    <row r="47" spans="2:135" x14ac:dyDescent="0.25">
      <c r="B47" s="2" t="s">
        <v>1</v>
      </c>
      <c r="C47" s="6">
        <v>1225</v>
      </c>
      <c r="D47" s="6">
        <v>1238</v>
      </c>
      <c r="E47" s="6">
        <v>1174</v>
      </c>
      <c r="F47" s="6">
        <v>1141</v>
      </c>
      <c r="G47" s="6">
        <v>1129</v>
      </c>
      <c r="H47" s="6">
        <v>1143</v>
      </c>
      <c r="I47" s="6">
        <v>1129</v>
      </c>
      <c r="J47" s="6">
        <v>1133</v>
      </c>
      <c r="K47" s="6">
        <v>1129</v>
      </c>
      <c r="L47" s="6">
        <v>1131</v>
      </c>
      <c r="M47" s="6">
        <v>1135</v>
      </c>
      <c r="N47" s="6">
        <v>1144</v>
      </c>
      <c r="O47" s="6">
        <v>1145</v>
      </c>
      <c r="P47" s="6">
        <v>1141</v>
      </c>
      <c r="Q47" s="6">
        <v>1130</v>
      </c>
      <c r="R47" s="6">
        <v>1130</v>
      </c>
      <c r="S47" s="6">
        <v>1121</v>
      </c>
      <c r="T47" s="6">
        <v>1106</v>
      </c>
      <c r="U47" s="6">
        <v>1090</v>
      </c>
      <c r="V47" s="6">
        <v>1091</v>
      </c>
      <c r="W47" s="6">
        <v>1094</v>
      </c>
      <c r="X47" s="6">
        <v>1095</v>
      </c>
      <c r="Y47" s="6">
        <v>1100</v>
      </c>
      <c r="Z47" s="6">
        <v>1114</v>
      </c>
      <c r="AA47" s="6">
        <v>1123</v>
      </c>
      <c r="AB47" s="6">
        <v>1118</v>
      </c>
      <c r="AC47" s="6">
        <v>1122</v>
      </c>
      <c r="AD47" s="6">
        <v>1123</v>
      </c>
      <c r="AE47" s="2">
        <v>1125</v>
      </c>
      <c r="AF47" s="2">
        <f>CF47</f>
        <v>1125</v>
      </c>
      <c r="AG47" s="2">
        <v>1138</v>
      </c>
      <c r="AH47" s="6">
        <v>1142</v>
      </c>
      <c r="AI47" s="6">
        <v>1145</v>
      </c>
      <c r="AJ47" s="2">
        <f>+AI47</f>
        <v>1145</v>
      </c>
      <c r="AK47" s="2">
        <f>+AJ47</f>
        <v>1145</v>
      </c>
      <c r="AL47" s="2">
        <f>+AK47</f>
        <v>1145</v>
      </c>
      <c r="AM47" s="2">
        <f>+AL47</f>
        <v>1145</v>
      </c>
      <c r="AN47" s="2">
        <f>+AM47</f>
        <v>1145</v>
      </c>
      <c r="AO47" s="2"/>
      <c r="AQ47" s="2">
        <v>39.325000000000003</v>
      </c>
      <c r="AR47" s="2">
        <v>19.117999999999999</v>
      </c>
      <c r="AS47" s="2">
        <v>19.428000000000001</v>
      </c>
      <c r="AT47" s="2">
        <v>24.274999999999999</v>
      </c>
      <c r="AU47" s="2">
        <v>30.492999999999999</v>
      </c>
      <c r="AV47" s="2">
        <v>37.292999999999999</v>
      </c>
      <c r="AW47" s="2">
        <v>37.171999999999997</v>
      </c>
      <c r="AX47" s="2">
        <v>38.031999999999996</v>
      </c>
      <c r="AY47" s="2">
        <v>97.3</v>
      </c>
      <c r="AZ47" s="2">
        <v>202.6</v>
      </c>
      <c r="BA47" s="2">
        <v>210.4</v>
      </c>
      <c r="BB47" s="2">
        <v>216.2</v>
      </c>
      <c r="BC47" s="2">
        <v>215</v>
      </c>
      <c r="BD47" s="2">
        <v>217.5</v>
      </c>
      <c r="BE47" s="2">
        <v>212.2</v>
      </c>
      <c r="BF47" s="2">
        <v>521.5</v>
      </c>
      <c r="BG47" s="2">
        <v>605.4</v>
      </c>
      <c r="BH47" s="2">
        <v>592.4</v>
      </c>
      <c r="BI47" s="2">
        <v>601.5</v>
      </c>
      <c r="BJ47" s="2">
        <v>607.5</v>
      </c>
      <c r="BK47" s="2">
        <v>646</v>
      </c>
      <c r="BL47" s="2">
        <v>702</v>
      </c>
      <c r="BM47" s="2">
        <v>725.1</v>
      </c>
      <c r="BN47" s="2">
        <v>769.1</v>
      </c>
      <c r="BO47" s="2">
        <v>772.5</v>
      </c>
      <c r="BP47" s="2">
        <v>800.7</v>
      </c>
      <c r="BQ47" s="2">
        <v>1050.7</v>
      </c>
      <c r="BR47" s="2">
        <v>1007.5</v>
      </c>
      <c r="BS47">
        <v>991</v>
      </c>
      <c r="BT47" s="2">
        <v>1057</v>
      </c>
      <c r="BU47" s="2">
        <v>1198</v>
      </c>
      <c r="BV47" s="2">
        <v>1170</v>
      </c>
      <c r="BW47" s="6">
        <v>1036</v>
      </c>
      <c r="BX47" s="2">
        <v>1154</v>
      </c>
      <c r="BY47" s="2">
        <v>1229</v>
      </c>
      <c r="BZ47" s="2">
        <v>1143</v>
      </c>
      <c r="CA47" s="2">
        <v>1131</v>
      </c>
      <c r="CB47" s="2">
        <v>1141</v>
      </c>
      <c r="CC47" s="2">
        <v>1122</v>
      </c>
      <c r="CD47" s="2">
        <v>1093</v>
      </c>
      <c r="CE47" s="2">
        <v>1118</v>
      </c>
      <c r="CF47" s="2">
        <v>1125</v>
      </c>
      <c r="CG47" s="2">
        <f>AVERAGE(AG47:AJ47)</f>
        <v>1142.5</v>
      </c>
      <c r="CH47" s="2">
        <f>AVERAGE(AK47:AN47)</f>
        <v>1145</v>
      </c>
      <c r="CI47" s="2">
        <f>+CH47</f>
        <v>1145</v>
      </c>
      <c r="CJ47" s="2">
        <f t="shared" ref="CJ47:CO47" si="234">+CI47</f>
        <v>1145</v>
      </c>
      <c r="CK47" s="2">
        <f t="shared" si="234"/>
        <v>1145</v>
      </c>
      <c r="CL47" s="2">
        <f t="shared" si="234"/>
        <v>1145</v>
      </c>
      <c r="CM47" s="2">
        <f t="shared" si="234"/>
        <v>1145</v>
      </c>
      <c r="CN47" s="2">
        <f t="shared" si="234"/>
        <v>1145</v>
      </c>
      <c r="CO47" s="2">
        <f t="shared" si="234"/>
        <v>1145</v>
      </c>
    </row>
    <row r="50" spans="2:96" s="18" customFormat="1" ht="13" x14ac:dyDescent="0.3">
      <c r="B50" s="9" t="s">
        <v>32</v>
      </c>
      <c r="C50" s="17"/>
      <c r="D50" s="17"/>
      <c r="E50" s="17"/>
      <c r="F50" s="17"/>
      <c r="G50" s="17"/>
      <c r="H50" s="17"/>
      <c r="I50" s="12">
        <f>+I30/E30-1</f>
        <v>-0.34993049412359412</v>
      </c>
      <c r="J50" s="12">
        <f t="shared" ref="J50" si="235">+J30/F30-1</f>
        <v>-0.17789203084832905</v>
      </c>
      <c r="K50" s="12">
        <f t="shared" ref="K50" si="236">+K30/G30-1</f>
        <v>0.13575605680868841</v>
      </c>
      <c r="L50" s="12">
        <f t="shared" ref="L50" si="237">+L30/H30-1</f>
        <v>0.24353182751540037</v>
      </c>
      <c r="M50" s="12">
        <f t="shared" ref="M50:N50" si="238">+M30/I30-1</f>
        <v>0.12227838258164847</v>
      </c>
      <c r="N50" s="12">
        <f t="shared" si="238"/>
        <v>0.29997915363769012</v>
      </c>
      <c r="O50" s="12">
        <f t="shared" ref="O50" si="239">+O30/K30-1</f>
        <v>0.36484001471129091</v>
      </c>
      <c r="P50" s="12">
        <f t="shared" ref="P50" si="240">+P30/L30-1</f>
        <v>0.3662483487450463</v>
      </c>
      <c r="Q50" s="12">
        <f t="shared" ref="Q50" si="241">+Q30/M30-1</f>
        <v>0.33154339165078817</v>
      </c>
      <c r="R50" s="12">
        <f t="shared" ref="R50" si="242">+R30/N30-1</f>
        <v>0.248556767158435</v>
      </c>
      <c r="S50" s="12">
        <f t="shared" ref="S50" si="243">+S30/O30-1</f>
        <v>0.16437617892751288</v>
      </c>
      <c r="T50" s="12">
        <f t="shared" ref="T50" si="244">+T30/P30-1</f>
        <v>-0.19712351945854489</v>
      </c>
      <c r="U50" s="12">
        <f t="shared" ref="U50:W50" si="245">+U30/Q30-1</f>
        <v>-0.46858332249251988</v>
      </c>
      <c r="V50" s="12">
        <f t="shared" si="245"/>
        <v>-0.52568713074749551</v>
      </c>
      <c r="W50" s="12">
        <f t="shared" si="245"/>
        <v>-0.56584124045359863</v>
      </c>
      <c r="X50" s="12">
        <f>+X30/T30-1</f>
        <v>-0.39635706758994427</v>
      </c>
      <c r="Y50" s="12">
        <f>+Y30/U30-1</f>
        <v>0.1569155446756425</v>
      </c>
      <c r="Z50" s="12">
        <f>+Z30/V30-1</f>
        <v>0.57703763877606273</v>
      </c>
      <c r="AA50" s="12">
        <f>+AA30/W30-1</f>
        <v>0.81529850746268662</v>
      </c>
      <c r="AB50" s="12">
        <f>+AB30/X30-1</f>
        <v>0.93266832917705744</v>
      </c>
      <c r="AC50" s="12">
        <f t="shared" ref="AC50:AJ50" si="246">+AC30/Y30-1</f>
        <v>0.84278459585272958</v>
      </c>
      <c r="AD50" s="12">
        <f t="shared" si="246"/>
        <v>0.38272664835164827</v>
      </c>
      <c r="AE50" s="12">
        <f t="shared" si="246"/>
        <v>0.36558508295404502</v>
      </c>
      <c r="AF50" s="12">
        <f t="shared" si="246"/>
        <v>0.45999999999999996</v>
      </c>
      <c r="AG50" s="12">
        <f t="shared" si="246"/>
        <v>0.56654036054656109</v>
      </c>
      <c r="AH50" s="12">
        <f t="shared" si="246"/>
        <v>1.9628709797590962</v>
      </c>
      <c r="AI50" s="12">
        <f t="shared" si="246"/>
        <v>3.457155144608107</v>
      </c>
      <c r="AJ50" s="12">
        <f t="shared" si="246"/>
        <v>4.3026955368979234</v>
      </c>
      <c r="AK50" s="12">
        <f t="shared" ref="AK50" si="247">+AK30/AG30-1</f>
        <v>3.5811038627867768</v>
      </c>
      <c r="AL50" s="12">
        <f t="shared" ref="AL50" si="248">+AL30/AH30-1</f>
        <v>1.8290025146689017</v>
      </c>
      <c r="AM50" s="12">
        <f t="shared" ref="AM50" si="249">+AM30/AI30-1</f>
        <v>0.74884214588961795</v>
      </c>
      <c r="AN50" s="12">
        <f t="shared" ref="AN50" si="250">+AN30/AJ30-1</f>
        <v>0.29166666666666674</v>
      </c>
      <c r="AO50" s="12"/>
      <c r="AR50" s="19">
        <f t="shared" ref="AR50" si="251">+AR30/AQ30-1</f>
        <v>-0.13133764524068459</v>
      </c>
      <c r="AS50" s="19">
        <f t="shared" ref="AS50" si="252">+AS30/AR30-1</f>
        <v>-0.35603964049445191</v>
      </c>
      <c r="AT50" s="19">
        <f t="shared" ref="AT50" si="253">+AT30/AS30-1</f>
        <v>0.86610048091681158</v>
      </c>
      <c r="AU50" s="19">
        <f t="shared" ref="AU50" si="254">+AU30/AT30-1</f>
        <v>2.2954258830754384</v>
      </c>
      <c r="AV50" s="19">
        <f t="shared" ref="AV50" si="255">+AV30/AU30-1</f>
        <v>0.48560399334442583</v>
      </c>
      <c r="AW50" s="19">
        <f t="shared" ref="AW50" si="256">+AW30/AV30-1</f>
        <v>-0.25331075390211999</v>
      </c>
      <c r="AX50" s="19">
        <f t="shared" ref="AX50" si="257">+AX30/AW30-1</f>
        <v>0.27606047879042439</v>
      </c>
      <c r="AY50" s="19">
        <f t="shared" ref="AY50" si="258">+AY30/AX30-1</f>
        <v>0.1902802789153708</v>
      </c>
      <c r="AZ50" s="19">
        <f t="shared" ref="AZ50" si="259">+AZ30/AY30-1</f>
        <v>0.63598656922773045</v>
      </c>
      <c r="BA50" s="19">
        <f t="shared" ref="BA50" si="260">+BA30/AZ30-1</f>
        <v>0.96619582276952798</v>
      </c>
      <c r="BB50" s="19">
        <f t="shared" ref="BB50" si="261">+BB30/BA30-1</f>
        <v>0.81302959597200042</v>
      </c>
      <c r="BC50" s="19">
        <f t="shared" ref="BC50" si="262">+BC30/BB30-1</f>
        <v>0.23744369560063694</v>
      </c>
      <c r="BD50" s="19">
        <f t="shared" ref="BD50" si="263">+BD30/BC30-1</f>
        <v>-3.7851004433740232E-2</v>
      </c>
      <c r="BE50" s="19">
        <f t="shared" ref="BE50" si="264">+BE30/BD30-1</f>
        <v>-0.14325131560233251</v>
      </c>
      <c r="BF50" s="19">
        <f t="shared" ref="BF50:BH50" si="265">+BF30/BE30-1</f>
        <v>-0.14502473521697268</v>
      </c>
      <c r="BG50" s="19">
        <f t="shared" si="265"/>
        <v>1.4707390004271677</v>
      </c>
      <c r="BH50" s="19">
        <f t="shared" si="265"/>
        <v>-0.3813812397837294</v>
      </c>
      <c r="BI50" s="19">
        <f t="shared" ref="BI50" si="266">+BI30/BH30-1</f>
        <v>-0.34220889758378004</v>
      </c>
      <c r="BJ50" s="19">
        <f t="shared" ref="BJ50:BP50" si="267">+BJ30/BI30-1</f>
        <v>0.19389725762842791</v>
      </c>
      <c r="BK50" s="19">
        <f t="shared" si="267"/>
        <v>0.42478162406988029</v>
      </c>
      <c r="BL50" s="19">
        <f t="shared" si="267"/>
        <v>0.10808356039963662</v>
      </c>
      <c r="BM50" s="19">
        <f t="shared" si="267"/>
        <v>8.0327868852458906E-2</v>
      </c>
      <c r="BN50" s="19">
        <f t="shared" si="267"/>
        <v>7.8907435508345891E-2</v>
      </c>
      <c r="BO50" s="19">
        <f t="shared" si="267"/>
        <v>2.6898734177215111E-2</v>
      </c>
      <c r="BP50" s="19">
        <f t="shared" si="267"/>
        <v>-0.17770929635336419</v>
      </c>
      <c r="BQ50" s="19">
        <f t="shared" ref="BQ50:BX50" si="268">+BQ30/BP30-1</f>
        <v>0.76597959608577981</v>
      </c>
      <c r="BR50" s="19">
        <f t="shared" si="268"/>
        <v>3.6076397076161282E-2</v>
      </c>
      <c r="BS50" s="19">
        <f t="shared" si="268"/>
        <v>-6.3040509786071897E-2</v>
      </c>
      <c r="BT50" s="19">
        <f t="shared" si="268"/>
        <v>0.10189458343453972</v>
      </c>
      <c r="BU50" s="19">
        <f t="shared" si="268"/>
        <v>0.80293177559792794</v>
      </c>
      <c r="BV50" s="19">
        <f t="shared" si="268"/>
        <v>-1.0147939845946974E-2</v>
      </c>
      <c r="BW50" s="19">
        <f t="shared" si="268"/>
        <v>-0.23425148221343872</v>
      </c>
      <c r="BX50" s="19">
        <f t="shared" si="268"/>
        <v>0.63900314541495273</v>
      </c>
      <c r="BY50" s="19">
        <f t="shared" ref="BY50:CE50" si="269">+BY30/BX30-1</f>
        <v>0.49547288652691668</v>
      </c>
      <c r="BZ50" s="19">
        <f t="shared" si="269"/>
        <v>-0.22983778092198348</v>
      </c>
      <c r="CA50" s="19">
        <f t="shared" si="269"/>
        <v>-8.4209177134068169E-2</v>
      </c>
      <c r="CB50" s="19">
        <f t="shared" si="269"/>
        <v>0.29251224632610207</v>
      </c>
      <c r="CC50" s="19">
        <f t="shared" si="269"/>
        <v>0.11019671539433307</v>
      </c>
      <c r="CD50" s="19">
        <f t="shared" si="269"/>
        <v>-0.4947655894401457</v>
      </c>
      <c r="CE50" s="19">
        <f t="shared" si="269"/>
        <v>0.61589446589446584</v>
      </c>
      <c r="CF50" s="19">
        <f>+CF30/CE30-1</f>
        <v>0.48851101111066852</v>
      </c>
      <c r="CG50" s="19">
        <f t="shared" ref="CG50:CO50" si="270">+CG30/CF30-1</f>
        <v>2.7176681470383648</v>
      </c>
      <c r="CH50" s="19">
        <f t="shared" si="270"/>
        <v>1.0149828366640521</v>
      </c>
      <c r="CI50" s="19">
        <f t="shared" si="270"/>
        <v>0.35000000000000009</v>
      </c>
      <c r="CJ50" s="19">
        <f t="shared" si="270"/>
        <v>-9.9999999999999978E-2</v>
      </c>
      <c r="CK50" s="19">
        <f t="shared" si="270"/>
        <v>-9.9999999999999978E-2</v>
      </c>
      <c r="CL50" s="19">
        <f t="shared" si="270"/>
        <v>-0.30000000000000004</v>
      </c>
      <c r="CM50" s="19">
        <f t="shared" si="270"/>
        <v>-9.9999999999999978E-2</v>
      </c>
      <c r="CN50" s="19">
        <f t="shared" si="270"/>
        <v>-9.9999999999999978E-2</v>
      </c>
      <c r="CO50" s="19">
        <f t="shared" si="270"/>
        <v>-9.9999999999999978E-2</v>
      </c>
    </row>
    <row r="51" spans="2:96" x14ac:dyDescent="0.25">
      <c r="B51" s="2" t="s">
        <v>31</v>
      </c>
      <c r="C51" s="7">
        <f t="shared" ref="C51:D51" si="271">+C32/C30</f>
        <v>0.55078641775687198</v>
      </c>
      <c r="D51" s="7">
        <f t="shared" si="271"/>
        <v>0.58087335056454903</v>
      </c>
      <c r="E51" s="7">
        <f t="shared" ref="E51:H51" si="272">+E32/E30</f>
        <v>0.58321749020599012</v>
      </c>
      <c r="F51" s="7">
        <f t="shared" si="272"/>
        <v>0.49083119108826051</v>
      </c>
      <c r="G51" s="7">
        <f t="shared" si="272"/>
        <v>0.3817878028404344</v>
      </c>
      <c r="H51" s="7">
        <f t="shared" si="272"/>
        <v>0.2864476386036961</v>
      </c>
      <c r="I51" s="7">
        <f t="shared" ref="I51:L51" si="273">+I32/I30</f>
        <v>0.265552099533437</v>
      </c>
      <c r="J51" s="7">
        <f t="shared" si="273"/>
        <v>0.28246820929747757</v>
      </c>
      <c r="K51" s="7">
        <f t="shared" si="273"/>
        <v>0.32420007355645458</v>
      </c>
      <c r="L51" s="7">
        <f t="shared" si="273"/>
        <v>0.34147952443857332</v>
      </c>
      <c r="M51" s="7">
        <f t="shared" ref="M51:N51" si="274">+M32/M30</f>
        <v>0.30071020266759052</v>
      </c>
      <c r="N51" s="7">
        <f t="shared" si="274"/>
        <v>0.26443232841565106</v>
      </c>
      <c r="O51" s="7">
        <f t="shared" ref="O51:P51" si="275">+O32/O30</f>
        <v>0.42118027485852871</v>
      </c>
      <c r="P51" s="7">
        <f t="shared" si="275"/>
        <v>0.47280638143582304</v>
      </c>
      <c r="Q51" s="7">
        <f t="shared" ref="Q51:S51" si="276">+Q32/Q30</f>
        <v>0.46377000130089763</v>
      </c>
      <c r="R51" s="7">
        <f t="shared" si="276"/>
        <v>0.47212946313896736</v>
      </c>
      <c r="S51" s="7">
        <f t="shared" si="276"/>
        <v>0.46690580884054617</v>
      </c>
      <c r="T51" s="7">
        <f t="shared" ref="T51:AJ51" si="277">+T32/T30</f>
        <v>0.39470118922173719</v>
      </c>
      <c r="U51" s="7">
        <f t="shared" si="277"/>
        <v>0.21860465116279071</v>
      </c>
      <c r="V51" s="7">
        <f t="shared" si="277"/>
        <v>-0.32656376929325753</v>
      </c>
      <c r="W51" s="7">
        <f t="shared" si="277"/>
        <v>-0.17803837953091683</v>
      </c>
      <c r="X51" s="7">
        <f t="shared" si="277"/>
        <v>-0.10847880299251871</v>
      </c>
      <c r="Y51" s="7">
        <f t="shared" si="277"/>
        <v>-7.4058400338552688E-3</v>
      </c>
      <c r="Z51" s="7">
        <f t="shared" si="277"/>
        <v>0.18526785714285715</v>
      </c>
      <c r="AA51" s="7">
        <f t="shared" si="277"/>
        <v>0.26897665541036558</v>
      </c>
      <c r="AB51" s="7">
        <f t="shared" si="277"/>
        <v>0.35316129032258065</v>
      </c>
      <c r="AC51" s="7">
        <f t="shared" si="277"/>
        <v>0.38442990010334138</v>
      </c>
      <c r="AD51" s="7">
        <f t="shared" si="277"/>
        <v>0.36793741462808893</v>
      </c>
      <c r="AE51" s="7">
        <f t="shared" si="277"/>
        <v>0.37716374583378132</v>
      </c>
      <c r="AF51" s="7">
        <f t="shared" si="277"/>
        <v>0.44666372072470173</v>
      </c>
      <c r="AG51" s="7">
        <f t="shared" si="277"/>
        <v>0.56043392215788312</v>
      </c>
      <c r="AH51" s="7">
        <f t="shared" si="277"/>
        <v>0.74413243922883487</v>
      </c>
      <c r="AI51" s="7">
        <f t="shared" si="277"/>
        <v>0.84561945194905441</v>
      </c>
      <c r="AJ51" s="7">
        <f t="shared" si="277"/>
        <v>0.86</v>
      </c>
      <c r="AK51" s="7">
        <f t="shared" ref="AK51:AN51" si="278">+AK32/AK30</f>
        <v>0.87</v>
      </c>
      <c r="AL51" s="7">
        <f t="shared" si="278"/>
        <v>0.88</v>
      </c>
      <c r="AM51" s="7">
        <f t="shared" si="278"/>
        <v>0.88</v>
      </c>
      <c r="AN51" s="7">
        <f t="shared" si="278"/>
        <v>0.88</v>
      </c>
      <c r="AO51" s="7"/>
      <c r="AQ51" s="7">
        <f t="shared" ref="AQ51:AW51" si="279">+AQ32/AQ30</f>
        <v>0.56289851754335762</v>
      </c>
      <c r="AR51" s="7">
        <f t="shared" si="279"/>
        <v>0.15832476740201895</v>
      </c>
      <c r="AS51" s="7">
        <f t="shared" si="279"/>
        <v>-0.32626624373273311</v>
      </c>
      <c r="AT51" s="7">
        <f t="shared" si="279"/>
        <v>-2.3248928027021758E-3</v>
      </c>
      <c r="AU51" s="7">
        <f t="shared" si="279"/>
        <v>0.52176039933444252</v>
      </c>
      <c r="AV51" s="7">
        <f t="shared" si="279"/>
        <v>0.48436239987097462</v>
      </c>
      <c r="AW51" s="7">
        <f t="shared" si="279"/>
        <v>0.23177836443271127</v>
      </c>
      <c r="AX51" s="7">
        <f t="shared" ref="AX51:BD51" si="280">+AX32/AX30</f>
        <v>0.21792026556203903</v>
      </c>
      <c r="AY51" s="7">
        <f t="shared" si="280"/>
        <v>0.22911317400750542</v>
      </c>
      <c r="AZ51" s="7">
        <f t="shared" si="280"/>
        <v>0.37558855487142329</v>
      </c>
      <c r="BA51" s="7">
        <f t="shared" si="280"/>
        <v>0.51528920545253587</v>
      </c>
      <c r="BB51" s="7">
        <f t="shared" si="280"/>
        <v>0.5500050800961831</v>
      </c>
      <c r="BC51" s="7">
        <f t="shared" si="280"/>
        <v>0.39832503147408177</v>
      </c>
      <c r="BD51" s="7">
        <f t="shared" si="280"/>
        <v>0.2777129853505903</v>
      </c>
      <c r="BE51" s="7">
        <f t="shared" ref="BE51:BO51" si="281">+BE32/BE30</f>
        <v>9.3097380391115273E-2</v>
      </c>
      <c r="BF51" s="7">
        <f t="shared" si="281"/>
        <v>0.24391285775309693</v>
      </c>
      <c r="BG51" s="7">
        <f t="shared" si="281"/>
        <v>0.5105149000377216</v>
      </c>
      <c r="BH51" s="7">
        <f t="shared" si="281"/>
        <v>2.8125714576081779E-2</v>
      </c>
      <c r="BI51" s="7">
        <f t="shared" si="281"/>
        <v>-4.2719196601004213E-2</v>
      </c>
      <c r="BJ51" s="7">
        <f t="shared" si="281"/>
        <v>-6.7939178259462957E-3</v>
      </c>
      <c r="BK51" s="7">
        <f t="shared" si="281"/>
        <v>0.29836512261580383</v>
      </c>
      <c r="BL51" s="7">
        <f t="shared" si="281"/>
        <v>0.23483606557377049</v>
      </c>
      <c r="BM51" s="7">
        <f t="shared" si="281"/>
        <v>0.22761760242792109</v>
      </c>
      <c r="BN51" s="7">
        <f t="shared" si="281"/>
        <v>0.18952180028129395</v>
      </c>
      <c r="BO51" s="7">
        <f t="shared" si="281"/>
        <v>-9.4161958568738224E-3</v>
      </c>
      <c r="BP51" s="7">
        <f t="shared" ref="BP51:BW51" si="282">+BP32/BP30</f>
        <v>-9.1609410784926085E-2</v>
      </c>
      <c r="BQ51" s="7">
        <f t="shared" si="282"/>
        <v>0.31997170478660691</v>
      </c>
      <c r="BR51" s="7">
        <f t="shared" si="282"/>
        <v>0.20004551661356396</v>
      </c>
      <c r="BS51" s="7">
        <f t="shared" si="282"/>
        <v>0.11756133106631042</v>
      </c>
      <c r="BT51" s="7">
        <f t="shared" si="282"/>
        <v>0.2035710349388295</v>
      </c>
      <c r="BU51" s="7">
        <f t="shared" si="282"/>
        <v>0.33237559603863553</v>
      </c>
      <c r="BV51" s="7">
        <f t="shared" si="282"/>
        <v>0.32207262845849804</v>
      </c>
      <c r="BW51" s="7">
        <f t="shared" si="282"/>
        <v>0.20203242196951368</v>
      </c>
      <c r="BX51" s="7">
        <f t="shared" ref="BX51:BZ51" si="283">+BX32/BX30</f>
        <v>0.41511662237968705</v>
      </c>
      <c r="BY51" s="7">
        <f t="shared" si="283"/>
        <v>0.588694021256293</v>
      </c>
      <c r="BZ51" s="7">
        <f t="shared" si="283"/>
        <v>0.45723318807143465</v>
      </c>
      <c r="CA51" s="7">
        <f t="shared" ref="CA51:CO51" si="284">+CA32/CA30</f>
        <v>0.30566829951014696</v>
      </c>
      <c r="CB51" s="7">
        <f t="shared" si="284"/>
        <v>0.37621367984118392</v>
      </c>
      <c r="CC51" s="7">
        <f t="shared" si="284"/>
        <v>0.45184992522270628</v>
      </c>
      <c r="CD51" s="7">
        <f t="shared" si="284"/>
        <v>-9.1119691119691121E-2</v>
      </c>
      <c r="CE51" s="7">
        <f t="shared" si="284"/>
        <v>0.22352753773246783</v>
      </c>
      <c r="CF51" s="7">
        <f t="shared" si="284"/>
        <v>0.39790786023864305</v>
      </c>
      <c r="CG51" s="7">
        <f t="shared" si="284"/>
        <v>0.80640332760022737</v>
      </c>
      <c r="CH51" s="7">
        <f t="shared" si="284"/>
        <v>0.8777678571428571</v>
      </c>
      <c r="CI51" s="7">
        <f t="shared" si="284"/>
        <v>0.9</v>
      </c>
      <c r="CJ51" s="7">
        <f t="shared" si="284"/>
        <v>0.6</v>
      </c>
      <c r="CK51" s="7">
        <f t="shared" si="284"/>
        <v>0.5</v>
      </c>
      <c r="CL51" s="7">
        <f t="shared" si="284"/>
        <v>0.5</v>
      </c>
      <c r="CM51" s="7">
        <f t="shared" si="284"/>
        <v>0.5</v>
      </c>
      <c r="CN51" s="7">
        <f t="shared" si="284"/>
        <v>0.5</v>
      </c>
      <c r="CO51" s="7">
        <f t="shared" si="284"/>
        <v>0.5</v>
      </c>
    </row>
    <row r="53" spans="2:96" x14ac:dyDescent="0.25">
      <c r="B53" t="s">
        <v>213</v>
      </c>
      <c r="C53" s="2">
        <f t="shared" ref="C53:D53" si="285">+C54-C66</f>
        <v>0</v>
      </c>
      <c r="D53" s="2">
        <f t="shared" si="285"/>
        <v>0</v>
      </c>
      <c r="E53" s="2">
        <f t="shared" ref="E53:L53" si="286">+E54-E66</f>
        <v>2996</v>
      </c>
      <c r="F53" s="2">
        <f t="shared" ref="F53:H53" si="287">+F54-F66</f>
        <v>2909</v>
      </c>
      <c r="G53" s="2">
        <f t="shared" si="287"/>
        <v>0</v>
      </c>
      <c r="H53" s="2">
        <f t="shared" si="287"/>
        <v>0</v>
      </c>
      <c r="I53" s="2">
        <f t="shared" si="286"/>
        <v>2537</v>
      </c>
      <c r="J53" s="2">
        <f t="shared" si="286"/>
        <v>2642</v>
      </c>
      <c r="K53" s="2">
        <f t="shared" si="286"/>
        <v>2549</v>
      </c>
      <c r="L53" s="2">
        <f t="shared" si="286"/>
        <v>2547</v>
      </c>
      <c r="M53" s="2">
        <f t="shared" ref="M53:P53" si="288">+M54-M66</f>
        <v>1667</v>
      </c>
      <c r="N53" s="2">
        <f t="shared" si="288"/>
        <v>1879</v>
      </c>
      <c r="O53" s="2">
        <f t="shared" si="288"/>
        <v>3033</v>
      </c>
      <c r="P53" s="2">
        <f t="shared" si="288"/>
        <v>3622</v>
      </c>
      <c r="Q53" s="2">
        <f t="shared" ref="Q53:T53" si="289">+Q54-Q66</f>
        <v>4375</v>
      </c>
      <c r="R53" s="2">
        <f t="shared" si="289"/>
        <v>4763</v>
      </c>
      <c r="S53" s="2">
        <f t="shared" si="289"/>
        <v>4910</v>
      </c>
      <c r="T53" s="2">
        <f t="shared" si="289"/>
        <v>4072</v>
      </c>
      <c r="U53" s="2">
        <f t="shared" ref="U53:AC53" si="290">+U54-U66</f>
        <v>1742</v>
      </c>
      <c r="V53" s="2">
        <f t="shared" si="290"/>
        <v>-244</v>
      </c>
      <c r="W53" s="2">
        <f t="shared" si="290"/>
        <v>-1920</v>
      </c>
      <c r="X53" s="2">
        <f t="shared" si="290"/>
        <v>-2892</v>
      </c>
      <c r="Y53" s="2">
        <f t="shared" si="290"/>
        <v>-3737</v>
      </c>
      <c r="Z53" s="2">
        <f t="shared" si="290"/>
        <v>-4089</v>
      </c>
      <c r="AA53" s="2">
        <f t="shared" si="290"/>
        <v>-4104</v>
      </c>
      <c r="AB53" s="2">
        <f t="shared" si="290"/>
        <v>-4245</v>
      </c>
      <c r="AC53" s="2">
        <f t="shared" si="290"/>
        <v>-5041</v>
      </c>
      <c r="AD53" s="2">
        <f t="shared" ref="AD53:AF53" si="291">+AD54-AD66</f>
        <v>-4765</v>
      </c>
      <c r="AE53" s="2">
        <f t="shared" si="291"/>
        <v>-3328</v>
      </c>
      <c r="AF53" s="2">
        <f t="shared" si="291"/>
        <v>-2641</v>
      </c>
      <c r="AG53" s="2">
        <f t="shared" ref="AG53:AH53" si="292">+AG54-AG66</f>
        <v>259</v>
      </c>
      <c r="AH53" s="2">
        <f t="shared" si="292"/>
        <v>6485</v>
      </c>
      <c r="AI53" s="2">
        <f>+AI54-AI66</f>
        <v>24406</v>
      </c>
      <c r="BC53" s="2">
        <f>+BC54-BC66</f>
        <v>-193</v>
      </c>
      <c r="BD53" s="2">
        <f t="shared" ref="BD53" si="293">+BD54-BD66</f>
        <v>98.800000000000068</v>
      </c>
      <c r="BH53" s="2">
        <f t="shared" ref="BH53" si="294">+BH54-BH66</f>
        <v>1147.1000000000001</v>
      </c>
      <c r="BI53" s="2">
        <f t="shared" ref="BI53" si="295">+BI54-BI66</f>
        <v>531.80000000000007</v>
      </c>
      <c r="BJ53" s="2">
        <f t="shared" ref="BJ53:BM53" si="296">+BJ54-BJ66</f>
        <v>-39</v>
      </c>
      <c r="BK53" s="2">
        <f t="shared" si="296"/>
        <v>160.09999999999991</v>
      </c>
      <c r="BL53" s="2">
        <f t="shared" si="296"/>
        <v>123</v>
      </c>
      <c r="BM53" s="2">
        <f t="shared" si="296"/>
        <v>2508</v>
      </c>
      <c r="BN53" s="2">
        <f t="shared" ref="BN53" si="297">+BN54-BN66</f>
        <v>206</v>
      </c>
      <c r="BO53" s="2">
        <f t="shared" ref="BO53" si="298">+BO54-BO66</f>
        <v>-1280</v>
      </c>
      <c r="BP53" s="2">
        <f t="shared" ref="BP53" si="299">+BP54-BP66</f>
        <v>-947</v>
      </c>
      <c r="BQ53" s="2">
        <f t="shared" ref="BQ53" si="300">+BQ54-BQ66</f>
        <v>1470</v>
      </c>
      <c r="BR53" s="2">
        <f t="shared" ref="BR53:BT53" si="301">+BR54-BR66</f>
        <v>694</v>
      </c>
      <c r="BS53" s="2">
        <f t="shared" si="301"/>
        <v>60</v>
      </c>
      <c r="BT53" s="2">
        <f t="shared" si="301"/>
        <v>-1485</v>
      </c>
      <c r="BU53" s="2">
        <f t="shared" ref="BU53:BW53" si="302">+BU54-BU66</f>
        <v>-187</v>
      </c>
      <c r="BV53" s="2">
        <f t="shared" si="302"/>
        <v>-328</v>
      </c>
      <c r="BW53" s="2">
        <f t="shared" si="302"/>
        <v>-3734</v>
      </c>
      <c r="BX53" s="2">
        <f t="shared" ref="BX53:CC53" si="303">+BX54-BX66</f>
        <v>-5089</v>
      </c>
      <c r="BY53" s="2">
        <f t="shared" si="303"/>
        <v>2639</v>
      </c>
      <c r="BZ53" s="2">
        <f t="shared" si="303"/>
        <v>3268</v>
      </c>
      <c r="CA53" s="2">
        <f t="shared" si="303"/>
        <v>2547</v>
      </c>
      <c r="CB53" s="2">
        <f t="shared" si="303"/>
        <v>3622</v>
      </c>
      <c r="CC53" s="2">
        <f t="shared" si="303"/>
        <v>4072</v>
      </c>
      <c r="CD53" s="2">
        <f>+X53</f>
        <v>-2892</v>
      </c>
      <c r="CE53" s="2">
        <f>+AB53</f>
        <v>-4245</v>
      </c>
      <c r="CF53" s="2">
        <f>+AF53</f>
        <v>-2641</v>
      </c>
    </row>
    <row r="54" spans="2:96" ht="13" x14ac:dyDescent="0.3">
      <c r="B54" t="s">
        <v>3</v>
      </c>
      <c r="D54" s="6"/>
      <c r="E54" s="6">
        <f>4447+1116+1565</f>
        <v>7128</v>
      </c>
      <c r="F54" s="6">
        <f>6353+1180+1614</f>
        <v>9147</v>
      </c>
      <c r="G54" s="6"/>
      <c r="H54" s="6"/>
      <c r="I54" s="6">
        <f>6969+619+599</f>
        <v>8187</v>
      </c>
      <c r="J54" s="6">
        <f>7118+363+586</f>
        <v>8067</v>
      </c>
      <c r="K54" s="6">
        <f>8267+391+577</f>
        <v>9235</v>
      </c>
      <c r="L54" s="6">
        <f>7624+518+1048</f>
        <v>9190</v>
      </c>
      <c r="M54" s="6">
        <f>5985+1047+1264</f>
        <v>8296</v>
      </c>
      <c r="N54" s="6">
        <f>6507+677+1316</f>
        <v>8500</v>
      </c>
      <c r="O54" s="6">
        <f>7759+590+1399</f>
        <v>9748</v>
      </c>
      <c r="P54" s="6">
        <f>7763+870+1765</f>
        <v>10398</v>
      </c>
      <c r="Q54" s="6">
        <f>8680+900+1817</f>
        <v>11397</v>
      </c>
      <c r="R54" s="6">
        <f>9116+1006+1717</f>
        <v>11839</v>
      </c>
      <c r="S54" s="6">
        <f>9157+1070+1646</f>
        <v>11873</v>
      </c>
      <c r="T54" s="6">
        <f>8262+1069+1647</f>
        <v>10978</v>
      </c>
      <c r="U54" s="6">
        <f>9574+1007+1426</f>
        <v>12007</v>
      </c>
      <c r="V54" s="6">
        <f>9798+1020+1212</f>
        <v>12030</v>
      </c>
      <c r="W54" s="6">
        <f>9298+1054+973</f>
        <v>11325</v>
      </c>
      <c r="X54" s="6">
        <f>8577+1017+844</f>
        <v>10438</v>
      </c>
      <c r="Y54" s="6">
        <f>8075+973+720</f>
        <v>9768</v>
      </c>
      <c r="Z54" s="6">
        <f>8016+990+627</f>
        <v>9633</v>
      </c>
      <c r="AA54" s="6">
        <f>7594+785+775</f>
        <v>9154</v>
      </c>
      <c r="AB54" s="6">
        <f>7041+1065+1046</f>
        <v>9152</v>
      </c>
      <c r="AC54" s="6">
        <f>6693+895+1156</f>
        <v>8744</v>
      </c>
      <c r="AD54" s="2">
        <f>7552+663+1375</f>
        <v>9590</v>
      </c>
      <c r="AE54" s="2">
        <f>10163+1402+648</f>
        <v>12213</v>
      </c>
      <c r="AF54" s="2">
        <f>9642+665+1629</f>
        <v>11936</v>
      </c>
      <c r="AG54" s="2">
        <f>9731+587+1697</f>
        <v>12015</v>
      </c>
      <c r="AH54" s="2">
        <f>13908+681+2038</f>
        <v>16627</v>
      </c>
      <c r="AI54" s="2">
        <f>24995+1027+4106</f>
        <v>30128</v>
      </c>
      <c r="BC54" s="2">
        <f>276.1+10.7</f>
        <v>286.8</v>
      </c>
      <c r="BD54" s="2">
        <f>619.5+368.2</f>
        <v>987.7</v>
      </c>
      <c r="BH54" s="2">
        <f>469.1+1209.2</f>
        <v>1678.3000000000002</v>
      </c>
      <c r="BI54" s="2">
        <f>398.2+587.5</f>
        <v>985.7</v>
      </c>
      <c r="BJ54" s="2">
        <f>570.3+351.5+125.2</f>
        <v>1047</v>
      </c>
      <c r="BK54" s="2">
        <f>486.1+744.9+27.6</f>
        <v>1258.5999999999999</v>
      </c>
      <c r="BL54" s="2">
        <f>524+766</f>
        <v>1290</v>
      </c>
      <c r="BM54" s="2">
        <f>1431+1648</f>
        <v>3079</v>
      </c>
      <c r="BN54" s="2">
        <f>2192+424</f>
        <v>2616</v>
      </c>
      <c r="BO54" s="2">
        <f>1243+119+84</f>
        <v>1446</v>
      </c>
      <c r="BP54" s="2">
        <f>1485+315+56</f>
        <v>1856</v>
      </c>
      <c r="BQ54" s="2">
        <f>2913+582+335</f>
        <v>3830</v>
      </c>
      <c r="BR54" s="2">
        <f>2160+52+483</f>
        <v>2695</v>
      </c>
      <c r="BS54" s="2">
        <f>2459+100+374+389</f>
        <v>3322</v>
      </c>
      <c r="BT54" s="2">
        <f>2880+221+499+396+556</f>
        <v>4552</v>
      </c>
      <c r="BU54" s="2">
        <f>4150+384+819+971</f>
        <v>6324</v>
      </c>
      <c r="BV54" s="2">
        <f>2287+1234+2113+1379</f>
        <v>7013</v>
      </c>
      <c r="BW54" s="6">
        <f>4140+258+1364+414</f>
        <v>6176</v>
      </c>
      <c r="BX54" s="2">
        <f>5109+319+617</f>
        <v>6045</v>
      </c>
      <c r="BY54" s="2">
        <f>6506+296+473</f>
        <v>7275</v>
      </c>
      <c r="BZ54" s="2">
        <f>7152+803+1164</f>
        <v>9119</v>
      </c>
      <c r="CA54" s="2">
        <f>7624+518+1048</f>
        <v>9190</v>
      </c>
      <c r="CB54" s="2">
        <f>7763+870+1765</f>
        <v>10398</v>
      </c>
      <c r="CC54" s="2">
        <f>8262+1069+1647</f>
        <v>10978</v>
      </c>
      <c r="CD54" s="2">
        <f t="shared" ref="CD54:CD72" si="304">+X54</f>
        <v>10438</v>
      </c>
      <c r="CE54" s="2">
        <f t="shared" ref="CE54:CE72" si="305">+AB54</f>
        <v>9152</v>
      </c>
      <c r="CF54" s="2">
        <f t="shared" ref="CF54:CF72" si="306">+AF54</f>
        <v>11936</v>
      </c>
      <c r="CG54" s="2">
        <f>+AI54+10000</f>
        <v>40128</v>
      </c>
      <c r="CH54" s="2">
        <f t="shared" ref="CH54:CO54" si="307">+CG54+CH45</f>
        <v>245045.45</v>
      </c>
      <c r="CI54" s="2">
        <f t="shared" si="307"/>
        <v>521367.33200000005</v>
      </c>
      <c r="CJ54" s="2">
        <f t="shared" si="307"/>
        <v>699747.96320000011</v>
      </c>
      <c r="CK54" s="2">
        <f t="shared" si="307"/>
        <v>844305.78978560015</v>
      </c>
      <c r="CL54" s="2">
        <f t="shared" si="307"/>
        <v>957766.27867635211</v>
      </c>
      <c r="CM54" s="2">
        <f t="shared" si="307"/>
        <v>1067049.9548417141</v>
      </c>
      <c r="CN54" s="2">
        <f t="shared" si="307"/>
        <v>1172842.7840042398</v>
      </c>
      <c r="CO54" s="2">
        <f t="shared" si="307"/>
        <v>1275772.3121423323</v>
      </c>
      <c r="CQ54" s="18"/>
      <c r="CR54" s="18"/>
    </row>
    <row r="55" spans="2:96" x14ac:dyDescent="0.25">
      <c r="B55" t="s">
        <v>156</v>
      </c>
      <c r="D55" s="6"/>
      <c r="E55" s="6">
        <v>5418</v>
      </c>
      <c r="F55" s="6">
        <v>4416</v>
      </c>
      <c r="G55" s="6"/>
      <c r="H55" s="6"/>
      <c r="I55" s="6">
        <v>3419</v>
      </c>
      <c r="J55" s="6">
        <v>3049</v>
      </c>
      <c r="K55" s="6">
        <v>3603</v>
      </c>
      <c r="L55" s="6">
        <v>3912</v>
      </c>
      <c r="M55" s="6">
        <v>3691</v>
      </c>
      <c r="N55" s="6">
        <v>3353</v>
      </c>
      <c r="O55" s="6">
        <v>4231</v>
      </c>
      <c r="P55" s="6">
        <v>5311</v>
      </c>
      <c r="Q55" s="6">
        <v>5250</v>
      </c>
      <c r="R55" s="6">
        <v>5384</v>
      </c>
      <c r="S55" s="6">
        <v>6229</v>
      </c>
      <c r="T55" s="6">
        <v>5130</v>
      </c>
      <c r="U55" s="6">
        <v>3318</v>
      </c>
      <c r="V55" s="6">
        <v>2278</v>
      </c>
      <c r="W55" s="6">
        <v>2429</v>
      </c>
      <c r="X55" s="6">
        <v>2443</v>
      </c>
      <c r="Y55" s="6">
        <v>2943</v>
      </c>
      <c r="Z55" s="6">
        <v>4296</v>
      </c>
      <c r="AA55" s="6">
        <v>5131</v>
      </c>
      <c r="AB55" s="6">
        <v>6615</v>
      </c>
      <c r="AC55" s="6">
        <v>7423</v>
      </c>
      <c r="AD55" s="2">
        <v>6504</v>
      </c>
      <c r="AE55" s="2">
        <v>7436</v>
      </c>
      <c r="AF55" s="2">
        <v>9265</v>
      </c>
      <c r="AG55" s="2">
        <v>10184</v>
      </c>
      <c r="AH55" s="2">
        <v>17314</v>
      </c>
      <c r="AI55" s="2">
        <v>31025</v>
      </c>
      <c r="BC55" s="2">
        <v>347.4</v>
      </c>
      <c r="BD55" s="2">
        <v>458.9</v>
      </c>
      <c r="BH55" s="2">
        <v>791.6</v>
      </c>
      <c r="BI55" s="2">
        <v>537.9</v>
      </c>
      <c r="BJ55" s="2">
        <v>642.5</v>
      </c>
      <c r="BK55" s="2">
        <v>773.7</v>
      </c>
      <c r="BL55" s="2">
        <v>794</v>
      </c>
      <c r="BM55" s="2">
        <v>956</v>
      </c>
      <c r="BN55" s="2">
        <v>994</v>
      </c>
      <c r="BO55" s="2">
        <v>1032</v>
      </c>
      <c r="BP55" s="2">
        <v>798</v>
      </c>
      <c r="BQ55" s="2">
        <v>1531</v>
      </c>
      <c r="BR55" s="2">
        <v>1497</v>
      </c>
      <c r="BS55" s="2">
        <v>1289</v>
      </c>
      <c r="BT55" s="2">
        <v>2329</v>
      </c>
      <c r="BU55" s="2">
        <v>2906</v>
      </c>
      <c r="BV55" s="2">
        <v>2507</v>
      </c>
      <c r="BW55" s="6">
        <v>2068</v>
      </c>
      <c r="BX55" s="2">
        <v>3759</v>
      </c>
      <c r="BY55" s="2">
        <v>5478</v>
      </c>
      <c r="BZ55" s="2">
        <v>3195</v>
      </c>
      <c r="CA55" s="2">
        <v>3912</v>
      </c>
      <c r="CB55" s="2">
        <v>5311</v>
      </c>
      <c r="CC55" s="2">
        <v>5130</v>
      </c>
      <c r="CD55" s="2">
        <f t="shared" si="304"/>
        <v>2443</v>
      </c>
      <c r="CE55" s="2">
        <f t="shared" si="305"/>
        <v>6615</v>
      </c>
      <c r="CF55" s="2">
        <f t="shared" si="306"/>
        <v>9265</v>
      </c>
      <c r="CQ55" t="s">
        <v>212</v>
      </c>
      <c r="CR55" s="21">
        <v>0.05</v>
      </c>
    </row>
    <row r="56" spans="2:96" ht="13" x14ac:dyDescent="0.3">
      <c r="B56" t="s">
        <v>155</v>
      </c>
      <c r="D56" s="6"/>
      <c r="E56" s="6">
        <v>3876</v>
      </c>
      <c r="F56" s="6">
        <v>4390</v>
      </c>
      <c r="G56" s="6"/>
      <c r="H56" s="6"/>
      <c r="I56" s="6">
        <v>4943</v>
      </c>
      <c r="J56" s="6">
        <v>5208</v>
      </c>
      <c r="K56" s="6">
        <v>5405</v>
      </c>
      <c r="L56" s="6">
        <v>5607</v>
      </c>
      <c r="M56" s="6">
        <v>5521</v>
      </c>
      <c r="N56" s="6">
        <v>4743</v>
      </c>
      <c r="O56" s="6">
        <v>4537</v>
      </c>
      <c r="P56" s="6">
        <v>4487</v>
      </c>
      <c r="Q56" s="6">
        <v>4827</v>
      </c>
      <c r="R56" s="6">
        <v>5383</v>
      </c>
      <c r="S56" s="6">
        <v>5629</v>
      </c>
      <c r="T56" s="6">
        <v>6663</v>
      </c>
      <c r="U56" s="6">
        <v>8359</v>
      </c>
      <c r="V56" s="6">
        <v>8129</v>
      </c>
      <c r="W56" s="6">
        <v>8238</v>
      </c>
      <c r="X56" s="6">
        <v>8387</v>
      </c>
      <c r="Y56" s="6">
        <v>8276</v>
      </c>
      <c r="Z56" s="6">
        <v>8443</v>
      </c>
      <c r="AA56" s="6">
        <v>8512</v>
      </c>
      <c r="AB56" s="6">
        <v>8875</v>
      </c>
      <c r="AC56" s="6">
        <v>8705</v>
      </c>
      <c r="AD56" s="2">
        <v>9007</v>
      </c>
      <c r="AE56" s="2">
        <v>8727</v>
      </c>
      <c r="AF56" s="2">
        <v>8355</v>
      </c>
      <c r="AG56" s="2">
        <v>8205</v>
      </c>
      <c r="AH56" s="2">
        <v>8267</v>
      </c>
      <c r="AI56" s="2">
        <v>8567</v>
      </c>
      <c r="BC56" s="2">
        <v>251.4</v>
      </c>
      <c r="BD56" s="2">
        <v>454.2</v>
      </c>
      <c r="BH56" s="2">
        <v>491.1</v>
      </c>
      <c r="BI56" s="2">
        <v>545.4</v>
      </c>
      <c r="BJ56" s="2">
        <v>417.4</v>
      </c>
      <c r="BK56" s="2">
        <v>578.1</v>
      </c>
      <c r="BL56" s="2">
        <v>771</v>
      </c>
      <c r="BM56" s="2">
        <v>963</v>
      </c>
      <c r="BN56" s="2">
        <v>1532</v>
      </c>
      <c r="BO56" s="2">
        <v>1291</v>
      </c>
      <c r="BP56" s="2">
        <v>987</v>
      </c>
      <c r="BQ56" s="2">
        <v>1770</v>
      </c>
      <c r="BR56" s="2">
        <v>2080</v>
      </c>
      <c r="BS56" s="2">
        <v>1812</v>
      </c>
      <c r="BT56" s="2">
        <v>2649</v>
      </c>
      <c r="BU56" s="2">
        <v>2455</v>
      </c>
      <c r="BV56" s="2">
        <v>2340</v>
      </c>
      <c r="BW56" s="6">
        <v>2889</v>
      </c>
      <c r="BX56" s="2">
        <v>3123</v>
      </c>
      <c r="BY56" s="2">
        <v>3595</v>
      </c>
      <c r="BZ56" s="2">
        <v>5118</v>
      </c>
      <c r="CA56" s="2">
        <v>5607</v>
      </c>
      <c r="CB56" s="2">
        <v>4487</v>
      </c>
      <c r="CC56" s="2">
        <v>6663</v>
      </c>
      <c r="CD56" s="2">
        <f t="shared" si="304"/>
        <v>8387</v>
      </c>
      <c r="CE56" s="2">
        <f t="shared" si="305"/>
        <v>8875</v>
      </c>
      <c r="CF56" s="2">
        <f t="shared" si="306"/>
        <v>8355</v>
      </c>
      <c r="CQ56" s="18" t="s">
        <v>207</v>
      </c>
      <c r="CR56" s="19">
        <v>-0.05</v>
      </c>
    </row>
    <row r="57" spans="2:96" x14ac:dyDescent="0.25">
      <c r="B57" t="s">
        <v>157</v>
      </c>
      <c r="D57" s="6"/>
      <c r="E57" s="6">
        <v>182</v>
      </c>
      <c r="F57" s="6">
        <v>211</v>
      </c>
      <c r="G57" s="6"/>
      <c r="H57" s="6"/>
      <c r="I57" s="6">
        <v>217</v>
      </c>
      <c r="J57" s="6">
        <v>238</v>
      </c>
      <c r="K57" s="6">
        <v>233</v>
      </c>
      <c r="L57" s="6">
        <v>304</v>
      </c>
      <c r="M57" s="6">
        <v>285</v>
      </c>
      <c r="N57" s="6">
        <f>1461+538</f>
        <v>1999</v>
      </c>
      <c r="O57" s="6">
        <f>966+478</f>
        <v>1444</v>
      </c>
      <c r="P57" s="6">
        <f>974+502</f>
        <v>1476</v>
      </c>
      <c r="Q57" s="6">
        <f>521+13</f>
        <v>534</v>
      </c>
      <c r="R57" s="6">
        <f>13+600</f>
        <v>613</v>
      </c>
      <c r="S57" s="6">
        <f>15+608</f>
        <v>623</v>
      </c>
      <c r="T57" s="6">
        <f>13+644</f>
        <v>657</v>
      </c>
      <c r="U57" s="6">
        <v>663</v>
      </c>
      <c r="V57" s="6">
        <v>673</v>
      </c>
      <c r="W57" s="6">
        <v>715</v>
      </c>
      <c r="X57" s="6">
        <v>820</v>
      </c>
      <c r="Y57" s="6">
        <v>791</v>
      </c>
      <c r="Z57" s="6">
        <v>1690</v>
      </c>
      <c r="AA57" s="6">
        <v>1297</v>
      </c>
      <c r="AB57" s="6">
        <v>776</v>
      </c>
      <c r="AC57" s="6">
        <v>777</v>
      </c>
      <c r="AD57" s="2">
        <v>963</v>
      </c>
      <c r="AE57" s="2">
        <v>945</v>
      </c>
      <c r="AF57" s="2">
        <v>914</v>
      </c>
      <c r="AG57" s="2">
        <v>958</v>
      </c>
      <c r="AH57" s="2">
        <v>1243</v>
      </c>
      <c r="AI57" s="2">
        <v>1123</v>
      </c>
      <c r="BC57" s="2">
        <f>13.4+65</f>
        <v>78.400000000000006</v>
      </c>
      <c r="BD57" s="2">
        <f>9.4+62.2</f>
        <v>71.600000000000009</v>
      </c>
      <c r="BH57" s="2">
        <f>17.3+159.4</f>
        <v>176.70000000000002</v>
      </c>
      <c r="BI57" s="2">
        <f>35.6+14.2</f>
        <v>49.8</v>
      </c>
      <c r="BJ57" s="2">
        <f>27.7+27.6</f>
        <v>55.3</v>
      </c>
      <c r="BK57" s="2">
        <f>37.4+18.5</f>
        <v>55.9</v>
      </c>
      <c r="BL57" s="2">
        <f>39+32</f>
        <v>71</v>
      </c>
      <c r="BM57" s="2">
        <f>77+26</f>
        <v>103</v>
      </c>
      <c r="BN57" s="2">
        <v>92</v>
      </c>
      <c r="BO57" s="2">
        <v>94</v>
      </c>
      <c r="BP57" s="2">
        <v>74</v>
      </c>
      <c r="BQ57" s="2">
        <v>119</v>
      </c>
      <c r="BR57" s="2">
        <v>95</v>
      </c>
      <c r="BS57" s="2">
        <v>98</v>
      </c>
      <c r="BT57" s="2">
        <v>276</v>
      </c>
      <c r="BU57" s="2">
        <v>350</v>
      </c>
      <c r="BV57" s="2">
        <v>228</v>
      </c>
      <c r="BW57" s="6">
        <v>140</v>
      </c>
      <c r="BX57" s="2">
        <v>147</v>
      </c>
      <c r="BY57" s="2">
        <v>164</v>
      </c>
      <c r="BZ57" s="2">
        <v>235</v>
      </c>
      <c r="CA57" s="2">
        <v>304</v>
      </c>
      <c r="CB57" s="2">
        <f>974+502</f>
        <v>1476</v>
      </c>
      <c r="CC57" s="2">
        <f>13+644</f>
        <v>657</v>
      </c>
      <c r="CD57" s="2">
        <f t="shared" si="304"/>
        <v>820</v>
      </c>
      <c r="CE57" s="2">
        <f t="shared" si="305"/>
        <v>776</v>
      </c>
      <c r="CF57" s="2">
        <f t="shared" si="306"/>
        <v>914</v>
      </c>
      <c r="CQ57" t="s">
        <v>208</v>
      </c>
      <c r="CR57" s="21">
        <v>7.0000000000000007E-2</v>
      </c>
    </row>
    <row r="58" spans="2:96" ht="13" x14ac:dyDescent="0.3">
      <c r="B58" t="s">
        <v>158</v>
      </c>
      <c r="D58" s="6"/>
      <c r="E58" s="6">
        <v>24807</v>
      </c>
      <c r="F58" s="6">
        <v>26204</v>
      </c>
      <c r="G58" s="6"/>
      <c r="H58" s="6"/>
      <c r="I58" s="6">
        <v>29352</v>
      </c>
      <c r="J58" s="6">
        <v>29647</v>
      </c>
      <c r="K58" s="6">
        <v>30081</v>
      </c>
      <c r="L58" s="6">
        <v>31031</v>
      </c>
      <c r="M58" s="6">
        <v>32229</v>
      </c>
      <c r="N58" s="6">
        <v>31848</v>
      </c>
      <c r="O58" s="6">
        <v>32209</v>
      </c>
      <c r="P58" s="6">
        <v>33213</v>
      </c>
      <c r="Q58" s="6">
        <v>35155</v>
      </c>
      <c r="R58" s="6">
        <v>36171</v>
      </c>
      <c r="S58" s="6">
        <v>36665</v>
      </c>
      <c r="T58" s="6">
        <v>38549</v>
      </c>
      <c r="U58" s="6">
        <v>39335</v>
      </c>
      <c r="V58" s="6">
        <v>39085</v>
      </c>
      <c r="W58" s="6">
        <v>38727</v>
      </c>
      <c r="X58" s="6">
        <v>37928</v>
      </c>
      <c r="Y58" s="6">
        <v>37677</v>
      </c>
      <c r="Z58" s="6">
        <v>37587</v>
      </c>
      <c r="AA58" s="6">
        <v>37926</v>
      </c>
      <c r="AB58" s="6">
        <v>39749</v>
      </c>
      <c r="AC58" s="6">
        <v>41476</v>
      </c>
      <c r="AD58" s="2">
        <v>42528</v>
      </c>
      <c r="AE58" s="2">
        <v>44773</v>
      </c>
      <c r="AF58" s="2">
        <v>46590</v>
      </c>
      <c r="AG58" s="2">
        <v>48477</v>
      </c>
      <c r="AH58" s="2">
        <v>51408</v>
      </c>
      <c r="AI58" s="2">
        <v>56426</v>
      </c>
      <c r="AQ58" s="2">
        <v>77.004000000000005</v>
      </c>
      <c r="AR58" s="2">
        <v>104.458</v>
      </c>
      <c r="AS58" s="2">
        <v>97.671000000000006</v>
      </c>
      <c r="AT58" s="2">
        <v>84.152000000000001</v>
      </c>
      <c r="AU58" s="2">
        <v>117.408</v>
      </c>
      <c r="AV58" s="2">
        <v>326.04700000000003</v>
      </c>
      <c r="AW58" s="2">
        <v>385.14699999999999</v>
      </c>
      <c r="AX58" s="2">
        <v>389.35399999999998</v>
      </c>
      <c r="AZ58" s="2">
        <v>437.8</v>
      </c>
      <c r="BA58" s="2">
        <v>663.5</v>
      </c>
      <c r="BB58" s="2">
        <v>1385.6</v>
      </c>
      <c r="BC58" s="2">
        <v>2708.1</v>
      </c>
      <c r="BD58" s="2">
        <v>2761.2</v>
      </c>
      <c r="BE58" s="2">
        <v>3030.8</v>
      </c>
      <c r="BF58" s="2"/>
      <c r="BG58" s="2"/>
      <c r="BH58" s="2">
        <v>4704.1000000000004</v>
      </c>
      <c r="BI58" s="2">
        <v>4699.5</v>
      </c>
      <c r="BJ58" s="2">
        <v>4510.5</v>
      </c>
      <c r="BK58" s="2">
        <v>4712.7</v>
      </c>
      <c r="BL58" s="2">
        <v>4684</v>
      </c>
      <c r="BM58" s="2">
        <v>5888</v>
      </c>
      <c r="BN58" s="2">
        <v>8279</v>
      </c>
      <c r="BO58" s="2">
        <v>8811</v>
      </c>
      <c r="BP58" s="2">
        <v>7089</v>
      </c>
      <c r="BQ58" s="2">
        <v>6601</v>
      </c>
      <c r="BR58" s="2">
        <v>7555</v>
      </c>
      <c r="BS58" s="2">
        <v>7103</v>
      </c>
      <c r="BT58" s="2">
        <v>7626</v>
      </c>
      <c r="BU58" s="2">
        <v>8682</v>
      </c>
      <c r="BV58" s="2">
        <v>10554</v>
      </c>
      <c r="BW58" s="6">
        <v>14686</v>
      </c>
      <c r="BX58" s="2">
        <v>19431</v>
      </c>
      <c r="BY58" s="2">
        <v>23672</v>
      </c>
      <c r="BZ58" s="2">
        <v>28240</v>
      </c>
      <c r="CA58" s="2">
        <v>31031</v>
      </c>
      <c r="CB58" s="2">
        <v>33213</v>
      </c>
      <c r="CC58" s="2">
        <v>38549</v>
      </c>
      <c r="CD58" s="2">
        <f t="shared" si="304"/>
        <v>37928</v>
      </c>
      <c r="CE58" s="2">
        <f t="shared" si="305"/>
        <v>39749</v>
      </c>
      <c r="CF58" s="2">
        <f t="shared" si="306"/>
        <v>46590</v>
      </c>
      <c r="CG58" s="9">
        <f>+AI58</f>
        <v>56426</v>
      </c>
      <c r="CQ58" t="s">
        <v>209</v>
      </c>
      <c r="CR58" s="2">
        <f>NPV(CR57,CI45:EE45)+CH45+Main!J5-Main!J6</f>
        <v>1565361.904638123</v>
      </c>
    </row>
    <row r="59" spans="2:96" x14ac:dyDescent="0.25">
      <c r="B59" t="s">
        <v>159</v>
      </c>
      <c r="D59" s="6"/>
      <c r="E59" s="6">
        <v>0</v>
      </c>
      <c r="F59" s="6">
        <v>0</v>
      </c>
      <c r="G59" s="6"/>
      <c r="H59" s="6"/>
      <c r="I59" s="6">
        <f>333+1228</f>
        <v>1561</v>
      </c>
      <c r="J59" s="6">
        <v>605</v>
      </c>
      <c r="K59" s="6">
        <v>599</v>
      </c>
      <c r="L59" s="6">
        <v>584</v>
      </c>
      <c r="M59" s="6">
        <v>577</v>
      </c>
      <c r="N59" s="6">
        <v>575</v>
      </c>
      <c r="O59" s="6">
        <v>558</v>
      </c>
      <c r="P59" s="6">
        <v>551</v>
      </c>
      <c r="Q59" s="6">
        <v>574</v>
      </c>
      <c r="R59" s="6">
        <v>587</v>
      </c>
      <c r="S59" s="6">
        <v>690</v>
      </c>
      <c r="T59" s="6">
        <v>678</v>
      </c>
      <c r="U59" s="6">
        <v>693</v>
      </c>
      <c r="V59" s="6">
        <v>673</v>
      </c>
      <c r="W59" s="6">
        <v>655</v>
      </c>
      <c r="X59" s="6">
        <v>666</v>
      </c>
      <c r="Y59" s="6">
        <v>648</v>
      </c>
      <c r="Z59" s="6">
        <v>642</v>
      </c>
      <c r="AA59" s="6">
        <v>660</v>
      </c>
      <c r="AB59" s="6">
        <v>645</v>
      </c>
      <c r="AC59" s="6">
        <v>622</v>
      </c>
      <c r="AD59" s="2">
        <v>637</v>
      </c>
      <c r="AE59" s="2">
        <v>628</v>
      </c>
      <c r="AF59" s="2">
        <v>736</v>
      </c>
      <c r="AG59" s="2">
        <v>700</v>
      </c>
      <c r="AH59" s="2">
        <v>684</v>
      </c>
      <c r="AI59" s="2">
        <v>683</v>
      </c>
      <c r="AZ59" s="2"/>
      <c r="BA59" s="2"/>
      <c r="BB59" s="2"/>
      <c r="BC59" s="2">
        <v>0</v>
      </c>
      <c r="BD59" s="2">
        <v>0</v>
      </c>
      <c r="BE59" s="2"/>
      <c r="BF59" s="2"/>
      <c r="BG59" s="2"/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6">
        <v>0</v>
      </c>
      <c r="BX59" s="2">
        <v>0</v>
      </c>
      <c r="BY59" s="2">
        <v>0</v>
      </c>
      <c r="BZ59" s="2">
        <v>0</v>
      </c>
      <c r="CA59" s="2">
        <v>584</v>
      </c>
      <c r="CB59" s="2">
        <v>551</v>
      </c>
      <c r="CC59" s="2">
        <v>678</v>
      </c>
      <c r="CD59" s="2">
        <f t="shared" si="304"/>
        <v>666</v>
      </c>
      <c r="CE59" s="2">
        <f t="shared" si="305"/>
        <v>645</v>
      </c>
      <c r="CF59" s="2">
        <f t="shared" si="306"/>
        <v>736</v>
      </c>
      <c r="CG59" s="2">
        <f t="shared" ref="CG59:CG72" si="308">+AI59</f>
        <v>683</v>
      </c>
      <c r="CQ59" t="s">
        <v>210</v>
      </c>
      <c r="CR59" s="1">
        <f>+CR58/Main!J3</f>
        <v>1367.1283009939939</v>
      </c>
    </row>
    <row r="60" spans="2:96" x14ac:dyDescent="0.25">
      <c r="B60" t="s">
        <v>160</v>
      </c>
      <c r="D60" s="6"/>
      <c r="E60" s="6">
        <f>356+1228</f>
        <v>1584</v>
      </c>
      <c r="F60" s="6">
        <f>350+1228</f>
        <v>1578</v>
      </c>
      <c r="G60" s="6"/>
      <c r="H60" s="6"/>
      <c r="I60" s="6">
        <v>783</v>
      </c>
      <c r="J60" s="6">
        <f>332+1228</f>
        <v>1560</v>
      </c>
      <c r="K60" s="6">
        <f>1228+332</f>
        <v>1560</v>
      </c>
      <c r="L60" s="6">
        <f>334+1228</f>
        <v>1562</v>
      </c>
      <c r="M60" s="6">
        <f>336+1228</f>
        <v>1564</v>
      </c>
      <c r="N60" s="6">
        <f>342+1228</f>
        <v>1570</v>
      </c>
      <c r="O60" s="6">
        <f>350+1228</f>
        <v>1578</v>
      </c>
      <c r="P60" s="6">
        <f>349+1228</f>
        <v>1577</v>
      </c>
      <c r="Q60" s="6">
        <f>347+1228</f>
        <v>1575</v>
      </c>
      <c r="R60" s="6">
        <f>414+1228</f>
        <v>1642</v>
      </c>
      <c r="S60" s="6">
        <f>415+1228</f>
        <v>1643</v>
      </c>
      <c r="T60" s="6">
        <f>421+1228</f>
        <v>1649</v>
      </c>
      <c r="U60" s="6">
        <f>428+1228</f>
        <v>1656</v>
      </c>
      <c r="V60" s="6">
        <f>410+1228</f>
        <v>1638</v>
      </c>
      <c r="W60" s="6">
        <f>410+1252</f>
        <v>1662</v>
      </c>
      <c r="X60" s="6">
        <f>404+1150</f>
        <v>1554</v>
      </c>
      <c r="Y60" s="6">
        <f>416+1150</f>
        <v>1566</v>
      </c>
      <c r="Z60" s="6">
        <f>414+1150</f>
        <v>1564</v>
      </c>
      <c r="AA60" s="6">
        <f>413+1150</f>
        <v>1563</v>
      </c>
      <c r="AB60" s="6">
        <f>416+1150</f>
        <v>1566</v>
      </c>
      <c r="AC60" s="6">
        <f>419+1150</f>
        <v>1569</v>
      </c>
      <c r="AD60" s="2">
        <f>423+1150</f>
        <v>1573</v>
      </c>
      <c r="AE60" s="2">
        <f>426+1150</f>
        <v>1576</v>
      </c>
      <c r="AF60" s="2">
        <f>453+1150</f>
        <v>1603</v>
      </c>
      <c r="AG60" s="2">
        <f>465+1150</f>
        <v>1615</v>
      </c>
      <c r="AH60" s="2">
        <f>468+1150</f>
        <v>1618</v>
      </c>
      <c r="AI60" s="2">
        <f>473+1150</f>
        <v>1623</v>
      </c>
      <c r="AZ60" s="2"/>
      <c r="BA60" s="2"/>
      <c r="BB60" s="2"/>
      <c r="BC60" s="2">
        <v>43.2</v>
      </c>
      <c r="BD60" s="2">
        <v>0</v>
      </c>
      <c r="BE60" s="2"/>
      <c r="BF60" s="2"/>
      <c r="BG60" s="2"/>
      <c r="BH60" s="2">
        <v>198.4</v>
      </c>
      <c r="BI60" s="2">
        <v>317</v>
      </c>
      <c r="BJ60" s="2">
        <v>289.60000000000002</v>
      </c>
      <c r="BK60" s="2">
        <v>276.2</v>
      </c>
      <c r="BL60" s="2">
        <f>260+16</f>
        <v>276</v>
      </c>
      <c r="BM60" s="2">
        <f>388+502</f>
        <v>890</v>
      </c>
      <c r="BN60" s="2">
        <f>515+401</f>
        <v>916</v>
      </c>
      <c r="BO60" s="2">
        <v>364</v>
      </c>
      <c r="BP60" s="2">
        <v>344</v>
      </c>
      <c r="BQ60" s="2">
        <v>323</v>
      </c>
      <c r="BR60" s="2">
        <v>414</v>
      </c>
      <c r="BS60" s="2">
        <v>371</v>
      </c>
      <c r="BT60" s="2">
        <v>386</v>
      </c>
      <c r="BU60" s="2">
        <v>468</v>
      </c>
      <c r="BV60" s="2">
        <v>449</v>
      </c>
      <c r="BW60" s="6">
        <f>464+104</f>
        <v>568</v>
      </c>
      <c r="BX60" s="2">
        <f>387+1228</f>
        <v>1615</v>
      </c>
      <c r="BY60" s="2">
        <f>331+1228</f>
        <v>1559</v>
      </c>
      <c r="BZ60" s="2">
        <f>340+1228</f>
        <v>1568</v>
      </c>
      <c r="CA60" s="2">
        <f>334+1228</f>
        <v>1562</v>
      </c>
      <c r="CB60" s="2">
        <f>349+1228</f>
        <v>1577</v>
      </c>
      <c r="CC60" s="2">
        <f>421+1228</f>
        <v>1649</v>
      </c>
      <c r="CD60" s="2">
        <f t="shared" si="304"/>
        <v>1554</v>
      </c>
      <c r="CE60" s="2">
        <f t="shared" si="305"/>
        <v>1566</v>
      </c>
      <c r="CF60" s="2">
        <f t="shared" si="306"/>
        <v>1603</v>
      </c>
      <c r="CG60" s="2">
        <f t="shared" si="308"/>
        <v>1623</v>
      </c>
    </row>
    <row r="61" spans="2:96" x14ac:dyDescent="0.25">
      <c r="B61" t="s">
        <v>161</v>
      </c>
      <c r="D61" s="6"/>
      <c r="E61" s="6">
        <v>842</v>
      </c>
      <c r="F61" s="6">
        <v>762</v>
      </c>
      <c r="G61" s="6"/>
      <c r="H61" s="6"/>
      <c r="I61" s="6">
        <v>608</v>
      </c>
      <c r="J61" s="6">
        <v>764</v>
      </c>
      <c r="K61" s="6">
        <v>775</v>
      </c>
      <c r="L61" s="6">
        <v>707</v>
      </c>
      <c r="M61" s="6">
        <v>726</v>
      </c>
      <c r="N61" s="6">
        <v>726</v>
      </c>
      <c r="O61" s="6">
        <v>822</v>
      </c>
      <c r="P61" s="6">
        <v>782</v>
      </c>
      <c r="Q61" s="6">
        <v>746</v>
      </c>
      <c r="R61" s="6">
        <v>762</v>
      </c>
      <c r="S61" s="6">
        <v>682</v>
      </c>
      <c r="T61" s="6">
        <v>702</v>
      </c>
      <c r="U61" s="6">
        <v>672</v>
      </c>
      <c r="V61" s="6">
        <v>697</v>
      </c>
      <c r="W61" s="6">
        <v>708</v>
      </c>
      <c r="X61" s="6">
        <v>756</v>
      </c>
      <c r="Y61" s="6">
        <v>781</v>
      </c>
      <c r="Z61" s="6">
        <v>664</v>
      </c>
      <c r="AA61" s="6">
        <v>597</v>
      </c>
      <c r="AB61" s="6">
        <v>520</v>
      </c>
      <c r="AC61" s="6">
        <v>474</v>
      </c>
      <c r="AD61" s="2">
        <v>552</v>
      </c>
      <c r="AE61" s="2">
        <v>483</v>
      </c>
      <c r="AF61" s="2">
        <v>616</v>
      </c>
      <c r="AG61" s="2">
        <v>641</v>
      </c>
      <c r="AH61" s="2">
        <v>680</v>
      </c>
      <c r="AI61" s="2">
        <v>700</v>
      </c>
      <c r="AZ61" s="2"/>
      <c r="BA61" s="2"/>
      <c r="BB61" s="2"/>
      <c r="BC61" s="2">
        <v>0</v>
      </c>
      <c r="BD61" s="2">
        <v>0</v>
      </c>
      <c r="BE61" s="2"/>
      <c r="BF61" s="2"/>
      <c r="BG61" s="2"/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47</v>
      </c>
      <c r="BT61" s="2">
        <v>861</v>
      </c>
      <c r="BU61" s="2">
        <v>816</v>
      </c>
      <c r="BV61" s="2">
        <v>597</v>
      </c>
      <c r="BW61" s="6">
        <v>657</v>
      </c>
      <c r="BX61" s="2">
        <v>766</v>
      </c>
      <c r="BY61" s="2">
        <v>1022</v>
      </c>
      <c r="BZ61" s="2">
        <v>837</v>
      </c>
      <c r="CA61" s="2">
        <v>707</v>
      </c>
      <c r="CB61" s="2">
        <v>782</v>
      </c>
      <c r="CC61" s="2">
        <v>702</v>
      </c>
      <c r="CD61" s="2">
        <f t="shared" si="304"/>
        <v>756</v>
      </c>
      <c r="CE61" s="2">
        <f t="shared" si="305"/>
        <v>520</v>
      </c>
      <c r="CF61" s="2">
        <f t="shared" si="306"/>
        <v>616</v>
      </c>
      <c r="CG61" s="2">
        <f t="shared" si="308"/>
        <v>700</v>
      </c>
    </row>
    <row r="62" spans="2:96" x14ac:dyDescent="0.25">
      <c r="B62" t="s">
        <v>162</v>
      </c>
      <c r="D62" s="6"/>
      <c r="E62" s="6">
        <v>758</v>
      </c>
      <c r="F62" s="6">
        <v>779</v>
      </c>
      <c r="G62" s="6"/>
      <c r="H62" s="6"/>
      <c r="I62" s="6">
        <v>579</v>
      </c>
      <c r="J62" s="6">
        <v>510</v>
      </c>
      <c r="K62" s="6">
        <v>514</v>
      </c>
      <c r="L62" s="6">
        <v>781</v>
      </c>
      <c r="M62" s="6">
        <v>802</v>
      </c>
      <c r="N62" s="6">
        <v>821</v>
      </c>
      <c r="O62" s="6">
        <v>816</v>
      </c>
      <c r="P62" s="6">
        <v>1054</v>
      </c>
      <c r="Q62" s="6">
        <v>1188</v>
      </c>
      <c r="R62" s="6">
        <v>1315</v>
      </c>
      <c r="S62" s="6">
        <v>1262</v>
      </c>
      <c r="T62" s="6">
        <v>1277</v>
      </c>
      <c r="U62" s="6">
        <v>1171</v>
      </c>
      <c r="V62" s="6">
        <v>1317</v>
      </c>
      <c r="W62" s="6">
        <v>1221</v>
      </c>
      <c r="X62" s="6">
        <v>1262</v>
      </c>
      <c r="Y62" s="6">
        <v>1326</v>
      </c>
      <c r="Z62" s="6">
        <v>1199</v>
      </c>
      <c r="AA62" s="6">
        <v>1415</v>
      </c>
      <c r="AB62" s="6">
        <v>1518</v>
      </c>
      <c r="AC62" s="6">
        <v>1671</v>
      </c>
      <c r="AD62" s="2">
        <v>1699</v>
      </c>
      <c r="AE62" s="2">
        <v>1616</v>
      </c>
      <c r="AF62" s="2">
        <v>2783</v>
      </c>
      <c r="AG62" s="2">
        <v>3176</v>
      </c>
      <c r="AH62" s="2">
        <v>3668</v>
      </c>
      <c r="AI62" s="2">
        <v>3837</v>
      </c>
      <c r="AZ62" s="2"/>
      <c r="BA62" s="2"/>
      <c r="BB62" s="2"/>
      <c r="BC62" s="2">
        <v>36.200000000000003</v>
      </c>
      <c r="BD62" s="2">
        <f>66.6+51.1</f>
        <v>117.69999999999999</v>
      </c>
      <c r="BE62" s="2"/>
      <c r="BF62" s="2"/>
      <c r="BG62" s="2"/>
      <c r="BH62" s="2">
        <v>323</v>
      </c>
      <c r="BI62" s="2">
        <f>124.8+295.3</f>
        <v>420.1</v>
      </c>
      <c r="BJ62" s="2">
        <f>112.2+83.7</f>
        <v>195.9</v>
      </c>
      <c r="BK62" s="2">
        <f>63.4+41.4</f>
        <v>104.8</v>
      </c>
      <c r="BL62" s="2">
        <f>30+90</f>
        <v>120</v>
      </c>
      <c r="BM62" s="2">
        <f>293+49</f>
        <v>342</v>
      </c>
      <c r="BN62" s="2">
        <v>389</v>
      </c>
      <c r="BO62" s="2">
        <v>392</v>
      </c>
      <c r="BP62" s="2">
        <v>311</v>
      </c>
      <c r="BQ62" s="2">
        <v>519</v>
      </c>
      <c r="BR62" s="2">
        <v>416</v>
      </c>
      <c r="BS62" s="2">
        <v>286</v>
      </c>
      <c r="BT62" s="2">
        <v>439</v>
      </c>
      <c r="BU62" s="2">
        <v>415</v>
      </c>
      <c r="BV62" s="2">
        <v>455</v>
      </c>
      <c r="BW62" s="6">
        <v>356</v>
      </c>
      <c r="BX62" s="2">
        <v>450</v>
      </c>
      <c r="BY62" s="2">
        <v>611</v>
      </c>
      <c r="BZ62" s="2">
        <v>575</v>
      </c>
      <c r="CA62" s="2">
        <v>781</v>
      </c>
      <c r="CB62" s="2">
        <v>1054</v>
      </c>
      <c r="CC62" s="2">
        <v>1277</v>
      </c>
      <c r="CD62" s="2">
        <f t="shared" si="304"/>
        <v>1262</v>
      </c>
      <c r="CE62" s="2">
        <f t="shared" si="305"/>
        <v>1518</v>
      </c>
      <c r="CF62" s="2">
        <f t="shared" si="306"/>
        <v>2783</v>
      </c>
      <c r="CG62" s="2">
        <f t="shared" si="308"/>
        <v>3837</v>
      </c>
    </row>
    <row r="63" spans="2:96" x14ac:dyDescent="0.25">
      <c r="B63" t="s">
        <v>163</v>
      </c>
      <c r="D63" s="2">
        <f t="shared" ref="D63" si="309">SUM(D54:D62)</f>
        <v>0</v>
      </c>
      <c r="E63" s="2">
        <f t="shared" ref="E63:H63" si="310">SUM(E54:E62)</f>
        <v>44595</v>
      </c>
      <c r="F63" s="2">
        <f t="shared" si="310"/>
        <v>47487</v>
      </c>
      <c r="G63" s="2">
        <f t="shared" si="310"/>
        <v>0</v>
      </c>
      <c r="H63" s="2">
        <f t="shared" si="310"/>
        <v>0</v>
      </c>
      <c r="I63" s="2">
        <f t="shared" ref="I63:L63" si="311">SUM(I54:I62)</f>
        <v>49649</v>
      </c>
      <c r="J63" s="2">
        <f t="shared" si="311"/>
        <v>49648</v>
      </c>
      <c r="K63" s="2">
        <f t="shared" si="311"/>
        <v>52005</v>
      </c>
      <c r="L63" s="2">
        <f t="shared" si="311"/>
        <v>53678</v>
      </c>
      <c r="M63" s="2">
        <f t="shared" ref="M63:N63" si="312">SUM(M54:M62)</f>
        <v>53691</v>
      </c>
      <c r="N63" s="2">
        <f t="shared" si="312"/>
        <v>54135</v>
      </c>
      <c r="O63" s="2">
        <f t="shared" ref="O63:P63" si="313">SUM(O54:O62)</f>
        <v>55943</v>
      </c>
      <c r="P63" s="2">
        <f t="shared" si="313"/>
        <v>58849</v>
      </c>
      <c r="Q63" s="2">
        <f t="shared" ref="Q63:T63" si="314">SUM(Q54:Q62)</f>
        <v>61246</v>
      </c>
      <c r="R63" s="2">
        <f t="shared" si="314"/>
        <v>63696</v>
      </c>
      <c r="S63" s="2">
        <f t="shared" si="314"/>
        <v>65296</v>
      </c>
      <c r="T63" s="2">
        <f t="shared" si="314"/>
        <v>66283</v>
      </c>
      <c r="U63" s="2">
        <f t="shared" ref="U63:V63" si="315">SUM(U54:U62)</f>
        <v>67874</v>
      </c>
      <c r="V63" s="2">
        <f t="shared" si="315"/>
        <v>66520</v>
      </c>
      <c r="W63" s="2">
        <f t="shared" ref="W63:AB63" si="316">SUM(W54:W62)</f>
        <v>65680</v>
      </c>
      <c r="X63" s="2">
        <f t="shared" si="316"/>
        <v>64254</v>
      </c>
      <c r="Y63" s="2">
        <f t="shared" si="316"/>
        <v>63776</v>
      </c>
      <c r="Z63" s="2">
        <f t="shared" si="316"/>
        <v>65718</v>
      </c>
      <c r="AA63" s="2">
        <f t="shared" si="316"/>
        <v>66255</v>
      </c>
      <c r="AB63" s="2">
        <f t="shared" si="316"/>
        <v>69416</v>
      </c>
      <c r="AC63" s="2">
        <f t="shared" ref="AC63:AF63" si="317">SUM(AC54:AC62)</f>
        <v>71461</v>
      </c>
      <c r="AD63" s="2">
        <f t="shared" si="317"/>
        <v>73053</v>
      </c>
      <c r="AE63" s="2">
        <f t="shared" si="317"/>
        <v>78397</v>
      </c>
      <c r="AF63" s="2">
        <f t="shared" si="317"/>
        <v>82798</v>
      </c>
      <c r="AG63" s="2">
        <f t="shared" ref="AG63:AH63" si="318">SUM(AG54:AG62)</f>
        <v>85971</v>
      </c>
      <c r="AH63" s="2">
        <f t="shared" si="318"/>
        <v>101509</v>
      </c>
      <c r="AI63" s="2">
        <f>SUM(AI54:AI62)</f>
        <v>134112</v>
      </c>
      <c r="AZ63" s="2"/>
      <c r="BA63" s="2"/>
      <c r="BB63" s="2"/>
      <c r="BC63" s="2">
        <f>SUM(BC54:BC62)</f>
        <v>3751.4999999999995</v>
      </c>
      <c r="BD63" s="2">
        <f>SUM(BD54:BD62)</f>
        <v>4851.2999999999993</v>
      </c>
      <c r="BE63" s="2"/>
      <c r="BF63" s="2"/>
      <c r="BG63" s="2"/>
      <c r="BH63" s="2">
        <f>SUM(BH54:BH62)</f>
        <v>8363.2000000000007</v>
      </c>
      <c r="BI63" s="2">
        <f t="shared" ref="BI63" si="319">SUM(BI54:BI62)</f>
        <v>7555.4000000000005</v>
      </c>
      <c r="BJ63" s="2">
        <f t="shared" ref="BJ63:BM63" si="320">SUM(BJ54:BJ62)</f>
        <v>7158.2000000000007</v>
      </c>
      <c r="BK63" s="2">
        <f t="shared" si="320"/>
        <v>7760</v>
      </c>
      <c r="BL63" s="2">
        <f t="shared" si="320"/>
        <v>8006</v>
      </c>
      <c r="BM63" s="2">
        <f t="shared" si="320"/>
        <v>12221</v>
      </c>
      <c r="BN63" s="2">
        <f t="shared" ref="BN63" si="321">SUM(BN54:BN62)</f>
        <v>14818</v>
      </c>
      <c r="BO63" s="2">
        <f t="shared" ref="BO63" si="322">SUM(BO54:BO62)</f>
        <v>13430</v>
      </c>
      <c r="BP63" s="2">
        <f t="shared" ref="BP63" si="323">SUM(BP54:BP62)</f>
        <v>11459</v>
      </c>
      <c r="BQ63" s="2">
        <f t="shared" ref="BQ63" si="324">SUM(BQ54:BQ62)</f>
        <v>14693</v>
      </c>
      <c r="BR63" s="2">
        <f t="shared" ref="BR63:BW63" si="325">SUM(BR54:BR62)</f>
        <v>14752</v>
      </c>
      <c r="BS63" s="2">
        <f t="shared" si="325"/>
        <v>14328</v>
      </c>
      <c r="BT63" s="2">
        <f t="shared" si="325"/>
        <v>19118</v>
      </c>
      <c r="BU63" s="2">
        <f t="shared" si="325"/>
        <v>22416</v>
      </c>
      <c r="BV63" s="2">
        <f t="shared" si="325"/>
        <v>24143</v>
      </c>
      <c r="BW63" s="2">
        <f t="shared" si="325"/>
        <v>27540</v>
      </c>
      <c r="BX63" s="2">
        <f t="shared" ref="BX63:CC63" si="326">SUM(BX54:BX62)</f>
        <v>35336</v>
      </c>
      <c r="BY63" s="2">
        <f t="shared" si="326"/>
        <v>43376</v>
      </c>
      <c r="BZ63" s="2">
        <f t="shared" si="326"/>
        <v>48887</v>
      </c>
      <c r="CA63" s="2">
        <f t="shared" si="326"/>
        <v>53678</v>
      </c>
      <c r="CB63" s="2">
        <f t="shared" si="326"/>
        <v>58849</v>
      </c>
      <c r="CC63" s="2">
        <f t="shared" si="326"/>
        <v>66283</v>
      </c>
      <c r="CD63" s="2">
        <f>+X63</f>
        <v>64254</v>
      </c>
      <c r="CE63" s="2">
        <f>+AB63</f>
        <v>69416</v>
      </c>
      <c r="CF63" s="2">
        <f>+AF63</f>
        <v>82798</v>
      </c>
      <c r="CG63" s="2">
        <f t="shared" si="308"/>
        <v>134112</v>
      </c>
    </row>
    <row r="64" spans="2:96" x14ac:dyDescent="0.25">
      <c r="Q64" s="6"/>
      <c r="R64" s="6"/>
      <c r="S64" s="6"/>
      <c r="T64" s="6"/>
      <c r="U64" s="6"/>
      <c r="V64" s="6"/>
      <c r="W64" s="6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R64" s="2"/>
      <c r="BT64" s="2"/>
      <c r="CA64" s="2"/>
      <c r="CC64" s="2"/>
      <c r="CD64" s="2">
        <f t="shared" si="304"/>
        <v>0</v>
      </c>
      <c r="CE64" s="2"/>
      <c r="CF64" s="2"/>
      <c r="CG64" s="2"/>
    </row>
    <row r="65" spans="2:85" x14ac:dyDescent="0.25">
      <c r="B65" t="s">
        <v>164</v>
      </c>
      <c r="D65" s="6"/>
      <c r="E65" s="6">
        <v>4200</v>
      </c>
      <c r="F65" s="6">
        <v>4062</v>
      </c>
      <c r="G65" s="6"/>
      <c r="H65" s="6"/>
      <c r="I65" s="6">
        <v>5408</v>
      </c>
      <c r="J65" s="6">
        <v>5077</v>
      </c>
      <c r="K65" s="6">
        <v>5364</v>
      </c>
      <c r="L65" s="6">
        <v>5817</v>
      </c>
      <c r="M65" s="6">
        <v>4856</v>
      </c>
      <c r="N65" s="6">
        <v>4550</v>
      </c>
      <c r="O65" s="6">
        <v>4427</v>
      </c>
      <c r="P65" s="6">
        <v>5325</v>
      </c>
      <c r="Q65" s="6">
        <v>5470</v>
      </c>
      <c r="R65" s="6">
        <v>5650</v>
      </c>
      <c r="S65" s="6">
        <v>5788</v>
      </c>
      <c r="T65" s="6">
        <v>6090</v>
      </c>
      <c r="U65" s="6">
        <v>5438</v>
      </c>
      <c r="V65" s="6">
        <v>4310</v>
      </c>
      <c r="W65" s="6">
        <v>4177</v>
      </c>
      <c r="X65" s="6">
        <v>3958</v>
      </c>
      <c r="Y65" s="6">
        <v>3946</v>
      </c>
      <c r="Z65" s="6">
        <v>4680</v>
      </c>
      <c r="AA65" s="6">
        <v>5145</v>
      </c>
      <c r="AB65" s="6">
        <v>7299</v>
      </c>
      <c r="AC65" s="6">
        <v>7126</v>
      </c>
      <c r="AD65" s="2">
        <v>6176</v>
      </c>
      <c r="AE65" s="2">
        <v>8761</v>
      </c>
      <c r="AF65" s="2">
        <v>9649</v>
      </c>
      <c r="AG65" s="2">
        <v>9796</v>
      </c>
      <c r="AH65" s="2">
        <v>10997</v>
      </c>
      <c r="AI65" s="2">
        <v>15521</v>
      </c>
      <c r="BA65" s="2"/>
      <c r="BB65" s="2"/>
      <c r="BC65" s="2">
        <v>423.7</v>
      </c>
      <c r="BD65" s="2">
        <v>546.1</v>
      </c>
      <c r="BE65" s="2"/>
      <c r="BH65" s="2">
        <v>512.9</v>
      </c>
      <c r="BI65" s="2">
        <v>554.1</v>
      </c>
      <c r="BJ65" s="2">
        <v>714.7</v>
      </c>
      <c r="BK65" s="2">
        <v>796.2</v>
      </c>
      <c r="BL65" s="2">
        <v>753</v>
      </c>
      <c r="BM65" s="2">
        <v>1319</v>
      </c>
      <c r="BN65" s="2">
        <v>1385</v>
      </c>
      <c r="BO65" s="2">
        <v>1111</v>
      </c>
      <c r="BP65" s="2">
        <v>1037</v>
      </c>
      <c r="BQ65" s="2">
        <v>1509</v>
      </c>
      <c r="BR65" s="2">
        <v>1830</v>
      </c>
      <c r="BS65" s="2">
        <v>1641</v>
      </c>
      <c r="BT65" s="2">
        <v>2115</v>
      </c>
      <c r="BU65" s="2">
        <v>2864</v>
      </c>
      <c r="BV65" s="2">
        <v>2611</v>
      </c>
      <c r="BW65" s="6">
        <v>3879</v>
      </c>
      <c r="BX65" s="2">
        <v>3664</v>
      </c>
      <c r="BY65" s="2">
        <v>4611</v>
      </c>
      <c r="BZ65" s="2">
        <v>4626</v>
      </c>
      <c r="CA65" s="2">
        <v>5817</v>
      </c>
      <c r="CB65" s="2">
        <v>5325</v>
      </c>
      <c r="CC65" s="2">
        <v>6090</v>
      </c>
      <c r="CD65" s="2">
        <f t="shared" si="304"/>
        <v>3958</v>
      </c>
      <c r="CE65" s="2">
        <f t="shared" si="305"/>
        <v>7299</v>
      </c>
      <c r="CF65" s="2">
        <f t="shared" si="306"/>
        <v>9649</v>
      </c>
      <c r="CG65" s="2">
        <f t="shared" si="308"/>
        <v>15521</v>
      </c>
    </row>
    <row r="66" spans="2:85" x14ac:dyDescent="0.25">
      <c r="B66" t="s">
        <v>4</v>
      </c>
      <c r="D66" s="6"/>
      <c r="E66" s="6">
        <f>398+3734</f>
        <v>4132</v>
      </c>
      <c r="F66" s="6">
        <f>2634+3604</f>
        <v>6238</v>
      </c>
      <c r="G66" s="6"/>
      <c r="H66" s="6"/>
      <c r="I66" s="6">
        <f>462+5188</f>
        <v>5650</v>
      </c>
      <c r="J66" s="6">
        <f>237+5188</f>
        <v>5425</v>
      </c>
      <c r="K66" s="6">
        <f>330+6356</f>
        <v>6686</v>
      </c>
      <c r="L66" s="6">
        <f>270+6373</f>
        <v>6643</v>
      </c>
      <c r="M66" s="6">
        <f>273+6356</f>
        <v>6629</v>
      </c>
      <c r="N66" s="6">
        <f>323+6298</f>
        <v>6621</v>
      </c>
      <c r="O66" s="6">
        <f>297+6418</f>
        <v>6715</v>
      </c>
      <c r="P66" s="6">
        <f>155+6621</f>
        <v>6776</v>
      </c>
      <c r="Q66" s="6">
        <f>118+6904</f>
        <v>7022</v>
      </c>
      <c r="R66" s="6">
        <f>123+6953</f>
        <v>7076</v>
      </c>
      <c r="S66" s="6">
        <f>107+6856</f>
        <v>6963</v>
      </c>
      <c r="T66" s="6">
        <f>103+6803</f>
        <v>6906</v>
      </c>
      <c r="U66" s="6">
        <f>171+10094</f>
        <v>10265</v>
      </c>
      <c r="V66" s="6">
        <f>237+12037</f>
        <v>12274</v>
      </c>
      <c r="W66" s="6">
        <f>259+12986</f>
        <v>13245</v>
      </c>
      <c r="X66" s="6">
        <f>278+13052</f>
        <v>13330</v>
      </c>
      <c r="Y66" s="6">
        <f>908+12597</f>
        <v>13505</v>
      </c>
      <c r="Z66" s="6">
        <f>344+13378</f>
        <v>13722</v>
      </c>
      <c r="AA66" s="6">
        <f>398+12860</f>
        <v>13258</v>
      </c>
      <c r="AB66" s="6">
        <f>431+12966</f>
        <v>13397</v>
      </c>
      <c r="AC66" s="6">
        <f>533+13252</f>
        <v>13785</v>
      </c>
      <c r="AD66" s="2">
        <f>504+13851</f>
        <v>14355</v>
      </c>
      <c r="AE66" s="2">
        <f>538+15003</f>
        <v>15541</v>
      </c>
      <c r="AF66" s="2">
        <f>560+14017</f>
        <v>14577</v>
      </c>
      <c r="AG66" s="2">
        <f>569+11187</f>
        <v>11756</v>
      </c>
      <c r="AH66" s="2">
        <f>585+9557</f>
        <v>10142</v>
      </c>
      <c r="AI66" s="2">
        <f>582+5140</f>
        <v>5722</v>
      </c>
      <c r="BA66" s="2"/>
      <c r="BB66" s="2"/>
      <c r="BC66" s="2">
        <f>90+314.6+75.2</f>
        <v>479.8</v>
      </c>
      <c r="BD66" s="2">
        <f>10.6+762.3+116</f>
        <v>888.9</v>
      </c>
      <c r="BE66" s="2"/>
      <c r="BH66" s="2">
        <f>86.2+445</f>
        <v>531.20000000000005</v>
      </c>
      <c r="BI66" s="2">
        <f>93.1+360.8</f>
        <v>453.9</v>
      </c>
      <c r="BJ66" s="2">
        <f>88.9+997.1</f>
        <v>1086</v>
      </c>
      <c r="BK66" s="2">
        <f>70.6+1027.9</f>
        <v>1098.5</v>
      </c>
      <c r="BL66" s="2">
        <f>147+1020</f>
        <v>1167</v>
      </c>
      <c r="BM66" s="2">
        <f>166+405</f>
        <v>571</v>
      </c>
      <c r="BN66" s="2">
        <f>423+1987</f>
        <v>2410</v>
      </c>
      <c r="BO66" s="2">
        <f>275+2451</f>
        <v>2726</v>
      </c>
      <c r="BP66" s="2">
        <f>424+2379</f>
        <v>2803</v>
      </c>
      <c r="BQ66" s="2">
        <f>712+1648</f>
        <v>2360</v>
      </c>
      <c r="BR66" s="2">
        <f>140+1861</f>
        <v>2001</v>
      </c>
      <c r="BS66" s="2">
        <f>224+3038</f>
        <v>3262</v>
      </c>
      <c r="BT66" s="2">
        <f>1585+4452</f>
        <v>6037</v>
      </c>
      <c r="BU66" s="2">
        <f>1618+4893</f>
        <v>6511</v>
      </c>
      <c r="BV66" s="2">
        <f>1089+6252</f>
        <v>7341</v>
      </c>
      <c r="BW66" s="6">
        <f>756+9154</f>
        <v>9910</v>
      </c>
      <c r="BX66" s="2">
        <f>1262+9872</f>
        <v>11134</v>
      </c>
      <c r="BY66" s="2">
        <f>859+3777</f>
        <v>4636</v>
      </c>
      <c r="BZ66" s="2">
        <f>1310+4541</f>
        <v>5851</v>
      </c>
      <c r="CA66" s="2">
        <f>270+6373</f>
        <v>6643</v>
      </c>
      <c r="CB66" s="2">
        <f>155+6621</f>
        <v>6776</v>
      </c>
      <c r="CC66" s="2">
        <f>103+6803</f>
        <v>6906</v>
      </c>
      <c r="CD66" s="2">
        <f t="shared" si="304"/>
        <v>13330</v>
      </c>
      <c r="CE66" s="2">
        <f t="shared" si="305"/>
        <v>13397</v>
      </c>
      <c r="CF66" s="2">
        <f t="shared" si="306"/>
        <v>14577</v>
      </c>
      <c r="CG66" s="2">
        <f t="shared" si="308"/>
        <v>5722</v>
      </c>
    </row>
    <row r="67" spans="2:85" x14ac:dyDescent="0.25">
      <c r="B67" t="s">
        <v>165</v>
      </c>
      <c r="D67" s="6"/>
      <c r="E67" s="6">
        <v>591</v>
      </c>
      <c r="F67" s="6">
        <v>665</v>
      </c>
      <c r="G67" s="6"/>
      <c r="H67" s="6"/>
      <c r="I67" s="6">
        <v>447</v>
      </c>
      <c r="J67" s="6">
        <v>508</v>
      </c>
      <c r="K67" s="6">
        <v>491</v>
      </c>
      <c r="L67" s="6">
        <v>548</v>
      </c>
      <c r="M67" s="6">
        <v>559</v>
      </c>
      <c r="N67" s="6">
        <v>560</v>
      </c>
      <c r="O67" s="6">
        <v>738</v>
      </c>
      <c r="P67" s="6">
        <v>944</v>
      </c>
      <c r="Q67" s="6">
        <v>924</v>
      </c>
      <c r="R67" s="6">
        <v>1145</v>
      </c>
      <c r="S67" s="6">
        <v>1114</v>
      </c>
      <c r="T67" s="6">
        <v>1346</v>
      </c>
      <c r="U67" s="6">
        <v>916</v>
      </c>
      <c r="V67" s="6">
        <v>708</v>
      </c>
      <c r="W67" s="6">
        <v>668</v>
      </c>
      <c r="X67" s="6">
        <v>529</v>
      </c>
      <c r="Y67" s="6">
        <v>1108</v>
      </c>
      <c r="Z67" s="6">
        <v>1235</v>
      </c>
      <c r="AA67" s="6">
        <v>1297</v>
      </c>
      <c r="AB67" s="6">
        <v>1518</v>
      </c>
      <c r="AC67" s="6">
        <v>1356</v>
      </c>
      <c r="AD67" s="2">
        <v>1197</v>
      </c>
      <c r="AE67" s="2">
        <v>836</v>
      </c>
      <c r="AF67" s="2">
        <v>1245</v>
      </c>
      <c r="AG67" s="2">
        <v>1695</v>
      </c>
      <c r="AH67" s="2">
        <v>2714</v>
      </c>
      <c r="AI67" s="2">
        <v>3385</v>
      </c>
      <c r="BA67" s="2"/>
      <c r="BB67" s="2"/>
      <c r="BC67" s="2">
        <f>7.8+67.8</f>
        <v>75.599999999999994</v>
      </c>
      <c r="BD67" s="2">
        <f>14.5+62.7</f>
        <v>77.2</v>
      </c>
      <c r="BE67" s="2"/>
      <c r="BH67" s="2">
        <f>26.4+61.5</f>
        <v>87.9</v>
      </c>
      <c r="BI67" s="2">
        <f>25.5+80</f>
        <v>105.5</v>
      </c>
      <c r="BJ67" s="2">
        <f>22.7+166.7</f>
        <v>189.39999999999998</v>
      </c>
      <c r="BK67" s="2">
        <f>35.2+70.1</f>
        <v>105.3</v>
      </c>
      <c r="BL67" s="2">
        <f>30+49</f>
        <v>79</v>
      </c>
      <c r="BM67" s="2">
        <f>53+123</f>
        <v>176</v>
      </c>
      <c r="BN67" s="2">
        <f>84+134</f>
        <v>218</v>
      </c>
      <c r="BO67" s="2">
        <f>114+98</f>
        <v>212</v>
      </c>
      <c r="BP67" s="2">
        <f>209+222</f>
        <v>431</v>
      </c>
      <c r="BQ67" s="2">
        <f>298+183</f>
        <v>481</v>
      </c>
      <c r="BR67" s="2">
        <f>443+67</f>
        <v>510</v>
      </c>
      <c r="BS67" s="2">
        <f>248+130</f>
        <v>378</v>
      </c>
      <c r="BT67" s="2">
        <f>243+182</f>
        <v>425</v>
      </c>
      <c r="BU67" s="2">
        <v>309</v>
      </c>
      <c r="BV67" s="2">
        <v>205</v>
      </c>
      <c r="BW67" s="6">
        <v>200</v>
      </c>
      <c r="BX67" s="2">
        <v>408</v>
      </c>
      <c r="BY67" s="2">
        <v>284</v>
      </c>
      <c r="BZ67" s="2">
        <v>454</v>
      </c>
      <c r="CA67" s="2">
        <v>548</v>
      </c>
      <c r="CB67" s="2">
        <v>944</v>
      </c>
      <c r="CC67" s="2">
        <v>1346</v>
      </c>
      <c r="CD67" s="2">
        <f t="shared" si="304"/>
        <v>529</v>
      </c>
      <c r="CE67" s="2">
        <f t="shared" si="305"/>
        <v>1518</v>
      </c>
      <c r="CF67" s="2">
        <f t="shared" si="306"/>
        <v>1245</v>
      </c>
      <c r="CG67" s="2">
        <f t="shared" si="308"/>
        <v>3385</v>
      </c>
    </row>
    <row r="68" spans="2:85" x14ac:dyDescent="0.25">
      <c r="B68" t="s">
        <v>159</v>
      </c>
      <c r="D68" s="6"/>
      <c r="E68" s="6">
        <v>0</v>
      </c>
      <c r="F68" s="6">
        <v>0</v>
      </c>
      <c r="G68" s="6"/>
      <c r="H68" s="6"/>
      <c r="I68" s="6">
        <v>511</v>
      </c>
      <c r="J68" s="6">
        <v>548</v>
      </c>
      <c r="K68" s="6">
        <v>540</v>
      </c>
      <c r="L68" s="6">
        <v>533</v>
      </c>
      <c r="M68" s="6">
        <v>529</v>
      </c>
      <c r="N68" s="6">
        <v>528</v>
      </c>
      <c r="O68" s="6">
        <v>513</v>
      </c>
      <c r="P68" s="6">
        <v>504</v>
      </c>
      <c r="Q68" s="6">
        <v>523</v>
      </c>
      <c r="R68" s="6">
        <v>535</v>
      </c>
      <c r="S68" s="6">
        <v>629</v>
      </c>
      <c r="T68" s="6">
        <v>610</v>
      </c>
      <c r="U68" s="6">
        <v>625</v>
      </c>
      <c r="V68" s="6">
        <v>610</v>
      </c>
      <c r="W68" s="6">
        <v>603</v>
      </c>
      <c r="X68" s="6">
        <v>603</v>
      </c>
      <c r="Y68" s="6">
        <v>601</v>
      </c>
      <c r="Z68" s="6">
        <v>593</v>
      </c>
      <c r="AA68" s="6">
        <v>609</v>
      </c>
      <c r="AB68" s="6">
        <v>610</v>
      </c>
      <c r="AC68" s="6">
        <v>588</v>
      </c>
      <c r="AD68" s="2">
        <v>599</v>
      </c>
      <c r="AE68" s="2">
        <v>600</v>
      </c>
      <c r="AF68" s="2">
        <v>701</v>
      </c>
      <c r="AG68" s="2">
        <v>669</v>
      </c>
      <c r="AH68" s="2">
        <v>656</v>
      </c>
      <c r="AI68" s="2">
        <v>654</v>
      </c>
      <c r="BA68" s="2"/>
      <c r="BB68" s="2"/>
      <c r="BC68" s="2">
        <v>0</v>
      </c>
      <c r="BD68" s="2">
        <v>0</v>
      </c>
      <c r="BE68" s="2"/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6">
        <v>0</v>
      </c>
      <c r="BX68" s="2">
        <v>0</v>
      </c>
      <c r="BY68" s="2">
        <v>0</v>
      </c>
      <c r="BZ68" s="2">
        <v>0</v>
      </c>
      <c r="CA68" s="2">
        <v>533</v>
      </c>
      <c r="CB68" s="2">
        <v>504</v>
      </c>
      <c r="CC68" s="2">
        <v>610</v>
      </c>
      <c r="CD68" s="2">
        <f t="shared" si="304"/>
        <v>603</v>
      </c>
      <c r="CE68" s="2">
        <f t="shared" si="305"/>
        <v>610</v>
      </c>
      <c r="CF68" s="2">
        <f t="shared" si="306"/>
        <v>701</v>
      </c>
      <c r="CG68" s="2">
        <f t="shared" si="308"/>
        <v>654</v>
      </c>
    </row>
    <row r="69" spans="2:85" x14ac:dyDescent="0.25">
      <c r="B69" t="s">
        <v>43</v>
      </c>
      <c r="D69" s="6"/>
      <c r="E69" s="6">
        <v>0</v>
      </c>
      <c r="F69" s="6">
        <v>0</v>
      </c>
      <c r="G69" s="6"/>
      <c r="H69" s="6"/>
      <c r="I69" s="6">
        <v>609</v>
      </c>
      <c r="J69" s="6">
        <v>586</v>
      </c>
      <c r="K69" s="6">
        <v>553</v>
      </c>
      <c r="L69" s="6">
        <v>643</v>
      </c>
      <c r="M69" s="6">
        <v>656</v>
      </c>
      <c r="N69" s="6">
        <v>661</v>
      </c>
      <c r="O69" s="6">
        <v>722</v>
      </c>
      <c r="P69" s="6">
        <v>808</v>
      </c>
      <c r="Q69" s="6">
        <v>767</v>
      </c>
      <c r="R69" s="6">
        <v>704</v>
      </c>
      <c r="S69" s="6">
        <v>663</v>
      </c>
      <c r="T69" s="6">
        <v>589</v>
      </c>
      <c r="U69" s="6">
        <v>516</v>
      </c>
      <c r="V69" s="6">
        <v>529</v>
      </c>
      <c r="W69" s="6">
        <v>632</v>
      </c>
      <c r="X69" s="6">
        <v>727</v>
      </c>
      <c r="Y69" s="6">
        <v>705</v>
      </c>
      <c r="Z69" s="6">
        <v>662</v>
      </c>
      <c r="AA69" s="6">
        <v>672</v>
      </c>
      <c r="AB69" s="6">
        <v>550</v>
      </c>
      <c r="AC69" s="6">
        <v>570</v>
      </c>
      <c r="AD69" s="2">
        <v>836</v>
      </c>
      <c r="AE69" s="2">
        <v>603</v>
      </c>
      <c r="AF69" s="2">
        <v>1018</v>
      </c>
      <c r="AG69" s="2">
        <v>1148</v>
      </c>
      <c r="AH69" s="2">
        <v>1002</v>
      </c>
      <c r="AI69" s="2">
        <v>1020</v>
      </c>
      <c r="BA69" s="2"/>
      <c r="BB69" s="2"/>
      <c r="BC69" s="2">
        <v>0</v>
      </c>
      <c r="BD69" s="2">
        <v>0</v>
      </c>
      <c r="BE69" s="2"/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6">
        <v>0</v>
      </c>
      <c r="BX69" s="2">
        <v>0</v>
      </c>
      <c r="BY69" s="2">
        <v>0</v>
      </c>
      <c r="BZ69" s="2">
        <v>636</v>
      </c>
      <c r="CA69" s="2">
        <v>643</v>
      </c>
      <c r="CB69" s="2">
        <v>808</v>
      </c>
      <c r="CC69" s="2">
        <v>589</v>
      </c>
      <c r="CD69" s="2">
        <f t="shared" si="304"/>
        <v>727</v>
      </c>
      <c r="CE69" s="2">
        <f t="shared" si="305"/>
        <v>550</v>
      </c>
      <c r="CF69" s="2">
        <f t="shared" si="306"/>
        <v>1018</v>
      </c>
      <c r="CG69" s="2">
        <f t="shared" si="308"/>
        <v>1020</v>
      </c>
    </row>
    <row r="70" spans="2:85" x14ac:dyDescent="0.25">
      <c r="B70" t="s">
        <v>167</v>
      </c>
      <c r="D70" s="6"/>
      <c r="E70" s="6">
        <v>834</v>
      </c>
      <c r="F70" s="6">
        <v>993</v>
      </c>
      <c r="G70" s="6"/>
      <c r="H70" s="6"/>
      <c r="I70" s="6">
        <v>426</v>
      </c>
      <c r="J70" s="6">
        <v>383</v>
      </c>
      <c r="K70" s="6">
        <v>453</v>
      </c>
      <c r="L70" s="6">
        <v>498</v>
      </c>
      <c r="M70" s="6">
        <v>555</v>
      </c>
      <c r="N70" s="6">
        <v>552</v>
      </c>
      <c r="O70" s="6">
        <v>569</v>
      </c>
      <c r="P70" s="6">
        <v>559</v>
      </c>
      <c r="Q70" s="6">
        <v>632</v>
      </c>
      <c r="R70" s="6">
        <v>741</v>
      </c>
      <c r="S70" s="6">
        <v>858</v>
      </c>
      <c r="T70" s="6">
        <v>835</v>
      </c>
      <c r="U70" s="6">
        <v>808</v>
      </c>
      <c r="V70" s="6">
        <v>832</v>
      </c>
      <c r="W70" s="6">
        <v>950</v>
      </c>
      <c r="X70" s="6">
        <v>987</v>
      </c>
      <c r="Y70" s="6">
        <v>1026</v>
      </c>
      <c r="Z70" s="6">
        <v>956</v>
      </c>
      <c r="AA70" s="6">
        <v>1049</v>
      </c>
      <c r="AB70" s="6">
        <v>911</v>
      </c>
      <c r="AC70" s="6">
        <v>1239</v>
      </c>
      <c r="AD70" s="2">
        <v>1257</v>
      </c>
      <c r="AE70" s="2">
        <v>1308</v>
      </c>
      <c r="AF70" s="2">
        <v>1443</v>
      </c>
      <c r="AG70" s="2">
        <v>2101</v>
      </c>
      <c r="AH70" s="2">
        <v>3539</v>
      </c>
      <c r="AI70" s="2">
        <v>7086</v>
      </c>
      <c r="BA70" s="2"/>
      <c r="BB70" s="2"/>
      <c r="BC70" s="2">
        <f>15.7+43.5+157.4</f>
        <v>216.60000000000002</v>
      </c>
      <c r="BD70" s="2">
        <f>239.8+35.6+44.1</f>
        <v>319.50000000000006</v>
      </c>
      <c r="BE70" s="2"/>
      <c r="BH70" s="2">
        <f>77.4+19</f>
        <v>96.4</v>
      </c>
      <c r="BI70" s="2">
        <v>75.3</v>
      </c>
      <c r="BJ70" s="2">
        <f>41.3+89.3</f>
        <v>130.6</v>
      </c>
      <c r="BK70" s="2">
        <f>42+103.2</f>
        <v>145.19999999999999</v>
      </c>
      <c r="BL70" s="2">
        <f>35+125</f>
        <v>160</v>
      </c>
      <c r="BM70" s="2">
        <f>445+28</f>
        <v>473</v>
      </c>
      <c r="BN70" s="2">
        <v>446</v>
      </c>
      <c r="BO70" s="2">
        <v>338</v>
      </c>
      <c r="BP70" s="2">
        <v>249</v>
      </c>
      <c r="BQ70" s="2">
        <v>527</v>
      </c>
      <c r="BR70" s="2">
        <v>559</v>
      </c>
      <c r="BS70" s="2">
        <v>630</v>
      </c>
      <c r="BT70" s="2">
        <v>535</v>
      </c>
      <c r="BU70" s="2">
        <v>1102</v>
      </c>
      <c r="BV70" s="2">
        <v>698</v>
      </c>
      <c r="BW70" s="6">
        <v>623</v>
      </c>
      <c r="BX70" s="2">
        <v>639</v>
      </c>
      <c r="BY70" s="2">
        <v>581</v>
      </c>
      <c r="BZ70" s="2">
        <v>452</v>
      </c>
      <c r="CA70" s="2">
        <v>498</v>
      </c>
      <c r="CB70" s="2">
        <v>559</v>
      </c>
      <c r="CC70" s="2">
        <v>835</v>
      </c>
      <c r="CD70" s="2">
        <f t="shared" si="304"/>
        <v>987</v>
      </c>
      <c r="CE70" s="2">
        <f t="shared" si="305"/>
        <v>911</v>
      </c>
      <c r="CF70" s="2">
        <f t="shared" si="306"/>
        <v>1443</v>
      </c>
      <c r="CG70" s="2">
        <f t="shared" si="308"/>
        <v>7086</v>
      </c>
    </row>
    <row r="71" spans="2:85" x14ac:dyDescent="0.25">
      <c r="B71" t="s">
        <v>168</v>
      </c>
      <c r="D71" s="6"/>
      <c r="E71" s="6">
        <f>34739+97+2</f>
        <v>34838</v>
      </c>
      <c r="F71" s="6">
        <f>99+35430</f>
        <v>35529</v>
      </c>
      <c r="G71" s="6"/>
      <c r="H71" s="6"/>
      <c r="I71" s="6">
        <v>36598</v>
      </c>
      <c r="J71" s="6">
        <f>37023+98</f>
        <v>37121</v>
      </c>
      <c r="K71" s="6">
        <f>98+37820</f>
        <v>37918</v>
      </c>
      <c r="L71" s="6">
        <v>38996</v>
      </c>
      <c r="M71" s="6">
        <v>39907</v>
      </c>
      <c r="N71" s="6">
        <v>40663</v>
      </c>
      <c r="O71" s="6">
        <v>42259</v>
      </c>
      <c r="P71" s="6">
        <v>43933</v>
      </c>
      <c r="Q71" s="6">
        <v>45908</v>
      </c>
      <c r="R71" s="6">
        <v>47845</v>
      </c>
      <c r="S71" s="6">
        <v>49281</v>
      </c>
      <c r="T71" s="6">
        <v>49907</v>
      </c>
      <c r="U71" s="6">
        <v>49306</v>
      </c>
      <c r="V71" s="6">
        <v>47257</v>
      </c>
      <c r="W71" s="6">
        <v>45405</v>
      </c>
      <c r="X71" s="6">
        <v>44120</v>
      </c>
      <c r="Y71" s="6">
        <v>42885</v>
      </c>
      <c r="Z71" s="6">
        <v>43870</v>
      </c>
      <c r="AA71" s="6">
        <v>44225</v>
      </c>
      <c r="AB71" s="6">
        <v>45131</v>
      </c>
      <c r="AC71" s="6">
        <v>46797</v>
      </c>
      <c r="AD71" s="2">
        <v>48633</v>
      </c>
      <c r="AE71" s="2">
        <v>50748</v>
      </c>
      <c r="AF71" s="2">
        <v>54165</v>
      </c>
      <c r="AG71" s="2">
        <v>58806</v>
      </c>
      <c r="AH71" s="2">
        <v>72459</v>
      </c>
      <c r="AI71" s="2">
        <v>100724</v>
      </c>
      <c r="BA71" s="2"/>
      <c r="BB71" s="2"/>
      <c r="BC71" s="2">
        <f>2502+53.8</f>
        <v>2555.8000000000002</v>
      </c>
      <c r="BD71" s="2">
        <f>2883.1+136.5</f>
        <v>3019.6</v>
      </c>
      <c r="BE71" s="2"/>
      <c r="BH71" s="2">
        <v>7134.8</v>
      </c>
      <c r="BI71" s="2">
        <f>6306.4+60.2</f>
        <v>6366.5999999999995</v>
      </c>
      <c r="BJ71" s="2">
        <f>4971+66.5</f>
        <v>5037.5</v>
      </c>
      <c r="BK71" s="2">
        <v>5614.8</v>
      </c>
      <c r="BL71" s="2">
        <v>5847</v>
      </c>
      <c r="BM71" s="2">
        <f>8114+1568</f>
        <v>9682</v>
      </c>
      <c r="BN71" s="2">
        <f>2607+7752</f>
        <v>10359</v>
      </c>
      <c r="BO71" s="2">
        <f>2865+6178</f>
        <v>9043</v>
      </c>
      <c r="BP71" s="2">
        <v>6939</v>
      </c>
      <c r="BQ71" s="2">
        <v>9816</v>
      </c>
      <c r="BR71" s="2">
        <v>9852</v>
      </c>
      <c r="BS71" s="2">
        <v>8417</v>
      </c>
      <c r="BT71" s="2">
        <v>10006</v>
      </c>
      <c r="BU71" s="2">
        <f>68+11562</f>
        <v>11630</v>
      </c>
      <c r="BV71" s="2">
        <f>13239+49</f>
        <v>13288</v>
      </c>
      <c r="BW71" s="6">
        <v>12928</v>
      </c>
      <c r="BX71" s="2">
        <f>21+19470</f>
        <v>19491</v>
      </c>
      <c r="BY71" s="2">
        <f>33164+100</f>
        <v>33264</v>
      </c>
      <c r="BZ71" s="2">
        <f>36770+98</f>
        <v>36868</v>
      </c>
      <c r="CA71" s="2">
        <v>38996</v>
      </c>
      <c r="CB71" s="2">
        <v>43933</v>
      </c>
      <c r="CC71" s="2">
        <v>49907</v>
      </c>
      <c r="CD71" s="2">
        <f t="shared" si="304"/>
        <v>44120</v>
      </c>
      <c r="CE71" s="2">
        <f t="shared" si="305"/>
        <v>45131</v>
      </c>
      <c r="CF71" s="2">
        <f t="shared" si="306"/>
        <v>54165</v>
      </c>
      <c r="CG71" s="2">
        <f t="shared" si="308"/>
        <v>100724</v>
      </c>
    </row>
    <row r="72" spans="2:85" x14ac:dyDescent="0.25">
      <c r="B72" t="s">
        <v>166</v>
      </c>
      <c r="D72" s="6">
        <f t="shared" ref="D72:L72" si="327">SUM(D65:D71)</f>
        <v>0</v>
      </c>
      <c r="E72" s="6">
        <f t="shared" si="327"/>
        <v>44595</v>
      </c>
      <c r="F72" s="6">
        <f t="shared" si="327"/>
        <v>47487</v>
      </c>
      <c r="G72" s="6">
        <f t="shared" si="327"/>
        <v>0</v>
      </c>
      <c r="H72" s="6">
        <f t="shared" si="327"/>
        <v>0</v>
      </c>
      <c r="I72" s="6">
        <f t="shared" si="327"/>
        <v>49649</v>
      </c>
      <c r="J72" s="6">
        <f t="shared" si="327"/>
        <v>49648</v>
      </c>
      <c r="K72" s="6">
        <f t="shared" si="327"/>
        <v>52005</v>
      </c>
      <c r="L72" s="6">
        <f t="shared" si="327"/>
        <v>53678</v>
      </c>
      <c r="M72" s="6">
        <f t="shared" ref="M72:U72" si="328">SUM(M65:M71)</f>
        <v>53691</v>
      </c>
      <c r="N72" s="6">
        <f t="shared" si="328"/>
        <v>54135</v>
      </c>
      <c r="O72" s="6">
        <f t="shared" si="328"/>
        <v>55943</v>
      </c>
      <c r="P72" s="6">
        <f t="shared" si="328"/>
        <v>58849</v>
      </c>
      <c r="Q72" s="6">
        <f t="shared" si="328"/>
        <v>61246</v>
      </c>
      <c r="R72" s="6">
        <f t="shared" si="328"/>
        <v>63696</v>
      </c>
      <c r="S72" s="6">
        <f t="shared" si="328"/>
        <v>65296</v>
      </c>
      <c r="T72" s="6">
        <f t="shared" si="328"/>
        <v>66283</v>
      </c>
      <c r="U72" s="6">
        <f t="shared" si="328"/>
        <v>67874</v>
      </c>
      <c r="V72" s="6">
        <f t="shared" ref="V72:AB72" si="329">SUM(V65:V71)</f>
        <v>66520</v>
      </c>
      <c r="W72" s="6">
        <f t="shared" si="329"/>
        <v>65680</v>
      </c>
      <c r="X72" s="6">
        <f t="shared" si="329"/>
        <v>64254</v>
      </c>
      <c r="Y72" s="6">
        <f t="shared" si="329"/>
        <v>63776</v>
      </c>
      <c r="Z72" s="6">
        <f t="shared" si="329"/>
        <v>65718</v>
      </c>
      <c r="AA72" s="6">
        <f t="shared" si="329"/>
        <v>66255</v>
      </c>
      <c r="AB72" s="6">
        <f t="shared" si="329"/>
        <v>69416</v>
      </c>
      <c r="AC72" s="6">
        <f>SUM(AC65:AC71)</f>
        <v>71461</v>
      </c>
      <c r="AD72" s="6">
        <f>SUM(AD65:AD71)</f>
        <v>73053</v>
      </c>
      <c r="AE72" s="6">
        <f>SUM(AE65:AE71)</f>
        <v>78397</v>
      </c>
      <c r="AF72" s="6">
        <f>SUM(AF65:AF71)</f>
        <v>82798</v>
      </c>
      <c r="AG72" s="2">
        <f>SUM(AG65:AG71)</f>
        <v>85971</v>
      </c>
      <c r="AH72" s="2">
        <f t="shared" ref="AH72" si="330">SUM(AH65:AH71)</f>
        <v>101509</v>
      </c>
      <c r="AI72" s="2">
        <f>SUM(AI65:AI71)</f>
        <v>134112</v>
      </c>
      <c r="BA72" s="2"/>
      <c r="BB72" s="2"/>
      <c r="BC72" s="2">
        <f t="shared" ref="BC72" si="331">SUM(BC65:BC71)</f>
        <v>3751.5</v>
      </c>
      <c r="BD72" s="2">
        <f>SUM(BD65:BD71)</f>
        <v>4851.3</v>
      </c>
      <c r="BE72" s="2"/>
      <c r="BH72" s="2">
        <f>SUM(BH65:BH71)</f>
        <v>8363.2000000000007</v>
      </c>
      <c r="BI72" s="2">
        <f t="shared" ref="BI72" si="332">SUM(BI65:BI71)</f>
        <v>7555.4</v>
      </c>
      <c r="BJ72" s="2">
        <f t="shared" ref="BJ72" si="333">SUM(BJ65:BJ71)</f>
        <v>7158.2</v>
      </c>
      <c r="BK72" s="2">
        <f t="shared" ref="BK72:BM72" si="334">SUM(BK65:BK71)</f>
        <v>7760</v>
      </c>
      <c r="BL72" s="2">
        <f t="shared" si="334"/>
        <v>8006</v>
      </c>
      <c r="BM72" s="2">
        <f t="shared" si="334"/>
        <v>12221</v>
      </c>
      <c r="BN72" s="2">
        <f t="shared" ref="BN72" si="335">SUM(BN65:BN71)</f>
        <v>14818</v>
      </c>
      <c r="BO72" s="2">
        <f t="shared" ref="BO72" si="336">SUM(BO65:BO71)</f>
        <v>13430</v>
      </c>
      <c r="BP72" s="2">
        <f t="shared" ref="BP72" si="337">SUM(BP65:BP71)</f>
        <v>11459</v>
      </c>
      <c r="BQ72" s="2">
        <f t="shared" ref="BQ72:BS72" si="338">SUM(BQ65:BQ71)</f>
        <v>14693</v>
      </c>
      <c r="BR72" s="2">
        <f t="shared" si="338"/>
        <v>14752</v>
      </c>
      <c r="BS72" s="2">
        <f t="shared" si="338"/>
        <v>14328</v>
      </c>
      <c r="BT72" s="2">
        <f t="shared" ref="BT72:BU72" si="339">SUM(BT65:BT71)</f>
        <v>19118</v>
      </c>
      <c r="BU72" s="2">
        <f t="shared" si="339"/>
        <v>22416</v>
      </c>
      <c r="BV72" s="2">
        <f t="shared" ref="BV72:BW72" si="340">SUM(BV65:BV71)</f>
        <v>24143</v>
      </c>
      <c r="BW72" s="2">
        <f t="shared" si="340"/>
        <v>27540</v>
      </c>
      <c r="BX72" s="2">
        <f t="shared" ref="BX72:CC72" si="341">SUM(BX65:BX71)</f>
        <v>35336</v>
      </c>
      <c r="BY72" s="2">
        <f t="shared" si="341"/>
        <v>43376</v>
      </c>
      <c r="BZ72" s="2">
        <f t="shared" si="341"/>
        <v>48887</v>
      </c>
      <c r="CA72" s="2">
        <f t="shared" si="341"/>
        <v>53678</v>
      </c>
      <c r="CB72" s="2">
        <f t="shared" si="341"/>
        <v>58849</v>
      </c>
      <c r="CC72" s="2">
        <f t="shared" si="341"/>
        <v>66283</v>
      </c>
      <c r="CD72" s="2">
        <f t="shared" si="304"/>
        <v>64254</v>
      </c>
      <c r="CE72" s="2">
        <f t="shared" si="305"/>
        <v>69416</v>
      </c>
      <c r="CF72" s="2">
        <f t="shared" si="306"/>
        <v>82798</v>
      </c>
      <c r="CG72" s="2">
        <f t="shared" si="308"/>
        <v>134112</v>
      </c>
    </row>
    <row r="73" spans="2:85" x14ac:dyDescent="0.25">
      <c r="BA73" s="2"/>
      <c r="BB73" s="2"/>
      <c r="BC73" s="2"/>
      <c r="BD73" s="2"/>
      <c r="BE73" s="2"/>
      <c r="BT73" s="2"/>
      <c r="BZ73" s="2"/>
      <c r="CC73" s="2"/>
      <c r="CD73" s="2"/>
      <c r="CE73" s="2"/>
      <c r="CF73" s="2"/>
    </row>
    <row r="74" spans="2:85" ht="13" x14ac:dyDescent="0.3">
      <c r="B74" t="s">
        <v>34</v>
      </c>
      <c r="C74" s="10">
        <f t="shared" ref="C74:D74" si="342">+C45</f>
        <v>2893</v>
      </c>
      <c r="D74" s="10">
        <f t="shared" si="342"/>
        <v>3347</v>
      </c>
      <c r="E74" s="10">
        <f t="shared" ref="E74:L74" si="343">+E45</f>
        <v>3323</v>
      </c>
      <c r="F74" s="10">
        <f t="shared" ref="F74:H74" si="344">+F45</f>
        <v>1805</v>
      </c>
      <c r="G74" s="10">
        <f t="shared" si="344"/>
        <v>1039</v>
      </c>
      <c r="H74" s="10">
        <f t="shared" si="344"/>
        <v>642</v>
      </c>
      <c r="I74" s="10">
        <f t="shared" si="343"/>
        <v>463</v>
      </c>
      <c r="J74" s="10">
        <f t="shared" si="343"/>
        <v>418</v>
      </c>
      <c r="K74" s="10">
        <f t="shared" si="343"/>
        <v>802</v>
      </c>
      <c r="L74" s="10">
        <f t="shared" si="343"/>
        <v>1028</v>
      </c>
      <c r="M74" s="10">
        <f t="shared" ref="M74:P74" si="345">+M45</f>
        <v>786</v>
      </c>
      <c r="N74" s="10">
        <f t="shared" si="345"/>
        <v>762</v>
      </c>
      <c r="O74" s="10">
        <f t="shared" si="345"/>
        <v>2188</v>
      </c>
      <c r="P74" s="10">
        <f t="shared" si="345"/>
        <v>2590</v>
      </c>
      <c r="Q74" s="10">
        <f t="shared" ref="Q74:T74" si="346">+Q45</f>
        <v>2415</v>
      </c>
      <c r="R74" s="10">
        <f t="shared" si="346"/>
        <v>2323</v>
      </c>
      <c r="S74" s="10">
        <f t="shared" si="346"/>
        <v>2974</v>
      </c>
      <c r="T74" s="10">
        <f t="shared" si="346"/>
        <v>1497</v>
      </c>
      <c r="U74" s="10">
        <f t="shared" ref="U74:X74" si="347">+U45</f>
        <v>-270</v>
      </c>
      <c r="V74" s="10">
        <f t="shared" si="347"/>
        <v>-2201</v>
      </c>
      <c r="W74" s="10">
        <f t="shared" si="347"/>
        <v>-1637</v>
      </c>
      <c r="X74" s="10">
        <f t="shared" si="347"/>
        <v>-1373</v>
      </c>
      <c r="Y74" s="10">
        <f>+Y45</f>
        <v>-1264</v>
      </c>
      <c r="Z74" s="10">
        <f>+Z45</f>
        <v>-677</v>
      </c>
      <c r="AA74" s="10">
        <f>+AA45</f>
        <v>304</v>
      </c>
      <c r="AB74" s="10">
        <f t="shared" ref="AB74:AI74" si="348">+AB45</f>
        <v>1055</v>
      </c>
      <c r="AC74" s="10">
        <f t="shared" si="348"/>
        <v>1878</v>
      </c>
      <c r="AD74" s="10">
        <f t="shared" si="348"/>
        <v>1599</v>
      </c>
      <c r="AE74" s="10">
        <f t="shared" si="348"/>
        <v>2002</v>
      </c>
      <c r="AF74" s="10">
        <f t="shared" si="348"/>
        <v>3286</v>
      </c>
      <c r="AG74" s="10">
        <f t="shared" si="348"/>
        <v>5374</v>
      </c>
      <c r="AH74" s="10">
        <f t="shared" si="348"/>
        <v>13913</v>
      </c>
      <c r="AI74" s="10">
        <f t="shared" si="348"/>
        <v>28570</v>
      </c>
      <c r="BA74" s="2"/>
      <c r="BB74" s="2">
        <f>+BB45</f>
        <v>815.0999999999998</v>
      </c>
      <c r="BC74" s="2">
        <f t="shared" ref="BC74:BE74" si="349">+BC45</f>
        <v>615.5</v>
      </c>
      <c r="BD74" s="2">
        <f t="shared" si="349"/>
        <v>130.10000000000019</v>
      </c>
      <c r="BE74" s="2">
        <f t="shared" si="349"/>
        <v>-459.19999999999993</v>
      </c>
      <c r="BF74" s="2">
        <f>+BF45</f>
        <v>-16.100000000000065</v>
      </c>
      <c r="BG74" s="2">
        <f>+BG45</f>
        <v>1567.6999999999996</v>
      </c>
      <c r="BH74" s="2">
        <f>+BH45</f>
        <v>-783.79999999999973</v>
      </c>
      <c r="BI74" s="2">
        <f t="shared" ref="BI74" si="350">+BI45</f>
        <v>13.5</v>
      </c>
      <c r="BJ74" s="2">
        <f t="shared" ref="BJ74" si="351">SUM(A74:D74)</f>
        <v>6240</v>
      </c>
      <c r="BK74" s="2">
        <f t="shared" ref="BK74:BR74" si="352">SUM(B74:E74)</f>
        <v>9563</v>
      </c>
      <c r="BL74" s="2">
        <f t="shared" si="352"/>
        <v>11368</v>
      </c>
      <c r="BM74" s="2">
        <f t="shared" si="352"/>
        <v>9514</v>
      </c>
      <c r="BN74" s="2">
        <f t="shared" si="352"/>
        <v>6809</v>
      </c>
      <c r="BO74" s="2">
        <f t="shared" si="352"/>
        <v>3949</v>
      </c>
      <c r="BP74" s="2">
        <f t="shared" si="352"/>
        <v>2562</v>
      </c>
      <c r="BQ74" s="2">
        <f t="shared" si="352"/>
        <v>2325</v>
      </c>
      <c r="BR74" s="2">
        <f t="shared" si="352"/>
        <v>2711</v>
      </c>
      <c r="BS74" s="2">
        <f t="shared" ref="BS74" si="353">SUM(J74:M74)</f>
        <v>3034</v>
      </c>
      <c r="BT74" s="2">
        <f t="shared" ref="BT74" si="354">SUM(K74:N74)</f>
        <v>3378</v>
      </c>
      <c r="BU74" s="2">
        <f t="shared" ref="BU74" si="355">SUM(L74:O74)</f>
        <v>4764</v>
      </c>
      <c r="BV74" s="2">
        <f t="shared" ref="BV74" si="356">SUM(M74:P74)</f>
        <v>6326</v>
      </c>
      <c r="BW74" s="2">
        <f t="shared" ref="BW74" si="357">SUM(N74:Q74)</f>
        <v>7955</v>
      </c>
      <c r="BX74" s="2">
        <f t="shared" ref="BX74" si="358">SUM(O74:R74)</f>
        <v>9516</v>
      </c>
      <c r="BY74" s="2">
        <f t="shared" ref="BY74:CD74" si="359">SUM(P74:S74)</f>
        <v>10302</v>
      </c>
      <c r="BZ74" s="2">
        <f t="shared" si="359"/>
        <v>9209</v>
      </c>
      <c r="CA74" s="2">
        <f t="shared" si="359"/>
        <v>6524</v>
      </c>
      <c r="CB74" s="2">
        <f t="shared" si="359"/>
        <v>2000</v>
      </c>
      <c r="CC74" s="2">
        <f t="shared" si="359"/>
        <v>-2611</v>
      </c>
      <c r="CD74" s="2">
        <f t="shared" si="359"/>
        <v>-5481</v>
      </c>
      <c r="CE74" s="2">
        <f>SUM(Y74:AB74)</f>
        <v>-582</v>
      </c>
      <c r="CF74" s="2">
        <f>SUM(AC74:AF74)</f>
        <v>8765</v>
      </c>
    </row>
    <row r="75" spans="2:85" x14ac:dyDescent="0.25">
      <c r="B75" t="s">
        <v>35</v>
      </c>
      <c r="D75" s="6"/>
      <c r="E75" s="6">
        <v>3296</v>
      </c>
      <c r="F75" s="6">
        <f>4921-E75</f>
        <v>1625</v>
      </c>
      <c r="G75" s="6"/>
      <c r="H75" s="6"/>
      <c r="I75" s="6">
        <v>508</v>
      </c>
      <c r="J75" s="6">
        <f>915-I75</f>
        <v>407</v>
      </c>
      <c r="K75" s="6">
        <f>1720-J75-I75</f>
        <v>805</v>
      </c>
      <c r="L75" s="6">
        <f>2710-K75-J75-I75</f>
        <v>990</v>
      </c>
      <c r="M75" s="6">
        <v>803</v>
      </c>
      <c r="N75" s="6">
        <f>1406-M75</f>
        <v>603</v>
      </c>
      <c r="O75" s="6">
        <f>3141-N75-M75</f>
        <v>1735</v>
      </c>
      <c r="P75" s="6">
        <f>5861-O75-N75-M75</f>
        <v>2720</v>
      </c>
      <c r="Q75" s="6">
        <v>2306</v>
      </c>
      <c r="R75" s="6">
        <f>4569-Q75</f>
        <v>2263</v>
      </c>
      <c r="S75" s="6">
        <f>7195-R75-Q75</f>
        <v>2626</v>
      </c>
      <c r="T75" s="6">
        <f>8687-S75-R75-Q75</f>
        <v>1492</v>
      </c>
      <c r="U75" s="6">
        <v>-195</v>
      </c>
      <c r="V75" s="6">
        <f>-2507-U75</f>
        <v>-2312</v>
      </c>
      <c r="W75" s="6">
        <f>-4403-V75-U75</f>
        <v>-1896</v>
      </c>
      <c r="X75" s="6">
        <f>-5833-W75-V75-U75</f>
        <v>-1430</v>
      </c>
      <c r="Y75" s="6">
        <v>-1234</v>
      </c>
      <c r="Z75" s="6">
        <f>-441-Y75</f>
        <v>793</v>
      </c>
      <c r="AA75" s="6">
        <f>-109-Z75-Y75</f>
        <v>332</v>
      </c>
      <c r="AB75" s="6">
        <f>778-AA75-Z75-Y75</f>
        <v>887</v>
      </c>
      <c r="AC75" s="6">
        <v>1870</v>
      </c>
      <c r="AD75" s="2">
        <f>3453-AC75</f>
        <v>1583</v>
      </c>
      <c r="AE75" s="2">
        <f>5338-AD75-AC75</f>
        <v>1885</v>
      </c>
      <c r="AF75" s="2">
        <f>8539-AE75-AD75-AC75</f>
        <v>3201</v>
      </c>
      <c r="AG75" s="2">
        <v>5240</v>
      </c>
      <c r="AH75" s="2">
        <f>19025-AG75</f>
        <v>13785</v>
      </c>
      <c r="AI75" s="2">
        <f>47268-AH75-AG75</f>
        <v>28243</v>
      </c>
      <c r="BA75" s="2"/>
      <c r="BB75" s="2">
        <v>844.1</v>
      </c>
      <c r="BC75" s="2">
        <v>593.5</v>
      </c>
      <c r="BD75" s="2">
        <v>332.2</v>
      </c>
      <c r="BE75" s="2"/>
      <c r="BF75" s="2">
        <v>-68.900000000000006</v>
      </c>
      <c r="BG75" s="2">
        <v>1504.2</v>
      </c>
      <c r="BH75" s="2">
        <v>-625</v>
      </c>
      <c r="BI75" s="2">
        <v>-907</v>
      </c>
      <c r="BJ75" s="2">
        <v>-1273.2</v>
      </c>
      <c r="BK75" s="2">
        <v>157.19999999999999</v>
      </c>
      <c r="BL75" s="2">
        <v>188</v>
      </c>
      <c r="BM75" s="2">
        <v>408</v>
      </c>
      <c r="BN75" s="2">
        <v>-320</v>
      </c>
      <c r="BO75" s="2">
        <v>-1665</v>
      </c>
      <c r="BP75" s="2">
        <v>-1993</v>
      </c>
      <c r="BQ75" s="2">
        <v>1900</v>
      </c>
      <c r="BR75">
        <v>190</v>
      </c>
      <c r="BS75">
        <v>-1031</v>
      </c>
      <c r="BT75" s="2">
        <v>1194</v>
      </c>
      <c r="BU75" s="2">
        <v>3079</v>
      </c>
      <c r="BV75" s="2">
        <v>2899</v>
      </c>
      <c r="BW75" s="6">
        <v>-275</v>
      </c>
      <c r="BX75" s="2">
        <v>5090</v>
      </c>
      <c r="BY75" s="2">
        <v>14138</v>
      </c>
      <c r="BZ75" s="2">
        <v>6358</v>
      </c>
      <c r="CA75" s="2">
        <v>2710</v>
      </c>
      <c r="CB75" s="2">
        <v>5861</v>
      </c>
      <c r="CC75" s="2">
        <v>7116</v>
      </c>
      <c r="CD75" s="2">
        <f t="shared" ref="CD75:CD96" si="360">SUM(U75:X75)</f>
        <v>-5833</v>
      </c>
      <c r="CE75" s="2">
        <f t="shared" ref="CE75:CE96" si="361">SUM(Y75:AB75)</f>
        <v>778</v>
      </c>
      <c r="CF75" s="2">
        <f>SUM(AC75:AF75)</f>
        <v>8539</v>
      </c>
    </row>
    <row r="76" spans="2:85" x14ac:dyDescent="0.25">
      <c r="B76" t="s">
        <v>36</v>
      </c>
      <c r="D76" s="6"/>
      <c r="E76" s="6">
        <v>1335</v>
      </c>
      <c r="F76" s="6">
        <f>2648-E76</f>
        <v>1313</v>
      </c>
      <c r="G76" s="6"/>
      <c r="H76" s="6"/>
      <c r="I76" s="6">
        <v>1296</v>
      </c>
      <c r="J76" s="6">
        <f>2661-I76</f>
        <v>1365</v>
      </c>
      <c r="K76" s="6">
        <f>4083-J76-I76</f>
        <v>1422</v>
      </c>
      <c r="L76" s="6">
        <f>5650-K76-J76-I76</f>
        <v>1567</v>
      </c>
      <c r="M76" s="6">
        <v>1487</v>
      </c>
      <c r="N76" s="6">
        <f>3036-M76</f>
        <v>1549</v>
      </c>
      <c r="O76" s="6">
        <f>4593-N76-M76</f>
        <v>1557</v>
      </c>
      <c r="P76" s="6">
        <f>6214-O76-N76-M76</f>
        <v>1621</v>
      </c>
      <c r="Q76" s="6">
        <v>1671</v>
      </c>
      <c r="R76" s="6">
        <f>3413-Q76</f>
        <v>1742</v>
      </c>
      <c r="S76" s="6">
        <f>5234-R76-Q76</f>
        <v>1821</v>
      </c>
      <c r="T76" s="6">
        <f>7116-S76-R76-Q76</f>
        <v>1882</v>
      </c>
      <c r="U76" s="6">
        <v>1921</v>
      </c>
      <c r="V76" s="6">
        <f>3863-U76</f>
        <v>1942</v>
      </c>
      <c r="W76" s="6">
        <f>5819-V76-U76</f>
        <v>1956</v>
      </c>
      <c r="X76" s="6">
        <f>7756-W76-V76-U76</f>
        <v>1937</v>
      </c>
      <c r="Y76" s="6">
        <v>1915</v>
      </c>
      <c r="Z76" s="6">
        <f>3839-Y76</f>
        <v>1924</v>
      </c>
      <c r="AA76" s="6">
        <f>5794-Z76-Y76</f>
        <v>1955</v>
      </c>
      <c r="AB76" s="6">
        <f>7780-AA76-Z76-Y76</f>
        <v>1986</v>
      </c>
      <c r="AC76" s="6">
        <v>2030</v>
      </c>
      <c r="AD76" s="2">
        <f>4109-AC76</f>
        <v>2079</v>
      </c>
      <c r="AE76" s="2">
        <f>6203-AD76-AC76</f>
        <v>2094</v>
      </c>
      <c r="AF76" s="2">
        <f>8352-AE76-AD76-AC76</f>
        <v>2149</v>
      </c>
      <c r="AG76" s="2">
        <v>2212</v>
      </c>
      <c r="AH76" s="2">
        <f>4498-AG76</f>
        <v>2286</v>
      </c>
      <c r="AI76" s="2">
        <f>6862-AH76-AG76</f>
        <v>2364</v>
      </c>
      <c r="BA76" s="2"/>
      <c r="BB76" s="2">
        <v>199</v>
      </c>
      <c r="BC76" s="2">
        <v>363.7</v>
      </c>
      <c r="BD76" s="2">
        <v>461.7</v>
      </c>
      <c r="BE76" s="2"/>
      <c r="BF76" s="2">
        <v>829.7</v>
      </c>
      <c r="BG76" s="2">
        <v>974.4</v>
      </c>
      <c r="BH76" s="2">
        <v>1114.4000000000001</v>
      </c>
      <c r="BI76" s="2">
        <v>1177.4000000000001</v>
      </c>
      <c r="BJ76" s="2">
        <v>1209.9000000000001</v>
      </c>
      <c r="BK76" s="2">
        <v>1217.5</v>
      </c>
      <c r="BL76" s="2">
        <v>1265</v>
      </c>
      <c r="BM76" s="2">
        <v>1281</v>
      </c>
      <c r="BN76" s="2">
        <v>1718</v>
      </c>
      <c r="BO76" s="2">
        <v>2096</v>
      </c>
      <c r="BP76" s="2">
        <v>2114</v>
      </c>
      <c r="BQ76" s="2">
        <v>1922</v>
      </c>
      <c r="BR76">
        <v>2105</v>
      </c>
      <c r="BS76">
        <v>2141</v>
      </c>
      <c r="BT76" s="2">
        <v>1804</v>
      </c>
      <c r="BU76" s="2">
        <v>2103</v>
      </c>
      <c r="BV76" s="2">
        <v>2667</v>
      </c>
      <c r="BW76" s="6">
        <v>2980</v>
      </c>
      <c r="BX76" s="2">
        <v>3861</v>
      </c>
      <c r="BY76" s="2">
        <v>4759</v>
      </c>
      <c r="BZ76" s="2">
        <v>5424</v>
      </c>
      <c r="CA76" s="2">
        <v>5650</v>
      </c>
      <c r="CB76" s="2">
        <v>6214</v>
      </c>
      <c r="CC76" s="2">
        <v>514</v>
      </c>
      <c r="CD76" s="2">
        <f t="shared" si="360"/>
        <v>7756</v>
      </c>
      <c r="CE76" s="2">
        <f t="shared" si="361"/>
        <v>7780</v>
      </c>
      <c r="CF76" s="2">
        <f t="shared" ref="CF76:CF96" si="362">SUM(AC76:AF76)</f>
        <v>8352</v>
      </c>
    </row>
    <row r="77" spans="2:85" x14ac:dyDescent="0.25">
      <c r="B77" t="s">
        <v>230</v>
      </c>
      <c r="D77" s="6"/>
      <c r="E77" s="6">
        <v>18</v>
      </c>
      <c r="F77" s="6">
        <f>29-E77</f>
        <v>11</v>
      </c>
      <c r="G77" s="6"/>
      <c r="H77" s="6"/>
      <c r="I77" s="6">
        <v>10</v>
      </c>
      <c r="J77" s="6">
        <f>16-I77</f>
        <v>6</v>
      </c>
      <c r="K77" s="6">
        <f>20-J77-I77</f>
        <v>4</v>
      </c>
      <c r="L77" s="6">
        <f>26-K77-J77-I77</f>
        <v>6</v>
      </c>
      <c r="M77" s="6">
        <v>7</v>
      </c>
      <c r="N77" s="6">
        <f>15-M77</f>
        <v>8</v>
      </c>
      <c r="O77" s="6">
        <f>22+446-N77-M77</f>
        <v>453</v>
      </c>
      <c r="P77" s="6">
        <f>30+454-O77-N77-M77</f>
        <v>16</v>
      </c>
      <c r="Q77" s="6">
        <v>0</v>
      </c>
      <c r="R77" s="6">
        <v>0</v>
      </c>
      <c r="S77" s="3">
        <v>0</v>
      </c>
      <c r="T77" s="3">
        <v>0</v>
      </c>
      <c r="U77" s="6">
        <v>0</v>
      </c>
      <c r="V77" s="6">
        <f>1430-U77</f>
        <v>1430</v>
      </c>
      <c r="W77" s="6">
        <f>1831-V77-U77</f>
        <v>401</v>
      </c>
      <c r="X77" s="6">
        <f>1831-W77-V77-U77</f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/>
      <c r="BA77" s="2"/>
      <c r="BB77" s="2">
        <v>2.2999999999999998</v>
      </c>
      <c r="BC77" s="2">
        <f>40+29.6</f>
        <v>69.599999999999994</v>
      </c>
      <c r="BD77" s="2">
        <v>0.6</v>
      </c>
      <c r="BE77" s="2"/>
      <c r="BF77" s="2">
        <v>9.9</v>
      </c>
      <c r="BG77" s="2">
        <v>43.5</v>
      </c>
      <c r="BH77" s="2">
        <f>103.8+726.9</f>
        <v>830.69999999999993</v>
      </c>
      <c r="BI77" s="2">
        <f>376.1+28.4+11.5</f>
        <v>416</v>
      </c>
      <c r="BJ77" s="2">
        <f>85.2+307+48.4-0.6</f>
        <v>439.99999999999994</v>
      </c>
      <c r="BK77" s="2">
        <f>-37-3.9+0.6</f>
        <v>-40.299999999999997</v>
      </c>
      <c r="BL77" s="2">
        <v>0</v>
      </c>
      <c r="BM77" s="2">
        <v>0</v>
      </c>
      <c r="BN77" s="2">
        <v>0</v>
      </c>
      <c r="BO77" s="2">
        <v>0</v>
      </c>
      <c r="BP77" s="2">
        <f>72+140</f>
        <v>212</v>
      </c>
      <c r="BQ77" s="2">
        <f>83+39</f>
        <v>122</v>
      </c>
      <c r="BR77">
        <f>57-21-86</f>
        <v>-50</v>
      </c>
      <c r="BS77">
        <f>81+19+4</f>
        <v>104</v>
      </c>
      <c r="BT77" s="2">
        <f>122+31</f>
        <v>153</v>
      </c>
      <c r="BU77" s="2">
        <v>167</v>
      </c>
      <c r="BV77" s="2">
        <v>138</v>
      </c>
      <c r="BW77" s="6">
        <v>126</v>
      </c>
      <c r="BX77" s="2">
        <v>125</v>
      </c>
      <c r="BY77" s="2">
        <f>101+385</f>
        <v>486</v>
      </c>
      <c r="BZ77" s="2">
        <v>49</v>
      </c>
      <c r="CA77" s="2">
        <v>26</v>
      </c>
      <c r="CB77" s="2">
        <f>30+454</f>
        <v>484</v>
      </c>
      <c r="CC77" s="2">
        <v>83</v>
      </c>
      <c r="CD77" s="2">
        <f t="shared" si="360"/>
        <v>1831</v>
      </c>
      <c r="CE77" s="2">
        <f t="shared" si="361"/>
        <v>0</v>
      </c>
      <c r="CF77" s="2">
        <f t="shared" si="362"/>
        <v>0</v>
      </c>
    </row>
    <row r="78" spans="2:85" x14ac:dyDescent="0.25">
      <c r="B78" t="s">
        <v>37</v>
      </c>
      <c r="D78" s="6"/>
      <c r="E78" s="6">
        <v>61</v>
      </c>
      <c r="F78" s="6">
        <f>118-E78</f>
        <v>57</v>
      </c>
      <c r="G78" s="6"/>
      <c r="H78" s="6"/>
      <c r="I78" s="6">
        <v>72</v>
      </c>
      <c r="J78" s="6">
        <f>157-I78</f>
        <v>85</v>
      </c>
      <c r="K78" s="6">
        <f>239-J78-I78</f>
        <v>82</v>
      </c>
      <c r="L78" s="6">
        <f>328-K78-J78-I78</f>
        <v>89</v>
      </c>
      <c r="M78" s="6">
        <v>92</v>
      </c>
      <c r="N78" s="6">
        <f>189-M78</f>
        <v>97</v>
      </c>
      <c r="O78" s="6">
        <f>285-N78-M78</f>
        <v>96</v>
      </c>
      <c r="P78" s="6">
        <f>378-O78-N78-M78</f>
        <v>93</v>
      </c>
      <c r="Q78" s="6">
        <v>118</v>
      </c>
      <c r="R78" s="6">
        <f>247-Q78</f>
        <v>129</v>
      </c>
      <c r="S78" s="6">
        <f>378-R78-Q78</f>
        <v>131</v>
      </c>
      <c r="T78" s="6">
        <f>514-S78-R78-Q78</f>
        <v>136</v>
      </c>
      <c r="U78" s="6">
        <v>146</v>
      </c>
      <c r="V78" s="6">
        <f>303-U78</f>
        <v>157</v>
      </c>
      <c r="W78" s="6">
        <f>448-V78-U78</f>
        <v>145</v>
      </c>
      <c r="X78" s="6">
        <f>596-W78-V78-U78</f>
        <v>148</v>
      </c>
      <c r="Y78" s="6">
        <v>188</v>
      </c>
      <c r="Z78" s="6">
        <f>401-Y78</f>
        <v>213</v>
      </c>
      <c r="AA78" s="6">
        <f>620-Z78-Y78</f>
        <v>219</v>
      </c>
      <c r="AB78" s="6">
        <f>833-AA78-Z78-Y78</f>
        <v>213</v>
      </c>
      <c r="AC78" s="6">
        <v>220</v>
      </c>
      <c r="AD78" s="2">
        <f>469-AC78</f>
        <v>249</v>
      </c>
      <c r="AE78" s="2">
        <f>722-AD78-AC78</f>
        <v>253</v>
      </c>
      <c r="AF78" s="2">
        <f>972-AE78-AD78-AC78</f>
        <v>250</v>
      </c>
      <c r="AG78" s="2">
        <v>290</v>
      </c>
      <c r="AH78" s="2">
        <f>599-AG78</f>
        <v>309</v>
      </c>
      <c r="AI78" s="2">
        <f>954-AH78-AG78</f>
        <v>355</v>
      </c>
      <c r="BA78" s="2"/>
      <c r="BB78" s="2">
        <v>0</v>
      </c>
      <c r="BC78" s="2">
        <v>0</v>
      </c>
      <c r="BD78" s="2">
        <v>0</v>
      </c>
      <c r="BE78" s="2"/>
      <c r="BF78" s="2">
        <v>54.9</v>
      </c>
      <c r="BG78" s="2">
        <v>205.1</v>
      </c>
      <c r="BH78" s="2">
        <v>48.3</v>
      </c>
      <c r="BI78" s="2">
        <v>0</v>
      </c>
      <c r="BJ78" s="2">
        <v>0</v>
      </c>
      <c r="BK78" s="2">
        <v>0</v>
      </c>
      <c r="BL78" s="2">
        <v>2</v>
      </c>
      <c r="BM78" s="2">
        <v>0</v>
      </c>
      <c r="BN78" s="2">
        <v>0</v>
      </c>
      <c r="BO78" s="2">
        <v>48</v>
      </c>
      <c r="BP78" s="2">
        <v>44</v>
      </c>
      <c r="BQ78" s="2">
        <v>93</v>
      </c>
      <c r="BR78">
        <v>76</v>
      </c>
      <c r="BS78">
        <v>87</v>
      </c>
      <c r="BT78" s="2">
        <v>91</v>
      </c>
      <c r="BU78" s="2">
        <v>115</v>
      </c>
      <c r="BV78" s="2">
        <v>168</v>
      </c>
      <c r="BW78" s="6">
        <v>191</v>
      </c>
      <c r="BX78" s="2">
        <v>215</v>
      </c>
      <c r="BY78" s="2">
        <v>198</v>
      </c>
      <c r="BZ78" s="2">
        <v>243</v>
      </c>
      <c r="CA78" s="2">
        <v>328</v>
      </c>
      <c r="CB78" s="2">
        <v>378</v>
      </c>
      <c r="CC78" s="2">
        <v>44</v>
      </c>
      <c r="CD78" s="2">
        <f t="shared" si="360"/>
        <v>596</v>
      </c>
      <c r="CE78" s="2">
        <f t="shared" si="361"/>
        <v>833</v>
      </c>
      <c r="CF78" s="2">
        <f t="shared" si="362"/>
        <v>972</v>
      </c>
    </row>
    <row r="79" spans="2:85" x14ac:dyDescent="0.25">
      <c r="B79" t="s">
        <v>239</v>
      </c>
      <c r="D79" s="6"/>
      <c r="E79" s="6">
        <v>-14</v>
      </c>
      <c r="F79" s="6">
        <f>69-E79</f>
        <v>83</v>
      </c>
      <c r="G79" s="6"/>
      <c r="H79" s="6"/>
      <c r="I79" s="6">
        <v>-42</v>
      </c>
      <c r="J79" s="6">
        <f>-42-I79</f>
        <v>0</v>
      </c>
      <c r="K79" s="6">
        <f>-40-J79-I79</f>
        <v>2</v>
      </c>
      <c r="L79" s="6">
        <f>-40-K79-J79-I79</f>
        <v>0</v>
      </c>
      <c r="M79" s="6">
        <v>0</v>
      </c>
      <c r="N79" s="6">
        <v>0</v>
      </c>
      <c r="O79" s="6">
        <v>1</v>
      </c>
      <c r="P79" s="6">
        <v>0</v>
      </c>
      <c r="Q79" s="6">
        <v>83</v>
      </c>
      <c r="R79" s="6">
        <f>83-Q79</f>
        <v>0</v>
      </c>
      <c r="S79" s="6">
        <f>83+43-R79-Q79</f>
        <v>43</v>
      </c>
      <c r="T79" s="6">
        <f>83+44-S79-R79-Q79</f>
        <v>1</v>
      </c>
      <c r="U79" s="6">
        <v>0</v>
      </c>
      <c r="V79" s="6">
        <v>0</v>
      </c>
      <c r="W79" s="6">
        <v>0</v>
      </c>
      <c r="X79" s="6">
        <f>101+11-W79-V79-U79</f>
        <v>112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/>
      <c r="BA79" s="2"/>
      <c r="BB79" s="2">
        <f>-29+29.7</f>
        <v>0.69999999999999929</v>
      </c>
      <c r="BC79" s="2">
        <f>-20.7+44.6</f>
        <v>23.900000000000002</v>
      </c>
      <c r="BD79" s="2">
        <f>-2.9+105.5</f>
        <v>102.6</v>
      </c>
      <c r="BE79" s="2"/>
      <c r="BF79" s="2">
        <v>0</v>
      </c>
      <c r="BG79" s="2">
        <v>10.7</v>
      </c>
      <c r="BH79" s="2">
        <v>186.5</v>
      </c>
      <c r="BI79" s="2">
        <v>0</v>
      </c>
      <c r="BJ79" s="2">
        <v>0</v>
      </c>
      <c r="BK79" s="2">
        <v>0</v>
      </c>
      <c r="BL79" s="2">
        <v>0</v>
      </c>
      <c r="BM79" s="2">
        <f>-2+26+25</f>
        <v>49</v>
      </c>
      <c r="BN79" s="2">
        <f>20-43+153</f>
        <v>130</v>
      </c>
      <c r="BO79" s="2">
        <f>282+7-66+463</f>
        <v>686</v>
      </c>
      <c r="BP79" s="2">
        <f>603+156+54</f>
        <v>813</v>
      </c>
      <c r="BQ79" s="2">
        <v>-437</v>
      </c>
      <c r="BR79">
        <f>158+113</f>
        <v>271</v>
      </c>
      <c r="BS79">
        <v>294</v>
      </c>
      <c r="BT79" s="2">
        <f>-1484+222+83-48+112</f>
        <v>-1115</v>
      </c>
      <c r="BU79" s="2">
        <f>27+195-17+33-474-97-119</f>
        <v>-452</v>
      </c>
      <c r="BV79" s="2">
        <f>49+64-447-3-1</f>
        <v>-338</v>
      </c>
      <c r="BW79" s="6">
        <f>4-25</f>
        <v>-21</v>
      </c>
      <c r="BX79" s="2">
        <f>99-71-8</f>
        <v>20</v>
      </c>
      <c r="BY79" s="2">
        <v>0</v>
      </c>
      <c r="BZ79" s="2">
        <v>396</v>
      </c>
      <c r="CA79" s="2">
        <v>-40</v>
      </c>
      <c r="CB79" s="2">
        <v>1</v>
      </c>
      <c r="CC79" s="2">
        <v>0</v>
      </c>
      <c r="CD79" s="2">
        <f t="shared" si="360"/>
        <v>112</v>
      </c>
      <c r="CE79" s="2">
        <f t="shared" si="361"/>
        <v>0</v>
      </c>
      <c r="CF79" s="2">
        <f t="shared" si="362"/>
        <v>0</v>
      </c>
    </row>
    <row r="80" spans="2:85" x14ac:dyDescent="0.25">
      <c r="B80" t="s">
        <v>38</v>
      </c>
      <c r="D80" s="6"/>
      <c r="E80" s="6">
        <f>189-286+192-46+65</f>
        <v>114</v>
      </c>
      <c r="F80" s="6">
        <f>1202-800+320-326+64-E80</f>
        <v>346</v>
      </c>
      <c r="G80" s="6"/>
      <c r="H80" s="6"/>
      <c r="I80" s="6">
        <f>-208+175+178+19+3</f>
        <v>167</v>
      </c>
      <c r="J80" s="6">
        <f>104-90+257+38-4-I80</f>
        <v>138</v>
      </c>
      <c r="K80" s="6">
        <f>-461-286+700+26+34-J80-I80</f>
        <v>-292</v>
      </c>
      <c r="L80" s="6">
        <f>-723-489+725+79+40-K80-J80-I80</f>
        <v>-381</v>
      </c>
      <c r="M80" s="6">
        <f>251+86-753-24+18</f>
        <v>-422</v>
      </c>
      <c r="N80" s="6">
        <f>533+629-777-11+4-M80</f>
        <v>800</v>
      </c>
      <c r="O80" s="6">
        <f>-340+814-309-94+25-N80-M80</f>
        <v>-282</v>
      </c>
      <c r="P80" s="6">
        <f>-1446+866+210-50-50-O80-N80-M80</f>
        <v>-566</v>
      </c>
      <c r="Q80" s="6">
        <f>67-344-42+54+25</f>
        <v>-240</v>
      </c>
      <c r="R80" s="6">
        <f>-44-900+107+91-Q80</f>
        <v>-506</v>
      </c>
      <c r="S80" s="6">
        <f>-906-1146+382+141-R80-Q80</f>
        <v>-783</v>
      </c>
      <c r="T80" s="6">
        <f>190-2179+744-18-S80-R80-Q80</f>
        <v>266</v>
      </c>
      <c r="U80" s="6">
        <f>1842-1697-1056-18</f>
        <v>-929</v>
      </c>
      <c r="V80" s="6">
        <f>2910-2896-1795-22-U80</f>
        <v>-874</v>
      </c>
      <c r="W80" s="6">
        <f>2728-3406-1764+57-V80-U80</f>
        <v>-582</v>
      </c>
      <c r="X80" s="6">
        <f>2763-3555-2104-7-W80-V80-U80</f>
        <v>-518</v>
      </c>
      <c r="Y80" s="6">
        <f>-501+111+271+579+72</f>
        <v>532</v>
      </c>
      <c r="Z80" s="6">
        <f>-1759-57-799+573+706+157-Y80</f>
        <v>-1711</v>
      </c>
      <c r="AA80" s="6">
        <f>-2562-125-435+846+769+304-Z80-Y80</f>
        <v>-24</v>
      </c>
      <c r="AB80" s="6">
        <f>-3581-488+1915+989+281-AA80-Z80-Y80</f>
        <v>319</v>
      </c>
      <c r="AC80" s="6">
        <f>-817+170-241-161+173</f>
        <v>-876</v>
      </c>
      <c r="AD80" s="2">
        <f>338-132-204-714-321+188-AC80</f>
        <v>31</v>
      </c>
      <c r="AE80" s="2">
        <f>-123+148-206+38-681+356-AD80-AC80</f>
        <v>377</v>
      </c>
      <c r="AF80" s="2">
        <f>-1776+520+862-272+328-AE80-AD80-AC80</f>
        <v>130</v>
      </c>
      <c r="AG80" s="2">
        <f>-871+150+156+449+547+238</f>
        <v>669</v>
      </c>
      <c r="AH80" s="2">
        <f>-8298+88+928+1469+2106-101-AG80</f>
        <v>-4477</v>
      </c>
      <c r="AI80" s="2">
        <f>-19953-212+3329+2139+5203+112-AH80-AG80</f>
        <v>-5574</v>
      </c>
      <c r="BA80" s="2"/>
      <c r="BB80" s="2">
        <f>-197.9-76+249.4-7.4+24.8</f>
        <v>-7.0999999999999694</v>
      </c>
      <c r="BC80" s="2">
        <f>107.5-61.1-80.6-4.1+48.1</f>
        <v>9.8000000000000043</v>
      </c>
      <c r="BD80" s="2">
        <f>-97.7-194.2+120.3+0.6+93.9-215.8</f>
        <v>-292.89999999999998</v>
      </c>
      <c r="BE80" s="2"/>
      <c r="BF80" s="2">
        <f>-90.1-61.8+151.7-31.6</f>
        <v>-31.79999999999999</v>
      </c>
      <c r="BG80" s="2">
        <f>-784.5-331.6+596.7-216.3</f>
        <v>-735.69999999999982</v>
      </c>
      <c r="BH80" s="2">
        <f>605.8-482.8-702.4-186.4</f>
        <v>-765.80000000000007</v>
      </c>
      <c r="BI80" s="2">
        <f>239-378.9+39.9+11.4-19.7</f>
        <v>-108.29999999999997</v>
      </c>
      <c r="BJ80" s="2">
        <f>-103.8-196.2+98.8+70.5+38.2</f>
        <v>-92.499999999999986</v>
      </c>
      <c r="BK80" s="2">
        <f>-130.9-160.5+30.1+57.8+27.9</f>
        <v>-175.59999999999994</v>
      </c>
      <c r="BL80" s="2">
        <f>-22-193+11-2-10-2</f>
        <v>-218</v>
      </c>
      <c r="BM80" s="2">
        <f>-62-12+130+249-24</f>
        <v>281</v>
      </c>
      <c r="BN80" s="2">
        <f>5-591-1-4</f>
        <v>-591</v>
      </c>
      <c r="BO80" s="2">
        <f>-26-40-130+28+21</f>
        <v>-147</v>
      </c>
      <c r="BP80" s="2">
        <f>126-356+44+81-15+136</f>
        <v>16</v>
      </c>
      <c r="BQ80" s="2">
        <f>-516-121+201-147+84-45+40</f>
        <v>-504</v>
      </c>
      <c r="BR80">
        <f>54-357-88+4+146+103+30</f>
        <v>-108</v>
      </c>
      <c r="BS80">
        <f>238+258-82+254-56+3-96</f>
        <v>519</v>
      </c>
      <c r="BT80" s="2">
        <f>-409+83+22-7-15+10</f>
        <v>-316</v>
      </c>
      <c r="BU80" s="2">
        <f>-518+194+671+68+243+29</f>
        <v>687</v>
      </c>
      <c r="BV80" s="2">
        <f>393+116-691+168-16-296</f>
        <v>-326</v>
      </c>
      <c r="BW80" s="6">
        <f>465-549+272-6-15</f>
        <v>167</v>
      </c>
      <c r="BX80" s="2">
        <f>-1651+50+564-361+218+22</f>
        <v>-1158</v>
      </c>
      <c r="BY80" s="2">
        <f>-1734-472+549-265-259</f>
        <v>-2181</v>
      </c>
      <c r="BZ80" s="2">
        <f>2431-1528-174+150-160</f>
        <v>719</v>
      </c>
      <c r="CA80" s="2">
        <f>-723-489+725+79+40</f>
        <v>-368</v>
      </c>
      <c r="CB80" s="2">
        <f>-1446+866+210-50-50</f>
        <v>-470</v>
      </c>
      <c r="CC80" s="2">
        <f>190-2179+744-18</f>
        <v>-1263</v>
      </c>
      <c r="CD80" s="2">
        <f t="shared" si="360"/>
        <v>-2903</v>
      </c>
      <c r="CE80" s="2">
        <f t="shared" si="361"/>
        <v>-884</v>
      </c>
      <c r="CF80" s="2">
        <f t="shared" si="362"/>
        <v>-338</v>
      </c>
    </row>
    <row r="81" spans="2:86" x14ac:dyDescent="0.25">
      <c r="B81" t="s">
        <v>39</v>
      </c>
      <c r="D81" s="6">
        <f t="shared" ref="D81:P81" si="363">SUM(D75:D80)</f>
        <v>0</v>
      </c>
      <c r="E81" s="6">
        <f t="shared" si="363"/>
        <v>4810</v>
      </c>
      <c r="F81" s="6">
        <f t="shared" si="363"/>
        <v>3435</v>
      </c>
      <c r="G81" s="6">
        <f t="shared" si="363"/>
        <v>0</v>
      </c>
      <c r="H81" s="6">
        <f t="shared" si="363"/>
        <v>0</v>
      </c>
      <c r="I81" s="6">
        <f t="shared" si="363"/>
        <v>2011</v>
      </c>
      <c r="J81" s="6">
        <f t="shared" si="363"/>
        <v>2001</v>
      </c>
      <c r="K81" s="6">
        <f t="shared" si="363"/>
        <v>2023</v>
      </c>
      <c r="L81" s="6">
        <f t="shared" si="363"/>
        <v>2271</v>
      </c>
      <c r="M81" s="6">
        <f t="shared" si="363"/>
        <v>1967</v>
      </c>
      <c r="N81" s="6">
        <f t="shared" si="363"/>
        <v>3057</v>
      </c>
      <c r="O81" s="6">
        <f t="shared" si="363"/>
        <v>3560</v>
      </c>
      <c r="P81" s="6">
        <f t="shared" si="363"/>
        <v>3884</v>
      </c>
      <c r="Q81" s="6">
        <f t="shared" ref="Q81:AB81" si="364">SUM(Q75:Q80)</f>
        <v>3938</v>
      </c>
      <c r="R81" s="6">
        <f t="shared" si="364"/>
        <v>3628</v>
      </c>
      <c r="S81" s="6">
        <f t="shared" si="364"/>
        <v>3838</v>
      </c>
      <c r="T81" s="6">
        <f t="shared" si="364"/>
        <v>3777</v>
      </c>
      <c r="U81" s="6">
        <f t="shared" si="364"/>
        <v>943</v>
      </c>
      <c r="V81" s="6">
        <f t="shared" si="364"/>
        <v>343</v>
      </c>
      <c r="W81" s="6">
        <f t="shared" si="364"/>
        <v>24</v>
      </c>
      <c r="X81" s="6">
        <f t="shared" si="364"/>
        <v>249</v>
      </c>
      <c r="Y81" s="6">
        <f t="shared" si="364"/>
        <v>1401</v>
      </c>
      <c r="Z81" s="6">
        <f t="shared" si="364"/>
        <v>1219</v>
      </c>
      <c r="AA81" s="6">
        <f t="shared" si="364"/>
        <v>2482</v>
      </c>
      <c r="AB81" s="6">
        <f t="shared" si="364"/>
        <v>3405</v>
      </c>
      <c r="AC81" s="2">
        <f t="shared" ref="AC81:AF81" si="365">SUM(AC75:AC80)</f>
        <v>3244</v>
      </c>
      <c r="AD81" s="2">
        <f t="shared" si="365"/>
        <v>3942</v>
      </c>
      <c r="AE81" s="2">
        <f t="shared" si="365"/>
        <v>4609</v>
      </c>
      <c r="AF81" s="2">
        <f t="shared" si="365"/>
        <v>5730</v>
      </c>
      <c r="AG81" s="2">
        <f>SUM(AG75:AG80)</f>
        <v>8411</v>
      </c>
      <c r="AH81" s="2">
        <f>SUM(AH75:AH80)</f>
        <v>11903</v>
      </c>
      <c r="AI81" s="2">
        <f>SUM(AI75:AI80)</f>
        <v>25388</v>
      </c>
      <c r="AJ81" s="2">
        <f>+AI81+15000</f>
        <v>40388</v>
      </c>
      <c r="AQ81" s="2">
        <v>39.270000000000003</v>
      </c>
      <c r="AR81" s="2">
        <v>1.3919999999999999</v>
      </c>
      <c r="AS81" s="2">
        <v>-9.7739999999999991</v>
      </c>
      <c r="AT81" s="2">
        <v>-7.3449999999999998</v>
      </c>
      <c r="AU81" s="2">
        <v>133.20599999999999</v>
      </c>
      <c r="AV81" s="2">
        <v>123.754</v>
      </c>
      <c r="AW81" s="2">
        <v>86.617999999999995</v>
      </c>
      <c r="AX81" s="2">
        <v>86.412999999999997</v>
      </c>
      <c r="AY81" s="2">
        <v>108.3</v>
      </c>
      <c r="AZ81" s="2">
        <v>257.3</v>
      </c>
      <c r="BA81" s="2">
        <v>557.5</v>
      </c>
      <c r="BB81" s="2">
        <f>SUM(BB75:BB80)</f>
        <v>1039</v>
      </c>
      <c r="BC81" s="2">
        <f>SUM(BC75:BC80)</f>
        <v>1060.5</v>
      </c>
      <c r="BD81" s="2">
        <f>SUM(BD75:BD80)</f>
        <v>604.20000000000005</v>
      </c>
      <c r="BE81" s="2">
        <v>189.2</v>
      </c>
      <c r="BF81" s="2">
        <f>SUM(BF75:BF80)</f>
        <v>793.80000000000007</v>
      </c>
      <c r="BG81" s="2">
        <f>SUM(BG75:BG80)</f>
        <v>2002.1999999999998</v>
      </c>
      <c r="BH81" s="2">
        <f>SUM(BH75:BH80)</f>
        <v>789.0999999999998</v>
      </c>
      <c r="BI81" s="2">
        <f t="shared" ref="BI81" si="366">SUM(BI75:BI80)</f>
        <v>578.10000000000014</v>
      </c>
      <c r="BJ81" s="2">
        <f t="shared" ref="BJ81" si="367">SUM(BJ75:BJ80)</f>
        <v>284.2</v>
      </c>
      <c r="BK81" s="2">
        <f t="shared" ref="BK81:BM81" si="368">SUM(BK75:BK80)</f>
        <v>1158.8000000000002</v>
      </c>
      <c r="BL81" s="2">
        <f t="shared" si="368"/>
        <v>1237</v>
      </c>
      <c r="BM81" s="2">
        <f t="shared" si="368"/>
        <v>2019</v>
      </c>
      <c r="BN81" s="2">
        <f t="shared" ref="BN81" si="369">SUM(BN75:BN80)</f>
        <v>937</v>
      </c>
      <c r="BO81" s="2">
        <f t="shared" ref="BO81:CB81" si="370">SUM(BO75:BO80)</f>
        <v>1018</v>
      </c>
      <c r="BP81" s="2">
        <f t="shared" si="370"/>
        <v>1206</v>
      </c>
      <c r="BQ81" s="2">
        <f t="shared" si="370"/>
        <v>3096</v>
      </c>
      <c r="BR81" s="2">
        <f t="shared" si="370"/>
        <v>2484</v>
      </c>
      <c r="BS81" s="2">
        <f t="shared" si="370"/>
        <v>2114</v>
      </c>
      <c r="BT81" s="2">
        <f t="shared" si="370"/>
        <v>1811</v>
      </c>
      <c r="BU81" s="2">
        <f t="shared" si="370"/>
        <v>5699</v>
      </c>
      <c r="BV81" s="2">
        <f t="shared" si="370"/>
        <v>5208</v>
      </c>
      <c r="BW81" s="2">
        <f t="shared" si="370"/>
        <v>3168</v>
      </c>
      <c r="BX81" s="2">
        <f t="shared" si="370"/>
        <v>8153</v>
      </c>
      <c r="BY81" s="2">
        <f t="shared" si="370"/>
        <v>17400</v>
      </c>
      <c r="BZ81" s="2">
        <f t="shared" si="370"/>
        <v>13189</v>
      </c>
      <c r="CA81" s="2">
        <f t="shared" si="370"/>
        <v>8306</v>
      </c>
      <c r="CB81" s="2">
        <f t="shared" si="370"/>
        <v>12468</v>
      </c>
      <c r="CC81" s="2">
        <v>15181</v>
      </c>
      <c r="CD81" s="2">
        <f t="shared" si="360"/>
        <v>1559</v>
      </c>
      <c r="CE81" s="2">
        <f>SUM(Y81:AB81)</f>
        <v>8507</v>
      </c>
      <c r="CF81" s="2">
        <f t="shared" si="362"/>
        <v>17525</v>
      </c>
      <c r="CG81" s="2">
        <f>SUM(AG81:AJ81)</f>
        <v>86090</v>
      </c>
      <c r="CH81">
        <f>+CG81*2</f>
        <v>172180</v>
      </c>
    </row>
    <row r="82" spans="2:86" x14ac:dyDescent="0.25">
      <c r="Y82" s="6"/>
      <c r="Z82" s="6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6"/>
      <c r="BX82" s="2"/>
      <c r="BY82" s="2"/>
      <c r="BZ82" s="2"/>
      <c r="CA82" s="2"/>
      <c r="CB82" s="2"/>
      <c r="CC82" s="2"/>
      <c r="CD82" s="2"/>
      <c r="CE82" s="2"/>
      <c r="CF82" s="2"/>
    </row>
    <row r="83" spans="2:86" x14ac:dyDescent="0.25">
      <c r="B83" t="s">
        <v>51</v>
      </c>
      <c r="D83" s="6"/>
      <c r="E83" s="6">
        <v>-2700</v>
      </c>
      <c r="F83" s="6">
        <f>-5349-E83</f>
        <v>-2649</v>
      </c>
      <c r="G83" s="6"/>
      <c r="H83" s="6"/>
      <c r="I83" s="6">
        <v>-1943</v>
      </c>
      <c r="J83" s="6">
        <f>-3999-I83</f>
        <v>-2056</v>
      </c>
      <c r="K83" s="6">
        <f>-5943-J83-I83</f>
        <v>-1944</v>
      </c>
      <c r="L83" s="6">
        <f>-8223-K83-J83-I83</f>
        <v>-2280</v>
      </c>
      <c r="M83" s="6">
        <v>-2738</v>
      </c>
      <c r="N83" s="6">
        <f>-5756-M83</f>
        <v>-3018</v>
      </c>
      <c r="O83" s="6">
        <f>-8015-N83-M83</f>
        <v>-2259</v>
      </c>
      <c r="P83" s="6">
        <f>-10030-O83-N83-M83</f>
        <v>-2015</v>
      </c>
      <c r="Q83" s="6">
        <v>-3265</v>
      </c>
      <c r="R83" s="6">
        <f>-5876-Q83</f>
        <v>-2611</v>
      </c>
      <c r="S83" s="6">
        <f>-8454-R83-Q83</f>
        <v>-2578</v>
      </c>
      <c r="T83" s="6">
        <f>-12067-S83-R83-Q83</f>
        <v>-3613</v>
      </c>
      <c r="U83" s="6">
        <v>-2449</v>
      </c>
      <c r="V83" s="6">
        <f>-4654-U83</f>
        <v>-2205</v>
      </c>
      <c r="W83" s="6">
        <f>-6215-V83-U83</f>
        <v>-1561</v>
      </c>
      <c r="X83" s="6">
        <f>-7676-W83-V83-U83</f>
        <v>-1461</v>
      </c>
      <c r="Y83" s="6">
        <v>-1796</v>
      </c>
      <c r="Z83" s="6">
        <f>-3180-Y83</f>
        <v>-1384</v>
      </c>
      <c r="AA83" s="6">
        <f>-5266-Z83-Y83</f>
        <v>-2086</v>
      </c>
      <c r="AB83" s="6">
        <f>-8386-AA83-Z83-Y83</f>
        <v>-3120</v>
      </c>
      <c r="AC83" s="6">
        <v>-3206</v>
      </c>
      <c r="AD83" s="2">
        <f>-7261-AC83</f>
        <v>-4055</v>
      </c>
      <c r="AE83" s="2">
        <f>-10199-AD83-AC83</f>
        <v>-2938</v>
      </c>
      <c r="AF83" s="2">
        <f>-15857-AE83-AD83-AC83</f>
        <v>-5658</v>
      </c>
      <c r="AG83" s="2">
        <v>-5389</v>
      </c>
      <c r="AH83" s="2">
        <f>-11776-AG83</f>
        <v>-6387</v>
      </c>
      <c r="AI83" s="2">
        <f>-19602-AH83-AG83</f>
        <v>-7826</v>
      </c>
      <c r="AJ83" s="2">
        <f>+AI83-5000</f>
        <v>-12826</v>
      </c>
      <c r="AQ83" s="2">
        <v>-65.132999999999996</v>
      </c>
      <c r="AR83" s="2">
        <v>-43.097999999999999</v>
      </c>
      <c r="AS83" s="2">
        <v>-12.048</v>
      </c>
      <c r="AT83" s="2">
        <v>-9.6140000000000008</v>
      </c>
      <c r="AU83" s="2">
        <v>-59.445</v>
      </c>
      <c r="AV83" s="2">
        <v>-243.749</v>
      </c>
      <c r="AW83" s="2">
        <v>-119.83499999999999</v>
      </c>
      <c r="AX83" s="2">
        <v>-83.183000000000007</v>
      </c>
      <c r="AY83" s="2">
        <v>-50.9</v>
      </c>
      <c r="AZ83" s="2">
        <v>-83.4</v>
      </c>
      <c r="BA83" s="2">
        <v>-251</v>
      </c>
      <c r="BB83" s="2">
        <v>-852.4</v>
      </c>
      <c r="BC83" s="2">
        <v>-1524.9</v>
      </c>
      <c r="BD83" s="2">
        <v>-516.9</v>
      </c>
      <c r="BE83" s="2">
        <v>-707.1</v>
      </c>
      <c r="BF83" s="2">
        <v>-763.9</v>
      </c>
      <c r="BG83" s="2">
        <v>-1127.4000000000001</v>
      </c>
      <c r="BH83" s="2">
        <v>-1488.6</v>
      </c>
      <c r="BI83" s="2">
        <v>-759.9</v>
      </c>
      <c r="BJ83" s="2">
        <v>-758</v>
      </c>
      <c r="BK83" s="2">
        <v>-1799</v>
      </c>
      <c r="BL83" s="2">
        <v>-1849</v>
      </c>
      <c r="BM83" s="2">
        <v>-1365</v>
      </c>
      <c r="BN83" s="2">
        <v>-3603</v>
      </c>
      <c r="BO83" s="2">
        <v>-2529</v>
      </c>
      <c r="BP83" s="2">
        <v>-488</v>
      </c>
      <c r="BQ83" s="2">
        <v>-616</v>
      </c>
      <c r="BR83" s="2">
        <v>-2550</v>
      </c>
      <c r="BS83" s="2">
        <v>-1699</v>
      </c>
      <c r="BT83" s="2">
        <v>-1442</v>
      </c>
      <c r="BU83" s="2">
        <v>-3107</v>
      </c>
      <c r="BV83" s="2">
        <v>-4021</v>
      </c>
      <c r="BW83" s="6">
        <v>-5817</v>
      </c>
      <c r="BX83" s="2">
        <v>-4734</v>
      </c>
      <c r="BY83" s="2">
        <v>-8879</v>
      </c>
      <c r="BZ83" s="2">
        <v>-9780</v>
      </c>
      <c r="CA83" s="2">
        <v>-8223</v>
      </c>
      <c r="CB83" s="2">
        <v>-10030</v>
      </c>
      <c r="CC83" s="2">
        <v>-12067</v>
      </c>
      <c r="CD83" s="2">
        <f t="shared" si="360"/>
        <v>-7676</v>
      </c>
      <c r="CE83" s="2">
        <f>SUM(Y83:AB83)</f>
        <v>-8386</v>
      </c>
      <c r="CF83" s="2">
        <f t="shared" si="362"/>
        <v>-15857</v>
      </c>
      <c r="CG83" s="2">
        <f>SUM(AG83:AJ83)</f>
        <v>-32428</v>
      </c>
      <c r="CH83" s="2"/>
    </row>
    <row r="84" spans="2:86" x14ac:dyDescent="0.25">
      <c r="B84" t="s">
        <v>42</v>
      </c>
      <c r="D84" s="6"/>
      <c r="E84" s="6">
        <f>-2047+77+60</f>
        <v>-1910</v>
      </c>
      <c r="F84" s="6">
        <f>-2566-E84+391+160</f>
        <v>-105</v>
      </c>
      <c r="G84" s="6"/>
      <c r="H84" s="6"/>
      <c r="I84" s="6">
        <f>-407+988+163</f>
        <v>744</v>
      </c>
      <c r="J84" s="6">
        <f>-566+1059+523-I84</f>
        <v>272</v>
      </c>
      <c r="K84" s="6">
        <f>-793+1157+636-J84-I84</f>
        <v>-16</v>
      </c>
      <c r="L84" s="6">
        <f>-1857+1458+814-K84-J84-I84</f>
        <v>-585</v>
      </c>
      <c r="M84" s="6">
        <f>-1002+216+45</f>
        <v>-741</v>
      </c>
      <c r="N84" s="6">
        <f>-1349+746+178-M84</f>
        <v>316</v>
      </c>
      <c r="O84" s="6">
        <f>-1919+1024+473-N84-M84</f>
        <v>3</v>
      </c>
      <c r="P84" s="6">
        <f>-3163+1250+856-O84-N84-M84</f>
        <v>-635</v>
      </c>
      <c r="Q84" s="6">
        <f>-528+313+124</f>
        <v>-91</v>
      </c>
      <c r="R84" s="6">
        <f>-922+631+172-Q84</f>
        <v>-28</v>
      </c>
      <c r="S84" s="6">
        <f>-1359+964+258-R84-Q84</f>
        <v>-18</v>
      </c>
      <c r="T84" s="6">
        <f>-1770+1321-S84-R84-Q84+294</f>
        <v>-18</v>
      </c>
      <c r="U84" s="6">
        <f>-90+358+4</f>
        <v>272</v>
      </c>
      <c r="V84" s="6">
        <f>-293+765+8-U84</f>
        <v>208</v>
      </c>
      <c r="W84" s="6">
        <f>-496+1170+22-V84-U84</f>
        <v>216</v>
      </c>
      <c r="X84" s="6">
        <f>-723+1566-W84-V84-U84+25</f>
        <v>172</v>
      </c>
      <c r="Y84" s="6">
        <f>-199+374</f>
        <v>175</v>
      </c>
      <c r="Z84" s="6">
        <f>-465-Y84+726</f>
        <v>86</v>
      </c>
      <c r="AA84" s="6">
        <f>-1110+1433-Z84-Y84</f>
        <v>62</v>
      </c>
      <c r="AB84" s="6">
        <f>-1999+1794-AA84-Z84-Y84</f>
        <v>-528</v>
      </c>
      <c r="AC84" s="6">
        <f>-377+428</f>
        <v>51</v>
      </c>
      <c r="AD84" s="2">
        <f>-816-AC84+874</f>
        <v>7</v>
      </c>
      <c r="AE84" s="2">
        <f>-1203+1249-AD84-AC84</f>
        <v>-12</v>
      </c>
      <c r="AF84" s="2">
        <f>-1890+1698-AE84-AD84-AC84</f>
        <v>-238</v>
      </c>
      <c r="AG84" s="2">
        <f>-255+268</f>
        <v>13</v>
      </c>
      <c r="AH84" s="2">
        <f>-1120+701-AG84</f>
        <v>-432</v>
      </c>
      <c r="AI84" s="2">
        <f>-4072+1233-AH84-AG84</f>
        <v>-2420</v>
      </c>
      <c r="BA84" s="2"/>
      <c r="BB84" s="2"/>
      <c r="BC84" s="2"/>
      <c r="BD84" s="2"/>
      <c r="BE84" s="2"/>
      <c r="BF84" s="2"/>
      <c r="BG84" s="2"/>
      <c r="BH84" s="2"/>
      <c r="BI84" s="2"/>
      <c r="CD84" s="2">
        <f t="shared" si="360"/>
        <v>868</v>
      </c>
      <c r="CE84" s="2">
        <f t="shared" si="361"/>
        <v>-205</v>
      </c>
      <c r="CF84" s="2">
        <f t="shared" si="362"/>
        <v>-192</v>
      </c>
    </row>
    <row r="85" spans="2:86" x14ac:dyDescent="0.25">
      <c r="B85" t="s">
        <v>43</v>
      </c>
      <c r="D85" s="6"/>
      <c r="E85" s="6">
        <v>236</v>
      </c>
      <c r="F85" s="6">
        <f>455-E85</f>
        <v>219</v>
      </c>
      <c r="G85" s="6"/>
      <c r="H85" s="6"/>
      <c r="I85" s="6">
        <v>22</v>
      </c>
      <c r="J85" s="6">
        <f>105-I85</f>
        <v>83</v>
      </c>
      <c r="K85" s="6">
        <f>140-J85-I85</f>
        <v>35</v>
      </c>
      <c r="L85" s="6">
        <f>262-K85-J85-I85</f>
        <v>122</v>
      </c>
      <c r="M85" s="6">
        <v>40</v>
      </c>
      <c r="N85" s="6">
        <f>176-M85</f>
        <v>136</v>
      </c>
      <c r="O85" s="6">
        <f>335-N85-M85</f>
        <v>159</v>
      </c>
      <c r="P85" s="6">
        <f>495-O85-N85-M85</f>
        <v>160</v>
      </c>
      <c r="Q85" s="6">
        <v>55</v>
      </c>
      <c r="R85" s="6">
        <f>66-Q85</f>
        <v>11</v>
      </c>
      <c r="S85" s="6">
        <f>104-R85-Q85</f>
        <v>38</v>
      </c>
      <c r="T85" s="6">
        <f>115-S85-R85-Q85</f>
        <v>11</v>
      </c>
      <c r="U85" s="6">
        <v>2</v>
      </c>
      <c r="V85" s="6">
        <f>64-U85</f>
        <v>62</v>
      </c>
      <c r="W85" s="6">
        <f>248-V85-U85</f>
        <v>184</v>
      </c>
      <c r="X85" s="6">
        <f>710-W85-V85-U85</f>
        <v>462</v>
      </c>
      <c r="Y85" s="6">
        <v>85</v>
      </c>
      <c r="Z85" s="6">
        <f>234-Y85</f>
        <v>149</v>
      </c>
      <c r="AA85" s="6">
        <f>267-Z85-Y85</f>
        <v>33</v>
      </c>
      <c r="AB85" s="6">
        <f>315-AA85-Z85-Y85</f>
        <v>48</v>
      </c>
      <c r="AC85" s="6">
        <v>65</v>
      </c>
      <c r="AD85" s="2">
        <f>1028-AC85</f>
        <v>963</v>
      </c>
      <c r="AE85" s="2">
        <f>1294-AD85-AC85</f>
        <v>266</v>
      </c>
      <c r="AF85" s="2">
        <f>2005-AE85-AD85-AC85</f>
        <v>711</v>
      </c>
      <c r="AG85" s="2">
        <v>878</v>
      </c>
      <c r="AH85" s="2">
        <f>2256-AG85</f>
        <v>1378</v>
      </c>
      <c r="AI85" s="2">
        <f>2989-AH85-AG85</f>
        <v>733</v>
      </c>
      <c r="BA85" s="2"/>
      <c r="BB85" s="2"/>
      <c r="BC85" s="2"/>
      <c r="BD85" s="2"/>
      <c r="BE85" s="2"/>
      <c r="BF85" s="2"/>
      <c r="BG85" s="2"/>
      <c r="BH85" s="2"/>
      <c r="BI85" s="2"/>
      <c r="CD85" s="2">
        <f t="shared" si="360"/>
        <v>710</v>
      </c>
      <c r="CE85" s="2">
        <f t="shared" si="361"/>
        <v>315</v>
      </c>
      <c r="CF85" s="2">
        <f t="shared" si="362"/>
        <v>2005</v>
      </c>
    </row>
    <row r="86" spans="2:86" x14ac:dyDescent="0.25">
      <c r="B86" t="s">
        <v>44</v>
      </c>
      <c r="D86" s="6"/>
      <c r="E86" s="6">
        <v>-53</v>
      </c>
      <c r="F86" s="6">
        <f>-10-E86</f>
        <v>43</v>
      </c>
      <c r="G86" s="6"/>
      <c r="H86" s="6"/>
      <c r="I86" s="6">
        <v>-12</v>
      </c>
      <c r="J86" s="6">
        <f>-21-I86</f>
        <v>-9</v>
      </c>
      <c r="K86" s="6">
        <f>-48-J86-I86</f>
        <v>-27</v>
      </c>
      <c r="L86" s="6">
        <f>-43-K86-J86-I86</f>
        <v>5</v>
      </c>
      <c r="M86" s="6">
        <v>21</v>
      </c>
      <c r="N86" s="6">
        <f>31-M86</f>
        <v>10</v>
      </c>
      <c r="O86" s="6">
        <f>47-N86-M86</f>
        <v>16</v>
      </c>
      <c r="P86" s="6">
        <f>3-O86-N86-M86</f>
        <v>-44</v>
      </c>
      <c r="Q86" s="6">
        <f>893-77</f>
        <v>816</v>
      </c>
      <c r="R86" s="6">
        <f>893-140-Q86</f>
        <v>-63</v>
      </c>
      <c r="S86" s="6">
        <f>-162-R86-Q86+888</f>
        <v>-27</v>
      </c>
      <c r="T86" s="6">
        <f>888-366-S86-R86-Q86</f>
        <v>-204</v>
      </c>
      <c r="U86" s="6">
        <v>-91</v>
      </c>
      <c r="V86" s="6">
        <f>-71-U86</f>
        <v>20</v>
      </c>
      <c r="W86" s="6">
        <f>-90-V86-U86</f>
        <v>-19</v>
      </c>
      <c r="X86" s="6">
        <f>-93-W86-V86-U86</f>
        <v>-3</v>
      </c>
      <c r="Y86" s="6">
        <v>-22</v>
      </c>
      <c r="Z86" s="6">
        <f>-24-Y86</f>
        <v>-2</v>
      </c>
      <c r="AA86" s="6">
        <f>-35-Z86-Y86</f>
        <v>-11</v>
      </c>
      <c r="AB86" s="6">
        <f>-33-AA86-Z86-Y86</f>
        <v>2</v>
      </c>
      <c r="AC86" s="6">
        <v>-58</v>
      </c>
      <c r="AD86" s="2">
        <f>-125-AC86</f>
        <v>-67</v>
      </c>
      <c r="AE86" s="2">
        <f>-30-AD86-AC86</f>
        <v>95</v>
      </c>
      <c r="AF86" s="2">
        <f>-43-AE86-AD86-AC86</f>
        <v>-13</v>
      </c>
      <c r="AG86" s="2">
        <v>-96</v>
      </c>
      <c r="AH86" s="2">
        <f>-180-AG86</f>
        <v>-84</v>
      </c>
      <c r="AI86" s="2">
        <f>-236-AH86-AG86</f>
        <v>-56</v>
      </c>
      <c r="BA86" s="2"/>
      <c r="BB86" s="2"/>
      <c r="BC86" s="2"/>
      <c r="BD86" s="2"/>
      <c r="BE86" s="2"/>
      <c r="BF86" s="2"/>
      <c r="BG86" s="2"/>
      <c r="BH86" s="2"/>
      <c r="BI86" s="2"/>
      <c r="CD86" s="2">
        <f t="shared" si="360"/>
        <v>-93</v>
      </c>
      <c r="CE86" s="2">
        <f t="shared" si="361"/>
        <v>-33</v>
      </c>
      <c r="CF86" s="2">
        <f t="shared" si="362"/>
        <v>-43</v>
      </c>
    </row>
    <row r="87" spans="2:86" x14ac:dyDescent="0.25">
      <c r="B87" t="s">
        <v>41</v>
      </c>
      <c r="D87" s="6">
        <f t="shared" ref="D87:N87" si="371">SUM(D83:D86)</f>
        <v>0</v>
      </c>
      <c r="E87" s="6">
        <f t="shared" si="371"/>
        <v>-4427</v>
      </c>
      <c r="F87" s="6">
        <f t="shared" si="371"/>
        <v>-2492</v>
      </c>
      <c r="G87" s="6">
        <f t="shared" si="371"/>
        <v>0</v>
      </c>
      <c r="H87" s="6">
        <f t="shared" si="371"/>
        <v>0</v>
      </c>
      <c r="I87" s="6">
        <f t="shared" si="371"/>
        <v>-1189</v>
      </c>
      <c r="J87" s="6">
        <f t="shared" si="371"/>
        <v>-1710</v>
      </c>
      <c r="K87" s="6">
        <f t="shared" si="371"/>
        <v>-1952</v>
      </c>
      <c r="L87" s="6">
        <f t="shared" si="371"/>
        <v>-2738</v>
      </c>
      <c r="M87" s="6">
        <f t="shared" ref="M87" si="372">SUM(M83:M86)</f>
        <v>-3418</v>
      </c>
      <c r="N87" s="6">
        <f t="shared" si="371"/>
        <v>-2556</v>
      </c>
      <c r="O87" s="6">
        <f t="shared" ref="O87" si="373">SUM(O83:O86)</f>
        <v>-2081</v>
      </c>
      <c r="P87" s="6">
        <f t="shared" ref="P87" si="374">SUM(P83:P86)</f>
        <v>-2534</v>
      </c>
      <c r="Q87" s="6">
        <f t="shared" ref="Q87:T87" si="375">SUM(Q83:Q86)</f>
        <v>-2485</v>
      </c>
      <c r="R87" s="6">
        <f t="shared" si="375"/>
        <v>-2691</v>
      </c>
      <c r="S87" s="6">
        <f t="shared" si="375"/>
        <v>-2585</v>
      </c>
      <c r="T87" s="6">
        <f t="shared" si="375"/>
        <v>-3824</v>
      </c>
      <c r="U87" s="6">
        <f t="shared" ref="U87:AA87" si="376">SUM(U83:U86)</f>
        <v>-2266</v>
      </c>
      <c r="V87" s="6">
        <f t="shared" si="376"/>
        <v>-1915</v>
      </c>
      <c r="W87" s="6">
        <f t="shared" si="376"/>
        <v>-1180</v>
      </c>
      <c r="X87" s="6">
        <f t="shared" si="376"/>
        <v>-830</v>
      </c>
      <c r="Y87" s="6">
        <f t="shared" si="376"/>
        <v>-1558</v>
      </c>
      <c r="Z87" s="6">
        <f t="shared" si="376"/>
        <v>-1151</v>
      </c>
      <c r="AA87" s="6">
        <f t="shared" si="376"/>
        <v>-2002</v>
      </c>
      <c r="AB87" s="6">
        <f t="shared" ref="AB87:AI87" si="377">SUM(AB83:AB86)</f>
        <v>-3598</v>
      </c>
      <c r="AC87" s="6">
        <f t="shared" si="377"/>
        <v>-3148</v>
      </c>
      <c r="AD87" s="6">
        <f t="shared" si="377"/>
        <v>-3152</v>
      </c>
      <c r="AE87" s="6">
        <f t="shared" si="377"/>
        <v>-2589</v>
      </c>
      <c r="AF87" s="6">
        <f t="shared" si="377"/>
        <v>-5198</v>
      </c>
      <c r="AG87" s="6">
        <f t="shared" si="377"/>
        <v>-4594</v>
      </c>
      <c r="AH87" s="6">
        <f t="shared" si="377"/>
        <v>-5525</v>
      </c>
      <c r="AI87" s="6">
        <f t="shared" si="377"/>
        <v>-9569</v>
      </c>
      <c r="BA87" s="2"/>
      <c r="BB87" s="2"/>
      <c r="BC87" s="2"/>
      <c r="BD87" s="2"/>
      <c r="BE87" s="2"/>
      <c r="BF87" s="2"/>
      <c r="BG87" s="2"/>
      <c r="BH87" s="2"/>
      <c r="BI87" s="2"/>
      <c r="CD87" s="2">
        <f t="shared" si="360"/>
        <v>-6191</v>
      </c>
      <c r="CE87" s="2">
        <f t="shared" si="361"/>
        <v>-8309</v>
      </c>
      <c r="CF87" s="2">
        <f t="shared" si="362"/>
        <v>-14087</v>
      </c>
    </row>
    <row r="88" spans="2:86" x14ac:dyDescent="0.25">
      <c r="Y88" s="6"/>
      <c r="Z88" s="6"/>
      <c r="AC88" s="6"/>
      <c r="AD88" s="2"/>
      <c r="AE88" s="2"/>
      <c r="AF88" s="2"/>
      <c r="AG88" s="2"/>
      <c r="BA88" s="2"/>
      <c r="BB88" s="2"/>
      <c r="BC88" s="2"/>
      <c r="BD88" s="2"/>
      <c r="BE88" s="2"/>
      <c r="BF88" s="2"/>
      <c r="BG88" s="2"/>
      <c r="BH88" s="2"/>
      <c r="BI88" s="2"/>
    </row>
    <row r="89" spans="2:86" x14ac:dyDescent="0.25">
      <c r="B89" t="s">
        <v>46</v>
      </c>
      <c r="C89" s="3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-112</v>
      </c>
      <c r="R89" s="6">
        <f>-224-Q89</f>
        <v>-112</v>
      </c>
      <c r="S89" s="6">
        <f>-335-R89-Q89</f>
        <v>-111</v>
      </c>
      <c r="T89" s="6">
        <f>-461-S89-R89-Q89</f>
        <v>-126</v>
      </c>
      <c r="U89" s="6">
        <v>-126</v>
      </c>
      <c r="V89" s="6">
        <f>-252-U89</f>
        <v>-126</v>
      </c>
      <c r="W89" s="6">
        <f>-378-V89-U89</f>
        <v>-126</v>
      </c>
      <c r="X89" s="6">
        <f>-504-W89-V89-U89</f>
        <v>-126</v>
      </c>
      <c r="Y89" s="6">
        <v>-129</v>
      </c>
      <c r="Z89" s="6">
        <f>-256-Y89</f>
        <v>-127</v>
      </c>
      <c r="AA89" s="6">
        <f>-384-Z89-Y89</f>
        <v>-128</v>
      </c>
      <c r="AB89" s="6">
        <f>-513-AA89-Z89-Y89</f>
        <v>-129</v>
      </c>
      <c r="AC89" s="6">
        <v>-131</v>
      </c>
      <c r="AD89" s="2">
        <f>-261-AC89</f>
        <v>-130</v>
      </c>
      <c r="AE89" s="2">
        <f>-392-AD89-AC89</f>
        <v>-131</v>
      </c>
      <c r="AF89" s="2">
        <f>-522-AE89-AD89-AC89</f>
        <v>-130</v>
      </c>
      <c r="AG89" s="2">
        <v>-134</v>
      </c>
      <c r="AH89" s="2">
        <f>-266-AG89</f>
        <v>-132</v>
      </c>
      <c r="AI89" s="2">
        <f>-437-AH89-AG89</f>
        <v>-171</v>
      </c>
      <c r="BA89" s="2"/>
      <c r="BB89" s="2"/>
      <c r="BC89" s="2"/>
      <c r="BD89" s="2"/>
      <c r="BE89" s="2"/>
      <c r="BF89" s="2"/>
      <c r="BG89" s="2"/>
      <c r="BH89" s="2"/>
      <c r="BI89" s="2"/>
      <c r="CD89" s="2">
        <f t="shared" si="360"/>
        <v>-504</v>
      </c>
      <c r="CE89" s="2">
        <f t="shared" si="361"/>
        <v>-513</v>
      </c>
      <c r="CF89" s="2">
        <f t="shared" si="362"/>
        <v>-522</v>
      </c>
    </row>
    <row r="90" spans="2:86" x14ac:dyDescent="0.25">
      <c r="B90" t="s">
        <v>45</v>
      </c>
      <c r="D90" s="6"/>
      <c r="E90" s="6">
        <v>-20</v>
      </c>
      <c r="F90" s="6">
        <f>-37-E90</f>
        <v>-17</v>
      </c>
      <c r="G90" s="6"/>
      <c r="H90" s="6"/>
      <c r="I90" s="6">
        <v>-11</v>
      </c>
      <c r="J90" s="6">
        <f>-29-I90</f>
        <v>-18</v>
      </c>
      <c r="K90" s="6">
        <f>-49-J90-I90</f>
        <v>-20</v>
      </c>
      <c r="L90" s="6">
        <f>-63-K90-J90-I90</f>
        <v>-14</v>
      </c>
      <c r="M90" s="6">
        <v>-97</v>
      </c>
      <c r="N90" s="6">
        <f>-123-M90</f>
        <v>-26</v>
      </c>
      <c r="O90" s="6">
        <f>-139-N90-M90</f>
        <v>-16</v>
      </c>
      <c r="P90" s="6">
        <f>-295-O90-N90-M90</f>
        <v>-156</v>
      </c>
      <c r="Q90" s="6">
        <v>-78</v>
      </c>
      <c r="R90" s="6">
        <f>-105-Q90</f>
        <v>-27</v>
      </c>
      <c r="S90" s="6">
        <f>-132-R90-Q90</f>
        <v>-27</v>
      </c>
      <c r="T90" s="6">
        <f>-141-S90-R90-Q90</f>
        <v>-9</v>
      </c>
      <c r="U90" s="6">
        <v>-47</v>
      </c>
      <c r="V90" s="6">
        <f>-76-U90</f>
        <v>-29</v>
      </c>
      <c r="W90" s="6">
        <f>-112-V90-U90</f>
        <v>-36</v>
      </c>
      <c r="X90" s="6">
        <f>-138-W90-V90-U90</f>
        <v>-26</v>
      </c>
      <c r="Y90" s="6">
        <v>-56</v>
      </c>
      <c r="Z90" s="6">
        <f>-82-Y90</f>
        <v>-26</v>
      </c>
      <c r="AA90" s="6">
        <f>-127-Z90-Y90</f>
        <v>-45</v>
      </c>
      <c r="AB90" s="6">
        <f>-149-AA90-Z90-Y90</f>
        <v>-22</v>
      </c>
      <c r="AC90" s="6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BA90" s="2"/>
      <c r="BB90" s="2"/>
      <c r="BC90" s="2"/>
      <c r="BD90" s="2"/>
      <c r="BE90" s="2"/>
      <c r="BF90" s="2"/>
      <c r="BG90" s="2"/>
      <c r="BH90" s="2"/>
      <c r="BI90" s="2"/>
      <c r="CD90" s="2">
        <f t="shared" si="360"/>
        <v>-138</v>
      </c>
      <c r="CE90" s="2">
        <f t="shared" si="361"/>
        <v>-149</v>
      </c>
      <c r="CF90" s="2">
        <f t="shared" si="362"/>
        <v>0</v>
      </c>
    </row>
    <row r="91" spans="2:86" x14ac:dyDescent="0.25">
      <c r="B91" t="s">
        <v>4</v>
      </c>
      <c r="D91" s="6"/>
      <c r="E91" s="6">
        <v>-577</v>
      </c>
      <c r="F91" s="6">
        <f>-705+1800-E91</f>
        <v>1672</v>
      </c>
      <c r="G91" s="6"/>
      <c r="H91" s="6"/>
      <c r="I91" s="6">
        <f>-1415+1250</f>
        <v>-165</v>
      </c>
      <c r="J91" s="6">
        <f>-1676+1250-I91</f>
        <v>-261</v>
      </c>
      <c r="K91" s="6">
        <f>-4286+5000-J91-I91</f>
        <v>1140</v>
      </c>
      <c r="L91" s="6">
        <f>-4366+5000-K91-J91-I91</f>
        <v>-80</v>
      </c>
      <c r="M91" s="6">
        <v>-84</v>
      </c>
      <c r="N91" s="6">
        <f>-103-M91</f>
        <v>-19</v>
      </c>
      <c r="O91" s="6">
        <f>-1344+1188-N91-M91</f>
        <v>-53</v>
      </c>
      <c r="P91" s="6">
        <f>-1520+1188-O91-N91-M91</f>
        <v>-176</v>
      </c>
      <c r="Q91" s="6">
        <f>2000-1949</f>
        <v>51</v>
      </c>
      <c r="R91" s="6">
        <f>-1981+2000-Q91</f>
        <v>-32</v>
      </c>
      <c r="S91" s="6">
        <f>-2008+2000-R91-Q91</f>
        <v>-27</v>
      </c>
      <c r="T91" s="6">
        <f>-2032+2000-S91-R91-Q91</f>
        <v>-24</v>
      </c>
      <c r="U91" s="6">
        <f>3349-20</f>
        <v>3329</v>
      </c>
      <c r="V91" s="6">
        <f>5221-53-U91</f>
        <v>1839</v>
      </c>
      <c r="W91" s="6">
        <f>6716-706-V91-U91</f>
        <v>842</v>
      </c>
      <c r="X91" s="6">
        <f>6716-761-W91-V91-U91</f>
        <v>-55</v>
      </c>
      <c r="Y91" s="6">
        <v>-53</v>
      </c>
      <c r="Z91" s="6">
        <f>-1101-Y91+999</f>
        <v>-49</v>
      </c>
      <c r="AA91" s="6">
        <f>999-1816-Z91-Y91</f>
        <v>-715</v>
      </c>
      <c r="AB91" s="6">
        <f>-1897+999-AA91-Z91-Y91</f>
        <v>-81</v>
      </c>
      <c r="AC91" s="6">
        <v>-84</v>
      </c>
      <c r="AD91" s="2">
        <f>-2626-AC91+2682</f>
        <v>140</v>
      </c>
      <c r="AE91" s="2">
        <f>4430-3604-AD91-AC91</f>
        <v>770</v>
      </c>
      <c r="AF91" s="2">
        <f>-4619+4430-AE91-AD91-AC91</f>
        <v>-1015</v>
      </c>
      <c r="AG91" s="2">
        <v>-2943</v>
      </c>
      <c r="AH91" s="2">
        <f>-4626-AG91</f>
        <v>-1683</v>
      </c>
      <c r="AI91" s="2">
        <f>-9380-AH91-AG91</f>
        <v>-4754</v>
      </c>
      <c r="BA91" s="2"/>
      <c r="BB91" s="2"/>
      <c r="BC91" s="2"/>
      <c r="BD91" s="2"/>
      <c r="BE91" s="2"/>
      <c r="BF91" s="2"/>
      <c r="BG91" s="2"/>
      <c r="BH91" s="2"/>
      <c r="BI91" s="2"/>
      <c r="CD91" s="2">
        <f t="shared" si="360"/>
        <v>5955</v>
      </c>
      <c r="CE91" s="2">
        <f t="shared" si="361"/>
        <v>-898</v>
      </c>
      <c r="CF91" s="2">
        <f t="shared" si="362"/>
        <v>-189</v>
      </c>
    </row>
    <row r="92" spans="2:86" x14ac:dyDescent="0.25">
      <c r="B92" t="s">
        <v>180</v>
      </c>
      <c r="D92" s="6"/>
      <c r="E92" s="6">
        <f>-1836+15</f>
        <v>-1821</v>
      </c>
      <c r="F92" s="6">
        <f>92-2568-E92</f>
        <v>-655</v>
      </c>
      <c r="G92" s="6"/>
      <c r="H92" s="6"/>
      <c r="I92" s="6">
        <v>-89</v>
      </c>
      <c r="J92" s="6">
        <f>-159-I92</f>
        <v>-70</v>
      </c>
      <c r="K92" s="6">
        <f>-203-J92-I92</f>
        <v>-44</v>
      </c>
      <c r="L92" s="6">
        <f>-251+225-K92-J92-I92</f>
        <v>177</v>
      </c>
      <c r="M92" s="6">
        <v>0</v>
      </c>
      <c r="N92" s="6">
        <v>0</v>
      </c>
      <c r="O92" s="6">
        <v>0</v>
      </c>
      <c r="P92" s="6">
        <f>-1294-O92-N92-M92</f>
        <v>-1294</v>
      </c>
      <c r="Q92" s="6">
        <f>-259-102</f>
        <v>-361</v>
      </c>
      <c r="R92" s="6">
        <f>-667-112-Q92</f>
        <v>-418</v>
      </c>
      <c r="S92" s="6">
        <f>-1648-116-R92-Q92</f>
        <v>-985</v>
      </c>
      <c r="T92" s="6">
        <f>-125-2432-S92-R92-Q92</f>
        <v>-793</v>
      </c>
      <c r="U92" s="6">
        <v>-425</v>
      </c>
      <c r="V92" s="6">
        <f>-425-U92</f>
        <v>0</v>
      </c>
      <c r="W92" s="6">
        <f>-425-V92-U92</f>
        <v>0</v>
      </c>
      <c r="X92" s="6">
        <f>-425-W92-V92-U92</f>
        <v>0</v>
      </c>
      <c r="Y92" s="6">
        <v>0</v>
      </c>
      <c r="Z92" s="6">
        <v>0</v>
      </c>
      <c r="AA92" s="6">
        <v>0</v>
      </c>
      <c r="AB92" s="6">
        <f>-300-AA92-Z92-Y92</f>
        <v>-300</v>
      </c>
      <c r="AC92" s="6">
        <v>0</v>
      </c>
      <c r="AD92" s="2">
        <v>0</v>
      </c>
      <c r="AE92" s="2">
        <v>0</v>
      </c>
      <c r="AF92" s="2">
        <v>0</v>
      </c>
      <c r="AG92" s="2">
        <f>-300-367</f>
        <v>-667</v>
      </c>
      <c r="AH92" s="2">
        <f>-650-545-AG92</f>
        <v>-528</v>
      </c>
      <c r="AI92" s="2">
        <f>-762-650-AH92-AG92</f>
        <v>-217</v>
      </c>
      <c r="BA92" s="2"/>
      <c r="BB92" s="2"/>
      <c r="BC92" s="2"/>
      <c r="BD92" s="2"/>
      <c r="BE92" s="2"/>
      <c r="BF92" s="2"/>
      <c r="BG92" s="2"/>
      <c r="BH92" s="2"/>
      <c r="BI92" s="2"/>
      <c r="CD92" s="2">
        <f t="shared" si="360"/>
        <v>-425</v>
      </c>
      <c r="CE92" s="2">
        <f t="shared" si="361"/>
        <v>-300</v>
      </c>
      <c r="CF92" s="2">
        <f t="shared" si="362"/>
        <v>0</v>
      </c>
    </row>
    <row r="93" spans="2:86" x14ac:dyDescent="0.25">
      <c r="B93" t="s">
        <v>44</v>
      </c>
      <c r="D93" s="6"/>
      <c r="E93" s="6">
        <v>-17</v>
      </c>
      <c r="F93" s="6">
        <f>-65-E93</f>
        <v>-48</v>
      </c>
      <c r="G93" s="6"/>
      <c r="H93" s="6"/>
      <c r="I93" s="6">
        <f>-744+17</f>
        <v>-727</v>
      </c>
      <c r="J93" s="6">
        <f>-744+151-I93</f>
        <v>134</v>
      </c>
      <c r="K93" s="6">
        <f>-744+147-J93-I93</f>
        <v>-4</v>
      </c>
      <c r="L93" s="6">
        <f>-118-K93-J93-I93-744</f>
        <v>-265</v>
      </c>
      <c r="M93" s="6">
        <v>-33</v>
      </c>
      <c r="N93" s="6">
        <f>17-M93</f>
        <v>50</v>
      </c>
      <c r="O93" s="6">
        <f>-142-N93-M93</f>
        <v>-159</v>
      </c>
      <c r="P93" s="6">
        <f>140-O93-N93-M93</f>
        <v>282</v>
      </c>
      <c r="Q93" s="6">
        <v>-13</v>
      </c>
      <c r="R93" s="6">
        <f>110-Q93</f>
        <v>123</v>
      </c>
      <c r="S93" s="6">
        <f>99-R93-Q93</f>
        <v>-11</v>
      </c>
      <c r="T93" s="6">
        <f>211-S93-R93-Q93</f>
        <v>112</v>
      </c>
      <c r="U93" s="6">
        <v>-99</v>
      </c>
      <c r="V93" s="6">
        <f>19-U93</f>
        <v>118</v>
      </c>
      <c r="W93" s="6">
        <f>0-V93-U93</f>
        <v>-19</v>
      </c>
      <c r="X93" s="6">
        <f>95-W93-V93-U93</f>
        <v>95</v>
      </c>
      <c r="Y93" s="6">
        <v>-114</v>
      </c>
      <c r="Z93" s="6">
        <f>-18-Y93</f>
        <v>96</v>
      </c>
      <c r="AA93" s="6">
        <f>-40-Z93-Y93</f>
        <v>-22</v>
      </c>
      <c r="AB93" s="6">
        <f>18-AA93-Z93-Y93</f>
        <v>58</v>
      </c>
      <c r="AC93" s="6">
        <v>-207</v>
      </c>
      <c r="AD93" s="2">
        <f>-121-AC93</f>
        <v>86</v>
      </c>
      <c r="AE93" s="2">
        <f>-220-AD93-AC93</f>
        <v>-99</v>
      </c>
      <c r="AF93" s="2">
        <f>-139-AE93-AD93-AC93</f>
        <v>81</v>
      </c>
      <c r="AG93" s="2">
        <v>-1</v>
      </c>
      <c r="AH93" s="2">
        <f>175-AG93</f>
        <v>176</v>
      </c>
      <c r="AI93" s="2">
        <f>583-AH93-AG93</f>
        <v>408</v>
      </c>
      <c r="BA93" s="2"/>
      <c r="BB93" s="2"/>
      <c r="BC93" s="2"/>
      <c r="BD93" s="2"/>
      <c r="BE93" s="2"/>
      <c r="BF93" s="2"/>
      <c r="BG93" s="2"/>
      <c r="BH93" s="2"/>
      <c r="BI93" s="2"/>
      <c r="CD93" s="2">
        <f t="shared" si="360"/>
        <v>95</v>
      </c>
      <c r="CE93" s="2">
        <f t="shared" si="361"/>
        <v>18</v>
      </c>
      <c r="CF93" s="2">
        <f t="shared" si="362"/>
        <v>-139</v>
      </c>
    </row>
    <row r="94" spans="2:86" x14ac:dyDescent="0.25">
      <c r="B94" t="s">
        <v>49</v>
      </c>
      <c r="D94" s="6">
        <f t="shared" ref="D94:N94" si="378">SUM(D89:D93)</f>
        <v>0</v>
      </c>
      <c r="E94" s="6">
        <f t="shared" si="378"/>
        <v>-2435</v>
      </c>
      <c r="F94" s="6">
        <f t="shared" si="378"/>
        <v>952</v>
      </c>
      <c r="G94" s="6">
        <f t="shared" si="378"/>
        <v>0</v>
      </c>
      <c r="H94" s="6">
        <f t="shared" si="378"/>
        <v>0</v>
      </c>
      <c r="I94" s="6">
        <f t="shared" ref="I94" si="379">SUM(I89:I93)</f>
        <v>-992</v>
      </c>
      <c r="J94" s="6">
        <f t="shared" si="378"/>
        <v>-215</v>
      </c>
      <c r="K94" s="6">
        <f t="shared" si="378"/>
        <v>1072</v>
      </c>
      <c r="L94" s="6">
        <f t="shared" si="378"/>
        <v>-182</v>
      </c>
      <c r="M94" s="6">
        <f t="shared" ref="M94" si="380">SUM(M89:M93)</f>
        <v>-214</v>
      </c>
      <c r="N94" s="6">
        <f t="shared" si="378"/>
        <v>5</v>
      </c>
      <c r="O94" s="6">
        <f t="shared" ref="O94" si="381">SUM(O89:O93)</f>
        <v>-228</v>
      </c>
      <c r="P94" s="6">
        <f t="shared" ref="P94" si="382">SUM(P89:P93)</f>
        <v>-1344</v>
      </c>
      <c r="Q94" s="6">
        <f t="shared" ref="Q94:T94" si="383">SUM(Q89:Q93)</f>
        <v>-513</v>
      </c>
      <c r="R94" s="6">
        <f t="shared" si="383"/>
        <v>-466</v>
      </c>
      <c r="S94" s="6">
        <f t="shared" si="383"/>
        <v>-1161</v>
      </c>
      <c r="T94" s="6">
        <f t="shared" si="383"/>
        <v>-840</v>
      </c>
      <c r="U94" s="6">
        <f t="shared" ref="U94:X94" si="384">SUM(U89:U93)</f>
        <v>2632</v>
      </c>
      <c r="V94" s="6">
        <f t="shared" si="384"/>
        <v>1802</v>
      </c>
      <c r="W94" s="6">
        <f t="shared" si="384"/>
        <v>661</v>
      </c>
      <c r="X94" s="6">
        <f t="shared" si="384"/>
        <v>-112</v>
      </c>
      <c r="Y94" s="6">
        <f>SUM(Y89:Y93)</f>
        <v>-352</v>
      </c>
      <c r="Z94" s="6">
        <f>SUM(Z89:Z93)</f>
        <v>-106</v>
      </c>
      <c r="AA94" s="6">
        <f>SUM(AA89:AA93)</f>
        <v>-910</v>
      </c>
      <c r="AB94" s="6">
        <f t="shared" ref="AB94:AI94" si="385">SUM(AB89:AB93)</f>
        <v>-474</v>
      </c>
      <c r="AC94" s="6">
        <f t="shared" si="385"/>
        <v>-422</v>
      </c>
      <c r="AD94" s="6">
        <f t="shared" si="385"/>
        <v>96</v>
      </c>
      <c r="AE94" s="6">
        <f t="shared" si="385"/>
        <v>540</v>
      </c>
      <c r="AF94" s="6">
        <f t="shared" si="385"/>
        <v>-1064</v>
      </c>
      <c r="AG94" s="6">
        <f t="shared" si="385"/>
        <v>-3745</v>
      </c>
      <c r="AH94" s="6">
        <f t="shared" si="385"/>
        <v>-2167</v>
      </c>
      <c r="AI94" s="6">
        <f t="shared" si="385"/>
        <v>-4734</v>
      </c>
      <c r="BA94" s="2"/>
      <c r="BB94" s="2"/>
      <c r="BC94" s="2"/>
      <c r="BD94" s="2"/>
      <c r="BE94" s="2"/>
      <c r="BF94" s="2"/>
      <c r="BG94" s="2"/>
      <c r="BH94" s="2"/>
      <c r="BI94" s="2"/>
      <c r="CD94" s="2">
        <f t="shared" si="360"/>
        <v>4983</v>
      </c>
      <c r="CE94" s="2">
        <f t="shared" si="361"/>
        <v>-1842</v>
      </c>
      <c r="CF94" s="2">
        <f t="shared" si="362"/>
        <v>-850</v>
      </c>
    </row>
    <row r="95" spans="2:86" x14ac:dyDescent="0.25">
      <c r="B95" t="s">
        <v>48</v>
      </c>
      <c r="E95" s="3">
        <v>-10</v>
      </c>
      <c r="F95" s="3">
        <f>-1-E95</f>
        <v>9</v>
      </c>
      <c r="H95" s="6"/>
      <c r="I95" s="6">
        <v>-14</v>
      </c>
      <c r="J95" s="6">
        <f>-14-I95</f>
        <v>0</v>
      </c>
      <c r="K95" s="6">
        <f>-8-J95-I95</f>
        <v>6</v>
      </c>
      <c r="L95" s="6">
        <f>11-K95-J95-I95</f>
        <v>19</v>
      </c>
      <c r="M95" s="6">
        <v>27</v>
      </c>
      <c r="N95" s="6">
        <f>43-M95</f>
        <v>16</v>
      </c>
      <c r="O95" s="6">
        <f>44-N95-M95</f>
        <v>1</v>
      </c>
      <c r="P95" s="6">
        <f>41-O95-N95-M95</f>
        <v>-3</v>
      </c>
      <c r="Q95" s="6">
        <v>-6</v>
      </c>
      <c r="R95" s="6">
        <f>-16-Q95</f>
        <v>-10</v>
      </c>
      <c r="S95" s="6">
        <f>-71-R95-Q95</f>
        <v>-55</v>
      </c>
      <c r="T95" s="6">
        <f>-106-S95-R95-Q95</f>
        <v>-35</v>
      </c>
      <c r="U95" s="6">
        <v>-6</v>
      </c>
      <c r="V95" s="6">
        <f>9-U95</f>
        <v>15</v>
      </c>
      <c r="W95" s="6">
        <f>-13-V95-U95</f>
        <v>-22</v>
      </c>
      <c r="X95" s="6">
        <f>-34-W95-V95-U95</f>
        <v>-21</v>
      </c>
      <c r="Y95" s="6">
        <v>-1</v>
      </c>
      <c r="Z95" s="6">
        <f>-8-Y95</f>
        <v>-7</v>
      </c>
      <c r="AA95" s="6">
        <f>-15-Z95-Y95</f>
        <v>-7</v>
      </c>
      <c r="AB95" s="6">
        <f>40-AA95-Z95-Y95</f>
        <v>55</v>
      </c>
      <c r="AC95" s="6">
        <v>-29</v>
      </c>
      <c r="AD95" s="2">
        <f>-49-AC95</f>
        <v>-20</v>
      </c>
      <c r="AE95" s="2">
        <f>-3-AD95-AC95</f>
        <v>46</v>
      </c>
      <c r="AF95" s="2">
        <f>6-AE95-AD95-AC95</f>
        <v>9</v>
      </c>
      <c r="AG95" s="2">
        <v>14</v>
      </c>
      <c r="AH95" s="2">
        <f>5-AG95</f>
        <v>-9</v>
      </c>
      <c r="AI95" s="2">
        <f>8-AH95-AG95</f>
        <v>3</v>
      </c>
      <c r="BA95" s="2"/>
      <c r="BB95" s="2"/>
      <c r="BC95" s="2"/>
      <c r="BD95" s="2"/>
      <c r="BE95" s="2"/>
      <c r="BF95" s="2"/>
      <c r="BG95" s="2"/>
      <c r="BH95" s="2"/>
      <c r="BI95" s="2"/>
      <c r="CD95" s="2">
        <f t="shared" si="360"/>
        <v>-34</v>
      </c>
      <c r="CE95" s="2">
        <f t="shared" si="361"/>
        <v>40</v>
      </c>
      <c r="CF95" s="2">
        <f t="shared" si="362"/>
        <v>6</v>
      </c>
    </row>
    <row r="96" spans="2:86" x14ac:dyDescent="0.25">
      <c r="B96" t="s">
        <v>47</v>
      </c>
      <c r="D96" s="6">
        <f t="shared" ref="D96:P96" si="386">D95+D94+D87+D81</f>
        <v>0</v>
      </c>
      <c r="E96" s="6">
        <f t="shared" si="386"/>
        <v>-2062</v>
      </c>
      <c r="F96" s="6">
        <f t="shared" si="386"/>
        <v>1904</v>
      </c>
      <c r="G96" s="6">
        <f t="shared" si="386"/>
        <v>0</v>
      </c>
      <c r="H96" s="6">
        <f t="shared" si="386"/>
        <v>0</v>
      </c>
      <c r="I96" s="6">
        <f t="shared" si="386"/>
        <v>-184</v>
      </c>
      <c r="J96" s="6">
        <f t="shared" si="386"/>
        <v>76</v>
      </c>
      <c r="K96" s="6">
        <f t="shared" si="386"/>
        <v>1149</v>
      </c>
      <c r="L96" s="6">
        <f t="shared" si="386"/>
        <v>-630</v>
      </c>
      <c r="M96" s="6">
        <f t="shared" si="386"/>
        <v>-1638</v>
      </c>
      <c r="N96" s="6">
        <f t="shared" si="386"/>
        <v>522</v>
      </c>
      <c r="O96" s="6">
        <f t="shared" si="386"/>
        <v>1252</v>
      </c>
      <c r="P96" s="6">
        <f t="shared" si="386"/>
        <v>3</v>
      </c>
      <c r="Q96" s="6">
        <f>Q95+Q94+Q87+Q81</f>
        <v>934</v>
      </c>
      <c r="R96" s="6">
        <f>R95+R94+R87+R81</f>
        <v>461</v>
      </c>
      <c r="S96" s="6">
        <f>S95+S94+S87+S81</f>
        <v>37</v>
      </c>
      <c r="T96" s="6">
        <f>T95+T94+T87+T81</f>
        <v>-922</v>
      </c>
      <c r="U96" s="6">
        <f t="shared" ref="U96:X96" si="387">U95+U94+U87+U81</f>
        <v>1303</v>
      </c>
      <c r="V96" s="6">
        <f t="shared" si="387"/>
        <v>245</v>
      </c>
      <c r="W96" s="6">
        <f t="shared" si="387"/>
        <v>-517</v>
      </c>
      <c r="X96" s="6">
        <f t="shared" si="387"/>
        <v>-714</v>
      </c>
      <c r="Y96" s="6">
        <f>Y95+Y94+Y87+Y81</f>
        <v>-510</v>
      </c>
      <c r="Z96" s="6">
        <f>Z95+Z94+Z87+Z81</f>
        <v>-45</v>
      </c>
      <c r="AA96" s="6">
        <f>AA95+AA94+AA87+AA81</f>
        <v>-437</v>
      </c>
      <c r="AB96" s="6">
        <f t="shared" ref="AB96:AI96" si="388">AB95+AB94+AB87+AB81</f>
        <v>-612</v>
      </c>
      <c r="AC96" s="6">
        <f t="shared" si="388"/>
        <v>-355</v>
      </c>
      <c r="AD96" s="6">
        <f t="shared" si="388"/>
        <v>866</v>
      </c>
      <c r="AE96" s="6">
        <f t="shared" si="388"/>
        <v>2606</v>
      </c>
      <c r="AF96" s="6">
        <f t="shared" si="388"/>
        <v>-523</v>
      </c>
      <c r="AG96" s="6">
        <f t="shared" si="388"/>
        <v>86</v>
      </c>
      <c r="AH96" s="6">
        <f t="shared" si="388"/>
        <v>4202</v>
      </c>
      <c r="AI96" s="6">
        <f t="shared" si="388"/>
        <v>11088</v>
      </c>
      <c r="BA96" s="2"/>
      <c r="BB96" s="2"/>
      <c r="BC96" s="2"/>
      <c r="BD96" s="2"/>
      <c r="BE96" s="2"/>
      <c r="BF96" s="2"/>
      <c r="BG96" s="2"/>
      <c r="BH96" s="2"/>
      <c r="BI96" s="2"/>
      <c r="CD96" s="2">
        <f t="shared" si="360"/>
        <v>317</v>
      </c>
      <c r="CE96" s="2">
        <f t="shared" si="361"/>
        <v>-1604</v>
      </c>
      <c r="CF96" s="2">
        <f t="shared" si="362"/>
        <v>2594</v>
      </c>
    </row>
    <row r="97" spans="2:87" x14ac:dyDescent="0.25">
      <c r="BA97" s="2"/>
      <c r="BB97" s="2"/>
      <c r="BC97" s="2"/>
      <c r="BD97" s="2"/>
      <c r="BE97" s="2"/>
      <c r="BF97" s="2"/>
      <c r="BG97" s="2"/>
      <c r="BH97" s="2"/>
      <c r="BI97" s="2"/>
    </row>
    <row r="98" spans="2:87" ht="13" x14ac:dyDescent="0.3">
      <c r="B98" t="s">
        <v>50</v>
      </c>
      <c r="D98" s="6">
        <f t="shared" ref="D98" si="389">+D81+D83</f>
        <v>0</v>
      </c>
      <c r="E98" s="6">
        <f t="shared" ref="E98:H98" si="390">+E81+E83</f>
        <v>2110</v>
      </c>
      <c r="F98" s="6">
        <f t="shared" si="390"/>
        <v>786</v>
      </c>
      <c r="G98" s="6">
        <f t="shared" si="390"/>
        <v>0</v>
      </c>
      <c r="H98" s="6">
        <f t="shared" si="390"/>
        <v>0</v>
      </c>
      <c r="I98" s="6">
        <f t="shared" ref="I98:L98" si="391">+I81+I83</f>
        <v>68</v>
      </c>
      <c r="J98" s="6">
        <f t="shared" si="391"/>
        <v>-55</v>
      </c>
      <c r="K98" s="6">
        <f t="shared" si="391"/>
        <v>79</v>
      </c>
      <c r="L98" s="6">
        <f t="shared" si="391"/>
        <v>-9</v>
      </c>
      <c r="M98" s="6">
        <f t="shared" ref="M98:P98" si="392">+M81+M83</f>
        <v>-771</v>
      </c>
      <c r="N98" s="6">
        <f t="shared" si="392"/>
        <v>39</v>
      </c>
      <c r="O98" s="6">
        <f t="shared" si="392"/>
        <v>1301</v>
      </c>
      <c r="P98" s="6">
        <f t="shared" si="392"/>
        <v>1869</v>
      </c>
      <c r="Q98" s="6">
        <f t="shared" ref="Q98:T98" si="393">+Q81+Q83</f>
        <v>673</v>
      </c>
      <c r="R98" s="6">
        <f t="shared" si="393"/>
        <v>1017</v>
      </c>
      <c r="S98" s="6">
        <f t="shared" si="393"/>
        <v>1260</v>
      </c>
      <c r="T98" s="6">
        <f t="shared" si="393"/>
        <v>164</v>
      </c>
      <c r="U98" s="6">
        <f t="shared" ref="U98:AA98" si="394">+U81+U83</f>
        <v>-1506</v>
      </c>
      <c r="V98" s="6">
        <f t="shared" si="394"/>
        <v>-1862</v>
      </c>
      <c r="W98" s="6">
        <f t="shared" si="394"/>
        <v>-1537</v>
      </c>
      <c r="X98" s="6">
        <f t="shared" si="394"/>
        <v>-1212</v>
      </c>
      <c r="Y98" s="6">
        <f t="shared" si="394"/>
        <v>-395</v>
      </c>
      <c r="Z98" s="6">
        <f t="shared" si="394"/>
        <v>-165</v>
      </c>
      <c r="AA98" s="6">
        <f t="shared" si="394"/>
        <v>396</v>
      </c>
      <c r="AB98" s="6">
        <f t="shared" ref="AB98:AF98" si="395">+AB81+AB83</f>
        <v>285</v>
      </c>
      <c r="AC98" s="6">
        <f t="shared" si="395"/>
        <v>38</v>
      </c>
      <c r="AD98" s="6">
        <f t="shared" si="395"/>
        <v>-113</v>
      </c>
      <c r="AE98" s="6">
        <f t="shared" si="395"/>
        <v>1671</v>
      </c>
      <c r="AF98" s="6">
        <f t="shared" si="395"/>
        <v>72</v>
      </c>
      <c r="AG98" s="6">
        <f>+AG81+AG83</f>
        <v>3022</v>
      </c>
      <c r="AH98" s="6">
        <f>+AH81+AH83</f>
        <v>5516</v>
      </c>
      <c r="AI98" s="6">
        <f>+AI81+AI83</f>
        <v>17562</v>
      </c>
      <c r="AJ98" s="6"/>
      <c r="AQ98" s="9">
        <f t="shared" ref="AQ98:AX98" si="396">+AQ81+AQ83</f>
        <v>-25.862999999999992</v>
      </c>
      <c r="AR98" s="9">
        <f t="shared" si="396"/>
        <v>-41.705999999999996</v>
      </c>
      <c r="AS98" s="9">
        <f t="shared" si="396"/>
        <v>-21.821999999999999</v>
      </c>
      <c r="AT98" s="9">
        <f t="shared" si="396"/>
        <v>-16.959</v>
      </c>
      <c r="AU98" s="9">
        <f t="shared" si="396"/>
        <v>73.760999999999996</v>
      </c>
      <c r="AV98" s="9">
        <f t="shared" si="396"/>
        <v>-119.99499999999999</v>
      </c>
      <c r="AW98" s="9">
        <f t="shared" si="396"/>
        <v>-33.216999999999999</v>
      </c>
      <c r="AX98" s="9">
        <f t="shared" si="396"/>
        <v>3.2299999999999898</v>
      </c>
      <c r="AY98" s="9">
        <f t="shared" ref="AY98:BB98" si="397">+AY81+AY83</f>
        <v>57.4</v>
      </c>
      <c r="AZ98" s="9">
        <f t="shared" si="397"/>
        <v>173.9</v>
      </c>
      <c r="BA98" s="9">
        <f t="shared" si="397"/>
        <v>306.5</v>
      </c>
      <c r="BB98" s="9">
        <f t="shared" si="397"/>
        <v>186.60000000000002</v>
      </c>
      <c r="BC98" s="9">
        <f t="shared" ref="BC98:BF98" si="398">+BC81+BC83</f>
        <v>-464.40000000000009</v>
      </c>
      <c r="BD98" s="9">
        <f t="shared" si="398"/>
        <v>87.300000000000068</v>
      </c>
      <c r="BE98" s="9">
        <f t="shared" si="398"/>
        <v>-517.90000000000009</v>
      </c>
      <c r="BF98" s="9">
        <f t="shared" si="398"/>
        <v>29.900000000000091</v>
      </c>
      <c r="BG98" s="9">
        <f t="shared" ref="BG98:BK98" si="399">+BG81+BG83</f>
        <v>874.79999999999973</v>
      </c>
      <c r="BH98" s="9">
        <f t="shared" si="399"/>
        <v>-699.50000000000011</v>
      </c>
      <c r="BI98" s="9">
        <f t="shared" si="399"/>
        <v>-181.79999999999984</v>
      </c>
      <c r="BJ98" s="9">
        <f t="shared" si="399"/>
        <v>-473.8</v>
      </c>
      <c r="BK98" s="9">
        <f t="shared" si="399"/>
        <v>-640.19999999999982</v>
      </c>
      <c r="BL98" s="9">
        <f t="shared" ref="BL98:BQ98" si="400">+BL81+BL83</f>
        <v>-612</v>
      </c>
      <c r="BM98" s="9">
        <f t="shared" si="400"/>
        <v>654</v>
      </c>
      <c r="BN98" s="9">
        <f t="shared" si="400"/>
        <v>-2666</v>
      </c>
      <c r="BO98" s="9">
        <f t="shared" si="400"/>
        <v>-1511</v>
      </c>
      <c r="BP98" s="9">
        <f t="shared" si="400"/>
        <v>718</v>
      </c>
      <c r="BQ98" s="9">
        <f t="shared" si="400"/>
        <v>2480</v>
      </c>
      <c r="BR98" s="9">
        <f t="shared" ref="BR98:CA98" si="401">+BR81+BR83</f>
        <v>-66</v>
      </c>
      <c r="BS98" s="9">
        <f t="shared" si="401"/>
        <v>415</v>
      </c>
      <c r="BT98" s="9">
        <f t="shared" si="401"/>
        <v>369</v>
      </c>
      <c r="BU98" s="9">
        <f t="shared" si="401"/>
        <v>2592</v>
      </c>
      <c r="BV98" s="9">
        <f t="shared" si="401"/>
        <v>1187</v>
      </c>
      <c r="BW98" s="9">
        <f t="shared" si="401"/>
        <v>-2649</v>
      </c>
      <c r="BX98" s="9">
        <f t="shared" si="401"/>
        <v>3419</v>
      </c>
      <c r="BY98" s="9">
        <f t="shared" si="401"/>
        <v>8521</v>
      </c>
      <c r="BZ98" s="9">
        <f t="shared" si="401"/>
        <v>3409</v>
      </c>
      <c r="CA98" s="9">
        <f t="shared" si="401"/>
        <v>83</v>
      </c>
      <c r="CB98" s="9">
        <f t="shared" ref="CB98:CG98" si="402">+CB81+CB83</f>
        <v>2438</v>
      </c>
      <c r="CC98" s="9">
        <f t="shared" si="402"/>
        <v>3114</v>
      </c>
      <c r="CD98" s="9">
        <f t="shared" si="402"/>
        <v>-6117</v>
      </c>
      <c r="CE98" s="9">
        <f t="shared" si="402"/>
        <v>121</v>
      </c>
      <c r="CF98" s="9">
        <f t="shared" si="402"/>
        <v>1668</v>
      </c>
      <c r="CG98" s="9">
        <f t="shared" si="402"/>
        <v>53662</v>
      </c>
      <c r="CH98" s="9">
        <f>+CG98*3</f>
        <v>160986</v>
      </c>
      <c r="CI98" s="9">
        <f>+CH98*0.5</f>
        <v>80493</v>
      </c>
    </row>
    <row r="99" spans="2:87" x14ac:dyDescent="0.25">
      <c r="B99" t="s">
        <v>110</v>
      </c>
      <c r="AR99" s="2">
        <f t="shared" ref="AR99" si="403">+AR98+AQ98</f>
        <v>-67.568999999999988</v>
      </c>
      <c r="AS99" s="2">
        <f t="shared" ref="AS99" si="404">+AS98+AR98</f>
        <v>-63.527999999999992</v>
      </c>
      <c r="AT99" s="2">
        <f t="shared" ref="AT99" si="405">+AT98+AS98</f>
        <v>-38.780999999999999</v>
      </c>
      <c r="AU99" s="2">
        <f t="shared" ref="AU99" si="406">+AU98+AT98</f>
        <v>56.801999999999992</v>
      </c>
      <c r="AV99" s="2">
        <f t="shared" ref="AV99" si="407">+AV98+AU98</f>
        <v>-46.233999999999995</v>
      </c>
      <c r="AW99" s="2">
        <f t="shared" ref="AW99" si="408">+AW98+AV98</f>
        <v>-153.21199999999999</v>
      </c>
      <c r="AX99" s="2">
        <f t="shared" ref="AX99" si="409">+AX98+AW98</f>
        <v>-29.987000000000009</v>
      </c>
      <c r="AY99" s="2">
        <f t="shared" ref="AY99" si="410">+AY98+AX98</f>
        <v>60.629999999999988</v>
      </c>
      <c r="AZ99" s="2">
        <f t="shared" ref="AZ99:BA99" si="411">+AZ98+AY98</f>
        <v>231.3</v>
      </c>
      <c r="BA99" s="2">
        <f t="shared" si="411"/>
        <v>480.4</v>
      </c>
      <c r="BB99" s="2">
        <f t="shared" ref="BB99" si="412">+BB98+BA98</f>
        <v>493.1</v>
      </c>
      <c r="BC99" s="2">
        <f t="shared" ref="BC99" si="413">+BC98+BB98</f>
        <v>-277.80000000000007</v>
      </c>
      <c r="BD99" s="2">
        <f t="shared" ref="BD99" si="414">+BD98+BC98</f>
        <v>-377.1</v>
      </c>
      <c r="BE99" s="2">
        <f t="shared" ref="BE99" si="415">+BE98+BD98</f>
        <v>-430.6</v>
      </c>
      <c r="BF99" s="2">
        <f t="shared" ref="BF99" si="416">+BF98+BE98</f>
        <v>-488</v>
      </c>
      <c r="BG99" s="2">
        <f t="shared" ref="BG99" si="417">+BG98+BF98</f>
        <v>904.69999999999982</v>
      </c>
      <c r="BH99" s="2">
        <f t="shared" ref="BH99" si="418">+BH98+BG98</f>
        <v>175.29999999999961</v>
      </c>
      <c r="BI99" s="2">
        <f t="shared" ref="BI99" si="419">+BI98+BH98</f>
        <v>-881.3</v>
      </c>
      <c r="BJ99" s="2">
        <f t="shared" ref="BJ99:BK99" si="420">+BJ98+BI98</f>
        <v>-655.59999999999991</v>
      </c>
      <c r="BK99" s="2">
        <f t="shared" si="420"/>
        <v>-1113.9999999999998</v>
      </c>
      <c r="BL99" s="2">
        <f>+BL98+BK98</f>
        <v>-1252.1999999999998</v>
      </c>
      <c r="BM99" s="2">
        <f>+BM98+BL98</f>
        <v>42</v>
      </c>
      <c r="BN99" s="2">
        <f>+BN98+BM98</f>
        <v>-2012</v>
      </c>
      <c r="BO99" s="2">
        <f t="shared" ref="BO99" si="421">+BO98+BN98</f>
        <v>-4177</v>
      </c>
      <c r="BP99" s="2">
        <f t="shared" ref="BP99" si="422">+BP98+BO98</f>
        <v>-793</v>
      </c>
      <c r="BQ99" s="2">
        <f t="shared" ref="BQ99" si="423">+BQ98+BP98</f>
        <v>3198</v>
      </c>
      <c r="BR99" s="2">
        <f t="shared" ref="BR99" si="424">+BR98+BQ98</f>
        <v>2414</v>
      </c>
      <c r="BS99" s="2">
        <f t="shared" ref="BS99:BW99" si="425">+BS98+BR98</f>
        <v>349</v>
      </c>
      <c r="BT99" s="2">
        <f t="shared" si="425"/>
        <v>784</v>
      </c>
      <c r="BU99" s="2">
        <f t="shared" si="425"/>
        <v>2961</v>
      </c>
      <c r="BV99" s="2">
        <f t="shared" si="425"/>
        <v>3779</v>
      </c>
      <c r="BW99" s="2">
        <f t="shared" si="425"/>
        <v>-1462</v>
      </c>
      <c r="BX99" s="2">
        <f t="shared" ref="BX99:CF99" si="426">+BX98+BW98</f>
        <v>770</v>
      </c>
      <c r="BY99" s="2">
        <f t="shared" si="426"/>
        <v>11940</v>
      </c>
      <c r="BZ99" s="2">
        <f t="shared" si="426"/>
        <v>11930</v>
      </c>
      <c r="CA99" s="2">
        <f t="shared" si="426"/>
        <v>3492</v>
      </c>
      <c r="CB99" s="2">
        <f>+CB98+CA98</f>
        <v>2521</v>
      </c>
      <c r="CC99" s="2">
        <f t="shared" si="426"/>
        <v>5552</v>
      </c>
      <c r="CD99" s="2">
        <f t="shared" si="426"/>
        <v>-3003</v>
      </c>
      <c r="CE99" s="2">
        <f t="shared" si="426"/>
        <v>-5996</v>
      </c>
      <c r="CF99" s="2">
        <f t="shared" si="426"/>
        <v>1789</v>
      </c>
      <c r="CG99" s="2">
        <f t="shared" ref="CG99" si="427">+CG98+CF98</f>
        <v>55330</v>
      </c>
    </row>
    <row r="100" spans="2:87" x14ac:dyDescent="0.25">
      <c r="B100" t="s">
        <v>111</v>
      </c>
      <c r="AS100" s="2">
        <f t="shared" ref="AS100" si="428">SUM(AQ98:AS98)</f>
        <v>-89.390999999999991</v>
      </c>
      <c r="AT100" s="2">
        <f t="shared" ref="AT100" si="429">SUM(AR98:AT98)</f>
        <v>-80.486999999999995</v>
      </c>
      <c r="AU100" s="2">
        <f t="shared" ref="AU100" si="430">SUM(AS98:AU98)</f>
        <v>34.979999999999997</v>
      </c>
      <c r="AV100" s="2">
        <f t="shared" ref="AV100" si="431">SUM(AT98:AV98)</f>
        <v>-63.192999999999998</v>
      </c>
      <c r="AW100" s="2">
        <f t="shared" ref="AW100" si="432">SUM(AU98:AW98)</f>
        <v>-79.450999999999993</v>
      </c>
      <c r="AX100" s="2">
        <f t="shared" ref="AX100" si="433">SUM(AV98:AX98)</f>
        <v>-149.982</v>
      </c>
      <c r="AY100" s="2">
        <f t="shared" ref="AY100" si="434">SUM(AW98:AY98)</f>
        <v>27.41299999999999</v>
      </c>
      <c r="AZ100" s="2">
        <f t="shared" ref="AZ100" si="435">SUM(AX98:AZ98)</f>
        <v>234.53</v>
      </c>
      <c r="BA100" s="2">
        <f t="shared" ref="BA100" si="436">SUM(AY98:BA98)</f>
        <v>537.79999999999995</v>
      </c>
      <c r="BB100" s="2">
        <f t="shared" ref="BB100" si="437">SUM(AZ98:BB98)</f>
        <v>667</v>
      </c>
      <c r="BC100" s="2">
        <f t="shared" ref="BC100" si="438">SUM(BA98:BC98)</f>
        <v>28.699999999999932</v>
      </c>
      <c r="BD100" s="2">
        <f t="shared" ref="BD100" si="439">SUM(BB98:BD98)</f>
        <v>-190.5</v>
      </c>
      <c r="BE100" s="2">
        <f t="shared" ref="BE100" si="440">SUM(BC98:BE98)</f>
        <v>-895.00000000000011</v>
      </c>
      <c r="BF100" s="2">
        <f t="shared" ref="BF100" si="441">SUM(BD98:BF98)</f>
        <v>-400.69999999999993</v>
      </c>
      <c r="BG100" s="2">
        <f t="shared" ref="BG100" si="442">SUM(BE98:BG98)</f>
        <v>386.79999999999973</v>
      </c>
      <c r="BH100" s="2">
        <f t="shared" ref="BH100" si="443">SUM(BF98:BH98)</f>
        <v>205.1999999999997</v>
      </c>
      <c r="BI100" s="2">
        <f t="shared" ref="BI100" si="444">SUM(BG98:BI98)</f>
        <v>-6.5000000000002274</v>
      </c>
      <c r="BJ100" s="2">
        <f t="shared" ref="BJ100" si="445">SUM(BH98:BJ98)</f>
        <v>-1355.1</v>
      </c>
      <c r="BK100" s="2">
        <f t="shared" ref="BK100" si="446">SUM(BI98:BK98)</f>
        <v>-1295.7999999999997</v>
      </c>
      <c r="BL100" s="2">
        <f t="shared" ref="BL100" si="447">SUM(BJ98:BL98)</f>
        <v>-1725.9999999999998</v>
      </c>
      <c r="BM100" s="2">
        <f t="shared" ref="BM100" si="448">SUM(BK98:BM98)</f>
        <v>-598.19999999999982</v>
      </c>
      <c r="BN100" s="2">
        <f t="shared" ref="BN100" si="449">SUM(BL98:BN98)</f>
        <v>-2624</v>
      </c>
      <c r="BO100" s="2">
        <f t="shared" ref="BO100" si="450">SUM(BM98:BO98)</f>
        <v>-3523</v>
      </c>
      <c r="BP100" s="2">
        <f>SUM(BN98:BP98)</f>
        <v>-3459</v>
      </c>
      <c r="BQ100" s="2">
        <f t="shared" ref="BQ100" si="451">SUM(BO98:BQ98)</f>
        <v>1687</v>
      </c>
      <c r="BR100" s="2">
        <f t="shared" ref="BR100" si="452">SUM(BP98:BR98)</f>
        <v>3132</v>
      </c>
      <c r="BS100" s="2">
        <f t="shared" ref="BS100" si="453">SUM(BQ98:BS98)</f>
        <v>2829</v>
      </c>
      <c r="BT100" s="2">
        <f t="shared" ref="BT100:BX100" si="454">SUM(BR98:BT98)</f>
        <v>718</v>
      </c>
      <c r="BU100" s="2">
        <f t="shared" si="454"/>
        <v>3376</v>
      </c>
      <c r="BV100" s="2">
        <f t="shared" si="454"/>
        <v>4148</v>
      </c>
      <c r="BW100" s="2">
        <f t="shared" si="454"/>
        <v>1130</v>
      </c>
      <c r="BX100" s="2">
        <f t="shared" si="454"/>
        <v>1957</v>
      </c>
      <c r="BY100" s="2">
        <f t="shared" ref="BY100:CB100" si="455">SUM(BW98:BY98)</f>
        <v>9291</v>
      </c>
      <c r="BZ100" s="2">
        <f t="shared" si="455"/>
        <v>15349</v>
      </c>
      <c r="CA100" s="2">
        <f t="shared" si="455"/>
        <v>12013</v>
      </c>
      <c r="CB100" s="2">
        <f t="shared" si="455"/>
        <v>5930</v>
      </c>
      <c r="CC100" s="2">
        <f>SUM(CA98:CC98)</f>
        <v>5635</v>
      </c>
      <c r="CD100" s="2">
        <f>SUM(CB98:CD98)</f>
        <v>-565</v>
      </c>
      <c r="CE100" s="2">
        <f>SUM(CC98:CE98)</f>
        <v>-2882</v>
      </c>
      <c r="CF100" s="2">
        <f>SUM(CD98:CF98)</f>
        <v>-4328</v>
      </c>
      <c r="CG100" s="2">
        <f t="shared" ref="CG100" si="456">SUM(CE98:CG98)</f>
        <v>55451</v>
      </c>
    </row>
    <row r="101" spans="2:87" x14ac:dyDescent="0.25">
      <c r="B101" t="s">
        <v>112</v>
      </c>
      <c r="AT101" s="2">
        <f t="shared" ref="AT101" si="457">SUM(AQ98:AT98)</f>
        <v>-106.35</v>
      </c>
      <c r="AU101" s="2">
        <f t="shared" ref="AU101" si="458">SUM(AR98:AU98)</f>
        <v>-6.7259999999999991</v>
      </c>
      <c r="AV101" s="2">
        <f t="shared" ref="AV101" si="459">SUM(AS98:AV98)</f>
        <v>-85.014999999999986</v>
      </c>
      <c r="AW101" s="2">
        <f t="shared" ref="AW101" si="460">SUM(AT98:AW98)</f>
        <v>-96.41</v>
      </c>
      <c r="AX101" s="2">
        <f t="shared" ref="AX101" si="461">SUM(AU98:AX98)</f>
        <v>-76.221000000000004</v>
      </c>
      <c r="AY101" s="2">
        <f t="shared" ref="AY101" si="462">SUM(AV98:AY98)</f>
        <v>-92.581999999999994</v>
      </c>
      <c r="AZ101" s="2">
        <f t="shared" ref="AZ101" si="463">SUM(AW98:AZ98)</f>
        <v>201.31299999999999</v>
      </c>
      <c r="BA101" s="2">
        <f t="shared" ref="BA101" si="464">SUM(AX98:BA98)</f>
        <v>541.03</v>
      </c>
      <c r="BB101" s="2">
        <f t="shared" ref="BB101" si="465">SUM(AY98:BB98)</f>
        <v>724.4</v>
      </c>
      <c r="BC101" s="2">
        <f t="shared" ref="BC101" si="466">SUM(AZ98:BC98)</f>
        <v>202.59999999999991</v>
      </c>
      <c r="BD101" s="2">
        <f t="shared" ref="BD101" si="467">SUM(BA98:BD98)</f>
        <v>116</v>
      </c>
      <c r="BE101" s="2">
        <f t="shared" ref="BE101" si="468">SUM(BB98:BE98)</f>
        <v>-708.40000000000009</v>
      </c>
      <c r="BF101" s="2">
        <f t="shared" ref="BF101" si="469">SUM(BC98:BF98)</f>
        <v>-865.1</v>
      </c>
      <c r="BG101" s="2">
        <f t="shared" ref="BG101" si="470">SUM(BD98:BG98)</f>
        <v>474.0999999999998</v>
      </c>
      <c r="BH101" s="2">
        <f t="shared" ref="BH101" si="471">SUM(BE98:BH98)</f>
        <v>-312.70000000000039</v>
      </c>
      <c r="BI101" s="2">
        <f t="shared" ref="BI101" si="472">SUM(BF98:BI98)</f>
        <v>23.399999999999864</v>
      </c>
      <c r="BJ101" s="2">
        <f t="shared" ref="BJ101" si="473">SUM(BG98:BJ98)</f>
        <v>-480.30000000000024</v>
      </c>
      <c r="BK101" s="2">
        <f t="shared" ref="BK101" si="474">SUM(BH98:BK98)</f>
        <v>-1995.2999999999997</v>
      </c>
      <c r="BL101" s="2">
        <f t="shared" ref="BL101" si="475">SUM(BI98:BL98)</f>
        <v>-1907.7999999999997</v>
      </c>
      <c r="BM101" s="2">
        <f t="shared" ref="BM101" si="476">SUM(BJ98:BM98)</f>
        <v>-1071.9999999999998</v>
      </c>
      <c r="BN101" s="2">
        <f t="shared" ref="BN101" si="477">SUM(BK98:BN98)</f>
        <v>-3264.2</v>
      </c>
      <c r="BO101" s="2">
        <f t="shared" ref="BO101" si="478">SUM(BL98:BO98)</f>
        <v>-4135</v>
      </c>
      <c r="BP101" s="2">
        <f t="shared" ref="BP101" si="479">SUM(BM98:BP98)</f>
        <v>-2805</v>
      </c>
      <c r="BQ101" s="2">
        <f t="shared" ref="BQ101" si="480">SUM(BN98:BQ98)</f>
        <v>-979</v>
      </c>
      <c r="BR101" s="2">
        <f t="shared" ref="BR101" si="481">SUM(BO98:BR98)</f>
        <v>1621</v>
      </c>
      <c r="BS101" s="2">
        <f t="shared" ref="BS101" si="482">SUM(BP98:BS98)</f>
        <v>3547</v>
      </c>
      <c r="BT101" s="2">
        <f t="shared" ref="BT101" si="483">SUM(BQ98:BT98)</f>
        <v>3198</v>
      </c>
      <c r="BU101" s="2">
        <f t="shared" ref="BU101:BY101" si="484">SUM(BR98:BU98)</f>
        <v>3310</v>
      </c>
      <c r="BV101" s="2">
        <f t="shared" si="484"/>
        <v>4563</v>
      </c>
      <c r="BW101" s="2">
        <f t="shared" si="484"/>
        <v>1499</v>
      </c>
      <c r="BX101" s="2">
        <f t="shared" si="484"/>
        <v>4549</v>
      </c>
      <c r="BY101" s="2">
        <f t="shared" si="484"/>
        <v>10478</v>
      </c>
      <c r="BZ101" s="2">
        <f t="shared" ref="BZ101:CF101" si="485">SUM(BW98:BZ98)</f>
        <v>12700</v>
      </c>
      <c r="CA101" s="2">
        <f t="shared" si="485"/>
        <v>15432</v>
      </c>
      <c r="CB101" s="2">
        <f t="shared" si="485"/>
        <v>14451</v>
      </c>
      <c r="CC101" s="2">
        <f t="shared" si="485"/>
        <v>9044</v>
      </c>
      <c r="CD101" s="2">
        <f t="shared" si="485"/>
        <v>-482</v>
      </c>
      <c r="CE101" s="2">
        <f t="shared" si="485"/>
        <v>-444</v>
      </c>
      <c r="CF101" s="2">
        <f t="shared" si="485"/>
        <v>-1214</v>
      </c>
      <c r="CG101" s="2">
        <f t="shared" ref="CG101" si="486">SUM(CD98:CG98)</f>
        <v>49334</v>
      </c>
    </row>
    <row r="102" spans="2:87" x14ac:dyDescent="0.25">
      <c r="B102" t="s">
        <v>113</v>
      </c>
      <c r="AU102" s="2">
        <f t="shared" ref="AU102" si="487">SUM(AQ98:AU98)</f>
        <v>-32.588999999999999</v>
      </c>
      <c r="AV102" s="2">
        <f t="shared" ref="AV102" si="488">SUM(AR98:AV98)</f>
        <v>-126.72099999999999</v>
      </c>
      <c r="AW102" s="2">
        <f t="shared" ref="AW102" si="489">SUM(AS98:AW98)</f>
        <v>-118.23199999999999</v>
      </c>
      <c r="AX102" s="2">
        <f t="shared" ref="AX102" si="490">SUM(AT98:AX98)</f>
        <v>-93.18</v>
      </c>
      <c r="AY102" s="2">
        <f t="shared" ref="AY102" si="491">SUM(AU98:AY98)</f>
        <v>-18.821000000000005</v>
      </c>
      <c r="AZ102" s="2">
        <f t="shared" ref="AZ102" si="492">SUM(AV98:AZ98)</f>
        <v>81.318000000000012</v>
      </c>
      <c r="BA102" s="2">
        <f t="shared" ref="BA102" si="493">SUM(AW98:BA98)</f>
        <v>507.81299999999999</v>
      </c>
      <c r="BB102" s="2">
        <f t="shared" ref="BB102" si="494">SUM(AX98:BB98)</f>
        <v>727.63</v>
      </c>
      <c r="BC102" s="2">
        <f t="shared" ref="BC102" si="495">SUM(AY98:BC98)</f>
        <v>259.99999999999989</v>
      </c>
      <c r="BD102" s="2">
        <f t="shared" ref="BD102" si="496">SUM(AZ98:BD98)</f>
        <v>289.89999999999998</v>
      </c>
      <c r="BE102" s="2">
        <f t="shared" ref="BE102" si="497">SUM(BA98:BE98)</f>
        <v>-401.90000000000009</v>
      </c>
      <c r="BF102" s="2">
        <f t="shared" ref="BF102" si="498">SUM(BB98:BF98)</f>
        <v>-678.5</v>
      </c>
      <c r="BG102" s="2">
        <f t="shared" ref="BG102" si="499">SUM(BC98:BG98)</f>
        <v>9.6999999999997044</v>
      </c>
      <c r="BH102" s="2">
        <f t="shared" ref="BH102" si="500">SUM(BD98:BH98)</f>
        <v>-225.40000000000032</v>
      </c>
      <c r="BI102" s="2">
        <f t="shared" ref="BI102" si="501">SUM(BE98:BI98)</f>
        <v>-494.50000000000023</v>
      </c>
      <c r="BJ102" s="2">
        <f t="shared" ref="BJ102" si="502">SUM(BF98:BJ98)</f>
        <v>-450.40000000000015</v>
      </c>
      <c r="BK102" s="2">
        <f t="shared" ref="BK102" si="503">SUM(BG98:BK98)</f>
        <v>-1120.5</v>
      </c>
      <c r="BL102" s="2">
        <f t="shared" ref="BL102" si="504">SUM(BH98:BL98)</f>
        <v>-2607.2999999999997</v>
      </c>
      <c r="BM102" s="2">
        <f t="shared" ref="BM102" si="505">SUM(BI98:BM98)</f>
        <v>-1253.7999999999997</v>
      </c>
      <c r="BN102" s="2">
        <f t="shared" ref="BN102" si="506">SUM(BJ98:BN98)</f>
        <v>-3738</v>
      </c>
      <c r="BO102" s="2">
        <f t="shared" ref="BO102" si="507">SUM(BK98:BO98)</f>
        <v>-4775.2</v>
      </c>
      <c r="BP102" s="2">
        <f t="shared" ref="BP102" si="508">SUM(BL98:BP98)</f>
        <v>-3417</v>
      </c>
      <c r="BQ102" s="2">
        <f t="shared" ref="BQ102" si="509">SUM(BM98:BQ98)</f>
        <v>-325</v>
      </c>
      <c r="BR102" s="2">
        <f t="shared" ref="BR102" si="510">SUM(BN98:BR98)</f>
        <v>-1045</v>
      </c>
      <c r="BS102" s="2">
        <f t="shared" ref="BS102" si="511">SUM(BO98:BS98)</f>
        <v>2036</v>
      </c>
      <c r="BT102" s="2">
        <f t="shared" ref="BT102" si="512">SUM(BP98:BT98)</f>
        <v>3916</v>
      </c>
      <c r="BU102" s="2">
        <f t="shared" ref="BU102" si="513">SUM(BQ98:BU98)</f>
        <v>5790</v>
      </c>
      <c r="BV102" s="2">
        <f t="shared" ref="BV102:BZ102" si="514">SUM(BR98:BV98)</f>
        <v>4497</v>
      </c>
      <c r="BW102" s="2">
        <f t="shared" si="514"/>
        <v>1914</v>
      </c>
      <c r="BX102" s="2">
        <f t="shared" si="514"/>
        <v>4918</v>
      </c>
      <c r="BY102" s="2">
        <f t="shared" si="514"/>
        <v>13070</v>
      </c>
      <c r="BZ102" s="2">
        <f t="shared" si="514"/>
        <v>13887</v>
      </c>
      <c r="CA102" s="2">
        <f t="shared" ref="CA102:CF102" si="515">SUM(BW98:CA98)</f>
        <v>12783</v>
      </c>
      <c r="CB102" s="2">
        <f t="shared" si="515"/>
        <v>17870</v>
      </c>
      <c r="CC102" s="2">
        <f t="shared" si="515"/>
        <v>17565</v>
      </c>
      <c r="CD102" s="2">
        <f t="shared" si="515"/>
        <v>2927</v>
      </c>
      <c r="CE102" s="2">
        <f t="shared" si="515"/>
        <v>-361</v>
      </c>
      <c r="CF102" s="2">
        <f t="shared" si="515"/>
        <v>1224</v>
      </c>
      <c r="CG102" s="2">
        <f t="shared" ref="CG102" si="516">SUM(CC98:CG98)</f>
        <v>52448</v>
      </c>
    </row>
    <row r="103" spans="2:87" x14ac:dyDescent="0.25">
      <c r="B103" t="s">
        <v>114</v>
      </c>
      <c r="AV103" s="2">
        <f t="shared" ref="AV103" si="517">SUM(AQ98:AV98)</f>
        <v>-152.584</v>
      </c>
      <c r="AW103" s="2">
        <f t="shared" ref="AW103" si="518">SUM(AR98:AW98)</f>
        <v>-159.93799999999999</v>
      </c>
      <c r="AX103" s="2">
        <f t="shared" ref="AX103" si="519">SUM(AS98:AX98)</f>
        <v>-115.002</v>
      </c>
      <c r="AY103" s="2">
        <f t="shared" ref="AY103" si="520">SUM(AT98:AY98)</f>
        <v>-35.780000000000008</v>
      </c>
      <c r="AZ103" s="2">
        <f t="shared" ref="AZ103" si="521">SUM(AU98:AZ98)</f>
        <v>155.07900000000001</v>
      </c>
      <c r="BA103" s="2">
        <f t="shared" ref="BA103" si="522">SUM(AV98:BA98)</f>
        <v>387.81799999999998</v>
      </c>
      <c r="BB103" s="2">
        <f t="shared" ref="BB103" si="523">SUM(AW98:BB98)</f>
        <v>694.41300000000001</v>
      </c>
      <c r="BC103" s="2">
        <f t="shared" ref="BC103" si="524">SUM(AX98:BC98)</f>
        <v>263.2299999999999</v>
      </c>
      <c r="BD103" s="2">
        <f t="shared" ref="BD103" si="525">SUM(AY98:BD98)</f>
        <v>347.29999999999995</v>
      </c>
      <c r="BE103" s="2">
        <f t="shared" ref="BE103" si="526">SUM(AZ98:BE98)</f>
        <v>-228.00000000000011</v>
      </c>
      <c r="BF103" s="2">
        <f t="shared" ref="BF103" si="527">SUM(BA98:BF98)</f>
        <v>-372</v>
      </c>
      <c r="BG103" s="2">
        <f t="shared" ref="BG103" si="528">SUM(BB98:BG98)</f>
        <v>196.29999999999973</v>
      </c>
      <c r="BH103" s="2">
        <f t="shared" ref="BH103" si="529">SUM(BC98:BH98)</f>
        <v>-689.80000000000041</v>
      </c>
      <c r="BI103" s="2">
        <f t="shared" ref="BI103" si="530">SUM(BD98:BI98)</f>
        <v>-407.20000000000016</v>
      </c>
      <c r="BJ103" s="2">
        <f t="shared" ref="BJ103" si="531">SUM(BE98:BJ98)</f>
        <v>-968.30000000000018</v>
      </c>
      <c r="BK103" s="2">
        <f t="shared" ref="BK103" si="532">SUM(BF98:BK98)</f>
        <v>-1090.5999999999999</v>
      </c>
      <c r="BL103" s="2">
        <f t="shared" ref="BL103" si="533">SUM(BG98:BL98)</f>
        <v>-1732.5</v>
      </c>
      <c r="BM103" s="2">
        <f t="shared" ref="BM103" si="534">SUM(BH98:BM98)</f>
        <v>-1953.2999999999997</v>
      </c>
      <c r="BN103" s="2">
        <f t="shared" ref="BN103" si="535">SUM(BI98:BN98)</f>
        <v>-3919.7999999999997</v>
      </c>
      <c r="BO103" s="2">
        <f t="shared" ref="BO103" si="536">SUM(BJ98:BO98)</f>
        <v>-5249</v>
      </c>
      <c r="BP103" s="2">
        <f t="shared" ref="BP103" si="537">SUM(BK98:BP98)</f>
        <v>-4057.2</v>
      </c>
      <c r="BQ103" s="2">
        <f t="shared" ref="BQ103" si="538">SUM(BL98:BQ98)</f>
        <v>-937</v>
      </c>
      <c r="BR103" s="2">
        <f t="shared" ref="BR103" si="539">SUM(BM98:BR98)</f>
        <v>-391</v>
      </c>
      <c r="BS103" s="2">
        <f t="shared" ref="BS103" si="540">SUM(BN98:BS98)</f>
        <v>-630</v>
      </c>
      <c r="BT103" s="2">
        <f t="shared" ref="BT103" si="541">SUM(BO98:BT98)</f>
        <v>2405</v>
      </c>
      <c r="BU103" s="2">
        <f t="shared" ref="BU103" si="542">SUM(BP98:BU98)</f>
        <v>6508</v>
      </c>
      <c r="BV103" s="2">
        <f t="shared" ref="BV103" si="543">SUM(BQ98:BV98)</f>
        <v>6977</v>
      </c>
      <c r="BW103" s="2">
        <f t="shared" ref="BW103:CA103" si="544">SUM(BR98:BW98)</f>
        <v>1848</v>
      </c>
      <c r="BX103" s="2">
        <f t="shared" si="544"/>
        <v>5333</v>
      </c>
      <c r="BY103" s="2">
        <f t="shared" si="544"/>
        <v>13439</v>
      </c>
      <c r="BZ103" s="2">
        <f t="shared" si="544"/>
        <v>16479</v>
      </c>
      <c r="CA103" s="2">
        <f t="shared" si="544"/>
        <v>13970</v>
      </c>
      <c r="CB103" s="2">
        <f>SUM(BW98:CB98)</f>
        <v>15221</v>
      </c>
      <c r="CC103" s="2">
        <f>SUM(BX98:CC98)</f>
        <v>20984</v>
      </c>
      <c r="CD103" s="2">
        <f>SUM(BY98:CD98)</f>
        <v>11448</v>
      </c>
      <c r="CE103" s="2">
        <f>SUM(BZ98:CE98)</f>
        <v>3048</v>
      </c>
      <c r="CF103" s="2">
        <f>SUM(CA98:CF98)</f>
        <v>1307</v>
      </c>
      <c r="CG103" s="2">
        <f t="shared" ref="CG103" si="545">SUM(CB98:CG98)</f>
        <v>54886</v>
      </c>
    </row>
    <row r="104" spans="2:87" x14ac:dyDescent="0.25">
      <c r="B104" t="s">
        <v>116</v>
      </c>
      <c r="AW104" s="2">
        <f t="shared" ref="AW104" si="546">SUM(AQ98:AW98)</f>
        <v>-185.80099999999999</v>
      </c>
      <c r="AX104" s="2">
        <f t="shared" ref="AX104" si="547">SUM(AR98:AX98)</f>
        <v>-156.708</v>
      </c>
      <c r="AY104" s="2">
        <f t="shared" ref="AY104" si="548">SUM(AS98:AY98)</f>
        <v>-57.601999999999997</v>
      </c>
      <c r="AZ104" s="2">
        <f t="shared" ref="AZ104" si="549">SUM(AT98:AZ98)</f>
        <v>138.12</v>
      </c>
      <c r="BA104" s="2">
        <f t="shared" ref="BA104" si="550">SUM(AU98:BA98)</f>
        <v>461.57900000000001</v>
      </c>
      <c r="BB104" s="2">
        <f t="shared" ref="BB104" si="551">SUM(AV98:BB98)</f>
        <v>574.41800000000001</v>
      </c>
      <c r="BC104" s="2">
        <f t="shared" ref="BC104" si="552">SUM(AW98:BC98)</f>
        <v>230.01299999999992</v>
      </c>
      <c r="BD104" s="2">
        <f t="shared" ref="BD104" si="553">SUM(AX98:BD98)</f>
        <v>350.53</v>
      </c>
      <c r="BE104" s="2">
        <f t="shared" ref="BE104" si="554">SUM(AY98:BE98)</f>
        <v>-170.60000000000014</v>
      </c>
      <c r="BF104" s="2">
        <f t="shared" ref="BF104" si="555">SUM(AZ98:BF98)</f>
        <v>-198.10000000000002</v>
      </c>
      <c r="BG104" s="2">
        <f t="shared" ref="BG104" si="556">SUM(BA98:BG98)</f>
        <v>502.79999999999973</v>
      </c>
      <c r="BH104" s="2">
        <f t="shared" ref="BH104" si="557">SUM(BB98:BH98)</f>
        <v>-503.20000000000039</v>
      </c>
      <c r="BI104" s="2">
        <f t="shared" ref="BI104" si="558">SUM(BC98:BI98)</f>
        <v>-871.60000000000025</v>
      </c>
      <c r="BJ104" s="2">
        <f t="shared" ref="BJ104" si="559">SUM(BD98:BJ98)</f>
        <v>-881.00000000000023</v>
      </c>
      <c r="BK104" s="2">
        <f t="shared" ref="BK104" si="560">SUM(BE98:BK98)</f>
        <v>-1608.5</v>
      </c>
      <c r="BL104" s="2">
        <f t="shared" ref="BL104" si="561">SUM(BF98:BL98)</f>
        <v>-1702.6</v>
      </c>
      <c r="BM104" s="2">
        <f t="shared" ref="BM104" si="562">SUM(BG98:BM98)</f>
        <v>-1078.5</v>
      </c>
      <c r="BN104" s="2">
        <f t="shared" ref="BN104" si="563">SUM(BH98:BN98)</f>
        <v>-4619.2999999999993</v>
      </c>
      <c r="BO104" s="2">
        <f t="shared" ref="BO104" si="564">SUM(BI98:BO98)</f>
        <v>-5430.7999999999993</v>
      </c>
      <c r="BP104" s="2">
        <f t="shared" ref="BP104" si="565">SUM(BJ98:BP98)</f>
        <v>-4531</v>
      </c>
      <c r="BQ104" s="2">
        <f t="shared" ref="BQ104:BR104" si="566">SUM(BK98:BQ98)</f>
        <v>-1577.1999999999998</v>
      </c>
      <c r="BR104" s="2">
        <f t="shared" si="566"/>
        <v>-1003</v>
      </c>
      <c r="BS104" s="2">
        <f>SUM(BM98:BS98)</f>
        <v>24</v>
      </c>
      <c r="BT104" s="2">
        <f t="shared" ref="BT104" si="567">SUM(BN98:BT98)</f>
        <v>-261</v>
      </c>
      <c r="BU104" s="2">
        <f t="shared" ref="BU104" si="568">SUM(BO98:BU98)</f>
        <v>4997</v>
      </c>
      <c r="BV104" s="2">
        <f t="shared" ref="BV104" si="569">SUM(BP98:BV98)</f>
        <v>7695</v>
      </c>
      <c r="BW104" s="2">
        <f t="shared" ref="BW104" si="570">SUM(BQ98:BW98)</f>
        <v>4328</v>
      </c>
      <c r="BX104" s="2">
        <f t="shared" ref="BX104:CA104" si="571">SUM(BR98:BX98)</f>
        <v>5267</v>
      </c>
      <c r="BY104" s="2">
        <f t="shared" si="571"/>
        <v>13854</v>
      </c>
      <c r="BZ104" s="2">
        <f t="shared" si="571"/>
        <v>16848</v>
      </c>
      <c r="CA104" s="2">
        <f t="shared" si="571"/>
        <v>16562</v>
      </c>
      <c r="CB104" s="2">
        <f>SUM(BV98:CB98)</f>
        <v>16408</v>
      </c>
      <c r="CC104" s="2">
        <f>SUM(BW98:CC98)</f>
        <v>18335</v>
      </c>
      <c r="CD104" s="2">
        <f>SUM(BX98:CD98)</f>
        <v>14867</v>
      </c>
      <c r="CE104" s="2">
        <f>SUM(BY98:CE98)</f>
        <v>11569</v>
      </c>
      <c r="CF104" s="2">
        <f>SUM(BZ98:CF98)</f>
        <v>4716</v>
      </c>
      <c r="CG104" s="2">
        <f t="shared" ref="CG104" si="572">SUM(CA98:CG98)</f>
        <v>54969</v>
      </c>
    </row>
    <row r="105" spans="2:87" x14ac:dyDescent="0.25">
      <c r="B105" t="s">
        <v>262</v>
      </c>
      <c r="AX105" s="2">
        <f t="shared" ref="AX105" si="573">SUM(AQ98:AX98)</f>
        <v>-182.571</v>
      </c>
      <c r="AY105" s="2">
        <f t="shared" ref="AY105" si="574">SUM(AR98:AY98)</f>
        <v>-99.307999999999993</v>
      </c>
      <c r="AZ105" s="2">
        <f t="shared" ref="AZ105" si="575">SUM(AS98:AZ98)</f>
        <v>116.298</v>
      </c>
      <c r="BA105" s="2">
        <f t="shared" ref="BA105" si="576">SUM(AT98:BA98)</f>
        <v>444.62</v>
      </c>
      <c r="BB105" s="2">
        <f t="shared" ref="BB105" si="577">SUM(AU98:BB98)</f>
        <v>648.17900000000009</v>
      </c>
      <c r="BC105" s="2">
        <f t="shared" ref="BC105" si="578">SUM(AV98:BC98)</f>
        <v>110.01799999999992</v>
      </c>
      <c r="BD105" s="2">
        <f t="shared" ref="BD105" si="579">SUM(AW98:BD98)</f>
        <v>317.31299999999999</v>
      </c>
      <c r="BE105" s="2">
        <f t="shared" ref="BE105" si="580">SUM(AX98:BE98)</f>
        <v>-167.37000000000012</v>
      </c>
      <c r="BF105" s="2">
        <f t="shared" ref="BF105" si="581">SUM(AY98:BF98)</f>
        <v>-140.70000000000005</v>
      </c>
      <c r="BG105" s="2">
        <f t="shared" ref="BG105" si="582">SUM(AZ98:BG98)</f>
        <v>676.6999999999997</v>
      </c>
      <c r="BH105" s="2">
        <f t="shared" ref="BH105" si="583">SUM(BA98:BH98)</f>
        <v>-196.70000000000039</v>
      </c>
      <c r="BI105" s="2">
        <f t="shared" ref="BI105" si="584">SUM(BB98:BI98)</f>
        <v>-685.00000000000023</v>
      </c>
      <c r="BJ105" s="2">
        <f t="shared" ref="BJ105" si="585">SUM(BC98:BJ98)</f>
        <v>-1345.4000000000003</v>
      </c>
      <c r="BK105" s="2">
        <f t="shared" ref="BK105" si="586">SUM(BD98:BK98)</f>
        <v>-1521.2</v>
      </c>
      <c r="BL105" s="2">
        <f t="shared" ref="BL105" si="587">SUM(BE98:BL98)</f>
        <v>-2220.5</v>
      </c>
      <c r="BM105" s="2">
        <f t="shared" ref="BM105" si="588">SUM(BF98:BM98)</f>
        <v>-1048.5999999999999</v>
      </c>
      <c r="BN105" s="2">
        <f t="shared" ref="BN105" si="589">SUM(BG98:BN98)</f>
        <v>-3744.5</v>
      </c>
      <c r="BO105" s="2">
        <f t="shared" ref="BO105" si="590">SUM(BH98:BO98)</f>
        <v>-6130.2999999999993</v>
      </c>
      <c r="BP105" s="2">
        <f t="shared" ref="BP105:BQ105" si="591">SUM(BI98:BP98)</f>
        <v>-4712.7999999999993</v>
      </c>
      <c r="BQ105" s="2">
        <f t="shared" si="591"/>
        <v>-2051</v>
      </c>
      <c r="BR105" s="2">
        <f>SUM(BK98:BR98)</f>
        <v>-1643.1999999999998</v>
      </c>
      <c r="BS105" s="2">
        <f t="shared" ref="BS105:CG105" si="592">SUM(BL98:BS98)</f>
        <v>-588</v>
      </c>
      <c r="BT105" s="2">
        <f t="shared" si="592"/>
        <v>393</v>
      </c>
      <c r="BU105" s="2">
        <f t="shared" si="592"/>
        <v>2331</v>
      </c>
      <c r="BV105" s="2">
        <f t="shared" si="592"/>
        <v>6184</v>
      </c>
      <c r="BW105" s="2">
        <f t="shared" si="592"/>
        <v>5046</v>
      </c>
      <c r="BX105" s="2">
        <f t="shared" si="592"/>
        <v>7747</v>
      </c>
      <c r="BY105" s="2">
        <f t="shared" si="592"/>
        <v>13788</v>
      </c>
      <c r="BZ105" s="2">
        <f t="shared" si="592"/>
        <v>17263</v>
      </c>
      <c r="CA105" s="2">
        <f t="shared" si="592"/>
        <v>16931</v>
      </c>
      <c r="CB105" s="2">
        <f t="shared" si="592"/>
        <v>19000</v>
      </c>
      <c r="CC105" s="2">
        <f t="shared" si="592"/>
        <v>19522</v>
      </c>
      <c r="CD105" s="2">
        <f t="shared" si="592"/>
        <v>12218</v>
      </c>
      <c r="CE105" s="2">
        <f t="shared" si="592"/>
        <v>14988</v>
      </c>
      <c r="CF105" s="2">
        <f t="shared" si="592"/>
        <v>13237</v>
      </c>
      <c r="CG105" s="2">
        <f t="shared" si="592"/>
        <v>58378</v>
      </c>
    </row>
    <row r="106" spans="2:87" x14ac:dyDescent="0.25">
      <c r="B106" t="s">
        <v>263</v>
      </c>
      <c r="AY106" s="2">
        <f t="shared" ref="AY106" si="593">SUM(AQ98:AY98)</f>
        <v>-125.17099999999999</v>
      </c>
      <c r="AZ106" s="2">
        <f t="shared" ref="AZ106" si="594">SUM(AR98:AZ98)</f>
        <v>74.592000000000013</v>
      </c>
      <c r="BA106" s="2">
        <f t="shared" ref="BA106" si="595">SUM(AS98:BA98)</f>
        <v>422.798</v>
      </c>
      <c r="BB106" s="2">
        <f t="shared" ref="BB106" si="596">SUM(AT98:BB98)</f>
        <v>631.22</v>
      </c>
      <c r="BC106" s="2">
        <f t="shared" ref="BC106" si="597">SUM(AU98:BC98)</f>
        <v>183.779</v>
      </c>
      <c r="BD106" s="2">
        <f t="shared" ref="BD106" si="598">SUM(AV98:BD98)</f>
        <v>197.31799999999998</v>
      </c>
      <c r="BE106" s="2">
        <f t="shared" ref="BE106" si="599">SUM(AW98:BE98)</f>
        <v>-200.5870000000001</v>
      </c>
      <c r="BF106" s="2">
        <f t="shared" ref="BF106" si="600">SUM(AX98:BF98)</f>
        <v>-137.47000000000003</v>
      </c>
      <c r="BG106" s="2">
        <f t="shared" ref="BG106" si="601">SUM(AY98:BG98)</f>
        <v>734.09999999999968</v>
      </c>
      <c r="BH106" s="2">
        <f t="shared" ref="BH106" si="602">SUM(AZ98:BH98)</f>
        <v>-22.800000000000409</v>
      </c>
      <c r="BI106" s="2">
        <f t="shared" ref="BI106" si="603">SUM(BA98:BI98)</f>
        <v>-378.50000000000023</v>
      </c>
      <c r="BJ106" s="2">
        <f t="shared" ref="BJ106" si="604">SUM(BB98:BJ98)</f>
        <v>-1158.8000000000002</v>
      </c>
      <c r="BK106" s="2">
        <f t="shared" ref="BK106" si="605">SUM(BC98:BK98)</f>
        <v>-1985.6000000000001</v>
      </c>
      <c r="BL106" s="2">
        <f t="shared" ref="BL106" si="606">SUM(BD98:BL98)</f>
        <v>-2133.1999999999998</v>
      </c>
      <c r="BM106" s="2">
        <f t="shared" ref="BM106" si="607">SUM(BE98:BM98)</f>
        <v>-1566.5</v>
      </c>
      <c r="BN106" s="2">
        <f t="shared" ref="BN106" si="608">SUM(BF98:BN98)</f>
        <v>-3714.6</v>
      </c>
      <c r="BO106" s="2">
        <f t="shared" ref="BO106:BP106" si="609">SUM(BG98:BO98)</f>
        <v>-5255.5</v>
      </c>
      <c r="BP106" s="2">
        <f t="shared" si="609"/>
        <v>-5412.2999999999993</v>
      </c>
      <c r="BQ106" s="2">
        <f>SUM(BI98:BQ98)</f>
        <v>-2232.7999999999993</v>
      </c>
      <c r="BR106" s="2">
        <f t="shared" ref="BR106:CG106" si="610">SUM(BJ98:BR98)</f>
        <v>-2117</v>
      </c>
      <c r="BS106" s="2">
        <f t="shared" si="610"/>
        <v>-1228.1999999999998</v>
      </c>
      <c r="BT106" s="2">
        <f t="shared" si="610"/>
        <v>-219</v>
      </c>
      <c r="BU106" s="2">
        <f t="shared" si="610"/>
        <v>2985</v>
      </c>
      <c r="BV106" s="2">
        <f t="shared" si="610"/>
        <v>3518</v>
      </c>
      <c r="BW106" s="2">
        <f t="shared" si="610"/>
        <v>3535</v>
      </c>
      <c r="BX106" s="2">
        <f t="shared" si="610"/>
        <v>8465</v>
      </c>
      <c r="BY106" s="2">
        <f t="shared" si="610"/>
        <v>16268</v>
      </c>
      <c r="BZ106" s="2">
        <f t="shared" si="610"/>
        <v>17197</v>
      </c>
      <c r="CA106" s="2">
        <f t="shared" si="610"/>
        <v>17346</v>
      </c>
      <c r="CB106" s="2">
        <f t="shared" si="610"/>
        <v>19369</v>
      </c>
      <c r="CC106" s="2">
        <f t="shared" si="610"/>
        <v>22114</v>
      </c>
      <c r="CD106" s="2">
        <f t="shared" si="610"/>
        <v>13405</v>
      </c>
      <c r="CE106" s="2">
        <f t="shared" si="610"/>
        <v>12339</v>
      </c>
      <c r="CF106" s="2">
        <f t="shared" si="610"/>
        <v>16656</v>
      </c>
      <c r="CG106" s="2">
        <f t="shared" si="610"/>
        <v>66899</v>
      </c>
    </row>
    <row r="107" spans="2:87" x14ac:dyDescent="0.25">
      <c r="B107" t="s">
        <v>264</v>
      </c>
      <c r="AZ107" s="2">
        <f t="shared" ref="AZ107:BG107" si="611">SUM(AQ98:AZ98)</f>
        <v>48.729000000000013</v>
      </c>
      <c r="BA107" s="2">
        <f t="shared" si="611"/>
        <v>381.09199999999998</v>
      </c>
      <c r="BB107" s="2">
        <f t="shared" si="611"/>
        <v>609.39800000000002</v>
      </c>
      <c r="BC107" s="2">
        <f t="shared" si="611"/>
        <v>166.81999999999994</v>
      </c>
      <c r="BD107" s="2">
        <f t="shared" si="611"/>
        <v>271.07900000000006</v>
      </c>
      <c r="BE107" s="2">
        <f t="shared" si="611"/>
        <v>-320.58200000000011</v>
      </c>
      <c r="BF107" s="2">
        <f t="shared" si="611"/>
        <v>-170.68700000000001</v>
      </c>
      <c r="BG107" s="2">
        <f t="shared" si="611"/>
        <v>737.3299999999997</v>
      </c>
      <c r="BH107" s="2">
        <f>SUM(AY98:BH98)</f>
        <v>34.599999999999568</v>
      </c>
      <c r="BI107" s="2">
        <f t="shared" ref="BI107" si="612">SUM(AZ98:BI98)</f>
        <v>-204.60000000000025</v>
      </c>
      <c r="BJ107" s="2">
        <f t="shared" ref="BJ107" si="613">SUM(BA98:BJ98)</f>
        <v>-852.30000000000018</v>
      </c>
      <c r="BK107" s="2">
        <f t="shared" ref="BK107" si="614">SUM(BB98:BK98)</f>
        <v>-1799</v>
      </c>
      <c r="BL107" s="2">
        <f t="shared" ref="BL107" si="615">SUM(BC98:BL98)</f>
        <v>-2597.6000000000004</v>
      </c>
      <c r="BM107" s="2">
        <f t="shared" ref="BM107" si="616">SUM(BD98:BM98)</f>
        <v>-1479.1999999999998</v>
      </c>
      <c r="BN107" s="2">
        <f t="shared" ref="BN107" si="617">SUM(BE98:BN98)</f>
        <v>-4232.5</v>
      </c>
      <c r="BO107" s="2">
        <f t="shared" ref="BO107" si="618">SUM(BF98:BO98)</f>
        <v>-5225.6000000000004</v>
      </c>
      <c r="BP107" s="2">
        <f t="shared" ref="BP107:BQ107" si="619">SUM(BG98:BP98)</f>
        <v>-4537.5</v>
      </c>
      <c r="BQ107" s="2">
        <f t="shared" si="619"/>
        <v>-2932.2999999999993</v>
      </c>
      <c r="BR107" s="2">
        <f>SUM(BI98:BR98)</f>
        <v>-2298.7999999999993</v>
      </c>
      <c r="BS107" s="2">
        <f t="shared" ref="BS107:CG107" si="620">SUM(BJ98:BS98)</f>
        <v>-1702</v>
      </c>
      <c r="BT107" s="2">
        <f t="shared" si="620"/>
        <v>-859.19999999999982</v>
      </c>
      <c r="BU107" s="2">
        <f t="shared" si="620"/>
        <v>2373</v>
      </c>
      <c r="BV107" s="2">
        <f t="shared" si="620"/>
        <v>4172</v>
      </c>
      <c r="BW107" s="2">
        <f t="shared" si="620"/>
        <v>869</v>
      </c>
      <c r="BX107" s="2">
        <f t="shared" si="620"/>
        <v>6954</v>
      </c>
      <c r="BY107" s="2">
        <f t="shared" si="620"/>
        <v>16986</v>
      </c>
      <c r="BZ107" s="2">
        <f t="shared" si="620"/>
        <v>19677</v>
      </c>
      <c r="CA107" s="2">
        <f t="shared" si="620"/>
        <v>17280</v>
      </c>
      <c r="CB107" s="2">
        <f t="shared" si="620"/>
        <v>19784</v>
      </c>
      <c r="CC107" s="2">
        <f t="shared" si="620"/>
        <v>22483</v>
      </c>
      <c r="CD107" s="2">
        <f t="shared" si="620"/>
        <v>15997</v>
      </c>
      <c r="CE107" s="2">
        <f t="shared" si="620"/>
        <v>13526</v>
      </c>
      <c r="CF107" s="2">
        <f t="shared" si="620"/>
        <v>14007</v>
      </c>
      <c r="CG107" s="2">
        <f t="shared" si="620"/>
        <v>70318</v>
      </c>
    </row>
    <row r="108" spans="2:87" x14ac:dyDescent="0.25">
      <c r="BA108" s="2"/>
      <c r="BB108" s="2"/>
      <c r="BC108" s="2"/>
      <c r="BD108" s="2"/>
      <c r="BE108" s="2"/>
    </row>
    <row r="109" spans="2:87" x14ac:dyDescent="0.25">
      <c r="BA109" s="2"/>
      <c r="BB109" s="2"/>
      <c r="BC109" s="2"/>
      <c r="BD109" s="2"/>
      <c r="BE109" s="2"/>
    </row>
    <row r="110" spans="2:87" ht="13" x14ac:dyDescent="0.3">
      <c r="B110" t="s">
        <v>218</v>
      </c>
      <c r="AX110" s="20">
        <v>1.4125000000000001</v>
      </c>
      <c r="AY110" s="1">
        <v>1.8875</v>
      </c>
      <c r="AZ110" s="1">
        <v>4.6500000000000004</v>
      </c>
      <c r="BA110" s="1">
        <v>11.0313</v>
      </c>
      <c r="BB110" s="1">
        <v>19.809999999999999</v>
      </c>
      <c r="BC110" s="1">
        <v>14.56</v>
      </c>
      <c r="BD110" s="1">
        <v>12.97</v>
      </c>
      <c r="BE110" s="1">
        <v>25.28</v>
      </c>
      <c r="BF110" s="18">
        <v>39.06</v>
      </c>
      <c r="BG110" s="20">
        <v>35.5</v>
      </c>
      <c r="BH110" s="20">
        <v>31</v>
      </c>
      <c r="BI110" s="20">
        <v>9.74</v>
      </c>
      <c r="BJ110" s="18">
        <v>13.47</v>
      </c>
      <c r="BK110" s="18">
        <v>12.35</v>
      </c>
      <c r="BL110" s="18">
        <v>13.31</v>
      </c>
      <c r="BM110" s="18">
        <v>13.96</v>
      </c>
      <c r="BN110" s="18">
        <v>7.25</v>
      </c>
      <c r="BO110" s="18">
        <v>2.64</v>
      </c>
      <c r="BP110">
        <v>10.56</v>
      </c>
      <c r="BQ110">
        <v>8.02</v>
      </c>
      <c r="BR110">
        <v>6.29</v>
      </c>
      <c r="BS110">
        <v>6.34</v>
      </c>
      <c r="BT110">
        <v>21.75</v>
      </c>
      <c r="BU110">
        <v>35.01</v>
      </c>
      <c r="BV110">
        <v>14.16</v>
      </c>
      <c r="BW110" s="3">
        <v>21.92</v>
      </c>
      <c r="BX110">
        <v>41.12</v>
      </c>
      <c r="BY110">
        <v>31.73</v>
      </c>
      <c r="BZ110">
        <v>53.78</v>
      </c>
      <c r="CA110">
        <v>75.180000000000007</v>
      </c>
      <c r="CB110">
        <v>93.15</v>
      </c>
      <c r="CC110">
        <v>49.98</v>
      </c>
      <c r="CD110" s="1">
        <v>85.34</v>
      </c>
      <c r="CE110" s="1">
        <v>90</v>
      </c>
      <c r="CF110" s="1">
        <v>116.23</v>
      </c>
      <c r="CG110" s="1">
        <v>830</v>
      </c>
    </row>
    <row r="112" spans="2:87" x14ac:dyDescent="0.25">
      <c r="B112" t="s">
        <v>143</v>
      </c>
      <c r="BI112" s="1">
        <f t="shared" ref="BI112:CD112" si="621">(BI110*BI47)/BI30</f>
        <v>2.2628852838933953</v>
      </c>
      <c r="BJ112" s="1">
        <f t="shared" si="621"/>
        <v>2.647371400841152</v>
      </c>
      <c r="BK112" s="1">
        <f t="shared" si="621"/>
        <v>1.8115576748410536</v>
      </c>
      <c r="BL112" s="1">
        <f t="shared" si="621"/>
        <v>1.9146762295081969</v>
      </c>
      <c r="BM112" s="1">
        <f t="shared" si="621"/>
        <v>1.9200295902883158</v>
      </c>
      <c r="BN112" s="1">
        <f t="shared" si="621"/>
        <v>0.98030502812939524</v>
      </c>
      <c r="BO112" s="1">
        <f t="shared" si="621"/>
        <v>0.34915254237288135</v>
      </c>
      <c r="BP112" s="1">
        <f t="shared" si="621"/>
        <v>1.7604397251717681</v>
      </c>
      <c r="BQ112" s="1">
        <f t="shared" si="621"/>
        <v>0.99347017212921473</v>
      </c>
      <c r="BR112" s="1">
        <f t="shared" si="621"/>
        <v>0.72111686390532548</v>
      </c>
      <c r="BS112" s="1">
        <f t="shared" si="621"/>
        <v>0.76304833616711187</v>
      </c>
      <c r="BT112" s="1">
        <f t="shared" si="621"/>
        <v>2.5338642124986221</v>
      </c>
      <c r="BU112" s="1">
        <f t="shared" si="621"/>
        <v>2.5640041569874064</v>
      </c>
      <c r="BV112" s="1">
        <f t="shared" si="621"/>
        <v>1.0231719367588934</v>
      </c>
      <c r="BW112" s="1">
        <f t="shared" si="621"/>
        <v>1.8315283490604084</v>
      </c>
      <c r="BX112" s="1">
        <f t="shared" si="621"/>
        <v>2.3350300167306366</v>
      </c>
      <c r="BY112" s="1">
        <f t="shared" si="621"/>
        <v>1.2831486295284789</v>
      </c>
      <c r="BZ112" s="1">
        <f t="shared" si="621"/>
        <v>2.6262727505767751</v>
      </c>
      <c r="CA112" s="1">
        <f t="shared" si="621"/>
        <v>3.9668103568929323</v>
      </c>
      <c r="CB112" s="1">
        <f t="shared" si="621"/>
        <v>3.8362804547915541</v>
      </c>
      <c r="CC112" s="1">
        <f t="shared" si="621"/>
        <v>1.8231861629494766</v>
      </c>
      <c r="CD112" s="1">
        <f t="shared" si="621"/>
        <v>6.0023564993565</v>
      </c>
      <c r="CE112" s="1">
        <f>(CE110*CE47)/CE30</f>
        <v>4.0070088805702682</v>
      </c>
      <c r="CF112" s="1">
        <f>(CF110*CF47)/CF30</f>
        <v>3.4982810744288084</v>
      </c>
      <c r="CG112" s="1">
        <f>(CG110*CG47)/CG30</f>
        <v>6.8241351765628711</v>
      </c>
    </row>
    <row r="113" spans="2:89" x14ac:dyDescent="0.25">
      <c r="B113" t="s">
        <v>245</v>
      </c>
      <c r="AW113" s="1" t="e">
        <f t="shared" ref="AW113:BU113" si="622">(AW110*AW47)/AW71</f>
        <v>#DIV/0!</v>
      </c>
      <c r="AX113" s="1" t="e">
        <f t="shared" si="622"/>
        <v>#DIV/0!</v>
      </c>
      <c r="AY113" s="1" t="e">
        <f t="shared" si="622"/>
        <v>#DIV/0!</v>
      </c>
      <c r="AZ113" s="1" t="e">
        <f t="shared" si="622"/>
        <v>#DIV/0!</v>
      </c>
      <c r="BA113" s="1" t="e">
        <f t="shared" si="622"/>
        <v>#DIV/0!</v>
      </c>
      <c r="BB113" s="1" t="e">
        <f t="shared" si="622"/>
        <v>#DIV/0!</v>
      </c>
      <c r="BC113" s="1">
        <f t="shared" si="622"/>
        <v>1.224821973550356</v>
      </c>
      <c r="BD113" s="1">
        <f t="shared" si="622"/>
        <v>0.93422142005563669</v>
      </c>
      <c r="BE113" s="1" t="e">
        <f t="shared" si="622"/>
        <v>#DIV/0!</v>
      </c>
      <c r="BF113" s="1" t="e">
        <f t="shared" si="622"/>
        <v>#DIV/0!</v>
      </c>
      <c r="BG113" s="1" t="e">
        <f t="shared" si="622"/>
        <v>#DIV/0!</v>
      </c>
      <c r="BH113" s="1">
        <f t="shared" si="622"/>
        <v>2.5739193810618373</v>
      </c>
      <c r="BI113" s="1">
        <f t="shared" si="622"/>
        <v>0.92021015926868366</v>
      </c>
      <c r="BJ113" s="1">
        <f t="shared" si="622"/>
        <v>1.6244218362282878</v>
      </c>
      <c r="BK113" s="1">
        <f t="shared" si="622"/>
        <v>1.4209054641305121</v>
      </c>
      <c r="BL113" s="1">
        <f t="shared" si="622"/>
        <v>1.5980194971780401</v>
      </c>
      <c r="BM113" s="1">
        <f t="shared" si="622"/>
        <v>1.045486056599876</v>
      </c>
      <c r="BN113" s="1">
        <f t="shared" si="622"/>
        <v>0.53827348199633174</v>
      </c>
      <c r="BO113" s="1">
        <f t="shared" si="622"/>
        <v>0.22552250359394008</v>
      </c>
      <c r="BP113" s="1">
        <f t="shared" si="622"/>
        <v>1.2185317769131001</v>
      </c>
      <c r="BQ113" s="1">
        <f t="shared" si="622"/>
        <v>0.85845700896495514</v>
      </c>
      <c r="BR113" s="1">
        <f t="shared" si="622"/>
        <v>0.64323741372310195</v>
      </c>
      <c r="BS113" s="1">
        <f t="shared" si="622"/>
        <v>0.7464583580848283</v>
      </c>
      <c r="BT113" s="1">
        <f t="shared" si="622"/>
        <v>2.297596442134719</v>
      </c>
      <c r="BU113" s="1">
        <f t="shared" si="622"/>
        <v>3.6063611349957005</v>
      </c>
      <c r="BV113" s="1">
        <f t="shared" ref="BV113" si="623">(BV110*BV47)/BV71</f>
        <v>1.2467790487658037</v>
      </c>
      <c r="BW113" s="1">
        <f t="shared" ref="BW113:CC113" si="624">(BW110*BW47)/BW71</f>
        <v>1.7565841584158417</v>
      </c>
      <c r="BX113" s="1">
        <f t="shared" si="624"/>
        <v>2.4345841670514594</v>
      </c>
      <c r="BY113" s="1">
        <f t="shared" si="624"/>
        <v>1.1723235329485329</v>
      </c>
      <c r="BZ113" s="1">
        <f t="shared" si="624"/>
        <v>1.6673142020180103</v>
      </c>
      <c r="CA113" s="1">
        <f t="shared" si="624"/>
        <v>2.1804436352446404</v>
      </c>
      <c r="CB113" s="1">
        <f t="shared" si="624"/>
        <v>2.4192326952404799</v>
      </c>
      <c r="CC113" s="1">
        <f t="shared" si="624"/>
        <v>1.1236411725810007</v>
      </c>
      <c r="CD113" s="1">
        <f t="shared" ref="CD113:CE113" si="625">(CD110*CD47)/CD71</f>
        <v>2.1141572982774255</v>
      </c>
      <c r="CE113" s="1">
        <f t="shared" si="625"/>
        <v>2.2295096496864684</v>
      </c>
      <c r="CF113" s="1">
        <f>(CF110*CF47)/CF71</f>
        <v>2.4140819717529771</v>
      </c>
      <c r="CG113" s="1">
        <f t="shared" ref="CG113" si="626">(CG110*CG47)/CG71</f>
        <v>9.4145883801278742</v>
      </c>
    </row>
    <row r="114" spans="2:89" x14ac:dyDescent="0.25">
      <c r="B114" t="s">
        <v>246</v>
      </c>
      <c r="AW114" s="1" t="e">
        <f t="shared" ref="AW114:BU114" si="627">(AW110*AW47)/(AW71-AW60)</f>
        <v>#DIV/0!</v>
      </c>
      <c r="AX114" s="1" t="e">
        <f t="shared" si="627"/>
        <v>#DIV/0!</v>
      </c>
      <c r="AY114" s="1" t="e">
        <f t="shared" si="627"/>
        <v>#DIV/0!</v>
      </c>
      <c r="AZ114" s="1" t="e">
        <f t="shared" si="627"/>
        <v>#DIV/0!</v>
      </c>
      <c r="BA114" s="1" t="e">
        <f t="shared" si="627"/>
        <v>#DIV/0!</v>
      </c>
      <c r="BB114" s="1" t="e">
        <f t="shared" si="627"/>
        <v>#DIV/0!</v>
      </c>
      <c r="BC114" s="1">
        <f t="shared" si="627"/>
        <v>1.2458807609647375</v>
      </c>
      <c r="BD114" s="1">
        <f>(BD110*BD47)/(BD71-BD60)</f>
        <v>0.93422142005563669</v>
      </c>
      <c r="BE114" s="1" t="e">
        <f t="shared" si="627"/>
        <v>#DIV/0!</v>
      </c>
      <c r="BF114" s="1" t="e">
        <f t="shared" si="627"/>
        <v>#DIV/0!</v>
      </c>
      <c r="BG114" s="1" t="e">
        <f t="shared" si="627"/>
        <v>#DIV/0!</v>
      </c>
      <c r="BH114" s="1">
        <f t="shared" si="627"/>
        <v>2.6475405109278585</v>
      </c>
      <c r="BI114" s="1">
        <f t="shared" si="627"/>
        <v>0.96842931764083595</v>
      </c>
      <c r="BJ114" s="1">
        <f t="shared" si="627"/>
        <v>1.7235040754860045</v>
      </c>
      <c r="BK114" s="1">
        <f t="shared" si="627"/>
        <v>1.4944180122129396</v>
      </c>
      <c r="BL114" s="1">
        <f t="shared" si="627"/>
        <v>1.67718901453958</v>
      </c>
      <c r="BM114" s="1">
        <f t="shared" si="627"/>
        <v>1.1513189262966335</v>
      </c>
      <c r="BN114" s="1">
        <f t="shared" si="627"/>
        <v>0.59048766281901943</v>
      </c>
      <c r="BO114" s="1">
        <f t="shared" si="627"/>
        <v>0.23498098859315592</v>
      </c>
      <c r="BP114" s="1">
        <f t="shared" si="627"/>
        <v>1.2820912812736924</v>
      </c>
      <c r="BQ114" s="1">
        <f t="shared" si="627"/>
        <v>0.88766606973559459</v>
      </c>
      <c r="BR114" s="1">
        <f t="shared" si="627"/>
        <v>0.67145316804407718</v>
      </c>
      <c r="BS114" s="1">
        <f t="shared" si="627"/>
        <v>0.78087745463584379</v>
      </c>
      <c r="BT114" s="1">
        <f t="shared" si="627"/>
        <v>2.3897869022869025</v>
      </c>
      <c r="BU114" s="1">
        <f t="shared" si="627"/>
        <v>3.7575685361046403</v>
      </c>
      <c r="BV114" s="1">
        <f t="shared" ref="BV114" si="628">(BV110*BV47)/(BV71-BV60)</f>
        <v>1.2903808707843289</v>
      </c>
      <c r="BW114" s="1">
        <f t="shared" ref="BW114:CC114" si="629">(BW110*BW47)/(BW71-BW60)</f>
        <v>1.837307443365696</v>
      </c>
      <c r="BX114" s="1">
        <f>(BX110*BX47)/(BX71-BX60)</f>
        <v>2.6545356903110315</v>
      </c>
      <c r="BY114" s="1">
        <f t="shared" si="629"/>
        <v>1.2299690900488882</v>
      </c>
      <c r="BZ114" s="1">
        <f t="shared" si="629"/>
        <v>1.7413750708215299</v>
      </c>
      <c r="CA114" s="1">
        <f t="shared" si="629"/>
        <v>2.2714265106587597</v>
      </c>
      <c r="CB114" s="1">
        <f t="shared" si="629"/>
        <v>2.5093056473699122</v>
      </c>
      <c r="CC114" s="1">
        <f t="shared" si="629"/>
        <v>1.1620365535248041</v>
      </c>
      <c r="CD114" s="1">
        <f t="shared" ref="CD114:CE114" si="630">(CD110*CD47)/(CD71-CD60)</f>
        <v>2.191340976366114</v>
      </c>
      <c r="CE114" s="1">
        <f t="shared" si="630"/>
        <v>2.3096522437736717</v>
      </c>
      <c r="CF114" s="1">
        <f>(CF110*CF47)/(CF71-CF60)</f>
        <v>2.4877049960047182</v>
      </c>
      <c r="CG114" s="1">
        <f t="shared" ref="CG114" si="631">(CG110*CG47)/(CG71-CG60)</f>
        <v>9.568773271712697</v>
      </c>
    </row>
    <row r="115" spans="2:89" x14ac:dyDescent="0.25">
      <c r="BI115" s="2"/>
    </row>
    <row r="116" spans="2:89" x14ac:dyDescent="0.25">
      <c r="B116" t="s">
        <v>219</v>
      </c>
      <c r="C116" s="6">
        <v>37000</v>
      </c>
      <c r="D116" s="6">
        <v>37000</v>
      </c>
      <c r="E116" s="6">
        <v>37000</v>
      </c>
      <c r="F116" s="6">
        <v>37000</v>
      </c>
      <c r="G116" s="6">
        <v>37000</v>
      </c>
      <c r="H116" s="6">
        <v>40000</v>
      </c>
      <c r="I116" s="6">
        <v>37000</v>
      </c>
      <c r="J116" s="6">
        <v>37000</v>
      </c>
      <c r="K116" s="6">
        <v>37000</v>
      </c>
      <c r="L116" s="6">
        <v>40000</v>
      </c>
      <c r="M116" s="6">
        <v>40000</v>
      </c>
      <c r="N116" s="6">
        <v>40000</v>
      </c>
      <c r="O116" s="6">
        <v>40000</v>
      </c>
      <c r="P116" s="6">
        <v>43000</v>
      </c>
      <c r="Q116" s="6">
        <v>43000</v>
      </c>
      <c r="R116" s="6">
        <v>44000</v>
      </c>
      <c r="S116" s="6">
        <v>45000</v>
      </c>
      <c r="T116" s="6">
        <v>48000</v>
      </c>
      <c r="U116" s="6">
        <v>49000</v>
      </c>
      <c r="X116" s="6">
        <v>43000</v>
      </c>
      <c r="AB116" s="6">
        <v>48000</v>
      </c>
      <c r="AW116" s="2">
        <v>3606</v>
      </c>
      <c r="AX116" s="2">
        <v>4095</v>
      </c>
      <c r="AY116" s="2"/>
      <c r="AZ116" s="2"/>
      <c r="BA116" s="2">
        <v>5450</v>
      </c>
      <c r="BD116" s="2">
        <v>12200</v>
      </c>
      <c r="BE116" s="2">
        <v>11400</v>
      </c>
      <c r="BI116" s="2">
        <v>18700</v>
      </c>
      <c r="BJ116" s="2"/>
      <c r="BK116" s="2">
        <v>17900</v>
      </c>
      <c r="BL116" s="2">
        <v>18800</v>
      </c>
      <c r="BM116" s="2">
        <v>23500</v>
      </c>
      <c r="BN116" s="2">
        <v>23500</v>
      </c>
      <c r="BO116" s="2">
        <v>22800</v>
      </c>
      <c r="BP116" s="2">
        <v>18200</v>
      </c>
      <c r="BQ116" s="2">
        <v>25900</v>
      </c>
      <c r="BR116" s="2">
        <v>26100</v>
      </c>
      <c r="BS116" s="2">
        <v>27400</v>
      </c>
      <c r="CA116" s="2">
        <v>40000</v>
      </c>
      <c r="CB116" s="2">
        <v>43000</v>
      </c>
      <c r="CC116" s="2">
        <v>48000</v>
      </c>
      <c r="CD116" s="2">
        <f>+X116</f>
        <v>43000</v>
      </c>
      <c r="CE116" s="2">
        <f>+AB116</f>
        <v>48000</v>
      </c>
    </row>
    <row r="118" spans="2:89" ht="13" x14ac:dyDescent="0.3">
      <c r="B118" t="s">
        <v>229</v>
      </c>
      <c r="E118" s="22">
        <f t="shared" ref="E118:F118" si="632">E30/E58</f>
        <v>0.31898254524932479</v>
      </c>
      <c r="F118" s="22">
        <f t="shared" si="632"/>
        <v>0.2226759273393375</v>
      </c>
      <c r="H118" s="22"/>
      <c r="I118" s="22">
        <f t="shared" ref="I118:L118" si="633">I30/I58</f>
        <v>0.17525211229217771</v>
      </c>
      <c r="J118" s="22">
        <f t="shared" si="633"/>
        <v>0.16180389246804061</v>
      </c>
      <c r="K118" s="22">
        <f t="shared" si="633"/>
        <v>0.18077856454240218</v>
      </c>
      <c r="L118" s="22">
        <f t="shared" si="633"/>
        <v>0.19515967903064677</v>
      </c>
      <c r="M118" s="22">
        <f t="shared" ref="M118:P118" si="634">M30/M58</f>
        <v>0.1791243910763598</v>
      </c>
      <c r="N118" s="22">
        <f t="shared" si="634"/>
        <v>0.19580507410198442</v>
      </c>
      <c r="O118" s="22">
        <f t="shared" si="634"/>
        <v>0.23043248781396505</v>
      </c>
      <c r="P118" s="22">
        <f t="shared" si="634"/>
        <v>0.24911932074789991</v>
      </c>
      <c r="Q118" s="22">
        <f t="shared" ref="Q118:T118" si="635">Q30/Q58</f>
        <v>0.21866021903000996</v>
      </c>
      <c r="R118" s="22">
        <f t="shared" si="635"/>
        <v>0.21525531503137874</v>
      </c>
      <c r="S118" s="22">
        <f t="shared" si="635"/>
        <v>0.2357016228010364</v>
      </c>
      <c r="T118" s="22">
        <f t="shared" si="635"/>
        <v>0.17232613037951697</v>
      </c>
      <c r="U118" s="22">
        <f t="shared" ref="U118:AB118" si="636">U30/U58</f>
        <v>0.10385153171475785</v>
      </c>
      <c r="V118" s="22">
        <f t="shared" si="636"/>
        <v>9.4486375847511836E-2</v>
      </c>
      <c r="W118" s="22">
        <f t="shared" si="636"/>
        <v>9.6883311384821966E-2</v>
      </c>
      <c r="X118" s="22">
        <f t="shared" si="636"/>
        <v>0.10572663994937777</v>
      </c>
      <c r="Y118" s="22">
        <f t="shared" si="636"/>
        <v>0.12543461528253311</v>
      </c>
      <c r="Z118" s="22">
        <f t="shared" si="636"/>
        <v>0.15494718918775108</v>
      </c>
      <c r="AA118" s="22">
        <f t="shared" si="636"/>
        <v>0.17958656330749354</v>
      </c>
      <c r="AB118" s="22">
        <f t="shared" si="636"/>
        <v>0.19497345845178496</v>
      </c>
      <c r="AC118" s="22">
        <f t="shared" ref="AC118" si="637">AC30/AC58</f>
        <v>0.2099768540842897</v>
      </c>
      <c r="AD118" s="22">
        <f>AD30/AD58</f>
        <v>0.18935759969902183</v>
      </c>
      <c r="AE118" s="22">
        <f t="shared" ref="AE118:AI118" si="638">AE30/AE58</f>
        <v>0.20773680566412794</v>
      </c>
      <c r="AF118" s="22">
        <f t="shared" si="638"/>
        <v>0.24286327538098304</v>
      </c>
      <c r="AG118" s="22">
        <f t="shared" si="638"/>
        <v>0.28143243187490974</v>
      </c>
      <c r="AH118" s="22">
        <f t="shared" si="638"/>
        <v>0.46413009648303766</v>
      </c>
      <c r="AI118" s="22">
        <f t="shared" si="638"/>
        <v>0.73469677099209585</v>
      </c>
      <c r="AW118" s="22">
        <f t="shared" ref="AW118:BU118" si="639">AW30/AW58</f>
        <v>0.86548772286944975</v>
      </c>
      <c r="AX118" s="22">
        <f t="shared" si="639"/>
        <v>1.0924813922548633</v>
      </c>
      <c r="AY118" s="22" t="e">
        <f t="shared" si="639"/>
        <v>#DIV/0!</v>
      </c>
      <c r="AZ118" s="22">
        <f t="shared" si="639"/>
        <v>1.8919597989949748</v>
      </c>
      <c r="BA118" s="22">
        <f t="shared" si="639"/>
        <v>2.4545591559909568</v>
      </c>
      <c r="BB118" s="22">
        <f t="shared" si="639"/>
        <v>2.1309901847575059</v>
      </c>
      <c r="BC118" s="22">
        <f t="shared" si="639"/>
        <v>1.349211624386101</v>
      </c>
      <c r="BD118" s="22">
        <f t="shared" si="639"/>
        <v>1.2731783282630742</v>
      </c>
      <c r="BE118" s="22">
        <f t="shared" si="639"/>
        <v>0.99376402270027708</v>
      </c>
      <c r="BF118" s="22" t="e">
        <f t="shared" si="639"/>
        <v>#DIV/0!</v>
      </c>
      <c r="BG118" s="22" t="e">
        <f t="shared" si="639"/>
        <v>#DIV/0!</v>
      </c>
      <c r="BH118" s="22">
        <f t="shared" si="639"/>
        <v>0.83669564847686062</v>
      </c>
      <c r="BI118" s="22">
        <f t="shared" si="639"/>
        <v>0.55090967124162149</v>
      </c>
      <c r="BJ118" s="22">
        <f t="shared" si="639"/>
        <v>0.68528987917082362</v>
      </c>
      <c r="BK118" s="22">
        <f t="shared" si="639"/>
        <v>0.93449614870456432</v>
      </c>
      <c r="BL118" s="22">
        <f t="shared" si="639"/>
        <v>1.0418445772843723</v>
      </c>
      <c r="BM118" s="22">
        <f t="shared" si="639"/>
        <v>0.89538043478260865</v>
      </c>
      <c r="BN118" s="22">
        <f t="shared" si="639"/>
        <v>0.68703949752385551</v>
      </c>
      <c r="BO118" s="22">
        <f t="shared" si="639"/>
        <v>0.6629213483146067</v>
      </c>
      <c r="BP118" s="22">
        <f t="shared" si="639"/>
        <v>0.67752856538298778</v>
      </c>
      <c r="BQ118" s="22">
        <f t="shared" si="639"/>
        <v>1.2849568247235268</v>
      </c>
      <c r="BR118" s="22">
        <f t="shared" si="639"/>
        <v>1.1632031767041695</v>
      </c>
      <c r="BS118" s="22">
        <f t="shared" si="639"/>
        <v>1.1592284950021119</v>
      </c>
      <c r="BT118" s="22">
        <f t="shared" si="639"/>
        <v>1.1897456071334906</v>
      </c>
      <c r="BU118" s="24">
        <f t="shared" si="639"/>
        <v>1.8841280810873071</v>
      </c>
      <c r="BV118" s="22">
        <f t="shared" ref="BV118:CG118" si="640">BV30/BV58</f>
        <v>1.5342050407428462</v>
      </c>
      <c r="BW118" s="22">
        <f t="shared" si="640"/>
        <v>0.84427345771483042</v>
      </c>
      <c r="BX118" s="22">
        <f t="shared" si="640"/>
        <v>1.0458545622973598</v>
      </c>
      <c r="BY118" s="22">
        <f t="shared" si="640"/>
        <v>1.2838374450827983</v>
      </c>
      <c r="BZ118" s="22">
        <f t="shared" si="640"/>
        <v>0.82882436260623227</v>
      </c>
      <c r="CA118" s="22">
        <f t="shared" si="640"/>
        <v>0.69076085205117466</v>
      </c>
      <c r="CB118" s="22">
        <f t="shared" si="640"/>
        <v>0.83416132237376928</v>
      </c>
      <c r="CC118" s="22">
        <f t="shared" si="640"/>
        <v>0.7978935899763937</v>
      </c>
      <c r="CD118" s="22">
        <f t="shared" si="640"/>
        <v>0.40972368698586797</v>
      </c>
      <c r="CE118" s="22">
        <f t="shared" si="640"/>
        <v>0.63173916324938995</v>
      </c>
      <c r="CF118" s="22">
        <f t="shared" si="640"/>
        <v>0.80227516634470919</v>
      </c>
      <c r="CG118" s="22">
        <f t="shared" si="640"/>
        <v>2.4626767802077056</v>
      </c>
    </row>
    <row r="119" spans="2:89" x14ac:dyDescent="0.25">
      <c r="B119" t="s">
        <v>278</v>
      </c>
      <c r="E119" s="22"/>
      <c r="F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>
        <f t="shared" ref="CA119:CB119" si="641">+CA30/CA116</f>
        <v>0.53587499999999999</v>
      </c>
      <c r="CB119" s="22">
        <f t="shared" si="641"/>
        <v>0.64430232558139533</v>
      </c>
      <c r="CC119" s="22">
        <f>+CC30/CC116</f>
        <v>0.64079166666666665</v>
      </c>
      <c r="CD119" s="22">
        <f>+CD30/CD116</f>
        <v>0.36139534883720931</v>
      </c>
      <c r="CE119" s="22">
        <f>+CE30/CE116</f>
        <v>0.52314583333333331</v>
      </c>
      <c r="CF119" s="22"/>
      <c r="CG119" s="22"/>
    </row>
    <row r="121" spans="2:89" ht="13" x14ac:dyDescent="0.3">
      <c r="B121" t="s">
        <v>231</v>
      </c>
      <c r="V121" s="7">
        <v>0.25</v>
      </c>
      <c r="BI121" s="18" t="s">
        <v>144</v>
      </c>
      <c r="BK121" s="20">
        <f>CORREL(BI110:CE110,BI30:CE30)</f>
        <v>0.75201470810792281</v>
      </c>
      <c r="CB121" s="21">
        <v>0.15</v>
      </c>
      <c r="CC121" s="21">
        <v>0.15</v>
      </c>
      <c r="CD121" s="21">
        <v>0.25</v>
      </c>
    </row>
    <row r="122" spans="2:89" ht="13" x14ac:dyDescent="0.3">
      <c r="B122" t="s">
        <v>232</v>
      </c>
      <c r="V122" s="7">
        <v>0.2</v>
      </c>
      <c r="BI122" s="18" t="s">
        <v>145</v>
      </c>
      <c r="BK122" s="20">
        <f>CORREL(BK110:CE110,BK98:CE98)</f>
        <v>1.4198816557128301E-2</v>
      </c>
      <c r="CB122" s="21">
        <v>0.25</v>
      </c>
      <c r="CC122" s="21">
        <v>0.25</v>
      </c>
      <c r="CD122" s="21">
        <v>0.25</v>
      </c>
      <c r="CK122" s="22">
        <f>AVERAGE(BH118:CF118)</f>
        <v>0.934276664198331</v>
      </c>
    </row>
    <row r="123" spans="2:89" x14ac:dyDescent="0.25">
      <c r="B123" t="s">
        <v>233</v>
      </c>
      <c r="V123" s="7">
        <v>0.2</v>
      </c>
      <c r="CB123" s="21">
        <v>0.2</v>
      </c>
      <c r="CC123" s="21">
        <v>0.2</v>
      </c>
      <c r="CD123" s="21">
        <v>0.15</v>
      </c>
      <c r="CK123" s="22">
        <f>STDEV(BH118:CF118)</f>
        <v>0.32986923706529625</v>
      </c>
    </row>
    <row r="124" spans="2:89" x14ac:dyDescent="0.25">
      <c r="B124" t="s">
        <v>234</v>
      </c>
      <c r="V124" s="7">
        <v>0.2</v>
      </c>
      <c r="CB124" s="21">
        <v>0.2</v>
      </c>
      <c r="CC124" s="21">
        <v>0.2</v>
      </c>
      <c r="CD124" s="21">
        <v>0.15</v>
      </c>
      <c r="CK124" s="22">
        <f>MAX(BH118:CG118)</f>
        <v>2.4626767802077056</v>
      </c>
    </row>
    <row r="125" spans="2:89" x14ac:dyDescent="0.25">
      <c r="B125" t="s">
        <v>235</v>
      </c>
      <c r="V125" s="7">
        <v>0.15</v>
      </c>
      <c r="CB125" s="21">
        <v>0.15</v>
      </c>
      <c r="CC125" s="21">
        <v>0.15</v>
      </c>
      <c r="CD125" s="21">
        <v>0.15</v>
      </c>
      <c r="CK125" s="22">
        <f>MIN(BH118:CG118)</f>
        <v>0.40972368698586797</v>
      </c>
    </row>
    <row r="127" spans="2:89" x14ac:dyDescent="0.25">
      <c r="B127" t="s">
        <v>240</v>
      </c>
      <c r="CC127" s="2">
        <v>13143</v>
      </c>
      <c r="CD127" s="2">
        <v>12926</v>
      </c>
    </row>
    <row r="128" spans="2:89" x14ac:dyDescent="0.25">
      <c r="B128" t="s">
        <v>204</v>
      </c>
      <c r="CC128" s="2">
        <v>12045</v>
      </c>
      <c r="CD128" s="2">
        <v>11283</v>
      </c>
    </row>
    <row r="129" spans="2:82" x14ac:dyDescent="0.25">
      <c r="B129" t="s">
        <v>241</v>
      </c>
      <c r="CC129" s="2">
        <v>7113</v>
      </c>
      <c r="CD129" s="2">
        <v>7353</v>
      </c>
    </row>
    <row r="130" spans="2:82" x14ac:dyDescent="0.25">
      <c r="B130" t="s">
        <v>242</v>
      </c>
      <c r="CC130" s="2">
        <v>5155</v>
      </c>
      <c r="CD130" s="2">
        <v>5196</v>
      </c>
    </row>
    <row r="131" spans="2:82" x14ac:dyDescent="0.25">
      <c r="B131" t="s">
        <v>243</v>
      </c>
      <c r="CC131" s="2">
        <v>994</v>
      </c>
      <c r="CD131" s="2">
        <v>1124</v>
      </c>
    </row>
    <row r="132" spans="2:82" x14ac:dyDescent="0.25">
      <c r="B132" t="s">
        <v>244</v>
      </c>
      <c r="CC132" s="2">
        <v>440</v>
      </c>
      <c r="CD132" s="2">
        <v>395</v>
      </c>
    </row>
    <row r="133" spans="2:82" x14ac:dyDescent="0.25">
      <c r="B133" t="s">
        <v>44</v>
      </c>
      <c r="CC133" s="2">
        <v>337</v>
      </c>
      <c r="CD133" s="2">
        <v>347</v>
      </c>
    </row>
  </sheetData>
  <phoneticPr fontId="4" type="noConversion"/>
  <hyperlinks>
    <hyperlink ref="A1" location="Main!A1" display="Main" xr:uid="{8500311A-A2A0-4708-A1FC-B4D34FF7D086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2024-09-19T15:33:44Z</dcterms:created>
  <dcterms:modified xsi:type="dcterms:W3CDTF">2026-08-18T01:56:35Z</dcterms:modified>
</cp:coreProperties>
</file>