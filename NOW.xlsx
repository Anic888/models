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574C674D-AF1D-4CD3-A9E8-0DF9FC84AF47}" xr6:coauthVersionLast="47" xr6:coauthVersionMax="47" xr10:uidLastSave="{00000000-0000-0000-0000-000000000000}"/>
  <bookViews>
    <workbookView xWindow="10810" yWindow="4180" windowWidth="22360" windowHeight="13710" activeTab="1" xr2:uid="{04F796B3-9D76-4BC0-BCDC-4708D1ACB929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D14" i="2" l="1"/>
  <c r="AC14" i="2"/>
  <c r="AD15" i="2"/>
  <c r="AC15" i="2"/>
  <c r="AC30" i="2" s="1"/>
  <c r="Z30" i="2"/>
  <c r="Y30" i="2"/>
  <c r="X30" i="2"/>
  <c r="W30" i="2"/>
  <c r="V30" i="2"/>
  <c r="U30" i="2"/>
  <c r="AD30" i="2"/>
  <c r="AA30" i="2"/>
  <c r="AD17" i="2"/>
  <c r="AC17" i="2"/>
  <c r="AB17" i="2"/>
  <c r="AD16" i="2"/>
  <c r="AC16" i="2"/>
  <c r="AB16" i="2"/>
  <c r="AD18" i="2"/>
  <c r="AD19" i="2" s="1"/>
  <c r="AD20" i="2" s="1"/>
  <c r="AC18" i="2"/>
  <c r="AB18" i="2"/>
  <c r="AB21" i="2"/>
  <c r="AC21" i="2" s="1"/>
  <c r="AD21" i="2" s="1"/>
  <c r="AB26" i="2"/>
  <c r="AC26" i="2" s="1"/>
  <c r="AD26" i="2" s="1"/>
  <c r="Z29" i="2"/>
  <c r="AA29" i="2"/>
  <c r="AB8" i="2"/>
  <c r="AB29" i="2" s="1"/>
  <c r="AD12" i="2"/>
  <c r="AC12" i="2"/>
  <c r="AC11" i="2" s="1"/>
  <c r="AC13" i="2" s="1"/>
  <c r="AB12" i="2"/>
  <c r="P26" i="2"/>
  <c r="Q26" i="2"/>
  <c r="Q19" i="2"/>
  <c r="Q15" i="2"/>
  <c r="O26" i="2"/>
  <c r="R26" i="2"/>
  <c r="R19" i="2"/>
  <c r="R61" i="2"/>
  <c r="X61" i="2"/>
  <c r="Y61" i="2" s="1"/>
  <c r="Z61" i="2" s="1"/>
  <c r="S26" i="2"/>
  <c r="S19" i="2"/>
  <c r="X26" i="2"/>
  <c r="Z28" i="2"/>
  <c r="T26" i="2"/>
  <c r="U26" i="2"/>
  <c r="Y26" i="2"/>
  <c r="AC19" i="2"/>
  <c r="AB19" i="2"/>
  <c r="AA19" i="2"/>
  <c r="Z19" i="2"/>
  <c r="Y19" i="2"/>
  <c r="X19" i="2"/>
  <c r="W19" i="2"/>
  <c r="V19" i="2"/>
  <c r="U19" i="2"/>
  <c r="AA13" i="2"/>
  <c r="AA15" i="2" s="1"/>
  <c r="AA20" i="2" s="1"/>
  <c r="AA22" i="2" s="1"/>
  <c r="AA24" i="2" s="1"/>
  <c r="AA25" i="2" s="1"/>
  <c r="Z13" i="2"/>
  <c r="Z15" i="2" s="1"/>
  <c r="Y13" i="2"/>
  <c r="Y15" i="2" s="1"/>
  <c r="X13" i="2"/>
  <c r="X28" i="2" s="1"/>
  <c r="W13" i="2"/>
  <c r="AA28" i="2" s="1"/>
  <c r="V13" i="2"/>
  <c r="V15" i="2" s="1"/>
  <c r="U13" i="2"/>
  <c r="Y28" i="2" s="1"/>
  <c r="L5" i="1"/>
  <c r="T71" i="2"/>
  <c r="T65" i="2"/>
  <c r="T64" i="2"/>
  <c r="T66" i="2" s="1"/>
  <c r="T60" i="2"/>
  <c r="T61" i="2" s="1"/>
  <c r="U61" i="2" s="1"/>
  <c r="V61" i="2" s="1"/>
  <c r="T46" i="2"/>
  <c r="T45" i="2"/>
  <c r="T50" i="2" s="1"/>
  <c r="T34" i="2"/>
  <c r="T32" i="2"/>
  <c r="T38" i="2"/>
  <c r="P21" i="2"/>
  <c r="T21" i="2"/>
  <c r="P19" i="2"/>
  <c r="T19" i="2"/>
  <c r="S13" i="2"/>
  <c r="R13" i="2"/>
  <c r="Q13" i="2"/>
  <c r="P13" i="2"/>
  <c r="P15" i="2" s="1"/>
  <c r="O13" i="2"/>
  <c r="N13" i="2"/>
  <c r="M13" i="2"/>
  <c r="L13" i="2"/>
  <c r="T13" i="2"/>
  <c r="T28" i="2" s="1"/>
  <c r="K11" i="2"/>
  <c r="K13" i="2" s="1"/>
  <c r="G11" i="2"/>
  <c r="G13" i="2" s="1"/>
  <c r="G15" i="2" s="1"/>
  <c r="K71" i="2"/>
  <c r="K65" i="2"/>
  <c r="K66" i="2" s="1"/>
  <c r="K60" i="2"/>
  <c r="K61" i="2" s="1"/>
  <c r="K47" i="2"/>
  <c r="K46" i="2"/>
  <c r="K45" i="2"/>
  <c r="K38" i="2"/>
  <c r="K32" i="2"/>
  <c r="K34" i="2"/>
  <c r="G21" i="2"/>
  <c r="G19" i="2"/>
  <c r="K21" i="2"/>
  <c r="K19" i="2"/>
  <c r="K14" i="2"/>
  <c r="L4" i="1"/>
  <c r="L7" i="1" s="1"/>
  <c r="AB15" i="2" l="1"/>
  <c r="AB30" i="2" s="1"/>
  <c r="AC20" i="2"/>
  <c r="AC22" i="2" s="1"/>
  <c r="AC23" i="2" s="1"/>
  <c r="AC24" i="2" s="1"/>
  <c r="AC25" i="2" s="1"/>
  <c r="AC28" i="2"/>
  <c r="W28" i="2"/>
  <c r="AB28" i="2"/>
  <c r="Y20" i="2"/>
  <c r="Y22" i="2" s="1"/>
  <c r="Y24" i="2" s="1"/>
  <c r="Y25" i="2" s="1"/>
  <c r="W15" i="2"/>
  <c r="X15" i="2"/>
  <c r="T41" i="2"/>
  <c r="U15" i="2"/>
  <c r="T73" i="2"/>
  <c r="AD22" i="2"/>
  <c r="AK12" i="2"/>
  <c r="U20" i="2"/>
  <c r="U22" i="2" s="1"/>
  <c r="U24" i="2" s="1"/>
  <c r="U25" i="2" s="1"/>
  <c r="V20" i="2"/>
  <c r="V22" i="2" s="1"/>
  <c r="V24" i="2" s="1"/>
  <c r="V25" i="2" s="1"/>
  <c r="Q20" i="2"/>
  <c r="Q22" i="2" s="1"/>
  <c r="Q24" i="2" s="1"/>
  <c r="Q25" i="2" s="1"/>
  <c r="AD11" i="2"/>
  <c r="AK11" i="2" s="1"/>
  <c r="AK13" i="2" s="1"/>
  <c r="S15" i="2"/>
  <c r="S20" i="2" s="1"/>
  <c r="S22" i="2" s="1"/>
  <c r="S24" i="2" s="1"/>
  <c r="S25" i="2" s="1"/>
  <c r="U28" i="2"/>
  <c r="V28" i="2"/>
  <c r="R15" i="2"/>
  <c r="R20" i="2" s="1"/>
  <c r="R22" i="2" s="1"/>
  <c r="R24" i="2" s="1"/>
  <c r="R25" i="2" s="1"/>
  <c r="AD23" i="2"/>
  <c r="AD24" i="2" s="1"/>
  <c r="AD25" i="2" s="1"/>
  <c r="AD13" i="2"/>
  <c r="AD28" i="2" s="1"/>
  <c r="X20" i="2"/>
  <c r="X22" i="2" s="1"/>
  <c r="X24" i="2" s="1"/>
  <c r="X25" i="2" s="1"/>
  <c r="Z20" i="2"/>
  <c r="Z22" i="2" s="1"/>
  <c r="Z24" i="2" s="1"/>
  <c r="Z25" i="2" s="1"/>
  <c r="W20" i="2"/>
  <c r="W22" i="2" s="1"/>
  <c r="W24" i="2" s="1"/>
  <c r="W25" i="2" s="1"/>
  <c r="T15" i="2"/>
  <c r="T20" i="2" s="1"/>
  <c r="T22" i="2" s="1"/>
  <c r="T24" i="2" s="1"/>
  <c r="P20" i="2"/>
  <c r="P22" i="2" s="1"/>
  <c r="P24" i="2" s="1"/>
  <c r="P25" i="2" s="1"/>
  <c r="K15" i="2"/>
  <c r="K20" i="2" s="1"/>
  <c r="K22" i="2" s="1"/>
  <c r="K24" i="2" s="1"/>
  <c r="K25" i="2" s="1"/>
  <c r="K28" i="2"/>
  <c r="K73" i="2"/>
  <c r="K41" i="2"/>
  <c r="K50" i="2"/>
  <c r="G20" i="2"/>
  <c r="G22" i="2" s="1"/>
  <c r="G24" i="2" s="1"/>
  <c r="G25" i="2" s="1"/>
  <c r="AB20" i="2" l="1"/>
  <c r="AB22" i="2" s="1"/>
  <c r="AB23" i="2" s="1"/>
  <c r="AB24" i="2" s="1"/>
  <c r="AB25" i="2" s="1"/>
  <c r="AB14" i="2"/>
  <c r="T25" i="2"/>
  <c r="T53" i="2"/>
  <c r="K5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tc={87B9C53B-7C12-4514-9D95-493861D69A0F}</author>
    <author>tc={CE3BDADF-052A-4063-8391-B0830DD4EE97}</author>
    <author>tc={1803110A-58D4-4832-B99A-8C6E6C0601B6}</author>
    <author>tc={243DFFE1-D1A3-4050-B2D9-E25F40D3AB59}</author>
    <author>tc={CCBDB0C0-0734-4B0F-8DC7-399D5D9B5901}</author>
    <author>tc={4A956656-68D2-46BC-BD2B-C17E5175B1B7}</author>
    <author>tc={69B108FD-0772-4FB4-8B61-7028684C3F30}</author>
    <author>tc={E7223F31-499E-44A2-A55B-DCF996EB3E78}</author>
  </authors>
  <commentList>
    <comment ref="L11" authorId="0" shapeId="0" xr:uid="{87B9C53B-7C12-4514-9D95-493861D69A0F}">
      <text>
        <t>[Threaded comment]
Your version of Excel allows you to read this threaded comment; however, any edits to it will get removed if the file is opened in a newer version of Excel. Learn more: https://go.microsoft.com/fwlink/?linkid=870924
Comment:
    Q122 guidance: 1670-1675</t>
      </text>
    </comment>
    <comment ref="W11" authorId="1" shapeId="0" xr:uid="{CE3BDADF-052A-4063-8391-B0830DD4EE97}">
      <text>
        <t>[Threaded comment]
Your version of Excel allows you to read this threaded comment; however, any edits to it will get removed if the file is opened in a newer version of Excel. Learn more: https://go.microsoft.com/fwlink/?linkid=870924
Comment:
    Q4 guidance: 2995-3000</t>
      </text>
    </comment>
    <comment ref="X11" authorId="2" shapeId="0" xr:uid="{1803110A-58D4-4832-B99A-8C6E6C0601B6}">
      <text>
        <t>[Threaded comment]
Your version of Excel allows you to read this threaded comment; however, any edits to it will get removed if the file is opened in a newer version of Excel. Learn more: https://go.microsoft.com/fwlink/?linkid=870924
Comment:
    Q1 guidance: 3030-3035</t>
      </text>
    </comment>
    <comment ref="Y11" authorId="3" shapeId="0" xr:uid="{243DFFE1-D1A3-4050-B2D9-E25F40D3AB59}">
      <text>
        <t>[Threaded comment]
Your version of Excel allows you to read this threaded comment; however, any edits to it will get removed if the file is opened in a newer version of Excel. Learn more: https://go.microsoft.com/fwlink/?linkid=870924
Comment:
    Q2 guidance: 3260-3265</t>
      </text>
    </comment>
    <comment ref="Z11" authorId="4" shapeId="0" xr:uid="{CCBDB0C0-0734-4B0F-8DC7-399D5D9B5901}">
      <text>
        <t>[Threaded comment]
Your version of Excel allows you to read this threaded comment; however, any edits to it will get removed if the file is opened in a newer version of Excel. Learn more: https://go.microsoft.com/fwlink/?linkid=870924
Comment:
    Q3 guidance: 3420-3430</t>
      </text>
    </comment>
    <comment ref="AA11" authorId="5" shapeId="0" xr:uid="{4A956656-68D2-46BC-BD2B-C17E5175B1B7}">
      <text>
        <t>[Threaded comment]
Your version of Excel allows you to read this threaded comment; however, any edits to it will get removed if the file is opened in a newer version of Excel. Learn more: https://go.microsoft.com/fwlink/?linkid=870924
Comment:
    Q4 guidance: 3650-3655</t>
      </text>
    </comment>
    <comment ref="AB11" authorId="6" shapeId="0" xr:uid="{69B108FD-0772-4FB4-8B61-7028684C3F30}">
      <text>
        <t>[Threaded comment]
Your version of Excel allows you to read this threaded comment; however, any edits to it will get removed if the file is opened in a newer version of Excel. Learn more: https://go.microsoft.com/fwlink/?linkid=870924
Comment:
    Q1 guidance: 3815-3820</t>
      </text>
    </comment>
    <comment ref="AK11" authorId="7" shapeId="0" xr:uid="{E7223F31-499E-44A2-A55B-DCF996EB3E78}">
      <text>
        <t>[Threaded comment]
Your version of Excel allows you to read this threaded comment; however, any edits to it will get removed if the file is opened in a newer version of Excel. Learn more: https://go.microsoft.com/fwlink/?linkid=870924
Comment:
    Q1 guidance: 15.735-15.775B</t>
      </text>
    </comment>
  </commentList>
</comments>
</file>

<file path=xl/sharedStrings.xml><?xml version="1.0" encoding="utf-8"?>
<sst xmlns="http://schemas.openxmlformats.org/spreadsheetml/2006/main" count="123" uniqueCount="111">
  <si>
    <t>Price</t>
  </si>
  <si>
    <t>Shares</t>
  </si>
  <si>
    <t>MC</t>
  </si>
  <si>
    <t>Cash</t>
  </si>
  <si>
    <t>Debt</t>
  </si>
  <si>
    <t>EV</t>
  </si>
  <si>
    <t>Q122</t>
  </si>
  <si>
    <t>Main</t>
  </si>
  <si>
    <t>Revenue</t>
  </si>
  <si>
    <t>Q120</t>
  </si>
  <si>
    <t>Q220</t>
  </si>
  <si>
    <t>Q320</t>
  </si>
  <si>
    <t>Q420</t>
  </si>
  <si>
    <t>Q121</t>
  </si>
  <si>
    <t>Q221</t>
  </si>
  <si>
    <t>Q321</t>
  </si>
  <si>
    <t>Q421</t>
  </si>
  <si>
    <t>Q222</t>
  </si>
  <si>
    <t>Q322</t>
  </si>
  <si>
    <t>Q422</t>
  </si>
  <si>
    <t>Subscription</t>
  </si>
  <si>
    <t>Services</t>
  </si>
  <si>
    <t>COGS</t>
  </si>
  <si>
    <t>Gross Margin</t>
  </si>
  <si>
    <t>S&amp;M</t>
  </si>
  <si>
    <t>R&amp;D</t>
  </si>
  <si>
    <t>G&amp;A</t>
  </si>
  <si>
    <t>OpEx</t>
  </si>
  <si>
    <t>OpInc</t>
  </si>
  <si>
    <t>EPS</t>
  </si>
  <si>
    <t>Net Income</t>
  </si>
  <si>
    <t>Taxes</t>
  </si>
  <si>
    <t>Pretax</t>
  </si>
  <si>
    <t>Interest</t>
  </si>
  <si>
    <t>AR</t>
  </si>
  <si>
    <t>Commissions</t>
  </si>
  <si>
    <t>Assets</t>
  </si>
  <si>
    <t>Prepaid</t>
  </si>
  <si>
    <t>PP&amp;E</t>
  </si>
  <si>
    <t>Lease</t>
  </si>
  <si>
    <t>Intangibles</t>
  </si>
  <si>
    <t>Other</t>
  </si>
  <si>
    <t>L+SE</t>
  </si>
  <si>
    <t>SE</t>
  </si>
  <si>
    <t>AP</t>
  </si>
  <si>
    <t>Accrued Expenses</t>
  </si>
  <si>
    <t>DR</t>
  </si>
  <si>
    <t>OLTL</t>
  </si>
  <si>
    <t>Revenue Growth</t>
  </si>
  <si>
    <t>Model NI</t>
  </si>
  <si>
    <t>Reported NI</t>
  </si>
  <si>
    <t>D&amp;A</t>
  </si>
  <si>
    <t>Amortization of DC</t>
  </si>
  <si>
    <t>SBC</t>
  </si>
  <si>
    <t>WC</t>
  </si>
  <si>
    <t>CFFO</t>
  </si>
  <si>
    <t>CapEx</t>
  </si>
  <si>
    <t>Investments</t>
  </si>
  <si>
    <t>CFFI</t>
  </si>
  <si>
    <t>Converts</t>
  </si>
  <si>
    <t>ESOP</t>
  </si>
  <si>
    <t>CFFF</t>
  </si>
  <si>
    <t>FX</t>
  </si>
  <si>
    <t>CIC</t>
  </si>
  <si>
    <t>Technology</t>
  </si>
  <si>
    <t>Employee</t>
  </si>
  <si>
    <t>Consumer</t>
  </si>
  <si>
    <t>Creator</t>
  </si>
  <si>
    <t>NorthAm</t>
  </si>
  <si>
    <t>EMEA</t>
  </si>
  <si>
    <t>APAC</t>
  </si>
  <si>
    <t>Digital workflow</t>
  </si>
  <si>
    <t>ITOM</t>
  </si>
  <si>
    <t>Digital Workflow</t>
  </si>
  <si>
    <t>Now Platform</t>
  </si>
  <si>
    <t>IT Service Management</t>
  </si>
  <si>
    <t>IT Business Management</t>
  </si>
  <si>
    <t>IT Asset Management</t>
  </si>
  <si>
    <t>Security Operations</t>
  </si>
  <si>
    <t>Governance</t>
  </si>
  <si>
    <t>Risk &amp; Compliance</t>
  </si>
  <si>
    <t>HR Service Delivery</t>
  </si>
  <si>
    <t>Safe Workplace</t>
  </si>
  <si>
    <t>Workplace Service Delivery</t>
  </si>
  <si>
    <t>Legal Service Delivery</t>
  </si>
  <si>
    <t>Customer Service Management</t>
  </si>
  <si>
    <t>Field Service Management</t>
  </si>
  <si>
    <t>Industry Solutions</t>
  </si>
  <si>
    <t>App Engine</t>
  </si>
  <si>
    <t>IntegrationHub</t>
  </si>
  <si>
    <t>RPO</t>
  </si>
  <si>
    <t>CEO: Bill McDermott</t>
  </si>
  <si>
    <t>cRPO</t>
  </si>
  <si>
    <t>Q123</t>
  </si>
  <si>
    <t>Q223</t>
  </si>
  <si>
    <t>Q323</t>
  </si>
  <si>
    <t>Q423</t>
  </si>
  <si>
    <t>Q124</t>
  </si>
  <si>
    <t>Q224</t>
  </si>
  <si>
    <t>Q324</t>
  </si>
  <si>
    <t>Q424</t>
  </si>
  <si>
    <t>Acquisitions</t>
  </si>
  <si>
    <t>Q126</t>
  </si>
  <si>
    <t>Q125</t>
  </si>
  <si>
    <t>Q225</t>
  </si>
  <si>
    <t>Q325</t>
  </si>
  <si>
    <t>Q425</t>
  </si>
  <si>
    <t>Q226</t>
  </si>
  <si>
    <t>Q326</t>
  </si>
  <si>
    <t>Q426</t>
  </si>
  <si>
    <t>RPO y/y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</si>
</sst>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b/>
      <u/>
      <sz val="10"/>
      <color theme="1"/>
      <name val="Arial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4" fontId="0" fillId="0" borderId="0" xfId="0" applyNumberFormat="1"/>
    <xf numFmtId="3" fontId="0" fillId="0" borderId="0" xfId="0" applyNumberFormat="1"/>
    <xf numFmtId="0" fontId="0" fillId="0" borderId="0" xfId="0" applyAlignment="1">
      <alignment horizontal="right"/>
    </xf>
    <xf numFmtId="4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0" fontId="2" fillId="0" borderId="0" xfId="1"/>
    <xf numFmtId="3" fontId="1" fillId="0" borderId="0" xfId="0" applyNumberFormat="1" applyFont="1"/>
    <xf numFmtId="3" fontId="1" fillId="0" borderId="0" xfId="0" applyNumberFormat="1" applyFont="1" applyAlignment="1">
      <alignment horizontal="right"/>
    </xf>
    <xf numFmtId="9" fontId="0" fillId="0" borderId="0" xfId="0" applyNumberFormat="1" applyAlignment="1">
      <alignment horizontal="right"/>
    </xf>
    <xf numFmtId="0" fontId="3" fillId="0" borderId="0" xfId="0" applyFont="1"/>
    <xf numFmtId="9" fontId="0" fillId="0" borderId="0" xfId="0" applyNumberFormat="1"/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386E31FD-1719-462D-A463-AC7363BFC89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29308</xdr:colOff>
      <xdr:row>0</xdr:row>
      <xdr:rowOff>53731</xdr:rowOff>
    </xdr:from>
    <xdr:to>
      <xdr:col>27</xdr:col>
      <xdr:colOff>29308</xdr:colOff>
      <xdr:row>66</xdr:row>
      <xdr:rowOff>156308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1B29D088-2B97-6591-3259-67B078252762}"/>
            </a:ext>
          </a:extLst>
        </xdr:cNvPr>
        <xdr:cNvCxnSpPr/>
      </xdr:nvCxnSpPr>
      <xdr:spPr>
        <a:xfrm>
          <a:off x="17174308" y="53731"/>
          <a:ext cx="0" cy="1042376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rtin Shkreli" id="{6895C20F-8AD2-445D-89EB-074DE7D08C7E}" userId="9ffda80931a57275" providerId="Windows Live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11" dT="2022-07-26T03:20:09.97" personId="{6895C20F-8AD2-445D-89EB-074DE7D08C7E}" id="{87B9C53B-7C12-4514-9D95-493861D69A0F}">
    <text>Q122 guidance: 1670-1675</text>
  </threadedComment>
  <threadedComment ref="W11" dT="2026-07-22T18:38:49.36" personId="{6895C20F-8AD2-445D-89EB-074DE7D08C7E}" id="{CE3BDADF-052A-4063-8391-B0830DD4EE97}">
    <text>Q4 guidance: 2995-3000</text>
  </threadedComment>
  <threadedComment ref="X11" dT="2026-07-22T18:37:48.65" personId="{6895C20F-8AD2-445D-89EB-074DE7D08C7E}" id="{1803110A-58D4-4832-B99A-8C6E6C0601B6}">
    <text>Q1 guidance: 3030-3035</text>
  </threadedComment>
  <threadedComment ref="Y11" dT="2026-07-22T18:36:37.43" personId="{6895C20F-8AD2-445D-89EB-074DE7D08C7E}" id="{243DFFE1-D1A3-4050-B2D9-E25F40D3AB59}">
    <text>Q2 guidance: 3260-3265</text>
  </threadedComment>
  <threadedComment ref="Z11" dT="2026-07-22T18:35:42.42" personId="{6895C20F-8AD2-445D-89EB-074DE7D08C7E}" id="{CCBDB0C0-0734-4B0F-8DC7-399D5D9B5901}">
    <text>Q3 guidance: 3420-3430</text>
  </threadedComment>
  <threadedComment ref="AA11" dT="2026-07-22T18:33:22.87" personId="{6895C20F-8AD2-445D-89EB-074DE7D08C7E}" id="{4A956656-68D2-46BC-BD2B-C17E5175B1B7}">
    <text>Q4 guidance: 3650-3655</text>
  </threadedComment>
  <threadedComment ref="AB11" dT="2026-07-22T18:33:05.74" personId="{6895C20F-8AD2-445D-89EB-074DE7D08C7E}" id="{69B108FD-0772-4FB4-8B61-7028684C3F30}">
    <text>Q1 guidance: 3815-3820</text>
  </threadedComment>
  <threadedComment ref="AK11" dT="2026-07-22T18:30:44.09" personId="{6895C20F-8AD2-445D-89EB-074DE7D08C7E}" id="{E7223F31-499E-44A2-A55B-DCF996EB3E78}">
    <text>Q1 guidance: 15.735-15.775B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29079-183A-4E00-8AC0-8BABADD9CBE7}">
  <dimension ref="B2:M24"/>
  <sheetViews>
    <sheetView topLeftCell="B1" zoomScale="145" zoomScaleNormal="145" workbookViewId="0">
      <selection activeCell="L8" sqref="L8"/>
    </sheetView>
  </sheetViews>
  <sheetFormatPr defaultRowHeight="12.5" x14ac:dyDescent="0.25"/>
  <sheetData>
    <row r="2" spans="2:13" x14ac:dyDescent="0.25">
      <c r="B2" t="s">
        <v>64</v>
      </c>
      <c r="K2" t="s">
        <v>0</v>
      </c>
      <c r="L2" s="1">
        <v>95</v>
      </c>
    </row>
    <row r="3" spans="2:13" x14ac:dyDescent="0.25">
      <c r="B3" t="s">
        <v>65</v>
      </c>
      <c r="K3" t="s">
        <v>1</v>
      </c>
      <c r="L3" s="2">
        <v>1031</v>
      </c>
      <c r="M3" s="3" t="s">
        <v>102</v>
      </c>
    </row>
    <row r="4" spans="2:13" x14ac:dyDescent="0.25">
      <c r="B4" t="s">
        <v>66</v>
      </c>
      <c r="K4" t="s">
        <v>2</v>
      </c>
      <c r="L4" s="2">
        <f>+L2*L3</f>
        <v>97945</v>
      </c>
    </row>
    <row r="5" spans="2:13" x14ac:dyDescent="0.25">
      <c r="B5" t="s">
        <v>67</v>
      </c>
      <c r="K5" t="s">
        <v>3</v>
      </c>
      <c r="L5" s="2">
        <f>2702+2480+2724+1743</f>
        <v>9649</v>
      </c>
      <c r="M5" s="3" t="s">
        <v>102</v>
      </c>
    </row>
    <row r="6" spans="2:13" x14ac:dyDescent="0.25">
      <c r="K6" t="s">
        <v>4</v>
      </c>
      <c r="L6" s="2">
        <v>1491</v>
      </c>
      <c r="M6" s="3" t="s">
        <v>102</v>
      </c>
    </row>
    <row r="7" spans="2:13" x14ac:dyDescent="0.25">
      <c r="K7" t="s">
        <v>5</v>
      </c>
      <c r="L7" s="2">
        <f>+L4-L5+L6</f>
        <v>89787</v>
      </c>
      <c r="M7" s="3"/>
    </row>
    <row r="8" spans="2:13" ht="13" x14ac:dyDescent="0.3">
      <c r="B8" s="10" t="s">
        <v>73</v>
      </c>
    </row>
    <row r="9" spans="2:13" x14ac:dyDescent="0.25">
      <c r="B9" t="s">
        <v>74</v>
      </c>
    </row>
    <row r="10" spans="2:13" x14ac:dyDescent="0.25">
      <c r="B10" t="s">
        <v>75</v>
      </c>
      <c r="K10" t="s">
        <v>91</v>
      </c>
    </row>
    <row r="11" spans="2:13" x14ac:dyDescent="0.25">
      <c r="B11" t="s">
        <v>76</v>
      </c>
    </row>
    <row r="12" spans="2:13" x14ac:dyDescent="0.25">
      <c r="B12" t="s">
        <v>77</v>
      </c>
    </row>
    <row r="13" spans="2:13" x14ac:dyDescent="0.25">
      <c r="B13" t="s">
        <v>78</v>
      </c>
    </row>
    <row r="14" spans="2:13" x14ac:dyDescent="0.25">
      <c r="B14" t="s">
        <v>79</v>
      </c>
    </row>
    <row r="15" spans="2:13" x14ac:dyDescent="0.25">
      <c r="B15" t="s">
        <v>80</v>
      </c>
    </row>
    <row r="16" spans="2:13" x14ac:dyDescent="0.25">
      <c r="B16" t="s">
        <v>81</v>
      </c>
    </row>
    <row r="17" spans="2:2" x14ac:dyDescent="0.25">
      <c r="B17" t="s">
        <v>82</v>
      </c>
    </row>
    <row r="18" spans="2:2" x14ac:dyDescent="0.25">
      <c r="B18" t="s">
        <v>83</v>
      </c>
    </row>
    <row r="19" spans="2:2" x14ac:dyDescent="0.25">
      <c r="B19" t="s">
        <v>84</v>
      </c>
    </row>
    <row r="20" spans="2:2" x14ac:dyDescent="0.25">
      <c r="B20" t="s">
        <v>85</v>
      </c>
    </row>
    <row r="21" spans="2:2" x14ac:dyDescent="0.25">
      <c r="B21" t="s">
        <v>86</v>
      </c>
    </row>
    <row r="22" spans="2:2" x14ac:dyDescent="0.25">
      <c r="B22" t="s">
        <v>87</v>
      </c>
    </row>
    <row r="23" spans="2:2" x14ac:dyDescent="0.25">
      <c r="B23" t="s">
        <v>88</v>
      </c>
    </row>
    <row r="24" spans="2:2" x14ac:dyDescent="0.25">
      <c r="B24" t="s">
        <v>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D2949-B187-4CCE-8902-FF8193720176}">
  <dimension ref="A1:AK73"/>
  <sheetViews>
    <sheetView tabSelected="1" zoomScale="115" zoomScaleNormal="115" workbookViewId="0">
      <pane xSplit="2" ySplit="2" topLeftCell="T3" activePane="bottomRight" state="frozen"/>
      <selection pane="topRight" activeCell="C1" sqref="C1"/>
      <selection pane="bottomLeft" activeCell="A3" sqref="A3"/>
      <selection pane="bottomRight" activeCell="AB14" sqref="AB14"/>
    </sheetView>
  </sheetViews>
  <sheetFormatPr defaultRowHeight="12.5" x14ac:dyDescent="0.25"/>
  <cols>
    <col min="1" max="1" width="5" bestFit="1" customWidth="1"/>
    <col min="2" max="2" width="16.81640625" bestFit="1" customWidth="1"/>
    <col min="3" max="14" width="9.1796875" style="3"/>
  </cols>
  <sheetData>
    <row r="1" spans="1:37" x14ac:dyDescent="0.25">
      <c r="A1" s="6" t="s">
        <v>7</v>
      </c>
    </row>
    <row r="2" spans="1:37" x14ac:dyDescent="0.25"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3" t="s">
        <v>14</v>
      </c>
      <c r="I2" s="3" t="s">
        <v>15</v>
      </c>
      <c r="J2" s="3" t="s">
        <v>16</v>
      </c>
      <c r="K2" s="3" t="s">
        <v>6</v>
      </c>
      <c r="L2" s="3" t="s">
        <v>17</v>
      </c>
      <c r="M2" s="3" t="s">
        <v>18</v>
      </c>
      <c r="N2" s="3" t="s">
        <v>19</v>
      </c>
      <c r="O2" s="3" t="s">
        <v>93</v>
      </c>
      <c r="P2" s="3" t="s">
        <v>94</v>
      </c>
      <c r="Q2" s="3" t="s">
        <v>95</v>
      </c>
      <c r="R2" s="3" t="s">
        <v>96</v>
      </c>
      <c r="S2" s="3" t="s">
        <v>97</v>
      </c>
      <c r="T2" s="3" t="s">
        <v>98</v>
      </c>
      <c r="U2" s="3" t="s">
        <v>99</v>
      </c>
      <c r="V2" s="3" t="s">
        <v>100</v>
      </c>
      <c r="W2" s="3" t="s">
        <v>103</v>
      </c>
      <c r="X2" s="3" t="s">
        <v>104</v>
      </c>
      <c r="Y2" s="3" t="s">
        <v>105</v>
      </c>
      <c r="Z2" s="3" t="s">
        <v>106</v>
      </c>
      <c r="AA2" s="3" t="s">
        <v>102</v>
      </c>
      <c r="AB2" s="3" t="s">
        <v>107</v>
      </c>
      <c r="AC2" s="3" t="s">
        <v>108</v>
      </c>
      <c r="AD2" s="3" t="s">
        <v>109</v>
      </c>
      <c r="AK2">
        <v>2026</v>
      </c>
    </row>
    <row r="3" spans="1:37" s="2" customFormat="1" x14ac:dyDescent="0.25">
      <c r="B3" s="2" t="s">
        <v>68</v>
      </c>
      <c r="C3" s="5"/>
      <c r="D3" s="5"/>
      <c r="E3" s="5"/>
      <c r="F3" s="5"/>
      <c r="G3" s="5">
        <v>883</v>
      </c>
      <c r="H3" s="5"/>
      <c r="I3" s="5"/>
      <c r="J3" s="5"/>
      <c r="K3" s="5">
        <v>1116</v>
      </c>
      <c r="L3" s="5"/>
      <c r="M3" s="5"/>
      <c r="N3" s="5"/>
    </row>
    <row r="4" spans="1:37" s="2" customFormat="1" x14ac:dyDescent="0.25">
      <c r="B4" s="2" t="s">
        <v>69</v>
      </c>
      <c r="C4" s="5"/>
      <c r="D4" s="5"/>
      <c r="E4" s="5"/>
      <c r="F4" s="5"/>
      <c r="G4" s="5">
        <v>343</v>
      </c>
      <c r="H4" s="5"/>
      <c r="I4" s="5"/>
      <c r="J4" s="5"/>
      <c r="K4" s="5">
        <v>434</v>
      </c>
      <c r="L4" s="5"/>
      <c r="M4" s="5"/>
      <c r="N4" s="5"/>
    </row>
    <row r="5" spans="1:37" s="2" customFormat="1" x14ac:dyDescent="0.25">
      <c r="B5" s="2" t="s">
        <v>70</v>
      </c>
      <c r="C5" s="5"/>
      <c r="D5" s="5"/>
      <c r="E5" s="5"/>
      <c r="F5" s="5"/>
      <c r="G5" s="5">
        <v>134</v>
      </c>
      <c r="H5" s="5"/>
      <c r="I5" s="5"/>
      <c r="J5" s="5"/>
      <c r="K5" s="5">
        <v>172</v>
      </c>
      <c r="L5" s="5"/>
      <c r="M5" s="5"/>
      <c r="N5" s="5"/>
    </row>
    <row r="6" spans="1:37" s="2" customFormat="1" x14ac:dyDescent="0.25"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</row>
    <row r="7" spans="1:37" s="2" customFormat="1" x14ac:dyDescent="0.25">
      <c r="B7" s="2" t="s">
        <v>92</v>
      </c>
      <c r="C7" s="5"/>
      <c r="D7" s="5"/>
      <c r="E7" s="5"/>
      <c r="F7" s="5"/>
      <c r="G7" s="5"/>
      <c r="H7" s="5"/>
      <c r="I7" s="5"/>
      <c r="J7" s="5"/>
      <c r="K7" s="5">
        <v>5690</v>
      </c>
      <c r="L7" s="5"/>
      <c r="M7" s="5"/>
      <c r="N7" s="5"/>
    </row>
    <row r="8" spans="1:37" s="2" customFormat="1" x14ac:dyDescent="0.25">
      <c r="B8" s="2" t="s">
        <v>90</v>
      </c>
      <c r="C8" s="5"/>
      <c r="D8" s="5"/>
      <c r="E8" s="5"/>
      <c r="F8" s="5"/>
      <c r="G8" s="5"/>
      <c r="H8" s="5"/>
      <c r="I8" s="5"/>
      <c r="J8" s="5"/>
      <c r="K8" s="5">
        <v>11500</v>
      </c>
      <c r="L8" s="5"/>
      <c r="M8" s="5"/>
      <c r="N8" s="5"/>
      <c r="V8" s="2">
        <v>22300</v>
      </c>
      <c r="W8" s="2">
        <v>22100</v>
      </c>
      <c r="X8" s="2">
        <v>23900</v>
      </c>
      <c r="Y8" s="2">
        <v>24300</v>
      </c>
      <c r="Z8" s="2">
        <v>28200</v>
      </c>
      <c r="AA8" s="2">
        <v>27700</v>
      </c>
      <c r="AB8" s="2">
        <f>+AA8+2000</f>
        <v>29700</v>
      </c>
    </row>
    <row r="9" spans="1:37" s="2" customFormat="1" x14ac:dyDescent="0.25">
      <c r="B9" s="2" t="s">
        <v>71</v>
      </c>
      <c r="C9" s="5"/>
      <c r="D9" s="5"/>
      <c r="E9" s="5"/>
      <c r="F9" s="5"/>
      <c r="G9" s="5">
        <v>1131</v>
      </c>
      <c r="H9" s="5"/>
      <c r="I9" s="5"/>
      <c r="J9" s="5"/>
      <c r="K9" s="5">
        <v>1440</v>
      </c>
      <c r="L9" s="5"/>
      <c r="M9" s="5"/>
      <c r="N9" s="5"/>
    </row>
    <row r="10" spans="1:37" x14ac:dyDescent="0.25">
      <c r="B10" s="2" t="s">
        <v>72</v>
      </c>
      <c r="G10" s="3">
        <v>162</v>
      </c>
      <c r="K10" s="3">
        <v>191</v>
      </c>
    </row>
    <row r="11" spans="1:37" s="2" customFormat="1" x14ac:dyDescent="0.25">
      <c r="B11" s="2" t="s">
        <v>20</v>
      </c>
      <c r="C11" s="5"/>
      <c r="D11" s="5"/>
      <c r="E11" s="5"/>
      <c r="F11" s="5"/>
      <c r="G11" s="5">
        <f>+G10+G9</f>
        <v>1293</v>
      </c>
      <c r="H11" s="5"/>
      <c r="I11" s="5"/>
      <c r="J11" s="5"/>
      <c r="K11" s="5">
        <f>+K10+K9</f>
        <v>1631</v>
      </c>
      <c r="L11" s="5"/>
      <c r="M11" s="5"/>
      <c r="N11" s="5"/>
      <c r="P11" s="2">
        <v>2075</v>
      </c>
      <c r="Q11" s="2">
        <v>2216</v>
      </c>
      <c r="R11" s="2">
        <v>2365</v>
      </c>
      <c r="S11" s="2">
        <v>2523</v>
      </c>
      <c r="T11" s="2">
        <v>2542</v>
      </c>
      <c r="U11" s="2">
        <v>2715</v>
      </c>
      <c r="V11" s="2">
        <v>2866</v>
      </c>
      <c r="W11" s="2">
        <v>3005</v>
      </c>
      <c r="X11" s="2">
        <v>3113</v>
      </c>
      <c r="Y11" s="2">
        <v>3299</v>
      </c>
      <c r="Z11" s="2">
        <v>3466</v>
      </c>
      <c r="AA11" s="2">
        <v>3671</v>
      </c>
      <c r="AB11" s="2">
        <v>3877</v>
      </c>
      <c r="AC11" s="2">
        <f>4120-AC12</f>
        <v>4012</v>
      </c>
      <c r="AD11" s="2">
        <f>4370-AD12</f>
        <v>4268</v>
      </c>
      <c r="AK11" s="2">
        <f>SUM(AA11:AD11)</f>
        <v>15828</v>
      </c>
    </row>
    <row r="12" spans="1:37" s="2" customFormat="1" x14ac:dyDescent="0.25">
      <c r="B12" s="2" t="s">
        <v>21</v>
      </c>
      <c r="C12" s="5"/>
      <c r="D12" s="5"/>
      <c r="E12" s="5"/>
      <c r="F12" s="5"/>
      <c r="G12" s="5">
        <v>67</v>
      </c>
      <c r="H12" s="5"/>
      <c r="I12" s="5"/>
      <c r="J12" s="5"/>
      <c r="K12" s="5">
        <v>91</v>
      </c>
      <c r="L12" s="5"/>
      <c r="M12" s="5"/>
      <c r="N12" s="5"/>
      <c r="P12" s="2">
        <v>75</v>
      </c>
      <c r="Q12" s="2">
        <v>72</v>
      </c>
      <c r="R12" s="2">
        <v>72</v>
      </c>
      <c r="S12" s="2">
        <v>80</v>
      </c>
      <c r="T12" s="2">
        <v>85</v>
      </c>
      <c r="U12" s="2">
        <v>82</v>
      </c>
      <c r="V12" s="2">
        <v>91</v>
      </c>
      <c r="W12" s="2">
        <v>83</v>
      </c>
      <c r="X12" s="2">
        <v>102</v>
      </c>
      <c r="Y12" s="2">
        <v>108</v>
      </c>
      <c r="Z12" s="2">
        <v>102</v>
      </c>
      <c r="AA12" s="2">
        <v>99</v>
      </c>
      <c r="AB12" s="2">
        <f>+X12</f>
        <v>102</v>
      </c>
      <c r="AC12" s="2">
        <f>+Y12</f>
        <v>108</v>
      </c>
      <c r="AD12" s="2">
        <f>+Z12</f>
        <v>102</v>
      </c>
      <c r="AK12" s="2">
        <f>SUM(AA12:AD12)</f>
        <v>411</v>
      </c>
    </row>
    <row r="13" spans="1:37" s="7" customFormat="1" ht="13" x14ac:dyDescent="0.3">
      <c r="B13" s="7" t="s">
        <v>8</v>
      </c>
      <c r="C13" s="8"/>
      <c r="D13" s="8"/>
      <c r="E13" s="8"/>
      <c r="F13" s="8"/>
      <c r="G13" s="8">
        <f>+G11+G12</f>
        <v>1360</v>
      </c>
      <c r="H13" s="8"/>
      <c r="I13" s="8"/>
      <c r="J13" s="8"/>
      <c r="K13" s="7">
        <f t="shared" ref="K13:S13" si="0">+K11+K12</f>
        <v>1722</v>
      </c>
      <c r="L13" s="7">
        <f t="shared" si="0"/>
        <v>0</v>
      </c>
      <c r="M13" s="7">
        <f t="shared" si="0"/>
        <v>0</v>
      </c>
      <c r="N13" s="7">
        <f t="shared" si="0"/>
        <v>0</v>
      </c>
      <c r="O13" s="7">
        <f t="shared" si="0"/>
        <v>0</v>
      </c>
      <c r="P13" s="7">
        <f t="shared" si="0"/>
        <v>2150</v>
      </c>
      <c r="Q13" s="7">
        <f t="shared" si="0"/>
        <v>2288</v>
      </c>
      <c r="R13" s="7">
        <f t="shared" si="0"/>
        <v>2437</v>
      </c>
      <c r="S13" s="7">
        <f t="shared" si="0"/>
        <v>2603</v>
      </c>
      <c r="T13" s="7">
        <f>+T11+T12</f>
        <v>2627</v>
      </c>
      <c r="U13" s="7">
        <f t="shared" ref="U13:AD13" si="1">+U11+U12</f>
        <v>2797</v>
      </c>
      <c r="V13" s="7">
        <f t="shared" si="1"/>
        <v>2957</v>
      </c>
      <c r="W13" s="7">
        <f t="shared" si="1"/>
        <v>3088</v>
      </c>
      <c r="X13" s="7">
        <f t="shared" si="1"/>
        <v>3215</v>
      </c>
      <c r="Y13" s="7">
        <f t="shared" si="1"/>
        <v>3407</v>
      </c>
      <c r="Z13" s="7">
        <f t="shared" si="1"/>
        <v>3568</v>
      </c>
      <c r="AA13" s="7">
        <f t="shared" si="1"/>
        <v>3770</v>
      </c>
      <c r="AB13" s="7">
        <v>3987</v>
      </c>
      <c r="AC13" s="7">
        <f t="shared" si="1"/>
        <v>4120</v>
      </c>
      <c r="AD13" s="7">
        <f t="shared" si="1"/>
        <v>4370</v>
      </c>
      <c r="AK13" s="7">
        <f t="shared" ref="AK13" si="2">+AK11+AK12</f>
        <v>16239</v>
      </c>
    </row>
    <row r="14" spans="1:37" s="2" customFormat="1" x14ac:dyDescent="0.25">
      <c r="B14" s="2" t="s">
        <v>22</v>
      </c>
      <c r="C14" s="5"/>
      <c r="D14" s="5"/>
      <c r="E14" s="5"/>
      <c r="F14" s="5"/>
      <c r="G14" s="5">
        <v>299</v>
      </c>
      <c r="H14" s="5"/>
      <c r="I14" s="5"/>
      <c r="J14" s="5"/>
      <c r="K14" s="5">
        <f>275+94</f>
        <v>369</v>
      </c>
      <c r="L14" s="5"/>
      <c r="M14" s="5"/>
      <c r="N14" s="5"/>
      <c r="P14" s="2">
        <v>471</v>
      </c>
      <c r="Q14" s="2">
        <v>496</v>
      </c>
      <c r="R14" s="2">
        <v>516</v>
      </c>
      <c r="S14" s="2">
        <v>520</v>
      </c>
      <c r="T14" s="2">
        <v>552</v>
      </c>
      <c r="U14" s="2">
        <v>584</v>
      </c>
      <c r="V14" s="2">
        <v>631</v>
      </c>
      <c r="W14" s="2">
        <v>651</v>
      </c>
      <c r="X14" s="2">
        <v>724</v>
      </c>
      <c r="Y14" s="2">
        <v>774</v>
      </c>
      <c r="Z14" s="2">
        <v>834</v>
      </c>
      <c r="AA14" s="2">
        <v>940</v>
      </c>
      <c r="AB14" s="2">
        <f>+AB13-AB15</f>
        <v>996.75</v>
      </c>
      <c r="AC14" s="2">
        <f>+AC13-AC15</f>
        <v>1030</v>
      </c>
      <c r="AD14" s="2">
        <f>+AD13-AD15</f>
        <v>1092.5</v>
      </c>
    </row>
    <row r="15" spans="1:37" s="2" customFormat="1" x14ac:dyDescent="0.25">
      <c r="B15" s="2" t="s">
        <v>23</v>
      </c>
      <c r="C15" s="5"/>
      <c r="D15" s="5"/>
      <c r="E15" s="5"/>
      <c r="F15" s="5"/>
      <c r="G15" s="5">
        <f>+G13-G14</f>
        <v>1061</v>
      </c>
      <c r="H15" s="5"/>
      <c r="I15" s="5"/>
      <c r="J15" s="5"/>
      <c r="K15" s="5">
        <f>+K13-K14</f>
        <v>1353</v>
      </c>
      <c r="L15" s="5"/>
      <c r="M15" s="5"/>
      <c r="N15" s="5"/>
      <c r="P15" s="2">
        <f t="shared" ref="P15:U15" si="3">+P13-P14</f>
        <v>1679</v>
      </c>
      <c r="Q15" s="2">
        <f t="shared" si="3"/>
        <v>1792</v>
      </c>
      <c r="R15" s="2">
        <f t="shared" si="3"/>
        <v>1921</v>
      </c>
      <c r="S15" s="2">
        <f t="shared" si="3"/>
        <v>2083</v>
      </c>
      <c r="T15" s="2">
        <f t="shared" si="3"/>
        <v>2075</v>
      </c>
      <c r="U15" s="2">
        <f t="shared" si="3"/>
        <v>2213</v>
      </c>
      <c r="V15" s="2">
        <f t="shared" ref="V15:Z15" si="4">+V13-V14</f>
        <v>2326</v>
      </c>
      <c r="W15" s="2">
        <f t="shared" si="4"/>
        <v>2437</v>
      </c>
      <c r="X15" s="2">
        <f t="shared" si="4"/>
        <v>2491</v>
      </c>
      <c r="Y15" s="2">
        <f t="shared" si="4"/>
        <v>2633</v>
      </c>
      <c r="Z15" s="2">
        <f t="shared" si="4"/>
        <v>2734</v>
      </c>
      <c r="AA15" s="2">
        <f>+AA13-AA14</f>
        <v>2830</v>
      </c>
      <c r="AB15" s="2">
        <f>+AB13*0.75</f>
        <v>2990.25</v>
      </c>
      <c r="AC15" s="2">
        <f>+AC13*0.75</f>
        <v>3090</v>
      </c>
      <c r="AD15" s="2">
        <f>+AD13*0.75</f>
        <v>3277.5</v>
      </c>
    </row>
    <row r="16" spans="1:37" s="2" customFormat="1" x14ac:dyDescent="0.25">
      <c r="B16" s="2" t="s">
        <v>24</v>
      </c>
      <c r="C16" s="5"/>
      <c r="D16" s="5"/>
      <c r="E16" s="5"/>
      <c r="F16" s="5"/>
      <c r="G16" s="5">
        <v>524</v>
      </c>
      <c r="H16" s="5"/>
      <c r="I16" s="5"/>
      <c r="J16" s="5"/>
      <c r="K16" s="5">
        <v>673</v>
      </c>
      <c r="L16" s="5"/>
      <c r="M16" s="5"/>
      <c r="N16" s="5"/>
      <c r="P16" s="2">
        <v>832</v>
      </c>
      <c r="Q16" s="2">
        <v>799</v>
      </c>
      <c r="R16" s="2">
        <v>847</v>
      </c>
      <c r="S16" s="2">
        <v>923</v>
      </c>
      <c r="T16" s="2">
        <v>960</v>
      </c>
      <c r="U16" s="2">
        <v>944</v>
      </c>
      <c r="V16" s="2">
        <v>1027</v>
      </c>
      <c r="W16" s="2">
        <v>1054</v>
      </c>
      <c r="X16" s="2">
        <v>1128</v>
      </c>
      <c r="Y16" s="2">
        <v>1056</v>
      </c>
      <c r="Z16" s="2">
        <v>1150</v>
      </c>
      <c r="AA16" s="2">
        <v>1216</v>
      </c>
      <c r="AB16" s="2">
        <f t="shared" ref="AB16:AB18" si="5">+X16</f>
        <v>1128</v>
      </c>
      <c r="AC16" s="2">
        <f t="shared" ref="AC16:AC18" si="6">+Y16</f>
        <v>1056</v>
      </c>
      <c r="AD16" s="2">
        <f t="shared" ref="AD16:AD18" si="7">+Z16</f>
        <v>1150</v>
      </c>
    </row>
    <row r="17" spans="2:30" s="2" customFormat="1" x14ac:dyDescent="0.25">
      <c r="B17" s="2" t="s">
        <v>25</v>
      </c>
      <c r="C17" s="5"/>
      <c r="D17" s="5"/>
      <c r="E17" s="5"/>
      <c r="F17" s="5"/>
      <c r="G17" s="5">
        <v>314</v>
      </c>
      <c r="H17" s="5"/>
      <c r="I17" s="5"/>
      <c r="J17" s="5"/>
      <c r="K17" s="5">
        <v>414</v>
      </c>
      <c r="L17" s="5"/>
      <c r="M17" s="5"/>
      <c r="N17" s="5"/>
      <c r="P17" s="2">
        <v>521</v>
      </c>
      <c r="Q17" s="2">
        <v>549</v>
      </c>
      <c r="R17" s="2">
        <v>562</v>
      </c>
      <c r="S17" s="2">
        <v>606</v>
      </c>
      <c r="T17" s="2">
        <v>643</v>
      </c>
      <c r="U17" s="2">
        <v>626</v>
      </c>
      <c r="V17" s="2">
        <v>668</v>
      </c>
      <c r="W17" s="2">
        <v>703</v>
      </c>
      <c r="X17" s="2">
        <v>734</v>
      </c>
      <c r="Y17" s="2">
        <v>750</v>
      </c>
      <c r="Z17" s="2">
        <v>773</v>
      </c>
      <c r="AA17" s="2">
        <v>823</v>
      </c>
      <c r="AB17" s="2">
        <f t="shared" si="5"/>
        <v>734</v>
      </c>
      <c r="AC17" s="2">
        <f t="shared" si="6"/>
        <v>750</v>
      </c>
      <c r="AD17" s="2">
        <f t="shared" si="7"/>
        <v>773</v>
      </c>
    </row>
    <row r="18" spans="2:30" s="2" customFormat="1" x14ac:dyDescent="0.25">
      <c r="B18" s="2" t="s">
        <v>26</v>
      </c>
      <c r="C18" s="5"/>
      <c r="D18" s="5"/>
      <c r="E18" s="5"/>
      <c r="F18" s="5"/>
      <c r="G18" s="5">
        <v>126</v>
      </c>
      <c r="H18" s="5"/>
      <c r="I18" s="5"/>
      <c r="J18" s="5"/>
      <c r="K18" s="5">
        <v>179</v>
      </c>
      <c r="L18" s="5"/>
      <c r="M18" s="5"/>
      <c r="N18" s="5"/>
      <c r="P18" s="2">
        <v>209</v>
      </c>
      <c r="Q18" s="2">
        <v>213</v>
      </c>
      <c r="R18" s="2">
        <v>242</v>
      </c>
      <c r="S18" s="2">
        <v>222</v>
      </c>
      <c r="T18" s="2">
        <v>232</v>
      </c>
      <c r="U18" s="2">
        <v>225</v>
      </c>
      <c r="V18" s="2">
        <v>257</v>
      </c>
      <c r="W18" s="2">
        <v>229</v>
      </c>
      <c r="X18" s="2">
        <v>271</v>
      </c>
      <c r="Y18" s="2">
        <v>255</v>
      </c>
      <c r="Z18" s="2">
        <v>368</v>
      </c>
      <c r="AA18" s="2">
        <v>288</v>
      </c>
      <c r="AB18" s="2">
        <f>+X18</f>
        <v>271</v>
      </c>
      <c r="AC18" s="2">
        <f>+Y18</f>
        <v>255</v>
      </c>
      <c r="AD18" s="2">
        <f>+Z18</f>
        <v>368</v>
      </c>
    </row>
    <row r="19" spans="2:30" s="2" customFormat="1" x14ac:dyDescent="0.25">
      <c r="B19" s="2" t="s">
        <v>27</v>
      </c>
      <c r="C19" s="5"/>
      <c r="D19" s="5"/>
      <c r="E19" s="5"/>
      <c r="F19" s="5"/>
      <c r="G19" s="5">
        <f>SUM(G16:G18)</f>
        <v>964</v>
      </c>
      <c r="H19" s="5"/>
      <c r="I19" s="5"/>
      <c r="J19" s="5"/>
      <c r="K19" s="5">
        <f>SUM(K16:K18)</f>
        <v>1266</v>
      </c>
      <c r="L19" s="5"/>
      <c r="M19" s="5"/>
      <c r="N19" s="5"/>
      <c r="P19" s="2">
        <f>SUM(P16:P18)</f>
        <v>1562</v>
      </c>
      <c r="Q19" s="2">
        <f>SUM(Q16:Q18)</f>
        <v>1561</v>
      </c>
      <c r="R19" s="2">
        <f>SUM(R16:R18)</f>
        <v>1651</v>
      </c>
      <c r="S19" s="2">
        <f>SUM(S16:S18)</f>
        <v>1751</v>
      </c>
      <c r="T19" s="2">
        <f>SUM(T16:T18)</f>
        <v>1835</v>
      </c>
      <c r="U19" s="2">
        <f t="shared" ref="U19:AD19" si="8">SUM(U16:U18)</f>
        <v>1795</v>
      </c>
      <c r="V19" s="2">
        <f t="shared" si="8"/>
        <v>1952</v>
      </c>
      <c r="W19" s="2">
        <f t="shared" si="8"/>
        <v>1986</v>
      </c>
      <c r="X19" s="2">
        <f t="shared" si="8"/>
        <v>2133</v>
      </c>
      <c r="Y19" s="2">
        <f t="shared" si="8"/>
        <v>2061</v>
      </c>
      <c r="Z19" s="2">
        <f t="shared" si="8"/>
        <v>2291</v>
      </c>
      <c r="AA19" s="2">
        <f t="shared" si="8"/>
        <v>2327</v>
      </c>
      <c r="AB19" s="2">
        <f t="shared" si="8"/>
        <v>2133</v>
      </c>
      <c r="AC19" s="2">
        <f t="shared" si="8"/>
        <v>2061</v>
      </c>
      <c r="AD19" s="2">
        <f t="shared" si="8"/>
        <v>2291</v>
      </c>
    </row>
    <row r="20" spans="2:30" s="2" customFormat="1" x14ac:dyDescent="0.25">
      <c r="B20" s="2" t="s">
        <v>28</v>
      </c>
      <c r="C20" s="5"/>
      <c r="D20" s="5"/>
      <c r="E20" s="5"/>
      <c r="F20" s="5"/>
      <c r="G20" s="5">
        <f>G15-G19</f>
        <v>97</v>
      </c>
      <c r="H20" s="5"/>
      <c r="I20" s="5"/>
      <c r="J20" s="5"/>
      <c r="K20" s="5">
        <f>K15-K19</f>
        <v>87</v>
      </c>
      <c r="L20" s="5"/>
      <c r="M20" s="5"/>
      <c r="N20" s="5"/>
      <c r="P20" s="2">
        <f>P15-P19</f>
        <v>117</v>
      </c>
      <c r="Q20" s="2">
        <f>Q15-Q19</f>
        <v>231</v>
      </c>
      <c r="R20" s="2">
        <f>R15-R19</f>
        <v>270</v>
      </c>
      <c r="S20" s="2">
        <f>S15-S19</f>
        <v>332</v>
      </c>
      <c r="T20" s="2">
        <f>T15-T19</f>
        <v>240</v>
      </c>
      <c r="U20" s="2">
        <f t="shared" ref="U20:AD20" si="9">U15-U19</f>
        <v>418</v>
      </c>
      <c r="V20" s="2">
        <f t="shared" si="9"/>
        <v>374</v>
      </c>
      <c r="W20" s="2">
        <f t="shared" si="9"/>
        <v>451</v>
      </c>
      <c r="X20" s="2">
        <f t="shared" si="9"/>
        <v>358</v>
      </c>
      <c r="Y20" s="2">
        <f t="shared" si="9"/>
        <v>572</v>
      </c>
      <c r="Z20" s="2">
        <f t="shared" si="9"/>
        <v>443</v>
      </c>
      <c r="AA20" s="2">
        <f t="shared" si="9"/>
        <v>503</v>
      </c>
      <c r="AB20" s="2">
        <f t="shared" si="9"/>
        <v>857.25</v>
      </c>
      <c r="AC20" s="2">
        <f t="shared" si="9"/>
        <v>1029</v>
      </c>
      <c r="AD20" s="2">
        <f t="shared" si="9"/>
        <v>986.5</v>
      </c>
    </row>
    <row r="21" spans="2:30" s="2" customFormat="1" x14ac:dyDescent="0.25">
      <c r="B21" s="2" t="s">
        <v>33</v>
      </c>
      <c r="C21" s="5"/>
      <c r="D21" s="5"/>
      <c r="E21" s="5"/>
      <c r="F21" s="5"/>
      <c r="G21" s="5">
        <f>-7+9</f>
        <v>2</v>
      </c>
      <c r="H21" s="5"/>
      <c r="I21" s="5"/>
      <c r="J21" s="5"/>
      <c r="K21" s="5">
        <f>-6+4</f>
        <v>-2</v>
      </c>
      <c r="L21" s="5"/>
      <c r="M21" s="5"/>
      <c r="N21" s="5"/>
      <c r="P21" s="2">
        <f>74-17</f>
        <v>57</v>
      </c>
      <c r="Q21" s="2">
        <v>82</v>
      </c>
      <c r="R21" s="2">
        <v>86</v>
      </c>
      <c r="S21" s="2">
        <v>101</v>
      </c>
      <c r="T21" s="2">
        <f>104-10</f>
        <v>94</v>
      </c>
      <c r="U21" s="2">
        <v>108</v>
      </c>
      <c r="V21" s="2">
        <v>106</v>
      </c>
      <c r="W21" s="2">
        <v>115</v>
      </c>
      <c r="X21" s="2">
        <v>116</v>
      </c>
      <c r="Y21" s="2">
        <v>115</v>
      </c>
      <c r="Z21" s="2">
        <v>105</v>
      </c>
      <c r="AA21" s="2">
        <v>88</v>
      </c>
      <c r="AB21" s="2">
        <f>+AA21</f>
        <v>88</v>
      </c>
      <c r="AC21" s="2">
        <f>+AB21</f>
        <v>88</v>
      </c>
      <c r="AD21" s="2">
        <f>+AC21</f>
        <v>88</v>
      </c>
    </row>
    <row r="22" spans="2:30" s="2" customFormat="1" x14ac:dyDescent="0.25">
      <c r="B22" s="2" t="s">
        <v>32</v>
      </c>
      <c r="C22" s="5"/>
      <c r="D22" s="5"/>
      <c r="E22" s="5"/>
      <c r="F22" s="5"/>
      <c r="G22" s="5">
        <f>G20+G21</f>
        <v>99</v>
      </c>
      <c r="H22" s="5"/>
      <c r="I22" s="5"/>
      <c r="J22" s="5"/>
      <c r="K22" s="5">
        <f>K20+K21</f>
        <v>85</v>
      </c>
      <c r="L22" s="5"/>
      <c r="M22" s="5"/>
      <c r="N22" s="5"/>
      <c r="P22" s="2">
        <f>+P20+P21</f>
        <v>174</v>
      </c>
      <c r="Q22" s="2">
        <f>+Q20+Q21</f>
        <v>313</v>
      </c>
      <c r="R22" s="2">
        <f>+R20+R21</f>
        <v>356</v>
      </c>
      <c r="S22" s="2">
        <f>+S20+S21</f>
        <v>433</v>
      </c>
      <c r="T22" s="2">
        <f>+T20+T21</f>
        <v>334</v>
      </c>
      <c r="U22" s="2">
        <f t="shared" ref="U22:AD22" si="10">+U20+U21</f>
        <v>526</v>
      </c>
      <c r="V22" s="2">
        <f t="shared" si="10"/>
        <v>480</v>
      </c>
      <c r="W22" s="2">
        <f t="shared" si="10"/>
        <v>566</v>
      </c>
      <c r="X22" s="2">
        <f t="shared" si="10"/>
        <v>474</v>
      </c>
      <c r="Y22" s="2">
        <f t="shared" si="10"/>
        <v>687</v>
      </c>
      <c r="Z22" s="2">
        <f t="shared" si="10"/>
        <v>548</v>
      </c>
      <c r="AA22" s="2">
        <f t="shared" si="10"/>
        <v>591</v>
      </c>
      <c r="AB22" s="2">
        <f t="shared" si="10"/>
        <v>945.25</v>
      </c>
      <c r="AC22" s="2">
        <f t="shared" si="10"/>
        <v>1117</v>
      </c>
      <c r="AD22" s="2">
        <f t="shared" si="10"/>
        <v>1074.5</v>
      </c>
    </row>
    <row r="23" spans="2:30" s="2" customFormat="1" x14ac:dyDescent="0.25">
      <c r="B23" s="2" t="s">
        <v>31</v>
      </c>
      <c r="C23" s="5"/>
      <c r="D23" s="5"/>
      <c r="E23" s="5"/>
      <c r="F23" s="5"/>
      <c r="G23" s="5">
        <v>17</v>
      </c>
      <c r="H23" s="5"/>
      <c r="I23" s="5"/>
      <c r="J23" s="5"/>
      <c r="K23" s="5">
        <v>10</v>
      </c>
      <c r="L23" s="5"/>
      <c r="M23" s="5"/>
      <c r="N23" s="5"/>
      <c r="P23" s="2">
        <v>0</v>
      </c>
      <c r="Q23" s="2">
        <v>57</v>
      </c>
      <c r="R23" s="2">
        <v>52</v>
      </c>
      <c r="S23" s="2">
        <v>78</v>
      </c>
      <c r="T23" s="2">
        <v>72</v>
      </c>
      <c r="U23" s="2">
        <v>84</v>
      </c>
      <c r="V23" s="2">
        <v>79</v>
      </c>
      <c r="W23" s="2">
        <v>95</v>
      </c>
      <c r="X23" s="2">
        <v>86</v>
      </c>
      <c r="Y23" s="2">
        <v>192</v>
      </c>
      <c r="Z23" s="2">
        <v>140</v>
      </c>
      <c r="AA23" s="2">
        <v>204</v>
      </c>
      <c r="AB23" s="2">
        <f>+AB22*0.15</f>
        <v>141.78749999999999</v>
      </c>
      <c r="AC23" s="2">
        <f>+AC22*0.15</f>
        <v>167.54999999999998</v>
      </c>
      <c r="AD23" s="2">
        <f>+AD22*0.15</f>
        <v>161.17499999999998</v>
      </c>
    </row>
    <row r="24" spans="2:30" s="2" customFormat="1" x14ac:dyDescent="0.25">
      <c r="B24" s="2" t="s">
        <v>30</v>
      </c>
      <c r="C24" s="5"/>
      <c r="D24" s="5"/>
      <c r="E24" s="5"/>
      <c r="F24" s="5"/>
      <c r="G24" s="5">
        <f>+G22-G23</f>
        <v>82</v>
      </c>
      <c r="H24" s="5"/>
      <c r="I24" s="5"/>
      <c r="J24" s="5"/>
      <c r="K24" s="5">
        <f>+K22-K23</f>
        <v>75</v>
      </c>
      <c r="L24" s="5"/>
      <c r="M24" s="5"/>
      <c r="N24" s="5"/>
      <c r="P24" s="2">
        <f>+P22-P23</f>
        <v>174</v>
      </c>
      <c r="Q24" s="2">
        <f>+Q22-Q23</f>
        <v>256</v>
      </c>
      <c r="R24" s="2">
        <f>+R22-R23</f>
        <v>304</v>
      </c>
      <c r="S24" s="2">
        <f>+S22-S23</f>
        <v>355</v>
      </c>
      <c r="T24" s="2">
        <f>+T22-T23</f>
        <v>262</v>
      </c>
      <c r="U24" s="2">
        <f t="shared" ref="U24:AD24" si="11">+U22-U23</f>
        <v>442</v>
      </c>
      <c r="V24" s="2">
        <f t="shared" si="11"/>
        <v>401</v>
      </c>
      <c r="W24" s="2">
        <f t="shared" si="11"/>
        <v>471</v>
      </c>
      <c r="X24" s="2">
        <f t="shared" si="11"/>
        <v>388</v>
      </c>
      <c r="Y24" s="2">
        <f t="shared" si="11"/>
        <v>495</v>
      </c>
      <c r="Z24" s="2">
        <f t="shared" si="11"/>
        <v>408</v>
      </c>
      <c r="AA24" s="2">
        <f t="shared" si="11"/>
        <v>387</v>
      </c>
      <c r="AB24" s="2">
        <f t="shared" si="11"/>
        <v>803.46249999999998</v>
      </c>
      <c r="AC24" s="2">
        <f t="shared" si="11"/>
        <v>949.45</v>
      </c>
      <c r="AD24" s="2">
        <f t="shared" si="11"/>
        <v>913.32500000000005</v>
      </c>
    </row>
    <row r="25" spans="2:30" x14ac:dyDescent="0.25">
      <c r="B25" t="s">
        <v>29</v>
      </c>
      <c r="G25" s="4">
        <f>G24/G26</f>
        <v>0.40540273300769275</v>
      </c>
      <c r="K25" s="4">
        <f>K24/K26</f>
        <v>0.36982248520710059</v>
      </c>
      <c r="P25" s="1">
        <f t="shared" ref="P25:U25" si="12">+P24/P26</f>
        <v>0.16975609756097562</v>
      </c>
      <c r="Q25" s="1">
        <f t="shared" si="12"/>
        <v>0.24820993130596236</v>
      </c>
      <c r="R25" s="1">
        <f t="shared" si="12"/>
        <v>0.29090909090909089</v>
      </c>
      <c r="S25" s="1">
        <f t="shared" si="12"/>
        <v>0.34186552647291074</v>
      </c>
      <c r="T25" s="1">
        <f t="shared" si="12"/>
        <v>0.25192307692307692</v>
      </c>
      <c r="U25" s="1">
        <f t="shared" si="12"/>
        <v>0.42387510069431128</v>
      </c>
      <c r="V25" s="1">
        <f t="shared" ref="V25:Z25" si="13">+V24/V26</f>
        <v>0.38299904489016234</v>
      </c>
      <c r="W25" s="1">
        <f t="shared" si="13"/>
        <v>0.44992033257805303</v>
      </c>
      <c r="X25" s="1">
        <f t="shared" si="13"/>
        <v>0.37072070780902144</v>
      </c>
      <c r="Y25" s="1">
        <f t="shared" si="13"/>
        <v>0.47254242142192304</v>
      </c>
      <c r="Z25" s="1">
        <f t="shared" si="13"/>
        <v>0.38968481375358166</v>
      </c>
      <c r="AA25" s="1">
        <f>+AA24/AA26</f>
        <v>0.37215689442283945</v>
      </c>
      <c r="AB25" s="1">
        <f t="shared" ref="AB25:AD25" si="14">+AB24/AB26</f>
        <v>0.77264627593077684</v>
      </c>
      <c r="AC25" s="1">
        <f t="shared" si="14"/>
        <v>0.91303453077458641</v>
      </c>
      <c r="AD25" s="1">
        <f t="shared" si="14"/>
        <v>0.87829507906651128</v>
      </c>
    </row>
    <row r="26" spans="2:30" s="2" customFormat="1" x14ac:dyDescent="0.25">
      <c r="B26" s="2" t="s">
        <v>1</v>
      </c>
      <c r="C26" s="5"/>
      <c r="D26" s="5"/>
      <c r="E26" s="5"/>
      <c r="F26" s="5"/>
      <c r="G26" s="5">
        <v>202.268</v>
      </c>
      <c r="H26" s="5"/>
      <c r="I26" s="5"/>
      <c r="J26" s="5"/>
      <c r="K26" s="5">
        <v>202.8</v>
      </c>
      <c r="L26" s="5"/>
      <c r="M26" s="5"/>
      <c r="N26" s="5"/>
      <c r="O26" s="2">
        <f>207*5</f>
        <v>1035</v>
      </c>
      <c r="P26" s="2">
        <f>205*5</f>
        <v>1025</v>
      </c>
      <c r="Q26" s="2">
        <f>206.277*5</f>
        <v>1031.385</v>
      </c>
      <c r="R26" s="2">
        <f>209*5</f>
        <v>1045</v>
      </c>
      <c r="S26" s="2">
        <f>207.684*5</f>
        <v>1038.42</v>
      </c>
      <c r="T26" s="2">
        <f>208*5</f>
        <v>1040</v>
      </c>
      <c r="U26" s="2">
        <f>208.552*5</f>
        <v>1042.76</v>
      </c>
      <c r="V26" s="2">
        <v>1047</v>
      </c>
      <c r="W26" s="2">
        <v>1046.8520000000001</v>
      </c>
      <c r="X26" s="2">
        <f>209.322*5</f>
        <v>1046.6100000000001</v>
      </c>
      <c r="Y26" s="2">
        <f>209.505*5</f>
        <v>1047.5250000000001</v>
      </c>
      <c r="Z26" s="2">
        <v>1047</v>
      </c>
      <c r="AA26" s="2">
        <v>1039.884</v>
      </c>
      <c r="AB26" s="2">
        <f>+AA26</f>
        <v>1039.884</v>
      </c>
      <c r="AC26" s="2">
        <f>+AB26</f>
        <v>1039.884</v>
      </c>
      <c r="AD26" s="2">
        <f>+AC26</f>
        <v>1039.884</v>
      </c>
    </row>
    <row r="28" spans="2:30" x14ac:dyDescent="0.25">
      <c r="B28" s="2" t="s">
        <v>48</v>
      </c>
      <c r="K28" s="9">
        <f>K13/G13-1</f>
        <v>0.26617647058823524</v>
      </c>
      <c r="T28" s="11">
        <f t="shared" ref="T28:AD28" si="15">+T13/P13-1</f>
        <v>0.22186046511627899</v>
      </c>
      <c r="U28" s="11">
        <f t="shared" si="15"/>
        <v>0.222465034965035</v>
      </c>
      <c r="V28" s="11">
        <f t="shared" si="15"/>
        <v>0.21337710299548629</v>
      </c>
      <c r="W28" s="11">
        <f t="shared" si="15"/>
        <v>0.18632347291586626</v>
      </c>
      <c r="X28" s="11">
        <f t="shared" si="15"/>
        <v>0.22382946326608288</v>
      </c>
      <c r="Y28" s="11">
        <f t="shared" si="15"/>
        <v>0.21809081158383981</v>
      </c>
      <c r="Z28" s="11">
        <f t="shared" si="15"/>
        <v>0.20662833953331083</v>
      </c>
      <c r="AA28" s="11">
        <f t="shared" si="15"/>
        <v>0.22085492227979264</v>
      </c>
      <c r="AB28" s="11">
        <f t="shared" si="15"/>
        <v>0.2401244167962675</v>
      </c>
      <c r="AC28" s="11">
        <f t="shared" si="15"/>
        <v>0.20927502201350157</v>
      </c>
      <c r="AD28" s="11">
        <f t="shared" si="15"/>
        <v>0.22477578475336313</v>
      </c>
    </row>
    <row r="29" spans="2:30" x14ac:dyDescent="0.25">
      <c r="B29" t="s">
        <v>110</v>
      </c>
      <c r="Z29" s="11">
        <f>+Z8/V8-1</f>
        <v>0.26457399103139023</v>
      </c>
      <c r="AA29" s="11">
        <f>+AA8/W8-1</f>
        <v>0.25339366515837103</v>
      </c>
      <c r="AB29" s="11">
        <f>+AB8/X8-1</f>
        <v>0.2426778242677825</v>
      </c>
    </row>
    <row r="30" spans="2:30" x14ac:dyDescent="0.25">
      <c r="B30" s="2" t="s">
        <v>23</v>
      </c>
      <c r="U30" s="11">
        <f t="shared" ref="U30:AA30" si="16">+U15/U13</f>
        <v>0.79120486235252052</v>
      </c>
      <c r="V30" s="11">
        <f t="shared" si="16"/>
        <v>0.78660804869800471</v>
      </c>
      <c r="W30" s="11">
        <f t="shared" si="16"/>
        <v>0.78918393782383423</v>
      </c>
      <c r="X30" s="11">
        <f t="shared" si="16"/>
        <v>0.77480559875583199</v>
      </c>
      <c r="Y30" s="11">
        <f t="shared" si="16"/>
        <v>0.77282066334018196</v>
      </c>
      <c r="Z30" s="11">
        <f t="shared" si="16"/>
        <v>0.76625560538116588</v>
      </c>
      <c r="AA30" s="11">
        <f>+AA15/AA13</f>
        <v>0.75066312997347484</v>
      </c>
      <c r="AB30" s="11">
        <f t="shared" ref="AB30:AD30" si="17">+AB15/AB13</f>
        <v>0.75</v>
      </c>
      <c r="AC30" s="11">
        <f t="shared" si="17"/>
        <v>0.75</v>
      </c>
      <c r="AD30" s="11">
        <f t="shared" si="17"/>
        <v>0.75</v>
      </c>
    </row>
    <row r="31" spans="2:30" x14ac:dyDescent="0.25">
      <c r="Z31" s="11"/>
      <c r="AA31" s="11"/>
      <c r="AB31" s="11"/>
    </row>
    <row r="32" spans="2:30" x14ac:dyDescent="0.25">
      <c r="B32" t="s">
        <v>3</v>
      </c>
      <c r="K32" s="5">
        <f>2252+1762+1484</f>
        <v>5498</v>
      </c>
      <c r="T32" s="2">
        <f>2159+3254+3472</f>
        <v>8885</v>
      </c>
    </row>
    <row r="33" spans="2:20" x14ac:dyDescent="0.25">
      <c r="B33" t="s">
        <v>34</v>
      </c>
      <c r="K33" s="5">
        <v>824</v>
      </c>
      <c r="T33" s="2">
        <v>1518</v>
      </c>
    </row>
    <row r="34" spans="2:20" x14ac:dyDescent="0.25">
      <c r="B34" t="s">
        <v>35</v>
      </c>
      <c r="K34" s="5">
        <f>322+655</f>
        <v>977</v>
      </c>
      <c r="T34" s="2">
        <f>482+928</f>
        <v>1410</v>
      </c>
    </row>
    <row r="35" spans="2:20" x14ac:dyDescent="0.25">
      <c r="B35" t="s">
        <v>37</v>
      </c>
      <c r="K35" s="5">
        <v>282</v>
      </c>
      <c r="T35" s="2">
        <v>608</v>
      </c>
    </row>
    <row r="36" spans="2:20" x14ac:dyDescent="0.25">
      <c r="B36" t="s">
        <v>38</v>
      </c>
      <c r="K36" s="5">
        <v>798</v>
      </c>
      <c r="T36" s="2">
        <v>1606</v>
      </c>
    </row>
    <row r="37" spans="2:20" x14ac:dyDescent="0.25">
      <c r="B37" t="s">
        <v>39</v>
      </c>
      <c r="K37" s="5">
        <v>583</v>
      </c>
      <c r="T37" s="2">
        <v>675</v>
      </c>
    </row>
    <row r="38" spans="2:20" x14ac:dyDescent="0.25">
      <c r="B38" t="s">
        <v>40</v>
      </c>
      <c r="K38" s="5">
        <f>266+774</f>
        <v>1040</v>
      </c>
      <c r="T38" s="2">
        <f>220+1239</f>
        <v>1459</v>
      </c>
    </row>
    <row r="39" spans="2:20" x14ac:dyDescent="0.25">
      <c r="B39" t="s">
        <v>31</v>
      </c>
      <c r="K39" s="5">
        <v>686</v>
      </c>
      <c r="T39" s="2">
        <v>1447</v>
      </c>
    </row>
    <row r="40" spans="2:20" x14ac:dyDescent="0.25">
      <c r="B40" t="s">
        <v>41</v>
      </c>
      <c r="K40" s="5">
        <v>305</v>
      </c>
      <c r="T40" s="2">
        <v>599</v>
      </c>
    </row>
    <row r="41" spans="2:20" x14ac:dyDescent="0.25">
      <c r="B41" t="s">
        <v>36</v>
      </c>
      <c r="K41" s="5">
        <f>SUM(K32:K40)</f>
        <v>10993</v>
      </c>
      <c r="T41" s="2">
        <f>SUM(T32:T40)</f>
        <v>18207</v>
      </c>
    </row>
    <row r="43" spans="2:20" x14ac:dyDescent="0.25">
      <c r="B43" t="s">
        <v>44</v>
      </c>
      <c r="K43" s="5">
        <v>166</v>
      </c>
      <c r="T43" s="2">
        <v>296</v>
      </c>
    </row>
    <row r="44" spans="2:20" x14ac:dyDescent="0.25">
      <c r="B44" t="s">
        <v>45</v>
      </c>
      <c r="K44" s="5">
        <v>661</v>
      </c>
      <c r="T44" s="2">
        <v>1163</v>
      </c>
    </row>
    <row r="45" spans="2:20" x14ac:dyDescent="0.25">
      <c r="B45" t="s">
        <v>46</v>
      </c>
      <c r="K45" s="5">
        <f>3850+57</f>
        <v>3907</v>
      </c>
      <c r="T45" s="2">
        <f>5615+85</f>
        <v>5700</v>
      </c>
    </row>
    <row r="46" spans="2:20" x14ac:dyDescent="0.25">
      <c r="B46" t="s">
        <v>39</v>
      </c>
      <c r="K46" s="5">
        <f>87+548</f>
        <v>635</v>
      </c>
      <c r="T46" s="2">
        <f>98+669</f>
        <v>767</v>
      </c>
    </row>
    <row r="47" spans="2:20" x14ac:dyDescent="0.25">
      <c r="B47" t="s">
        <v>4</v>
      </c>
      <c r="K47" s="5">
        <f>88+1484</f>
        <v>1572</v>
      </c>
      <c r="T47" s="2">
        <v>1488</v>
      </c>
    </row>
    <row r="48" spans="2:20" x14ac:dyDescent="0.25">
      <c r="B48" t="s">
        <v>47</v>
      </c>
      <c r="K48" s="5">
        <v>55</v>
      </c>
      <c r="T48" s="2">
        <v>127</v>
      </c>
    </row>
    <row r="49" spans="2:27" x14ac:dyDescent="0.25">
      <c r="B49" t="s">
        <v>43</v>
      </c>
      <c r="K49" s="5">
        <v>3997</v>
      </c>
      <c r="T49" s="2">
        <v>8666</v>
      </c>
    </row>
    <row r="50" spans="2:27" x14ac:dyDescent="0.25">
      <c r="B50" t="s">
        <v>42</v>
      </c>
      <c r="K50" s="5">
        <f>SUM(K43:K49)</f>
        <v>10993</v>
      </c>
      <c r="T50" s="2">
        <f>SUM(T43:T49)</f>
        <v>18207</v>
      </c>
    </row>
    <row r="53" spans="2:27" x14ac:dyDescent="0.25">
      <c r="B53" t="s">
        <v>49</v>
      </c>
      <c r="K53" s="5">
        <f>+Model!K24</f>
        <v>75</v>
      </c>
      <c r="T53" s="2">
        <f>+T24</f>
        <v>262</v>
      </c>
    </row>
    <row r="54" spans="2:27" x14ac:dyDescent="0.25">
      <c r="B54" t="s">
        <v>50</v>
      </c>
      <c r="K54" s="3">
        <v>75</v>
      </c>
      <c r="T54">
        <v>262</v>
      </c>
    </row>
    <row r="55" spans="2:27" x14ac:dyDescent="0.25">
      <c r="B55" t="s">
        <v>51</v>
      </c>
      <c r="K55" s="3">
        <v>101</v>
      </c>
      <c r="T55">
        <v>136</v>
      </c>
    </row>
    <row r="56" spans="2:27" x14ac:dyDescent="0.25">
      <c r="B56" t="s">
        <v>52</v>
      </c>
      <c r="K56" s="3">
        <v>83</v>
      </c>
      <c r="T56">
        <v>132</v>
      </c>
    </row>
    <row r="57" spans="2:27" x14ac:dyDescent="0.25">
      <c r="B57" t="s">
        <v>53</v>
      </c>
      <c r="K57" s="3">
        <v>325</v>
      </c>
      <c r="T57">
        <v>444</v>
      </c>
    </row>
    <row r="58" spans="2:27" x14ac:dyDescent="0.25">
      <c r="B58" t="s">
        <v>31</v>
      </c>
      <c r="K58" s="3">
        <v>-2</v>
      </c>
      <c r="T58">
        <v>24</v>
      </c>
    </row>
    <row r="59" spans="2:27" x14ac:dyDescent="0.25">
      <c r="B59" t="s">
        <v>41</v>
      </c>
      <c r="K59" s="3">
        <v>15</v>
      </c>
      <c r="T59">
        <v>-7</v>
      </c>
    </row>
    <row r="60" spans="2:27" x14ac:dyDescent="0.25">
      <c r="B60" t="s">
        <v>54</v>
      </c>
      <c r="K60" s="3">
        <f>562-137-46+69+21-203</f>
        <v>266</v>
      </c>
      <c r="T60">
        <f>-216-141-146+65-82+149</f>
        <v>-371</v>
      </c>
    </row>
    <row r="61" spans="2:27" s="2" customFormat="1" x14ac:dyDescent="0.25">
      <c r="B61" s="2" t="s">
        <v>55</v>
      </c>
      <c r="C61" s="5"/>
      <c r="D61" s="5"/>
      <c r="E61" s="5"/>
      <c r="F61" s="5"/>
      <c r="G61" s="5"/>
      <c r="H61" s="5"/>
      <c r="I61" s="5"/>
      <c r="J61" s="5"/>
      <c r="K61" s="5">
        <f>SUM(K54:K60)</f>
        <v>863</v>
      </c>
      <c r="L61" s="5"/>
      <c r="M61" s="5"/>
      <c r="N61" s="5"/>
      <c r="R61" s="2">
        <f>3398-Q61-P61-O61</f>
        <v>3398</v>
      </c>
      <c r="S61" s="2">
        <v>1341</v>
      </c>
      <c r="T61" s="2">
        <f>SUM(T54:T60)</f>
        <v>620</v>
      </c>
      <c r="U61" s="2">
        <f>2632-T61-S61</f>
        <v>671</v>
      </c>
      <c r="V61" s="2">
        <f>4267-U61-T61-S61</f>
        <v>1635</v>
      </c>
      <c r="W61" s="2">
        <v>1677</v>
      </c>
      <c r="X61" s="2">
        <f>2393-W61</f>
        <v>716</v>
      </c>
      <c r="Y61" s="2">
        <f>3206-X61-W61</f>
        <v>813</v>
      </c>
      <c r="Z61" s="2">
        <f>5444-Y61-X61-W61</f>
        <v>2238</v>
      </c>
      <c r="AA61" s="2">
        <v>1670</v>
      </c>
    </row>
    <row r="63" spans="2:27" x14ac:dyDescent="0.25">
      <c r="B63" t="s">
        <v>56</v>
      </c>
      <c r="K63" s="3">
        <v>-93</v>
      </c>
      <c r="T63">
        <v>-262</v>
      </c>
    </row>
    <row r="64" spans="2:27" x14ac:dyDescent="0.25">
      <c r="B64" t="s">
        <v>101</v>
      </c>
      <c r="T64">
        <f>-31-9</f>
        <v>-40</v>
      </c>
    </row>
    <row r="65" spans="2:20" x14ac:dyDescent="0.25">
      <c r="B65" t="s">
        <v>57</v>
      </c>
      <c r="K65" s="3">
        <f>-662-101+577-1</f>
        <v>-187</v>
      </c>
      <c r="T65">
        <f>-1055-46+1040-8</f>
        <v>-69</v>
      </c>
    </row>
    <row r="66" spans="2:20" x14ac:dyDescent="0.25">
      <c r="B66" t="s">
        <v>58</v>
      </c>
      <c r="K66" s="3">
        <f>SUM(K63:K65)</f>
        <v>-280</v>
      </c>
      <c r="T66">
        <f>SUM(T63:T65)</f>
        <v>-371</v>
      </c>
    </row>
    <row r="68" spans="2:20" x14ac:dyDescent="0.25">
      <c r="B68" t="s">
        <v>59</v>
      </c>
      <c r="K68" s="3">
        <v>-6</v>
      </c>
      <c r="T68">
        <v>0</v>
      </c>
    </row>
    <row r="69" spans="2:20" x14ac:dyDescent="0.25">
      <c r="B69" t="s">
        <v>60</v>
      </c>
      <c r="K69" s="3">
        <v>105</v>
      </c>
      <c r="T69">
        <v>-137</v>
      </c>
    </row>
    <row r="70" spans="2:20" x14ac:dyDescent="0.25">
      <c r="B70" t="s">
        <v>31</v>
      </c>
      <c r="K70" s="3">
        <v>-150</v>
      </c>
      <c r="T70">
        <v>0</v>
      </c>
    </row>
    <row r="71" spans="2:20" x14ac:dyDescent="0.25">
      <c r="B71" t="s">
        <v>61</v>
      </c>
      <c r="K71" s="3">
        <f>SUM(K68:K70)</f>
        <v>-51</v>
      </c>
      <c r="T71">
        <f>SUM(T68:T70)</f>
        <v>-137</v>
      </c>
    </row>
    <row r="72" spans="2:20" x14ac:dyDescent="0.25">
      <c r="B72" t="s">
        <v>62</v>
      </c>
      <c r="K72" s="3">
        <v>-5</v>
      </c>
      <c r="T72">
        <v>-9</v>
      </c>
    </row>
    <row r="73" spans="2:20" x14ac:dyDescent="0.25">
      <c r="B73" t="s">
        <v>63</v>
      </c>
      <c r="K73" s="5">
        <f>+K71+K72+K66+K61</f>
        <v>527</v>
      </c>
      <c r="T73">
        <f>+T71+T66+T61+T72</f>
        <v>103</v>
      </c>
    </row>
  </sheetData>
  <hyperlinks>
    <hyperlink ref="A1" location="Main!A1" display="Main" xr:uid="{A9151361-E246-479F-86B4-617E3B597693}"/>
  </hyperlink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2022-07-26T02:29:14Z</dcterms:created>
  <dcterms:modified xsi:type="dcterms:W3CDTF">2026-07-22T20:10:33Z</dcterms:modified>
</cp:coreProperties>
</file>