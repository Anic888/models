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C3B42A0-0E75-4FA5-856C-B9328F5F86EE}" xr6:coauthVersionLast="47" xr6:coauthVersionMax="47" xr10:uidLastSave="{00000000-0000-0000-0000-000000000000}"/>
  <bookViews>
    <workbookView xWindow="380" yWindow="380" windowWidth="19050" windowHeight="16100" xr2:uid="{20CAC1B9-0FFE-44BE-B9CE-C76FF9530266}"/>
  </bookViews>
  <sheets>
    <sheet name="Main" sheetId="1" r:id="rId1"/>
    <sheet name="ulixacaltam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2" l="1"/>
  <c r="J22" i="2"/>
  <c r="L4" i="1" l="1"/>
  <c r="L7" i="1" s="1"/>
</calcChain>
</file>

<file path=xl/sharedStrings.xml><?xml version="1.0" encoding="utf-8"?>
<sst xmlns="http://schemas.openxmlformats.org/spreadsheetml/2006/main" count="102" uniqueCount="73">
  <si>
    <t>Price</t>
  </si>
  <si>
    <t>Shares</t>
  </si>
  <si>
    <t>MC</t>
  </si>
  <si>
    <t>Cash</t>
  </si>
  <si>
    <t>Debt</t>
  </si>
  <si>
    <t>EV</t>
  </si>
  <si>
    <t>Name</t>
  </si>
  <si>
    <t>vormatrigine</t>
  </si>
  <si>
    <t>ulixacaltamide</t>
  </si>
  <si>
    <t>relutrigine</t>
  </si>
  <si>
    <t>elsunersen</t>
  </si>
  <si>
    <t>Main</t>
  </si>
  <si>
    <t>Brand</t>
  </si>
  <si>
    <t>Generic</t>
  </si>
  <si>
    <t>Indication</t>
  </si>
  <si>
    <t>Essential Tremor</t>
  </si>
  <si>
    <t>Clinical Trials</t>
  </si>
  <si>
    <t>Regulatory</t>
  </si>
  <si>
    <t>1/29/27 PDUFA</t>
  </si>
  <si>
    <t>Founded 2015 as EpiPM Therapeutics, Inc.</t>
  </si>
  <si>
    <t>Raised $3m in 2016</t>
  </si>
  <si>
    <t>Raised $19m in 2018</t>
  </si>
  <si>
    <t>Raised $10m in 2019</t>
  </si>
  <si>
    <t>PRAX-114 GABA_A PAM for depression</t>
  </si>
  <si>
    <t>PRAX-944 T-type CCB for ET</t>
  </si>
  <si>
    <t>PRAX-562 persistent Na current blocker</t>
  </si>
  <si>
    <t>PRAX-222 SCN2A epilepsy</t>
  </si>
  <si>
    <t>KCNT1 inhibitor</t>
  </si>
  <si>
    <t>PRAX-944</t>
  </si>
  <si>
    <t>R&amp;D</t>
  </si>
  <si>
    <t>spent $2.3m in 2018, $4.0m in 2019.</t>
  </si>
  <si>
    <t>Phase IIa in 2019</t>
  </si>
  <si>
    <t>up to 7m US patients</t>
  </si>
  <si>
    <t>MOA</t>
  </si>
  <si>
    <t>selective inhibitor of T-type calcium channels</t>
  </si>
  <si>
    <t>n=100 healthy volunteers across 4 trials</t>
  </si>
  <si>
    <t>PD effect using EEG</t>
  </si>
  <si>
    <t>Phase IIa POC open-label AUS/NZ</t>
  </si>
  <si>
    <t>propranolol, primidone used</t>
  </si>
  <si>
    <t>HEK CELLS</t>
  </si>
  <si>
    <t xml:space="preserve"> </t>
  </si>
  <si>
    <t>RAT DRG NEURONS</t>
  </si>
  <si>
    <t>Channel</t>
  </si>
  <si>
    <t xml:space="preserve">  </t>
  </si>
  <si>
    <t>IC50 (nM)</t>
  </si>
  <si>
    <t>hCaV3.1</t>
  </si>
  <si>
    <t>T-Type</t>
  </si>
  <si>
    <t>hCaV3.2</t>
  </si>
  <si>
    <t>N-Type</t>
  </si>
  <si>
    <t>hCaV3.3</t>
  </si>
  <si>
    <t>rCaV1.2 (L-Type)</t>
  </si>
  <si>
    <t>rCaV2.2 (N-Type)</t>
  </si>
  <si>
    <t>hNaV1.5</t>
  </si>
  <si>
    <t>hERG</t>
  </si>
  <si>
    <t>IP</t>
  </si>
  <si>
    <t>2029?</t>
  </si>
  <si>
    <t>Kiran Reddy initial CEO, resigned 2020. Nicholas Galakatos</t>
  </si>
  <si>
    <t>Marcio Souza took over as CEO in 2020.</t>
  </si>
  <si>
    <t>Calcium channel blockers</t>
  </si>
  <si>
    <t>11767325 filed 11/25/2020, issued 9/26/2023</t>
  </si>
  <si>
    <t>11014931 filed 11/24/2020, issued 5/25/2021</t>
  </si>
  <si>
    <t>11918571 filed 3/4/2022, issued 3/5/2024</t>
  </si>
  <si>
    <t>9096522 filed 8/29/2013 by Zalicus, issued 8/4/2015</t>
  </si>
  <si>
    <t>2021-188839 application filed 11/28/2017</t>
  </si>
  <si>
    <t>8377968 filed by Zalicus</t>
  </si>
  <si>
    <t>US20220241258A1 dosing patent maturing</t>
  </si>
  <si>
    <t>Phase III Essential3 - 10/16/25 PR results - NCT06087276</t>
  </si>
  <si>
    <t>Study 2 (randomized withdrawal) p=0.0369</t>
  </si>
  <si>
    <t>Study 1 (parallel design) n=199 ulix, n=233 placebo</t>
  </si>
  <si>
    <t>Day 56 CFB mADL11 -4.3 vs. -1.7 for placebo; p&lt;0.0001</t>
  </si>
  <si>
    <t>Day 84 CFB mADL11 -3.4 vs. -1.9 for placebo; p&lt;0.0049</t>
  </si>
  <si>
    <t>Q126</t>
  </si>
  <si>
    <t>9/27/26 PDUFA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</si>
</sst>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3" fillId="0" borderId="0" xfId="1" applyFont="1"/>
    <xf numFmtId="0" fontId="1" fillId="0" borderId="0" xfId="0" quotePrefix="1" applyFont="1"/>
    <xf numFmtId="0" fontId="1" fillId="0" borderId="1" xfId="0" applyFont="1" applyBorder="1"/>
    <xf numFmtId="0" fontId="1" fillId="0" borderId="2" xfId="0" applyFont="1" applyBorder="1"/>
    <xf numFmtId="0" fontId="3" fillId="0" borderId="1" xfId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556334</xdr:colOff>
      <xdr:row>6</xdr:row>
      <xdr:rowOff>19537</xdr:rowOff>
    </xdr:from>
    <xdr:to>
      <xdr:col>10</xdr:col>
      <xdr:colOff>491500</xdr:colOff>
      <xdr:row>17</xdr:row>
      <xdr:rowOff>16319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BD4BD2-9728-01B0-EF61-406B497A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1180" y="986691"/>
          <a:ext cx="2377474" cy="1769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2B26-F142-44B2-AD5E-74816F8A1D39}">
  <dimension ref="B2:M15"/>
  <sheetViews>
    <sheetView tabSelected="1" zoomScale="145" zoomScaleNormal="145" workbookViewId="0">
      <selection activeCell="E6" sqref="E6"/>
    </sheetView>
  </sheetViews>
  <sheetFormatPr defaultRowHeight="12.5" x14ac:dyDescent="0.25"/>
  <cols>
    <col min="1" max="1" width="4.08984375" style="1" customWidth="1"/>
    <col min="2" max="2" width="12" style="1" bestFit="1" customWidth="1"/>
    <col min="3" max="16384" width="8.7265625" style="1"/>
  </cols>
  <sheetData>
    <row r="2" spans="2:13" x14ac:dyDescent="0.25">
      <c r="B2" s="12" t="s">
        <v>6</v>
      </c>
      <c r="C2" s="13" t="s">
        <v>14</v>
      </c>
      <c r="D2" s="13" t="s">
        <v>33</v>
      </c>
      <c r="E2" s="13" t="s">
        <v>17</v>
      </c>
      <c r="F2" s="13"/>
      <c r="G2" s="13"/>
      <c r="H2" s="14"/>
      <c r="K2" s="1" t="s">
        <v>0</v>
      </c>
      <c r="L2" s="2">
        <v>305</v>
      </c>
    </row>
    <row r="3" spans="2:13" x14ac:dyDescent="0.25">
      <c r="B3" s="6" t="s">
        <v>7</v>
      </c>
      <c r="H3" s="7"/>
      <c r="K3" s="1" t="s">
        <v>1</v>
      </c>
      <c r="L3" s="3">
        <v>27.9</v>
      </c>
      <c r="M3" s="16" t="s">
        <v>71</v>
      </c>
    </row>
    <row r="4" spans="2:13" x14ac:dyDescent="0.25">
      <c r="B4" s="8" t="s">
        <v>8</v>
      </c>
      <c r="C4" s="1" t="s">
        <v>15</v>
      </c>
      <c r="D4" s="1" t="s">
        <v>58</v>
      </c>
      <c r="E4" s="1" t="s">
        <v>18</v>
      </c>
      <c r="H4" s="7"/>
      <c r="K4" s="1" t="s">
        <v>2</v>
      </c>
      <c r="L4" s="3">
        <f>L2*L3</f>
        <v>8509.5</v>
      </c>
      <c r="M4" s="16"/>
    </row>
    <row r="5" spans="2:13" x14ac:dyDescent="0.25">
      <c r="B5" s="6" t="s">
        <v>9</v>
      </c>
      <c r="E5" s="1" t="s">
        <v>72</v>
      </c>
      <c r="H5" s="7"/>
      <c r="K5" s="1" t="s">
        <v>3</v>
      </c>
      <c r="L5" s="3">
        <v>1400</v>
      </c>
      <c r="M5" s="16" t="s">
        <v>71</v>
      </c>
    </row>
    <row r="6" spans="2:13" x14ac:dyDescent="0.25">
      <c r="B6" s="6" t="s">
        <v>10</v>
      </c>
      <c r="H6" s="7"/>
      <c r="K6" s="1" t="s">
        <v>4</v>
      </c>
      <c r="L6" s="3">
        <v>0</v>
      </c>
      <c r="M6" s="16" t="s">
        <v>71</v>
      </c>
    </row>
    <row r="7" spans="2:13" x14ac:dyDescent="0.25">
      <c r="B7" s="9"/>
      <c r="C7" s="10"/>
      <c r="D7" s="10"/>
      <c r="E7" s="10"/>
      <c r="F7" s="10"/>
      <c r="G7" s="10"/>
      <c r="H7" s="11"/>
      <c r="K7" s="1" t="s">
        <v>5</v>
      </c>
      <c r="L7" s="3">
        <f>L4-L5+L6</f>
        <v>7109.5</v>
      </c>
    </row>
    <row r="9" spans="2:13" x14ac:dyDescent="0.25">
      <c r="B9" s="1" t="s">
        <v>23</v>
      </c>
      <c r="K9" s="1" t="s">
        <v>19</v>
      </c>
    </row>
    <row r="10" spans="2:13" x14ac:dyDescent="0.25">
      <c r="B10" s="1" t="s">
        <v>24</v>
      </c>
      <c r="K10" s="1" t="s">
        <v>56</v>
      </c>
    </row>
    <row r="11" spans="2:13" x14ac:dyDescent="0.25">
      <c r="B11" s="1" t="s">
        <v>25</v>
      </c>
      <c r="K11" s="1" t="s">
        <v>20</v>
      </c>
    </row>
    <row r="12" spans="2:13" x14ac:dyDescent="0.25">
      <c r="B12" s="1" t="s">
        <v>26</v>
      </c>
      <c r="K12" s="1" t="s">
        <v>21</v>
      </c>
    </row>
    <row r="13" spans="2:13" x14ac:dyDescent="0.25">
      <c r="B13" s="1" t="s">
        <v>27</v>
      </c>
      <c r="K13" s="1" t="s">
        <v>22</v>
      </c>
    </row>
    <row r="15" spans="2:13" x14ac:dyDescent="0.25">
      <c r="K15" s="1" t="s">
        <v>57</v>
      </c>
    </row>
  </sheetData>
  <hyperlinks>
    <hyperlink ref="B4" location="ulixacaltamide!A1" display="ulixacaltamide" xr:uid="{58C32D1E-CCAC-4894-8C11-09DE860BE8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AE61-901D-49E7-A94E-052201AD24A9}">
  <dimension ref="A1:P50"/>
  <sheetViews>
    <sheetView zoomScale="130" zoomScaleNormal="130" workbookViewId="0"/>
  </sheetViews>
  <sheetFormatPr defaultRowHeight="12.5" x14ac:dyDescent="0.25"/>
  <cols>
    <col min="1" max="1" width="4.7265625" style="1" bestFit="1" customWidth="1"/>
    <col min="2" max="2" width="11.90625" style="1" bestFit="1" customWidth="1"/>
    <col min="3" max="16384" width="8.7265625" style="1"/>
  </cols>
  <sheetData>
    <row r="1" spans="1:4" x14ac:dyDescent="0.25">
      <c r="A1" s="4" t="s">
        <v>11</v>
      </c>
    </row>
    <row r="2" spans="1:4" x14ac:dyDescent="0.25">
      <c r="B2" s="1" t="s">
        <v>12</v>
      </c>
      <c r="C2" s="1" t="s">
        <v>28</v>
      </c>
    </row>
    <row r="3" spans="1:4" x14ac:dyDescent="0.25">
      <c r="B3" s="1" t="s">
        <v>13</v>
      </c>
      <c r="C3" s="5" t="s">
        <v>8</v>
      </c>
    </row>
    <row r="4" spans="1:4" x14ac:dyDescent="0.25">
      <c r="B4" s="1" t="s">
        <v>14</v>
      </c>
      <c r="C4" s="1" t="s">
        <v>15</v>
      </c>
    </row>
    <row r="5" spans="1:4" x14ac:dyDescent="0.25">
      <c r="D5" s="1" t="s">
        <v>32</v>
      </c>
    </row>
    <row r="6" spans="1:4" x14ac:dyDescent="0.25">
      <c r="B6" s="1" t="s">
        <v>17</v>
      </c>
      <c r="C6" s="1" t="s">
        <v>18</v>
      </c>
    </row>
    <row r="7" spans="1:4" x14ac:dyDescent="0.25">
      <c r="B7" s="1" t="s">
        <v>54</v>
      </c>
      <c r="C7" s="1" t="s">
        <v>55</v>
      </c>
    </row>
    <row r="8" spans="1:4" x14ac:dyDescent="0.25">
      <c r="C8" s="1" t="s">
        <v>59</v>
      </c>
    </row>
    <row r="9" spans="1:4" x14ac:dyDescent="0.25">
      <c r="C9" s="1" t="s">
        <v>60</v>
      </c>
    </row>
    <row r="10" spans="1:4" x14ac:dyDescent="0.25">
      <c r="C10" s="1" t="s">
        <v>61</v>
      </c>
    </row>
    <row r="11" spans="1:4" x14ac:dyDescent="0.25">
      <c r="C11" s="1" t="s">
        <v>62</v>
      </c>
    </row>
    <row r="12" spans="1:4" x14ac:dyDescent="0.25">
      <c r="C12" s="1" t="s">
        <v>64</v>
      </c>
    </row>
    <row r="13" spans="1:4" x14ac:dyDescent="0.25">
      <c r="C13" s="1" t="s">
        <v>63</v>
      </c>
    </row>
    <row r="14" spans="1:4" x14ac:dyDescent="0.25">
      <c r="C14" s="1" t="s">
        <v>65</v>
      </c>
    </row>
    <row r="15" spans="1:4" x14ac:dyDescent="0.25">
      <c r="B15" s="1" t="s">
        <v>33</v>
      </c>
      <c r="C15" s="1" t="s">
        <v>34</v>
      </c>
    </row>
    <row r="16" spans="1:4" x14ac:dyDescent="0.25">
      <c r="D16" s="1" t="s">
        <v>38</v>
      </c>
    </row>
    <row r="17" spans="2:10" x14ac:dyDescent="0.25">
      <c r="B17" s="1" t="s">
        <v>29</v>
      </c>
      <c r="C17" s="1" t="s">
        <v>30</v>
      </c>
    </row>
    <row r="18" spans="2:10" x14ac:dyDescent="0.25">
      <c r="D18" s="1" t="s">
        <v>31</v>
      </c>
    </row>
    <row r="19" spans="2:10" x14ac:dyDescent="0.25">
      <c r="B19" s="1" t="s">
        <v>16</v>
      </c>
    </row>
    <row r="20" spans="2:10" ht="13" x14ac:dyDescent="0.3">
      <c r="C20" s="15" t="s">
        <v>66</v>
      </c>
    </row>
    <row r="21" spans="2:10" x14ac:dyDescent="0.25">
      <c r="C21" s="1" t="s">
        <v>68</v>
      </c>
    </row>
    <row r="22" spans="2:10" x14ac:dyDescent="0.25">
      <c r="D22" s="1" t="s">
        <v>69</v>
      </c>
      <c r="J22" s="1">
        <f>4.3-1.7</f>
        <v>2.5999999999999996</v>
      </c>
    </row>
    <row r="23" spans="2:10" x14ac:dyDescent="0.25">
      <c r="D23" s="1" t="s">
        <v>70</v>
      </c>
      <c r="J23" s="1">
        <f>3.4-1.9</f>
        <v>1.5</v>
      </c>
    </row>
    <row r="25" spans="2:10" x14ac:dyDescent="0.25">
      <c r="C25" s="1" t="s">
        <v>67</v>
      </c>
    </row>
    <row r="30" spans="2:10" ht="13" x14ac:dyDescent="0.3">
      <c r="C30" s="15" t="s">
        <v>37</v>
      </c>
    </row>
    <row r="32" spans="2:10" ht="13" x14ac:dyDescent="0.3">
      <c r="C32" s="15" t="s">
        <v>35</v>
      </c>
    </row>
    <row r="33" spans="3:16" x14ac:dyDescent="0.25">
      <c r="C33" s="1" t="s">
        <v>36</v>
      </c>
    </row>
    <row r="36" spans="3:16" ht="13" x14ac:dyDescent="0.3">
      <c r="C36" s="15" t="s">
        <v>39</v>
      </c>
      <c r="G36" s="15" t="s">
        <v>41</v>
      </c>
    </row>
    <row r="37" spans="3:16" x14ac:dyDescent="0.25">
      <c r="C37" s="1" t="s">
        <v>42</v>
      </c>
      <c r="D37" s="1" t="s">
        <v>43</v>
      </c>
      <c r="E37" s="1" t="s">
        <v>44</v>
      </c>
      <c r="F37" s="1" t="s">
        <v>40</v>
      </c>
      <c r="G37" s="1" t="s">
        <v>42</v>
      </c>
      <c r="H37" s="1" t="s">
        <v>44</v>
      </c>
      <c r="I37" s="1" t="s">
        <v>40</v>
      </c>
      <c r="J37" s="1" t="s">
        <v>40</v>
      </c>
      <c r="N37" s="1" t="s">
        <v>40</v>
      </c>
    </row>
    <row r="38" spans="3:16" x14ac:dyDescent="0.25">
      <c r="C38" s="1" t="s">
        <v>45</v>
      </c>
      <c r="E38" s="1">
        <v>202</v>
      </c>
      <c r="G38" s="1" t="s">
        <v>46</v>
      </c>
      <c r="H38" s="1">
        <v>50</v>
      </c>
    </row>
    <row r="39" spans="3:16" x14ac:dyDescent="0.25">
      <c r="C39" s="1" t="s">
        <v>47</v>
      </c>
      <c r="E39" s="1">
        <v>240</v>
      </c>
      <c r="G39" s="1" t="s">
        <v>48</v>
      </c>
      <c r="H39" s="3">
        <v>10000</v>
      </c>
    </row>
    <row r="40" spans="3:16" x14ac:dyDescent="0.25">
      <c r="C40" s="1" t="s">
        <v>49</v>
      </c>
      <c r="E40" s="1">
        <v>188</v>
      </c>
      <c r="F40" s="1" t="s">
        <v>40</v>
      </c>
      <c r="G40" s="1" t="s">
        <v>40</v>
      </c>
      <c r="H40" s="1" t="s">
        <v>43</v>
      </c>
      <c r="N40" s="1" t="s">
        <v>40</v>
      </c>
      <c r="P40" s="1" t="s">
        <v>40</v>
      </c>
    </row>
    <row r="41" spans="3:16" x14ac:dyDescent="0.25">
      <c r="C41" s="1" t="s">
        <v>50</v>
      </c>
      <c r="E41" s="3">
        <v>32000</v>
      </c>
    </row>
    <row r="42" spans="3:16" x14ac:dyDescent="0.25">
      <c r="C42" s="1" t="s">
        <v>51</v>
      </c>
      <c r="E42" s="3">
        <v>11000</v>
      </c>
    </row>
    <row r="43" spans="3:16" x14ac:dyDescent="0.25">
      <c r="C43" s="1" t="s">
        <v>52</v>
      </c>
      <c r="E43" s="3">
        <v>100000</v>
      </c>
      <c r="F43" s="1" t="s">
        <v>40</v>
      </c>
      <c r="G43" s="1" t="s">
        <v>40</v>
      </c>
      <c r="K43" s="1" t="s">
        <v>40</v>
      </c>
      <c r="M43" s="1" t="s">
        <v>43</v>
      </c>
      <c r="N43" s="1" t="s">
        <v>40</v>
      </c>
      <c r="P43" s="1" t="s">
        <v>40</v>
      </c>
    </row>
    <row r="44" spans="3:16" x14ac:dyDescent="0.25">
      <c r="C44" s="1" t="s">
        <v>53</v>
      </c>
      <c r="E44" s="3">
        <v>7800</v>
      </c>
    </row>
    <row r="50" spans="3:11" x14ac:dyDescent="0.25">
      <c r="C50" s="1" t="s">
        <v>43</v>
      </c>
      <c r="D50" s="1" t="s">
        <v>40</v>
      </c>
      <c r="F50" s="1" t="s">
        <v>40</v>
      </c>
      <c r="G50" s="1" t="s">
        <v>40</v>
      </c>
      <c r="K50" s="1" t="s">
        <v>40</v>
      </c>
    </row>
  </sheetData>
  <hyperlinks>
    <hyperlink ref="A1" location="Main!A1" display="Main" xr:uid="{3338DD71-D6C1-4C1C-8236-383F656186A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ulixacaltamide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2026-06-18T22:41:51Z</dcterms:created>
  <dcterms:modified xsi:type="dcterms:W3CDTF">2026-07-23T19:38:28Z</dcterms:modified>
</cp:coreProperties>
</file>