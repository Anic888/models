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8612018-CE66-4346-8C7E-3A10A95363DA}" xr6:coauthVersionLast="47" xr6:coauthVersionMax="47" xr10:uidLastSave="{00000000-0000-0000-0000-000000000000}"/>
  <bookViews>
    <workbookView xWindow="18040" yWindow="7930" windowWidth="19890" windowHeight="10280" activeTab="1" xr2:uid="{7A46CFB4-7742-4D8C-B921-902967A33E9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F14" i="2"/>
  <c r="E14" i="2"/>
  <c r="D14" i="2"/>
  <c r="C14" i="2"/>
  <c r="G9" i="2"/>
  <c r="G11" i="2" s="1"/>
  <c r="G15" i="2" s="1"/>
  <c r="G17" i="2" s="1"/>
  <c r="G19" i="2" s="1"/>
  <c r="G20" i="2" s="1"/>
  <c r="F9" i="2"/>
  <c r="F11" i="2" s="1"/>
  <c r="F15" i="2" s="1"/>
  <c r="F17" i="2" s="1"/>
  <c r="F19" i="2" s="1"/>
  <c r="E9" i="2"/>
  <c r="E11" i="2" s="1"/>
  <c r="E15" i="2" s="1"/>
  <c r="E17" i="2" s="1"/>
  <c r="E19" i="2" s="1"/>
  <c r="D9" i="2"/>
  <c r="D11" i="2" s="1"/>
  <c r="D15" i="2" s="1"/>
  <c r="D17" i="2" s="1"/>
  <c r="D19" i="2" s="1"/>
  <c r="C9" i="2"/>
  <c r="C11" i="2" s="1"/>
  <c r="C15" i="2" s="1"/>
  <c r="C17" i="2" s="1"/>
  <c r="C19" i="2" s="1"/>
  <c r="C20" i="2" s="1"/>
  <c r="K9" i="2"/>
  <c r="J9" i="2"/>
  <c r="I9" i="2"/>
  <c r="H9" i="2"/>
  <c r="K11" i="2"/>
  <c r="J11" i="2"/>
  <c r="I11" i="2"/>
  <c r="H11" i="2"/>
  <c r="K14" i="2"/>
  <c r="K15" i="2" s="1"/>
  <c r="K17" i="2" s="1"/>
  <c r="K19" i="2" s="1"/>
  <c r="J14" i="2"/>
  <c r="J15" i="2" s="1"/>
  <c r="J17" i="2" s="1"/>
  <c r="J19" i="2" s="1"/>
  <c r="I14" i="2"/>
  <c r="I15" i="2" s="1"/>
  <c r="I17" i="2" s="1"/>
  <c r="I19" i="2" s="1"/>
  <c r="H14" i="2"/>
  <c r="H15" i="2" s="1"/>
  <c r="H17" i="2" s="1"/>
  <c r="H19" i="2" s="1"/>
  <c r="H20" i="2" s="1"/>
  <c r="L14" i="2"/>
  <c r="L11" i="2"/>
  <c r="L15" i="2" s="1"/>
  <c r="L17" i="2" s="1"/>
  <c r="L19" i="2" s="1"/>
  <c r="L20" i="2" s="1"/>
  <c r="L9" i="2"/>
  <c r="AC12" i="2"/>
  <c r="AD12" i="2" s="1"/>
  <c r="AC13" i="2"/>
  <c r="AD13" i="2" s="1"/>
  <c r="AE13" i="2" s="1"/>
  <c r="AF13" i="2" s="1"/>
  <c r="AG13" i="2" s="1"/>
  <c r="AH13" i="2" s="1"/>
  <c r="AC3" i="2"/>
  <c r="AD3" i="2" s="1"/>
  <c r="AE3" i="2" s="1"/>
  <c r="AF3" i="2" s="1"/>
  <c r="AG3" i="2" s="1"/>
  <c r="AH3" i="2" s="1"/>
  <c r="S23" i="2"/>
  <c r="R23" i="2"/>
  <c r="T9" i="2"/>
  <c r="U9" i="2" s="1"/>
  <c r="S11" i="2"/>
  <c r="R27" i="2"/>
  <c r="Q27" i="2"/>
  <c r="R14" i="2"/>
  <c r="Q14" i="2"/>
  <c r="R11" i="2"/>
  <c r="Q11" i="2"/>
  <c r="AB27" i="2"/>
  <c r="AA27" i="2"/>
  <c r="Z27" i="2"/>
  <c r="L5" i="1"/>
  <c r="AB14" i="2"/>
  <c r="AA14" i="2"/>
  <c r="Z14" i="2"/>
  <c r="AA9" i="2"/>
  <c r="Z9" i="2"/>
  <c r="Z11" i="2" s="1"/>
  <c r="Z15" i="2" s="1"/>
  <c r="Z17" i="2" s="1"/>
  <c r="Z19" i="2" s="1"/>
  <c r="Z20" i="2" s="1"/>
  <c r="AB9" i="2"/>
  <c r="AB23" i="2" s="1"/>
  <c r="L4" i="1"/>
  <c r="L7" i="1" s="1"/>
  <c r="AC14" i="2" l="1"/>
  <c r="AC9" i="2"/>
  <c r="AD9" i="2" s="1"/>
  <c r="AE9" i="2" s="1"/>
  <c r="T23" i="2"/>
  <c r="V9" i="2"/>
  <c r="U23" i="2"/>
  <c r="AE12" i="2"/>
  <c r="AE14" i="2" s="1"/>
  <c r="AD14" i="2"/>
  <c r="AC11" i="2"/>
  <c r="Z23" i="2"/>
  <c r="AF12" i="2"/>
  <c r="Q15" i="2"/>
  <c r="Q17" i="2" s="1"/>
  <c r="Q19" i="2" s="1"/>
  <c r="Q20" i="2" s="1"/>
  <c r="R15" i="2"/>
  <c r="R17" i="2" s="1"/>
  <c r="R19" i="2" s="1"/>
  <c r="R20" i="2" s="1"/>
  <c r="AA23" i="2"/>
  <c r="AA11" i="2"/>
  <c r="AA15" i="2" s="1"/>
  <c r="AA17" i="2" s="1"/>
  <c r="AA19" i="2" s="1"/>
  <c r="AA20" i="2" s="1"/>
  <c r="AB11" i="2"/>
  <c r="AB15" i="2" s="1"/>
  <c r="AB17" i="2" s="1"/>
  <c r="AB19" i="2" s="1"/>
  <c r="AB20" i="2" s="1"/>
  <c r="AD11" i="2" l="1"/>
  <c r="AD15" i="2" s="1"/>
  <c r="AC15" i="2"/>
  <c r="AF9" i="2"/>
  <c r="AE11" i="2"/>
  <c r="AE15" i="2" s="1"/>
  <c r="W9" i="2"/>
  <c r="V23" i="2"/>
  <c r="AF14" i="2"/>
  <c r="AG12" i="2"/>
  <c r="X9" i="2" l="1"/>
  <c r="W23" i="2"/>
  <c r="AF11" i="2"/>
  <c r="AF15" i="2" s="1"/>
  <c r="AG9" i="2"/>
  <c r="AH12" i="2"/>
  <c r="AH14" i="2" s="1"/>
  <c r="AG14" i="2"/>
  <c r="AG11" i="2" l="1"/>
  <c r="AH9" i="2"/>
  <c r="AH11" i="2" s="1"/>
  <c r="AH15" i="2" s="1"/>
  <c r="Y23" i="2"/>
  <c r="X23" i="2"/>
  <c r="AG15" i="2"/>
</calcChain>
</file>

<file path=xl/sharedStrings.xml><?xml version="1.0" encoding="utf-8"?>
<sst xmlns="http://schemas.openxmlformats.org/spreadsheetml/2006/main" count="48" uniqueCount="43">
  <si>
    <t>Acorn Computers, Apple Computer, and VLSI Technology</t>
  </si>
  <si>
    <t>Est. 1990</t>
  </si>
  <si>
    <t>Price</t>
  </si>
  <si>
    <t>Shares</t>
  </si>
  <si>
    <t>MC</t>
  </si>
  <si>
    <t>Cash</t>
  </si>
  <si>
    <t>Debt</t>
  </si>
  <si>
    <t>EV</t>
  </si>
  <si>
    <t>Main</t>
  </si>
  <si>
    <t>Revenue</t>
  </si>
  <si>
    <t>Q424</t>
  </si>
  <si>
    <t>Customers</t>
  </si>
  <si>
    <t>Related</t>
  </si>
  <si>
    <t>COGS</t>
  </si>
  <si>
    <t>Gross Profit</t>
  </si>
  <si>
    <t>R&amp;D</t>
  </si>
  <si>
    <t>SG&amp;A</t>
  </si>
  <si>
    <t>Operating Expenses</t>
  </si>
  <si>
    <t>Operating Income</t>
  </si>
  <si>
    <t>Interest</t>
  </si>
  <si>
    <t>Pretax</t>
  </si>
  <si>
    <t>Taxes</t>
  </si>
  <si>
    <t>Net Income</t>
  </si>
  <si>
    <t>EPS</t>
  </si>
  <si>
    <t>CFFO</t>
  </si>
  <si>
    <t>CX</t>
  </si>
  <si>
    <t>FCF</t>
  </si>
  <si>
    <t>Revenue y/y</t>
  </si>
  <si>
    <t>EUR</t>
  </si>
  <si>
    <t>License</t>
  </si>
  <si>
    <t>Royalty</t>
  </si>
  <si>
    <t>Q127</t>
  </si>
  <si>
    <t>Q126</t>
  </si>
  <si>
    <t>Q226</t>
  </si>
  <si>
    <t>Q326</t>
  </si>
  <si>
    <t>Q426</t>
  </si>
  <si>
    <t>Q227</t>
  </si>
  <si>
    <t>Q327</t>
  </si>
  <si>
    <t>Q427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</si>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</sst>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;@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4" fontId="1" fillId="0" borderId="0" xfId="0" applyNumberFormat="1" applyFont="1"/>
    <xf numFmtId="9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5" fontId="1" fillId="0" borderId="0" xfId="0" applyNumberFormat="1" applyFont="1"/>
    <xf numFmtId="165" fontId="1" fillId="0" borderId="0" xfId="0" applyNumberFormat="1" applyFont="1" applyAlignment="1">
      <alignment horizontal="right"/>
    </xf>
    <xf numFmtId="3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34192</xdr:colOff>
      <xdr:row>0</xdr:row>
      <xdr:rowOff>19538</xdr:rowOff>
    </xdr:from>
    <xdr:to>
      <xdr:col>12</xdr:col>
      <xdr:colOff>34192</xdr:colOff>
      <xdr:row>30</xdr:row>
      <xdr:rowOff>58615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B3D8D1C-B4C2-BF9A-46ED-F37D2546B246}"/>
            </a:ext>
          </a:extLst>
        </xdr:cNvPr>
        <xdr:cNvCxnSpPr/>
      </xdr:nvCxnSpPr>
      <xdr:spPr>
        <a:xfrm>
          <a:off x="4708769" y="19538"/>
          <a:ext cx="0" cy="487973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E187-6862-4137-BDAC-1F36B55AB00A}">
  <dimension ref="K2:M16"/>
  <sheetViews>
    <sheetView zoomScale="115" zoomScaleNormal="115" workbookViewId="0">
      <selection activeCell="L2" sqref="L2"/>
    </sheetView>
  </sheetViews>
  <sheetFormatPr defaultRowHeight="12.5" x14ac:dyDescent="0.25"/>
  <cols>
    <col min="1" max="16384" width="8.7265625" style="1"/>
  </cols>
  <sheetData>
    <row r="2" spans="11:13" x14ac:dyDescent="0.25">
      <c r="K2" s="1" t="s">
        <v>2</v>
      </c>
      <c r="L2" s="4">
        <v>323</v>
      </c>
    </row>
    <row r="3" spans="11:13" x14ac:dyDescent="0.25">
      <c r="K3" s="1" t="s">
        <v>3</v>
      </c>
      <c r="L3" s="3">
        <v>1044.497032</v>
      </c>
      <c r="M3" s="2" t="s">
        <v>10</v>
      </c>
    </row>
    <row r="4" spans="11:13" x14ac:dyDescent="0.25">
      <c r="K4" s="1" t="s">
        <v>4</v>
      </c>
      <c r="L4" s="3">
        <f>+L2*L3</f>
        <v>337372.54133600002</v>
      </c>
    </row>
    <row r="5" spans="11:13" x14ac:dyDescent="0.25">
      <c r="K5" s="1" t="s">
        <v>5</v>
      </c>
      <c r="L5" s="3">
        <f>1923+1000+741</f>
        <v>3664</v>
      </c>
      <c r="M5" s="2" t="s">
        <v>10</v>
      </c>
    </row>
    <row r="6" spans="11:13" x14ac:dyDescent="0.25">
      <c r="K6" s="1" t="s">
        <v>6</v>
      </c>
      <c r="L6" s="3">
        <v>0</v>
      </c>
      <c r="M6" s="2" t="s">
        <v>10</v>
      </c>
    </row>
    <row r="7" spans="11:13" x14ac:dyDescent="0.25">
      <c r="K7" s="1" t="s">
        <v>7</v>
      </c>
      <c r="L7" s="3">
        <f>+L4-L5+L6</f>
        <v>333708.54133600002</v>
      </c>
    </row>
    <row r="15" spans="11:13" x14ac:dyDescent="0.25">
      <c r="K15" s="1" t="s">
        <v>1</v>
      </c>
    </row>
    <row r="16" spans="11:13" x14ac:dyDescent="0.25">
      <c r="K16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E184-5820-4F1E-9A0E-08A27C82BE81}">
  <dimension ref="A1:AH27"/>
  <sheetViews>
    <sheetView tabSelected="1" zoomScale="130" zoomScaleNormal="13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L5" sqref="L5"/>
    </sheetView>
  </sheetViews>
  <sheetFormatPr defaultRowHeight="12.5" x14ac:dyDescent="0.25"/>
  <cols>
    <col min="1" max="1" width="4.7265625" style="1" bestFit="1" customWidth="1"/>
    <col min="2" max="2" width="18.1796875" style="1" customWidth="1"/>
    <col min="3" max="3" width="8.90625" style="2" bestFit="1" customWidth="1"/>
    <col min="4" max="5" width="8.7265625" style="2"/>
    <col min="6" max="6" width="9.90625" style="2" bestFit="1" customWidth="1"/>
    <col min="7" max="8" width="8.90625" style="2" bestFit="1" customWidth="1"/>
    <col min="9" max="9" width="8.7265625" style="2"/>
    <col min="10" max="10" width="9.90625" style="2" bestFit="1" customWidth="1"/>
    <col min="11" max="12" width="8.90625" style="2" bestFit="1" customWidth="1"/>
    <col min="13" max="15" width="8.7265625" style="2"/>
    <col min="16" max="16" width="18.1796875" style="1" customWidth="1"/>
    <col min="17" max="16384" width="8.7265625" style="1"/>
  </cols>
  <sheetData>
    <row r="1" spans="1:34" x14ac:dyDescent="0.25">
      <c r="A1" s="1" t="s">
        <v>8</v>
      </c>
      <c r="Q1" s="2" t="s">
        <v>28</v>
      </c>
      <c r="R1" s="2" t="s">
        <v>28</v>
      </c>
      <c r="S1" s="2" t="s">
        <v>28</v>
      </c>
      <c r="T1" s="2"/>
      <c r="U1" s="2"/>
      <c r="V1" s="2"/>
      <c r="W1" s="2"/>
      <c r="X1" s="2"/>
      <c r="Y1" s="2"/>
    </row>
    <row r="2" spans="1:34" s="10" customFormat="1" x14ac:dyDescent="0.25">
      <c r="C2" s="11">
        <v>45382</v>
      </c>
      <c r="D2" s="11">
        <v>45473</v>
      </c>
      <c r="E2" s="11">
        <v>45565</v>
      </c>
      <c r="F2" s="11">
        <v>45657</v>
      </c>
      <c r="G2" s="11">
        <v>45747</v>
      </c>
      <c r="H2" s="11">
        <v>45838</v>
      </c>
      <c r="I2" s="11">
        <v>45930</v>
      </c>
      <c r="J2" s="11">
        <v>46022</v>
      </c>
      <c r="K2" s="11">
        <v>46112</v>
      </c>
      <c r="L2" s="11">
        <v>46203</v>
      </c>
      <c r="M2" s="11"/>
      <c r="N2" s="11"/>
      <c r="O2" s="11"/>
      <c r="Q2" s="11"/>
      <c r="R2" s="11"/>
      <c r="S2" s="11"/>
      <c r="T2" s="11"/>
      <c r="U2" s="11"/>
      <c r="V2" s="11"/>
      <c r="W2" s="11"/>
      <c r="X2" s="11"/>
      <c r="Y2" s="11"/>
    </row>
    <row r="3" spans="1:34" x14ac:dyDescent="0.25">
      <c r="D3" s="2" t="s">
        <v>39</v>
      </c>
      <c r="E3" s="2" t="s">
        <v>40</v>
      </c>
      <c r="F3" s="2" t="s">
        <v>41</v>
      </c>
      <c r="G3" s="2" t="s">
        <v>42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31</v>
      </c>
      <c r="M3" s="2" t="s">
        <v>36</v>
      </c>
      <c r="N3" s="2" t="s">
        <v>37</v>
      </c>
      <c r="O3" s="2" t="s">
        <v>38</v>
      </c>
      <c r="Q3" s="1">
        <v>2013</v>
      </c>
      <c r="R3" s="1">
        <v>2014</v>
      </c>
      <c r="S3" s="1">
        <v>2015</v>
      </c>
      <c r="T3" s="1">
        <v>2016</v>
      </c>
      <c r="U3" s="1">
        <v>2017</v>
      </c>
      <c r="V3" s="1">
        <v>2018</v>
      </c>
      <c r="W3" s="1">
        <v>2019</v>
      </c>
      <c r="X3" s="1">
        <v>2020</v>
      </c>
      <c r="Y3" s="1">
        <v>2021</v>
      </c>
      <c r="Z3" s="1">
        <v>2022</v>
      </c>
      <c r="AA3" s="1">
        <v>2023</v>
      </c>
      <c r="AB3" s="1">
        <v>2024</v>
      </c>
      <c r="AC3" s="1">
        <f t="shared" ref="AC3:AH3" si="0">+AB3+1</f>
        <v>2025</v>
      </c>
      <c r="AD3" s="1">
        <f t="shared" si="0"/>
        <v>2026</v>
      </c>
      <c r="AE3" s="1">
        <f t="shared" si="0"/>
        <v>2027</v>
      </c>
      <c r="AF3" s="1">
        <f t="shared" si="0"/>
        <v>2028</v>
      </c>
      <c r="AG3" s="1">
        <f t="shared" si="0"/>
        <v>2029</v>
      </c>
      <c r="AH3" s="1">
        <f t="shared" si="0"/>
        <v>2030</v>
      </c>
    </row>
    <row r="4" spans="1:34" x14ac:dyDescent="0.25">
      <c r="B4" s="1" t="s">
        <v>29</v>
      </c>
      <c r="D4" s="12">
        <v>472</v>
      </c>
      <c r="E4" s="12">
        <v>330</v>
      </c>
      <c r="F4" s="12">
        <v>403</v>
      </c>
      <c r="G4" s="12">
        <v>634</v>
      </c>
      <c r="H4" s="2">
        <v>468</v>
      </c>
      <c r="I4" s="2">
        <v>515</v>
      </c>
      <c r="J4" s="2">
        <v>505</v>
      </c>
      <c r="K4" s="2">
        <v>819</v>
      </c>
      <c r="L4" s="2">
        <v>574</v>
      </c>
    </row>
    <row r="5" spans="1:34" x14ac:dyDescent="0.25">
      <c r="B5" s="1" t="s">
        <v>30</v>
      </c>
      <c r="D5" s="2">
        <v>467</v>
      </c>
      <c r="E5" s="2">
        <v>514</v>
      </c>
      <c r="F5" s="2">
        <v>580</v>
      </c>
      <c r="G5" s="2">
        <v>607</v>
      </c>
      <c r="H5" s="2">
        <v>585</v>
      </c>
      <c r="I5" s="2">
        <v>620</v>
      </c>
      <c r="J5" s="2">
        <v>737</v>
      </c>
      <c r="K5" s="2">
        <v>671</v>
      </c>
      <c r="L5" s="2">
        <v>715</v>
      </c>
    </row>
    <row r="7" spans="1:34" s="3" customFormat="1" x14ac:dyDescent="0.25">
      <c r="B7" s="3" t="s">
        <v>11</v>
      </c>
      <c r="C7" s="7"/>
      <c r="D7" s="7"/>
      <c r="E7" s="7"/>
      <c r="F7" s="7"/>
      <c r="G7" s="7"/>
      <c r="H7" s="7">
        <v>725</v>
      </c>
      <c r="I7" s="7"/>
      <c r="J7" s="7"/>
      <c r="K7" s="7"/>
      <c r="L7" s="7">
        <v>901</v>
      </c>
      <c r="M7" s="7"/>
      <c r="N7" s="7"/>
      <c r="O7" s="7"/>
      <c r="Z7" s="3">
        <v>2219</v>
      </c>
      <c r="AA7" s="3">
        <v>2025</v>
      </c>
      <c r="AB7" s="3">
        <v>2509</v>
      </c>
    </row>
    <row r="8" spans="1:34" s="3" customFormat="1" x14ac:dyDescent="0.25">
      <c r="B8" s="3" t="s">
        <v>12</v>
      </c>
      <c r="C8" s="7"/>
      <c r="D8" s="7"/>
      <c r="E8" s="7"/>
      <c r="F8" s="7"/>
      <c r="G8" s="7"/>
      <c r="H8" s="7">
        <v>328</v>
      </c>
      <c r="I8" s="7"/>
      <c r="J8" s="7"/>
      <c r="K8" s="7"/>
      <c r="L8" s="7">
        <v>388</v>
      </c>
      <c r="M8" s="7"/>
      <c r="N8" s="7"/>
      <c r="O8" s="7"/>
      <c r="Z8" s="3">
        <v>484</v>
      </c>
      <c r="AA8" s="3">
        <v>654</v>
      </c>
      <c r="AB8" s="3">
        <v>724</v>
      </c>
    </row>
    <row r="9" spans="1:34" s="6" customFormat="1" ht="13" x14ac:dyDescent="0.3">
      <c r="B9" s="6" t="s">
        <v>9</v>
      </c>
      <c r="C9" s="8">
        <f t="shared" ref="C9" si="1">+C8+C7</f>
        <v>0</v>
      </c>
      <c r="D9" s="8">
        <f t="shared" ref="D9" si="2">+D8+D7</f>
        <v>0</v>
      </c>
      <c r="E9" s="8">
        <f t="shared" ref="E9" si="3">+E8+E7</f>
        <v>0</v>
      </c>
      <c r="F9" s="8">
        <f t="shared" ref="F9" si="4">+F8+F7</f>
        <v>0</v>
      </c>
      <c r="G9" s="8">
        <f>+G8+G7</f>
        <v>0</v>
      </c>
      <c r="H9" s="8">
        <f t="shared" ref="H9:K9" si="5">+H8+H7</f>
        <v>1053</v>
      </c>
      <c r="I9" s="8">
        <f t="shared" si="5"/>
        <v>0</v>
      </c>
      <c r="J9" s="8">
        <f t="shared" si="5"/>
        <v>0</v>
      </c>
      <c r="K9" s="8">
        <f t="shared" si="5"/>
        <v>0</v>
      </c>
      <c r="L9" s="8">
        <f>+L8+L7</f>
        <v>1289</v>
      </c>
      <c r="M9" s="8"/>
      <c r="N9" s="8"/>
      <c r="O9" s="8"/>
      <c r="Q9" s="6">
        <v>714.6</v>
      </c>
      <c r="R9" s="6">
        <v>795.2</v>
      </c>
      <c r="S9" s="6">
        <v>968.3</v>
      </c>
      <c r="T9" s="6">
        <f>+S9*1.15</f>
        <v>1113.5449999999998</v>
      </c>
      <c r="U9" s="6">
        <f>+T9*1.15</f>
        <v>1280.5767499999997</v>
      </c>
      <c r="V9" s="6">
        <f>+U9*1.15</f>
        <v>1472.6632624999995</v>
      </c>
      <c r="W9" s="6">
        <f>+V9*1.15</f>
        <v>1693.5627518749993</v>
      </c>
      <c r="X9" s="6">
        <f>+W9*1.15</f>
        <v>1947.5971646562491</v>
      </c>
      <c r="Y9" s="6">
        <v>2027</v>
      </c>
      <c r="Z9" s="6">
        <f t="shared" ref="Z9:AA9" si="6">+Z7+Z8</f>
        <v>2703</v>
      </c>
      <c r="AA9" s="6">
        <f t="shared" si="6"/>
        <v>2679</v>
      </c>
      <c r="AB9" s="6">
        <f>+AB7+AB8</f>
        <v>3233</v>
      </c>
      <c r="AC9" s="6">
        <f t="shared" ref="AC9:AH9" si="7">+AB9*1.1</f>
        <v>3556.3</v>
      </c>
      <c r="AD9" s="6">
        <f t="shared" si="7"/>
        <v>3911.9300000000003</v>
      </c>
      <c r="AE9" s="6">
        <f t="shared" si="7"/>
        <v>4303.1230000000005</v>
      </c>
      <c r="AF9" s="6">
        <f t="shared" si="7"/>
        <v>4733.435300000001</v>
      </c>
      <c r="AG9" s="6">
        <f t="shared" si="7"/>
        <v>5206.7788300000011</v>
      </c>
      <c r="AH9" s="6">
        <f t="shared" si="7"/>
        <v>5727.4567130000014</v>
      </c>
    </row>
    <row r="10" spans="1:34" s="3" customFormat="1" x14ac:dyDescent="0.25">
      <c r="B10" s="3" t="s">
        <v>13</v>
      </c>
      <c r="C10" s="7"/>
      <c r="D10" s="7"/>
      <c r="E10" s="7"/>
      <c r="F10" s="7"/>
      <c r="G10" s="7"/>
      <c r="H10" s="7">
        <v>30</v>
      </c>
      <c r="I10" s="7"/>
      <c r="J10" s="7"/>
      <c r="K10" s="7"/>
      <c r="L10" s="7">
        <v>36</v>
      </c>
      <c r="M10" s="7"/>
      <c r="N10" s="7"/>
      <c r="O10" s="7"/>
      <c r="Q10" s="3">
        <v>39.299999999999997</v>
      </c>
      <c r="R10" s="3">
        <v>37.799999999999997</v>
      </c>
      <c r="S10" s="3">
        <v>39.299999999999997</v>
      </c>
      <c r="Z10" s="3">
        <v>131</v>
      </c>
      <c r="AA10" s="3">
        <v>106</v>
      </c>
      <c r="AB10" s="3">
        <v>154</v>
      </c>
    </row>
    <row r="11" spans="1:34" s="3" customFormat="1" x14ac:dyDescent="0.25">
      <c r="B11" s="3" t="s">
        <v>14</v>
      </c>
      <c r="C11" s="7">
        <f t="shared" ref="C11" si="8">+C9-C10</f>
        <v>0</v>
      </c>
      <c r="D11" s="7">
        <f t="shared" ref="D11" si="9">+D9-D10</f>
        <v>0</v>
      </c>
      <c r="E11" s="7">
        <f t="shared" ref="E11" si="10">+E9-E10</f>
        <v>0</v>
      </c>
      <c r="F11" s="7">
        <f t="shared" ref="F11" si="11">+F9-F10</f>
        <v>0</v>
      </c>
      <c r="G11" s="7">
        <f>+G9-G10</f>
        <v>0</v>
      </c>
      <c r="H11" s="7">
        <f t="shared" ref="H11:K11" si="12">+H9-H10</f>
        <v>1023</v>
      </c>
      <c r="I11" s="7">
        <f t="shared" si="12"/>
        <v>0</v>
      </c>
      <c r="J11" s="7">
        <f t="shared" si="12"/>
        <v>0</v>
      </c>
      <c r="K11" s="7">
        <f t="shared" si="12"/>
        <v>0</v>
      </c>
      <c r="L11" s="7">
        <f>+L9-L10</f>
        <v>1253</v>
      </c>
      <c r="M11" s="7"/>
      <c r="N11" s="7"/>
      <c r="O11" s="7"/>
      <c r="Q11" s="3">
        <f t="shared" ref="Q11:R11" si="13">+Q9-Q10</f>
        <v>675.30000000000007</v>
      </c>
      <c r="R11" s="3">
        <f t="shared" si="13"/>
        <v>757.40000000000009</v>
      </c>
      <c r="S11" s="3">
        <f>+S9-S10</f>
        <v>929</v>
      </c>
      <c r="Z11" s="3">
        <f>+Z9-Z10</f>
        <v>2572</v>
      </c>
      <c r="AA11" s="3">
        <f>+AA9-AA10</f>
        <v>2573</v>
      </c>
      <c r="AB11" s="3">
        <f>+AB9-AB10</f>
        <v>3079</v>
      </c>
      <c r="AC11" s="3">
        <f>+AC9*0.9</f>
        <v>3200.67</v>
      </c>
      <c r="AD11" s="3">
        <f t="shared" ref="AD11:AH11" si="14">+AD9*0.9</f>
        <v>3520.7370000000005</v>
      </c>
      <c r="AE11" s="3">
        <f t="shared" si="14"/>
        <v>3872.8107000000005</v>
      </c>
      <c r="AF11" s="3">
        <f t="shared" si="14"/>
        <v>4260.0917700000009</v>
      </c>
      <c r="AG11" s="3">
        <f t="shared" si="14"/>
        <v>4686.1009470000008</v>
      </c>
      <c r="AH11" s="3">
        <f t="shared" si="14"/>
        <v>5154.7110417000013</v>
      </c>
    </row>
    <row r="12" spans="1:34" s="3" customFormat="1" x14ac:dyDescent="0.25">
      <c r="B12" s="3" t="s">
        <v>15</v>
      </c>
      <c r="C12" s="7"/>
      <c r="D12" s="7"/>
      <c r="E12" s="7"/>
      <c r="F12" s="7"/>
      <c r="G12" s="7"/>
      <c r="H12" s="7">
        <v>650</v>
      </c>
      <c r="I12" s="7"/>
      <c r="J12" s="7"/>
      <c r="K12" s="7"/>
      <c r="L12" s="7">
        <v>838</v>
      </c>
      <c r="M12" s="7"/>
      <c r="N12" s="7"/>
      <c r="O12" s="7"/>
      <c r="Q12" s="3">
        <v>995</v>
      </c>
      <c r="R12" s="3">
        <v>995</v>
      </c>
      <c r="Z12" s="3">
        <v>995</v>
      </c>
      <c r="AA12" s="3">
        <v>1133</v>
      </c>
      <c r="AB12" s="3">
        <v>1979</v>
      </c>
      <c r="AC12" s="3">
        <f>+AA12*1.01</f>
        <v>1144.33</v>
      </c>
      <c r="AD12" s="3">
        <f>+AC12*1.05</f>
        <v>1201.5464999999999</v>
      </c>
      <c r="AE12" s="3">
        <f t="shared" ref="AE12:AH12" si="15">+AD12*1.05</f>
        <v>1261.6238249999999</v>
      </c>
      <c r="AF12" s="3">
        <f t="shared" si="15"/>
        <v>1324.70501625</v>
      </c>
      <c r="AG12" s="3">
        <f t="shared" si="15"/>
        <v>1390.9402670625</v>
      </c>
      <c r="AH12" s="3">
        <f t="shared" si="15"/>
        <v>1460.487280415625</v>
      </c>
    </row>
    <row r="13" spans="1:34" s="3" customFormat="1" x14ac:dyDescent="0.25">
      <c r="B13" s="3" t="s">
        <v>16</v>
      </c>
      <c r="C13" s="7"/>
      <c r="D13" s="7"/>
      <c r="E13" s="7"/>
      <c r="F13" s="7"/>
      <c r="G13" s="7"/>
      <c r="H13" s="7">
        <v>259</v>
      </c>
      <c r="I13" s="7"/>
      <c r="J13" s="7"/>
      <c r="K13" s="7"/>
      <c r="L13" s="7">
        <v>317</v>
      </c>
      <c r="M13" s="7"/>
      <c r="N13" s="7"/>
      <c r="O13" s="7"/>
      <c r="Q13" s="3">
        <v>897</v>
      </c>
      <c r="R13" s="3">
        <v>897</v>
      </c>
      <c r="Z13" s="3">
        <v>897</v>
      </c>
      <c r="AA13" s="3">
        <v>762</v>
      </c>
      <c r="AB13" s="3">
        <v>983</v>
      </c>
      <c r="AC13" s="3">
        <f>+AA13*1.01</f>
        <v>769.62</v>
      </c>
      <c r="AD13" s="3">
        <f t="shared" ref="AD13:AH13" si="16">+AC13*1.05</f>
        <v>808.101</v>
      </c>
      <c r="AE13" s="3">
        <f t="shared" si="16"/>
        <v>848.50605000000007</v>
      </c>
      <c r="AF13" s="3">
        <f t="shared" si="16"/>
        <v>890.93135250000012</v>
      </c>
      <c r="AG13" s="3">
        <f t="shared" si="16"/>
        <v>935.4779201250002</v>
      </c>
      <c r="AH13" s="3">
        <f t="shared" si="16"/>
        <v>982.25181613125028</v>
      </c>
    </row>
    <row r="14" spans="1:34" s="3" customFormat="1" x14ac:dyDescent="0.25">
      <c r="B14" s="3" t="s">
        <v>17</v>
      </c>
      <c r="C14" s="7">
        <f t="shared" ref="C14" si="17">+C13+C12</f>
        <v>0</v>
      </c>
      <c r="D14" s="7">
        <f t="shared" ref="D14" si="18">+D13+D12</f>
        <v>0</v>
      </c>
      <c r="E14" s="7">
        <f t="shared" ref="E14" si="19">+E13+E12</f>
        <v>0</v>
      </c>
      <c r="F14" s="7">
        <f t="shared" ref="F14" si="20">+F13+F12</f>
        <v>0</v>
      </c>
      <c r="G14" s="7">
        <f>+G13+G12</f>
        <v>0</v>
      </c>
      <c r="H14" s="7">
        <f t="shared" ref="H14:K14" si="21">+H13+H12</f>
        <v>909</v>
      </c>
      <c r="I14" s="7">
        <f t="shared" si="21"/>
        <v>0</v>
      </c>
      <c r="J14" s="7">
        <f t="shared" si="21"/>
        <v>0</v>
      </c>
      <c r="K14" s="7">
        <f t="shared" si="21"/>
        <v>0</v>
      </c>
      <c r="L14" s="7">
        <f>+L13+L12</f>
        <v>1155</v>
      </c>
      <c r="M14" s="7"/>
      <c r="N14" s="7"/>
      <c r="O14" s="7"/>
      <c r="Q14" s="3">
        <f t="shared" ref="Q14:R14" si="22">+Q12+Q13</f>
        <v>1892</v>
      </c>
      <c r="R14" s="3">
        <f t="shared" si="22"/>
        <v>1892</v>
      </c>
      <c r="Z14" s="3">
        <f>+Z12+Z13</f>
        <v>1892</v>
      </c>
      <c r="AA14" s="3">
        <f>+AA12+AA13</f>
        <v>1895</v>
      </c>
      <c r="AB14" s="3">
        <f>+AB12+AB13</f>
        <v>2962</v>
      </c>
      <c r="AC14" s="3">
        <f t="shared" ref="AC14:AG14" si="23">+AC12+AC13</f>
        <v>1913.9499999999998</v>
      </c>
      <c r="AD14" s="3">
        <f t="shared" si="23"/>
        <v>2009.6475</v>
      </c>
      <c r="AE14" s="3">
        <f t="shared" si="23"/>
        <v>2110.1298750000001</v>
      </c>
      <c r="AF14" s="3">
        <f t="shared" si="23"/>
        <v>2215.6363687500002</v>
      </c>
      <c r="AG14" s="3">
        <f t="shared" si="23"/>
        <v>2326.4181871875003</v>
      </c>
      <c r="AH14" s="3">
        <f t="shared" ref="AH14" si="24">+AH12+AH13</f>
        <v>2442.7390965468753</v>
      </c>
    </row>
    <row r="15" spans="1:34" s="3" customFormat="1" x14ac:dyDescent="0.25">
      <c r="B15" s="3" t="s">
        <v>18</v>
      </c>
      <c r="C15" s="7">
        <f t="shared" ref="C15" si="25">+C11-C14</f>
        <v>0</v>
      </c>
      <c r="D15" s="7">
        <f t="shared" ref="D15" si="26">+D11-D14</f>
        <v>0</v>
      </c>
      <c r="E15" s="7">
        <f t="shared" ref="E15" si="27">+E11-E14</f>
        <v>0</v>
      </c>
      <c r="F15" s="7">
        <f t="shared" ref="F15" si="28">+F11-F14</f>
        <v>0</v>
      </c>
      <c r="G15" s="7">
        <f>+G11-G14</f>
        <v>0</v>
      </c>
      <c r="H15" s="7">
        <f t="shared" ref="H15:K15" si="29">+H11-H14</f>
        <v>114</v>
      </c>
      <c r="I15" s="7">
        <f t="shared" si="29"/>
        <v>0</v>
      </c>
      <c r="J15" s="7">
        <f t="shared" si="29"/>
        <v>0</v>
      </c>
      <c r="K15" s="7">
        <f t="shared" si="29"/>
        <v>0</v>
      </c>
      <c r="L15" s="7">
        <f>+L11-L14</f>
        <v>98</v>
      </c>
      <c r="M15" s="7"/>
      <c r="N15" s="7"/>
      <c r="O15" s="7"/>
      <c r="Q15" s="3">
        <f t="shared" ref="Q15:R15" si="30">+Q11-Q14</f>
        <v>-1216.6999999999998</v>
      </c>
      <c r="R15" s="3">
        <f t="shared" si="30"/>
        <v>-1134.5999999999999</v>
      </c>
      <c r="Z15" s="3">
        <f>+Z11-Z14</f>
        <v>680</v>
      </c>
      <c r="AA15" s="3">
        <f>+AA11-AA14</f>
        <v>678</v>
      </c>
      <c r="AB15" s="3">
        <f>+AB11-AB14</f>
        <v>117</v>
      </c>
      <c r="AC15" s="3">
        <f t="shared" ref="AC15:AG15" si="31">+AC11-AC14</f>
        <v>1286.7200000000003</v>
      </c>
      <c r="AD15" s="3">
        <f t="shared" si="31"/>
        <v>1511.0895000000005</v>
      </c>
      <c r="AE15" s="3">
        <f t="shared" si="31"/>
        <v>1762.6808250000004</v>
      </c>
      <c r="AF15" s="3">
        <f t="shared" si="31"/>
        <v>2044.4554012500007</v>
      </c>
      <c r="AG15" s="3">
        <f t="shared" si="31"/>
        <v>2359.6827598125005</v>
      </c>
      <c r="AH15" s="3">
        <f t="shared" ref="AH15" si="32">+AH11-AH14</f>
        <v>2711.9719451531259</v>
      </c>
    </row>
    <row r="16" spans="1:34" s="3" customFormat="1" x14ac:dyDescent="0.25">
      <c r="B16" s="3" t="s">
        <v>19</v>
      </c>
      <c r="C16" s="7"/>
      <c r="D16" s="7"/>
      <c r="E16" s="7"/>
      <c r="F16" s="7"/>
      <c r="G16" s="7"/>
      <c r="H16" s="7">
        <v>27</v>
      </c>
      <c r="I16" s="7"/>
      <c r="J16" s="7"/>
      <c r="K16" s="7"/>
      <c r="L16" s="7">
        <v>31</v>
      </c>
      <c r="M16" s="7"/>
      <c r="N16" s="7"/>
      <c r="O16" s="7"/>
    </row>
    <row r="17" spans="2:28" s="3" customFormat="1" x14ac:dyDescent="0.25">
      <c r="B17" s="3" t="s">
        <v>20</v>
      </c>
      <c r="C17" s="7">
        <f>+C15+C16</f>
        <v>0</v>
      </c>
      <c r="D17" s="7">
        <f t="shared" ref="D17" si="33">+D15+D16</f>
        <v>0</v>
      </c>
      <c r="E17" s="7">
        <f t="shared" ref="E17" si="34">+E15+E16</f>
        <v>0</v>
      </c>
      <c r="F17" s="7">
        <f t="shared" ref="F17" si="35">+F15+F16</f>
        <v>0</v>
      </c>
      <c r="G17" s="7">
        <f t="shared" ref="G17" si="36">+G15+G16</f>
        <v>0</v>
      </c>
      <c r="H17" s="7">
        <f>+H15+H16</f>
        <v>141</v>
      </c>
      <c r="I17" s="7">
        <f t="shared" ref="I17:L17" si="37">+I15+I16</f>
        <v>0</v>
      </c>
      <c r="J17" s="7">
        <f t="shared" si="37"/>
        <v>0</v>
      </c>
      <c r="K17" s="7">
        <f t="shared" si="37"/>
        <v>0</v>
      </c>
      <c r="L17" s="7">
        <f t="shared" si="37"/>
        <v>129</v>
      </c>
      <c r="M17" s="7"/>
      <c r="N17" s="7"/>
      <c r="O17" s="7"/>
      <c r="Q17" s="3">
        <f t="shared" ref="Q17:R17" si="38">+Q15+Q16</f>
        <v>-1216.6999999999998</v>
      </c>
      <c r="R17" s="3">
        <f t="shared" si="38"/>
        <v>-1134.5999999999999</v>
      </c>
      <c r="Z17" s="3">
        <f>+Z15+Z16</f>
        <v>680</v>
      </c>
      <c r="AA17" s="3">
        <f>+AA15+AA16</f>
        <v>678</v>
      </c>
      <c r="AB17" s="3">
        <f>+AB15+AB16</f>
        <v>117</v>
      </c>
    </row>
    <row r="18" spans="2:28" s="3" customFormat="1" x14ac:dyDescent="0.25">
      <c r="B18" s="3" t="s">
        <v>21</v>
      </c>
      <c r="C18" s="7"/>
      <c r="D18" s="7"/>
      <c r="E18" s="7"/>
      <c r="F18" s="7"/>
      <c r="G18" s="7"/>
      <c r="H18" s="7">
        <v>16</v>
      </c>
      <c r="I18" s="7"/>
      <c r="J18" s="7"/>
      <c r="K18" s="7"/>
      <c r="L18" s="7">
        <v>0</v>
      </c>
      <c r="M18" s="7"/>
      <c r="N18" s="7"/>
      <c r="O18" s="7"/>
    </row>
    <row r="19" spans="2:28" s="3" customFormat="1" x14ac:dyDescent="0.25">
      <c r="B19" s="3" t="s">
        <v>22</v>
      </c>
      <c r="C19" s="7">
        <f t="shared" ref="C19" si="39">+C17-C18</f>
        <v>0</v>
      </c>
      <c r="D19" s="7">
        <f t="shared" ref="D19" si="40">+D17-D18</f>
        <v>0</v>
      </c>
      <c r="E19" s="7">
        <f t="shared" ref="E19" si="41">+E17-E18</f>
        <v>0</v>
      </c>
      <c r="F19" s="7">
        <f t="shared" ref="F19" si="42">+F17-F18</f>
        <v>0</v>
      </c>
      <c r="G19" s="7">
        <f>+G17-G18</f>
        <v>0</v>
      </c>
      <c r="H19" s="7">
        <f t="shared" ref="H19:K19" si="43">+H17-H18</f>
        <v>125</v>
      </c>
      <c r="I19" s="7">
        <f t="shared" si="43"/>
        <v>0</v>
      </c>
      <c r="J19" s="7">
        <f t="shared" si="43"/>
        <v>0</v>
      </c>
      <c r="K19" s="7">
        <f t="shared" si="43"/>
        <v>0</v>
      </c>
      <c r="L19" s="7">
        <f>+L17-L18</f>
        <v>129</v>
      </c>
      <c r="M19" s="7"/>
      <c r="N19" s="7"/>
      <c r="O19" s="7"/>
      <c r="Q19" s="3">
        <f t="shared" ref="Q19:R19" si="44">+Q17-Q18</f>
        <v>-1216.6999999999998</v>
      </c>
      <c r="R19" s="3">
        <f t="shared" si="44"/>
        <v>-1134.5999999999999</v>
      </c>
      <c r="Z19" s="3">
        <f>+Z17-Z18</f>
        <v>680</v>
      </c>
      <c r="AA19" s="3">
        <f>+AA17-AA18</f>
        <v>678</v>
      </c>
      <c r="AB19" s="3">
        <f>+AB17-AB18</f>
        <v>117</v>
      </c>
    </row>
    <row r="20" spans="2:28" x14ac:dyDescent="0.25">
      <c r="B20" s="1" t="s">
        <v>23</v>
      </c>
      <c r="C20" s="9" t="e">
        <f>+C19/C21</f>
        <v>#DIV/0!</v>
      </c>
      <c r="D20" s="9"/>
      <c r="E20" s="9"/>
      <c r="F20" s="9"/>
      <c r="G20" s="9" t="e">
        <f>+G19/G21</f>
        <v>#DIV/0!</v>
      </c>
      <c r="H20" s="9">
        <f>+H19/H21</f>
        <v>0.11737089201877934</v>
      </c>
      <c r="I20" s="9"/>
      <c r="J20" s="9"/>
      <c r="K20" s="9"/>
      <c r="L20" s="9">
        <f>+L19/L21</f>
        <v>0.11966604823747681</v>
      </c>
      <c r="M20" s="9"/>
      <c r="N20" s="9"/>
      <c r="O20" s="9"/>
      <c r="Q20" s="4">
        <f t="shared" ref="Q20:R20" si="45">+Q19/Q21</f>
        <v>-1.1867534631118359</v>
      </c>
      <c r="R20" s="4">
        <f t="shared" si="45"/>
        <v>-1.1066741836497813</v>
      </c>
      <c r="S20" s="4"/>
      <c r="T20" s="4"/>
      <c r="U20" s="4"/>
      <c r="V20" s="4"/>
      <c r="W20" s="4"/>
      <c r="X20" s="4"/>
      <c r="Y20" s="4"/>
      <c r="Z20" s="4">
        <f>+Z19/Z21</f>
        <v>0.66326321600727256</v>
      </c>
      <c r="AA20" s="4">
        <f t="shared" ref="AA20:AB20" si="46">+AA19/AA21</f>
        <v>0.65985080364572424</v>
      </c>
      <c r="AB20" s="4">
        <f t="shared" si="46"/>
        <v>0.11201564006406911</v>
      </c>
    </row>
    <row r="21" spans="2:28" s="3" customFormat="1" x14ac:dyDescent="0.25">
      <c r="B21" s="3" t="s">
        <v>3</v>
      </c>
      <c r="C21" s="7"/>
      <c r="D21" s="7"/>
      <c r="E21" s="7"/>
      <c r="F21" s="7"/>
      <c r="G21" s="7"/>
      <c r="H21" s="7">
        <v>1065</v>
      </c>
      <c r="I21" s="7"/>
      <c r="J21" s="7"/>
      <c r="K21" s="7"/>
      <c r="L21" s="7">
        <v>1078</v>
      </c>
      <c r="M21" s="7"/>
      <c r="N21" s="7"/>
      <c r="O21" s="7"/>
      <c r="Q21" s="3">
        <v>1025.2339999999999</v>
      </c>
      <c r="R21" s="3">
        <v>1025.2339999999999</v>
      </c>
      <c r="Z21" s="3">
        <v>1025.2339999999999</v>
      </c>
      <c r="AA21" s="3">
        <v>1027.5050000000001</v>
      </c>
      <c r="AB21" s="3">
        <v>1044.4970000000001</v>
      </c>
    </row>
    <row r="23" spans="2:28" x14ac:dyDescent="0.25">
      <c r="B23" s="1" t="s">
        <v>27</v>
      </c>
      <c r="R23" s="5">
        <f t="shared" ref="R23:Y23" si="47">+R9/Q9-1</f>
        <v>0.11279037223621602</v>
      </c>
      <c r="S23" s="5">
        <f t="shared" si="47"/>
        <v>0.21768108651911455</v>
      </c>
      <c r="T23" s="5">
        <f t="shared" si="47"/>
        <v>0.14999999999999991</v>
      </c>
      <c r="U23" s="5">
        <f t="shared" si="47"/>
        <v>0.14999999999999991</v>
      </c>
      <c r="V23" s="5">
        <f t="shared" si="47"/>
        <v>0.14999999999999991</v>
      </c>
      <c r="W23" s="5">
        <f t="shared" si="47"/>
        <v>0.14999999999999991</v>
      </c>
      <c r="X23" s="5">
        <f t="shared" si="47"/>
        <v>0.14999999999999991</v>
      </c>
      <c r="Y23" s="5">
        <f t="shared" si="47"/>
        <v>4.076964003886574E-2</v>
      </c>
      <c r="Z23" s="5">
        <f>+Z9/Y9-1</f>
        <v>0.33349777997039953</v>
      </c>
      <c r="AA23" s="5">
        <f>+AA9/Z9-1</f>
        <v>-8.8790233074361735E-3</v>
      </c>
      <c r="AB23" s="5">
        <f>+AB9/AA9-1</f>
        <v>0.20679357969391554</v>
      </c>
    </row>
    <row r="25" spans="2:28" s="3" customFormat="1" x14ac:dyDescent="0.25">
      <c r="B25" s="3" t="s">
        <v>24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Q25" s="3">
        <v>458</v>
      </c>
      <c r="R25" s="3">
        <v>458</v>
      </c>
      <c r="Z25" s="3">
        <v>458</v>
      </c>
      <c r="AA25" s="3">
        <v>739</v>
      </c>
      <c r="AB25" s="3">
        <v>1090</v>
      </c>
    </row>
    <row r="26" spans="2:28" s="3" customFormat="1" x14ac:dyDescent="0.25">
      <c r="B26" s="3" t="s">
        <v>25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3">
        <v>34</v>
      </c>
      <c r="R26" s="3">
        <v>34</v>
      </c>
      <c r="Z26" s="3">
        <v>34</v>
      </c>
      <c r="AA26" s="3">
        <v>64</v>
      </c>
      <c r="AB26" s="3">
        <v>92</v>
      </c>
    </row>
    <row r="27" spans="2:28" s="3" customFormat="1" x14ac:dyDescent="0.25">
      <c r="B27" s="3" t="s">
        <v>26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Q27" s="3">
        <f t="shared" ref="Q27:R27" si="48">+Q25-Q26</f>
        <v>424</v>
      </c>
      <c r="R27" s="3">
        <f t="shared" si="48"/>
        <v>424</v>
      </c>
      <c r="Z27" s="3">
        <f>+Z25-Z26</f>
        <v>424</v>
      </c>
      <c r="AA27" s="3">
        <f>+AA25-AA26</f>
        <v>675</v>
      </c>
      <c r="AB27" s="3">
        <f>+AB25-AB26</f>
        <v>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2025-03-31T15:32:58Z</dcterms:created>
  <dcterms:modified xsi:type="dcterms:W3CDTF">2026-08-18T22:33:03Z</dcterms:modified>
</cp:coreProperties>
</file>