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8367CA1-1CCD-45FE-9DA0-23ECA57F2080}" xr6:coauthVersionLast="47" xr6:coauthVersionMax="47" xr10:uidLastSave="{00000000-0000-0000-0000-000000000000}"/>
  <bookViews>
    <workbookView xWindow="24530" yWindow="6150" windowWidth="19890" windowHeight="10280" activeTab="1" xr2:uid="{E8EBDE4A-B2B4-49DB-B2EA-569898A2E08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C6" i="2"/>
  <c r="C5" i="2"/>
  <c r="C4" i="2"/>
  <c r="C3" i="2"/>
  <c r="E6" i="2"/>
  <c r="E5" i="2"/>
  <c r="E4" i="2"/>
  <c r="E3" i="2"/>
  <c r="I6" i="2"/>
  <c r="I5" i="2"/>
  <c r="I4" i="2"/>
  <c r="I3" i="2"/>
  <c r="F6" i="2"/>
  <c r="F5" i="2"/>
  <c r="F4" i="2"/>
  <c r="F3" i="2"/>
  <c r="J6" i="2"/>
  <c r="J5" i="2"/>
  <c r="J4" i="2"/>
  <c r="J3" i="2"/>
  <c r="G6" i="2"/>
  <c r="G5" i="2"/>
  <c r="G4" i="2"/>
  <c r="G3" i="2"/>
  <c r="K6" i="2"/>
  <c r="K7" i="2" s="1"/>
  <c r="K5" i="2"/>
  <c r="K4" i="2"/>
  <c r="K3" i="2"/>
  <c r="I7" i="2"/>
  <c r="H7" i="2"/>
  <c r="G7" i="2"/>
  <c r="E7" i="2"/>
  <c r="D7" i="2"/>
  <c r="C7" i="2"/>
  <c r="H6" i="2"/>
  <c r="H5" i="2"/>
  <c r="H4" i="2"/>
  <c r="H3" i="2"/>
  <c r="L7" i="2"/>
  <c r="L6" i="2"/>
  <c r="L5" i="2"/>
  <c r="L4" i="2"/>
  <c r="L3" i="2"/>
  <c r="K7" i="1"/>
  <c r="K6" i="1"/>
  <c r="K5" i="1"/>
  <c r="K4" i="1"/>
  <c r="J7" i="2" l="1"/>
  <c r="F7" i="2"/>
</calcChain>
</file>

<file path=xl/sharedStrings.xml><?xml version="1.0" encoding="utf-8"?>
<sst xmlns="http://schemas.openxmlformats.org/spreadsheetml/2006/main" count="27" uniqueCount="24">
  <si>
    <t>Price</t>
  </si>
  <si>
    <t>Shares</t>
  </si>
  <si>
    <t>MC</t>
  </si>
  <si>
    <t>Cash</t>
  </si>
  <si>
    <t>Debt</t>
  </si>
  <si>
    <t>EV</t>
  </si>
  <si>
    <t>Q226</t>
  </si>
  <si>
    <t>Main</t>
  </si>
  <si>
    <t>Upstream</t>
  </si>
  <si>
    <t>Q124</t>
  </si>
  <si>
    <t>Q224</t>
  </si>
  <si>
    <t>Q324</t>
  </si>
  <si>
    <t>Q424</t>
  </si>
  <si>
    <t>Q125</t>
  </si>
  <si>
    <t>Q225</t>
  </si>
  <si>
    <t>Q325</t>
  </si>
  <si>
    <t>Q425</t>
  </si>
  <si>
    <t>Q426</t>
  </si>
  <si>
    <t>Q126</t>
  </si>
  <si>
    <t>Q326</t>
  </si>
  <si>
    <t>Energy</t>
  </si>
  <si>
    <t>Specialty</t>
  </si>
  <si>
    <t>Chemical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</si>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</sst>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628A-F9BA-45CE-85E7-856E967DA5B4}">
  <dimension ref="J2:L7"/>
  <sheetViews>
    <sheetView workbookViewId="0">
      <selection activeCell="K8" sqref="K8"/>
    </sheetView>
  </sheetViews>
  <sheetFormatPr defaultRowHeight="12.5" x14ac:dyDescent="0.25"/>
  <cols>
    <col min="1" max="16384" width="8.7265625" style="1"/>
  </cols>
  <sheetData>
    <row r="2" spans="10:12" x14ac:dyDescent="0.25">
      <c r="J2" s="1" t="s">
        <v>0</v>
      </c>
      <c r="K2" s="1">
        <v>165.52</v>
      </c>
    </row>
    <row r="3" spans="10:12" x14ac:dyDescent="0.25">
      <c r="J3" s="1" t="s">
        <v>1</v>
      </c>
      <c r="K3" s="2">
        <v>4111.9119600000004</v>
      </c>
      <c r="L3" s="3" t="s">
        <v>6</v>
      </c>
    </row>
    <row r="4" spans="10:12" x14ac:dyDescent="0.25">
      <c r="J4" s="1" t="s">
        <v>2</v>
      </c>
      <c r="K4" s="2">
        <f>+K2*K3</f>
        <v>680603.66761920007</v>
      </c>
      <c r="L4" s="3"/>
    </row>
    <row r="5" spans="10:12" x14ac:dyDescent="0.25">
      <c r="J5" s="1" t="s">
        <v>3</v>
      </c>
      <c r="K5" s="2">
        <f>10588+45605</f>
        <v>56193</v>
      </c>
      <c r="L5" s="3" t="s">
        <v>6</v>
      </c>
    </row>
    <row r="6" spans="10:12" x14ac:dyDescent="0.25">
      <c r="J6" s="1" t="s">
        <v>4</v>
      </c>
      <c r="K6" s="2">
        <f>10139+32229</f>
        <v>42368</v>
      </c>
      <c r="L6" s="3" t="s">
        <v>6</v>
      </c>
    </row>
    <row r="7" spans="10:12" x14ac:dyDescent="0.25">
      <c r="J7" s="1" t="s">
        <v>5</v>
      </c>
      <c r="K7" s="2">
        <f>+K4-K5+K6</f>
        <v>666778.66761920007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6178-9D81-4449-9A40-BAF597CE6DBA}">
  <dimension ref="A1:P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7" sqref="D7"/>
    </sheetView>
  </sheetViews>
  <sheetFormatPr defaultRowHeight="12.5" x14ac:dyDescent="0.25"/>
  <cols>
    <col min="1" max="1" width="4.6328125" style="1" bestFit="1" customWidth="1"/>
    <col min="2" max="2" width="8.7265625" style="1"/>
    <col min="3" max="16" width="8.7265625" style="3"/>
    <col min="17" max="16384" width="8.7265625" style="1"/>
  </cols>
  <sheetData>
    <row r="1" spans="1:16" x14ac:dyDescent="0.25">
      <c r="A1" s="1" t="s">
        <v>7</v>
      </c>
    </row>
    <row r="2" spans="1:16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18</v>
      </c>
      <c r="L2" s="3" t="s">
        <v>6</v>
      </c>
      <c r="M2" s="3" t="s">
        <v>19</v>
      </c>
      <c r="N2" s="3" t="s">
        <v>17</v>
      </c>
    </row>
    <row r="3" spans="1:16" s="2" customFormat="1" x14ac:dyDescent="0.25">
      <c r="B3" s="2" t="s">
        <v>8</v>
      </c>
      <c r="C3" s="4">
        <f>8034+15351</f>
        <v>23385</v>
      </c>
      <c r="D3" s="4">
        <f>13031+15799</f>
        <v>28830</v>
      </c>
      <c r="E3" s="4">
        <f>13902+15480</f>
        <v>29382</v>
      </c>
      <c r="F3" s="4">
        <f>48416+62330-E3-D3-C3</f>
        <v>29149</v>
      </c>
      <c r="G3" s="4">
        <f>13743+15431</f>
        <v>29174</v>
      </c>
      <c r="H3" s="4">
        <f>12267+13433</f>
        <v>25700</v>
      </c>
      <c r="I3" s="4">
        <f>14021+13769</f>
        <v>27790</v>
      </c>
      <c r="J3" s="4">
        <f>51489+55662-I3-H3-G3</f>
        <v>24487</v>
      </c>
      <c r="K3" s="4">
        <f>15043+13781</f>
        <v>28824</v>
      </c>
      <c r="L3" s="4">
        <f>18308+17149</f>
        <v>35457</v>
      </c>
      <c r="M3" s="4"/>
      <c r="N3" s="4"/>
      <c r="O3" s="4"/>
      <c r="P3" s="4"/>
    </row>
    <row r="4" spans="1:16" s="2" customFormat="1" x14ac:dyDescent="0.25">
      <c r="B4" s="2" t="s">
        <v>20</v>
      </c>
      <c r="C4" s="4">
        <f>31437+46205</f>
        <v>77642</v>
      </c>
      <c r="D4" s="4">
        <f>33068+49429</f>
        <v>82497</v>
      </c>
      <c r="E4" s="4">
        <f>31122+47582</f>
        <v>78704</v>
      </c>
      <c r="F4" s="4">
        <f>125386+185648-E4-D4-C4</f>
        <v>72191</v>
      </c>
      <c r="G4" s="4">
        <f>28601+42774</f>
        <v>71375</v>
      </c>
      <c r="H4" s="4">
        <f>29636+41511</f>
        <v>71147</v>
      </c>
      <c r="I4" s="4">
        <f>30649+44341</f>
        <v>74990</v>
      </c>
      <c r="J4" s="4">
        <f>118497+173119-I4-H4-G4</f>
        <v>74104</v>
      </c>
      <c r="K4" s="4">
        <f>32474+44798</f>
        <v>77272</v>
      </c>
      <c r="L4" s="4">
        <f>48891+60652</f>
        <v>109543</v>
      </c>
      <c r="M4" s="4"/>
      <c r="N4" s="4"/>
      <c r="O4" s="4"/>
      <c r="P4" s="4"/>
    </row>
    <row r="5" spans="1:16" s="2" customFormat="1" x14ac:dyDescent="0.25">
      <c r="B5" s="2" t="s">
        <v>22</v>
      </c>
      <c r="C5" s="4">
        <f>4117+4881</f>
        <v>8998</v>
      </c>
      <c r="D5" s="4">
        <f>4195+4787</f>
        <v>8982</v>
      </c>
      <c r="E5" s="4">
        <f>4102+4970</f>
        <v>9072</v>
      </c>
      <c r="F5" s="4">
        <f>16058+18853-E5-D5-C5</f>
        <v>7859</v>
      </c>
      <c r="G5" s="4">
        <f>3721+4263</f>
        <v>7984</v>
      </c>
      <c r="H5" s="4">
        <f>3676+4622</f>
        <v>8298</v>
      </c>
      <c r="I5" s="4">
        <f>3658+4914</f>
        <v>8572</v>
      </c>
      <c r="J5" s="4">
        <f>14509+18473-I5-H5-G5</f>
        <v>8128</v>
      </c>
      <c r="K5" s="4">
        <f>3694+4584</f>
        <v>8278</v>
      </c>
      <c r="L5" s="4">
        <f>4560+5515</f>
        <v>10075</v>
      </c>
      <c r="M5" s="4"/>
      <c r="N5" s="4"/>
      <c r="O5" s="4"/>
      <c r="P5" s="4"/>
    </row>
    <row r="6" spans="1:16" s="2" customFormat="1" x14ac:dyDescent="0.25">
      <c r="B6" s="2" t="s">
        <v>21</v>
      </c>
      <c r="C6" s="4">
        <f>2127+3337</f>
        <v>5464</v>
      </c>
      <c r="D6" s="4">
        <f>2176+3277</f>
        <v>5453</v>
      </c>
      <c r="E6" s="4">
        <f>2013+3361</f>
        <v>5374</v>
      </c>
      <c r="F6" s="4">
        <f>8274+13126-E6-D6-C6</f>
        <v>5109</v>
      </c>
      <c r="G6" s="4">
        <f>1916+3144</f>
        <v>5060</v>
      </c>
      <c r="H6" s="4">
        <f>1994+3268</f>
        <v>5262</v>
      </c>
      <c r="I6" s="4">
        <f>1969+3206</f>
        <v>5175</v>
      </c>
      <c r="J6" s="4">
        <f>7655+12805-I6-H6-G6</f>
        <v>4963</v>
      </c>
      <c r="K6" s="4">
        <f>1872+3169</f>
        <v>5041</v>
      </c>
      <c r="L6" s="4">
        <f>2189+3879</f>
        <v>6068</v>
      </c>
      <c r="M6" s="4"/>
      <c r="N6" s="4"/>
      <c r="O6" s="4"/>
      <c r="P6" s="4"/>
    </row>
    <row r="7" spans="1:16" s="5" customFormat="1" ht="13" x14ac:dyDescent="0.3">
      <c r="B7" s="5" t="s">
        <v>23</v>
      </c>
      <c r="C7" s="6">
        <f t="shared" ref="C7:K7" si="0">SUM(C3:C6)</f>
        <v>115489</v>
      </c>
      <c r="D7" s="6">
        <f t="shared" si="0"/>
        <v>125762</v>
      </c>
      <c r="E7" s="6">
        <f t="shared" si="0"/>
        <v>122532</v>
      </c>
      <c r="F7" s="6">
        <f t="shared" si="0"/>
        <v>114308</v>
      </c>
      <c r="G7" s="6">
        <f t="shared" si="0"/>
        <v>113593</v>
      </c>
      <c r="H7" s="6">
        <f t="shared" si="0"/>
        <v>110407</v>
      </c>
      <c r="I7" s="6">
        <f t="shared" si="0"/>
        <v>116527</v>
      </c>
      <c r="J7" s="6">
        <f t="shared" si="0"/>
        <v>111682</v>
      </c>
      <c r="K7" s="6">
        <f t="shared" si="0"/>
        <v>119415</v>
      </c>
      <c r="L7" s="6">
        <f>SUM(L3:L6)</f>
        <v>161143</v>
      </c>
      <c r="M7" s="6"/>
      <c r="N7" s="6"/>
      <c r="O7" s="6"/>
      <c r="P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2026-08-18T21:16:43Z</dcterms:created>
  <dcterms:modified xsi:type="dcterms:W3CDTF">2026-08-18T21:40:14Z</dcterms:modified>
</cp:coreProperties>
</file>