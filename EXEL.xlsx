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749012F-9000-4952-8F76-FE66B7C4A308}" xr6:coauthVersionLast="47" xr6:coauthVersionMax="47" xr10:uidLastSave="{00000000-0000-0000-0000-000000000000}"/>
  <bookViews>
    <workbookView xWindow="15570" yWindow="5450" windowWidth="21450" windowHeight="14220" activeTab="1" xr2:uid="{43FD223A-B47F-4F03-ADC1-5FABEC88E596}"/>
  </bookViews>
  <sheets>
    <sheet name="Main" sheetId="1" r:id="rId1"/>
    <sheet name="Model" sheetId="2" r:id="rId2"/>
    <sheet name="Cabomety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4" i="2" l="1"/>
  <c r="AZ23" i="2"/>
  <c r="AX20" i="2"/>
  <c r="AY20" i="2" s="1"/>
  <c r="AZ20" i="2" s="1"/>
  <c r="BA20" i="2" s="1"/>
  <c r="BB20" i="2" s="1"/>
  <c r="BC20" i="2" s="1"/>
  <c r="BD20" i="2" s="1"/>
  <c r="BE20" i="2" s="1"/>
  <c r="BF20" i="2" s="1"/>
  <c r="BG20" i="2" s="1"/>
  <c r="BE18" i="2"/>
  <c r="BE19" i="2" s="1"/>
  <c r="BD18" i="2"/>
  <c r="BD19" i="2" s="1"/>
  <c r="BC18" i="2"/>
  <c r="BC19" i="2" s="1"/>
  <c r="BB18" i="2"/>
  <c r="BB19" i="2" s="1"/>
  <c r="BA18" i="2"/>
  <c r="BA19" i="2" s="1"/>
  <c r="AZ18" i="2"/>
  <c r="AZ19" i="2" s="1"/>
  <c r="AY18" i="2"/>
  <c r="AY19" i="2" s="1"/>
  <c r="AX18" i="2"/>
  <c r="AX19" i="2" s="1"/>
  <c r="BG17" i="2"/>
  <c r="BG18" i="2" s="1"/>
  <c r="BG19" i="2" s="1"/>
  <c r="BF17" i="2"/>
  <c r="BF18" i="2" s="1"/>
  <c r="BF19" i="2" s="1"/>
  <c r="BE17" i="2"/>
  <c r="BD17" i="2"/>
  <c r="BC17" i="2"/>
  <c r="BB17" i="2"/>
  <c r="BA17" i="2"/>
  <c r="AZ17" i="2"/>
  <c r="AY17" i="2"/>
  <c r="AX17" i="2"/>
  <c r="AX15" i="2"/>
  <c r="AY15" i="2" s="1"/>
  <c r="AZ15" i="2" s="1"/>
  <c r="BA15" i="2" s="1"/>
  <c r="BB15" i="2" s="1"/>
  <c r="BC15" i="2" s="1"/>
  <c r="BD15" i="2" s="1"/>
  <c r="BE15" i="2" s="1"/>
  <c r="BF15" i="2" s="1"/>
  <c r="BG15" i="2" s="1"/>
  <c r="AX12" i="2"/>
  <c r="AY12" i="2" s="1"/>
  <c r="BG9" i="2"/>
  <c r="BG10" i="2" s="1"/>
  <c r="BF9" i="2"/>
  <c r="BF10" i="2" s="1"/>
  <c r="BE9" i="2"/>
  <c r="BE10" i="2" s="1"/>
  <c r="BD9" i="2"/>
  <c r="BD10" i="2" s="1"/>
  <c r="BC9" i="2"/>
  <c r="BC10" i="2" s="1"/>
  <c r="BB9" i="2"/>
  <c r="BB10" i="2" s="1"/>
  <c r="BA9" i="2"/>
  <c r="BA10" i="2" s="1"/>
  <c r="AZ9" i="2"/>
  <c r="AZ10" i="2" s="1"/>
  <c r="AY9" i="2"/>
  <c r="AY10" i="2" s="1"/>
  <c r="AX9" i="2"/>
  <c r="AX10" i="2" s="1"/>
  <c r="BG8" i="2"/>
  <c r="BF8" i="2"/>
  <c r="BE8" i="2"/>
  <c r="BD8" i="2"/>
  <c r="BC8" i="2"/>
  <c r="BB8" i="2"/>
  <c r="BA8" i="2"/>
  <c r="AZ8" i="2"/>
  <c r="AY8" i="2"/>
  <c r="AX8" i="2"/>
  <c r="AY5" i="2"/>
  <c r="AZ5" i="2" s="1"/>
  <c r="BA5" i="2" s="1"/>
  <c r="BB5" i="2" s="1"/>
  <c r="BC5" i="2" s="1"/>
  <c r="BD5" i="2" s="1"/>
  <c r="BE5" i="2" s="1"/>
  <c r="BF5" i="2" s="1"/>
  <c r="BG5" i="2" s="1"/>
  <c r="AX5" i="2"/>
  <c r="BE4" i="2"/>
  <c r="BF4" i="2" s="1"/>
  <c r="BG4" i="2" s="1"/>
  <c r="AZ4" i="2"/>
  <c r="BA4" i="2" s="1"/>
  <c r="BB4" i="2" s="1"/>
  <c r="BC4" i="2" s="1"/>
  <c r="BD4" i="2" s="1"/>
  <c r="AY4" i="2"/>
  <c r="M5" i="1"/>
  <c r="AR20" i="2"/>
  <c r="AR17" i="2"/>
  <c r="AS15" i="2"/>
  <c r="AR15" i="2"/>
  <c r="AS12" i="2"/>
  <c r="AR12" i="2"/>
  <c r="AS11" i="2"/>
  <c r="AR11" i="2"/>
  <c r="AR9" i="2"/>
  <c r="AR7" i="2"/>
  <c r="AR5" i="2"/>
  <c r="AD22" i="2"/>
  <c r="AC22" i="2"/>
  <c r="AB22" i="2"/>
  <c r="AB20" i="2"/>
  <c r="AD13" i="2"/>
  <c r="AC13" i="2"/>
  <c r="AB13" i="2"/>
  <c r="AD7" i="2"/>
  <c r="AC7" i="2"/>
  <c r="AB7" i="2"/>
  <c r="AS7" i="2" s="1"/>
  <c r="AD5" i="2"/>
  <c r="AC5" i="2"/>
  <c r="AB5" i="2"/>
  <c r="AS5" i="2" s="1"/>
  <c r="AD8" i="2"/>
  <c r="AD9" i="2" s="1"/>
  <c r="AC8" i="2"/>
  <c r="AB8" i="2"/>
  <c r="X10" i="2"/>
  <c r="Y10" i="2"/>
  <c r="Z10" i="2"/>
  <c r="AA22" i="2"/>
  <c r="Z22" i="2"/>
  <c r="Y22" i="2"/>
  <c r="X22" i="2"/>
  <c r="AA13" i="2"/>
  <c r="Z13" i="2"/>
  <c r="Z14" i="2" s="1"/>
  <c r="Z16" i="2" s="1"/>
  <c r="Z18" i="2" s="1"/>
  <c r="Z19" i="2" s="1"/>
  <c r="Y13" i="2"/>
  <c r="Y14" i="2" s="1"/>
  <c r="Y16" i="2" s="1"/>
  <c r="Y18" i="2" s="1"/>
  <c r="Y19" i="2" s="1"/>
  <c r="X13" i="2"/>
  <c r="X14" i="2" s="1"/>
  <c r="X16" i="2" s="1"/>
  <c r="X18" i="2" s="1"/>
  <c r="X19" i="2" s="1"/>
  <c r="AA10" i="2"/>
  <c r="AA8" i="2"/>
  <c r="Z8" i="2"/>
  <c r="Y8" i="2"/>
  <c r="X8" i="2"/>
  <c r="AQ20" i="2"/>
  <c r="AN20" i="2"/>
  <c r="AO20" i="2"/>
  <c r="AP20" i="2"/>
  <c r="AQ17" i="2"/>
  <c r="AP17" i="2"/>
  <c r="AQ15" i="2"/>
  <c r="AT15" i="2" s="1"/>
  <c r="AU15" i="2" s="1"/>
  <c r="AV15" i="2" s="1"/>
  <c r="AW15" i="2" s="1"/>
  <c r="AP15" i="2"/>
  <c r="AQ12" i="2"/>
  <c r="AP12" i="2"/>
  <c r="AQ11" i="2"/>
  <c r="AQ13" i="2" s="1"/>
  <c r="AP11" i="2"/>
  <c r="AQ9" i="2"/>
  <c r="AP9" i="2"/>
  <c r="AQ7" i="2"/>
  <c r="AP7" i="2"/>
  <c r="AQ6" i="2"/>
  <c r="AT6" i="2" s="1"/>
  <c r="AU6" i="2" s="1"/>
  <c r="AV6" i="2" s="1"/>
  <c r="AW6" i="2" s="1"/>
  <c r="AP6" i="2"/>
  <c r="AQ5" i="2"/>
  <c r="AP5" i="2"/>
  <c r="AO5" i="2"/>
  <c r="AO8" i="2" s="1"/>
  <c r="AO10" i="2" s="1"/>
  <c r="P22" i="2"/>
  <c r="M22" i="2"/>
  <c r="L22" i="2"/>
  <c r="H13" i="2"/>
  <c r="H8" i="2"/>
  <c r="H10" i="2" s="1"/>
  <c r="Q22" i="2"/>
  <c r="O22" i="2"/>
  <c r="N22" i="2"/>
  <c r="I13" i="2"/>
  <c r="I8" i="2"/>
  <c r="I10" i="2" s="1"/>
  <c r="M13" i="2"/>
  <c r="L13" i="2"/>
  <c r="K13" i="2"/>
  <c r="O13" i="2"/>
  <c r="M8" i="2"/>
  <c r="M10" i="2" s="1"/>
  <c r="L8" i="2"/>
  <c r="L10" i="2" s="1"/>
  <c r="K8" i="2"/>
  <c r="K10" i="2" s="1"/>
  <c r="S22" i="2"/>
  <c r="R22" i="2"/>
  <c r="V22" i="2"/>
  <c r="U22" i="2"/>
  <c r="T22" i="2"/>
  <c r="W22" i="2"/>
  <c r="P13" i="2"/>
  <c r="Q13" i="2"/>
  <c r="R13" i="2"/>
  <c r="V13" i="2"/>
  <c r="U13" i="2"/>
  <c r="T13" i="2"/>
  <c r="S13" i="2"/>
  <c r="W13" i="2"/>
  <c r="W8" i="2"/>
  <c r="W10" i="2" s="1"/>
  <c r="W14" i="2" s="1"/>
  <c r="W16" i="2" s="1"/>
  <c r="W18" i="2" s="1"/>
  <c r="W19" i="2" s="1"/>
  <c r="V8" i="2"/>
  <c r="V10" i="2" s="1"/>
  <c r="U8" i="2"/>
  <c r="U10" i="2" s="1"/>
  <c r="T8" i="2"/>
  <c r="T10" i="2" s="1"/>
  <c r="S8" i="2"/>
  <c r="S10" i="2" s="1"/>
  <c r="R8" i="2"/>
  <c r="R10" i="2" s="1"/>
  <c r="Q8" i="2"/>
  <c r="Q10" i="2" s="1"/>
  <c r="P8" i="2"/>
  <c r="P10" i="2" s="1"/>
  <c r="O8" i="2"/>
  <c r="O10" i="2" s="1"/>
  <c r="N15" i="2"/>
  <c r="N13" i="2"/>
  <c r="N8" i="2"/>
  <c r="N10" i="2" s="1"/>
  <c r="J15" i="2"/>
  <c r="J13" i="2"/>
  <c r="J8" i="2"/>
  <c r="J10" i="2" s="1"/>
  <c r="AN13" i="2"/>
  <c r="AM13" i="2"/>
  <c r="AO13" i="2"/>
  <c r="AN8" i="2"/>
  <c r="AN10" i="2" s="1"/>
  <c r="AM8" i="2"/>
  <c r="AM10" i="2" s="1"/>
  <c r="AI2" i="2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M4" i="1"/>
  <c r="AZ12" i="2" l="1"/>
  <c r="AY13" i="2"/>
  <c r="AY14" i="2" s="1"/>
  <c r="AY16" i="2" s="1"/>
  <c r="AX13" i="2"/>
  <c r="AX14" i="2" s="1"/>
  <c r="AX16" i="2" s="1"/>
  <c r="AC20" i="2"/>
  <c r="AD20" i="2" s="1"/>
  <c r="AP13" i="2"/>
  <c r="AD10" i="2"/>
  <c r="AT5" i="2"/>
  <c r="AU5" i="2" s="1"/>
  <c r="AV5" i="2" s="1"/>
  <c r="AW5" i="2" s="1"/>
  <c r="AB9" i="2"/>
  <c r="AC9" i="2"/>
  <c r="AC10" i="2" s="1"/>
  <c r="AC14" i="2" s="1"/>
  <c r="AC16" i="2" s="1"/>
  <c r="AD14" i="2"/>
  <c r="AD16" i="2" s="1"/>
  <c r="AA14" i="2"/>
  <c r="AA16" i="2" s="1"/>
  <c r="AA18" i="2" s="1"/>
  <c r="AA19" i="2" s="1"/>
  <c r="AR13" i="2"/>
  <c r="AP8" i="2"/>
  <c r="AP10" i="2" s="1"/>
  <c r="AP14" i="2" s="1"/>
  <c r="AP16" i="2" s="1"/>
  <c r="AP18" i="2" s="1"/>
  <c r="AP19" i="2" s="1"/>
  <c r="AQ8" i="2"/>
  <c r="AQ10" i="2" s="1"/>
  <c r="AQ14" i="2" s="1"/>
  <c r="AQ16" i="2" s="1"/>
  <c r="AQ18" i="2" s="1"/>
  <c r="H14" i="2"/>
  <c r="H16" i="2" s="1"/>
  <c r="H18" i="2" s="1"/>
  <c r="H19" i="2" s="1"/>
  <c r="AS13" i="2"/>
  <c r="AT12" i="2"/>
  <c r="I14" i="2"/>
  <c r="I16" i="2" s="1"/>
  <c r="I18" i="2" s="1"/>
  <c r="I19" i="2" s="1"/>
  <c r="AQ19" i="2"/>
  <c r="O14" i="2"/>
  <c r="O16" i="2" s="1"/>
  <c r="O18" i="2" s="1"/>
  <c r="O19" i="2" s="1"/>
  <c r="K14" i="2"/>
  <c r="K16" i="2" s="1"/>
  <c r="K18" i="2" s="1"/>
  <c r="K19" i="2" s="1"/>
  <c r="P14" i="2"/>
  <c r="P16" i="2" s="1"/>
  <c r="P18" i="2" s="1"/>
  <c r="P19" i="2" s="1"/>
  <c r="AO14" i="2"/>
  <c r="AO16" i="2" s="1"/>
  <c r="AO18" i="2" s="1"/>
  <c r="AO19" i="2" s="1"/>
  <c r="AT7" i="2"/>
  <c r="AT8" i="2" s="1"/>
  <c r="AT9" i="2" s="1"/>
  <c r="AT10" i="2" s="1"/>
  <c r="Q14" i="2"/>
  <c r="Q16" i="2" s="1"/>
  <c r="Q18" i="2" s="1"/>
  <c r="Q19" i="2" s="1"/>
  <c r="AS8" i="2"/>
  <c r="AU7" i="2"/>
  <c r="AR8" i="2"/>
  <c r="L14" i="2"/>
  <c r="L16" i="2" s="1"/>
  <c r="L18" i="2" s="1"/>
  <c r="L19" i="2" s="1"/>
  <c r="M14" i="2"/>
  <c r="M16" i="2" s="1"/>
  <c r="M18" i="2" s="1"/>
  <c r="M19" i="2" s="1"/>
  <c r="T14" i="2"/>
  <c r="T16" i="2" s="1"/>
  <c r="T18" i="2" s="1"/>
  <c r="T19" i="2" s="1"/>
  <c r="R14" i="2"/>
  <c r="R16" i="2" s="1"/>
  <c r="R18" i="2" s="1"/>
  <c r="R19" i="2" s="1"/>
  <c r="S14" i="2"/>
  <c r="S16" i="2" s="1"/>
  <c r="S18" i="2" s="1"/>
  <c r="S19" i="2" s="1"/>
  <c r="U14" i="2"/>
  <c r="U16" i="2" s="1"/>
  <c r="U18" i="2" s="1"/>
  <c r="U19" i="2" s="1"/>
  <c r="V14" i="2"/>
  <c r="V16" i="2" s="1"/>
  <c r="V18" i="2" s="1"/>
  <c r="V19" i="2" s="1"/>
  <c r="N14" i="2"/>
  <c r="N16" i="2" s="1"/>
  <c r="N18" i="2" s="1"/>
  <c r="N19" i="2" s="1"/>
  <c r="J14" i="2"/>
  <c r="J16" i="2" s="1"/>
  <c r="J18" i="2" s="1"/>
  <c r="J19" i="2" s="1"/>
  <c r="M7" i="1"/>
  <c r="AN14" i="2"/>
  <c r="AN16" i="2" s="1"/>
  <c r="AN18" i="2" s="1"/>
  <c r="AN19" i="2" s="1"/>
  <c r="AM14" i="2"/>
  <c r="AM16" i="2" s="1"/>
  <c r="AM18" i="2" s="1"/>
  <c r="AM19" i="2" s="1"/>
  <c r="AZ13" i="2" l="1"/>
  <c r="AZ14" i="2" s="1"/>
  <c r="AZ16" i="2" s="1"/>
  <c r="BA12" i="2"/>
  <c r="AC17" i="2"/>
  <c r="AC18" i="2"/>
  <c r="AC19" i="2" s="1"/>
  <c r="AD17" i="2"/>
  <c r="AD18" i="2" s="1"/>
  <c r="AD19" i="2" s="1"/>
  <c r="AS9" i="2"/>
  <c r="AS10" i="2" s="1"/>
  <c r="AS14" i="2" s="1"/>
  <c r="AS16" i="2" s="1"/>
  <c r="AS20" i="2"/>
  <c r="AT20" i="2" s="1"/>
  <c r="AU20" i="2" s="1"/>
  <c r="AV20" i="2" s="1"/>
  <c r="AW20" i="2" s="1"/>
  <c r="AB10" i="2"/>
  <c r="AB14" i="2" s="1"/>
  <c r="AB16" i="2" s="1"/>
  <c r="AU12" i="2"/>
  <c r="AT13" i="2"/>
  <c r="AT14" i="2" s="1"/>
  <c r="AT16" i="2" s="1"/>
  <c r="AT17" i="2" s="1"/>
  <c r="AT18" i="2" s="1"/>
  <c r="AT19" i="2" s="1"/>
  <c r="AU8" i="2"/>
  <c r="AV7" i="2"/>
  <c r="AR10" i="2"/>
  <c r="AR14" i="2" s="1"/>
  <c r="AR16" i="2" s="1"/>
  <c r="BA13" i="2" l="1"/>
  <c r="BA14" i="2" s="1"/>
  <c r="BA16" i="2" s="1"/>
  <c r="BB12" i="2"/>
  <c r="AB17" i="2"/>
  <c r="AS17" i="2" s="1"/>
  <c r="AS18" i="2" s="1"/>
  <c r="AS19" i="2" s="1"/>
  <c r="AB18" i="2"/>
  <c r="AB19" i="2" s="1"/>
  <c r="AU13" i="2"/>
  <c r="AV12" i="2"/>
  <c r="AV8" i="2"/>
  <c r="AW7" i="2"/>
  <c r="AW8" i="2" s="1"/>
  <c r="AU9" i="2"/>
  <c r="AU10" i="2" s="1"/>
  <c r="AU14" i="2" s="1"/>
  <c r="AU16" i="2" s="1"/>
  <c r="AR18" i="2"/>
  <c r="AR19" i="2" s="1"/>
  <c r="BC12" i="2" l="1"/>
  <c r="BB13" i="2"/>
  <c r="BB14" i="2" s="1"/>
  <c r="BB16" i="2" s="1"/>
  <c r="AV13" i="2"/>
  <c r="AW12" i="2"/>
  <c r="AW13" i="2" s="1"/>
  <c r="AU17" i="2"/>
  <c r="AU18" i="2" s="1"/>
  <c r="AU19" i="2" s="1"/>
  <c r="AW9" i="2"/>
  <c r="AW10" i="2" s="1"/>
  <c r="AW14" i="2" s="1"/>
  <c r="AW16" i="2" s="1"/>
  <c r="AV9" i="2"/>
  <c r="AV10" i="2" s="1"/>
  <c r="AV14" i="2" s="1"/>
  <c r="AV16" i="2" s="1"/>
  <c r="BC13" i="2" l="1"/>
  <c r="BC14" i="2" s="1"/>
  <c r="BC16" i="2" s="1"/>
  <c r="BD12" i="2"/>
  <c r="AW17" i="2"/>
  <c r="AW18" i="2" s="1"/>
  <c r="AW19" i="2" s="1"/>
  <c r="AV17" i="2"/>
  <c r="AV18" i="2" s="1"/>
  <c r="AV19" i="2" s="1"/>
  <c r="BE12" i="2" l="1"/>
  <c r="BD13" i="2"/>
  <c r="BD14" i="2" s="1"/>
  <c r="BD16" i="2" s="1"/>
  <c r="BE13" i="2" l="1"/>
  <c r="BE14" i="2" s="1"/>
  <c r="BE16" i="2" s="1"/>
  <c r="BF12" i="2"/>
  <c r="BG12" i="2" l="1"/>
  <c r="BG13" i="2" s="1"/>
  <c r="BG14" i="2" s="1"/>
  <c r="BG16" i="2" s="1"/>
  <c r="BF13" i="2"/>
  <c r="BF14" i="2" s="1"/>
  <c r="BF16" i="2" s="1"/>
</calcChain>
</file>

<file path=xl/sharedStrings.xml><?xml version="1.0" encoding="utf-8"?>
<sst xmlns="http://schemas.openxmlformats.org/spreadsheetml/2006/main" count="96" uniqueCount="87">
  <si>
    <t>Price</t>
  </si>
  <si>
    <t>Shares</t>
  </si>
  <si>
    <t>MC</t>
  </si>
  <si>
    <t>Cash</t>
  </si>
  <si>
    <t>Debt</t>
  </si>
  <si>
    <t>EV</t>
  </si>
  <si>
    <t>Q422</t>
  </si>
  <si>
    <t>Main</t>
  </si>
  <si>
    <t>Revenue</t>
  </si>
  <si>
    <t>Q122</t>
  </si>
  <si>
    <t>Q121</t>
  </si>
  <si>
    <t>Q221</t>
  </si>
  <si>
    <t>Q321</t>
  </si>
  <si>
    <t>Q421</t>
  </si>
  <si>
    <t>Q222</t>
  </si>
  <si>
    <t>Q322</t>
  </si>
  <si>
    <t>Q123</t>
  </si>
  <si>
    <t>Q223</t>
  </si>
  <si>
    <t>Q323</t>
  </si>
  <si>
    <t>Q423</t>
  </si>
  <si>
    <t>Q120</t>
  </si>
  <si>
    <t>Q220</t>
  </si>
  <si>
    <t>Q320</t>
  </si>
  <si>
    <t>Q420</t>
  </si>
  <si>
    <t>Product</t>
  </si>
  <si>
    <t>License</t>
  </si>
  <si>
    <t>Services</t>
  </si>
  <si>
    <t>COGS</t>
  </si>
  <si>
    <t>Gross Profit</t>
  </si>
  <si>
    <t>Operating Expenses</t>
  </si>
  <si>
    <t>Operating Income</t>
  </si>
  <si>
    <t>R&amp;D</t>
  </si>
  <si>
    <t>SG&amp;A</t>
  </si>
  <si>
    <t>Brand</t>
  </si>
  <si>
    <t>Cabometyx (cabozantinib)</t>
  </si>
  <si>
    <t>Indication</t>
  </si>
  <si>
    <t>Name</t>
  </si>
  <si>
    <t>Cometriq (cabozantinib)</t>
  </si>
  <si>
    <t>RCC</t>
  </si>
  <si>
    <t>Economics</t>
  </si>
  <si>
    <t>zanzalintinib</t>
  </si>
  <si>
    <t>ADU-1805</t>
  </si>
  <si>
    <t>Net Income</t>
  </si>
  <si>
    <t>EPS</t>
  </si>
  <si>
    <t>Interest Income</t>
  </si>
  <si>
    <t>Pretax</t>
  </si>
  <si>
    <t>Taxes</t>
  </si>
  <si>
    <t>CEO</t>
  </si>
  <si>
    <t>Michael Morrissey</t>
  </si>
  <si>
    <t>XB002</t>
  </si>
  <si>
    <t>MOA</t>
  </si>
  <si>
    <t>TKI</t>
  </si>
  <si>
    <t>TF ADC</t>
  </si>
  <si>
    <t>XL102</t>
  </si>
  <si>
    <t>CDK7</t>
  </si>
  <si>
    <t>XB010</t>
  </si>
  <si>
    <t>XB628</t>
  </si>
  <si>
    <t>XB014</t>
  </si>
  <si>
    <t>Cabo</t>
  </si>
  <si>
    <t>Cabometyx</t>
  </si>
  <si>
    <t>Generic</t>
  </si>
  <si>
    <t>cabozantinib</t>
  </si>
  <si>
    <t>Phase</t>
  </si>
  <si>
    <t>Approved</t>
  </si>
  <si>
    <t>CBX-12 (exetecan)</t>
  </si>
  <si>
    <t>SIRPalpha</t>
  </si>
  <si>
    <t>Topo</t>
  </si>
  <si>
    <t>IP</t>
  </si>
  <si>
    <t>8877776 lost against MSN (N-2 polymorph)</t>
  </si>
  <si>
    <t>7759473 won against MSN, making 8/14/26 earliest generic date</t>
  </si>
  <si>
    <t>Q224</t>
  </si>
  <si>
    <t>Q125</t>
  </si>
  <si>
    <t>Q124</t>
  </si>
  <si>
    <t>Q324</t>
  </si>
  <si>
    <t>Q424</t>
  </si>
  <si>
    <t>Q225</t>
  </si>
  <si>
    <t>Q325</t>
  </si>
  <si>
    <t>Q425</t>
  </si>
  <si>
    <t>Product y/y</t>
  </si>
  <si>
    <t>12/3/26 PDUFA</t>
  </si>
  <si>
    <t>Q126</t>
  </si>
  <si>
    <t>Q226</t>
  </si>
  <si>
    <t>Q326</t>
  </si>
  <si>
    <t>Q426</t>
  </si>
  <si>
    <t>NPV</t>
  </si>
  <si>
    <t>zanza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</si>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</sst>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0" xfId="0" applyNumberFormat="1" applyAlignment="1">
      <alignment horizontal="right"/>
    </xf>
    <xf numFmtId="0" fontId="2" fillId="0" borderId="1" xfId="1" applyBorder="1"/>
    <xf numFmtId="4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6DF4BCC-C2E4-489A-8B3C-67F7BF898B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27792</xdr:colOff>
      <xdr:row>0</xdr:row>
      <xdr:rowOff>0</xdr:rowOff>
    </xdr:from>
    <xdr:to>
      <xdr:col>27</xdr:col>
      <xdr:colOff>27792</xdr:colOff>
      <xdr:row>40</xdr:row>
      <xdr:rowOff>156813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407722E-280C-E2F5-12DD-7058599B91F4}"/>
            </a:ext>
          </a:extLst>
        </xdr:cNvPr>
        <xdr:cNvCxnSpPr/>
      </xdr:nvCxnSpPr>
      <xdr:spPr>
        <a:xfrm>
          <a:off x="17421907" y="0"/>
          <a:ext cx="0" cy="6448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39076</xdr:colOff>
      <xdr:row>0</xdr:row>
      <xdr:rowOff>0</xdr:rowOff>
    </xdr:from>
    <xdr:to>
      <xdr:col>44</xdr:col>
      <xdr:colOff>39076</xdr:colOff>
      <xdr:row>44</xdr:row>
      <xdr:rowOff>19538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FFDBBFF-631A-F182-5064-36C65F19DAEA}"/>
            </a:ext>
          </a:extLst>
        </xdr:cNvPr>
        <xdr:cNvCxnSpPr/>
      </xdr:nvCxnSpPr>
      <xdr:spPr>
        <a:xfrm>
          <a:off x="27725076" y="0"/>
          <a:ext cx="0" cy="69106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9232-A2EF-4F15-B8B8-1076744E9B83}">
  <dimension ref="B2:N13"/>
  <sheetViews>
    <sheetView zoomScale="145" zoomScaleNormal="145" workbookViewId="0">
      <selection activeCell="B3" sqref="B3"/>
    </sheetView>
  </sheetViews>
  <sheetFormatPr defaultRowHeight="12.5" x14ac:dyDescent="0.25"/>
  <cols>
    <col min="1" max="1" width="3.54296875" customWidth="1"/>
    <col min="2" max="2" width="23" bestFit="1" customWidth="1"/>
    <col min="4" max="4" width="10.453125" customWidth="1"/>
    <col min="5" max="5" width="10.7265625" customWidth="1"/>
    <col min="10" max="11" width="7.1796875" customWidth="1"/>
  </cols>
  <sheetData>
    <row r="2" spans="2:14" x14ac:dyDescent="0.25">
      <c r="B2" s="12" t="s">
        <v>36</v>
      </c>
      <c r="C2" s="13" t="s">
        <v>35</v>
      </c>
      <c r="D2" s="13" t="s">
        <v>39</v>
      </c>
      <c r="E2" s="13" t="s">
        <v>50</v>
      </c>
      <c r="F2" s="13" t="s">
        <v>63</v>
      </c>
      <c r="G2" s="13"/>
      <c r="H2" s="13"/>
      <c r="I2" s="14"/>
      <c r="L2" t="s">
        <v>0</v>
      </c>
      <c r="M2">
        <v>55.58</v>
      </c>
    </row>
    <row r="3" spans="2:14" x14ac:dyDescent="0.25">
      <c r="B3" s="16" t="s">
        <v>34</v>
      </c>
      <c r="C3" t="s">
        <v>38</v>
      </c>
      <c r="E3" t="s">
        <v>51</v>
      </c>
      <c r="I3" s="8"/>
      <c r="L3" t="s">
        <v>1</v>
      </c>
      <c r="M3" s="1">
        <v>272.70828</v>
      </c>
      <c r="N3" s="2" t="s">
        <v>80</v>
      </c>
    </row>
    <row r="4" spans="2:14" x14ac:dyDescent="0.25">
      <c r="B4" s="7" t="s">
        <v>37</v>
      </c>
      <c r="E4" t="s">
        <v>51</v>
      </c>
      <c r="I4" s="8"/>
      <c r="L4" t="s">
        <v>2</v>
      </c>
      <c r="M4" s="1">
        <f>+M2*M3</f>
        <v>15157.126202399999</v>
      </c>
    </row>
    <row r="5" spans="2:14" x14ac:dyDescent="0.25">
      <c r="B5" s="12"/>
      <c r="C5" s="13"/>
      <c r="D5" s="13"/>
      <c r="E5" s="13"/>
      <c r="F5" s="13" t="s">
        <v>62</v>
      </c>
      <c r="G5" s="13"/>
      <c r="H5" s="13"/>
      <c r="I5" s="14"/>
      <c r="L5" t="s">
        <v>3</v>
      </c>
      <c r="M5" s="1">
        <f>226.152+551.055+649.144</f>
        <v>1426.3509999999999</v>
      </c>
      <c r="N5" s="2" t="s">
        <v>80</v>
      </c>
    </row>
    <row r="6" spans="2:14" x14ac:dyDescent="0.25">
      <c r="B6" s="7" t="s">
        <v>40</v>
      </c>
      <c r="E6" t="s">
        <v>51</v>
      </c>
      <c r="F6" t="s">
        <v>79</v>
      </c>
      <c r="I6" s="8"/>
      <c r="L6" t="s">
        <v>4</v>
      </c>
      <c r="M6" s="1">
        <v>0</v>
      </c>
      <c r="N6" s="2" t="s">
        <v>80</v>
      </c>
    </row>
    <row r="7" spans="2:14" x14ac:dyDescent="0.25">
      <c r="B7" s="7" t="s">
        <v>64</v>
      </c>
      <c r="E7" t="s">
        <v>66</v>
      </c>
      <c r="I7" s="8"/>
      <c r="L7" t="s">
        <v>5</v>
      </c>
      <c r="M7" s="1">
        <f>+M4-M5+M6</f>
        <v>13730.775202399998</v>
      </c>
    </row>
    <row r="8" spans="2:14" x14ac:dyDescent="0.25">
      <c r="B8" s="7" t="s">
        <v>41</v>
      </c>
      <c r="E8" t="s">
        <v>65</v>
      </c>
      <c r="I8" s="8"/>
    </row>
    <row r="9" spans="2:14" x14ac:dyDescent="0.25">
      <c r="B9" s="7" t="s">
        <v>49</v>
      </c>
      <c r="E9" t="s">
        <v>52</v>
      </c>
      <c r="I9" s="8"/>
    </row>
    <row r="10" spans="2:14" x14ac:dyDescent="0.25">
      <c r="B10" s="7" t="s">
        <v>53</v>
      </c>
      <c r="E10" t="s">
        <v>54</v>
      </c>
      <c r="I10" s="8"/>
      <c r="L10" t="s">
        <v>47</v>
      </c>
      <c r="M10" t="s">
        <v>48</v>
      </c>
    </row>
    <row r="11" spans="2:14" x14ac:dyDescent="0.25">
      <c r="B11" s="7" t="s">
        <v>55</v>
      </c>
      <c r="I11" s="8"/>
    </row>
    <row r="12" spans="2:14" x14ac:dyDescent="0.25">
      <c r="B12" s="7" t="s">
        <v>57</v>
      </c>
      <c r="I12" s="8"/>
    </row>
    <row r="13" spans="2:14" x14ac:dyDescent="0.25">
      <c r="B13" s="9" t="s">
        <v>56</v>
      </c>
      <c r="C13" s="10"/>
      <c r="D13" s="10"/>
      <c r="E13" s="10"/>
      <c r="F13" s="10"/>
      <c r="G13" s="10"/>
      <c r="H13" s="10"/>
      <c r="I13" s="11"/>
    </row>
  </sheetData>
  <hyperlinks>
    <hyperlink ref="B3" location="Cabometyx!A1" display="Cabometyx (cabozantinib)" xr:uid="{21C06DCF-97D6-42AC-917C-4098F9F714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C34A-15ED-4C14-8965-81604B05A16F}">
  <dimension ref="A1:BG24"/>
  <sheetViews>
    <sheetView tabSelected="1" zoomScale="115" zoomScaleNormal="115" workbookViewId="0">
      <pane xSplit="2" ySplit="2" topLeftCell="AS3" activePane="bottomRight" state="frozen"/>
      <selection pane="topRight" activeCell="C1" sqref="C1"/>
      <selection pane="bottomLeft" activeCell="A3" sqref="A3"/>
      <selection pane="bottomRight" activeCell="AZ24" sqref="AZ24"/>
    </sheetView>
  </sheetViews>
  <sheetFormatPr defaultRowHeight="12.5" x14ac:dyDescent="0.25"/>
  <cols>
    <col min="1" max="1" width="5" bestFit="1" customWidth="1"/>
    <col min="2" max="2" width="19.54296875" customWidth="1"/>
    <col min="3" max="16" width="9.1796875" style="2"/>
    <col min="52" max="52" width="8.81640625" customWidth="1"/>
  </cols>
  <sheetData>
    <row r="1" spans="1:59" x14ac:dyDescent="0.25">
      <c r="A1" s="3" t="s">
        <v>7</v>
      </c>
    </row>
    <row r="2" spans="1:59" x14ac:dyDescent="0.25">
      <c r="C2" s="2" t="s">
        <v>20</v>
      </c>
      <c r="D2" s="2" t="s">
        <v>21</v>
      </c>
      <c r="E2" s="2" t="s">
        <v>22</v>
      </c>
      <c r="F2" s="2" t="s">
        <v>23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9</v>
      </c>
      <c r="L2" s="2" t="s">
        <v>14</v>
      </c>
      <c r="M2" s="2" t="s">
        <v>15</v>
      </c>
      <c r="N2" s="2" t="s">
        <v>6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72</v>
      </c>
      <c r="T2" s="2" t="s">
        <v>70</v>
      </c>
      <c r="U2" s="2" t="s">
        <v>73</v>
      </c>
      <c r="V2" s="2" t="s">
        <v>74</v>
      </c>
      <c r="W2" s="2" t="s">
        <v>71</v>
      </c>
      <c r="X2" s="2" t="s">
        <v>75</v>
      </c>
      <c r="Y2" s="2" t="s">
        <v>76</v>
      </c>
      <c r="Z2" s="2" t="s">
        <v>77</v>
      </c>
      <c r="AA2" s="2" t="s">
        <v>80</v>
      </c>
      <c r="AB2" s="2" t="s">
        <v>81</v>
      </c>
      <c r="AC2" s="2" t="s">
        <v>82</v>
      </c>
      <c r="AD2" s="2" t="s">
        <v>83</v>
      </c>
      <c r="AE2" s="2"/>
      <c r="AH2">
        <v>2015</v>
      </c>
      <c r="AI2">
        <f>+AH2+1</f>
        <v>2016</v>
      </c>
      <c r="AJ2">
        <f t="shared" ref="AJ2:BG2" si="0">+AI2+1</f>
        <v>2017</v>
      </c>
      <c r="AK2">
        <f t="shared" si="0"/>
        <v>2018</v>
      </c>
      <c r="AL2">
        <f t="shared" si="0"/>
        <v>2019</v>
      </c>
      <c r="AM2">
        <f t="shared" si="0"/>
        <v>2020</v>
      </c>
      <c r="AN2">
        <f t="shared" si="0"/>
        <v>2021</v>
      </c>
      <c r="AO2">
        <f t="shared" si="0"/>
        <v>2022</v>
      </c>
      <c r="AP2">
        <f t="shared" si="0"/>
        <v>2023</v>
      </c>
      <c r="AQ2">
        <f t="shared" si="0"/>
        <v>2024</v>
      </c>
      <c r="AR2">
        <f t="shared" si="0"/>
        <v>2025</v>
      </c>
      <c r="AS2">
        <f t="shared" si="0"/>
        <v>2026</v>
      </c>
      <c r="AT2">
        <f t="shared" si="0"/>
        <v>2027</v>
      </c>
      <c r="AU2">
        <f t="shared" si="0"/>
        <v>2028</v>
      </c>
      <c r="AV2">
        <f t="shared" si="0"/>
        <v>2029</v>
      </c>
      <c r="AW2">
        <f t="shared" si="0"/>
        <v>2030</v>
      </c>
      <c r="AX2">
        <f t="shared" si="0"/>
        <v>2031</v>
      </c>
      <c r="AY2">
        <f t="shared" si="0"/>
        <v>2032</v>
      </c>
      <c r="AZ2">
        <f t="shared" si="0"/>
        <v>2033</v>
      </c>
      <c r="BA2">
        <f t="shared" si="0"/>
        <v>2034</v>
      </c>
      <c r="BB2">
        <f t="shared" si="0"/>
        <v>2035</v>
      </c>
      <c r="BC2">
        <f t="shared" si="0"/>
        <v>2036</v>
      </c>
      <c r="BD2">
        <f t="shared" si="0"/>
        <v>2037</v>
      </c>
      <c r="BE2">
        <f t="shared" si="0"/>
        <v>2038</v>
      </c>
      <c r="BF2">
        <f t="shared" si="0"/>
        <v>2039</v>
      </c>
      <c r="BG2">
        <f t="shared" si="0"/>
        <v>2040</v>
      </c>
    </row>
    <row r="3" spans="1:59" x14ac:dyDescent="0.25">
      <c r="B3" t="s">
        <v>58</v>
      </c>
      <c r="N3" s="4">
        <v>377.4</v>
      </c>
      <c r="Q3" s="2"/>
      <c r="R3" s="2"/>
      <c r="S3" s="2"/>
      <c r="T3" s="2"/>
      <c r="U3" s="2"/>
      <c r="V3" s="2"/>
    </row>
    <row r="4" spans="1:59" x14ac:dyDescent="0.25">
      <c r="B4" t="s">
        <v>85</v>
      </c>
      <c r="N4" s="4"/>
      <c r="Q4" s="2"/>
      <c r="R4" s="2"/>
      <c r="S4" s="2"/>
      <c r="T4" s="2"/>
      <c r="U4" s="2"/>
      <c r="V4" s="2"/>
      <c r="AT4" s="1">
        <v>100</v>
      </c>
      <c r="AU4" s="1">
        <v>400</v>
      </c>
      <c r="AV4" s="1">
        <v>600</v>
      </c>
      <c r="AW4" s="1">
        <v>800</v>
      </c>
      <c r="AX4" s="1">
        <v>1000</v>
      </c>
      <c r="AY4" s="1">
        <f>+AX4*1.05</f>
        <v>1050</v>
      </c>
      <c r="AZ4" s="1">
        <f t="shared" ref="AZ4:BG4" si="1">+AY4*1.05</f>
        <v>1102.5</v>
      </c>
      <c r="BA4" s="1">
        <f t="shared" si="1"/>
        <v>1157.625</v>
      </c>
      <c r="BB4" s="1">
        <f t="shared" si="1"/>
        <v>1215.5062500000001</v>
      </c>
      <c r="BC4" s="1">
        <f t="shared" si="1"/>
        <v>1276.2815625000003</v>
      </c>
      <c r="BD4" s="1">
        <f t="shared" si="1"/>
        <v>1340.0956406250004</v>
      </c>
      <c r="BE4" s="1">
        <f t="shared" si="1"/>
        <v>1407.1004226562504</v>
      </c>
      <c r="BF4" s="1">
        <f t="shared" si="1"/>
        <v>1477.4554437890631</v>
      </c>
      <c r="BG4" s="1">
        <f t="shared" si="1"/>
        <v>1551.3282159785163</v>
      </c>
    </row>
    <row r="5" spans="1:59" s="1" customFormat="1" x14ac:dyDescent="0.25">
      <c r="B5" s="1" t="s">
        <v>24</v>
      </c>
      <c r="C5" s="4"/>
      <c r="D5" s="4"/>
      <c r="E5" s="4"/>
      <c r="F5" s="4"/>
      <c r="G5" s="4"/>
      <c r="H5" s="4">
        <v>284.24799999999999</v>
      </c>
      <c r="I5" s="4">
        <v>263.11700000000002</v>
      </c>
      <c r="J5" s="4">
        <v>302.67899999999997</v>
      </c>
      <c r="K5" s="4">
        <v>310.298</v>
      </c>
      <c r="L5" s="4">
        <v>347.04399999999998</v>
      </c>
      <c r="M5" s="4">
        <v>366.48200000000003</v>
      </c>
      <c r="N5" s="4">
        <v>377.41899999999998</v>
      </c>
      <c r="O5" s="4">
        <v>363.4</v>
      </c>
      <c r="P5" s="4">
        <v>409.64600000000002</v>
      </c>
      <c r="Q5" s="1">
        <v>426.49700000000001</v>
      </c>
      <c r="R5" s="1">
        <v>429.33600000000001</v>
      </c>
      <c r="S5" s="1">
        <v>378.5</v>
      </c>
      <c r="T5" s="1">
        <v>437.58100000000002</v>
      </c>
      <c r="U5" s="1">
        <v>478.05900000000003</v>
      </c>
      <c r="V5" s="1">
        <v>515.23199999999997</v>
      </c>
      <c r="W5" s="1">
        <v>513.29999999999995</v>
      </c>
      <c r="X5" s="1">
        <v>520.01400000000001</v>
      </c>
      <c r="Y5" s="1">
        <v>542.92999999999995</v>
      </c>
      <c r="Z5" s="1">
        <v>546.577</v>
      </c>
      <c r="AA5" s="1">
        <v>554.97699999999998</v>
      </c>
      <c r="AB5" s="1">
        <f>+X5*1.1</f>
        <v>572.01540000000011</v>
      </c>
      <c r="AC5" s="1">
        <f>+Y5*1.1</f>
        <v>597.22299999999996</v>
      </c>
      <c r="AD5" s="1">
        <f>+Z5*1.1</f>
        <v>601.23470000000009</v>
      </c>
      <c r="AM5" s="1">
        <v>741.55</v>
      </c>
      <c r="AN5" s="1">
        <v>1077.2560000000001</v>
      </c>
      <c r="AO5" s="1">
        <f>SUM(K5:N5)</f>
        <v>1401.2429999999999</v>
      </c>
      <c r="AP5" s="1">
        <f>SUM(O5:R5)</f>
        <v>1628.8790000000001</v>
      </c>
      <c r="AQ5" s="1">
        <f>SUM(S5:V5)</f>
        <v>1809.3720000000001</v>
      </c>
      <c r="AR5" s="1">
        <f>SUM(W5:Z5)</f>
        <v>2122.8209999999999</v>
      </c>
      <c r="AS5" s="1">
        <f>SUM(AA5:AD5)</f>
        <v>2325.4501</v>
      </c>
      <c r="AT5" s="1">
        <f t="shared" ref="AT5:AW5" si="2">+AS5*1.05</f>
        <v>2441.7226049999999</v>
      </c>
      <c r="AU5" s="1">
        <f t="shared" si="2"/>
        <v>2563.8087352500002</v>
      </c>
      <c r="AV5" s="1">
        <f t="shared" si="2"/>
        <v>2691.9991720125004</v>
      </c>
      <c r="AW5" s="1">
        <f t="shared" si="2"/>
        <v>2826.5991306131255</v>
      </c>
      <c r="AX5" s="1">
        <f>+AW5*0.5</f>
        <v>1413.2995653065627</v>
      </c>
      <c r="AY5" s="1">
        <f t="shared" ref="AY5:BG5" si="3">+AX5*0.5</f>
        <v>706.64978265328136</v>
      </c>
      <c r="AZ5" s="1">
        <f t="shared" si="3"/>
        <v>353.32489132664068</v>
      </c>
      <c r="BA5" s="1">
        <f t="shared" si="3"/>
        <v>176.66244566332034</v>
      </c>
      <c r="BB5" s="1">
        <f t="shared" si="3"/>
        <v>88.33122283166017</v>
      </c>
      <c r="BC5" s="1">
        <f t="shared" si="3"/>
        <v>44.165611415830085</v>
      </c>
      <c r="BD5" s="1">
        <f t="shared" si="3"/>
        <v>22.082805707915043</v>
      </c>
      <c r="BE5" s="1">
        <f t="shared" si="3"/>
        <v>11.041402853957521</v>
      </c>
      <c r="BF5" s="1">
        <f t="shared" si="3"/>
        <v>5.5207014269787607</v>
      </c>
      <c r="BG5" s="1">
        <f t="shared" si="3"/>
        <v>2.7603507134893803</v>
      </c>
    </row>
    <row r="6" spans="1:59" s="1" customFormat="1" x14ac:dyDescent="0.25">
      <c r="B6" s="1" t="s">
        <v>25</v>
      </c>
      <c r="C6" s="4"/>
      <c r="D6" s="4"/>
      <c r="E6" s="4"/>
      <c r="F6" s="4"/>
      <c r="G6" s="4"/>
      <c r="H6" s="4">
        <v>39.64</v>
      </c>
      <c r="I6" s="4">
        <v>49.694000000000003</v>
      </c>
      <c r="J6" s="4">
        <v>133.09399999999999</v>
      </c>
      <c r="K6" s="4">
        <v>32.067</v>
      </c>
      <c r="L6" s="4">
        <v>57.526000000000003</v>
      </c>
      <c r="M6" s="4">
        <v>34.384</v>
      </c>
      <c r="N6" s="4">
        <v>38.079000000000001</v>
      </c>
      <c r="O6" s="4">
        <v>38.292000000000002</v>
      </c>
      <c r="P6" s="4">
        <v>7.4550000000000001</v>
      </c>
      <c r="Q6" s="1">
        <v>3.056</v>
      </c>
      <c r="R6" s="1">
        <v>5.0869999999999997</v>
      </c>
      <c r="T6" s="1">
        <v>4.6109999999999998</v>
      </c>
      <c r="U6" s="1">
        <v>1.244</v>
      </c>
      <c r="V6" s="1">
        <v>2.1800000000000002</v>
      </c>
      <c r="AM6" s="1">
        <v>167.29499999999999</v>
      </c>
      <c r="AN6" s="1">
        <v>249.95599999999999</v>
      </c>
      <c r="AO6" s="1">
        <v>162.05600000000001</v>
      </c>
      <c r="AP6" s="1">
        <f t="shared" ref="AP6:AP7" si="4">SUM(O6:R6)</f>
        <v>53.89</v>
      </c>
      <c r="AQ6" s="1">
        <f t="shared" ref="AQ6:AQ7" si="5">SUM(S6:V6)</f>
        <v>8.0350000000000001</v>
      </c>
      <c r="AT6" s="1">
        <f t="shared" ref="AT6:AW7" si="6">+AS6*1.3</f>
        <v>0</v>
      </c>
      <c r="AU6" s="1">
        <f t="shared" si="6"/>
        <v>0</v>
      </c>
      <c r="AV6" s="1">
        <f t="shared" si="6"/>
        <v>0</v>
      </c>
      <c r="AW6" s="1">
        <f t="shared" si="6"/>
        <v>0</v>
      </c>
    </row>
    <row r="7" spans="1:59" s="1" customFormat="1" x14ac:dyDescent="0.25">
      <c r="B7" s="1" t="s">
        <v>26</v>
      </c>
      <c r="C7" s="4"/>
      <c r="D7" s="4"/>
      <c r="E7" s="4"/>
      <c r="F7" s="4"/>
      <c r="G7" s="4"/>
      <c r="H7" s="4">
        <v>61.829000000000001</v>
      </c>
      <c r="I7" s="4">
        <v>15.612</v>
      </c>
      <c r="J7" s="4">
        <v>15.367000000000001</v>
      </c>
      <c r="K7" s="4">
        <v>13.615</v>
      </c>
      <c r="L7" s="4">
        <v>14.856999999999999</v>
      </c>
      <c r="M7" s="4">
        <v>10.872</v>
      </c>
      <c r="N7" s="4">
        <v>8.4190000000000005</v>
      </c>
      <c r="O7" s="4">
        <v>7.0960000000000001</v>
      </c>
      <c r="P7" s="4">
        <v>52.747</v>
      </c>
      <c r="Q7" s="1">
        <v>42.366999999999997</v>
      </c>
      <c r="R7" s="1">
        <v>45.228999999999999</v>
      </c>
      <c r="S7" s="1">
        <v>46.703000000000003</v>
      </c>
      <c r="T7" s="1">
        <v>194.98599999999999</v>
      </c>
      <c r="U7" s="1">
        <v>60.238999999999997</v>
      </c>
      <c r="V7" s="1">
        <v>49.343000000000004</v>
      </c>
      <c r="W7" s="1">
        <v>42.164000000000001</v>
      </c>
      <c r="X7" s="1">
        <v>48.247</v>
      </c>
      <c r="Y7" s="1">
        <v>54.825000000000003</v>
      </c>
      <c r="Z7" s="1">
        <v>52.085999999999999</v>
      </c>
      <c r="AA7" s="1">
        <v>55.835000000000001</v>
      </c>
      <c r="AB7" s="1">
        <f>+X7*1.1</f>
        <v>53.071700000000007</v>
      </c>
      <c r="AC7" s="1">
        <f>+Y7*1.1</f>
        <v>60.307500000000005</v>
      </c>
      <c r="AD7" s="1">
        <f>+Z7*1.1</f>
        <v>57.294600000000003</v>
      </c>
      <c r="AM7" s="1">
        <v>78.692999999999998</v>
      </c>
      <c r="AN7" s="1">
        <v>107.758</v>
      </c>
      <c r="AO7" s="1">
        <v>47.762999999999998</v>
      </c>
      <c r="AP7" s="1">
        <f t="shared" si="4"/>
        <v>147.43900000000002</v>
      </c>
      <c r="AQ7" s="1">
        <f t="shared" si="5"/>
        <v>351.27100000000002</v>
      </c>
      <c r="AR7" s="1">
        <f>SUM(W7:Z7)</f>
        <v>197.322</v>
      </c>
      <c r="AS7" s="1">
        <f>SUM(AA7:AD7)</f>
        <v>226.50880000000001</v>
      </c>
      <c r="AT7" s="1">
        <f t="shared" si="6"/>
        <v>294.46144000000004</v>
      </c>
      <c r="AU7" s="1">
        <f t="shared" si="6"/>
        <v>382.79987200000005</v>
      </c>
      <c r="AV7" s="1">
        <f t="shared" si="6"/>
        <v>497.63983360000009</v>
      </c>
      <c r="AW7" s="1">
        <f t="shared" si="6"/>
        <v>646.93178368000008</v>
      </c>
      <c r="AX7" s="1">
        <v>0</v>
      </c>
    </row>
    <row r="8" spans="1:59" s="5" customFormat="1" ht="13" x14ac:dyDescent="0.3">
      <c r="B8" s="5" t="s">
        <v>8</v>
      </c>
      <c r="C8" s="6"/>
      <c r="D8" s="6"/>
      <c r="E8" s="6"/>
      <c r="F8" s="6"/>
      <c r="G8" s="6"/>
      <c r="H8" s="6">
        <f>+H5+H6+H7</f>
        <v>385.71699999999998</v>
      </c>
      <c r="I8" s="6">
        <f>+I5+I6+I7</f>
        <v>328.42300000000006</v>
      </c>
      <c r="J8" s="6">
        <f>+J5+J6+J7</f>
        <v>451.14</v>
      </c>
      <c r="K8" s="6">
        <f t="shared" ref="K8:M8" si="7">+K5+K6+K7</f>
        <v>355.98</v>
      </c>
      <c r="L8" s="6">
        <f t="shared" si="7"/>
        <v>419.42700000000002</v>
      </c>
      <c r="M8" s="6">
        <f t="shared" si="7"/>
        <v>411.73800000000006</v>
      </c>
      <c r="N8" s="6">
        <f t="shared" ref="N8:W8" si="8">+N5+N6+N7</f>
        <v>423.91699999999997</v>
      </c>
      <c r="O8" s="6">
        <f t="shared" si="8"/>
        <v>408.78800000000001</v>
      </c>
      <c r="P8" s="6">
        <f t="shared" si="8"/>
        <v>469.84800000000001</v>
      </c>
      <c r="Q8" s="6">
        <f t="shared" si="8"/>
        <v>471.92</v>
      </c>
      <c r="R8" s="6">
        <f t="shared" si="8"/>
        <v>479.65199999999999</v>
      </c>
      <c r="S8" s="6">
        <f t="shared" si="8"/>
        <v>425.20299999999997</v>
      </c>
      <c r="T8" s="6">
        <f t="shared" si="8"/>
        <v>637.178</v>
      </c>
      <c r="U8" s="6">
        <f t="shared" si="8"/>
        <v>539.54200000000003</v>
      </c>
      <c r="V8" s="6">
        <f t="shared" si="8"/>
        <v>566.75499999999988</v>
      </c>
      <c r="W8" s="6">
        <f t="shared" si="8"/>
        <v>555.46399999999994</v>
      </c>
      <c r="X8" s="6">
        <f t="shared" ref="X8" si="9">+X5+X6+X7</f>
        <v>568.26099999999997</v>
      </c>
      <c r="Y8" s="6">
        <f t="shared" ref="Y8" si="10">+Y5+Y6+Y7</f>
        <v>597.755</v>
      </c>
      <c r="Z8" s="6">
        <f t="shared" ref="Z8" si="11">+Z5+Z6+Z7</f>
        <v>598.66300000000001</v>
      </c>
      <c r="AA8" s="6">
        <f t="shared" ref="AA8" si="12">+AA5+AA6+AA7</f>
        <v>610.81200000000001</v>
      </c>
      <c r="AB8" s="6">
        <f t="shared" ref="AB8" si="13">+AB5+AB6+AB7</f>
        <v>625.08710000000008</v>
      </c>
      <c r="AC8" s="6">
        <f t="shared" ref="AC8" si="14">+AC5+AC6+AC7</f>
        <v>657.53049999999996</v>
      </c>
      <c r="AD8" s="6">
        <f t="shared" ref="AD8" si="15">+AD5+AD6+AD7</f>
        <v>658.52930000000015</v>
      </c>
      <c r="AM8" s="5">
        <f t="shared" ref="AM8:AR8" si="16">+AM7+AM6+AM5</f>
        <v>987.53800000000001</v>
      </c>
      <c r="AN8" s="5">
        <f t="shared" si="16"/>
        <v>1434.97</v>
      </c>
      <c r="AO8" s="5">
        <f t="shared" si="16"/>
        <v>1611.0619999999999</v>
      </c>
      <c r="AP8" s="5">
        <f t="shared" si="16"/>
        <v>1830.2080000000001</v>
      </c>
      <c r="AQ8" s="5">
        <f t="shared" si="16"/>
        <v>2168.6779999999999</v>
      </c>
      <c r="AR8" s="5">
        <f t="shared" si="16"/>
        <v>2320.143</v>
      </c>
      <c r="AS8" s="5">
        <f t="shared" ref="AS8" si="17">+AS7+AS6+AS5</f>
        <v>2551.9589000000001</v>
      </c>
      <c r="AT8" s="5">
        <f t="shared" ref="AT8" si="18">+AT7+AT6+AT5</f>
        <v>2736.184045</v>
      </c>
      <c r="AU8" s="5">
        <f t="shared" ref="AU8" si="19">+AU7+AU6+AU5</f>
        <v>2946.6086072500002</v>
      </c>
      <c r="AV8" s="5">
        <f t="shared" ref="AV8" si="20">+AV7+AV6+AV5</f>
        <v>3189.6390056125006</v>
      </c>
      <c r="AW8" s="5">
        <f t="shared" ref="AW8:BG8" si="21">+AW7+AW6+AW5</f>
        <v>3473.5309142931255</v>
      </c>
      <c r="AX8" s="5">
        <f>SUM(AX4:AX7)</f>
        <v>2413.2995653065627</v>
      </c>
      <c r="AY8" s="5">
        <f t="shared" ref="AY8:BG8" si="22">SUM(AY4:AY7)</f>
        <v>1756.6497826532814</v>
      </c>
      <c r="AZ8" s="5">
        <f t="shared" si="22"/>
        <v>1455.8248913266407</v>
      </c>
      <c r="BA8" s="5">
        <f t="shared" si="22"/>
        <v>1334.2874456633203</v>
      </c>
      <c r="BB8" s="5">
        <f t="shared" si="22"/>
        <v>1303.8374728316603</v>
      </c>
      <c r="BC8" s="5">
        <f t="shared" si="22"/>
        <v>1320.4471739158303</v>
      </c>
      <c r="BD8" s="5">
        <f t="shared" si="22"/>
        <v>1362.1784463329154</v>
      </c>
      <c r="BE8" s="5">
        <f t="shared" si="22"/>
        <v>1418.141825510208</v>
      </c>
      <c r="BF8" s="5">
        <f t="shared" si="22"/>
        <v>1482.9761452160419</v>
      </c>
      <c r="BG8" s="5">
        <f t="shared" si="22"/>
        <v>1554.0885666920055</v>
      </c>
    </row>
    <row r="9" spans="1:59" s="1" customFormat="1" x14ac:dyDescent="0.25">
      <c r="B9" s="1" t="s">
        <v>27</v>
      </c>
      <c r="C9" s="4"/>
      <c r="D9" s="4"/>
      <c r="E9" s="4"/>
      <c r="F9" s="4"/>
      <c r="G9" s="4"/>
      <c r="H9" s="4">
        <v>14.884</v>
      </c>
      <c r="I9" s="4">
        <v>11.874000000000001</v>
      </c>
      <c r="J9" s="4">
        <v>12.917</v>
      </c>
      <c r="K9" s="4">
        <v>13.202999999999999</v>
      </c>
      <c r="L9" s="4">
        <v>13.481</v>
      </c>
      <c r="M9" s="4">
        <v>15.305</v>
      </c>
      <c r="N9" s="4">
        <v>15.92</v>
      </c>
      <c r="O9" s="4">
        <v>14.315</v>
      </c>
      <c r="P9" s="4">
        <v>17.704999999999998</v>
      </c>
      <c r="Q9" s="1">
        <v>18.774000000000001</v>
      </c>
      <c r="R9" s="1">
        <v>21.753</v>
      </c>
      <c r="S9" s="1">
        <v>21.256</v>
      </c>
      <c r="T9" s="1">
        <v>17.667000000000002</v>
      </c>
      <c r="U9" s="1">
        <v>17.327999999999999</v>
      </c>
      <c r="V9" s="1">
        <v>19.965</v>
      </c>
      <c r="W9" s="1">
        <v>19.172000000000001</v>
      </c>
      <c r="X9" s="1">
        <v>19.47</v>
      </c>
      <c r="Y9" s="1">
        <v>18.574000000000002</v>
      </c>
      <c r="Z9" s="1">
        <v>26.481000000000002</v>
      </c>
      <c r="AA9" s="1">
        <v>19.952999999999999</v>
      </c>
      <c r="AB9" s="1">
        <f>+AB8*0.03</f>
        <v>18.752613</v>
      </c>
      <c r="AC9" s="1">
        <f>+AC8*0.03</f>
        <v>19.725914999999997</v>
      </c>
      <c r="AD9" s="1">
        <f>+AD8*0.03</f>
        <v>19.755879000000004</v>
      </c>
      <c r="AM9" s="1">
        <v>57.908999999999999</v>
      </c>
      <c r="AN9" s="1">
        <v>52.872999999999998</v>
      </c>
      <c r="AO9" s="1">
        <v>57.908999999999999</v>
      </c>
      <c r="AP9" s="1">
        <f t="shared" ref="AP9" si="23">SUM(O9:R9)</f>
        <v>72.546999999999997</v>
      </c>
      <c r="AQ9" s="1">
        <f t="shared" ref="AQ9" si="24">SUM(S9:V9)</f>
        <v>76.216000000000008</v>
      </c>
      <c r="AR9" s="1">
        <f>SUM(W9:Z9)</f>
        <v>83.697000000000003</v>
      </c>
      <c r="AS9" s="1">
        <f>SUM(AA9:AD9)</f>
        <v>78.187407000000007</v>
      </c>
      <c r="AT9" s="1">
        <f t="shared" ref="AT9" si="25">+AT8*0.05</f>
        <v>136.80920225</v>
      </c>
      <c r="AU9" s="1">
        <f t="shared" ref="AU9" si="26">+AU8*0.05</f>
        <v>147.33043036250001</v>
      </c>
      <c r="AV9" s="1">
        <f t="shared" ref="AV9" si="27">+AV8*0.05</f>
        <v>159.48195028062503</v>
      </c>
      <c r="AW9" s="1">
        <f t="shared" ref="AW9:BG9" si="28">+AW8*0.05</f>
        <v>173.6765457146563</v>
      </c>
      <c r="AX9" s="1">
        <f t="shared" si="28"/>
        <v>120.66497826532814</v>
      </c>
      <c r="AY9" s="1">
        <f t="shared" si="28"/>
        <v>87.83248913266408</v>
      </c>
      <c r="AZ9" s="1">
        <f t="shared" si="28"/>
        <v>72.79124456633204</v>
      </c>
      <c r="BA9" s="1">
        <f t="shared" si="28"/>
        <v>66.714372283166014</v>
      </c>
      <c r="BB9" s="1">
        <f t="shared" si="28"/>
        <v>65.191873641583015</v>
      </c>
      <c r="BC9" s="1">
        <f t="shared" si="28"/>
        <v>66.02235869579151</v>
      </c>
      <c r="BD9" s="1">
        <f t="shared" si="28"/>
        <v>68.108922316645774</v>
      </c>
      <c r="BE9" s="1">
        <f t="shared" si="28"/>
        <v>70.90709127551041</v>
      </c>
      <c r="BF9" s="1">
        <f t="shared" si="28"/>
        <v>74.148807260802101</v>
      </c>
      <c r="BG9" s="1">
        <f t="shared" si="28"/>
        <v>77.70442833460028</v>
      </c>
    </row>
    <row r="10" spans="1:59" s="1" customFormat="1" x14ac:dyDescent="0.25">
      <c r="B10" s="1" t="s">
        <v>28</v>
      </c>
      <c r="C10" s="4"/>
      <c r="D10" s="4"/>
      <c r="E10" s="4"/>
      <c r="F10" s="4"/>
      <c r="G10" s="4"/>
      <c r="H10" s="4">
        <f>+H8-H9</f>
        <v>370.83299999999997</v>
      </c>
      <c r="I10" s="4">
        <f>+I8-I9</f>
        <v>316.54900000000004</v>
      </c>
      <c r="J10" s="4">
        <f>+J8-J9</f>
        <v>438.22300000000001</v>
      </c>
      <c r="K10" s="4">
        <f t="shared" ref="K10:M10" si="29">+K8-K9</f>
        <v>342.77700000000004</v>
      </c>
      <c r="L10" s="4">
        <f t="shared" si="29"/>
        <v>405.94600000000003</v>
      </c>
      <c r="M10" s="4">
        <f t="shared" si="29"/>
        <v>396.43300000000005</v>
      </c>
      <c r="N10" s="4">
        <f>+N8-N9</f>
        <v>407.99699999999996</v>
      </c>
      <c r="O10" s="4">
        <f>+O8-O9</f>
        <v>394.47300000000001</v>
      </c>
      <c r="P10" s="1">
        <f t="shared" ref="P10:Q10" si="30">+P8-P9</f>
        <v>452.14300000000003</v>
      </c>
      <c r="Q10" s="1">
        <f t="shared" si="30"/>
        <v>453.14600000000002</v>
      </c>
      <c r="R10" s="1">
        <f t="shared" ref="R10:V10" si="31">+R8-R9</f>
        <v>457.899</v>
      </c>
      <c r="S10" s="1">
        <f t="shared" si="31"/>
        <v>403.947</v>
      </c>
      <c r="T10" s="1">
        <f t="shared" si="31"/>
        <v>619.51099999999997</v>
      </c>
      <c r="U10" s="1">
        <f t="shared" si="31"/>
        <v>522.21400000000006</v>
      </c>
      <c r="V10" s="1">
        <f t="shared" si="31"/>
        <v>546.78999999999985</v>
      </c>
      <c r="W10" s="1">
        <f>+W8-W9</f>
        <v>536.29199999999992</v>
      </c>
      <c r="X10" s="1">
        <f>+X8-X9</f>
        <v>548.79099999999994</v>
      </c>
      <c r="Y10" s="1">
        <f>+Y8-Y9</f>
        <v>579.18100000000004</v>
      </c>
      <c r="Z10" s="1">
        <f>+Z8-Z9</f>
        <v>572.18200000000002</v>
      </c>
      <c r="AA10" s="1">
        <f>+AA8-AA9</f>
        <v>590.85900000000004</v>
      </c>
      <c r="AB10" s="1">
        <f>+AB8-AB9</f>
        <v>606.33448700000008</v>
      </c>
      <c r="AC10" s="1">
        <f>+AC8-AC9</f>
        <v>637.80458499999997</v>
      </c>
      <c r="AD10" s="1">
        <f>+AD8-AD9</f>
        <v>638.7734210000001</v>
      </c>
      <c r="AM10" s="1">
        <f t="shared" ref="AM10:AR10" si="32">+AM8-AM9</f>
        <v>929.62900000000002</v>
      </c>
      <c r="AN10" s="1">
        <f t="shared" si="32"/>
        <v>1382.097</v>
      </c>
      <c r="AO10" s="1">
        <f t="shared" si="32"/>
        <v>1553.1529999999998</v>
      </c>
      <c r="AP10" s="1">
        <f t="shared" si="32"/>
        <v>1757.6610000000001</v>
      </c>
      <c r="AQ10" s="1">
        <f t="shared" si="32"/>
        <v>2092.462</v>
      </c>
      <c r="AR10" s="1">
        <f t="shared" si="32"/>
        <v>2236.4459999999999</v>
      </c>
      <c r="AS10" s="1">
        <f t="shared" ref="AS10" si="33">+AS8-AS9</f>
        <v>2473.7714930000002</v>
      </c>
      <c r="AT10" s="1">
        <f t="shared" ref="AT10" si="34">+AT8-AT9</f>
        <v>2599.37484275</v>
      </c>
      <c r="AU10" s="1">
        <f t="shared" ref="AU10" si="35">+AU8-AU9</f>
        <v>2799.2781768875002</v>
      </c>
      <c r="AV10" s="1">
        <f t="shared" ref="AV10" si="36">+AV8-AV9</f>
        <v>3030.1570553318757</v>
      </c>
      <c r="AW10" s="1">
        <f t="shared" ref="AW10:BG10" si="37">+AW8-AW9</f>
        <v>3299.8543685784693</v>
      </c>
      <c r="AX10" s="1">
        <f t="shared" si="37"/>
        <v>2292.6345870412347</v>
      </c>
      <c r="AY10" s="1">
        <f t="shared" si="37"/>
        <v>1668.8172935206173</v>
      </c>
      <c r="AZ10" s="1">
        <f t="shared" si="37"/>
        <v>1383.0336467603086</v>
      </c>
      <c r="BA10" s="1">
        <f t="shared" si="37"/>
        <v>1267.5730733801543</v>
      </c>
      <c r="BB10" s="1">
        <f t="shared" si="37"/>
        <v>1238.6455991900773</v>
      </c>
      <c r="BC10" s="1">
        <f t="shared" si="37"/>
        <v>1254.4248152200387</v>
      </c>
      <c r="BD10" s="1">
        <f t="shared" si="37"/>
        <v>1294.0695240162697</v>
      </c>
      <c r="BE10" s="1">
        <f t="shared" si="37"/>
        <v>1347.2347342346977</v>
      </c>
      <c r="BF10" s="1">
        <f t="shared" si="37"/>
        <v>1408.8273379552397</v>
      </c>
      <c r="BG10" s="1">
        <f t="shared" si="37"/>
        <v>1476.3841383574052</v>
      </c>
    </row>
    <row r="11" spans="1:59" s="1" customFormat="1" x14ac:dyDescent="0.25">
      <c r="B11" s="1" t="s">
        <v>31</v>
      </c>
      <c r="C11" s="4"/>
      <c r="D11" s="4"/>
      <c r="E11" s="4"/>
      <c r="F11" s="4"/>
      <c r="G11" s="4"/>
      <c r="H11" s="4">
        <v>148.79</v>
      </c>
      <c r="I11" s="4">
        <v>163.37</v>
      </c>
      <c r="J11" s="4">
        <v>222.268</v>
      </c>
      <c r="K11" s="4">
        <v>156.67099999999999</v>
      </c>
      <c r="L11" s="4">
        <v>199.48099999999999</v>
      </c>
      <c r="M11" s="4">
        <v>198.83699999999999</v>
      </c>
      <c r="N11" s="4">
        <v>336.82400000000001</v>
      </c>
      <c r="O11" s="4">
        <v>234.24600000000001</v>
      </c>
      <c r="P11" s="4">
        <v>232.57</v>
      </c>
      <c r="Q11" s="1">
        <v>332.58499999999998</v>
      </c>
      <c r="R11" s="1">
        <v>244.67</v>
      </c>
      <c r="S11" s="1">
        <v>227.68899999999999</v>
      </c>
      <c r="T11" s="1">
        <v>211.14699999999999</v>
      </c>
      <c r="U11" s="1">
        <v>222.57</v>
      </c>
      <c r="V11" s="1">
        <v>249.00200000000001</v>
      </c>
      <c r="W11" s="1">
        <v>212.233</v>
      </c>
      <c r="X11" s="1">
        <v>200.35599999999999</v>
      </c>
      <c r="Y11" s="1">
        <v>199.16399999999999</v>
      </c>
      <c r="Z11" s="1">
        <v>213.24799999999999</v>
      </c>
      <c r="AA11" s="1">
        <v>199.916</v>
      </c>
      <c r="AM11" s="1">
        <v>547.851</v>
      </c>
      <c r="AN11" s="1">
        <v>693.71600000000001</v>
      </c>
      <c r="AO11" s="1">
        <v>891.81299999999999</v>
      </c>
      <c r="AP11" s="1">
        <f t="shared" ref="AP11:AP12" si="38">SUM(O11:R11)</f>
        <v>1044.0710000000001</v>
      </c>
      <c r="AQ11" s="1">
        <f t="shared" ref="AQ11:AQ12" si="39">SUM(S11:V11)</f>
        <v>910.4079999999999</v>
      </c>
      <c r="AR11" s="1">
        <f>SUM(W11:Z11)</f>
        <v>825.00099999999998</v>
      </c>
      <c r="AS11" s="1">
        <f>SUM(AA11:AD11)</f>
        <v>199.916</v>
      </c>
    </row>
    <row r="12" spans="1:59" s="1" customFormat="1" x14ac:dyDescent="0.25">
      <c r="B12" s="1" t="s">
        <v>32</v>
      </c>
      <c r="C12" s="4"/>
      <c r="D12" s="4"/>
      <c r="E12" s="4"/>
      <c r="F12" s="4"/>
      <c r="G12" s="4"/>
      <c r="H12" s="4">
        <v>98.495000000000005</v>
      </c>
      <c r="I12" s="4">
        <v>101.55800000000001</v>
      </c>
      <c r="J12" s="4">
        <v>99.311000000000007</v>
      </c>
      <c r="K12" s="4">
        <v>102.863</v>
      </c>
      <c r="L12" s="4">
        <v>122.759</v>
      </c>
      <c r="M12" s="4">
        <v>114.983</v>
      </c>
      <c r="N12" s="4">
        <v>119.251</v>
      </c>
      <c r="O12" s="4">
        <v>131.39699999999999</v>
      </c>
      <c r="P12" s="4">
        <v>141.72300000000001</v>
      </c>
      <c r="Q12" s="1">
        <v>138.14400000000001</v>
      </c>
      <c r="R12" s="1">
        <v>131.441</v>
      </c>
      <c r="S12" s="1">
        <v>113.98399999999999</v>
      </c>
      <c r="T12" s="1">
        <v>132.01499999999999</v>
      </c>
      <c r="U12" s="1">
        <v>111.801</v>
      </c>
      <c r="V12" s="1">
        <v>134.328</v>
      </c>
      <c r="W12" s="1">
        <v>137.18299999999999</v>
      </c>
      <c r="X12" s="1">
        <v>134.85900000000001</v>
      </c>
      <c r="Y12" s="1">
        <v>123.661</v>
      </c>
      <c r="Z12" s="1">
        <v>123.024</v>
      </c>
      <c r="AA12" s="1">
        <v>139.602</v>
      </c>
      <c r="AB12" s="1">
        <v>139.602</v>
      </c>
      <c r="AC12" s="1">
        <v>139.602</v>
      </c>
      <c r="AD12" s="1">
        <v>139.602</v>
      </c>
      <c r="AM12" s="1">
        <v>293.35500000000002</v>
      </c>
      <c r="AN12" s="1">
        <v>401.71499999999997</v>
      </c>
      <c r="AO12" s="1">
        <v>459.85599999999999</v>
      </c>
      <c r="AP12" s="1">
        <f t="shared" si="38"/>
        <v>542.70500000000004</v>
      </c>
      <c r="AQ12" s="1">
        <f t="shared" si="39"/>
        <v>492.12799999999993</v>
      </c>
      <c r="AR12" s="1">
        <f>SUM(W12:Z12)</f>
        <v>518.72700000000009</v>
      </c>
      <c r="AS12" s="1">
        <f>SUM(AA12:AD12)</f>
        <v>558.40800000000002</v>
      </c>
      <c r="AT12" s="1">
        <f t="shared" ref="AT12:AW12" si="40">+AS12</f>
        <v>558.40800000000002</v>
      </c>
      <c r="AU12" s="1">
        <f t="shared" si="40"/>
        <v>558.40800000000002</v>
      </c>
      <c r="AV12" s="1">
        <f t="shared" si="40"/>
        <v>558.40800000000002</v>
      </c>
      <c r="AW12" s="1">
        <f t="shared" si="40"/>
        <v>558.40800000000002</v>
      </c>
      <c r="AX12" s="1">
        <f t="shared" ref="AX12" si="41">+AW12</f>
        <v>558.40800000000002</v>
      </c>
      <c r="AY12" s="1">
        <f t="shared" ref="AY12" si="42">+AX12</f>
        <v>558.40800000000002</v>
      </c>
      <c r="AZ12" s="1">
        <f t="shared" ref="AZ12" si="43">+AY12</f>
        <v>558.40800000000002</v>
      </c>
      <c r="BA12" s="1">
        <f t="shared" ref="BA12" si="44">+AZ12</f>
        <v>558.40800000000002</v>
      </c>
      <c r="BB12" s="1">
        <f t="shared" ref="BB12" si="45">+BA12</f>
        <v>558.40800000000002</v>
      </c>
      <c r="BC12" s="1">
        <f t="shared" ref="BC12" si="46">+BB12</f>
        <v>558.40800000000002</v>
      </c>
      <c r="BD12" s="1">
        <f t="shared" ref="BD12" si="47">+BC12</f>
        <v>558.40800000000002</v>
      </c>
      <c r="BE12" s="1">
        <f t="shared" ref="BE12" si="48">+BD12</f>
        <v>558.40800000000002</v>
      </c>
      <c r="BF12" s="1">
        <f t="shared" ref="BF12" si="49">+BE12</f>
        <v>558.40800000000002</v>
      </c>
      <c r="BG12" s="1">
        <f t="shared" ref="BG12" si="50">+BF12</f>
        <v>558.40800000000002</v>
      </c>
    </row>
    <row r="13" spans="1:59" s="1" customFormat="1" x14ac:dyDescent="0.25">
      <c r="B13" s="1" t="s">
        <v>29</v>
      </c>
      <c r="C13" s="4"/>
      <c r="D13" s="4"/>
      <c r="E13" s="4"/>
      <c r="F13" s="4"/>
      <c r="G13" s="4"/>
      <c r="H13" s="4">
        <f t="shared" ref="H13" si="51">+H11+H12</f>
        <v>247.285</v>
      </c>
      <c r="I13" s="4">
        <f t="shared" ref="I13" si="52">+I11+I12</f>
        <v>264.928</v>
      </c>
      <c r="J13" s="4">
        <f>+J11+J12</f>
        <v>321.57900000000001</v>
      </c>
      <c r="K13" s="4">
        <f t="shared" ref="K13:M13" si="53">+K11+K12</f>
        <v>259.53399999999999</v>
      </c>
      <c r="L13" s="4">
        <f t="shared" si="53"/>
        <v>322.24</v>
      </c>
      <c r="M13" s="4">
        <f t="shared" si="53"/>
        <v>313.82</v>
      </c>
      <c r="N13" s="4">
        <f>+N11+N12</f>
        <v>456.07500000000005</v>
      </c>
      <c r="O13" s="4">
        <f>+O11+O12</f>
        <v>365.64300000000003</v>
      </c>
      <c r="P13" s="1">
        <f t="shared" ref="P13" si="54">+P11+P12</f>
        <v>374.29300000000001</v>
      </c>
      <c r="Q13" s="1">
        <f t="shared" ref="Q13:R13" si="55">+Q11+Q12</f>
        <v>470.72899999999998</v>
      </c>
      <c r="R13" s="1">
        <f t="shared" si="55"/>
        <v>376.11099999999999</v>
      </c>
      <c r="S13" s="1">
        <f t="shared" ref="S13:V13" si="56">+S11+S12</f>
        <v>341.673</v>
      </c>
      <c r="T13" s="1">
        <f t="shared" si="56"/>
        <v>343.16199999999998</v>
      </c>
      <c r="U13" s="1">
        <f t="shared" si="56"/>
        <v>334.37099999999998</v>
      </c>
      <c r="V13" s="1">
        <f t="shared" si="56"/>
        <v>383.33000000000004</v>
      </c>
      <c r="W13" s="1">
        <f>+W11+W12</f>
        <v>349.416</v>
      </c>
      <c r="X13" s="1">
        <f t="shared" ref="X13:AD13" si="57">+X11+X12</f>
        <v>335.21500000000003</v>
      </c>
      <c r="Y13" s="1">
        <f t="shared" si="57"/>
        <v>322.82499999999999</v>
      </c>
      <c r="Z13" s="1">
        <f t="shared" si="57"/>
        <v>336.27199999999999</v>
      </c>
      <c r="AA13" s="1">
        <f t="shared" si="57"/>
        <v>339.51800000000003</v>
      </c>
      <c r="AB13" s="1">
        <f t="shared" si="57"/>
        <v>139.602</v>
      </c>
      <c r="AC13" s="1">
        <f t="shared" si="57"/>
        <v>139.602</v>
      </c>
      <c r="AD13" s="1">
        <f t="shared" si="57"/>
        <v>139.602</v>
      </c>
      <c r="AM13" s="1">
        <f t="shared" ref="AM13:AN13" si="58">+AM11+AM12</f>
        <v>841.20600000000002</v>
      </c>
      <c r="AN13" s="1">
        <f t="shared" si="58"/>
        <v>1095.431</v>
      </c>
      <c r="AO13" s="1">
        <f>+AO11+AO12</f>
        <v>1351.6689999999999</v>
      </c>
      <c r="AP13" s="1">
        <f>+AP11+AP12</f>
        <v>1586.7760000000003</v>
      </c>
      <c r="AQ13" s="1">
        <f>+AQ11+AQ12</f>
        <v>1402.5359999999998</v>
      </c>
      <c r="AR13" s="1">
        <f>+AR11+AR12</f>
        <v>1343.7280000000001</v>
      </c>
      <c r="AS13" s="1">
        <f t="shared" ref="AS13" si="59">+AS11+AS12</f>
        <v>758.32400000000007</v>
      </c>
      <c r="AT13" s="1">
        <f t="shared" ref="AT13" si="60">+AT11+AT12</f>
        <v>558.40800000000002</v>
      </c>
      <c r="AU13" s="1">
        <f t="shared" ref="AU13" si="61">+AU11+AU12</f>
        <v>558.40800000000002</v>
      </c>
      <c r="AV13" s="1">
        <f t="shared" ref="AV13" si="62">+AV11+AV12</f>
        <v>558.40800000000002</v>
      </c>
      <c r="AW13" s="1">
        <f t="shared" ref="AW13:BG13" si="63">+AW11+AW12</f>
        <v>558.40800000000002</v>
      </c>
      <c r="AX13" s="1">
        <f t="shared" si="63"/>
        <v>558.40800000000002</v>
      </c>
      <c r="AY13" s="1">
        <f t="shared" si="63"/>
        <v>558.40800000000002</v>
      </c>
      <c r="AZ13" s="1">
        <f t="shared" si="63"/>
        <v>558.40800000000002</v>
      </c>
      <c r="BA13" s="1">
        <f t="shared" si="63"/>
        <v>558.40800000000002</v>
      </c>
      <c r="BB13" s="1">
        <f t="shared" si="63"/>
        <v>558.40800000000002</v>
      </c>
      <c r="BC13" s="1">
        <f t="shared" si="63"/>
        <v>558.40800000000002</v>
      </c>
      <c r="BD13" s="1">
        <f t="shared" si="63"/>
        <v>558.40800000000002</v>
      </c>
      <c r="BE13" s="1">
        <f t="shared" si="63"/>
        <v>558.40800000000002</v>
      </c>
      <c r="BF13" s="1">
        <f t="shared" si="63"/>
        <v>558.40800000000002</v>
      </c>
      <c r="BG13" s="1">
        <f t="shared" si="63"/>
        <v>558.40800000000002</v>
      </c>
    </row>
    <row r="14" spans="1:59" s="1" customFormat="1" x14ac:dyDescent="0.25">
      <c r="B14" s="1" t="s">
        <v>30</v>
      </c>
      <c r="C14" s="4"/>
      <c r="D14" s="4"/>
      <c r="E14" s="4"/>
      <c r="F14" s="4"/>
      <c r="G14" s="4"/>
      <c r="H14" s="4">
        <f t="shared" ref="H14" si="64">+H10-H13</f>
        <v>123.54799999999997</v>
      </c>
      <c r="I14" s="4">
        <f t="shared" ref="I14" si="65">+I10-I13</f>
        <v>51.621000000000038</v>
      </c>
      <c r="J14" s="4">
        <f>+J10-J13</f>
        <v>116.64400000000001</v>
      </c>
      <c r="K14" s="4">
        <f t="shared" ref="K14:M14" si="66">+K10-K13</f>
        <v>83.243000000000052</v>
      </c>
      <c r="L14" s="4">
        <f t="shared" si="66"/>
        <v>83.706000000000017</v>
      </c>
      <c r="M14" s="4">
        <f t="shared" si="66"/>
        <v>82.613000000000056</v>
      </c>
      <c r="N14" s="4">
        <f>+N10-N13</f>
        <v>-48.078000000000088</v>
      </c>
      <c r="O14" s="4">
        <f>+O10-O13</f>
        <v>28.829999999999984</v>
      </c>
      <c r="P14" s="1">
        <f t="shared" ref="P14" si="67">+P10-P13</f>
        <v>77.850000000000023</v>
      </c>
      <c r="Q14" s="1">
        <f t="shared" ref="Q14:R14" si="68">+Q10-Q13</f>
        <v>-17.58299999999997</v>
      </c>
      <c r="R14" s="1">
        <f t="shared" si="68"/>
        <v>81.788000000000011</v>
      </c>
      <c r="S14" s="1">
        <f t="shared" ref="S14:V14" si="69">+S10-S13</f>
        <v>62.274000000000001</v>
      </c>
      <c r="T14" s="1">
        <f t="shared" si="69"/>
        <v>276.34899999999999</v>
      </c>
      <c r="U14" s="1">
        <f t="shared" si="69"/>
        <v>187.84300000000007</v>
      </c>
      <c r="V14" s="1">
        <f t="shared" si="69"/>
        <v>163.45999999999981</v>
      </c>
      <c r="W14" s="1">
        <f>+W10-W13</f>
        <v>186.87599999999992</v>
      </c>
      <c r="X14" s="1">
        <f t="shared" ref="X14:AD14" si="70">+X10-X13</f>
        <v>213.57599999999991</v>
      </c>
      <c r="Y14" s="1">
        <f t="shared" si="70"/>
        <v>256.35600000000005</v>
      </c>
      <c r="Z14" s="1">
        <f t="shared" si="70"/>
        <v>235.91000000000003</v>
      </c>
      <c r="AA14" s="1">
        <f t="shared" si="70"/>
        <v>251.34100000000001</v>
      </c>
      <c r="AB14" s="1">
        <f t="shared" si="70"/>
        <v>466.73248700000011</v>
      </c>
      <c r="AC14" s="1">
        <f t="shared" si="70"/>
        <v>498.202585</v>
      </c>
      <c r="AD14" s="1">
        <f t="shared" si="70"/>
        <v>499.17142100000012</v>
      </c>
      <c r="AM14" s="1">
        <f t="shared" ref="AM14:AN14" si="71">+AM10-AM13</f>
        <v>88.423000000000002</v>
      </c>
      <c r="AN14" s="1">
        <f t="shared" si="71"/>
        <v>286.66599999999994</v>
      </c>
      <c r="AO14" s="1">
        <f>+AO10-AO13</f>
        <v>201.48399999999992</v>
      </c>
      <c r="AP14" s="1">
        <f>+AP10-AP13</f>
        <v>170.88499999999976</v>
      </c>
      <c r="AQ14" s="1">
        <f>+AQ10-AQ13</f>
        <v>689.92600000000016</v>
      </c>
      <c r="AR14" s="1">
        <f>+AR10-AR13</f>
        <v>892.71799999999985</v>
      </c>
      <c r="AS14" s="1">
        <f t="shared" ref="AS14" si="72">+AS10-AS13</f>
        <v>1715.4474930000001</v>
      </c>
      <c r="AT14" s="1">
        <f t="shared" ref="AT14" si="73">+AT10-AT13</f>
        <v>2040.9668427500001</v>
      </c>
      <c r="AU14" s="1">
        <f t="shared" ref="AU14" si="74">+AU10-AU13</f>
        <v>2240.8701768875003</v>
      </c>
      <c r="AV14" s="1">
        <f t="shared" ref="AV14" si="75">+AV10-AV13</f>
        <v>2471.7490553318758</v>
      </c>
      <c r="AW14" s="1">
        <f t="shared" ref="AW14:BG14" si="76">+AW10-AW13</f>
        <v>2741.4463685784694</v>
      </c>
      <c r="AX14" s="1">
        <f t="shared" si="76"/>
        <v>1734.2265870412348</v>
      </c>
      <c r="AY14" s="1">
        <f t="shared" si="76"/>
        <v>1110.4092935206172</v>
      </c>
      <c r="AZ14" s="1">
        <f t="shared" si="76"/>
        <v>824.62564676030854</v>
      </c>
      <c r="BA14" s="1">
        <f t="shared" si="76"/>
        <v>709.16507338015424</v>
      </c>
      <c r="BB14" s="1">
        <f t="shared" si="76"/>
        <v>680.23759919007728</v>
      </c>
      <c r="BC14" s="1">
        <f t="shared" si="76"/>
        <v>696.01681522003867</v>
      </c>
      <c r="BD14" s="1">
        <f t="shared" si="76"/>
        <v>735.66152401626971</v>
      </c>
      <c r="BE14" s="1">
        <f t="shared" si="76"/>
        <v>788.82673423469771</v>
      </c>
      <c r="BF14" s="1">
        <f t="shared" si="76"/>
        <v>850.41933795523971</v>
      </c>
      <c r="BG14" s="1">
        <f t="shared" si="76"/>
        <v>917.97613835740515</v>
      </c>
    </row>
    <row r="15" spans="1:59" s="1" customFormat="1" x14ac:dyDescent="0.25">
      <c r="B15" s="1" t="s">
        <v>44</v>
      </c>
      <c r="C15" s="4"/>
      <c r="D15" s="4"/>
      <c r="E15" s="4"/>
      <c r="F15" s="4"/>
      <c r="G15" s="4"/>
      <c r="H15" s="4">
        <v>1.891</v>
      </c>
      <c r="I15" s="4">
        <v>1.6579999999999999</v>
      </c>
      <c r="J15" s="4">
        <f>1.441-0.064</f>
        <v>1.377</v>
      </c>
      <c r="K15" s="4">
        <v>1.8220000000000001</v>
      </c>
      <c r="L15" s="4">
        <v>4.7569999999999997</v>
      </c>
      <c r="M15" s="4">
        <v>9.4979999999999993</v>
      </c>
      <c r="N15" s="4">
        <f>16.988-0.337</f>
        <v>16.651</v>
      </c>
      <c r="O15" s="4">
        <v>19.501999999999999</v>
      </c>
      <c r="P15" s="4">
        <v>22.541</v>
      </c>
      <c r="Q15" s="1">
        <v>23.111999999999998</v>
      </c>
      <c r="R15" s="1">
        <v>21.388000000000002</v>
      </c>
      <c r="S15" s="1">
        <v>19.893999999999998</v>
      </c>
      <c r="T15" s="1">
        <v>17.257999999999999</v>
      </c>
      <c r="U15" s="1">
        <v>18.709</v>
      </c>
      <c r="V15" s="1">
        <v>21.295000000000002</v>
      </c>
      <c r="W15" s="1">
        <v>19.076000000000001</v>
      </c>
      <c r="X15" s="1">
        <v>16.789000000000001</v>
      </c>
      <c r="Y15" s="1">
        <v>15.922000000000001</v>
      </c>
      <c r="Z15" s="1">
        <v>17.425999999999998</v>
      </c>
      <c r="AA15" s="1">
        <v>16.126999999999999</v>
      </c>
      <c r="AB15" s="1">
        <v>16.126999999999999</v>
      </c>
      <c r="AC15" s="1">
        <v>16.126999999999999</v>
      </c>
      <c r="AD15" s="1">
        <v>16.126999999999999</v>
      </c>
      <c r="AP15" s="1">
        <f t="shared" ref="AP15" si="77">SUM(O15:R15)</f>
        <v>86.543000000000006</v>
      </c>
      <c r="AQ15" s="1">
        <f t="shared" ref="AQ15" si="78">SUM(S15:V15)</f>
        <v>77.156000000000006</v>
      </c>
      <c r="AR15" s="1">
        <f>SUM(W15:Z15)</f>
        <v>69.213000000000008</v>
      </c>
      <c r="AS15" s="1">
        <f>SUM(AA15:AD15)</f>
        <v>64.507999999999996</v>
      </c>
      <c r="AT15" s="1">
        <f t="shared" ref="AT15:AW15" si="79">+AS15</f>
        <v>64.507999999999996</v>
      </c>
      <c r="AU15" s="1">
        <f t="shared" si="79"/>
        <v>64.507999999999996</v>
      </c>
      <c r="AV15" s="1">
        <f t="shared" si="79"/>
        <v>64.507999999999996</v>
      </c>
      <c r="AW15" s="1">
        <f t="shared" si="79"/>
        <v>64.507999999999996</v>
      </c>
      <c r="AX15" s="1">
        <f t="shared" ref="AX15" si="80">+AW15</f>
        <v>64.507999999999996</v>
      </c>
      <c r="AY15" s="1">
        <f t="shared" ref="AY15" si="81">+AX15</f>
        <v>64.507999999999996</v>
      </c>
      <c r="AZ15" s="1">
        <f t="shared" ref="AZ15" si="82">+AY15</f>
        <v>64.507999999999996</v>
      </c>
      <c r="BA15" s="1">
        <f t="shared" ref="BA15" si="83">+AZ15</f>
        <v>64.507999999999996</v>
      </c>
      <c r="BB15" s="1">
        <f t="shared" ref="BB15" si="84">+BA15</f>
        <v>64.507999999999996</v>
      </c>
      <c r="BC15" s="1">
        <f t="shared" ref="BC15" si="85">+BB15</f>
        <v>64.507999999999996</v>
      </c>
      <c r="BD15" s="1">
        <f t="shared" ref="BD15" si="86">+BC15</f>
        <v>64.507999999999996</v>
      </c>
      <c r="BE15" s="1">
        <f t="shared" ref="BE15" si="87">+BD15</f>
        <v>64.507999999999996</v>
      </c>
      <c r="BF15" s="1">
        <f t="shared" ref="BF15" si="88">+BE15</f>
        <v>64.507999999999996</v>
      </c>
      <c r="BG15" s="1">
        <f t="shared" ref="BG15" si="89">+BF15</f>
        <v>64.507999999999996</v>
      </c>
    </row>
    <row r="16" spans="1:59" s="1" customFormat="1" x14ac:dyDescent="0.25">
      <c r="B16" s="1" t="s">
        <v>45</v>
      </c>
      <c r="C16" s="4"/>
      <c r="D16" s="4"/>
      <c r="E16" s="4"/>
      <c r="F16" s="4"/>
      <c r="G16" s="4"/>
      <c r="H16" s="4">
        <f>+H14+H15</f>
        <v>125.43899999999998</v>
      </c>
      <c r="I16" s="4">
        <f>+I14+I15</f>
        <v>53.279000000000039</v>
      </c>
      <c r="J16" s="4">
        <f>+J14+J15</f>
        <v>118.021</v>
      </c>
      <c r="K16" s="4">
        <f t="shared" ref="K16:M16" si="90">+K14+K15</f>
        <v>85.065000000000055</v>
      </c>
      <c r="L16" s="4">
        <f t="shared" si="90"/>
        <v>88.463000000000022</v>
      </c>
      <c r="M16" s="4">
        <f t="shared" si="90"/>
        <v>92.111000000000061</v>
      </c>
      <c r="N16" s="4">
        <f>+N14+N15</f>
        <v>-31.427000000000088</v>
      </c>
      <c r="O16" s="4">
        <f t="shared" ref="O16" si="91">+O14+O15</f>
        <v>48.331999999999979</v>
      </c>
      <c r="P16" s="1">
        <f t="shared" ref="P16:V16" si="92">+P14+P15</f>
        <v>100.39100000000002</v>
      </c>
      <c r="Q16" s="1">
        <f t="shared" si="92"/>
        <v>5.5290000000000283</v>
      </c>
      <c r="R16" s="1">
        <f t="shared" si="92"/>
        <v>103.17600000000002</v>
      </c>
      <c r="S16" s="1">
        <f t="shared" si="92"/>
        <v>82.168000000000006</v>
      </c>
      <c r="T16" s="1">
        <f t="shared" si="92"/>
        <v>293.60699999999997</v>
      </c>
      <c r="U16" s="1">
        <f t="shared" si="92"/>
        <v>206.55200000000008</v>
      </c>
      <c r="V16" s="1">
        <f t="shared" si="92"/>
        <v>184.75499999999982</v>
      </c>
      <c r="W16" s="1">
        <f>+W14+W15</f>
        <v>205.95199999999991</v>
      </c>
      <c r="X16" s="1">
        <f t="shared" ref="X16:AD16" si="93">+X14+X15</f>
        <v>230.3649999999999</v>
      </c>
      <c r="Y16" s="1">
        <f t="shared" si="93"/>
        <v>272.27800000000008</v>
      </c>
      <c r="Z16" s="1">
        <f t="shared" si="93"/>
        <v>253.33600000000001</v>
      </c>
      <c r="AA16" s="1">
        <f t="shared" si="93"/>
        <v>267.46800000000002</v>
      </c>
      <c r="AB16" s="1">
        <f t="shared" si="93"/>
        <v>482.85948700000012</v>
      </c>
      <c r="AC16" s="1">
        <f t="shared" si="93"/>
        <v>514.32958499999995</v>
      </c>
      <c r="AD16" s="1">
        <f t="shared" si="93"/>
        <v>515.29842100000008</v>
      </c>
      <c r="AM16" s="1">
        <f t="shared" ref="AM16:AO16" si="94">+AM14+AM15</f>
        <v>88.423000000000002</v>
      </c>
      <c r="AN16" s="1">
        <f t="shared" si="94"/>
        <v>286.66599999999994</v>
      </c>
      <c r="AO16" s="1">
        <f t="shared" si="94"/>
        <v>201.48399999999992</v>
      </c>
      <c r="AP16" s="1">
        <f>+AP14+AP15</f>
        <v>257.42799999999977</v>
      </c>
      <c r="AQ16" s="1">
        <f>+AQ14+AQ15</f>
        <v>767.08200000000011</v>
      </c>
      <c r="AR16" s="1">
        <f>+AR14+AR15</f>
        <v>961.93099999999981</v>
      </c>
      <c r="AS16" s="1">
        <f t="shared" ref="AS16" si="95">+AS14+AS15</f>
        <v>1779.9554930000002</v>
      </c>
      <c r="AT16" s="1">
        <f t="shared" ref="AT16" si="96">+AT14+AT15</f>
        <v>2105.4748427499999</v>
      </c>
      <c r="AU16" s="1">
        <f t="shared" ref="AU16" si="97">+AU14+AU15</f>
        <v>2305.3781768875001</v>
      </c>
      <c r="AV16" s="1">
        <f t="shared" ref="AV16" si="98">+AV14+AV15</f>
        <v>2536.2570553318756</v>
      </c>
      <c r="AW16" s="1">
        <f t="shared" ref="AW16:BG16" si="99">+AW14+AW15</f>
        <v>2805.9543685784693</v>
      </c>
      <c r="AX16" s="1">
        <f t="shared" si="99"/>
        <v>1798.7345870412348</v>
      </c>
      <c r="AY16" s="1">
        <f t="shared" si="99"/>
        <v>1174.9172935206172</v>
      </c>
      <c r="AZ16" s="1">
        <f t="shared" si="99"/>
        <v>889.13364676030858</v>
      </c>
      <c r="BA16" s="1">
        <f t="shared" si="99"/>
        <v>773.67307338015428</v>
      </c>
      <c r="BB16" s="1">
        <f t="shared" si="99"/>
        <v>744.74559919007731</v>
      </c>
      <c r="BC16" s="1">
        <f t="shared" si="99"/>
        <v>760.5248152200387</v>
      </c>
      <c r="BD16" s="1">
        <f t="shared" si="99"/>
        <v>800.16952401626975</v>
      </c>
      <c r="BE16" s="1">
        <f t="shared" si="99"/>
        <v>853.33473423469775</v>
      </c>
      <c r="BF16" s="1">
        <f t="shared" si="99"/>
        <v>914.92733795523975</v>
      </c>
      <c r="BG16" s="1">
        <f t="shared" si="99"/>
        <v>982.48413835740519</v>
      </c>
    </row>
    <row r="17" spans="2:59" s="1" customFormat="1" x14ac:dyDescent="0.25">
      <c r="B17" s="1" t="s">
        <v>46</v>
      </c>
      <c r="C17" s="4"/>
      <c r="D17" s="4"/>
      <c r="E17" s="4"/>
      <c r="F17" s="4"/>
      <c r="G17" s="4"/>
      <c r="H17" s="4">
        <v>28.795999999999999</v>
      </c>
      <c r="I17" s="4">
        <v>15.055999999999999</v>
      </c>
      <c r="J17" s="4">
        <v>22.855</v>
      </c>
      <c r="K17" s="4">
        <v>16.655999999999999</v>
      </c>
      <c r="L17" s="4">
        <v>17.835999999999999</v>
      </c>
      <c r="M17" s="4">
        <v>18.832000000000001</v>
      </c>
      <c r="N17" s="4">
        <v>0</v>
      </c>
      <c r="O17" s="4">
        <v>8.25</v>
      </c>
      <c r="P17" s="4">
        <v>19.207999999999998</v>
      </c>
      <c r="Q17" s="1">
        <v>4.7770000000000001</v>
      </c>
      <c r="R17" s="1">
        <v>17.521000000000001</v>
      </c>
      <c r="S17" s="1">
        <v>11.95</v>
      </c>
      <c r="T17" s="1">
        <v>66.728999999999999</v>
      </c>
      <c r="U17" s="1">
        <v>36.781999999999996</v>
      </c>
      <c r="V17" s="1">
        <v>44.911999999999999</v>
      </c>
      <c r="W17" s="1">
        <v>46.073999999999998</v>
      </c>
      <c r="X17" s="1">
        <v>45.567</v>
      </c>
      <c r="Y17" s="1">
        <v>58.835000000000001</v>
      </c>
      <c r="Z17" s="1">
        <v>8.16</v>
      </c>
      <c r="AA17" s="1">
        <v>57.22</v>
      </c>
      <c r="AB17" s="1">
        <f>+AB16*0.2</f>
        <v>96.571897400000026</v>
      </c>
      <c r="AC17" s="1">
        <f>+AC16*0.2</f>
        <v>102.865917</v>
      </c>
      <c r="AD17" s="1">
        <f>+AD16*0.2</f>
        <v>103.05968420000002</v>
      </c>
      <c r="AP17" s="1">
        <f t="shared" ref="AP17" si="100">SUM(O17:R17)</f>
        <v>49.756</v>
      </c>
      <c r="AQ17" s="1">
        <f t="shared" ref="AQ17" si="101">SUM(S17:V17)</f>
        <v>160.37299999999999</v>
      </c>
      <c r="AR17" s="1">
        <f>SUM(W17:Z17)</f>
        <v>158.636</v>
      </c>
      <c r="AS17" s="1">
        <f>SUM(AA17:AD17)</f>
        <v>359.7174986</v>
      </c>
      <c r="AT17" s="1">
        <f t="shared" ref="AT17" si="102">+AT16*0.2</f>
        <v>421.09496854999998</v>
      </c>
      <c r="AU17" s="1">
        <f t="shared" ref="AU17" si="103">+AU16*0.2</f>
        <v>461.07563537750002</v>
      </c>
      <c r="AV17" s="1">
        <f t="shared" ref="AV17" si="104">+AV16*0.2</f>
        <v>507.25141106637511</v>
      </c>
      <c r="AW17" s="1">
        <f t="shared" ref="AW17:BG17" si="105">+AW16*0.2</f>
        <v>561.1908737156939</v>
      </c>
      <c r="AX17" s="1">
        <f t="shared" si="105"/>
        <v>359.74691740824699</v>
      </c>
      <c r="AY17" s="1">
        <f t="shared" si="105"/>
        <v>234.98345870412345</v>
      </c>
      <c r="AZ17" s="1">
        <f t="shared" si="105"/>
        <v>177.82672935206173</v>
      </c>
      <c r="BA17" s="1">
        <f t="shared" si="105"/>
        <v>154.73461467603087</v>
      </c>
      <c r="BB17" s="1">
        <f t="shared" si="105"/>
        <v>148.94911983801546</v>
      </c>
      <c r="BC17" s="1">
        <f t="shared" si="105"/>
        <v>152.10496304400775</v>
      </c>
      <c r="BD17" s="1">
        <f t="shared" si="105"/>
        <v>160.03390480325396</v>
      </c>
      <c r="BE17" s="1">
        <f t="shared" si="105"/>
        <v>170.66694684693957</v>
      </c>
      <c r="BF17" s="1">
        <f t="shared" si="105"/>
        <v>182.98546759104795</v>
      </c>
      <c r="BG17" s="1">
        <f t="shared" si="105"/>
        <v>196.49682767148104</v>
      </c>
    </row>
    <row r="18" spans="2:59" s="1" customFormat="1" x14ac:dyDescent="0.25">
      <c r="B18" s="1" t="s">
        <v>42</v>
      </c>
      <c r="C18" s="4"/>
      <c r="D18" s="4"/>
      <c r="E18" s="4"/>
      <c r="F18" s="4"/>
      <c r="G18" s="4"/>
      <c r="H18" s="4">
        <f>+H16-H17</f>
        <v>96.642999999999972</v>
      </c>
      <c r="I18" s="4">
        <f>+I16-I17</f>
        <v>38.223000000000042</v>
      </c>
      <c r="J18" s="4">
        <f>+J16-J17</f>
        <v>95.165999999999997</v>
      </c>
      <c r="K18" s="4">
        <f t="shared" ref="K18:M18" si="106">+K16-K17</f>
        <v>68.409000000000049</v>
      </c>
      <c r="L18" s="4">
        <f t="shared" si="106"/>
        <v>70.627000000000024</v>
      </c>
      <c r="M18" s="4">
        <f t="shared" si="106"/>
        <v>73.279000000000053</v>
      </c>
      <c r="N18" s="4">
        <f>+N16-N17</f>
        <v>-31.427000000000088</v>
      </c>
      <c r="O18" s="4">
        <f>+O16-O17</f>
        <v>40.081999999999979</v>
      </c>
      <c r="P18" s="1">
        <f t="shared" ref="P18:V18" si="107">+P16-P17</f>
        <v>81.183000000000021</v>
      </c>
      <c r="Q18" s="1">
        <f t="shared" si="107"/>
        <v>0.7520000000000282</v>
      </c>
      <c r="R18" s="1">
        <f t="shared" si="107"/>
        <v>85.655000000000015</v>
      </c>
      <c r="S18" s="1">
        <f t="shared" si="107"/>
        <v>70.218000000000004</v>
      </c>
      <c r="T18" s="1">
        <f t="shared" si="107"/>
        <v>226.87799999999999</v>
      </c>
      <c r="U18" s="1">
        <f t="shared" si="107"/>
        <v>169.7700000000001</v>
      </c>
      <c r="V18" s="1">
        <f t="shared" si="107"/>
        <v>139.84299999999982</v>
      </c>
      <c r="W18" s="1">
        <f>+W16-W17</f>
        <v>159.87799999999993</v>
      </c>
      <c r="X18" s="1">
        <f t="shared" ref="X18:AD18" si="108">+X16-X17</f>
        <v>184.79799999999989</v>
      </c>
      <c r="Y18" s="1">
        <f t="shared" si="108"/>
        <v>213.44300000000007</v>
      </c>
      <c r="Z18" s="1">
        <f t="shared" si="108"/>
        <v>245.17600000000002</v>
      </c>
      <c r="AA18" s="1">
        <f t="shared" si="108"/>
        <v>210.24800000000002</v>
      </c>
      <c r="AB18" s="1">
        <f t="shared" si="108"/>
        <v>386.2875896000001</v>
      </c>
      <c r="AC18" s="1">
        <f t="shared" si="108"/>
        <v>411.46366799999998</v>
      </c>
      <c r="AD18" s="1">
        <f t="shared" si="108"/>
        <v>412.23873680000008</v>
      </c>
      <c r="AM18" s="1">
        <f t="shared" ref="AM18:AO18" si="109">+AM16-AM17</f>
        <v>88.423000000000002</v>
      </c>
      <c r="AN18" s="1">
        <f t="shared" si="109"/>
        <v>286.66599999999994</v>
      </c>
      <c r="AO18" s="1">
        <f t="shared" si="109"/>
        <v>201.48399999999992</v>
      </c>
      <c r="AP18" s="1">
        <f>+AP16-AP17</f>
        <v>207.67199999999977</v>
      </c>
      <c r="AQ18" s="1">
        <f>+AQ16-AQ17</f>
        <v>606.70900000000006</v>
      </c>
      <c r="AR18" s="1">
        <f>+AR16-AR17</f>
        <v>803.29499999999985</v>
      </c>
      <c r="AS18" s="1">
        <f t="shared" ref="AS18" si="110">+AS16-AS17</f>
        <v>1420.2379944000002</v>
      </c>
      <c r="AT18" s="1">
        <f t="shared" ref="AT18" si="111">+AT16-AT17</f>
        <v>1684.3798741999999</v>
      </c>
      <c r="AU18" s="1">
        <f t="shared" ref="AU18" si="112">+AU16-AU17</f>
        <v>1844.3025415100001</v>
      </c>
      <c r="AV18" s="1">
        <f t="shared" ref="AV18" si="113">+AV16-AV17</f>
        <v>2029.0056442655005</v>
      </c>
      <c r="AW18" s="1">
        <f t="shared" ref="AW18:BG18" si="114">+AW16-AW17</f>
        <v>2244.7634948627756</v>
      </c>
      <c r="AX18" s="1">
        <f t="shared" si="114"/>
        <v>1438.9876696329879</v>
      </c>
      <c r="AY18" s="1">
        <f t="shared" si="114"/>
        <v>939.9338348164938</v>
      </c>
      <c r="AZ18" s="1">
        <f t="shared" si="114"/>
        <v>711.30691740824682</v>
      </c>
      <c r="BA18" s="1">
        <f t="shared" si="114"/>
        <v>618.93845870412338</v>
      </c>
      <c r="BB18" s="1">
        <f t="shared" si="114"/>
        <v>595.79647935206185</v>
      </c>
      <c r="BC18" s="1">
        <f t="shared" si="114"/>
        <v>608.41985217603099</v>
      </c>
      <c r="BD18" s="1">
        <f t="shared" si="114"/>
        <v>640.13561921301584</v>
      </c>
      <c r="BE18" s="1">
        <f t="shared" si="114"/>
        <v>682.66778738775815</v>
      </c>
      <c r="BF18" s="1">
        <f t="shared" si="114"/>
        <v>731.9418703641918</v>
      </c>
      <c r="BG18" s="1">
        <f t="shared" si="114"/>
        <v>785.98731068592417</v>
      </c>
    </row>
    <row r="19" spans="2:59" x14ac:dyDescent="0.25">
      <c r="B19" t="s">
        <v>43</v>
      </c>
      <c r="H19" s="15">
        <f t="shared" ref="H19:O19" si="115">+H18/H20</f>
        <v>0.29925899777358705</v>
      </c>
      <c r="I19" s="15">
        <f t="shared" si="115"/>
        <v>0.11869685922079871</v>
      </c>
      <c r="J19" s="15">
        <f t="shared" si="115"/>
        <v>0.29439824782834662</v>
      </c>
      <c r="K19" s="15">
        <f t="shared" si="115"/>
        <v>0.2116032404443085</v>
      </c>
      <c r="L19" s="15">
        <f t="shared" si="115"/>
        <v>0.21737805628739573</v>
      </c>
      <c r="M19" s="15">
        <f t="shared" si="115"/>
        <v>0.22542806691564193</v>
      </c>
      <c r="N19" s="15">
        <f t="shared" si="115"/>
        <v>-9.7220159873289566E-2</v>
      </c>
      <c r="O19" s="15">
        <f t="shared" si="115"/>
        <v>0.12284578535547792</v>
      </c>
      <c r="P19" s="17">
        <f t="shared" ref="P19:V19" si="116">+P18/P20</f>
        <v>0.24803470768854743</v>
      </c>
      <c r="Q19" s="17">
        <f t="shared" si="116"/>
        <v>2.3555428868557203E-3</v>
      </c>
      <c r="R19" s="17">
        <f t="shared" si="116"/>
        <v>0.27363803937729819</v>
      </c>
      <c r="S19" s="17">
        <f t="shared" si="116"/>
        <v>0.22982358524531146</v>
      </c>
      <c r="T19" s="17">
        <f t="shared" si="116"/>
        <v>0.7717621286236197</v>
      </c>
      <c r="U19" s="17">
        <f t="shared" si="116"/>
        <v>0.58244533035083301</v>
      </c>
      <c r="V19" s="17">
        <f t="shared" si="116"/>
        <v>0.47639211571610524</v>
      </c>
      <c r="W19" s="17">
        <f>+W18/W20</f>
        <v>0.55479097915517173</v>
      </c>
      <c r="X19" s="17">
        <f t="shared" ref="X19:AB19" si="117">+X18/X20</f>
        <v>0.64979799080849354</v>
      </c>
      <c r="Y19" s="17">
        <f t="shared" si="117"/>
        <v>0.76630585025221265</v>
      </c>
      <c r="Z19" s="17">
        <f t="shared" si="117"/>
        <v>0.88720019685324303</v>
      </c>
      <c r="AA19" s="17">
        <f t="shared" si="117"/>
        <v>0.78649718317235395</v>
      </c>
      <c r="AB19" s="17">
        <f t="shared" si="117"/>
        <v>1.4450273063945358</v>
      </c>
      <c r="AC19" s="17">
        <f t="shared" ref="AC19" si="118">+AC18/AC20</f>
        <v>1.5392061558719445</v>
      </c>
      <c r="AD19" s="17">
        <f t="shared" ref="AD19" si="119">+AD18/AD20</f>
        <v>1.5421055386387954</v>
      </c>
      <c r="AM19" s="17" t="e">
        <f t="shared" ref="AM19:AO19" si="120">+AM18/AM20</f>
        <v>#DIV/0!</v>
      </c>
      <c r="AN19" s="17">
        <f t="shared" si="120"/>
        <v>0.8882267338277805</v>
      </c>
      <c r="AO19" s="17">
        <f t="shared" si="120"/>
        <v>0.62161718144410194</v>
      </c>
      <c r="AP19" s="17">
        <f>+AP18/AP20</f>
        <v>0.64602046577605143</v>
      </c>
      <c r="AQ19" s="17">
        <f>+AQ18/AQ20</f>
        <v>2.0487789229127551</v>
      </c>
      <c r="AR19" s="17">
        <f>+AR18/AR20</f>
        <v>2.849945851401344</v>
      </c>
      <c r="AS19" s="17">
        <f t="shared" ref="AS19" si="121">+AS18/AS20</f>
        <v>5.3128361840776295</v>
      </c>
      <c r="AT19" s="17">
        <f t="shared" ref="AT19" si="122">+AT18/AT20</f>
        <v>6.3009399682779561</v>
      </c>
      <c r="AU19" s="17">
        <f t="shared" ref="AU19" si="123">+AU18/AU20</f>
        <v>6.899179796313061</v>
      </c>
      <c r="AV19" s="17">
        <f t="shared" ref="AV19" si="124">+AV18/AV20</f>
        <v>7.5901184499049847</v>
      </c>
      <c r="AW19" s="17">
        <f t="shared" ref="AW19:BG19" si="125">+AW18/AW20</f>
        <v>8.3972269205780883</v>
      </c>
      <c r="AX19" s="17">
        <f t="shared" si="125"/>
        <v>5.3829750998159067</v>
      </c>
      <c r="AY19" s="17">
        <f t="shared" si="125"/>
        <v>3.5161110376867364</v>
      </c>
      <c r="AZ19" s="17">
        <f t="shared" si="125"/>
        <v>2.6608618722299204</v>
      </c>
      <c r="BA19" s="17">
        <f t="shared" si="125"/>
        <v>2.3153292983896701</v>
      </c>
      <c r="BB19" s="17">
        <f t="shared" si="125"/>
        <v>2.2287596208021108</v>
      </c>
      <c r="BC19" s="17">
        <f t="shared" si="125"/>
        <v>2.2759812218075242</v>
      </c>
      <c r="BD19" s="17">
        <f t="shared" si="125"/>
        <v>2.3946237840993851</v>
      </c>
      <c r="BE19" s="17">
        <f t="shared" si="125"/>
        <v>2.5537284151239259</v>
      </c>
      <c r="BF19" s="17">
        <f t="shared" si="125"/>
        <v>2.7380532480087378</v>
      </c>
      <c r="BG19" s="17">
        <f t="shared" si="125"/>
        <v>2.9402268076923117</v>
      </c>
    </row>
    <row r="20" spans="2:59" s="1" customFormat="1" x14ac:dyDescent="0.25">
      <c r="B20" s="1" t="s">
        <v>1</v>
      </c>
      <c r="C20" s="4"/>
      <c r="D20" s="4"/>
      <c r="E20" s="4"/>
      <c r="F20" s="4"/>
      <c r="G20" s="4"/>
      <c r="H20" s="4">
        <v>322.94099999999997</v>
      </c>
      <c r="I20" s="4">
        <v>322.02199999999999</v>
      </c>
      <c r="J20" s="4">
        <v>323.25599999999997</v>
      </c>
      <c r="K20" s="4">
        <v>323.28899999999999</v>
      </c>
      <c r="L20" s="4">
        <v>324.904</v>
      </c>
      <c r="M20" s="4">
        <v>325.06599999999997</v>
      </c>
      <c r="N20" s="4">
        <v>323.25599999999997</v>
      </c>
      <c r="O20" s="4">
        <v>326.279</v>
      </c>
      <c r="P20" s="4">
        <v>327.30500000000001</v>
      </c>
      <c r="Q20" s="1">
        <v>319.24700000000001</v>
      </c>
      <c r="R20" s="1">
        <v>313.02300000000002</v>
      </c>
      <c r="S20" s="1">
        <v>305.52999999999997</v>
      </c>
      <c r="T20" s="1">
        <v>293.97399999999999</v>
      </c>
      <c r="U20" s="1">
        <v>291.47800000000001</v>
      </c>
      <c r="V20" s="1">
        <v>293.54599999999999</v>
      </c>
      <c r="W20" s="1">
        <v>288.17700000000002</v>
      </c>
      <c r="X20" s="1">
        <v>284.39299999999997</v>
      </c>
      <c r="Y20" s="1">
        <v>278.53500000000003</v>
      </c>
      <c r="Z20" s="1">
        <v>276.34800000000001</v>
      </c>
      <c r="AA20" s="1">
        <v>267.322</v>
      </c>
      <c r="AB20" s="1">
        <f>+AA20</f>
        <v>267.322</v>
      </c>
      <c r="AC20" s="1">
        <f t="shared" ref="AC20:AD20" si="126">+AB20</f>
        <v>267.322</v>
      </c>
      <c r="AD20" s="1">
        <f t="shared" si="126"/>
        <v>267.322</v>
      </c>
      <c r="AN20" s="1">
        <f>AVERAGE(G20:J20)</f>
        <v>322.73966666666666</v>
      </c>
      <c r="AO20" s="1">
        <f>AVERAGE(K20:N20)</f>
        <v>324.12874999999997</v>
      </c>
      <c r="AP20" s="1">
        <f>AVERAGE(O20:R20)</f>
        <v>321.46350000000007</v>
      </c>
      <c r="AQ20" s="1">
        <f>AVERAGE(S20:V20)</f>
        <v>296.13200000000001</v>
      </c>
      <c r="AR20" s="1">
        <f>AVERAGE(W20:Z20)</f>
        <v>281.86324999999999</v>
      </c>
      <c r="AS20" s="1">
        <f>AVERAGE(AA20:AD20)</f>
        <v>267.322</v>
      </c>
      <c r="AT20" s="1">
        <f t="shared" ref="AT20:AW20" si="127">+AS20</f>
        <v>267.322</v>
      </c>
      <c r="AU20" s="1">
        <f t="shared" si="127"/>
        <v>267.322</v>
      </c>
      <c r="AV20" s="1">
        <f t="shared" si="127"/>
        <v>267.322</v>
      </c>
      <c r="AW20" s="1">
        <f t="shared" si="127"/>
        <v>267.322</v>
      </c>
      <c r="AX20" s="1">
        <f t="shared" ref="AX20" si="128">+AW20</f>
        <v>267.322</v>
      </c>
      <c r="AY20" s="1">
        <f t="shared" ref="AY20" si="129">+AX20</f>
        <v>267.322</v>
      </c>
      <c r="AZ20" s="1">
        <f t="shared" ref="AZ20" si="130">+AY20</f>
        <v>267.322</v>
      </c>
      <c r="BA20" s="1">
        <f t="shared" ref="BA20" si="131">+AZ20</f>
        <v>267.322</v>
      </c>
      <c r="BB20" s="1">
        <f t="shared" ref="BB20" si="132">+BA20</f>
        <v>267.322</v>
      </c>
      <c r="BC20" s="1">
        <f t="shared" ref="BC20" si="133">+BB20</f>
        <v>267.322</v>
      </c>
      <c r="BD20" s="1">
        <f t="shared" ref="BD20" si="134">+BC20</f>
        <v>267.322</v>
      </c>
      <c r="BE20" s="1">
        <f t="shared" ref="BE20" si="135">+BD20</f>
        <v>267.322</v>
      </c>
      <c r="BF20" s="1">
        <f t="shared" ref="BF20" si="136">+BE20</f>
        <v>267.322</v>
      </c>
      <c r="BG20" s="1">
        <f t="shared" ref="BG20" si="137">+BF20</f>
        <v>267.322</v>
      </c>
    </row>
    <row r="22" spans="2:59" x14ac:dyDescent="0.25">
      <c r="B22" s="1" t="s">
        <v>78</v>
      </c>
      <c r="K22" s="18"/>
      <c r="L22" s="18">
        <f t="shared" ref="L22" si="138">L5/H5-1</f>
        <v>0.22091976020939463</v>
      </c>
      <c r="M22" s="18">
        <f t="shared" ref="M22" si="139">M5/I5-1</f>
        <v>0.39284804858675049</v>
      </c>
      <c r="N22" s="18">
        <f t="shared" ref="N22" si="140">N5/J5-1</f>
        <v>0.24692826393638145</v>
      </c>
      <c r="O22" s="18">
        <f t="shared" ref="O22" si="141">O5/K5-1</f>
        <v>0.17113226640197476</v>
      </c>
      <c r="P22" s="18">
        <f>P5/L5-1</f>
        <v>0.18038634870506343</v>
      </c>
      <c r="Q22" s="18">
        <f t="shared" ref="Q22" si="142">Q5/M5-1</f>
        <v>0.16375974809131133</v>
      </c>
      <c r="R22" s="18">
        <f t="shared" ref="R22" si="143">R5/N5-1</f>
        <v>0.13755799257589052</v>
      </c>
      <c r="S22" s="18">
        <f t="shared" ref="S22" si="144">S5/O5-1</f>
        <v>4.1552008805723739E-2</v>
      </c>
      <c r="T22" s="18">
        <f t="shared" ref="T22:V22" si="145">T5/P5-1</f>
        <v>6.8193025197365476E-2</v>
      </c>
      <c r="U22" s="18">
        <f t="shared" si="145"/>
        <v>0.1208965127538999</v>
      </c>
      <c r="V22" s="18">
        <f t="shared" si="145"/>
        <v>0.20006708032869347</v>
      </c>
      <c r="W22" s="18">
        <f>W5/S5-1</f>
        <v>0.35614266842800513</v>
      </c>
      <c r="X22" s="18">
        <f t="shared" ref="X22:AA22" si="146">X5/T5-1</f>
        <v>0.18838340787191399</v>
      </c>
      <c r="Y22" s="18">
        <f t="shared" si="146"/>
        <v>0.13569663995448233</v>
      </c>
      <c r="Z22" s="18">
        <f t="shared" si="146"/>
        <v>6.0836671635302153E-2</v>
      </c>
      <c r="AA22" s="18">
        <f t="shared" si="146"/>
        <v>8.1194233391778781E-2</v>
      </c>
      <c r="AB22" s="18">
        <f t="shared" ref="AB22" si="147">AB5/X5-1</f>
        <v>0.10000000000000009</v>
      </c>
      <c r="AC22" s="18">
        <f t="shared" ref="AC22" si="148">AC5/Y5-1</f>
        <v>0.10000000000000009</v>
      </c>
      <c r="AD22" s="18">
        <f t="shared" ref="AD22" si="149">AD5/Z5-1</f>
        <v>0.10000000000000009</v>
      </c>
    </row>
    <row r="23" spans="2:59" x14ac:dyDescent="0.25">
      <c r="K23" s="18"/>
      <c r="L23" s="18"/>
      <c r="M23" s="18"/>
      <c r="N23" s="18"/>
      <c r="AY23" t="s">
        <v>84</v>
      </c>
      <c r="AZ23" s="1">
        <f>NPV(8%,AT18:BG18)</f>
        <v>10384.798184053696</v>
      </c>
    </row>
    <row r="24" spans="2:59" x14ac:dyDescent="0.25">
      <c r="AY24" t="s">
        <v>86</v>
      </c>
      <c r="AZ24" s="17">
        <f>AZ23/Main!M3</f>
        <v>38.080245249809415</v>
      </c>
    </row>
  </sheetData>
  <hyperlinks>
    <hyperlink ref="A1" location="Main!A1" display="Main" xr:uid="{68C50480-4017-49B9-8F7C-F7008CCC1D43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242F-D62E-4506-AAAA-E505F1D99D1C}">
  <dimension ref="A1:C6"/>
  <sheetViews>
    <sheetView zoomScale="175" zoomScaleNormal="175" workbookViewId="0">
      <selection activeCell="C5" sqref="C5"/>
    </sheetView>
  </sheetViews>
  <sheetFormatPr defaultRowHeight="12.5" x14ac:dyDescent="0.25"/>
  <cols>
    <col min="1" max="1" width="5" bestFit="1" customWidth="1"/>
    <col min="3" max="3" width="11.26953125" customWidth="1"/>
  </cols>
  <sheetData>
    <row r="1" spans="1:3" x14ac:dyDescent="0.25">
      <c r="A1" s="3" t="s">
        <v>7</v>
      </c>
    </row>
    <row r="2" spans="1:3" x14ac:dyDescent="0.25">
      <c r="B2" t="s">
        <v>33</v>
      </c>
      <c r="C2" t="s">
        <v>59</v>
      </c>
    </row>
    <row r="3" spans="1:3" x14ac:dyDescent="0.25">
      <c r="B3" t="s">
        <v>60</v>
      </c>
      <c r="C3" t="s">
        <v>61</v>
      </c>
    </row>
    <row r="4" spans="1:3" x14ac:dyDescent="0.25">
      <c r="B4" t="s">
        <v>35</v>
      </c>
      <c r="C4" t="s">
        <v>38</v>
      </c>
    </row>
    <row r="5" spans="1:3" x14ac:dyDescent="0.25">
      <c r="B5" t="s">
        <v>67</v>
      </c>
      <c r="C5" t="s">
        <v>69</v>
      </c>
    </row>
    <row r="6" spans="1:3" x14ac:dyDescent="0.25">
      <c r="C6" t="s">
        <v>68</v>
      </c>
    </row>
  </sheetData>
  <hyperlinks>
    <hyperlink ref="A1" location="Main!A1" display="Main" xr:uid="{45616041-BC20-424D-8E53-78E0CBFD32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Cabometyx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2023-02-14T15:39:12Z</dcterms:created>
  <dcterms:modified xsi:type="dcterms:W3CDTF">2026-07-17T15:24:53Z</dcterms:modified>
</cp:coreProperties>
</file>