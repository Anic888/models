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10D09E6C-6D1C-4067-B6C2-96CDD5DB16EB}" xr6:coauthVersionLast="47" xr6:coauthVersionMax="47" xr10:uidLastSave="{00000000-0000-0000-0000-000000000000}"/>
  <bookViews>
    <workbookView xWindow="11020" yWindow="4720" windowWidth="24170" windowHeight="12950" activeTab="1" xr2:uid="{6A2719AE-EB82-44C6-B150-281E64F8B0C6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" l="1"/>
  <c r="H12" i="2"/>
  <c r="I12" i="2"/>
  <c r="P12" i="2"/>
  <c r="O12" i="2"/>
  <c r="N12" i="2"/>
  <c r="M12" i="2"/>
  <c r="L12" i="2"/>
  <c r="K12" i="2"/>
  <c r="J12" i="2"/>
  <c r="O9" i="2"/>
  <c r="N9" i="2"/>
  <c r="M9" i="2"/>
  <c r="L9" i="2"/>
  <c r="K9" i="2"/>
  <c r="J9" i="2"/>
  <c r="I9" i="2"/>
  <c r="H9" i="2"/>
  <c r="G9" i="2"/>
  <c r="P9" i="2"/>
  <c r="P16" i="2"/>
  <c r="O16" i="2"/>
  <c r="N16" i="2"/>
  <c r="M16" i="2"/>
  <c r="L16" i="2"/>
  <c r="K16" i="2"/>
  <c r="J16" i="2"/>
  <c r="I16" i="2"/>
  <c r="H16" i="2"/>
  <c r="G16" i="2"/>
  <c r="Q26" i="2"/>
  <c r="O38" i="2"/>
  <c r="M38" i="2"/>
  <c r="L38" i="2"/>
  <c r="P38" i="2"/>
  <c r="P29" i="2"/>
  <c r="Q29" i="2" s="1"/>
  <c r="P28" i="2"/>
  <c r="P39" i="2" s="1"/>
  <c r="N35" i="2"/>
  <c r="N27" i="2"/>
  <c r="N26" i="2"/>
  <c r="N28" i="2" s="1"/>
  <c r="N39" i="2" s="1"/>
  <c r="AB38" i="2"/>
  <c r="AA38" i="2"/>
  <c r="Z38" i="2"/>
  <c r="Y38" i="2"/>
  <c r="X38" i="2"/>
  <c r="W38" i="2"/>
  <c r="V38" i="2"/>
  <c r="U38" i="2"/>
  <c r="AC38" i="2"/>
  <c r="AC33" i="2"/>
  <c r="AB33" i="2"/>
  <c r="AB28" i="2"/>
  <c r="AB39" i="2" s="1"/>
  <c r="AC31" i="2"/>
  <c r="AB31" i="2"/>
  <c r="AC28" i="2"/>
  <c r="AC39" i="2" s="1"/>
  <c r="I33" i="2"/>
  <c r="I28" i="2"/>
  <c r="I39" i="2" s="1"/>
  <c r="M33" i="2"/>
  <c r="H33" i="2"/>
  <c r="I31" i="2"/>
  <c r="H31" i="2"/>
  <c r="H28" i="2"/>
  <c r="H39" i="2" s="1"/>
  <c r="L33" i="2"/>
  <c r="M28" i="2"/>
  <c r="M39" i="2" s="1"/>
  <c r="L28" i="2"/>
  <c r="L39" i="2" s="1"/>
  <c r="K33" i="2"/>
  <c r="O33" i="2"/>
  <c r="M31" i="2"/>
  <c r="L31" i="2"/>
  <c r="K31" i="2"/>
  <c r="O31" i="2"/>
  <c r="K28" i="2"/>
  <c r="K32" i="2" s="1"/>
  <c r="K34" i="2" s="1"/>
  <c r="K36" i="2" s="1"/>
  <c r="O28" i="2"/>
  <c r="O32" i="2" s="1"/>
  <c r="O34" i="2" s="1"/>
  <c r="O36" i="2" s="1"/>
  <c r="K5" i="1"/>
  <c r="AC2" i="2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T44" i="2"/>
  <c r="T31" i="2"/>
  <c r="T28" i="2"/>
  <c r="T39" i="2" s="1"/>
  <c r="U44" i="2"/>
  <c r="U31" i="2"/>
  <c r="U28" i="2"/>
  <c r="U39" i="2" s="1"/>
  <c r="V44" i="2"/>
  <c r="V31" i="2"/>
  <c r="V28" i="2"/>
  <c r="V39" i="2" s="1"/>
  <c r="W44" i="2"/>
  <c r="W31" i="2"/>
  <c r="W28" i="2"/>
  <c r="W39" i="2" s="1"/>
  <c r="X44" i="2"/>
  <c r="X31" i="2"/>
  <c r="X28" i="2"/>
  <c r="X39" i="2" s="1"/>
  <c r="Y44" i="2"/>
  <c r="Y31" i="2"/>
  <c r="Y28" i="2"/>
  <c r="Y39" i="2" s="1"/>
  <c r="Z44" i="2"/>
  <c r="AA31" i="2"/>
  <c r="Z31" i="2"/>
  <c r="AA28" i="2"/>
  <c r="AA39" i="2" s="1"/>
  <c r="Z28" i="2"/>
  <c r="Z39" i="2" s="1"/>
  <c r="K4" i="1"/>
  <c r="K7" i="1" s="1"/>
  <c r="K3" i="1"/>
  <c r="J44" i="2"/>
  <c r="AA44" i="2"/>
  <c r="AB44" i="2"/>
  <c r="AA21" i="2"/>
  <c r="J21" i="2"/>
  <c r="I21" i="2"/>
  <c r="F21" i="2"/>
  <c r="J29" i="2"/>
  <c r="J31" i="2" s="1"/>
  <c r="J28" i="2"/>
  <c r="N33" i="2" l="1"/>
  <c r="L32" i="2"/>
  <c r="L34" i="2" s="1"/>
  <c r="L36" i="2" s="1"/>
  <c r="J32" i="2"/>
  <c r="AC32" i="2"/>
  <c r="AC34" i="2" s="1"/>
  <c r="AC36" i="2" s="1"/>
  <c r="O39" i="2"/>
  <c r="AB32" i="2"/>
  <c r="Q28" i="2"/>
  <c r="Q39" i="2" s="1"/>
  <c r="R29" i="2"/>
  <c r="R31" i="2" s="1"/>
  <c r="Q31" i="2"/>
  <c r="J39" i="2"/>
  <c r="N29" i="2"/>
  <c r="N31" i="2" s="1"/>
  <c r="K39" i="2"/>
  <c r="P27" i="2"/>
  <c r="P31" i="2"/>
  <c r="P32" i="2" s="1"/>
  <c r="P34" i="2" s="1"/>
  <c r="P36" i="2" s="1"/>
  <c r="N38" i="2"/>
  <c r="R26" i="2"/>
  <c r="Q38" i="2"/>
  <c r="H32" i="2"/>
  <c r="H34" i="2" s="1"/>
  <c r="H36" i="2" s="1"/>
  <c r="I32" i="2"/>
  <c r="I34" i="2" s="1"/>
  <c r="I36" i="2" s="1"/>
  <c r="N32" i="2"/>
  <c r="N34" i="2" s="1"/>
  <c r="N36" i="2" s="1"/>
  <c r="AB34" i="2"/>
  <c r="AB36" i="2" s="1"/>
  <c r="M32" i="2"/>
  <c r="M34" i="2" s="1"/>
  <c r="M36" i="2" s="1"/>
  <c r="AA32" i="2"/>
  <c r="AA34" i="2" s="1"/>
  <c r="AA36" i="2" s="1"/>
  <c r="Z32" i="2"/>
  <c r="Z34" i="2" s="1"/>
  <c r="Z36" i="2" s="1"/>
  <c r="W32" i="2"/>
  <c r="W34" i="2" s="1"/>
  <c r="W36" i="2" s="1"/>
  <c r="U32" i="2"/>
  <c r="U34" i="2" s="1"/>
  <c r="U36" i="2" s="1"/>
  <c r="T32" i="2"/>
  <c r="T34" i="2" s="1"/>
  <c r="T36" i="2" s="1"/>
  <c r="V32" i="2"/>
  <c r="V34" i="2" s="1"/>
  <c r="V36" i="2" s="1"/>
  <c r="X32" i="2"/>
  <c r="X34" i="2" s="1"/>
  <c r="X36" i="2" s="1"/>
  <c r="Y32" i="2"/>
  <c r="Y34" i="2" s="1"/>
  <c r="Y36" i="2" s="1"/>
  <c r="J34" i="2"/>
  <c r="J36" i="2" s="1"/>
  <c r="Q32" i="2" l="1"/>
  <c r="Q34" i="2" s="1"/>
  <c r="Q36" i="2" s="1"/>
  <c r="Q27" i="2"/>
  <c r="R28" i="2"/>
  <c r="R32" i="2" s="1"/>
  <c r="R34" i="2" s="1"/>
  <c r="R36" i="2" s="1"/>
  <c r="R38" i="2"/>
  <c r="R27" i="2" l="1"/>
  <c r="R3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tc={48C20112-7265-4020-93A3-517C6FD85AAF}</author>
    <author>tc={085E72A7-9F27-46D1-B8C1-315239BED90B}</author>
  </authors>
  <commentList>
    <comment ref="J22" authorId="0" shapeId="0" xr:uid="{48C20112-7265-4020-93A3-517C6FD85AAF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Higher ASP, but mobile and PC demand remained soft</t>
      </text>
    </comment>
    <comment ref="O22" authorId="1" shapeId="0" xr:uid="{085E72A7-9F27-46D1-B8C1-315239BED90B}">
      <text>
        <t>[Threaded comment]
Your version of Excel allows you to read this threaded comment; however, any edits to it will get removed if the file is opened in a newer version of Excel. Learn more: https://go.microsoft.com/fwlink/?linkid=870924
Comment:
    Memory price +146% y/y</t>
      </text>
    </comment>
  </commentList>
</comments>
</file>

<file path=xl/sharedStrings.xml><?xml version="1.0" encoding="utf-8"?>
<sst xmlns="http://schemas.openxmlformats.org/spreadsheetml/2006/main" count="76" uniqueCount="69">
  <si>
    <t>Price KRW</t>
  </si>
  <si>
    <t>Shares</t>
  </si>
  <si>
    <t>MC KRW</t>
  </si>
  <si>
    <t>Cash KRW</t>
  </si>
  <si>
    <t>Debt KRW</t>
  </si>
  <si>
    <t>EV KRW</t>
  </si>
  <si>
    <t>Main</t>
  </si>
  <si>
    <t>Revenue</t>
  </si>
  <si>
    <t>Q123</t>
  </si>
  <si>
    <t>Q223</t>
  </si>
  <si>
    <t>Q323</t>
  </si>
  <si>
    <t>Q423</t>
  </si>
  <si>
    <t>Q124</t>
  </si>
  <si>
    <t>Q224</t>
  </si>
  <si>
    <t>Q324</t>
  </si>
  <si>
    <t>Q424</t>
  </si>
  <si>
    <t>Devices</t>
  </si>
  <si>
    <t>Device Solutions</t>
  </si>
  <si>
    <t>SDC</t>
  </si>
  <si>
    <t>Memory</t>
  </si>
  <si>
    <t>Harman</t>
  </si>
  <si>
    <t>DRAM</t>
  </si>
  <si>
    <t>HBM, DDR5</t>
  </si>
  <si>
    <t>S.LSI</t>
  </si>
  <si>
    <t>Foundry</t>
  </si>
  <si>
    <t>SDC (Display)</t>
  </si>
  <si>
    <t>Mobile, TV, Monitors</t>
  </si>
  <si>
    <t>Mobile Experience (Devices)</t>
  </si>
  <si>
    <t>S24</t>
  </si>
  <si>
    <t>FCF</t>
  </si>
  <si>
    <t>CX</t>
  </si>
  <si>
    <t>Gross Profit</t>
  </si>
  <si>
    <t>COGS</t>
  </si>
  <si>
    <t>Operating Expenses</t>
  </si>
  <si>
    <t>Operating Income</t>
  </si>
  <si>
    <t>Pretax Income</t>
  </si>
  <si>
    <t>Taxes</t>
  </si>
  <si>
    <t>Net Income</t>
  </si>
  <si>
    <t>SG&amp;A</t>
  </si>
  <si>
    <t>Q126</t>
  </si>
  <si>
    <t>Q125</t>
  </si>
  <si>
    <t>Q225</t>
  </si>
  <si>
    <t>Q325</t>
  </si>
  <si>
    <t>Q425</t>
  </si>
  <si>
    <t>Q226</t>
  </si>
  <si>
    <t>Q326</t>
  </si>
  <si>
    <t>Q426</t>
  </si>
  <si>
    <t>Smartphones</t>
  </si>
  <si>
    <t>1,144</t>
  </si>
  <si>
    <t>1,265</t>
  </si>
  <si>
    <t>TVs/Monitors</t>
  </si>
  <si>
    <t>309</t>
  </si>
  <si>
    <t>845</t>
  </si>
  <si>
    <t>1,041</t>
  </si>
  <si>
    <t>Revenue y/y</t>
  </si>
  <si>
    <t>Gross Margin</t>
  </si>
  <si>
    <t>Interest Income</t>
  </si>
  <si>
    <t>R&amp;D</t>
  </si>
  <si>
    <t>DS (KRW T)</t>
  </si>
  <si>
    <t>DX (Mobile/TV)</t>
  </si>
  <si>
    <t xml:space="preserve">  Memory</t>
  </si>
  <si>
    <t xml:space="preserve">  Foundry &amp; LSI</t>
  </si>
  <si>
    <t xml:space="preserve">  MX+NW</t>
  </si>
  <si>
    <t xml:space="preserve">  VD/DA</t>
  </si>
  <si>
    <t xml:space="preserve">    DA - Digital Appliances</t>
  </si>
  <si>
    <t xml:space="preserve">    VD - TV</t>
  </si>
  <si>
    <t xml:space="preserve">    NW - Network Infrastructure</t>
  </si>
  <si>
    <t xml:space="preserve">    MX - Phones/Mobile Experience</t>
  </si>
  <si>
    <t>SDC -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</si>
</sst>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0" fontId="2" fillId="0" borderId="0" xfId="1"/>
    <xf numFmtId="0" fontId="3" fillId="0" borderId="0" xfId="0" applyFont="1"/>
    <xf numFmtId="3" fontId="0" fillId="0" borderId="0" xfId="0" applyNumberFormat="1" applyAlignment="1">
      <alignment horizontal="right"/>
    </xf>
    <xf numFmtId="3" fontId="0" fillId="0" borderId="0" xfId="0" applyNumberFormat="1"/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3" fontId="4" fillId="0" borderId="0" xfId="0" quotePrefix="1" applyNumberFormat="1" applyFont="1" applyAlignment="1">
      <alignment horizontal="right"/>
    </xf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9" fontId="0" fillId="0" borderId="0" xfId="0" applyNumberFormat="1"/>
    <xf numFmtId="164" fontId="4" fillId="0" borderId="0" xfId="0" applyNumberFormat="1" applyFont="1"/>
    <xf numFmtId="164" fontId="4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56CBC97-DEB0-40C3-90D3-6235641E4E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43542</xdr:colOff>
      <xdr:row>0</xdr:row>
      <xdr:rowOff>0</xdr:rowOff>
    </xdr:from>
    <xdr:to>
      <xdr:col>29</xdr:col>
      <xdr:colOff>43542</xdr:colOff>
      <xdr:row>57</xdr:row>
      <xdr:rowOff>141514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5AF8893-4CF8-3916-FF53-DF1C5AFD7A74}"/>
            </a:ext>
          </a:extLst>
        </xdr:cNvPr>
        <xdr:cNvCxnSpPr/>
      </xdr:nvCxnSpPr>
      <xdr:spPr>
        <a:xfrm>
          <a:off x="18160999" y="0"/>
          <a:ext cx="0" cy="735511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36286</xdr:colOff>
      <xdr:row>0</xdr:row>
      <xdr:rowOff>0</xdr:rowOff>
    </xdr:from>
    <xdr:to>
      <xdr:col>16</xdr:col>
      <xdr:colOff>36286</xdr:colOff>
      <xdr:row>44</xdr:row>
      <xdr:rowOff>43543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7BF6240-997D-6145-B037-4BB5297A7E2A}"/>
            </a:ext>
          </a:extLst>
        </xdr:cNvPr>
        <xdr:cNvCxnSpPr/>
      </xdr:nvCxnSpPr>
      <xdr:spPr>
        <a:xfrm>
          <a:off x="10410872" y="0"/>
          <a:ext cx="0" cy="622712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FEDE6357-ACE7-4299-A49F-A609B036F645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2" dT="2025-03-17T18:32:24.51" personId="{FEDE6357-ACE7-4299-A49F-A609B036F645}" id="{48C20112-7265-4020-93A3-517C6FD85AAF}">
    <text>Higher ASP, but mobile and PC demand remained soft</text>
  </threadedComment>
  <threadedComment ref="O22" dT="2026-07-08T14:35:42.81" personId="{FEDE6357-ACE7-4299-A49F-A609B036F645}" id="{085E72A7-9F27-46D1-B8C1-315239BED90B}">
    <text>Memory price +146% y/y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36D8-8BEC-401C-85FF-B30C364282EA}">
  <dimension ref="B2:L15"/>
  <sheetViews>
    <sheetView zoomScale="160" zoomScaleNormal="160" workbookViewId="0">
      <selection activeCell="K1" sqref="K1"/>
    </sheetView>
  </sheetViews>
  <sheetFormatPr defaultRowHeight="12.5" x14ac:dyDescent="0.25"/>
  <cols>
    <col min="10" max="10" width="11" customWidth="1"/>
    <col min="11" max="11" width="12.26953125" bestFit="1" customWidth="1"/>
  </cols>
  <sheetData>
    <row r="2" spans="2:12" x14ac:dyDescent="0.25">
      <c r="J2" t="s">
        <v>0</v>
      </c>
      <c r="K2" s="7">
        <v>285000</v>
      </c>
    </row>
    <row r="3" spans="2:12" ht="13" x14ac:dyDescent="0.3">
      <c r="B3" s="5" t="s">
        <v>17</v>
      </c>
      <c r="J3" t="s">
        <v>1</v>
      </c>
      <c r="K3" s="7">
        <f>5940.08255+818.8367</f>
        <v>6758.9192499999999</v>
      </c>
      <c r="L3" s="1" t="s">
        <v>15</v>
      </c>
    </row>
    <row r="4" spans="2:12" x14ac:dyDescent="0.25">
      <c r="B4" t="s">
        <v>21</v>
      </c>
      <c r="J4" t="s">
        <v>2</v>
      </c>
      <c r="K4" s="7">
        <f>+K2*K3/1000</f>
        <v>1926291.9862500001</v>
      </c>
    </row>
    <row r="5" spans="2:12" x14ac:dyDescent="0.25">
      <c r="C5" t="s">
        <v>22</v>
      </c>
      <c r="J5" t="s">
        <v>3</v>
      </c>
      <c r="K5" s="7">
        <f>147378.1+54619.6</f>
        <v>201997.7</v>
      </c>
      <c r="L5" s="1" t="s">
        <v>39</v>
      </c>
    </row>
    <row r="6" spans="2:12" x14ac:dyDescent="0.25">
      <c r="B6" t="s">
        <v>23</v>
      </c>
      <c r="J6" t="s">
        <v>4</v>
      </c>
      <c r="K6" s="7">
        <v>28138.799999999999</v>
      </c>
      <c r="L6" s="1" t="s">
        <v>39</v>
      </c>
    </row>
    <row r="7" spans="2:12" x14ac:dyDescent="0.25">
      <c r="B7" t="s">
        <v>24</v>
      </c>
      <c r="J7" t="s">
        <v>5</v>
      </c>
      <c r="K7" s="7">
        <f>+K4-K5+K6</f>
        <v>1752433.0862500002</v>
      </c>
    </row>
    <row r="10" spans="2:12" ht="13" x14ac:dyDescent="0.3">
      <c r="B10" s="5" t="s">
        <v>25</v>
      </c>
    </row>
    <row r="11" spans="2:12" x14ac:dyDescent="0.25">
      <c r="C11" t="s">
        <v>26</v>
      </c>
    </row>
    <row r="14" spans="2:12" ht="13" x14ac:dyDescent="0.3">
      <c r="B14" s="5" t="s">
        <v>27</v>
      </c>
    </row>
    <row r="15" spans="2:12" x14ac:dyDescent="0.25">
      <c r="B1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7B31-AFAC-4034-9829-B9D8FF64661F}">
  <dimension ref="A1:AM44"/>
  <sheetViews>
    <sheetView tabSelected="1" zoomScale="145" zoomScaleNormal="145"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G4" sqref="G4"/>
    </sheetView>
  </sheetViews>
  <sheetFormatPr defaultRowHeight="12.5" x14ac:dyDescent="0.25"/>
  <cols>
    <col min="1" max="1" width="5" bestFit="1" customWidth="1"/>
    <col min="2" max="2" width="18" customWidth="1"/>
    <col min="3" max="10" width="9.1796875" style="1"/>
    <col min="11" max="17" width="8.7265625" style="1"/>
  </cols>
  <sheetData>
    <row r="1" spans="1:39" x14ac:dyDescent="0.25">
      <c r="A1" s="4" t="s">
        <v>6</v>
      </c>
    </row>
    <row r="2" spans="1:39" x14ac:dyDescent="0.25"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39</v>
      </c>
      <c r="P2" s="1" t="s">
        <v>44</v>
      </c>
      <c r="Q2" s="1" t="s">
        <v>45</v>
      </c>
      <c r="R2" s="1" t="s">
        <v>46</v>
      </c>
      <c r="T2">
        <v>2016</v>
      </c>
      <c r="U2">
        <v>2017</v>
      </c>
      <c r="V2">
        <v>2018</v>
      </c>
      <c r="W2">
        <v>2019</v>
      </c>
      <c r="X2">
        <v>2020</v>
      </c>
      <c r="Y2">
        <v>2021</v>
      </c>
      <c r="Z2">
        <v>2022</v>
      </c>
      <c r="AA2">
        <v>2023</v>
      </c>
      <c r="AB2">
        <v>2024</v>
      </c>
      <c r="AC2">
        <f t="shared" ref="AC2:AM2" si="0">+AB2+1</f>
        <v>2025</v>
      </c>
      <c r="AD2">
        <f t="shared" si="0"/>
        <v>2026</v>
      </c>
      <c r="AE2">
        <f t="shared" si="0"/>
        <v>2027</v>
      </c>
      <c r="AF2">
        <f t="shared" si="0"/>
        <v>2028</v>
      </c>
      <c r="AG2">
        <f t="shared" si="0"/>
        <v>2029</v>
      </c>
      <c r="AH2">
        <f t="shared" si="0"/>
        <v>2030</v>
      </c>
      <c r="AI2">
        <f t="shared" si="0"/>
        <v>2031</v>
      </c>
      <c r="AJ2">
        <f t="shared" si="0"/>
        <v>2032</v>
      </c>
      <c r="AK2">
        <f t="shared" si="0"/>
        <v>2033</v>
      </c>
      <c r="AL2">
        <f t="shared" si="0"/>
        <v>2034</v>
      </c>
      <c r="AM2">
        <f t="shared" si="0"/>
        <v>2035</v>
      </c>
    </row>
    <row r="3" spans="1:39" s="11" customFormat="1" ht="13" x14ac:dyDescent="0.3">
      <c r="B3" s="11" t="s">
        <v>20</v>
      </c>
      <c r="C3" s="12"/>
      <c r="D3" s="12"/>
      <c r="E3" s="12"/>
      <c r="F3" s="12"/>
      <c r="G3" s="12">
        <v>3.2</v>
      </c>
      <c r="H3" s="12">
        <v>3.62</v>
      </c>
      <c r="I3" s="12">
        <v>3.5</v>
      </c>
      <c r="J3" s="12">
        <v>3.9</v>
      </c>
      <c r="K3" s="12">
        <v>3.4</v>
      </c>
      <c r="L3" s="12">
        <v>3.8</v>
      </c>
      <c r="M3" s="12">
        <v>4</v>
      </c>
      <c r="N3" s="12">
        <v>4.5999999999999996</v>
      </c>
      <c r="O3" s="12">
        <v>3.8</v>
      </c>
      <c r="P3" s="12">
        <v>4.5999999999999996</v>
      </c>
      <c r="Q3" s="12"/>
      <c r="R3" s="12"/>
    </row>
    <row r="4" spans="1:39" s="11" customFormat="1" ht="13" x14ac:dyDescent="0.3">
      <c r="B4" s="11" t="s">
        <v>68</v>
      </c>
      <c r="C4" s="12"/>
      <c r="D4" s="12"/>
      <c r="E4" s="12"/>
      <c r="F4" s="12"/>
      <c r="G4" s="12">
        <v>5.4</v>
      </c>
      <c r="H4" s="12">
        <v>7.65</v>
      </c>
      <c r="I4" s="12">
        <v>8</v>
      </c>
      <c r="J4" s="12">
        <v>5.9</v>
      </c>
      <c r="K4" s="12">
        <v>5.9</v>
      </c>
      <c r="L4" s="12">
        <v>6.4</v>
      </c>
      <c r="M4" s="12">
        <v>8.1</v>
      </c>
      <c r="N4" s="12">
        <v>9.5</v>
      </c>
      <c r="O4" s="12">
        <v>6.7</v>
      </c>
      <c r="P4" s="12">
        <v>7.5</v>
      </c>
      <c r="Q4" s="12"/>
      <c r="R4" s="12"/>
    </row>
    <row r="5" spans="1:39" s="2" customFormat="1" x14ac:dyDescent="0.25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39" s="15" customFormat="1" ht="13" x14ac:dyDescent="0.3">
      <c r="B6" s="15" t="s">
        <v>59</v>
      </c>
      <c r="C6" s="16"/>
      <c r="D6" s="16"/>
      <c r="E6" s="16"/>
      <c r="F6" s="16"/>
      <c r="G6" s="16">
        <v>47.3</v>
      </c>
      <c r="H6" s="16">
        <v>42.07</v>
      </c>
      <c r="I6" s="16">
        <v>45</v>
      </c>
      <c r="J6" s="16">
        <v>40.5</v>
      </c>
      <c r="K6" s="16">
        <v>51.7</v>
      </c>
      <c r="L6" s="16">
        <v>43.6</v>
      </c>
      <c r="M6" s="16">
        <v>48.4</v>
      </c>
      <c r="N6" s="16">
        <v>44.3</v>
      </c>
      <c r="O6" s="16">
        <v>52.7</v>
      </c>
      <c r="P6" s="16">
        <v>48</v>
      </c>
      <c r="Q6" s="16"/>
      <c r="R6" s="16"/>
    </row>
    <row r="7" spans="1:39" s="15" customFormat="1" ht="13" x14ac:dyDescent="0.3">
      <c r="B7" s="15" t="s">
        <v>62</v>
      </c>
      <c r="C7" s="16"/>
      <c r="D7" s="16"/>
      <c r="E7" s="16"/>
      <c r="F7" s="16"/>
      <c r="G7" s="16">
        <v>33.53</v>
      </c>
      <c r="H7" s="16">
        <v>27.38</v>
      </c>
      <c r="I7" s="16">
        <v>30.5</v>
      </c>
      <c r="J7" s="16">
        <v>25.8</v>
      </c>
      <c r="K7" s="16">
        <v>37</v>
      </c>
      <c r="L7" s="16">
        <v>29.2</v>
      </c>
      <c r="M7" s="16">
        <v>34.1</v>
      </c>
      <c r="N7" s="16">
        <v>29.3</v>
      </c>
      <c r="O7" s="16">
        <v>38.1</v>
      </c>
      <c r="P7" s="16">
        <v>33.200000000000003</v>
      </c>
      <c r="Q7" s="16"/>
      <c r="R7" s="16"/>
    </row>
    <row r="8" spans="1:39" s="11" customFormat="1" ht="13" x14ac:dyDescent="0.3">
      <c r="B8" s="11" t="s">
        <v>67</v>
      </c>
      <c r="C8" s="12"/>
      <c r="D8" s="12"/>
      <c r="E8" s="12"/>
      <c r="F8" s="12"/>
      <c r="G8" s="12">
        <v>32.799999999999997</v>
      </c>
      <c r="H8" s="12">
        <v>26.64</v>
      </c>
      <c r="I8" s="12">
        <v>30</v>
      </c>
      <c r="J8" s="12">
        <v>25</v>
      </c>
      <c r="K8" s="12">
        <v>36.200000000000003</v>
      </c>
      <c r="L8" s="12">
        <v>28.5</v>
      </c>
      <c r="M8" s="12">
        <v>33.5</v>
      </c>
      <c r="N8" s="12">
        <v>28.3</v>
      </c>
      <c r="O8" s="12">
        <v>37.5</v>
      </c>
      <c r="P8" s="12">
        <v>32.299999999999997</v>
      </c>
      <c r="Q8" s="12"/>
      <c r="R8" s="12"/>
    </row>
    <row r="9" spans="1:39" s="11" customFormat="1" ht="13" x14ac:dyDescent="0.3">
      <c r="B9" s="11" t="s">
        <v>66</v>
      </c>
      <c r="C9" s="12"/>
      <c r="D9" s="12"/>
      <c r="E9" s="12"/>
      <c r="F9" s="12"/>
      <c r="G9" s="12">
        <f t="shared" ref="G9:O9" si="1">+G7-G8</f>
        <v>0.73000000000000398</v>
      </c>
      <c r="H9" s="12">
        <f t="shared" si="1"/>
        <v>0.73999999999999844</v>
      </c>
      <c r="I9" s="12">
        <f t="shared" si="1"/>
        <v>0.5</v>
      </c>
      <c r="J9" s="12">
        <f t="shared" si="1"/>
        <v>0.80000000000000071</v>
      </c>
      <c r="K9" s="12">
        <f t="shared" si="1"/>
        <v>0.79999999999999716</v>
      </c>
      <c r="L9" s="12">
        <f t="shared" si="1"/>
        <v>0.69999999999999929</v>
      </c>
      <c r="M9" s="12">
        <f t="shared" si="1"/>
        <v>0.60000000000000142</v>
      </c>
      <c r="N9" s="12">
        <f t="shared" si="1"/>
        <v>1</v>
      </c>
      <c r="O9" s="12">
        <f t="shared" si="1"/>
        <v>0.60000000000000142</v>
      </c>
      <c r="P9" s="12">
        <f>+P7-P8</f>
        <v>0.90000000000000568</v>
      </c>
      <c r="Q9" s="12"/>
      <c r="R9" s="12"/>
    </row>
    <row r="10" spans="1:39" s="15" customFormat="1" ht="13" x14ac:dyDescent="0.3">
      <c r="B10" s="15" t="s">
        <v>63</v>
      </c>
      <c r="C10" s="16"/>
      <c r="D10" s="16"/>
      <c r="E10" s="16"/>
      <c r="F10" s="16"/>
      <c r="G10" s="16">
        <v>13.48</v>
      </c>
      <c r="H10" s="16">
        <v>14.42</v>
      </c>
      <c r="I10" s="16">
        <v>14.1</v>
      </c>
      <c r="J10" s="16">
        <v>14.8</v>
      </c>
      <c r="K10" s="16">
        <v>14.5</v>
      </c>
      <c r="L10" s="16">
        <v>14.1</v>
      </c>
      <c r="M10" s="16">
        <v>13.9</v>
      </c>
      <c r="N10" s="16">
        <v>14.8</v>
      </c>
      <c r="O10" s="16">
        <v>14.3</v>
      </c>
      <c r="P10" s="16">
        <v>14.5</v>
      </c>
      <c r="Q10" s="16"/>
      <c r="R10" s="16"/>
    </row>
    <row r="11" spans="1:39" s="11" customFormat="1" ht="13" x14ac:dyDescent="0.3">
      <c r="B11" s="11" t="s">
        <v>65</v>
      </c>
      <c r="C11" s="12"/>
      <c r="D11" s="12"/>
      <c r="E11" s="12"/>
      <c r="F11" s="12"/>
      <c r="G11" s="12">
        <v>7.2</v>
      </c>
      <c r="H11" s="12">
        <v>7.54</v>
      </c>
      <c r="I11" s="12">
        <v>7.6</v>
      </c>
      <c r="J11" s="12">
        <v>8.6</v>
      </c>
      <c r="K11" s="12">
        <v>7.7</v>
      </c>
      <c r="L11" s="12">
        <v>7</v>
      </c>
      <c r="M11" s="12">
        <v>7.3</v>
      </c>
      <c r="N11" s="12">
        <v>8.8000000000000007</v>
      </c>
      <c r="O11" s="12">
        <v>7.7</v>
      </c>
      <c r="P11" s="12">
        <v>7.7</v>
      </c>
      <c r="Q11" s="12"/>
      <c r="R11" s="12"/>
    </row>
    <row r="12" spans="1:39" s="11" customFormat="1" ht="13" x14ac:dyDescent="0.3">
      <c r="B12" s="11" t="s">
        <v>64</v>
      </c>
      <c r="C12" s="12"/>
      <c r="D12" s="12"/>
      <c r="E12" s="12"/>
      <c r="F12" s="12"/>
      <c r="G12" s="12">
        <f t="shared" ref="G12:I12" si="2">+G10-G11</f>
        <v>6.28</v>
      </c>
      <c r="H12" s="12">
        <f t="shared" si="2"/>
        <v>6.88</v>
      </c>
      <c r="I12" s="12">
        <f t="shared" si="2"/>
        <v>6.5</v>
      </c>
      <c r="J12" s="12">
        <f>+J10-J11</f>
        <v>6.2000000000000011</v>
      </c>
      <c r="K12" s="12">
        <f t="shared" ref="K12:P12" si="3">+K10-K11</f>
        <v>6.8</v>
      </c>
      <c r="L12" s="12">
        <f t="shared" si="3"/>
        <v>7.1</v>
      </c>
      <c r="M12" s="12">
        <f t="shared" si="3"/>
        <v>6.6000000000000005</v>
      </c>
      <c r="N12" s="12">
        <f t="shared" si="3"/>
        <v>6</v>
      </c>
      <c r="O12" s="12">
        <f t="shared" si="3"/>
        <v>6.6000000000000005</v>
      </c>
      <c r="P12" s="12">
        <f t="shared" si="3"/>
        <v>6.8</v>
      </c>
      <c r="Q12" s="12"/>
      <c r="R12" s="12"/>
    </row>
    <row r="13" spans="1:39" s="2" customFormat="1" x14ac:dyDescent="0.25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39" s="15" customFormat="1" ht="13" x14ac:dyDescent="0.3">
      <c r="B14" s="15" t="s">
        <v>58</v>
      </c>
      <c r="C14" s="16"/>
      <c r="D14" s="16"/>
      <c r="E14" s="16"/>
      <c r="F14" s="16"/>
      <c r="G14" s="16">
        <v>23.1</v>
      </c>
      <c r="H14" s="16">
        <v>28.56</v>
      </c>
      <c r="I14" s="16">
        <v>29.3</v>
      </c>
      <c r="J14" s="16">
        <v>30.1</v>
      </c>
      <c r="K14" s="16">
        <v>25.1</v>
      </c>
      <c r="L14" s="16">
        <v>27.9</v>
      </c>
      <c r="M14" s="16">
        <v>33.1</v>
      </c>
      <c r="N14" s="16">
        <v>44</v>
      </c>
      <c r="O14" s="16">
        <v>81.7</v>
      </c>
      <c r="P14" s="16">
        <v>127.5</v>
      </c>
      <c r="Q14" s="16"/>
      <c r="R14" s="16"/>
    </row>
    <row r="15" spans="1:39" s="11" customFormat="1" ht="13" x14ac:dyDescent="0.3">
      <c r="B15" s="11" t="s">
        <v>60</v>
      </c>
      <c r="C15" s="12"/>
      <c r="D15" s="12"/>
      <c r="E15" s="12"/>
      <c r="F15" s="12"/>
      <c r="G15" s="12">
        <v>17.5</v>
      </c>
      <c r="H15" s="12">
        <v>21.74</v>
      </c>
      <c r="I15" s="12">
        <v>22.3</v>
      </c>
      <c r="J15" s="12">
        <v>23</v>
      </c>
      <c r="K15" s="12">
        <v>19.100000000000001</v>
      </c>
      <c r="L15" s="12">
        <v>21.2</v>
      </c>
      <c r="M15" s="12">
        <v>26.7</v>
      </c>
      <c r="N15" s="12">
        <v>37.1</v>
      </c>
      <c r="O15" s="12">
        <v>74.8</v>
      </c>
      <c r="P15" s="12">
        <v>120.8</v>
      </c>
      <c r="Q15" s="12"/>
      <c r="R15" s="12"/>
    </row>
    <row r="16" spans="1:39" s="17" customFormat="1" ht="13" x14ac:dyDescent="0.3">
      <c r="B16" s="11" t="s">
        <v>61</v>
      </c>
      <c r="C16" s="18"/>
      <c r="D16" s="18"/>
      <c r="E16" s="18"/>
      <c r="F16" s="18"/>
      <c r="G16" s="12">
        <f>+G14-G15</f>
        <v>5.6000000000000014</v>
      </c>
      <c r="H16" s="12">
        <f t="shared" ref="H16:P16" si="4">+H14-H15</f>
        <v>6.82</v>
      </c>
      <c r="I16" s="12">
        <f t="shared" si="4"/>
        <v>7</v>
      </c>
      <c r="J16" s="12">
        <f t="shared" si="4"/>
        <v>7.1000000000000014</v>
      </c>
      <c r="K16" s="12">
        <f t="shared" si="4"/>
        <v>6</v>
      </c>
      <c r="L16" s="12">
        <f t="shared" si="4"/>
        <v>6.6999999999999993</v>
      </c>
      <c r="M16" s="12">
        <f t="shared" si="4"/>
        <v>6.4000000000000021</v>
      </c>
      <c r="N16" s="12">
        <f t="shared" si="4"/>
        <v>6.8999999999999986</v>
      </c>
      <c r="O16" s="12">
        <f t="shared" si="4"/>
        <v>6.9000000000000057</v>
      </c>
      <c r="P16" s="12">
        <f t="shared" si="4"/>
        <v>6.7000000000000028</v>
      </c>
      <c r="Q16" s="18"/>
      <c r="R16" s="18"/>
    </row>
    <row r="17" spans="2:29" x14ac:dyDescent="0.25">
      <c r="R17" s="1"/>
    </row>
    <row r="18" spans="2:29" s="7" customFormat="1" x14ac:dyDescent="0.25">
      <c r="B18" s="7" t="s">
        <v>16</v>
      </c>
      <c r="C18" s="6"/>
      <c r="D18" s="6"/>
      <c r="E18" s="6"/>
      <c r="F18" s="6">
        <v>39.5</v>
      </c>
      <c r="G18" s="6"/>
      <c r="H18" s="6"/>
      <c r="I18" s="6">
        <v>45</v>
      </c>
      <c r="J18" s="6">
        <v>40.5</v>
      </c>
      <c r="K18" s="6"/>
      <c r="L18" s="6"/>
      <c r="M18" s="6"/>
      <c r="N18" s="6"/>
      <c r="O18" s="6">
        <v>526.54700000000003</v>
      </c>
      <c r="P18" s="6"/>
      <c r="Q18" s="6"/>
      <c r="AA18" s="7">
        <v>170</v>
      </c>
      <c r="AB18" s="7">
        <v>1748.877</v>
      </c>
      <c r="AC18" s="7">
        <v>1879.673</v>
      </c>
    </row>
    <row r="19" spans="2:29" s="8" customFormat="1" ht="13" x14ac:dyDescent="0.3">
      <c r="B19" s="8" t="s">
        <v>47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AB19" s="10" t="s">
        <v>48</v>
      </c>
      <c r="AC19" s="10" t="s">
        <v>49</v>
      </c>
    </row>
    <row r="20" spans="2:29" s="8" customFormat="1" ht="13" x14ac:dyDescent="0.3">
      <c r="B20" s="8" t="s">
        <v>50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AB20" s="10" t="s">
        <v>51</v>
      </c>
      <c r="AC20" s="10" t="s">
        <v>51</v>
      </c>
    </row>
    <row r="21" spans="2:29" s="7" customFormat="1" x14ac:dyDescent="0.25">
      <c r="B21" s="7" t="s">
        <v>17</v>
      </c>
      <c r="C21" s="6"/>
      <c r="D21" s="6"/>
      <c r="E21" s="6"/>
      <c r="F21" s="6">
        <f>21.7-F22</f>
        <v>6</v>
      </c>
      <c r="G21" s="6"/>
      <c r="H21" s="6"/>
      <c r="I21" s="6">
        <f>29.3-I22</f>
        <v>7</v>
      </c>
      <c r="J21" s="6">
        <f>30.1-J22</f>
        <v>7.1000000000000014</v>
      </c>
      <c r="K21" s="6"/>
      <c r="L21" s="6"/>
      <c r="M21" s="6"/>
      <c r="N21" s="6"/>
      <c r="O21" s="6">
        <v>817.15599999999995</v>
      </c>
      <c r="P21" s="6"/>
      <c r="Q21" s="6"/>
      <c r="AA21" s="7">
        <f>66.6-AA22</f>
        <v>22.499999999999993</v>
      </c>
      <c r="AB21" s="7">
        <v>1110.6600000000001</v>
      </c>
      <c r="AC21" s="7">
        <v>1301.2819999999999</v>
      </c>
    </row>
    <row r="22" spans="2:29" s="8" customFormat="1" ht="13" x14ac:dyDescent="0.3">
      <c r="B22" s="8" t="s">
        <v>19</v>
      </c>
      <c r="C22" s="9"/>
      <c r="D22" s="9"/>
      <c r="E22" s="9"/>
      <c r="F22" s="9">
        <v>15.7</v>
      </c>
      <c r="G22" s="9"/>
      <c r="H22" s="9"/>
      <c r="I22" s="9">
        <v>22.3</v>
      </c>
      <c r="J22" s="9">
        <v>23</v>
      </c>
      <c r="K22" s="9"/>
      <c r="L22" s="9"/>
      <c r="M22" s="9"/>
      <c r="N22" s="9"/>
      <c r="O22" s="9"/>
      <c r="P22" s="9"/>
      <c r="Q22" s="9"/>
      <c r="AA22" s="8">
        <v>44.1</v>
      </c>
      <c r="AB22" s="10" t="s">
        <v>52</v>
      </c>
      <c r="AC22" s="10" t="s">
        <v>53</v>
      </c>
    </row>
    <row r="23" spans="2:29" s="7" customFormat="1" x14ac:dyDescent="0.25">
      <c r="B23" s="7" t="s">
        <v>18</v>
      </c>
      <c r="C23" s="6"/>
      <c r="D23" s="6"/>
      <c r="E23" s="6"/>
      <c r="F23" s="6">
        <v>9.6999999999999993</v>
      </c>
      <c r="G23" s="6"/>
      <c r="H23" s="6"/>
      <c r="I23" s="6">
        <v>8</v>
      </c>
      <c r="J23" s="6">
        <v>8.1</v>
      </c>
      <c r="K23" s="6"/>
      <c r="L23" s="6"/>
      <c r="M23" s="6"/>
      <c r="N23" s="6"/>
      <c r="O23" s="6">
        <v>66.935000000000002</v>
      </c>
      <c r="P23" s="6"/>
      <c r="Q23" s="6"/>
      <c r="AA23" s="7">
        <v>31</v>
      </c>
      <c r="AB23" s="7">
        <v>291.57799999999997</v>
      </c>
      <c r="AC23" s="7">
        <v>298.41699999999997</v>
      </c>
    </row>
    <row r="24" spans="2:29" s="7" customFormat="1" x14ac:dyDescent="0.25">
      <c r="B24" s="7" t="s">
        <v>20</v>
      </c>
      <c r="C24" s="6"/>
      <c r="D24" s="6"/>
      <c r="E24" s="6"/>
      <c r="F24" s="6">
        <v>3.9</v>
      </c>
      <c r="G24" s="6"/>
      <c r="H24" s="6"/>
      <c r="I24" s="6">
        <v>3.5</v>
      </c>
      <c r="J24" s="6">
        <v>3.9</v>
      </c>
      <c r="K24" s="6"/>
      <c r="L24" s="6"/>
      <c r="M24" s="6"/>
      <c r="N24" s="6"/>
      <c r="O24" s="6">
        <v>38.262999999999998</v>
      </c>
      <c r="P24" s="6"/>
      <c r="Q24" s="6"/>
      <c r="AA24" s="7">
        <v>14.4</v>
      </c>
      <c r="AB24" s="7">
        <v>142.749</v>
      </c>
      <c r="AC24" s="7">
        <v>157.833</v>
      </c>
    </row>
    <row r="25" spans="2:29" s="7" customFormat="1" x14ac:dyDescent="0.25"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-110.167</v>
      </c>
      <c r="P25" s="6"/>
      <c r="Q25" s="6"/>
      <c r="AB25" s="7">
        <v>-288.15499999999997</v>
      </c>
      <c r="AC25" s="7">
        <v>-301.14600000000002</v>
      </c>
    </row>
    <row r="26" spans="2:29" s="11" customFormat="1" ht="13" x14ac:dyDescent="0.3">
      <c r="B26" s="11" t="s">
        <v>7</v>
      </c>
      <c r="C26" s="12"/>
      <c r="D26" s="12"/>
      <c r="E26" s="12"/>
      <c r="F26" s="12">
        <v>67.8</v>
      </c>
      <c r="G26" s="12"/>
      <c r="H26" s="12">
        <v>74.068302000000003</v>
      </c>
      <c r="I26" s="12">
        <v>79.099999999999994</v>
      </c>
      <c r="J26" s="12">
        <v>75.8</v>
      </c>
      <c r="K26" s="12">
        <v>79.140502999999995</v>
      </c>
      <c r="L26" s="12">
        <v>74.566316999999998</v>
      </c>
      <c r="M26" s="12">
        <v>86.061746999999997</v>
      </c>
      <c r="N26" s="12">
        <f>+AC26-L26-K26-J26</f>
        <v>104.09911800000002</v>
      </c>
      <c r="O26" s="12">
        <v>133.87344400000001</v>
      </c>
      <c r="P26" s="12">
        <v>171</v>
      </c>
      <c r="Q26" s="12">
        <f>+M26*1.5</f>
        <v>129.09262050000001</v>
      </c>
      <c r="R26" s="12">
        <f>+N26*1.3</f>
        <v>135.32885340000004</v>
      </c>
      <c r="T26" s="11">
        <v>201.86674500000001</v>
      </c>
      <c r="U26" s="11">
        <v>239.57537600000001</v>
      </c>
      <c r="V26" s="11">
        <v>243.77141499999999</v>
      </c>
      <c r="W26" s="11">
        <v>230.400881</v>
      </c>
      <c r="X26" s="11">
        <v>236.80600000000001</v>
      </c>
      <c r="Y26" s="11">
        <v>279.60478999999998</v>
      </c>
      <c r="Z26" s="11">
        <v>302.23136</v>
      </c>
      <c r="AA26" s="11">
        <v>258.89999999999998</v>
      </c>
      <c r="AB26" s="11">
        <v>300.870903</v>
      </c>
      <c r="AC26" s="11">
        <v>333.60593799999998</v>
      </c>
    </row>
    <row r="27" spans="2:29" s="2" customFormat="1" x14ac:dyDescent="0.25">
      <c r="B27" s="2" t="s">
        <v>32</v>
      </c>
      <c r="C27" s="3"/>
      <c r="D27" s="3"/>
      <c r="E27" s="3"/>
      <c r="F27" s="3"/>
      <c r="G27" s="3"/>
      <c r="H27" s="3">
        <v>44.312026000000003</v>
      </c>
      <c r="I27" s="3">
        <v>49.095083000000002</v>
      </c>
      <c r="J27" s="3">
        <v>47.3</v>
      </c>
      <c r="K27" s="3">
        <v>51.009931000000002</v>
      </c>
      <c r="L27" s="3">
        <v>49.069566000000002</v>
      </c>
      <c r="M27" s="3">
        <v>52.56962</v>
      </c>
      <c r="N27" s="3">
        <f>+AC27-L27-K27-J27</f>
        <v>54.856015999999997</v>
      </c>
      <c r="O27" s="3">
        <v>51.960270999999999</v>
      </c>
      <c r="P27" s="3">
        <f>+P26-P28</f>
        <v>59.849999999999994</v>
      </c>
      <c r="Q27" s="3">
        <f t="shared" ref="Q27:R27" si="5">+Q26-Q28</f>
        <v>45.182417174999998</v>
      </c>
      <c r="R27" s="3">
        <f t="shared" si="5"/>
        <v>47.365098690000011</v>
      </c>
      <c r="T27" s="2">
        <v>120.277</v>
      </c>
      <c r="U27" s="2">
        <v>129.29</v>
      </c>
      <c r="V27" s="2">
        <v>132.39439999999999</v>
      </c>
      <c r="W27" s="2">
        <v>147.23954900000001</v>
      </c>
      <c r="X27" s="2">
        <v>144.488</v>
      </c>
      <c r="Y27" s="2">
        <v>166.41134199999999</v>
      </c>
      <c r="Z27" s="2">
        <v>190.041</v>
      </c>
      <c r="AA27" s="2">
        <v>180.38857999999999</v>
      </c>
      <c r="AB27" s="2">
        <v>186.56226799999999</v>
      </c>
      <c r="AC27" s="2">
        <v>202.235513</v>
      </c>
    </row>
    <row r="28" spans="2:29" s="2" customFormat="1" x14ac:dyDescent="0.25">
      <c r="B28" s="2" t="s">
        <v>31</v>
      </c>
      <c r="C28" s="3"/>
      <c r="D28" s="3"/>
      <c r="E28" s="3"/>
      <c r="F28" s="3"/>
      <c r="G28" s="3"/>
      <c r="H28" s="3">
        <f t="shared" ref="H28:O28" si="6">+H26-H27</f>
        <v>29.756276</v>
      </c>
      <c r="I28" s="3">
        <f t="shared" si="6"/>
        <v>30.004916999999992</v>
      </c>
      <c r="J28" s="3">
        <f t="shared" si="6"/>
        <v>28.5</v>
      </c>
      <c r="K28" s="3">
        <f t="shared" si="6"/>
        <v>28.130571999999994</v>
      </c>
      <c r="L28" s="3">
        <f t="shared" si="6"/>
        <v>25.496750999999996</v>
      </c>
      <c r="M28" s="3">
        <f t="shared" si="6"/>
        <v>33.492126999999996</v>
      </c>
      <c r="N28" s="3">
        <f t="shared" si="6"/>
        <v>49.243102000000022</v>
      </c>
      <c r="O28" s="3">
        <f t="shared" si="6"/>
        <v>81.913173</v>
      </c>
      <c r="P28" s="3">
        <f>+P26*0.65</f>
        <v>111.15</v>
      </c>
      <c r="Q28" s="3">
        <f t="shared" ref="Q28:R28" si="7">+Q26*0.65</f>
        <v>83.910203325000012</v>
      </c>
      <c r="R28" s="3">
        <f t="shared" si="7"/>
        <v>87.963754710000032</v>
      </c>
      <c r="T28" s="2">
        <f t="shared" ref="T28:AB28" si="8">+T26-T27</f>
        <v>81.589745000000008</v>
      </c>
      <c r="U28" s="2">
        <f t="shared" si="8"/>
        <v>110.28537600000001</v>
      </c>
      <c r="V28" s="2">
        <f t="shared" si="8"/>
        <v>111.377015</v>
      </c>
      <c r="W28" s="2">
        <f t="shared" si="8"/>
        <v>83.161331999999987</v>
      </c>
      <c r="X28" s="2">
        <f t="shared" si="8"/>
        <v>92.318000000000012</v>
      </c>
      <c r="Y28" s="2">
        <f t="shared" si="8"/>
        <v>113.19344799999999</v>
      </c>
      <c r="Z28" s="2">
        <f t="shared" si="8"/>
        <v>112.19036</v>
      </c>
      <c r="AA28" s="2">
        <f t="shared" si="8"/>
        <v>78.511419999999987</v>
      </c>
      <c r="AB28" s="2">
        <f t="shared" si="8"/>
        <v>114.30863500000001</v>
      </c>
      <c r="AC28" s="2">
        <f>+AC26-AC27</f>
        <v>131.37042499999998</v>
      </c>
    </row>
    <row r="29" spans="2:29" s="2" customFormat="1" x14ac:dyDescent="0.25">
      <c r="B29" s="2" t="s">
        <v>38</v>
      </c>
      <c r="C29" s="3"/>
      <c r="D29" s="3"/>
      <c r="E29" s="3"/>
      <c r="F29" s="3"/>
      <c r="G29" s="3"/>
      <c r="H29" s="3">
        <v>19.312398000000002</v>
      </c>
      <c r="I29" s="3">
        <v>20.820277000000001</v>
      </c>
      <c r="J29" s="3">
        <f>22-J30</f>
        <v>11.7</v>
      </c>
      <c r="K29" s="3">
        <v>21.4453</v>
      </c>
      <c r="L29" s="3">
        <v>20.820694</v>
      </c>
      <c r="M29" s="3">
        <v>21.326065</v>
      </c>
      <c r="N29" s="3">
        <f>+AC29-L29-K29-J29</f>
        <v>33.80337999999999</v>
      </c>
      <c r="O29" s="3">
        <v>24.680375999999999</v>
      </c>
      <c r="P29" s="3">
        <f>+O29</f>
        <v>24.680375999999999</v>
      </c>
      <c r="Q29" s="3">
        <f t="shared" ref="Q29:R29" si="9">+P29</f>
        <v>24.680375999999999</v>
      </c>
      <c r="R29" s="3">
        <f t="shared" si="9"/>
        <v>24.680375999999999</v>
      </c>
      <c r="T29" s="2">
        <v>52.347999999999999</v>
      </c>
      <c r="U29" s="2">
        <v>56.639670000000002</v>
      </c>
      <c r="V29" s="2">
        <v>52.49</v>
      </c>
      <c r="W29" s="2">
        <v>55.392823</v>
      </c>
      <c r="X29" s="2">
        <v>56.323999999999998</v>
      </c>
      <c r="Y29" s="2">
        <v>61.559600000000003</v>
      </c>
      <c r="Z29" s="2">
        <v>68.812960000000004</v>
      </c>
      <c r="AA29" s="2">
        <v>71.979938000000004</v>
      </c>
      <c r="AB29" s="2">
        <v>81.582673999999997</v>
      </c>
      <c r="AC29" s="2">
        <v>87.769373999999999</v>
      </c>
    </row>
    <row r="30" spans="2:29" s="2" customFormat="1" x14ac:dyDescent="0.25">
      <c r="B30" s="2" t="s">
        <v>57</v>
      </c>
      <c r="C30" s="3"/>
      <c r="D30" s="3"/>
      <c r="E30" s="3"/>
      <c r="F30" s="3"/>
      <c r="G30" s="3"/>
      <c r="H30" s="3"/>
      <c r="I30" s="3"/>
      <c r="J30" s="3">
        <v>10.3</v>
      </c>
      <c r="K30" s="3"/>
      <c r="L30" s="3"/>
      <c r="M30" s="3"/>
      <c r="N30" s="3"/>
      <c r="O30" s="3"/>
      <c r="P30" s="3"/>
      <c r="Q30" s="3"/>
    </row>
    <row r="31" spans="2:29" s="2" customFormat="1" x14ac:dyDescent="0.25">
      <c r="B31" s="2" t="s">
        <v>33</v>
      </c>
      <c r="C31" s="3"/>
      <c r="D31" s="3"/>
      <c r="E31" s="3"/>
      <c r="F31" s="3"/>
      <c r="G31" s="3"/>
      <c r="H31" s="3">
        <f t="shared" ref="H31" si="10">+H30+H29</f>
        <v>19.312398000000002</v>
      </c>
      <c r="I31" s="3">
        <f t="shared" ref="I31" si="11">+I30+I29</f>
        <v>20.820277000000001</v>
      </c>
      <c r="J31" s="3">
        <f t="shared" ref="J31:N31" si="12">+J30+J29</f>
        <v>22</v>
      </c>
      <c r="K31" s="3">
        <f t="shared" si="12"/>
        <v>21.4453</v>
      </c>
      <c r="L31" s="3">
        <f t="shared" si="12"/>
        <v>20.820694</v>
      </c>
      <c r="M31" s="3">
        <f t="shared" si="12"/>
        <v>21.326065</v>
      </c>
      <c r="N31" s="3">
        <f t="shared" si="12"/>
        <v>33.80337999999999</v>
      </c>
      <c r="O31" s="3">
        <f>+O30+O29</f>
        <v>24.680375999999999</v>
      </c>
      <c r="P31" s="3">
        <f>+P30+P29</f>
        <v>24.680375999999999</v>
      </c>
      <c r="Q31" s="3">
        <f t="shared" ref="Q31:R31" si="13">+Q30+Q29</f>
        <v>24.680375999999999</v>
      </c>
      <c r="R31" s="3">
        <f t="shared" si="13"/>
        <v>24.680375999999999</v>
      </c>
      <c r="T31" s="2">
        <f t="shared" ref="T31:AC31" si="14">+T29+T30</f>
        <v>52.347999999999999</v>
      </c>
      <c r="U31" s="2">
        <f t="shared" si="14"/>
        <v>56.639670000000002</v>
      </c>
      <c r="V31" s="2">
        <f t="shared" si="14"/>
        <v>52.49</v>
      </c>
      <c r="W31" s="2">
        <f t="shared" si="14"/>
        <v>55.392823</v>
      </c>
      <c r="X31" s="2">
        <f t="shared" si="14"/>
        <v>56.323999999999998</v>
      </c>
      <c r="Y31" s="2">
        <f t="shared" si="14"/>
        <v>61.559600000000003</v>
      </c>
      <c r="Z31" s="2">
        <f t="shared" si="14"/>
        <v>68.812960000000004</v>
      </c>
      <c r="AA31" s="2">
        <f t="shared" si="14"/>
        <v>71.979938000000004</v>
      </c>
      <c r="AB31" s="2">
        <f t="shared" si="14"/>
        <v>81.582673999999997</v>
      </c>
      <c r="AC31" s="2">
        <f t="shared" si="14"/>
        <v>87.769373999999999</v>
      </c>
    </row>
    <row r="32" spans="2:29" s="2" customFormat="1" x14ac:dyDescent="0.25">
      <c r="B32" s="2" t="s">
        <v>34</v>
      </c>
      <c r="C32" s="3"/>
      <c r="D32" s="3"/>
      <c r="E32" s="3"/>
      <c r="F32" s="3"/>
      <c r="G32" s="3"/>
      <c r="H32" s="3">
        <f t="shared" ref="H32:I32" si="15">+H28-H31</f>
        <v>10.443877999999998</v>
      </c>
      <c r="I32" s="3">
        <f t="shared" si="15"/>
        <v>9.184639999999991</v>
      </c>
      <c r="J32" s="3">
        <f>+J28-J31</f>
        <v>6.5</v>
      </c>
      <c r="K32" s="3">
        <f t="shared" ref="K32:P32" si="16">+K28-K31</f>
        <v>6.6852719999999941</v>
      </c>
      <c r="L32" s="3">
        <f t="shared" si="16"/>
        <v>4.6760569999999966</v>
      </c>
      <c r="M32" s="3">
        <f t="shared" si="16"/>
        <v>12.166061999999997</v>
      </c>
      <c r="N32" s="3">
        <f t="shared" si="16"/>
        <v>15.439722000000032</v>
      </c>
      <c r="O32" s="3">
        <f t="shared" si="16"/>
        <v>57.232797000000005</v>
      </c>
      <c r="P32" s="3">
        <f t="shared" si="16"/>
        <v>86.46962400000001</v>
      </c>
      <c r="Q32" s="3">
        <f t="shared" ref="Q32" si="17">+Q28-Q31</f>
        <v>59.229827325000016</v>
      </c>
      <c r="R32" s="3">
        <f t="shared" ref="R32" si="18">+R28-R31</f>
        <v>63.283378710000036</v>
      </c>
      <c r="T32" s="2">
        <f t="shared" ref="T32:AC32" si="19">+T28-T31</f>
        <v>29.241745000000009</v>
      </c>
      <c r="U32" s="2">
        <f t="shared" si="19"/>
        <v>53.645706000000011</v>
      </c>
      <c r="V32" s="2">
        <f t="shared" si="19"/>
        <v>58.887014999999998</v>
      </c>
      <c r="W32" s="2">
        <f t="shared" si="19"/>
        <v>27.768508999999987</v>
      </c>
      <c r="X32" s="2">
        <f t="shared" si="19"/>
        <v>35.994000000000014</v>
      </c>
      <c r="Y32" s="2">
        <f t="shared" si="19"/>
        <v>51.633847999999986</v>
      </c>
      <c r="Z32" s="2">
        <f t="shared" si="19"/>
        <v>43.377399999999994</v>
      </c>
      <c r="AA32" s="2">
        <f t="shared" si="19"/>
        <v>6.5314819999999827</v>
      </c>
      <c r="AB32" s="2">
        <f t="shared" si="19"/>
        <v>32.725961000000012</v>
      </c>
      <c r="AC32" s="2">
        <f t="shared" si="19"/>
        <v>43.601050999999984</v>
      </c>
    </row>
    <row r="33" spans="2:29" s="2" customFormat="1" x14ac:dyDescent="0.25">
      <c r="B33" s="2" t="s">
        <v>56</v>
      </c>
      <c r="C33" s="3"/>
      <c r="D33" s="3"/>
      <c r="E33" s="3"/>
      <c r="F33" s="3"/>
      <c r="G33" s="3"/>
      <c r="H33" s="3">
        <f>0.318501-0.245496+0.198514+3.616184-2.736237</f>
        <v>1.1514660000000001</v>
      </c>
      <c r="I33" s="3">
        <f>0.712914-0.553052+0.183411+3.61751-2.823742</f>
        <v>1.1370409999999995</v>
      </c>
      <c r="J33" s="3">
        <v>1.2</v>
      </c>
      <c r="K33" s="3">
        <f>1.106305-0.241413+0.118853+3.970884-2.488325</f>
        <v>2.4663039999999996</v>
      </c>
      <c r="L33" s="3">
        <f>0.30275-0.283194+0.159018+4.345852-3.444354</f>
        <v>1.0800719999999999</v>
      </c>
      <c r="M33" s="3">
        <f>0.243439-0.33888+0.280488+2.903929-1.709475</f>
        <v>1.3795010000000001</v>
      </c>
      <c r="N33" s="3">
        <f>+AC33-L33-K33-J33</f>
        <v>1.1340440000000018</v>
      </c>
      <c r="O33" s="3">
        <f>0.475638-0.389482+0.244758+6.122965-4.858242</f>
        <v>1.595637</v>
      </c>
      <c r="P33" s="3">
        <v>1.5</v>
      </c>
      <c r="Q33" s="3">
        <v>1.5</v>
      </c>
      <c r="R33" s="3">
        <v>1.5</v>
      </c>
      <c r="AB33" s="2">
        <f>1.960338-1.625229+0.751044+16.703304-12.985684</f>
        <v>4.8037729999999996</v>
      </c>
      <c r="AC33" s="2">
        <f>2.267083-1.575901+0.6827+16.240302-11.733764</f>
        <v>5.8804200000000009</v>
      </c>
    </row>
    <row r="34" spans="2:29" s="2" customFormat="1" x14ac:dyDescent="0.25">
      <c r="B34" s="2" t="s">
        <v>35</v>
      </c>
      <c r="C34" s="3"/>
      <c r="D34" s="3"/>
      <c r="E34" s="3"/>
      <c r="F34" s="3"/>
      <c r="G34" s="3"/>
      <c r="H34" s="3">
        <f t="shared" ref="H34:I34" si="20">+H32+H33</f>
        <v>11.595343999999997</v>
      </c>
      <c r="I34" s="3">
        <f t="shared" si="20"/>
        <v>10.321680999999991</v>
      </c>
      <c r="J34" s="3">
        <f>+J32+J33</f>
        <v>7.7</v>
      </c>
      <c r="K34" s="3">
        <f t="shared" ref="K34:P34" si="21">+K32+K33</f>
        <v>9.1515759999999933</v>
      </c>
      <c r="L34" s="3">
        <f t="shared" si="21"/>
        <v>5.7561289999999961</v>
      </c>
      <c r="M34" s="3">
        <f t="shared" si="21"/>
        <v>13.545562999999996</v>
      </c>
      <c r="N34" s="3">
        <f t="shared" si="21"/>
        <v>16.573766000000035</v>
      </c>
      <c r="O34" s="3">
        <f t="shared" si="21"/>
        <v>58.828434000000001</v>
      </c>
      <c r="P34" s="3">
        <f t="shared" si="21"/>
        <v>87.96962400000001</v>
      </c>
      <c r="Q34" s="3">
        <f t="shared" ref="Q34" si="22">+Q32+Q33</f>
        <v>60.729827325000016</v>
      </c>
      <c r="R34" s="3">
        <f t="shared" ref="R34" si="23">+R32+R33</f>
        <v>64.783378710000036</v>
      </c>
      <c r="S34" s="3"/>
      <c r="T34" s="3">
        <f t="shared" ref="T34:AC34" si="24">+T32+T33</f>
        <v>29.241745000000009</v>
      </c>
      <c r="U34" s="3">
        <f t="shared" si="24"/>
        <v>53.645706000000011</v>
      </c>
      <c r="V34" s="3">
        <f t="shared" si="24"/>
        <v>58.887014999999998</v>
      </c>
      <c r="W34" s="3">
        <f t="shared" si="24"/>
        <v>27.768508999999987</v>
      </c>
      <c r="X34" s="3">
        <f t="shared" si="24"/>
        <v>35.994000000000014</v>
      </c>
      <c r="Y34" s="3">
        <f t="shared" si="24"/>
        <v>51.633847999999986</v>
      </c>
      <c r="Z34" s="3">
        <f t="shared" si="24"/>
        <v>43.377399999999994</v>
      </c>
      <c r="AA34" s="3">
        <f t="shared" si="24"/>
        <v>6.5314819999999827</v>
      </c>
      <c r="AB34" s="3">
        <f t="shared" si="24"/>
        <v>37.529734000000012</v>
      </c>
      <c r="AC34" s="3">
        <f t="shared" si="24"/>
        <v>49.481470999999985</v>
      </c>
    </row>
    <row r="35" spans="2:29" s="2" customFormat="1" x14ac:dyDescent="0.25">
      <c r="B35" s="2" t="s">
        <v>36</v>
      </c>
      <c r="C35" s="3"/>
      <c r="D35" s="3"/>
      <c r="E35" s="3"/>
      <c r="F35" s="3"/>
      <c r="G35" s="3"/>
      <c r="H35" s="3">
        <v>1.7539990000000001</v>
      </c>
      <c r="I35" s="3">
        <v>0.21950800000000001</v>
      </c>
      <c r="J35" s="3">
        <v>0.2</v>
      </c>
      <c r="K35" s="3">
        <v>0.92869800000000002</v>
      </c>
      <c r="L35" s="3">
        <v>0.63969399999999998</v>
      </c>
      <c r="M35" s="3">
        <v>1.3198160000000001</v>
      </c>
      <c r="N35" s="3">
        <f>+AC35-L35-K35-J35</f>
        <v>2.5062739999999994</v>
      </c>
      <c r="O35" s="3">
        <v>11.603161999999999</v>
      </c>
      <c r="P35" s="3">
        <v>10</v>
      </c>
      <c r="Q35" s="3">
        <v>10</v>
      </c>
      <c r="R35" s="3">
        <v>10</v>
      </c>
      <c r="S35" s="3"/>
      <c r="T35" s="2">
        <v>7.9875600000000002</v>
      </c>
      <c r="U35" s="2">
        <v>14.009</v>
      </c>
      <c r="V35" s="2">
        <v>16.815100000000001</v>
      </c>
      <c r="W35" s="2">
        <v>8.6933240000000005</v>
      </c>
      <c r="X35" s="2">
        <v>9.9372849999999993</v>
      </c>
      <c r="Y35" s="2">
        <v>13.444376999999999</v>
      </c>
      <c r="AB35" s="2">
        <v>3.0783830000000001</v>
      </c>
      <c r="AC35" s="2">
        <v>4.2746659999999999</v>
      </c>
    </row>
    <row r="36" spans="2:29" s="2" customFormat="1" x14ac:dyDescent="0.25">
      <c r="B36" s="2" t="s">
        <v>37</v>
      </c>
      <c r="C36" s="3"/>
      <c r="D36" s="3"/>
      <c r="E36" s="3"/>
      <c r="F36" s="3"/>
      <c r="G36" s="3"/>
      <c r="H36" s="3">
        <f t="shared" ref="H36:I36" si="25">+H34-H35</f>
        <v>9.8413449999999969</v>
      </c>
      <c r="I36" s="3">
        <f t="shared" si="25"/>
        <v>10.102172999999992</v>
      </c>
      <c r="J36" s="3">
        <f>+J34-J35</f>
        <v>7.5</v>
      </c>
      <c r="K36" s="3">
        <f t="shared" ref="K36:P36" si="26">+K34-K35</f>
        <v>8.2228779999999926</v>
      </c>
      <c r="L36" s="3">
        <f t="shared" si="26"/>
        <v>5.1164349999999956</v>
      </c>
      <c r="M36" s="3">
        <f t="shared" si="26"/>
        <v>12.225746999999997</v>
      </c>
      <c r="N36" s="3">
        <f t="shared" si="26"/>
        <v>14.067492000000035</v>
      </c>
      <c r="O36" s="3">
        <f t="shared" si="26"/>
        <v>47.225272000000004</v>
      </c>
      <c r="P36" s="3">
        <f t="shared" si="26"/>
        <v>77.96962400000001</v>
      </c>
      <c r="Q36" s="3">
        <f t="shared" ref="Q36" si="27">+Q34-Q35</f>
        <v>50.729827325000016</v>
      </c>
      <c r="R36" s="3">
        <f t="shared" ref="R36" si="28">+R34-R35</f>
        <v>54.783378710000036</v>
      </c>
      <c r="S36" s="3"/>
      <c r="T36" s="3">
        <f t="shared" ref="T36:AC36" si="29">+T34-T35</f>
        <v>21.254185000000007</v>
      </c>
      <c r="U36" s="3">
        <f t="shared" si="29"/>
        <v>39.636706000000011</v>
      </c>
      <c r="V36" s="3">
        <f t="shared" si="29"/>
        <v>42.071914999999997</v>
      </c>
      <c r="W36" s="3">
        <f t="shared" si="29"/>
        <v>19.075184999999987</v>
      </c>
      <c r="X36" s="3">
        <f t="shared" si="29"/>
        <v>26.056715000000015</v>
      </c>
      <c r="Y36" s="3">
        <f t="shared" si="29"/>
        <v>38.189470999999983</v>
      </c>
      <c r="Z36" s="3">
        <f t="shared" si="29"/>
        <v>43.377399999999994</v>
      </c>
      <c r="AA36" s="3">
        <f t="shared" si="29"/>
        <v>6.5314819999999827</v>
      </c>
      <c r="AB36" s="3">
        <f t="shared" si="29"/>
        <v>34.45135100000001</v>
      </c>
      <c r="AC36" s="3">
        <f t="shared" si="29"/>
        <v>45.206804999999989</v>
      </c>
    </row>
    <row r="38" spans="2:29" x14ac:dyDescent="0.25">
      <c r="B38" s="2" t="s">
        <v>54</v>
      </c>
      <c r="L38" s="13">
        <f t="shared" ref="L38:O38" si="30">+L26/H26-1</f>
        <v>6.723726432934729E-3</v>
      </c>
      <c r="M38" s="13">
        <f t="shared" si="30"/>
        <v>8.8011972187104881E-2</v>
      </c>
      <c r="N38" s="13">
        <f t="shared" si="30"/>
        <v>0.37333928759894497</v>
      </c>
      <c r="O38" s="13">
        <f t="shared" si="30"/>
        <v>0.69159202842064338</v>
      </c>
      <c r="P38" s="13">
        <f>+P26/L26-1</f>
        <v>1.2932606420671147</v>
      </c>
      <c r="Q38" s="13">
        <f t="shared" ref="Q38:R38" si="31">+Q26/M26-1</f>
        <v>0.50000000000000022</v>
      </c>
      <c r="R38" s="13">
        <f t="shared" si="31"/>
        <v>0.30000000000000027</v>
      </c>
      <c r="U38" s="14">
        <f t="shared" ref="U38:AB38" si="32">+U26/T26-1</f>
        <v>0.18679961872868156</v>
      </c>
      <c r="V38" s="14">
        <f t="shared" si="32"/>
        <v>1.7514483625395538E-2</v>
      </c>
      <c r="W38" s="14">
        <f t="shared" si="32"/>
        <v>-5.4848654014663656E-2</v>
      </c>
      <c r="X38" s="14">
        <f t="shared" si="32"/>
        <v>2.7799889358929963E-2</v>
      </c>
      <c r="Y38" s="14">
        <f t="shared" si="32"/>
        <v>0.18073355404846136</v>
      </c>
      <c r="Z38" s="14">
        <f t="shared" si="32"/>
        <v>8.0923399059079193E-2</v>
      </c>
      <c r="AA38" s="14">
        <f t="shared" si="32"/>
        <v>-0.14337148865028437</v>
      </c>
      <c r="AB38" s="14">
        <f t="shared" si="32"/>
        <v>0.1621124101969873</v>
      </c>
      <c r="AC38" s="14">
        <f>+AC26/AB26-1</f>
        <v>0.1088009331364288</v>
      </c>
    </row>
    <row r="39" spans="2:29" x14ac:dyDescent="0.25">
      <c r="B39" s="2" t="s">
        <v>55</v>
      </c>
      <c r="H39" s="13">
        <f t="shared" ref="H39:J39" si="33">+H28/H26</f>
        <v>0.40174103086634816</v>
      </c>
      <c r="I39" s="13">
        <f t="shared" si="33"/>
        <v>0.37932891276864722</v>
      </c>
      <c r="J39" s="13">
        <f t="shared" si="33"/>
        <v>0.37598944591029027</v>
      </c>
      <c r="K39" s="13">
        <f>+K28/K26</f>
        <v>0.35545101349684366</v>
      </c>
      <c r="L39" s="13">
        <f t="shared" ref="L39:P39" si="34">+L28/L26</f>
        <v>0.34193389221570375</v>
      </c>
      <c r="M39" s="13">
        <f t="shared" si="34"/>
        <v>0.38916392203844058</v>
      </c>
      <c r="N39" s="13">
        <f t="shared" si="34"/>
        <v>0.47304053046827943</v>
      </c>
      <c r="O39" s="13">
        <f t="shared" si="34"/>
        <v>0.61187021527585406</v>
      </c>
      <c r="P39" s="13">
        <f t="shared" si="34"/>
        <v>0.65</v>
      </c>
      <c r="Q39" s="13">
        <f t="shared" ref="Q39:R39" si="35">+Q28/Q26</f>
        <v>0.65</v>
      </c>
      <c r="R39" s="13">
        <f t="shared" si="35"/>
        <v>0.65</v>
      </c>
      <c r="T39" s="13">
        <f t="shared" ref="T39:AC39" si="36">+T28/T26</f>
        <v>0.40417625498444532</v>
      </c>
      <c r="U39" s="13">
        <f t="shared" si="36"/>
        <v>0.46033685865946428</v>
      </c>
      <c r="V39" s="13">
        <f t="shared" si="36"/>
        <v>0.45689120276879058</v>
      </c>
      <c r="W39" s="13">
        <f t="shared" si="36"/>
        <v>0.36094190108587298</v>
      </c>
      <c r="X39" s="13">
        <f t="shared" si="36"/>
        <v>0.38984654105048017</v>
      </c>
      <c r="Y39" s="13">
        <f t="shared" si="36"/>
        <v>0.40483372262685485</v>
      </c>
      <c r="Z39" s="13">
        <f t="shared" si="36"/>
        <v>0.37120687939199953</v>
      </c>
      <c r="AA39" s="13">
        <f t="shared" si="36"/>
        <v>0.30324998068752412</v>
      </c>
      <c r="AB39" s="13">
        <f t="shared" si="36"/>
        <v>0.37992585477765528</v>
      </c>
      <c r="AC39" s="13">
        <f t="shared" si="36"/>
        <v>0.39378922865575611</v>
      </c>
    </row>
    <row r="42" spans="2:29" s="7" customFormat="1" x14ac:dyDescent="0.25">
      <c r="B42" s="7" t="s">
        <v>29</v>
      </c>
      <c r="C42" s="6"/>
      <c r="D42" s="6"/>
      <c r="E42" s="6"/>
      <c r="F42" s="6"/>
      <c r="G42" s="6"/>
      <c r="H42" s="6"/>
      <c r="I42" s="6"/>
      <c r="J42" s="6">
        <v>22020</v>
      </c>
      <c r="K42" s="6"/>
      <c r="L42" s="6"/>
      <c r="M42" s="6"/>
      <c r="N42" s="6"/>
      <c r="O42" s="6"/>
      <c r="P42" s="6"/>
      <c r="Q42" s="6"/>
      <c r="T42" s="7">
        <v>47385.644</v>
      </c>
      <c r="U42" s="7">
        <v>62162.040999999997</v>
      </c>
      <c r="V42" s="7">
        <v>67031.862999999998</v>
      </c>
      <c r="W42" s="7">
        <v>45382.915000000001</v>
      </c>
      <c r="X42" s="7">
        <v>65287.008999999998</v>
      </c>
      <c r="Y42" s="7">
        <v>65105.447999999997</v>
      </c>
      <c r="Z42" s="7">
        <v>62181.345999999998</v>
      </c>
      <c r="AA42" s="7">
        <v>44130</v>
      </c>
      <c r="AB42" s="7">
        <v>72980</v>
      </c>
    </row>
    <row r="43" spans="2:29" s="7" customFormat="1" x14ac:dyDescent="0.25">
      <c r="B43" s="7" t="s">
        <v>30</v>
      </c>
      <c r="C43" s="6"/>
      <c r="D43" s="6"/>
      <c r="E43" s="6"/>
      <c r="F43" s="6"/>
      <c r="G43" s="6"/>
      <c r="H43" s="6"/>
      <c r="I43" s="6"/>
      <c r="J43" s="6">
        <v>15090</v>
      </c>
      <c r="K43" s="6"/>
      <c r="L43" s="6"/>
      <c r="M43" s="6"/>
      <c r="N43" s="6"/>
      <c r="O43" s="6"/>
      <c r="P43" s="6"/>
      <c r="Q43" s="6"/>
      <c r="T43" s="7">
        <v>24142.973000000002</v>
      </c>
      <c r="U43" s="7">
        <v>42792.233999999997</v>
      </c>
      <c r="V43" s="7">
        <v>29556.405999999999</v>
      </c>
      <c r="W43" s="7">
        <v>25367.756000000001</v>
      </c>
      <c r="X43" s="7">
        <v>37592.034</v>
      </c>
      <c r="Y43" s="7">
        <v>47122.106</v>
      </c>
      <c r="Z43" s="7">
        <v>49430.428</v>
      </c>
      <c r="AA43" s="7">
        <v>57610</v>
      </c>
      <c r="AB43" s="7">
        <v>51410</v>
      </c>
    </row>
    <row r="44" spans="2:29" s="7" customFormat="1" x14ac:dyDescent="0.25">
      <c r="B44" s="7" t="s">
        <v>29</v>
      </c>
      <c r="C44" s="6"/>
      <c r="D44" s="6"/>
      <c r="E44" s="6"/>
      <c r="F44" s="6"/>
      <c r="G44" s="6"/>
      <c r="H44" s="6"/>
      <c r="I44" s="6"/>
      <c r="J44" s="7">
        <f>+J42-J43</f>
        <v>6930</v>
      </c>
      <c r="T44" s="7">
        <f t="shared" ref="T44:AB44" si="37">+T42-T43</f>
        <v>23242.670999999998</v>
      </c>
      <c r="U44" s="7">
        <f t="shared" si="37"/>
        <v>19369.807000000001</v>
      </c>
      <c r="V44" s="7">
        <f t="shared" si="37"/>
        <v>37475.456999999995</v>
      </c>
      <c r="W44" s="7">
        <f t="shared" si="37"/>
        <v>20015.159</v>
      </c>
      <c r="X44" s="7">
        <f t="shared" si="37"/>
        <v>27694.974999999999</v>
      </c>
      <c r="Y44" s="7">
        <f t="shared" si="37"/>
        <v>17983.341999999997</v>
      </c>
      <c r="Z44" s="7">
        <f t="shared" si="37"/>
        <v>12750.917999999998</v>
      </c>
      <c r="AA44" s="7">
        <f t="shared" si="37"/>
        <v>-13480</v>
      </c>
      <c r="AB44" s="7">
        <f t="shared" si="37"/>
        <v>21570</v>
      </c>
    </row>
  </sheetData>
  <hyperlinks>
    <hyperlink ref="A1" location="Main!A1" display="Main" xr:uid="{4BBFEE7C-0A2B-4AE9-B908-0CFC30E63FA5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2025-03-17T18:24:46Z</dcterms:created>
  <dcterms:modified xsi:type="dcterms:W3CDTF">2026-08-18T13:19:22Z</dcterms:modified>
</cp:coreProperties>
</file>