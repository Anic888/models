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B67382B-E1F4-40FF-B33A-C8563D72671C}" xr6:coauthVersionLast="47" xr6:coauthVersionMax="47" xr10:uidLastSave="{00000000-0000-0000-0000-000000000000}"/>
  <bookViews>
    <workbookView xWindow="16370" yWindow="4560" windowWidth="20170" windowHeight="14480" activeTab="1" xr2:uid="{A417974C-84E3-45BB-9954-F43481646C8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I8" i="2"/>
  <c r="I10" i="2" s="1"/>
  <c r="I12" i="2" s="1"/>
  <c r="I14" i="2" s="1"/>
  <c r="H8" i="2"/>
  <c r="G8" i="2"/>
  <c r="J7" i="2"/>
  <c r="J6" i="2"/>
  <c r="J5" i="2"/>
  <c r="J4" i="2"/>
  <c r="N7" i="2"/>
  <c r="N6" i="2"/>
  <c r="N5" i="2"/>
  <c r="N4" i="2"/>
  <c r="R10" i="2"/>
  <c r="Q10" i="2"/>
  <c r="P10" i="2"/>
  <c r="O10" i="2"/>
  <c r="N10" i="2"/>
  <c r="M10" i="2"/>
  <c r="L10" i="2"/>
  <c r="K10" i="2"/>
  <c r="K12" i="2" s="1"/>
  <c r="K14" i="2" s="1"/>
  <c r="K8" i="2"/>
  <c r="L8" i="2"/>
  <c r="Q15" i="2"/>
  <c r="P19" i="2"/>
  <c r="O19" i="2"/>
  <c r="P20" i="2"/>
  <c r="O20" i="2"/>
  <c r="P18" i="2"/>
  <c r="O18" i="2"/>
  <c r="P16" i="2"/>
  <c r="O16" i="2"/>
  <c r="Q14" i="2"/>
  <c r="Q16" i="2" s="1"/>
  <c r="Q18" i="2" s="1"/>
  <c r="Q19" i="2" s="1"/>
  <c r="P14" i="2"/>
  <c r="O14" i="2"/>
  <c r="Q12" i="2"/>
  <c r="Q8" i="2"/>
  <c r="P8" i="2"/>
  <c r="O8" i="2"/>
  <c r="M8" i="2"/>
  <c r="V20" i="2"/>
  <c r="V17" i="2"/>
  <c r="V13" i="2"/>
  <c r="V11" i="2"/>
  <c r="V9" i="2"/>
  <c r="V8" i="2"/>
  <c r="M40" i="2"/>
  <c r="M29" i="2"/>
  <c r="M28" i="2" s="1"/>
  <c r="M46" i="2"/>
  <c r="M36" i="2"/>
  <c r="M15" i="2"/>
  <c r="N40" i="2"/>
  <c r="N46" i="2" s="1"/>
  <c r="N29" i="2"/>
  <c r="N36" i="2" s="1"/>
  <c r="N15" i="2"/>
  <c r="N12" i="2"/>
  <c r="N14" i="2" s="1"/>
  <c r="R2" i="2"/>
  <c r="P2" i="2"/>
  <c r="M2" i="2"/>
  <c r="Q2" i="2" s="1"/>
  <c r="D25" i="2"/>
  <c r="D24" i="2"/>
  <c r="D26" i="2" s="1"/>
  <c r="D15" i="2"/>
  <c r="E25" i="2"/>
  <c r="F25" i="2" s="1"/>
  <c r="D10" i="2"/>
  <c r="D12" i="2" s="1"/>
  <c r="D14" i="2" s="1"/>
  <c r="E15" i="2"/>
  <c r="E10" i="2"/>
  <c r="E12" i="2" s="1"/>
  <c r="I15" i="2"/>
  <c r="F15" i="2"/>
  <c r="F10" i="2"/>
  <c r="F12" i="2" s="1"/>
  <c r="F14" i="2" s="1"/>
  <c r="F16" i="2" s="1"/>
  <c r="F18" i="2" s="1"/>
  <c r="F19" i="2" s="1"/>
  <c r="J15" i="2"/>
  <c r="J10" i="2"/>
  <c r="J12" i="2" s="1"/>
  <c r="J14" i="2" s="1"/>
  <c r="G26" i="2"/>
  <c r="K26" i="2"/>
  <c r="G15" i="2"/>
  <c r="G10" i="2"/>
  <c r="G12" i="2" s="1"/>
  <c r="G14" i="2" s="1"/>
  <c r="K15" i="2"/>
  <c r="H25" i="2"/>
  <c r="I25" i="2" s="1"/>
  <c r="J25" i="2" s="1"/>
  <c r="L25" i="2"/>
  <c r="M25" i="2" s="1"/>
  <c r="N25" i="2" s="1"/>
  <c r="H24" i="2"/>
  <c r="I24" i="2" s="1"/>
  <c r="I26" i="2" s="1"/>
  <c r="L24" i="2"/>
  <c r="J4" i="1"/>
  <c r="J7" i="1" s="1"/>
  <c r="L15" i="2"/>
  <c r="H15" i="2"/>
  <c r="H10" i="2"/>
  <c r="H12" i="2" s="1"/>
  <c r="H14" i="2" s="1"/>
  <c r="H16" i="2" s="1"/>
  <c r="H18" i="2" s="1"/>
  <c r="H19" i="2" s="1"/>
  <c r="L12" i="2"/>
  <c r="L14" i="2" s="1"/>
  <c r="J16" i="2" l="1"/>
  <c r="J18" i="2" s="1"/>
  <c r="J19" i="2" s="1"/>
  <c r="I22" i="2"/>
  <c r="V15" i="2"/>
  <c r="M22" i="2"/>
  <c r="V10" i="2"/>
  <c r="V12" i="2" s="1"/>
  <c r="V14" i="2" s="1"/>
  <c r="V16" i="2" s="1"/>
  <c r="V18" i="2" s="1"/>
  <c r="V19" i="2" s="1"/>
  <c r="L22" i="2"/>
  <c r="J22" i="2"/>
  <c r="K22" i="2"/>
  <c r="K16" i="2"/>
  <c r="K18" i="2" s="1"/>
  <c r="K19" i="2" s="1"/>
  <c r="N28" i="2"/>
  <c r="M12" i="2"/>
  <c r="M14" i="2" s="1"/>
  <c r="M16" i="2" s="1"/>
  <c r="M18" i="2" s="1"/>
  <c r="M19" i="2" s="1"/>
  <c r="M24" i="2"/>
  <c r="M26" i="2" s="1"/>
  <c r="H22" i="2"/>
  <c r="J24" i="2"/>
  <c r="J26" i="2" s="1"/>
  <c r="N22" i="2"/>
  <c r="N16" i="2"/>
  <c r="N18" i="2" s="1"/>
  <c r="N19" i="2" s="1"/>
  <c r="E14" i="2"/>
  <c r="D16" i="2"/>
  <c r="D18" i="2" s="1"/>
  <c r="D19" i="2" s="1"/>
  <c r="E24" i="2"/>
  <c r="F24" i="2" s="1"/>
  <c r="E16" i="2"/>
  <c r="E18" i="2" s="1"/>
  <c r="E19" i="2" s="1"/>
  <c r="I16" i="2"/>
  <c r="I18" i="2" s="1"/>
  <c r="I19" i="2" s="1"/>
  <c r="H26" i="2"/>
  <c r="L26" i="2"/>
  <c r="G16" i="2"/>
  <c r="G18" i="2" s="1"/>
  <c r="G19" i="2" s="1"/>
  <c r="L16" i="2"/>
  <c r="L18" i="2" s="1"/>
  <c r="L19" i="2" s="1"/>
  <c r="N24" i="2" l="1"/>
  <c r="N26" i="2" s="1"/>
  <c r="F26" i="2"/>
  <c r="E26" i="2"/>
</calcChain>
</file>

<file path=xl/sharedStrings.xml><?xml version="1.0" encoding="utf-8"?>
<sst xmlns="http://schemas.openxmlformats.org/spreadsheetml/2006/main" count="63" uniqueCount="58">
  <si>
    <t>Price</t>
  </si>
  <si>
    <t>Shares</t>
  </si>
  <si>
    <t>MC</t>
  </si>
  <si>
    <t>Cash</t>
  </si>
  <si>
    <t>Debt</t>
  </si>
  <si>
    <t>EV</t>
  </si>
  <si>
    <t>Main</t>
  </si>
  <si>
    <t>Revenue</t>
  </si>
  <si>
    <t>Fees</t>
  </si>
  <si>
    <t>Merchandise</t>
  </si>
  <si>
    <t>EPS</t>
  </si>
  <si>
    <t>Net Income</t>
  </si>
  <si>
    <t>Taxes</t>
  </si>
  <si>
    <t>Pretax Income</t>
  </si>
  <si>
    <t>Interest</t>
  </si>
  <si>
    <t>COGS</t>
  </si>
  <si>
    <t>Gross Profit</t>
  </si>
  <si>
    <t>SG&amp;A</t>
  </si>
  <si>
    <t>Operating Income</t>
  </si>
  <si>
    <t>CFFO</t>
  </si>
  <si>
    <t>CX</t>
  </si>
  <si>
    <t>FCF</t>
  </si>
  <si>
    <t>Revenue y/y</t>
  </si>
  <si>
    <t>Assets</t>
  </si>
  <si>
    <t>OLTA</t>
  </si>
  <si>
    <t>ROU</t>
  </si>
  <si>
    <t>PP&amp;E</t>
  </si>
  <si>
    <t>Inventories</t>
  </si>
  <si>
    <t>OCA</t>
  </si>
  <si>
    <t>AR</t>
  </si>
  <si>
    <t>AP</t>
  </si>
  <si>
    <t>Salaries</t>
  </si>
  <si>
    <t>Rewards/Fees</t>
  </si>
  <si>
    <t>OCL</t>
  </si>
  <si>
    <t>Lease</t>
  </si>
  <si>
    <t>OLTL</t>
  </si>
  <si>
    <t>SE</t>
  </si>
  <si>
    <t>L+SE</t>
  </si>
  <si>
    <t>Net Cash</t>
  </si>
  <si>
    <t>Q325</t>
  </si>
  <si>
    <t>FY25</t>
  </si>
  <si>
    <t>FQ425</t>
  </si>
  <si>
    <t>FQ325</t>
  </si>
  <si>
    <t>FQ225</t>
  </si>
  <si>
    <t>FQ125</t>
  </si>
  <si>
    <t>FQ424</t>
  </si>
  <si>
    <t>FQ124</t>
  </si>
  <si>
    <t>FQ224</t>
  </si>
  <si>
    <t>FQ324</t>
  </si>
  <si>
    <t>FQ126</t>
  </si>
  <si>
    <t>FQ226</t>
  </si>
  <si>
    <t>FQ326</t>
  </si>
  <si>
    <t>FQ426</t>
  </si>
  <si>
    <t>FY26</t>
  </si>
  <si>
    <t>Foods &amp; Sundries</t>
  </si>
  <si>
    <t>Non-Foods</t>
  </si>
  <si>
    <t>Fresh Foods</t>
  </si>
  <si>
    <t>Warehouse Ancillary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</si>
</sst>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3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1" applyFont="1"/>
    <xf numFmtId="164" fontId="1" fillId="0" borderId="0" xfId="0" applyNumberFormat="1" applyFont="1"/>
    <xf numFmtId="9" fontId="1" fillId="0" borderId="0" xfId="0" applyNumberFormat="1" applyFont="1"/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20754</xdr:colOff>
      <xdr:row>0</xdr:row>
      <xdr:rowOff>0</xdr:rowOff>
    </xdr:from>
    <xdr:to>
      <xdr:col>17</xdr:col>
      <xdr:colOff>20754</xdr:colOff>
      <xdr:row>53</xdr:row>
      <xdr:rowOff>129475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6DCC8E-C2AC-98E1-BE98-19C762633698}"/>
            </a:ext>
          </a:extLst>
        </xdr:cNvPr>
        <xdr:cNvCxnSpPr/>
      </xdr:nvCxnSpPr>
      <xdr:spPr>
        <a:xfrm>
          <a:off x="11031102" y="0"/>
          <a:ext cx="0" cy="86219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ACE3-046E-4AC2-8D68-BB925063D7D7}">
  <dimension ref="I2:K7"/>
  <sheetViews>
    <sheetView topLeftCell="D1" zoomScale="190" zoomScaleNormal="190" workbookViewId="0">
      <selection activeCell="K6" sqref="K6"/>
    </sheetView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4">
        <v>914</v>
      </c>
    </row>
    <row r="3" spans="9:11" x14ac:dyDescent="0.25">
      <c r="I3" s="1" t="s">
        <v>1</v>
      </c>
      <c r="J3" s="1">
        <v>445</v>
      </c>
      <c r="K3" s="5" t="s">
        <v>39</v>
      </c>
    </row>
    <row r="4" spans="9:11" x14ac:dyDescent="0.25">
      <c r="I4" s="1" t="s">
        <v>2</v>
      </c>
      <c r="J4" s="2">
        <f>+J2*J3</f>
        <v>406730</v>
      </c>
      <c r="K4" s="5"/>
    </row>
    <row r="5" spans="9:11" x14ac:dyDescent="0.25">
      <c r="I5" s="1" t="s">
        <v>3</v>
      </c>
      <c r="J5" s="2">
        <v>15284</v>
      </c>
      <c r="K5" s="5" t="s">
        <v>39</v>
      </c>
    </row>
    <row r="6" spans="9:11" x14ac:dyDescent="0.25">
      <c r="I6" s="1" t="s">
        <v>4</v>
      </c>
      <c r="J6" s="2">
        <v>5713</v>
      </c>
      <c r="K6" s="5" t="s">
        <v>39</v>
      </c>
    </row>
    <row r="7" spans="9:11" x14ac:dyDescent="0.25">
      <c r="I7" s="1" t="s">
        <v>5</v>
      </c>
      <c r="J7" s="2">
        <f>+J4-J5+J6</f>
        <v>397159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57DD-B4A5-4633-B41D-28FA9C054CD1}">
  <dimension ref="A1:W46"/>
  <sheetViews>
    <sheetView tabSelected="1" zoomScale="115" zoomScaleNormal="115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B8" sqref="B8"/>
    </sheetView>
  </sheetViews>
  <sheetFormatPr defaultRowHeight="12.5" x14ac:dyDescent="0.25"/>
  <cols>
    <col min="1" max="1" width="4.7265625" style="1" bestFit="1" customWidth="1"/>
    <col min="2" max="2" width="16.08984375" style="1" customWidth="1"/>
    <col min="3" max="12" width="9.36328125" style="1" customWidth="1"/>
    <col min="13" max="21" width="8.7265625" style="1"/>
    <col min="22" max="23" width="8.7265625" style="5"/>
    <col min="24" max="16384" width="8.7265625" style="1"/>
  </cols>
  <sheetData>
    <row r="1" spans="1:23" x14ac:dyDescent="0.25">
      <c r="A1" s="6" t="s">
        <v>6</v>
      </c>
    </row>
    <row r="2" spans="1:23" s="7" customFormat="1" x14ac:dyDescent="0.25">
      <c r="D2" s="7">
        <v>44969</v>
      </c>
      <c r="E2" s="7">
        <v>45053</v>
      </c>
      <c r="F2" s="7">
        <v>45172</v>
      </c>
      <c r="G2" s="7">
        <v>45256</v>
      </c>
      <c r="H2" s="7">
        <v>45340</v>
      </c>
      <c r="I2" s="7">
        <v>45424</v>
      </c>
      <c r="J2" s="7">
        <v>45536</v>
      </c>
      <c r="K2" s="7">
        <v>45620</v>
      </c>
      <c r="L2" s="7">
        <v>45704</v>
      </c>
      <c r="M2" s="7">
        <f>+I2+365</f>
        <v>45789</v>
      </c>
      <c r="N2" s="7">
        <v>45900</v>
      </c>
      <c r="O2" s="7">
        <v>45984</v>
      </c>
      <c r="P2" s="7">
        <f>+L2+365</f>
        <v>46069</v>
      </c>
      <c r="Q2" s="7">
        <f>+M2+365</f>
        <v>46154</v>
      </c>
      <c r="R2" s="7">
        <f>+N2+365</f>
        <v>46265</v>
      </c>
      <c r="V2" s="9"/>
      <c r="W2" s="9"/>
    </row>
    <row r="3" spans="1:23" s="7" customFormat="1" x14ac:dyDescent="0.25">
      <c r="G3" s="9" t="s">
        <v>46</v>
      </c>
      <c r="H3" s="9" t="s">
        <v>47</v>
      </c>
      <c r="I3" s="9" t="s">
        <v>48</v>
      </c>
      <c r="J3" s="9" t="s">
        <v>45</v>
      </c>
      <c r="K3" s="9" t="s">
        <v>44</v>
      </c>
      <c r="L3" s="9" t="s">
        <v>43</v>
      </c>
      <c r="M3" s="9" t="s">
        <v>42</v>
      </c>
      <c r="N3" s="9" t="s">
        <v>41</v>
      </c>
      <c r="O3" s="9" t="s">
        <v>49</v>
      </c>
      <c r="P3" s="9" t="s">
        <v>50</v>
      </c>
      <c r="Q3" s="9" t="s">
        <v>51</v>
      </c>
      <c r="R3" s="9" t="s">
        <v>52</v>
      </c>
      <c r="V3" s="9" t="s">
        <v>40</v>
      </c>
      <c r="W3" s="9" t="s">
        <v>53</v>
      </c>
    </row>
    <row r="4" spans="1:23" s="2" customFormat="1" x14ac:dyDescent="0.25">
      <c r="B4" s="2" t="s">
        <v>54</v>
      </c>
      <c r="G4" s="10">
        <v>23024</v>
      </c>
      <c r="H4" s="10">
        <v>23675</v>
      </c>
      <c r="I4" s="10">
        <v>23065</v>
      </c>
      <c r="J4" s="10">
        <f>101463-I4-H4-G4</f>
        <v>31699</v>
      </c>
      <c r="K4" s="10">
        <v>25062</v>
      </c>
      <c r="L4" s="10">
        <v>25112</v>
      </c>
      <c r="M4" s="10">
        <v>25149</v>
      </c>
      <c r="N4" s="10">
        <f>109564-M4-L4-K4</f>
        <v>34241</v>
      </c>
      <c r="O4" s="10">
        <v>26943</v>
      </c>
      <c r="P4" s="10">
        <v>27149</v>
      </c>
      <c r="Q4" s="10">
        <v>26533</v>
      </c>
      <c r="R4" s="10"/>
      <c r="V4" s="10"/>
      <c r="W4" s="10"/>
    </row>
    <row r="5" spans="1:23" s="2" customFormat="1" x14ac:dyDescent="0.25">
      <c r="B5" s="2" t="s">
        <v>55</v>
      </c>
      <c r="G5" s="10">
        <v>14766</v>
      </c>
      <c r="H5" s="10">
        <v>15017</v>
      </c>
      <c r="I5" s="10">
        <v>14518</v>
      </c>
      <c r="J5" s="10">
        <f>63973-I5-H5-G5</f>
        <v>19672</v>
      </c>
      <c r="K5" s="10">
        <v>16171</v>
      </c>
      <c r="L5" s="10">
        <v>17526</v>
      </c>
      <c r="M5" s="10">
        <v>16080</v>
      </c>
      <c r="N5" s="10">
        <f>71190-M5-L5-K5</f>
        <v>21413</v>
      </c>
      <c r="O5" s="10">
        <v>17440</v>
      </c>
      <c r="P5" s="10">
        <v>19153</v>
      </c>
      <c r="Q5" s="10">
        <v>17529</v>
      </c>
      <c r="R5" s="10"/>
      <c r="V5" s="10"/>
      <c r="W5" s="10"/>
    </row>
    <row r="6" spans="1:23" s="2" customFormat="1" x14ac:dyDescent="0.25">
      <c r="B6" s="2" t="s">
        <v>56</v>
      </c>
      <c r="G6" s="10">
        <v>7328</v>
      </c>
      <c r="H6" s="10">
        <v>7996</v>
      </c>
      <c r="I6" s="10">
        <v>7888</v>
      </c>
      <c r="J6" s="10">
        <f>34220-I6-H6-G6</f>
        <v>11008</v>
      </c>
      <c r="K6" s="10">
        <v>8218</v>
      </c>
      <c r="L6" s="10">
        <v>8836</v>
      </c>
      <c r="M6" s="10">
        <v>8785</v>
      </c>
      <c r="N6" s="10">
        <f>37988-M6-L6-K6</f>
        <v>12149</v>
      </c>
      <c r="O6" s="10">
        <v>9016</v>
      </c>
      <c r="P6" s="10">
        <v>9887</v>
      </c>
      <c r="Q6" s="10">
        <v>9673</v>
      </c>
      <c r="R6" s="10"/>
      <c r="V6" s="10"/>
      <c r="W6" s="10"/>
    </row>
    <row r="7" spans="1:23" s="2" customFormat="1" x14ac:dyDescent="0.25">
      <c r="B7" s="2" t="s">
        <v>57</v>
      </c>
      <c r="G7" s="10">
        <v>11599</v>
      </c>
      <c r="H7" s="10">
        <v>10643</v>
      </c>
      <c r="I7" s="10">
        <v>11921</v>
      </c>
      <c r="J7" s="10">
        <f>49969-I7-H7-G7</f>
        <v>15806</v>
      </c>
      <c r="K7" s="10">
        <v>11534</v>
      </c>
      <c r="L7" s="10">
        <v>11056</v>
      </c>
      <c r="M7" s="10">
        <v>11951</v>
      </c>
      <c r="N7" s="10">
        <f>51170-M7-L7-K7</f>
        <v>16629</v>
      </c>
      <c r="O7" s="10">
        <v>12579</v>
      </c>
      <c r="P7" s="10">
        <v>12053</v>
      </c>
      <c r="Q7" s="10">
        <v>15419</v>
      </c>
      <c r="R7" s="10"/>
      <c r="V7" s="10"/>
      <c r="W7" s="10"/>
    </row>
    <row r="8" spans="1:23" s="2" customFormat="1" x14ac:dyDescent="0.25">
      <c r="B8" s="2" t="s">
        <v>9</v>
      </c>
      <c r="D8" s="2">
        <v>54239</v>
      </c>
      <c r="E8" s="2">
        <v>52604</v>
      </c>
      <c r="F8" s="2">
        <v>77430</v>
      </c>
      <c r="G8" s="2">
        <f t="shared" ref="G8:J8" si="0">SUM(G4:G7)</f>
        <v>56717</v>
      </c>
      <c r="H8" s="2">
        <f t="shared" si="0"/>
        <v>57331</v>
      </c>
      <c r="I8" s="2">
        <f t="shared" si="0"/>
        <v>57392</v>
      </c>
      <c r="J8" s="2">
        <f t="shared" si="0"/>
        <v>78185</v>
      </c>
      <c r="K8" s="2">
        <f>SUM(K4:K7)</f>
        <v>60985</v>
      </c>
      <c r="L8" s="2">
        <f>SUM(L4:L7)</f>
        <v>62530</v>
      </c>
      <c r="M8" s="2">
        <f>SUM(M4:M7)</f>
        <v>61965</v>
      </c>
      <c r="N8" s="2">
        <v>84432</v>
      </c>
      <c r="O8" s="2">
        <f t="shared" ref="O8:Q8" si="1">SUM(O4:O7)</f>
        <v>65978</v>
      </c>
      <c r="P8" s="2">
        <f t="shared" si="1"/>
        <v>68242</v>
      </c>
      <c r="Q8" s="2">
        <f t="shared" si="1"/>
        <v>69154</v>
      </c>
      <c r="V8" s="10">
        <f>SUM(K8:N8)</f>
        <v>269912</v>
      </c>
      <c r="W8" s="10"/>
    </row>
    <row r="9" spans="1:23" s="2" customFormat="1" x14ac:dyDescent="0.25">
      <c r="B9" s="2" t="s">
        <v>8</v>
      </c>
      <c r="D9" s="2">
        <v>1027</v>
      </c>
      <c r="E9" s="2">
        <v>1044</v>
      </c>
      <c r="F9" s="2">
        <v>1509</v>
      </c>
      <c r="G9" s="2">
        <v>1082</v>
      </c>
      <c r="H9" s="2">
        <v>1111</v>
      </c>
      <c r="I9" s="2">
        <v>1123</v>
      </c>
      <c r="J9" s="2">
        <v>1512</v>
      </c>
      <c r="K9" s="2">
        <v>1166</v>
      </c>
      <c r="L9" s="2">
        <v>1193</v>
      </c>
      <c r="M9" s="2">
        <v>1240</v>
      </c>
      <c r="N9" s="2">
        <v>1724</v>
      </c>
      <c r="O9" s="2">
        <v>1329</v>
      </c>
      <c r="P9" s="2">
        <v>1355</v>
      </c>
      <c r="Q9" s="2">
        <v>1373</v>
      </c>
      <c r="V9" s="10">
        <f>SUM(K9:N9)</f>
        <v>5323</v>
      </c>
      <c r="W9" s="10"/>
    </row>
    <row r="10" spans="1:23" s="3" customFormat="1" ht="13" x14ac:dyDescent="0.3">
      <c r="B10" s="3" t="s">
        <v>7</v>
      </c>
      <c r="D10" s="3">
        <f t="shared" ref="D10:Q10" si="2">+D8+D9</f>
        <v>55266</v>
      </c>
      <c r="E10" s="3">
        <f t="shared" si="2"/>
        <v>53648</v>
      </c>
      <c r="F10" s="3">
        <f t="shared" si="2"/>
        <v>78939</v>
      </c>
      <c r="G10" s="3">
        <f t="shared" si="2"/>
        <v>57799</v>
      </c>
      <c r="H10" s="3">
        <f t="shared" si="2"/>
        <v>58442</v>
      </c>
      <c r="I10" s="3">
        <f t="shared" si="2"/>
        <v>58515</v>
      </c>
      <c r="J10" s="3">
        <f t="shared" si="2"/>
        <v>79697</v>
      </c>
      <c r="K10" s="3">
        <f>+K8+K9</f>
        <v>62151</v>
      </c>
      <c r="L10" s="3">
        <f>+L8+L9</f>
        <v>63723</v>
      </c>
      <c r="M10" s="3">
        <f>+M8+M9</f>
        <v>63205</v>
      </c>
      <c r="N10" s="3">
        <f>+N8+N9</f>
        <v>86156</v>
      </c>
      <c r="O10" s="3">
        <f>+O8+O9</f>
        <v>67307</v>
      </c>
      <c r="P10" s="3">
        <f>+P8+P9</f>
        <v>69597</v>
      </c>
      <c r="Q10" s="3">
        <f>+Q8+Q9</f>
        <v>70527</v>
      </c>
      <c r="R10" s="3">
        <f>+R8+R9</f>
        <v>0</v>
      </c>
      <c r="V10" s="3">
        <f t="shared" ref="V10" si="3">+V8+V9</f>
        <v>275235</v>
      </c>
      <c r="W10" s="11"/>
    </row>
    <row r="11" spans="1:23" s="2" customFormat="1" x14ac:dyDescent="0.25">
      <c r="B11" s="2" t="s">
        <v>15</v>
      </c>
      <c r="D11" s="2">
        <v>48423</v>
      </c>
      <c r="E11" s="2">
        <v>47175</v>
      </c>
      <c r="F11" s="2">
        <v>69219</v>
      </c>
      <c r="G11" s="2">
        <v>50457</v>
      </c>
      <c r="H11" s="2">
        <v>51140</v>
      </c>
      <c r="I11" s="2">
        <v>51173</v>
      </c>
      <c r="J11" s="2">
        <v>69588</v>
      </c>
      <c r="K11" s="2">
        <v>54109</v>
      </c>
      <c r="L11" s="2">
        <v>55744</v>
      </c>
      <c r="M11" s="2">
        <v>54996</v>
      </c>
      <c r="N11" s="2">
        <v>75037</v>
      </c>
      <c r="Q11" s="2">
        <v>61519</v>
      </c>
      <c r="V11" s="10">
        <f>SUM(K11:N11)</f>
        <v>239886</v>
      </c>
      <c r="W11" s="10"/>
    </row>
    <row r="12" spans="1:23" s="2" customFormat="1" x14ac:dyDescent="0.25">
      <c r="B12" s="2" t="s">
        <v>16</v>
      </c>
      <c r="D12" s="2">
        <f t="shared" ref="D12:M12" si="4">+D10-D11</f>
        <v>6843</v>
      </c>
      <c r="E12" s="2">
        <f t="shared" si="4"/>
        <v>6473</v>
      </c>
      <c r="F12" s="2">
        <f t="shared" si="4"/>
        <v>9720</v>
      </c>
      <c r="G12" s="2">
        <f t="shared" si="4"/>
        <v>7342</v>
      </c>
      <c r="H12" s="2">
        <f t="shared" si="4"/>
        <v>7302</v>
      </c>
      <c r="I12" s="2">
        <f t="shared" si="4"/>
        <v>7342</v>
      </c>
      <c r="J12" s="2">
        <f t="shared" si="4"/>
        <v>10109</v>
      </c>
      <c r="K12" s="2">
        <f t="shared" si="4"/>
        <v>8042</v>
      </c>
      <c r="L12" s="2">
        <f t="shared" si="4"/>
        <v>7979</v>
      </c>
      <c r="M12" s="2">
        <f t="shared" si="4"/>
        <v>8209</v>
      </c>
      <c r="N12" s="2">
        <f>+N10-N11</f>
        <v>11119</v>
      </c>
      <c r="Q12" s="2">
        <f>+Q10-Q11</f>
        <v>9008</v>
      </c>
      <c r="V12" s="10">
        <f>+V10-V11</f>
        <v>35349</v>
      </c>
      <c r="W12" s="10"/>
    </row>
    <row r="13" spans="1:23" s="2" customFormat="1" x14ac:dyDescent="0.25">
      <c r="B13" s="2" t="s">
        <v>17</v>
      </c>
      <c r="D13" s="2">
        <v>4940</v>
      </c>
      <c r="E13" s="2">
        <v>4794</v>
      </c>
      <c r="F13" s="2">
        <v>6939</v>
      </c>
      <c r="G13" s="2">
        <v>5358</v>
      </c>
      <c r="H13" s="2">
        <v>5240</v>
      </c>
      <c r="I13" s="2">
        <v>5145</v>
      </c>
      <c r="J13" s="2">
        <v>7067</v>
      </c>
      <c r="K13" s="2">
        <v>5846</v>
      </c>
      <c r="L13" s="2">
        <v>5663</v>
      </c>
      <c r="M13" s="2">
        <v>5679</v>
      </c>
      <c r="N13" s="2">
        <v>7778</v>
      </c>
      <c r="Q13" s="2">
        <v>6193</v>
      </c>
      <c r="V13" s="10">
        <f>SUM(K13:N13)</f>
        <v>24966</v>
      </c>
      <c r="W13" s="10"/>
    </row>
    <row r="14" spans="1:23" s="2" customFormat="1" x14ac:dyDescent="0.25">
      <c r="B14" s="2" t="s">
        <v>18</v>
      </c>
      <c r="D14" s="2">
        <f t="shared" ref="D14:Q14" si="5">+D12-D13</f>
        <v>1903</v>
      </c>
      <c r="E14" s="2">
        <f t="shared" si="5"/>
        <v>1679</v>
      </c>
      <c r="F14" s="2">
        <f t="shared" si="5"/>
        <v>2781</v>
      </c>
      <c r="G14" s="2">
        <f t="shared" si="5"/>
        <v>1984</v>
      </c>
      <c r="H14" s="2">
        <f t="shared" si="5"/>
        <v>2062</v>
      </c>
      <c r="I14" s="2">
        <f t="shared" si="5"/>
        <v>2197</v>
      </c>
      <c r="J14" s="2">
        <f t="shared" si="5"/>
        <v>3042</v>
      </c>
      <c r="K14" s="2">
        <f t="shared" si="5"/>
        <v>2196</v>
      </c>
      <c r="L14" s="2">
        <f t="shared" si="5"/>
        <v>2316</v>
      </c>
      <c r="M14" s="2">
        <f t="shared" si="5"/>
        <v>2530</v>
      </c>
      <c r="N14" s="2">
        <f t="shared" si="5"/>
        <v>3341</v>
      </c>
      <c r="O14" s="2">
        <f t="shared" si="5"/>
        <v>0</v>
      </c>
      <c r="P14" s="2">
        <f t="shared" si="5"/>
        <v>0</v>
      </c>
      <c r="Q14" s="2">
        <f t="shared" si="5"/>
        <v>2815</v>
      </c>
      <c r="V14" s="2">
        <f t="shared" ref="V14" si="6">+V12-V13</f>
        <v>10383</v>
      </c>
      <c r="W14" s="10"/>
    </row>
    <row r="15" spans="1:23" x14ac:dyDescent="0.25">
      <c r="B15" s="1" t="s">
        <v>14</v>
      </c>
      <c r="D15" s="1">
        <f>-34+114</f>
        <v>80</v>
      </c>
      <c r="E15" s="1">
        <f>-36+128</f>
        <v>92</v>
      </c>
      <c r="F15" s="1">
        <f>-56+238</f>
        <v>182</v>
      </c>
      <c r="G15" s="1">
        <f>-38+160</f>
        <v>122</v>
      </c>
      <c r="H15" s="1">
        <f>-41+216</f>
        <v>175</v>
      </c>
      <c r="I15" s="1">
        <f>-41+128</f>
        <v>87</v>
      </c>
      <c r="J15" s="1">
        <f>-49+120</f>
        <v>71</v>
      </c>
      <c r="K15" s="1">
        <f>-37+147</f>
        <v>110</v>
      </c>
      <c r="L15" s="1">
        <f>-36+142</f>
        <v>106</v>
      </c>
      <c r="M15" s="1">
        <f>-35+85</f>
        <v>50</v>
      </c>
      <c r="N15" s="1">
        <f>-46+215</f>
        <v>169</v>
      </c>
      <c r="Q15" s="1">
        <f>-32+155</f>
        <v>123</v>
      </c>
      <c r="V15" s="10">
        <f>SUM(K15:N15)</f>
        <v>435</v>
      </c>
    </row>
    <row r="16" spans="1:23" x14ac:dyDescent="0.25">
      <c r="B16" s="1" t="s">
        <v>13</v>
      </c>
      <c r="C16" s="2"/>
      <c r="D16" s="2">
        <f t="shared" ref="D16:Q16" si="7">+D14+D15</f>
        <v>1983</v>
      </c>
      <c r="E16" s="2">
        <f t="shared" si="7"/>
        <v>1771</v>
      </c>
      <c r="F16" s="2">
        <f t="shared" si="7"/>
        <v>2963</v>
      </c>
      <c r="G16" s="2">
        <f t="shared" si="7"/>
        <v>2106</v>
      </c>
      <c r="H16" s="2">
        <f t="shared" si="7"/>
        <v>2237</v>
      </c>
      <c r="I16" s="2">
        <f t="shared" si="7"/>
        <v>2284</v>
      </c>
      <c r="J16" s="2">
        <f t="shared" si="7"/>
        <v>3113</v>
      </c>
      <c r="K16" s="2">
        <f t="shared" si="7"/>
        <v>2306</v>
      </c>
      <c r="L16" s="2">
        <f t="shared" si="7"/>
        <v>2422</v>
      </c>
      <c r="M16" s="2">
        <f t="shared" si="7"/>
        <v>2580</v>
      </c>
      <c r="N16" s="2">
        <f t="shared" si="7"/>
        <v>3510</v>
      </c>
      <c r="O16" s="2">
        <f t="shared" si="7"/>
        <v>0</v>
      </c>
      <c r="P16" s="2">
        <f t="shared" si="7"/>
        <v>0</v>
      </c>
      <c r="Q16" s="2">
        <f t="shared" si="7"/>
        <v>2938</v>
      </c>
      <c r="V16" s="2">
        <f t="shared" ref="V16" si="8">+V14+V15</f>
        <v>10818</v>
      </c>
    </row>
    <row r="17" spans="2:23" x14ac:dyDescent="0.25">
      <c r="B17" s="1" t="s">
        <v>12</v>
      </c>
      <c r="D17" s="1">
        <v>517</v>
      </c>
      <c r="E17" s="1">
        <v>469</v>
      </c>
      <c r="F17" s="1">
        <v>803</v>
      </c>
      <c r="G17" s="1">
        <v>517</v>
      </c>
      <c r="H17" s="1">
        <v>494</v>
      </c>
      <c r="I17" s="1">
        <v>603</v>
      </c>
      <c r="J17" s="1">
        <v>759</v>
      </c>
      <c r="K17" s="1">
        <v>508</v>
      </c>
      <c r="L17" s="1">
        <v>634</v>
      </c>
      <c r="M17" s="1">
        <v>677</v>
      </c>
      <c r="N17" s="1">
        <v>900</v>
      </c>
      <c r="Q17" s="1">
        <v>746</v>
      </c>
      <c r="V17" s="10">
        <f>SUM(K17:N17)</f>
        <v>2719</v>
      </c>
    </row>
    <row r="18" spans="2:23" x14ac:dyDescent="0.25">
      <c r="B18" s="1" t="s">
        <v>11</v>
      </c>
      <c r="C18" s="2"/>
      <c r="D18" s="2">
        <f t="shared" ref="D18:Q18" si="9">+D16-D17</f>
        <v>1466</v>
      </c>
      <c r="E18" s="2">
        <f t="shared" si="9"/>
        <v>1302</v>
      </c>
      <c r="F18" s="2">
        <f t="shared" si="9"/>
        <v>2160</v>
      </c>
      <c r="G18" s="2">
        <f t="shared" si="9"/>
        <v>1589</v>
      </c>
      <c r="H18" s="2">
        <f t="shared" si="9"/>
        <v>1743</v>
      </c>
      <c r="I18" s="2">
        <f t="shared" si="9"/>
        <v>1681</v>
      </c>
      <c r="J18" s="2">
        <f t="shared" si="9"/>
        <v>2354</v>
      </c>
      <c r="K18" s="2">
        <f t="shared" si="9"/>
        <v>1798</v>
      </c>
      <c r="L18" s="2">
        <f t="shared" si="9"/>
        <v>1788</v>
      </c>
      <c r="M18" s="2">
        <f t="shared" si="9"/>
        <v>1903</v>
      </c>
      <c r="N18" s="2">
        <f t="shared" si="9"/>
        <v>2610</v>
      </c>
      <c r="O18" s="2">
        <f t="shared" si="9"/>
        <v>0</v>
      </c>
      <c r="P18" s="2">
        <f t="shared" si="9"/>
        <v>0</v>
      </c>
      <c r="Q18" s="2">
        <f t="shared" si="9"/>
        <v>2192</v>
      </c>
      <c r="V18" s="2">
        <f t="shared" ref="V18" si="10">+V16-V17</f>
        <v>8099</v>
      </c>
    </row>
    <row r="19" spans="2:23" x14ac:dyDescent="0.25">
      <c r="B19" s="1" t="s">
        <v>10</v>
      </c>
      <c r="C19" s="4"/>
      <c r="D19" s="4">
        <f t="shared" ref="D19:Q19" si="11">+D18/D20</f>
        <v>3.2982732437144944</v>
      </c>
      <c r="E19" s="4">
        <f t="shared" si="11"/>
        <v>2.9300567107750473</v>
      </c>
      <c r="F19" s="4">
        <f t="shared" si="11"/>
        <v>4.8599939250075934</v>
      </c>
      <c r="G19" s="4">
        <f t="shared" si="11"/>
        <v>3.575583423154209</v>
      </c>
      <c r="H19" s="4">
        <f t="shared" si="11"/>
        <v>3.9190204022898052</v>
      </c>
      <c r="I19" s="4">
        <f t="shared" si="11"/>
        <v>3.7789887327236595</v>
      </c>
      <c r="J19" s="4">
        <f t="shared" si="11"/>
        <v>5.2901610645044581</v>
      </c>
      <c r="K19" s="4">
        <f t="shared" si="11"/>
        <v>4.0414393637992223</v>
      </c>
      <c r="L19" s="4">
        <f t="shared" si="11"/>
        <v>4.0190071164298269</v>
      </c>
      <c r="M19" s="4">
        <f t="shared" si="11"/>
        <v>4.2786928739415684</v>
      </c>
      <c r="N19" s="4">
        <f t="shared" si="11"/>
        <v>5.8690460663899291</v>
      </c>
      <c r="O19" s="4">
        <f t="shared" si="11"/>
        <v>0</v>
      </c>
      <c r="P19" s="4">
        <f t="shared" si="11"/>
        <v>0</v>
      </c>
      <c r="Q19" s="4">
        <f t="shared" si="11"/>
        <v>4.9321602952095942</v>
      </c>
      <c r="V19" s="4">
        <f t="shared" ref="V19" si="12">+V18/V20</f>
        <v>18.207722938662187</v>
      </c>
    </row>
    <row r="20" spans="2:23" x14ac:dyDescent="0.25">
      <c r="B20" s="1" t="s">
        <v>1</v>
      </c>
      <c r="C20" s="2"/>
      <c r="D20" s="2">
        <v>444.47500000000002</v>
      </c>
      <c r="E20" s="2">
        <v>444.36</v>
      </c>
      <c r="F20" s="2">
        <v>444.44499999999999</v>
      </c>
      <c r="G20" s="2">
        <v>444.40300000000002</v>
      </c>
      <c r="H20" s="2">
        <v>444.75400000000002</v>
      </c>
      <c r="I20" s="2">
        <v>444.82799999999997</v>
      </c>
      <c r="J20" s="2">
        <v>444.97699999999998</v>
      </c>
      <c r="K20" s="2">
        <v>444.89100000000002</v>
      </c>
      <c r="L20" s="2">
        <v>444.88600000000002</v>
      </c>
      <c r="M20" s="2">
        <v>444.762</v>
      </c>
      <c r="N20" s="2">
        <v>444.70600000000002</v>
      </c>
      <c r="O20" s="2">
        <f>+N20</f>
        <v>444.70600000000002</v>
      </c>
      <c r="P20" s="2">
        <f t="shared" ref="P20:Q20" si="13">+O20</f>
        <v>444.70600000000002</v>
      </c>
      <c r="Q20" s="2">
        <v>444.43</v>
      </c>
      <c r="V20" s="10">
        <f>AVERAGE(K20:N20)</f>
        <v>444.81124999999997</v>
      </c>
    </row>
    <row r="22" spans="2:23" x14ac:dyDescent="0.25">
      <c r="B22" s="1" t="s">
        <v>22</v>
      </c>
      <c r="H22" s="8">
        <f t="shared" ref="H22:K22" si="14">+H10/D10-1</f>
        <v>5.7467520717982223E-2</v>
      </c>
      <c r="I22" s="8">
        <f t="shared" si="14"/>
        <v>9.0720996122874986E-2</v>
      </c>
      <c r="J22" s="8">
        <f t="shared" si="14"/>
        <v>9.6023511825586993E-3</v>
      </c>
      <c r="K22" s="8">
        <f t="shared" si="14"/>
        <v>7.5295420335991903E-2</v>
      </c>
      <c r="L22" s="8">
        <f>+L10/H10-1</f>
        <v>9.0363095034392993E-2</v>
      </c>
      <c r="M22" s="8">
        <f>+M10/I10-1</f>
        <v>8.0150388789199445E-2</v>
      </c>
      <c r="N22" s="8">
        <f>+N10/J10-1</f>
        <v>8.1044455876632782E-2</v>
      </c>
    </row>
    <row r="24" spans="2:23" s="2" customFormat="1" x14ac:dyDescent="0.25">
      <c r="B24" s="2" t="s">
        <v>19</v>
      </c>
      <c r="D24" s="2">
        <f>5802-C24</f>
        <v>5802</v>
      </c>
      <c r="E24" s="2">
        <f>7343-D24-C24</f>
        <v>1541</v>
      </c>
      <c r="F24" s="2">
        <f>11068-E24-D24-C24</f>
        <v>3725</v>
      </c>
      <c r="G24" s="2">
        <v>4651</v>
      </c>
      <c r="H24" s="2">
        <f>5382-G24</f>
        <v>731</v>
      </c>
      <c r="I24" s="2">
        <f>8381-H24-G24</f>
        <v>2999</v>
      </c>
      <c r="J24" s="2">
        <f>11339-I24-H24-G24</f>
        <v>2958</v>
      </c>
      <c r="K24" s="2">
        <v>3260</v>
      </c>
      <c r="L24" s="2">
        <f>6008-K24</f>
        <v>2748</v>
      </c>
      <c r="M24" s="2">
        <f>9468-L24-K24</f>
        <v>3460</v>
      </c>
      <c r="N24" s="2">
        <f>13335-M24-L24-K24</f>
        <v>3867</v>
      </c>
      <c r="V24" s="10"/>
      <c r="W24" s="10"/>
    </row>
    <row r="25" spans="2:23" s="2" customFormat="1" x14ac:dyDescent="0.25">
      <c r="B25" s="2" t="s">
        <v>20</v>
      </c>
      <c r="D25" s="2">
        <f>-1947-C25</f>
        <v>-1947</v>
      </c>
      <c r="E25" s="2">
        <f>-2767-D25-C25</f>
        <v>-820</v>
      </c>
      <c r="F25" s="2">
        <f>-1622-E25-D25-C25</f>
        <v>1145</v>
      </c>
      <c r="G25" s="2">
        <v>-1040</v>
      </c>
      <c r="H25" s="2">
        <f>-2071-G25</f>
        <v>-1031</v>
      </c>
      <c r="I25" s="2">
        <f>-3133-H25-G25</f>
        <v>-1062</v>
      </c>
      <c r="J25" s="2">
        <f>-4710-I25-H25-G25</f>
        <v>-1577</v>
      </c>
      <c r="K25" s="2">
        <v>-1264</v>
      </c>
      <c r="L25" s="2">
        <f>-2401-K25</f>
        <v>-1137</v>
      </c>
      <c r="M25" s="2">
        <f>-3532-L25-K25</f>
        <v>-1131</v>
      </c>
      <c r="N25" s="2">
        <f>-5498-M25-L25-K25</f>
        <v>-1966</v>
      </c>
      <c r="V25" s="10"/>
      <c r="W25" s="10"/>
    </row>
    <row r="26" spans="2:23" s="2" customFormat="1" x14ac:dyDescent="0.25">
      <c r="B26" s="2" t="s">
        <v>21</v>
      </c>
      <c r="D26" s="2">
        <f t="shared" ref="D26:N26" si="15">+D24+D25</f>
        <v>3855</v>
      </c>
      <c r="E26" s="2">
        <f t="shared" si="15"/>
        <v>721</v>
      </c>
      <c r="F26" s="2">
        <f t="shared" si="15"/>
        <v>4870</v>
      </c>
      <c r="G26" s="2">
        <f t="shared" si="15"/>
        <v>3611</v>
      </c>
      <c r="H26" s="2">
        <f t="shared" si="15"/>
        <v>-300</v>
      </c>
      <c r="I26" s="2">
        <f t="shared" si="15"/>
        <v>1937</v>
      </c>
      <c r="J26" s="2">
        <f t="shared" si="15"/>
        <v>1381</v>
      </c>
      <c r="K26" s="2">
        <f t="shared" si="15"/>
        <v>1996</v>
      </c>
      <c r="L26" s="2">
        <f t="shared" si="15"/>
        <v>1611</v>
      </c>
      <c r="M26" s="2">
        <f t="shared" si="15"/>
        <v>2329</v>
      </c>
      <c r="N26" s="2">
        <f t="shared" si="15"/>
        <v>1901</v>
      </c>
      <c r="V26" s="10"/>
      <c r="W26" s="10"/>
    </row>
    <row r="28" spans="2:23" x14ac:dyDescent="0.25">
      <c r="B28" s="1" t="s">
        <v>38</v>
      </c>
      <c r="M28" s="2">
        <f>+M29-M42</f>
        <v>9133</v>
      </c>
      <c r="N28" s="2">
        <f>+N29-N42</f>
        <v>9571</v>
      </c>
    </row>
    <row r="29" spans="2:23" s="2" customFormat="1" x14ac:dyDescent="0.25">
      <c r="B29" s="2" t="s">
        <v>3</v>
      </c>
      <c r="M29" s="2">
        <f>13836+1014</f>
        <v>14850</v>
      </c>
      <c r="N29" s="2">
        <f>14161+1123</f>
        <v>15284</v>
      </c>
      <c r="V29" s="10"/>
      <c r="W29" s="10"/>
    </row>
    <row r="30" spans="2:23" s="2" customFormat="1" x14ac:dyDescent="0.25">
      <c r="B30" s="2" t="s">
        <v>29</v>
      </c>
      <c r="M30" s="2">
        <v>2875</v>
      </c>
      <c r="N30" s="2">
        <v>3203</v>
      </c>
      <c r="V30" s="10"/>
      <c r="W30" s="10"/>
    </row>
    <row r="31" spans="2:23" s="2" customFormat="1" x14ac:dyDescent="0.25">
      <c r="B31" s="2" t="s">
        <v>27</v>
      </c>
      <c r="M31" s="2">
        <v>18606</v>
      </c>
      <c r="N31" s="2">
        <v>18116</v>
      </c>
      <c r="V31" s="10"/>
      <c r="W31" s="10"/>
    </row>
    <row r="32" spans="2:23" s="2" customFormat="1" x14ac:dyDescent="0.25">
      <c r="B32" s="2" t="s">
        <v>28</v>
      </c>
      <c r="M32" s="2">
        <v>1820</v>
      </c>
      <c r="N32" s="2">
        <v>1777</v>
      </c>
      <c r="V32" s="10"/>
      <c r="W32" s="10"/>
    </row>
    <row r="33" spans="2:23" s="2" customFormat="1" x14ac:dyDescent="0.25">
      <c r="B33" s="2" t="s">
        <v>26</v>
      </c>
      <c r="M33" s="2">
        <v>30582</v>
      </c>
      <c r="N33" s="2">
        <v>31909</v>
      </c>
      <c r="V33" s="10"/>
      <c r="W33" s="10"/>
    </row>
    <row r="34" spans="2:23" s="2" customFormat="1" x14ac:dyDescent="0.25">
      <c r="B34" s="2" t="s">
        <v>25</v>
      </c>
      <c r="M34" s="2">
        <v>2718</v>
      </c>
      <c r="N34" s="2">
        <v>2725</v>
      </c>
      <c r="V34" s="10"/>
      <c r="W34" s="10"/>
    </row>
    <row r="35" spans="2:23" s="2" customFormat="1" x14ac:dyDescent="0.25">
      <c r="B35" s="2" t="s">
        <v>24</v>
      </c>
      <c r="M35" s="2">
        <v>4031</v>
      </c>
      <c r="N35" s="2">
        <v>4085</v>
      </c>
      <c r="V35" s="10"/>
      <c r="W35" s="10"/>
    </row>
    <row r="36" spans="2:23" s="2" customFormat="1" x14ac:dyDescent="0.25">
      <c r="B36" s="2" t="s">
        <v>23</v>
      </c>
      <c r="M36" s="2">
        <f>SUM(M29:M35)</f>
        <v>75482</v>
      </c>
      <c r="N36" s="2">
        <f>SUM(N29:N35)</f>
        <v>77099</v>
      </c>
      <c r="V36" s="10"/>
      <c r="W36" s="10"/>
    </row>
    <row r="38" spans="2:23" x14ac:dyDescent="0.25">
      <c r="B38" s="1" t="s">
        <v>30</v>
      </c>
      <c r="M38" s="2">
        <v>19820</v>
      </c>
      <c r="N38" s="2">
        <v>19783</v>
      </c>
    </row>
    <row r="39" spans="2:23" x14ac:dyDescent="0.25">
      <c r="B39" s="1" t="s">
        <v>31</v>
      </c>
      <c r="M39" s="2">
        <v>4813</v>
      </c>
      <c r="N39" s="2">
        <v>5205</v>
      </c>
    </row>
    <row r="40" spans="2:23" x14ac:dyDescent="0.25">
      <c r="B40" s="1" t="s">
        <v>32</v>
      </c>
      <c r="M40" s="2">
        <f>2583+2931</f>
        <v>5514</v>
      </c>
      <c r="N40" s="2">
        <f>2677+2854</f>
        <v>5531</v>
      </c>
    </row>
    <row r="41" spans="2:23" x14ac:dyDescent="0.25">
      <c r="B41" s="1" t="s">
        <v>33</v>
      </c>
      <c r="M41" s="2">
        <v>7432</v>
      </c>
      <c r="N41" s="2">
        <v>6589</v>
      </c>
    </row>
    <row r="42" spans="2:23" x14ac:dyDescent="0.25">
      <c r="B42" s="1" t="s">
        <v>4</v>
      </c>
      <c r="M42" s="2">
        <v>5717</v>
      </c>
      <c r="N42" s="2">
        <v>5713</v>
      </c>
    </row>
    <row r="43" spans="2:23" x14ac:dyDescent="0.25">
      <c r="B43" s="1" t="s">
        <v>34</v>
      </c>
      <c r="M43" s="2">
        <v>2463</v>
      </c>
      <c r="N43" s="2">
        <v>2460</v>
      </c>
    </row>
    <row r="44" spans="2:23" x14ac:dyDescent="0.25">
      <c r="B44" s="1" t="s">
        <v>35</v>
      </c>
      <c r="M44" s="2">
        <v>2598</v>
      </c>
      <c r="N44" s="2">
        <v>2654</v>
      </c>
    </row>
    <row r="45" spans="2:23" x14ac:dyDescent="0.25">
      <c r="B45" s="1" t="s">
        <v>36</v>
      </c>
      <c r="M45" s="2">
        <v>27125</v>
      </c>
      <c r="N45" s="2">
        <v>29164</v>
      </c>
    </row>
    <row r="46" spans="2:23" x14ac:dyDescent="0.25">
      <c r="B46" s="1" t="s">
        <v>37</v>
      </c>
      <c r="M46" s="2">
        <f>SUM(M38:M45)</f>
        <v>75482</v>
      </c>
      <c r="N46" s="2">
        <f>SUM(N38:N45)</f>
        <v>77099</v>
      </c>
    </row>
  </sheetData>
  <hyperlinks>
    <hyperlink ref="A1" location="Main!A1" display="Main" xr:uid="{8700012B-1663-4F72-A9B4-B92390B41D1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2025-03-06T21:45:17Z</dcterms:created>
  <dcterms:modified xsi:type="dcterms:W3CDTF">2026-08-20T22:07:54Z</dcterms:modified>
</cp:coreProperties>
</file>