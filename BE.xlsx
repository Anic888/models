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E7ACA0A6-A38C-4B7D-8EE6-6C6E1EA1E8E4}" xr6:coauthVersionLast="47" xr6:coauthVersionMax="47" xr10:uidLastSave="{00000000-0000-0000-0000-000000000000}"/>
  <bookViews>
    <workbookView xWindow="12890" yWindow="3530" windowWidth="19050" windowHeight="16100" activeTab="1" xr2:uid="{B9927FD9-ACA2-42E2-9D8A-BA93567E86CE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8" i="2" l="1"/>
  <c r="H26" i="2"/>
  <c r="D23" i="2"/>
  <c r="C23" i="2"/>
  <c r="H23" i="2"/>
  <c r="G23" i="2"/>
  <c r="G22" i="2"/>
  <c r="H22" i="2"/>
  <c r="C15" i="2"/>
  <c r="C13" i="2"/>
  <c r="C7" i="2"/>
  <c r="C9" i="2" s="1"/>
  <c r="G15" i="2"/>
  <c r="G13" i="2"/>
  <c r="G7" i="2"/>
  <c r="G9" i="2" s="1"/>
  <c r="H28" i="2"/>
  <c r="F18" i="2"/>
  <c r="E18" i="2"/>
  <c r="D15" i="2"/>
  <c r="F16" i="2"/>
  <c r="E16" i="2"/>
  <c r="H15" i="2"/>
  <c r="H13" i="2"/>
  <c r="F13" i="2"/>
  <c r="F14" i="2" s="1"/>
  <c r="E13" i="2"/>
  <c r="E14" i="2" s="1"/>
  <c r="D13" i="2"/>
  <c r="F9" i="2"/>
  <c r="E9" i="2"/>
  <c r="D9" i="2"/>
  <c r="D14" i="2" s="1"/>
  <c r="D16" i="2" s="1"/>
  <c r="D18" i="2" s="1"/>
  <c r="D19" i="2" s="1"/>
  <c r="H7" i="2"/>
  <c r="H9" i="2" s="1"/>
  <c r="F7" i="2"/>
  <c r="E7" i="2"/>
  <c r="D7" i="2"/>
  <c r="H6" i="1"/>
  <c r="H5" i="1"/>
  <c r="H4" i="1"/>
  <c r="H7" i="1" s="1"/>
  <c r="C14" i="2" l="1"/>
  <c r="C16" i="2" s="1"/>
  <c r="C18" i="2" s="1"/>
  <c r="C19" i="2" s="1"/>
  <c r="G14" i="2"/>
  <c r="G16" i="2" s="1"/>
  <c r="G18" i="2" s="1"/>
  <c r="G19" i="2" s="1"/>
  <c r="H14" i="2"/>
  <c r="H16" i="2" s="1"/>
  <c r="H18" i="2" s="1"/>
  <c r="H19" i="2" s="1"/>
</calcChain>
</file>

<file path=xl/sharedStrings.xml><?xml version="1.0" encoding="utf-8"?>
<sst xmlns="http://schemas.openxmlformats.org/spreadsheetml/2006/main" count="41" uniqueCount="37">
  <si>
    <t>Price</t>
  </si>
  <si>
    <t>Shares</t>
  </si>
  <si>
    <t>MC</t>
  </si>
  <si>
    <t>Cash</t>
  </si>
  <si>
    <t>Debt</t>
  </si>
  <si>
    <t>EV</t>
  </si>
  <si>
    <t>Q226</t>
  </si>
  <si>
    <t>Main</t>
  </si>
  <si>
    <t>Revenue</t>
  </si>
  <si>
    <t>Q125</t>
  </si>
  <si>
    <t>Q225</t>
  </si>
  <si>
    <t>Q325</t>
  </si>
  <si>
    <t>Q425</t>
  </si>
  <si>
    <t>Q126</t>
  </si>
  <si>
    <t>Q326</t>
  </si>
  <si>
    <t>Q426</t>
  </si>
  <si>
    <t>Product</t>
  </si>
  <si>
    <t>Install</t>
  </si>
  <si>
    <t>Service</t>
  </si>
  <si>
    <t>Electricity</t>
  </si>
  <si>
    <t>Gross Profit</t>
  </si>
  <si>
    <t>COGS</t>
  </si>
  <si>
    <t>R&amp;D</t>
  </si>
  <si>
    <t>S&amp;M</t>
  </si>
  <si>
    <t>G&amp;A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</si>
  <si>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</si>
  <si>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</si>
  <si>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</si>
  <si>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</si>
  <si>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</si>
  <si>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</si>
  <si>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</si>
  <si>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CFFO</t>
  </si>
  <si>
    <t>CapEx</t>
  </si>
  <si>
    <t>FCF</t>
  </si>
  <si>
    <t>Revenue y/y</t>
  </si>
  <si>
    <t>Gross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</si>
</sst>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</xdr:colOff>
      <xdr:row>0</xdr:row>
      <xdr:rowOff>35719</xdr:rowOff>
    </xdr:from>
    <xdr:to>
      <xdr:col>8</xdr:col>
      <xdr:colOff>23812</xdr:colOff>
      <xdr:row>35</xdr:row>
      <xdr:rowOff>130968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DB56032-377F-309A-F48C-ABDB3B4E6230}"/>
            </a:ext>
          </a:extLst>
        </xdr:cNvPr>
        <xdr:cNvCxnSpPr/>
      </xdr:nvCxnSpPr>
      <xdr:spPr>
        <a:xfrm>
          <a:off x="5218906" y="35719"/>
          <a:ext cx="0" cy="565943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9FCD2-5C33-46F6-9126-E3767962A575}">
  <dimension ref="G2:I7"/>
  <sheetViews>
    <sheetView zoomScale="190" zoomScaleNormal="190" workbookViewId="0">
      <selection activeCell="D8" sqref="D8"/>
    </sheetView>
  </sheetViews>
  <sheetFormatPr defaultRowHeight="12.5" x14ac:dyDescent="0.25"/>
  <cols>
    <col min="1" max="16384" width="8.7265625" style="1"/>
  </cols>
  <sheetData>
    <row r="2" spans="7:9" x14ac:dyDescent="0.25">
      <c r="G2" s="1" t="s">
        <v>0</v>
      </c>
      <c r="H2" s="2">
        <v>185</v>
      </c>
    </row>
    <row r="3" spans="7:9" x14ac:dyDescent="0.25">
      <c r="G3" s="1" t="s">
        <v>1</v>
      </c>
      <c r="H3" s="3">
        <v>294.52734600000002</v>
      </c>
      <c r="I3" s="4" t="s">
        <v>6</v>
      </c>
    </row>
    <row r="4" spans="7:9" x14ac:dyDescent="0.25">
      <c r="G4" s="1" t="s">
        <v>2</v>
      </c>
      <c r="H4" s="3">
        <f>+H2*H3</f>
        <v>54487.559010000004</v>
      </c>
    </row>
    <row r="5" spans="7:9" x14ac:dyDescent="0.25">
      <c r="G5" s="1" t="s">
        <v>3</v>
      </c>
      <c r="H5" s="3">
        <f>2666.859+1.05+20.599+28.09</f>
        <v>2716.5980000000004</v>
      </c>
      <c r="I5" s="4" t="s">
        <v>6</v>
      </c>
    </row>
    <row r="6" spans="7:9" x14ac:dyDescent="0.25">
      <c r="G6" s="1" t="s">
        <v>4</v>
      </c>
      <c r="H6" s="3">
        <f>2470.704+144.446+4.686+62.034</f>
        <v>2681.8700000000003</v>
      </c>
      <c r="I6" s="4" t="s">
        <v>6</v>
      </c>
    </row>
    <row r="7" spans="7:9" x14ac:dyDescent="0.25">
      <c r="G7" s="1" t="s">
        <v>5</v>
      </c>
      <c r="H7" s="3">
        <f>+H4-H5+H6</f>
        <v>54452.831010000009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BD625-89CA-4A96-A1C9-30A07FD5DACD}">
  <dimension ref="A1:J28"/>
  <sheetViews>
    <sheetView tabSelected="1" zoomScale="160" zoomScaleNormal="1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27" sqref="G27"/>
    </sheetView>
  </sheetViews>
  <sheetFormatPr defaultRowHeight="12.5" x14ac:dyDescent="0.25"/>
  <cols>
    <col min="1" max="1" width="4.7265625" style="1" bestFit="1" customWidth="1"/>
    <col min="2" max="2" width="17.1796875" style="1" bestFit="1" customWidth="1"/>
    <col min="3" max="10" width="8.7265625" style="4"/>
    <col min="11" max="16384" width="8.7265625" style="1"/>
  </cols>
  <sheetData>
    <row r="1" spans="1:10" x14ac:dyDescent="0.25">
      <c r="A1" s="1" t="s">
        <v>7</v>
      </c>
    </row>
    <row r="2" spans="1:10" x14ac:dyDescent="0.25"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6</v>
      </c>
      <c r="I2" s="4" t="s">
        <v>14</v>
      </c>
      <c r="J2" s="4" t="s">
        <v>15</v>
      </c>
    </row>
    <row r="3" spans="1:10" s="3" customFormat="1" x14ac:dyDescent="0.25">
      <c r="B3" s="3" t="s">
        <v>16</v>
      </c>
      <c r="C3" s="5">
        <v>211.869</v>
      </c>
      <c r="D3" s="5">
        <v>296.61099999999999</v>
      </c>
      <c r="E3" s="5"/>
      <c r="F3" s="5"/>
      <c r="G3" s="5">
        <v>653.34799999999996</v>
      </c>
      <c r="H3" s="5">
        <v>935.41300000000001</v>
      </c>
      <c r="I3" s="5"/>
      <c r="J3" s="5"/>
    </row>
    <row r="4" spans="1:10" s="3" customFormat="1" x14ac:dyDescent="0.25">
      <c r="B4" s="3" t="s">
        <v>17</v>
      </c>
      <c r="C4" s="5">
        <v>33.651000000000003</v>
      </c>
      <c r="D4" s="5">
        <v>37.372</v>
      </c>
      <c r="E4" s="5"/>
      <c r="F4" s="5"/>
      <c r="G4" s="5">
        <v>25.931000000000001</v>
      </c>
      <c r="H4" s="5">
        <v>50.978000000000002</v>
      </c>
      <c r="I4" s="5"/>
      <c r="J4" s="5"/>
    </row>
    <row r="5" spans="1:10" s="3" customFormat="1" x14ac:dyDescent="0.25">
      <c r="B5" s="3" t="s">
        <v>18</v>
      </c>
      <c r="C5" s="5">
        <v>53.548000000000002</v>
      </c>
      <c r="D5" s="5">
        <v>54.448999999999998</v>
      </c>
      <c r="E5" s="5"/>
      <c r="F5" s="5"/>
      <c r="G5" s="5">
        <v>61.878999999999998</v>
      </c>
      <c r="H5" s="5">
        <v>69.022999999999996</v>
      </c>
      <c r="I5" s="5"/>
      <c r="J5" s="5"/>
    </row>
    <row r="6" spans="1:10" s="3" customFormat="1" x14ac:dyDescent="0.25">
      <c r="B6" s="3" t="s">
        <v>19</v>
      </c>
      <c r="C6" s="5">
        <v>26.952999999999999</v>
      </c>
      <c r="D6" s="5">
        <v>12.81</v>
      </c>
      <c r="E6" s="5"/>
      <c r="F6" s="5"/>
      <c r="G6" s="5">
        <v>9.8960000000000008</v>
      </c>
      <c r="H6" s="5">
        <v>9.9510000000000005</v>
      </c>
      <c r="I6" s="5"/>
      <c r="J6" s="5"/>
    </row>
    <row r="7" spans="1:10" s="6" customFormat="1" ht="13" x14ac:dyDescent="0.3">
      <c r="B7" s="6" t="s">
        <v>8</v>
      </c>
      <c r="C7" s="7">
        <f t="shared" ref="C7" si="0">SUM(C3:C6)</f>
        <v>326.02099999999996</v>
      </c>
      <c r="D7" s="7">
        <f>SUM(D3:D6)</f>
        <v>401.24200000000002</v>
      </c>
      <c r="E7" s="7">
        <f t="shared" ref="E7:H7" si="1">SUM(E3:E6)</f>
        <v>0</v>
      </c>
      <c r="F7" s="7">
        <f t="shared" si="1"/>
        <v>0</v>
      </c>
      <c r="G7" s="7">
        <f t="shared" ref="G7" si="2">SUM(G3:G6)</f>
        <v>751.05399999999997</v>
      </c>
      <c r="H7" s="7">
        <f t="shared" si="1"/>
        <v>1065.365</v>
      </c>
      <c r="I7" s="7"/>
      <c r="J7" s="7"/>
    </row>
    <row r="8" spans="1:10" s="3" customFormat="1" x14ac:dyDescent="0.25">
      <c r="B8" s="3" t="s">
        <v>21</v>
      </c>
      <c r="C8" s="5">
        <v>237.31399999999999</v>
      </c>
      <c r="D8" s="5">
        <v>294.11900000000003</v>
      </c>
      <c r="E8" s="5"/>
      <c r="F8" s="5"/>
      <c r="G8" s="5">
        <v>525.51</v>
      </c>
      <c r="H8" s="5">
        <v>709.79300000000001</v>
      </c>
      <c r="I8" s="5"/>
      <c r="J8" s="5"/>
    </row>
    <row r="9" spans="1:10" s="3" customFormat="1" x14ac:dyDescent="0.25">
      <c r="B9" s="3" t="s">
        <v>20</v>
      </c>
      <c r="C9" s="5">
        <f t="shared" ref="C9" si="3">+C7-C8</f>
        <v>88.706999999999965</v>
      </c>
      <c r="D9" s="5">
        <f>+D7-D8</f>
        <v>107.12299999999999</v>
      </c>
      <c r="E9" s="5">
        <f t="shared" ref="E9:H9" si="4">+E7-E8</f>
        <v>0</v>
      </c>
      <c r="F9" s="5">
        <f t="shared" si="4"/>
        <v>0</v>
      </c>
      <c r="G9" s="5">
        <f t="shared" ref="G9" si="5">+G7-G8</f>
        <v>225.54399999999998</v>
      </c>
      <c r="H9" s="5">
        <f t="shared" si="4"/>
        <v>355.572</v>
      </c>
      <c r="I9" s="5"/>
      <c r="J9" s="5"/>
    </row>
    <row r="10" spans="1:10" s="3" customFormat="1" x14ac:dyDescent="0.25">
      <c r="B10" s="3" t="s">
        <v>22</v>
      </c>
      <c r="C10" s="5">
        <v>40.612000000000002</v>
      </c>
      <c r="D10" s="5">
        <v>40.768000000000001</v>
      </c>
      <c r="E10" s="5"/>
      <c r="F10" s="5"/>
      <c r="G10" s="5">
        <v>56.848999999999997</v>
      </c>
      <c r="H10" s="5">
        <v>58.872999999999998</v>
      </c>
      <c r="I10" s="5"/>
      <c r="J10" s="5"/>
    </row>
    <row r="11" spans="1:10" s="3" customFormat="1" x14ac:dyDescent="0.25">
      <c r="B11" s="3" t="s">
        <v>23</v>
      </c>
      <c r="C11" s="5">
        <v>22.265000000000001</v>
      </c>
      <c r="D11" s="5">
        <v>24.065999999999999</v>
      </c>
      <c r="E11" s="5"/>
      <c r="F11" s="5"/>
      <c r="G11" s="5">
        <v>38.439</v>
      </c>
      <c r="H11" s="5">
        <v>43.045000000000002</v>
      </c>
      <c r="I11" s="5"/>
      <c r="J11" s="5"/>
    </row>
    <row r="12" spans="1:10" s="3" customFormat="1" x14ac:dyDescent="0.25">
      <c r="B12" s="3" t="s">
        <v>24</v>
      </c>
      <c r="C12" s="5">
        <v>44.9</v>
      </c>
      <c r="D12" s="5">
        <v>45.792000000000002</v>
      </c>
      <c r="E12" s="5"/>
      <c r="F12" s="5"/>
      <c r="G12" s="5">
        <v>58.066000000000003</v>
      </c>
      <c r="H12" s="5">
        <v>71.417000000000002</v>
      </c>
      <c r="I12" s="5"/>
      <c r="J12" s="5"/>
    </row>
    <row r="13" spans="1:10" s="3" customFormat="1" x14ac:dyDescent="0.25">
      <c r="B13" s="3" t="s">
        <v>25</v>
      </c>
      <c r="C13" s="5">
        <f t="shared" ref="C13" si="6">SUM(C10:C12)</f>
        <v>107.777</v>
      </c>
      <c r="D13" s="5">
        <f>SUM(D10:D12)</f>
        <v>110.626</v>
      </c>
      <c r="E13" s="5">
        <f t="shared" ref="E13:H13" si="7">SUM(E10:E12)</f>
        <v>0</v>
      </c>
      <c r="F13" s="5">
        <f t="shared" si="7"/>
        <v>0</v>
      </c>
      <c r="G13" s="5">
        <f t="shared" ref="G13" si="8">SUM(G10:G12)</f>
        <v>153.35399999999998</v>
      </c>
      <c r="H13" s="5">
        <f t="shared" si="7"/>
        <v>173.33500000000001</v>
      </c>
      <c r="I13" s="5"/>
      <c r="J13" s="5"/>
    </row>
    <row r="14" spans="1:10" s="3" customFormat="1" x14ac:dyDescent="0.25">
      <c r="B14" s="3" t="s">
        <v>26</v>
      </c>
      <c r="C14" s="5">
        <f t="shared" ref="C14" si="9">C9-C13</f>
        <v>-19.070000000000036</v>
      </c>
      <c r="D14" s="5">
        <f>D9-D13</f>
        <v>-3.5030000000000143</v>
      </c>
      <c r="E14" s="5">
        <f t="shared" ref="E14:H14" si="10">E9-E13</f>
        <v>0</v>
      </c>
      <c r="F14" s="5">
        <f t="shared" si="10"/>
        <v>0</v>
      </c>
      <c r="G14" s="5">
        <f t="shared" ref="G14" si="11">G9-G13</f>
        <v>72.19</v>
      </c>
      <c r="H14" s="5">
        <f t="shared" si="10"/>
        <v>182.23699999999999</v>
      </c>
      <c r="I14" s="5"/>
      <c r="J14" s="5"/>
    </row>
    <row r="15" spans="1:10" s="3" customFormat="1" x14ac:dyDescent="0.25">
      <c r="B15" s="3" t="s">
        <v>27</v>
      </c>
      <c r="C15" s="5">
        <f>8.553-14.411</f>
        <v>-5.8579999999999988</v>
      </c>
      <c r="D15" s="5">
        <f>6.623-14.44</f>
        <v>-7.8169999999999993</v>
      </c>
      <c r="E15" s="5"/>
      <c r="F15" s="5"/>
      <c r="G15" s="5">
        <f>20.601-8.604</f>
        <v>11.997</v>
      </c>
      <c r="H15" s="5">
        <f>20.881-8.906</f>
        <v>11.975</v>
      </c>
      <c r="I15" s="5"/>
      <c r="J15" s="5"/>
    </row>
    <row r="16" spans="1:10" s="3" customFormat="1" x14ac:dyDescent="0.25">
      <c r="B16" s="3" t="s">
        <v>28</v>
      </c>
      <c r="C16" s="5">
        <f t="shared" ref="C16" si="12">+C14+C15</f>
        <v>-24.928000000000033</v>
      </c>
      <c r="D16" s="5">
        <f t="shared" ref="D16:G16" si="13">+D14+D15</f>
        <v>-11.320000000000014</v>
      </c>
      <c r="E16" s="5">
        <f t="shared" si="13"/>
        <v>0</v>
      </c>
      <c r="F16" s="5">
        <f t="shared" si="13"/>
        <v>0</v>
      </c>
      <c r="G16" s="5">
        <f t="shared" si="13"/>
        <v>84.186999999999998</v>
      </c>
      <c r="H16" s="5">
        <f>+H14+H15</f>
        <v>194.21199999999999</v>
      </c>
      <c r="I16" s="5"/>
      <c r="J16" s="5"/>
    </row>
    <row r="17" spans="2:10" s="3" customFormat="1" x14ac:dyDescent="0.25">
      <c r="B17" s="3" t="s">
        <v>29</v>
      </c>
      <c r="C17" s="5">
        <v>0.43099999999999999</v>
      </c>
      <c r="D17" s="5">
        <v>1.0169999999999999</v>
      </c>
      <c r="E17" s="5"/>
      <c r="F17" s="5"/>
      <c r="G17" s="5">
        <v>0.44500000000000001</v>
      </c>
      <c r="H17" s="5">
        <v>1.47</v>
      </c>
      <c r="I17" s="5"/>
      <c r="J17" s="5"/>
    </row>
    <row r="18" spans="2:10" s="3" customFormat="1" x14ac:dyDescent="0.25">
      <c r="B18" s="3" t="s">
        <v>30</v>
      </c>
      <c r="C18" s="5">
        <f t="shared" ref="C18" si="14">+C16-C17</f>
        <v>-25.359000000000034</v>
      </c>
      <c r="D18" s="5">
        <f>+D16-D17</f>
        <v>-12.337000000000014</v>
      </c>
      <c r="E18" s="5">
        <f t="shared" ref="E18:H18" si="15">+E16-E17</f>
        <v>0</v>
      </c>
      <c r="F18" s="5">
        <f t="shared" si="15"/>
        <v>0</v>
      </c>
      <c r="G18" s="5">
        <f t="shared" ref="G18" si="16">+G16-G17</f>
        <v>83.742000000000004</v>
      </c>
      <c r="H18" s="5">
        <f t="shared" si="15"/>
        <v>192.74199999999999</v>
      </c>
      <c r="I18" s="5"/>
      <c r="J18" s="5"/>
    </row>
    <row r="19" spans="2:10" x14ac:dyDescent="0.25">
      <c r="B19" s="1" t="s">
        <v>31</v>
      </c>
      <c r="C19" s="8">
        <f t="shared" ref="C19" si="17">+C18/C20</f>
        <v>-0.11015594457234713</v>
      </c>
      <c r="D19" s="8">
        <f>+D18/D20</f>
        <v>-5.3052781863061359E-2</v>
      </c>
      <c r="G19" s="8">
        <f t="shared" ref="G19" si="18">+G18/G20</f>
        <v>0.26193276364682772</v>
      </c>
      <c r="H19" s="8">
        <f>+H18/H20</f>
        <v>0.59611358020109417</v>
      </c>
    </row>
    <row r="20" spans="2:10" s="3" customFormat="1" x14ac:dyDescent="0.25">
      <c r="B20" s="3" t="s">
        <v>1</v>
      </c>
      <c r="C20" s="5">
        <v>230.21</v>
      </c>
      <c r="D20" s="5">
        <v>232.542</v>
      </c>
      <c r="E20" s="5"/>
      <c r="F20" s="5"/>
      <c r="G20" s="5">
        <v>319.70800000000003</v>
      </c>
      <c r="H20" s="5">
        <v>323.33100000000002</v>
      </c>
      <c r="I20" s="5"/>
      <c r="J20" s="5"/>
    </row>
    <row r="22" spans="2:10" x14ac:dyDescent="0.25">
      <c r="B22" s="1" t="s">
        <v>35</v>
      </c>
      <c r="G22" s="9">
        <f t="shared" ref="G22" si="19">G7/C7-1</f>
        <v>1.3036982280282561</v>
      </c>
      <c r="H22" s="9">
        <f>H7/D7-1</f>
        <v>1.6551682027305215</v>
      </c>
    </row>
    <row r="23" spans="2:10" x14ac:dyDescent="0.25">
      <c r="B23" s="1" t="s">
        <v>36</v>
      </c>
      <c r="C23" s="9">
        <f t="shared" ref="C23:D23" si="20">+C9/C7</f>
        <v>0.27208983470389936</v>
      </c>
      <c r="D23" s="9">
        <f t="shared" si="20"/>
        <v>0.26697853165919816</v>
      </c>
      <c r="G23" s="9">
        <f>+G9/G7</f>
        <v>0.30030330708577546</v>
      </c>
      <c r="H23" s="9">
        <f t="shared" ref="H23" si="21">+H9/H7</f>
        <v>0.33375603666349091</v>
      </c>
    </row>
    <row r="26" spans="2:10" s="3" customFormat="1" x14ac:dyDescent="0.25">
      <c r="B26" s="3" t="s">
        <v>32</v>
      </c>
      <c r="C26" s="5"/>
      <c r="D26" s="5"/>
      <c r="E26" s="5"/>
      <c r="F26" s="5"/>
      <c r="G26" s="5">
        <v>73.61</v>
      </c>
      <c r="H26" s="5">
        <f>300.042-G26</f>
        <v>226.43199999999996</v>
      </c>
      <c r="I26" s="5"/>
      <c r="J26" s="5"/>
    </row>
    <row r="27" spans="2:10" x14ac:dyDescent="0.25">
      <c r="B27" s="1" t="s">
        <v>33</v>
      </c>
      <c r="G27" s="5">
        <v>26.181999999999999</v>
      </c>
      <c r="H27" s="5">
        <v>77.822999999999993</v>
      </c>
    </row>
    <row r="28" spans="2:10" x14ac:dyDescent="0.25">
      <c r="B28" s="1" t="s">
        <v>34</v>
      </c>
      <c r="G28" s="5">
        <f t="shared" ref="G28" si="22">+G26-G27</f>
        <v>47.427999999999997</v>
      </c>
      <c r="H28" s="5">
        <f>+H26-H27</f>
        <v>148.60899999999998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2026-07-29T13:05:06Z</dcterms:created>
  <dcterms:modified xsi:type="dcterms:W3CDTF">2026-07-29T13:18:17Z</dcterms:modified>
</cp:coreProperties>
</file>