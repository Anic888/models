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A27921B2-4AE3-4E0A-8CF1-BE44D7CB35A6}" xr6:coauthVersionLast="47" xr6:coauthVersionMax="47" xr10:uidLastSave="{00000000-0000-0000-0000-000000000000}"/>
  <bookViews>
    <workbookView xWindow="13390" yWindow="3330" windowWidth="22360" windowHeight="16580" activeTab="1" xr2:uid="{57C30761-CAF2-4DE9-93D4-20A7306FD955}"/>
  </bookViews>
  <sheets>
    <sheet name="Master" sheetId="5" r:id="rId1"/>
    <sheet name="Main" sheetId="1" r:id="rId2"/>
    <sheet name="Model" sheetId="2" r:id="rId3"/>
    <sheet name="Spikevax" sheetId="3" r:id="rId4"/>
    <sheet name="4157" sheetId="4" r:id="rId5"/>
    <sheet name="1647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7" i="2" l="1"/>
  <c r="W16" i="2"/>
  <c r="X16" i="2"/>
  <c r="AD29" i="2"/>
  <c r="AC29" i="2"/>
  <c r="AB29" i="2"/>
  <c r="AA29" i="2"/>
  <c r="Z29" i="2"/>
  <c r="AD28" i="2"/>
  <c r="AC28" i="2"/>
  <c r="AB28" i="2"/>
  <c r="AA28" i="2"/>
  <c r="Y28" i="2"/>
  <c r="AD25" i="2"/>
  <c r="AC25" i="2"/>
  <c r="AB25" i="2"/>
  <c r="AA25" i="2"/>
  <c r="Z25" i="2"/>
  <c r="AD24" i="2"/>
  <c r="AC24" i="2"/>
  <c r="AB24" i="2"/>
  <c r="AA24" i="2"/>
  <c r="Z24" i="2"/>
  <c r="AD22" i="2"/>
  <c r="AC22" i="2"/>
  <c r="AB22" i="2"/>
  <c r="AA22" i="2"/>
  <c r="Z22" i="2"/>
  <c r="Y16" i="2"/>
  <c r="AD19" i="2"/>
  <c r="AD20" i="2" s="1"/>
  <c r="AC19" i="2"/>
  <c r="AC20" i="2" s="1"/>
  <c r="AB19" i="2"/>
  <c r="AB20" i="2" s="1"/>
  <c r="AA19" i="2"/>
  <c r="AA20" i="2" s="1"/>
  <c r="Z19" i="2"/>
  <c r="Z20" i="2" s="1"/>
  <c r="Y19" i="2"/>
  <c r="Y20" i="2" s="1"/>
  <c r="Y22" i="2" s="1"/>
  <c r="X19" i="2"/>
  <c r="X20" i="2" s="1"/>
  <c r="X22" i="2" s="1"/>
  <c r="W19" i="2"/>
  <c r="W20" i="2" s="1"/>
  <c r="W22" i="2" s="1"/>
  <c r="W29" i="2" s="1"/>
  <c r="AA16" i="2"/>
  <c r="K5" i="1"/>
  <c r="AA11" i="2"/>
  <c r="AA14" i="2" s="1"/>
  <c r="AD14" i="2"/>
  <c r="AC14" i="2"/>
  <c r="AB14" i="2"/>
  <c r="V32" i="2"/>
  <c r="V40" i="2" s="1"/>
  <c r="AL26" i="2"/>
  <c r="AM26" i="2" s="1"/>
  <c r="AN26" i="2" s="1"/>
  <c r="AO26" i="2" s="1"/>
  <c r="AP26" i="2" s="1"/>
  <c r="AQ26" i="2" s="1"/>
  <c r="AR26" i="2" s="1"/>
  <c r="AS26" i="2" s="1"/>
  <c r="AT26" i="2" s="1"/>
  <c r="AU26" i="2" s="1"/>
  <c r="AV26" i="2" s="1"/>
  <c r="AN8" i="2"/>
  <c r="AO8" i="2" s="1"/>
  <c r="AP8" i="2" s="1"/>
  <c r="AQ8" i="2" s="1"/>
  <c r="AR8" i="2" s="1"/>
  <c r="AS8" i="2" s="1"/>
  <c r="AT8" i="2" s="1"/>
  <c r="AU8" i="2" s="1"/>
  <c r="AV8" i="2" s="1"/>
  <c r="AL8" i="2"/>
  <c r="AL9" i="2"/>
  <c r="Z10" i="2"/>
  <c r="Z13" i="2"/>
  <c r="AL13" i="2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L12" i="2"/>
  <c r="P11" i="2"/>
  <c r="Q11" i="2"/>
  <c r="R11" i="2"/>
  <c r="S11" i="2"/>
  <c r="T11" i="2"/>
  <c r="U47" i="2"/>
  <c r="U44" i="2"/>
  <c r="U32" i="2"/>
  <c r="U40" i="2"/>
  <c r="U11" i="2"/>
  <c r="AK10" i="2"/>
  <c r="AK11" i="2" s="1"/>
  <c r="AJ59" i="2"/>
  <c r="AK59" i="2"/>
  <c r="V47" i="2"/>
  <c r="V44" i="2"/>
  <c r="V51" i="2" s="1"/>
  <c r="V21" i="2"/>
  <c r="V19" i="2"/>
  <c r="V10" i="2"/>
  <c r="V11" i="2" s="1"/>
  <c r="V14" i="2" s="1"/>
  <c r="V16" i="2" s="1"/>
  <c r="W24" i="2" l="1"/>
  <c r="W25" i="2" s="1"/>
  <c r="X24" i="2"/>
  <c r="X25" i="2" s="1"/>
  <c r="X29" i="2"/>
  <c r="Y29" i="2"/>
  <c r="Y24" i="2"/>
  <c r="Y25" i="2" s="1"/>
  <c r="V28" i="2"/>
  <c r="V20" i="2"/>
  <c r="V22" i="2" s="1"/>
  <c r="W11" i="2"/>
  <c r="X11" i="2"/>
  <c r="AL10" i="2"/>
  <c r="U51" i="2"/>
  <c r="U21" i="2"/>
  <c r="U19" i="2"/>
  <c r="X14" i="2"/>
  <c r="X28" i="2" s="1"/>
  <c r="W14" i="2"/>
  <c r="W28" i="2" s="1"/>
  <c r="AJ13" i="2"/>
  <c r="AJ12" i="2"/>
  <c r="AK12" i="2"/>
  <c r="U14" i="2"/>
  <c r="U16" i="2" s="1"/>
  <c r="Q21" i="2"/>
  <c r="N21" i="2"/>
  <c r="R21" i="2"/>
  <c r="O21" i="2"/>
  <c r="S21" i="2"/>
  <c r="S19" i="2"/>
  <c r="P21" i="2"/>
  <c r="T21" i="2"/>
  <c r="T19" i="2"/>
  <c r="T44" i="2"/>
  <c r="T51" i="2" s="1"/>
  <c r="T32" i="2"/>
  <c r="T40" i="2" s="1"/>
  <c r="T14" i="2"/>
  <c r="T16" i="2" s="1"/>
  <c r="S14" i="2"/>
  <c r="S16" i="2" s="1"/>
  <c r="M44" i="2"/>
  <c r="M51" i="2" s="1"/>
  <c r="M32" i="2"/>
  <c r="M40" i="2" s="1"/>
  <c r="M21" i="2"/>
  <c r="AI13" i="2"/>
  <c r="AI12" i="2"/>
  <c r="AH13" i="2"/>
  <c r="AH12" i="2"/>
  <c r="AH11" i="2"/>
  <c r="M14" i="2"/>
  <c r="M16" i="2" s="1"/>
  <c r="M19" i="2"/>
  <c r="E21" i="2"/>
  <c r="E19" i="2"/>
  <c r="E14" i="2"/>
  <c r="E16" i="2" s="1"/>
  <c r="E28" i="2" s="1"/>
  <c r="I21" i="2"/>
  <c r="I19" i="2"/>
  <c r="I14" i="2"/>
  <c r="I16" i="2" s="1"/>
  <c r="I28" i="2" s="1"/>
  <c r="F19" i="2"/>
  <c r="F14" i="2"/>
  <c r="F16" i="2" s="1"/>
  <c r="F28" i="2" s="1"/>
  <c r="J21" i="2"/>
  <c r="J19" i="2"/>
  <c r="J14" i="2"/>
  <c r="J16" i="2" s="1"/>
  <c r="J28" i="2" s="1"/>
  <c r="AG2" i="2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G21" i="2"/>
  <c r="G19" i="2"/>
  <c r="G14" i="2"/>
  <c r="G16" i="2" s="1"/>
  <c r="K21" i="2"/>
  <c r="K19" i="2"/>
  <c r="K14" i="2"/>
  <c r="K16" i="2" s="1"/>
  <c r="K28" i="2" s="1"/>
  <c r="K44" i="2"/>
  <c r="K51" i="2" s="1"/>
  <c r="K32" i="2"/>
  <c r="K40" i="2" s="1"/>
  <c r="L44" i="2"/>
  <c r="L51" i="2" s="1"/>
  <c r="L32" i="2"/>
  <c r="L40" i="2" s="1"/>
  <c r="H21" i="2"/>
  <c r="H19" i="2"/>
  <c r="L21" i="2"/>
  <c r="L19" i="2"/>
  <c r="H14" i="2"/>
  <c r="H16" i="2" s="1"/>
  <c r="H28" i="2" s="1"/>
  <c r="L14" i="2"/>
  <c r="L16" i="2" s="1"/>
  <c r="K4" i="1"/>
  <c r="Y11" i="2" l="1"/>
  <c r="Y14" i="2" s="1"/>
  <c r="Z11" i="2"/>
  <c r="Z14" i="2" s="1"/>
  <c r="Z28" i="2" s="1"/>
  <c r="AL7" i="2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M9" i="2"/>
  <c r="AM10" i="2"/>
  <c r="V29" i="2"/>
  <c r="V24" i="2"/>
  <c r="V25" i="2" s="1"/>
  <c r="S20" i="2"/>
  <c r="U28" i="2"/>
  <c r="U20" i="2"/>
  <c r="U22" i="2" s="1"/>
  <c r="T20" i="2"/>
  <c r="T28" i="2"/>
  <c r="T22" i="2"/>
  <c r="S22" i="2"/>
  <c r="S29" i="2" s="1"/>
  <c r="S28" i="2"/>
  <c r="G20" i="2"/>
  <c r="G22" i="2" s="1"/>
  <c r="AH14" i="2"/>
  <c r="L20" i="2"/>
  <c r="L22" i="2" s="1"/>
  <c r="N19" i="2"/>
  <c r="G28" i="2"/>
  <c r="L28" i="2"/>
  <c r="AI11" i="2"/>
  <c r="AI14" i="2" s="1"/>
  <c r="O19" i="2"/>
  <c r="M28" i="2"/>
  <c r="E20" i="2"/>
  <c r="E22" i="2" s="1"/>
  <c r="I20" i="2"/>
  <c r="I22" i="2" s="1"/>
  <c r="F20" i="2"/>
  <c r="F22" i="2" s="1"/>
  <c r="J20" i="2"/>
  <c r="J22" i="2" s="1"/>
  <c r="K7" i="1"/>
  <c r="K20" i="2"/>
  <c r="K22" i="2" s="1"/>
  <c r="H20" i="2"/>
  <c r="H22" i="2" s="1"/>
  <c r="AL11" i="2" l="1"/>
  <c r="AL14" i="2" s="1"/>
  <c r="AL16" i="2" s="1"/>
  <c r="AL15" i="2" s="1"/>
  <c r="AN10" i="2"/>
  <c r="AN9" i="2"/>
  <c r="S24" i="2"/>
  <c r="S25" i="2" s="1"/>
  <c r="U29" i="2"/>
  <c r="U24" i="2"/>
  <c r="U25" i="2" s="1"/>
  <c r="T24" i="2"/>
  <c r="T25" i="2" s="1"/>
  <c r="T29" i="2"/>
  <c r="AK13" i="2"/>
  <c r="AK14" i="2" s="1"/>
  <c r="G24" i="2"/>
  <c r="G25" i="2" s="1"/>
  <c r="G29" i="2"/>
  <c r="E24" i="2"/>
  <c r="E25" i="2" s="1"/>
  <c r="E29" i="2"/>
  <c r="J24" i="2"/>
  <c r="J25" i="2" s="1"/>
  <c r="J29" i="2"/>
  <c r="H24" i="2"/>
  <c r="H25" i="2" s="1"/>
  <c r="H29" i="2"/>
  <c r="F24" i="2"/>
  <c r="F25" i="2" s="1"/>
  <c r="F29" i="2"/>
  <c r="L24" i="2"/>
  <c r="L25" i="2" s="1"/>
  <c r="L29" i="2"/>
  <c r="K24" i="2"/>
  <c r="K25" i="2" s="1"/>
  <c r="K29" i="2"/>
  <c r="I24" i="2"/>
  <c r="I25" i="2" s="1"/>
  <c r="I29" i="2"/>
  <c r="N14" i="2"/>
  <c r="N16" i="2" s="1"/>
  <c r="M20" i="2"/>
  <c r="M22" i="2" s="1"/>
  <c r="P19" i="2"/>
  <c r="AL18" i="2" l="1"/>
  <c r="AL19" i="2" s="1"/>
  <c r="AO10" i="2"/>
  <c r="AO9" i="2"/>
  <c r="AL20" i="2"/>
  <c r="AL22" i="2" s="1"/>
  <c r="M29" i="2"/>
  <c r="O14" i="2"/>
  <c r="O16" i="2" s="1"/>
  <c r="R19" i="2"/>
  <c r="Q19" i="2"/>
  <c r="AL23" i="2" l="1"/>
  <c r="AL24" i="2" s="1"/>
  <c r="AP9" i="2"/>
  <c r="AP10" i="2"/>
  <c r="M24" i="2"/>
  <c r="M25" i="2" s="1"/>
  <c r="N28" i="2"/>
  <c r="N20" i="2"/>
  <c r="N22" i="2" s="1"/>
  <c r="O28" i="2"/>
  <c r="O20" i="2"/>
  <c r="O22" i="2" s="1"/>
  <c r="P14" i="2"/>
  <c r="P16" i="2" s="1"/>
  <c r="AQ10" i="2" l="1"/>
  <c r="AQ9" i="2"/>
  <c r="AL25" i="2"/>
  <c r="O29" i="2"/>
  <c r="N29" i="2"/>
  <c r="R14" i="2"/>
  <c r="R16" i="2" s="1"/>
  <c r="Q14" i="2"/>
  <c r="Q16" i="2" s="1"/>
  <c r="P28" i="2"/>
  <c r="P20" i="2"/>
  <c r="P22" i="2" s="1"/>
  <c r="AR9" i="2" l="1"/>
  <c r="AR10" i="2"/>
  <c r="N24" i="2"/>
  <c r="N25" i="2" s="1"/>
  <c r="P29" i="2"/>
  <c r="O24" i="2"/>
  <c r="O25" i="2" s="1"/>
  <c r="AJ11" i="2"/>
  <c r="Q20" i="2"/>
  <c r="Q22" i="2" s="1"/>
  <c r="Q28" i="2"/>
  <c r="R20" i="2"/>
  <c r="R22" i="2" s="1"/>
  <c r="R28" i="2"/>
  <c r="AS9" i="2" l="1"/>
  <c r="AS10" i="2"/>
  <c r="AJ14" i="2"/>
  <c r="P24" i="2"/>
  <c r="P25" i="2" s="1"/>
  <c r="R29" i="2"/>
  <c r="Q29" i="2"/>
  <c r="AT9" i="2" l="1"/>
  <c r="AT10" i="2"/>
  <c r="AM11" i="2"/>
  <c r="R24" i="2"/>
  <c r="R25" i="2" s="1"/>
  <c r="Q24" i="2"/>
  <c r="Q25" i="2" s="1"/>
  <c r="AU9" i="2" l="1"/>
  <c r="AU10" i="2"/>
  <c r="AN11" i="2"/>
  <c r="AM14" i="2"/>
  <c r="AM18" i="2" l="1"/>
  <c r="AM19" i="2" s="1"/>
  <c r="AM16" i="2"/>
  <c r="AM15" i="2" s="1"/>
  <c r="AV9" i="2"/>
  <c r="AV10" i="2"/>
  <c r="AO11" i="2"/>
  <c r="AN14" i="2"/>
  <c r="AM20" i="2" l="1"/>
  <c r="AM22" i="2" s="1"/>
  <c r="AM23" i="2" s="1"/>
  <c r="AM24" i="2" s="1"/>
  <c r="AN18" i="2"/>
  <c r="AN19" i="2" s="1"/>
  <c r="AN16" i="2"/>
  <c r="AM25" i="2"/>
  <c r="AP11" i="2"/>
  <c r="AO14" i="2"/>
  <c r="AN20" i="2" l="1"/>
  <c r="AN22" i="2" s="1"/>
  <c r="AN23" i="2" s="1"/>
  <c r="AN24" i="2" s="1"/>
  <c r="AN25" i="2" s="1"/>
  <c r="AN15" i="2"/>
  <c r="AO18" i="2"/>
  <c r="AO19" i="2" s="1"/>
  <c r="AO16" i="2"/>
  <c r="AQ11" i="2"/>
  <c r="AP14" i="2"/>
  <c r="AO20" i="2" l="1"/>
  <c r="AO22" i="2" s="1"/>
  <c r="AO23" i="2" s="1"/>
  <c r="AO24" i="2" s="1"/>
  <c r="AO25" i="2" s="1"/>
  <c r="AP18" i="2"/>
  <c r="AP19" i="2" s="1"/>
  <c r="AP16" i="2"/>
  <c r="AO15" i="2"/>
  <c r="AR11" i="2"/>
  <c r="AQ14" i="2"/>
  <c r="AP20" i="2" l="1"/>
  <c r="AP22" i="2" s="1"/>
  <c r="AP23" i="2" s="1"/>
  <c r="AP24" i="2" s="1"/>
  <c r="AP25" i="2" s="1"/>
  <c r="AP15" i="2"/>
  <c r="AQ18" i="2"/>
  <c r="AQ19" i="2" s="1"/>
  <c r="AQ16" i="2"/>
  <c r="AQ20" i="2" s="1"/>
  <c r="AQ22" i="2" s="1"/>
  <c r="AQ23" i="2" s="1"/>
  <c r="AQ24" i="2" s="1"/>
  <c r="AS11" i="2"/>
  <c r="AR14" i="2"/>
  <c r="AQ15" i="2" l="1"/>
  <c r="AR18" i="2"/>
  <c r="AR19" i="2" s="1"/>
  <c r="AR16" i="2"/>
  <c r="AR20" i="2" s="1"/>
  <c r="AR22" i="2" s="1"/>
  <c r="AR23" i="2" s="1"/>
  <c r="AR24" i="2" s="1"/>
  <c r="AR25" i="2" s="1"/>
  <c r="AR15" i="2"/>
  <c r="AQ25" i="2"/>
  <c r="AT11" i="2"/>
  <c r="AS14" i="2"/>
  <c r="AS18" i="2" l="1"/>
  <c r="AS19" i="2" s="1"/>
  <c r="AS16" i="2"/>
  <c r="AU11" i="2"/>
  <c r="AT14" i="2"/>
  <c r="AS20" i="2" l="1"/>
  <c r="AS22" i="2" s="1"/>
  <c r="AS23" i="2" s="1"/>
  <c r="AS24" i="2" s="1"/>
  <c r="AT16" i="2"/>
  <c r="AT18" i="2"/>
  <c r="AT19" i="2" s="1"/>
  <c r="AT15" i="2"/>
  <c r="AS25" i="2"/>
  <c r="AS15" i="2"/>
  <c r="AV11" i="2"/>
  <c r="AV14" i="2" s="1"/>
  <c r="AU14" i="2"/>
  <c r="AU18" i="2" l="1"/>
  <c r="AU19" i="2" s="1"/>
  <c r="AU16" i="2"/>
  <c r="AU15" i="2"/>
  <c r="AV18" i="2"/>
  <c r="AV19" i="2" s="1"/>
  <c r="AV16" i="2"/>
  <c r="AV20" i="2" s="1"/>
  <c r="AV22" i="2" s="1"/>
  <c r="AV23" i="2" s="1"/>
  <c r="AV24" i="2" s="1"/>
  <c r="AT20" i="2"/>
  <c r="AT22" i="2" s="1"/>
  <c r="AT23" i="2" s="1"/>
  <c r="AT24" i="2" s="1"/>
  <c r="AT25" i="2" s="1"/>
  <c r="AU20" i="2" l="1"/>
  <c r="AU22" i="2" s="1"/>
  <c r="AU23" i="2" s="1"/>
  <c r="AU24" i="2" s="1"/>
  <c r="AU25" i="2" s="1"/>
  <c r="AV15" i="2"/>
  <c r="AW24" i="2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BN24" i="2" s="1"/>
  <c r="BO24" i="2" s="1"/>
  <c r="BP24" i="2" s="1"/>
  <c r="BQ24" i="2" s="1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S24" i="2" s="1"/>
  <c r="DT24" i="2" s="1"/>
  <c r="DU24" i="2" s="1"/>
  <c r="DV24" i="2" s="1"/>
  <c r="DW24" i="2" s="1"/>
  <c r="DX24" i="2" s="1"/>
  <c r="DY24" i="2" s="1"/>
  <c r="DZ24" i="2" s="1"/>
  <c r="EA24" i="2" s="1"/>
  <c r="EB24" i="2" s="1"/>
  <c r="EC24" i="2" s="1"/>
  <c r="ED24" i="2" s="1"/>
  <c r="EE24" i="2" s="1"/>
  <c r="EF24" i="2" s="1"/>
  <c r="EG24" i="2" s="1"/>
  <c r="EH24" i="2" s="1"/>
  <c r="EI24" i="2" s="1"/>
  <c r="EJ24" i="2" s="1"/>
  <c r="EK24" i="2" s="1"/>
  <c r="EL24" i="2" s="1"/>
  <c r="EM24" i="2" s="1"/>
  <c r="AY31" i="2" s="1"/>
  <c r="AY32" i="2" s="1"/>
  <c r="AV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tc={7A88566D-7393-4EDB-9417-9FF15ED60EED}</author>
    <author>tc={8F36830E-5A19-46F9-85C3-8F6136215DC4}</author>
  </authors>
  <commentList>
    <comment ref="AI11" authorId="0" shapeId="0" xr:uid="{7A88566D-7393-4EDB-9417-9FF15ED60EED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guidance: Reiterates 21B expected delivery
Q322 guidance: 18-19B</t>
      </text>
    </comment>
    <comment ref="AL14" authorId="1" shapeId="0" xr:uid="{8F36830E-5A19-46F9-85C3-8F6136215DC4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Q424: guidance of 1.5-2.5B</t>
      </text>
    </comment>
  </commentList>
</comments>
</file>

<file path=xl/sharedStrings.xml><?xml version="1.0" encoding="utf-8"?>
<sst xmlns="http://schemas.openxmlformats.org/spreadsheetml/2006/main" count="199" uniqueCount="167">
  <si>
    <t>Price</t>
  </si>
  <si>
    <t>Shares</t>
  </si>
  <si>
    <t>MC</t>
  </si>
  <si>
    <t>Cash</t>
  </si>
  <si>
    <t>Debt</t>
  </si>
  <si>
    <t>EV</t>
  </si>
  <si>
    <t>Q222</t>
  </si>
  <si>
    <t>Main</t>
  </si>
  <si>
    <t>Product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</si>
  <si>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</si>
  <si>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</si>
  <si>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</si>
  <si>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</si>
  <si>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</si>
  <si>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</si>
  <si>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</si>
  <si>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</si>
  <si>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</si>
  <si>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</si>
  <si>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</si>
  <si>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Q123</t>
  </si>
  <si>
    <t>Q223</t>
  </si>
  <si>
    <t>Q323</t>
  </si>
  <si>
    <t>Q423</t>
  </si>
  <si>
    <t>Grant</t>
  </si>
  <si>
    <t>Collab</t>
  </si>
  <si>
    <t>Revenue</t>
  </si>
  <si>
    <t>EPS</t>
  </si>
  <si>
    <t>Net Income</t>
  </si>
  <si>
    <t>Taxes</t>
  </si>
  <si>
    <t>Pretax Income</t>
  </si>
  <si>
    <t>Interest</t>
  </si>
  <si>
    <t>OpEx</t>
  </si>
  <si>
    <t>OpInc</t>
  </si>
  <si>
    <t>COGS</t>
  </si>
  <si>
    <t>Gross Profit</t>
  </si>
  <si>
    <t>R&amp;D</t>
  </si>
  <si>
    <t>SG&amp;A</t>
  </si>
  <si>
    <t>Assets</t>
  </si>
  <si>
    <t>AR</t>
  </si>
  <si>
    <t>Inventory</t>
  </si>
  <si>
    <t>Prepaids</t>
  </si>
  <si>
    <t>PP&amp;E</t>
  </si>
  <si>
    <t>ROU</t>
  </si>
  <si>
    <t>DT</t>
  </si>
  <si>
    <t>ONCA</t>
  </si>
  <si>
    <t>AP</t>
  </si>
  <si>
    <t>Liabilities</t>
  </si>
  <si>
    <t>DR</t>
  </si>
  <si>
    <t>OCL</t>
  </si>
  <si>
    <t>Lease</t>
  </si>
  <si>
    <t>Financing</t>
  </si>
  <si>
    <t>S/E</t>
  </si>
  <si>
    <t>L+S/E</t>
  </si>
  <si>
    <t>Comirnaty</t>
  </si>
  <si>
    <t>Brand</t>
  </si>
  <si>
    <t>Indication</t>
  </si>
  <si>
    <t>MOA</t>
  </si>
  <si>
    <t>Approved</t>
  </si>
  <si>
    <t>IP</t>
  </si>
  <si>
    <t>Admin</t>
  </si>
  <si>
    <t>Phase</t>
  </si>
  <si>
    <t>mRNA-1010</t>
  </si>
  <si>
    <t>Influenza</t>
  </si>
  <si>
    <t>mRNA-3927</t>
  </si>
  <si>
    <t>Propionic Acidemia</t>
  </si>
  <si>
    <t>mRNA-3745</t>
  </si>
  <si>
    <t>GSD1a</t>
  </si>
  <si>
    <t>CEO: Stephane Bancel</t>
  </si>
  <si>
    <t>mRNA-3705</t>
  </si>
  <si>
    <t>MMA</t>
  </si>
  <si>
    <t>mRNA-3139</t>
  </si>
  <si>
    <t>OTC</t>
  </si>
  <si>
    <t>mRNA-1647</t>
  </si>
  <si>
    <t>CMV</t>
  </si>
  <si>
    <t>CFO: James Mock</t>
  </si>
  <si>
    <t>mRNA-1893</t>
  </si>
  <si>
    <t>Zika</t>
  </si>
  <si>
    <t>mRNA-1215</t>
  </si>
  <si>
    <t>Nipah</t>
  </si>
  <si>
    <t>mRNA-3283</t>
  </si>
  <si>
    <t>PKU</t>
  </si>
  <si>
    <t>PCV</t>
  </si>
  <si>
    <t>Spikevax</t>
  </si>
  <si>
    <t>COVID-19</t>
  </si>
  <si>
    <t>mRNA-1020</t>
  </si>
  <si>
    <t>mRNA-1030</t>
  </si>
  <si>
    <t>mRNA-1011</t>
  </si>
  <si>
    <t>mRNA-1012</t>
  </si>
  <si>
    <t>mRNA-1608</t>
  </si>
  <si>
    <t>HSV</t>
  </si>
  <si>
    <t>mRNA-1468</t>
  </si>
  <si>
    <t>Vaccine</t>
  </si>
  <si>
    <t>VZV</t>
  </si>
  <si>
    <t>VXc-522</t>
  </si>
  <si>
    <t>Cystic Fibrosis</t>
  </si>
  <si>
    <t>Economics</t>
  </si>
  <si>
    <t>VRTX</t>
  </si>
  <si>
    <t>Headcount</t>
  </si>
  <si>
    <t>CCO: Arpa Garay</t>
  </si>
  <si>
    <t>mRNA-1574</t>
  </si>
  <si>
    <t>HIV</t>
  </si>
  <si>
    <t>I</t>
  </si>
  <si>
    <t>III</t>
  </si>
  <si>
    <t>mRNA-1189</t>
  </si>
  <si>
    <t>EBV</t>
  </si>
  <si>
    <t>Gross Margin</t>
  </si>
  <si>
    <t>Tax Rate</t>
  </si>
  <si>
    <t>ONCL</t>
  </si>
  <si>
    <t>Oncology</t>
  </si>
  <si>
    <t>mRNA-4157/V940</t>
  </si>
  <si>
    <t>II</t>
  </si>
  <si>
    <t>Q123: RSV data</t>
  </si>
  <si>
    <t>Q123: influenza p3 immunogenicity data</t>
  </si>
  <si>
    <t>Spikevax, fka mRNA-1273</t>
  </si>
  <si>
    <t>MRK</t>
  </si>
  <si>
    <t>personalized mRNA vaccine</t>
  </si>
  <si>
    <t>Clinical Trials</t>
  </si>
  <si>
    <t>RFS HR=0.56 p=0.0266 (one-sided!)</t>
  </si>
  <si>
    <t>Phase IIb "KEYNOTE-942" n=157 adjuvant melanoma - NCT0389788</t>
  </si>
  <si>
    <t>MRK 50/50 global P&amp;L profit share</t>
  </si>
  <si>
    <t>12/13/22: 4157 Phase II data</t>
  </si>
  <si>
    <t>Q224</t>
  </si>
  <si>
    <t>Q124</t>
  </si>
  <si>
    <t>Q324</t>
  </si>
  <si>
    <t>Q424</t>
  </si>
  <si>
    <t>mRESVIA (mRNA-1345)</t>
  </si>
  <si>
    <t>mRNA-1403</t>
  </si>
  <si>
    <t>Norovirus</t>
  </si>
  <si>
    <t>RSV older adults</t>
  </si>
  <si>
    <t>III, data YE</t>
  </si>
  <si>
    <t>Name</t>
  </si>
  <si>
    <t>mRNA-5671</t>
  </si>
  <si>
    <t>KRAS</t>
  </si>
  <si>
    <t>Fate</t>
  </si>
  <si>
    <t>Discontinued</t>
  </si>
  <si>
    <t>mRNA-0184</t>
  </si>
  <si>
    <t>relaxin</t>
  </si>
  <si>
    <t>Abrysvo</t>
  </si>
  <si>
    <t>Arvexy</t>
  </si>
  <si>
    <t>mRNA-1083</t>
  </si>
  <si>
    <t>COVID-19+Influenza</t>
  </si>
  <si>
    <t>Q125</t>
  </si>
  <si>
    <t>Q225</t>
  </si>
  <si>
    <t>Q325</t>
  </si>
  <si>
    <t>Q425</t>
  </si>
  <si>
    <t>mRESVIA</t>
  </si>
  <si>
    <t>trivalent</t>
  </si>
  <si>
    <t>pivotal</t>
  </si>
  <si>
    <t>Mechanism</t>
  </si>
  <si>
    <t>early efficacy criteria not met</t>
  </si>
  <si>
    <t>Phase III - data in 2025</t>
  </si>
  <si>
    <t>Filed/III</t>
  </si>
  <si>
    <t>CFFO</t>
  </si>
  <si>
    <t>CapEx</t>
  </si>
  <si>
    <t>Discount</t>
  </si>
  <si>
    <t>ROIC</t>
  </si>
  <si>
    <t>Terminal</t>
  </si>
  <si>
    <t>NPV</t>
  </si>
  <si>
    <t>Share</t>
  </si>
  <si>
    <t>Q126</t>
  </si>
  <si>
    <t>Q226</t>
  </si>
  <si>
    <t>Q326</t>
  </si>
  <si>
    <t>Q426</t>
  </si>
  <si>
    <t>II - results 2026</t>
  </si>
  <si>
    <t>8/5/26 PDUFA</t>
  </si>
  <si>
    <t>mNEXSPIKE (mRNA-1283)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</si>
</sst>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9" fontId="0" fillId="0" borderId="0" xfId="0" applyNumberFormat="1" applyAlignment="1">
      <alignment horizontal="right"/>
    </xf>
    <xf numFmtId="9" fontId="0" fillId="0" borderId="0" xfId="0" applyNumberFormat="1"/>
    <xf numFmtId="0" fontId="3" fillId="0" borderId="0" xfId="1"/>
    <xf numFmtId="4" fontId="0" fillId="0" borderId="0" xfId="0" applyNumberFormat="1"/>
    <xf numFmtId="0" fontId="4" fillId="0" borderId="0" xfId="0" applyFont="1"/>
    <xf numFmtId="0" fontId="3" fillId="0" borderId="1" xfId="1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5BB2248-80F9-44E9-A8DB-CDF8EE0456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21718</xdr:colOff>
      <xdr:row>0</xdr:row>
      <xdr:rowOff>0</xdr:rowOff>
    </xdr:from>
    <xdr:to>
      <xdr:col>27</xdr:col>
      <xdr:colOff>21718</xdr:colOff>
      <xdr:row>52</xdr:row>
      <xdr:rowOff>115753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5D9DD69-49BF-D603-E3E8-06FB37E5F0CA}"/>
            </a:ext>
          </a:extLst>
        </xdr:cNvPr>
        <xdr:cNvCxnSpPr/>
      </xdr:nvCxnSpPr>
      <xdr:spPr>
        <a:xfrm>
          <a:off x="16912718" y="0"/>
          <a:ext cx="0" cy="85075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33721</xdr:colOff>
      <xdr:row>0</xdr:row>
      <xdr:rowOff>4379</xdr:rowOff>
    </xdr:from>
    <xdr:to>
      <xdr:col>37</xdr:col>
      <xdr:colOff>33721</xdr:colOff>
      <xdr:row>71</xdr:row>
      <xdr:rowOff>102577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F9B6F24-0513-4BD0-B6A8-E691E2057353}"/>
            </a:ext>
          </a:extLst>
        </xdr:cNvPr>
        <xdr:cNvCxnSpPr/>
      </xdr:nvCxnSpPr>
      <xdr:spPr>
        <a:xfrm>
          <a:off x="20588183" y="4379"/>
          <a:ext cx="0" cy="115526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7F1476AF-D443-4543-BE7B-E432FEBB72DB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1" dT="2022-09-10T06:51:40.15" personId="{7F1476AF-D443-4543-BE7B-E432FEBB72DB}" id="{7A88566D-7393-4EDB-9417-9FF15ED60EED}">
    <text>Q222 guidance: Reiterates 21B expected delivery
Q322 guidance: 18-19B</text>
  </threadedComment>
  <threadedComment ref="AL14" dT="2025-02-19T17:24:24.34" personId="{7F1476AF-D443-4543-BE7B-E432FEBB72DB}" id="{8F36830E-5A19-46F9-85C3-8F6136215DC4}">
    <text>Q424: guidance of 1.5-2.5B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A4C7-646C-471C-BC3A-3C06D5B3D5C6}">
  <dimension ref="A6:D9"/>
  <sheetViews>
    <sheetView topLeftCell="A6" zoomScale="205" zoomScaleNormal="205" workbookViewId="0">
      <selection activeCell="B10" sqref="B10"/>
    </sheetView>
  </sheetViews>
  <sheetFormatPr defaultRowHeight="12.5" x14ac:dyDescent="0.25"/>
  <cols>
    <col min="1" max="1" width="5" bestFit="1" customWidth="1"/>
    <col min="2" max="2" width="11.1796875" bestFit="1" customWidth="1"/>
  </cols>
  <sheetData>
    <row r="6" spans="1:4" x14ac:dyDescent="0.25">
      <c r="A6" s="19" t="s">
        <v>7</v>
      </c>
    </row>
    <row r="7" spans="1:4" x14ac:dyDescent="0.25">
      <c r="B7" t="s">
        <v>131</v>
      </c>
      <c r="C7" t="s">
        <v>57</v>
      </c>
      <c r="D7" t="s">
        <v>134</v>
      </c>
    </row>
    <row r="8" spans="1:4" x14ac:dyDescent="0.25">
      <c r="B8" t="s">
        <v>132</v>
      </c>
      <c r="C8" t="s">
        <v>133</v>
      </c>
      <c r="D8" t="s">
        <v>135</v>
      </c>
    </row>
    <row r="9" spans="1:4" x14ac:dyDescent="0.25">
      <c r="B9" t="s">
        <v>136</v>
      </c>
      <c r="C9" t="s">
        <v>137</v>
      </c>
      <c r="D9" t="s">
        <v>135</v>
      </c>
    </row>
  </sheetData>
  <hyperlinks>
    <hyperlink ref="A6" location="Main!A1" display="Main" xr:uid="{4A3D7D45-F375-4E89-89FF-4AFD27F5F9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1D1F-1382-40BF-BCB1-9D97F23C48F4}">
  <dimension ref="B2:L33"/>
  <sheetViews>
    <sheetView tabSelected="1" zoomScale="115" zoomScaleNormal="115" workbookViewId="0">
      <selection activeCell="I13" sqref="I13"/>
    </sheetView>
  </sheetViews>
  <sheetFormatPr defaultRowHeight="12.5" x14ac:dyDescent="0.25"/>
  <cols>
    <col min="1" max="1" width="3.81640625" customWidth="1"/>
    <col min="2" max="2" width="16.453125" customWidth="1"/>
    <col min="3" max="3" width="17.26953125" customWidth="1"/>
    <col min="5" max="5" width="11.7265625" customWidth="1"/>
    <col min="7" max="7" width="10.26953125" customWidth="1"/>
  </cols>
  <sheetData>
    <row r="2" spans="2:12" x14ac:dyDescent="0.25">
      <c r="B2" s="12" t="s">
        <v>131</v>
      </c>
      <c r="C2" s="13" t="s">
        <v>56</v>
      </c>
      <c r="D2" s="13" t="s">
        <v>57</v>
      </c>
      <c r="E2" s="13" t="s">
        <v>58</v>
      </c>
      <c r="F2" s="14" t="s">
        <v>59</v>
      </c>
      <c r="G2" s="14" t="s">
        <v>96</v>
      </c>
      <c r="H2" s="23" t="s">
        <v>60</v>
      </c>
      <c r="J2" t="s">
        <v>0</v>
      </c>
      <c r="K2" s="20">
        <v>81</v>
      </c>
    </row>
    <row r="3" spans="2:12" x14ac:dyDescent="0.25">
      <c r="B3" s="9" t="s">
        <v>83</v>
      </c>
      <c r="C3" t="s">
        <v>84</v>
      </c>
      <c r="F3" s="15"/>
      <c r="G3" s="15"/>
      <c r="H3" s="24"/>
      <c r="J3" t="s">
        <v>1</v>
      </c>
      <c r="K3" s="2">
        <v>396.78625899999997</v>
      </c>
      <c r="L3" s="1" t="s">
        <v>160</v>
      </c>
    </row>
    <row r="4" spans="2:12" x14ac:dyDescent="0.25">
      <c r="B4" s="9" t="s">
        <v>166</v>
      </c>
      <c r="F4" s="15"/>
      <c r="G4" s="15"/>
      <c r="H4" s="24"/>
      <c r="J4" t="s">
        <v>2</v>
      </c>
      <c r="K4" s="2">
        <f>+K2*K3</f>
        <v>32139.686978999998</v>
      </c>
    </row>
    <row r="5" spans="2:12" x14ac:dyDescent="0.25">
      <c r="B5" s="9" t="s">
        <v>126</v>
      </c>
      <c r="C5" t="s">
        <v>129</v>
      </c>
      <c r="E5" s="15">
        <v>2024</v>
      </c>
      <c r="F5" s="15"/>
      <c r="G5" s="15"/>
      <c r="H5" s="24"/>
      <c r="J5" t="s">
        <v>3</v>
      </c>
      <c r="K5" s="2">
        <f>1908+3297+2251-950</f>
        <v>6506</v>
      </c>
      <c r="L5" s="1" t="s">
        <v>160</v>
      </c>
    </row>
    <row r="6" spans="2:12" x14ac:dyDescent="0.25">
      <c r="B6" s="12"/>
      <c r="C6" s="13"/>
      <c r="D6" s="13"/>
      <c r="E6" s="14" t="s">
        <v>61</v>
      </c>
      <c r="F6" s="14"/>
      <c r="G6" s="14"/>
      <c r="H6" s="23"/>
      <c r="J6" t="s">
        <v>4</v>
      </c>
      <c r="K6" s="2">
        <v>590</v>
      </c>
      <c r="L6" s="1" t="s">
        <v>160</v>
      </c>
    </row>
    <row r="7" spans="2:12" x14ac:dyDescent="0.25">
      <c r="B7" s="26" t="s">
        <v>73</v>
      </c>
      <c r="C7" s="27" t="s">
        <v>74</v>
      </c>
      <c r="D7" s="27"/>
      <c r="E7" s="28" t="s">
        <v>130</v>
      </c>
      <c r="F7" s="28"/>
      <c r="G7" s="28"/>
      <c r="H7" s="29"/>
      <c r="J7" t="s">
        <v>5</v>
      </c>
      <c r="K7" s="2">
        <f>+K4-K5+K6</f>
        <v>26223.686978999998</v>
      </c>
    </row>
    <row r="8" spans="2:12" x14ac:dyDescent="0.25">
      <c r="B8" s="9" t="s">
        <v>62</v>
      </c>
      <c r="C8" t="s">
        <v>63</v>
      </c>
      <c r="E8" s="15" t="s">
        <v>165</v>
      </c>
      <c r="F8" s="15"/>
      <c r="G8" s="15"/>
      <c r="H8" s="24"/>
    </row>
    <row r="9" spans="2:12" x14ac:dyDescent="0.25">
      <c r="B9" s="9" t="s">
        <v>85</v>
      </c>
      <c r="C9" t="s">
        <v>63</v>
      </c>
      <c r="E9" s="15"/>
      <c r="F9" s="15"/>
      <c r="G9" s="15"/>
      <c r="H9" s="24"/>
    </row>
    <row r="10" spans="2:12" x14ac:dyDescent="0.25">
      <c r="B10" s="9" t="s">
        <v>86</v>
      </c>
      <c r="C10" t="s">
        <v>63</v>
      </c>
      <c r="E10" s="15"/>
      <c r="F10" s="15"/>
      <c r="G10" s="15"/>
      <c r="H10" s="24"/>
    </row>
    <row r="11" spans="2:12" x14ac:dyDescent="0.25">
      <c r="B11" s="9" t="s">
        <v>87</v>
      </c>
      <c r="C11" t="s">
        <v>63</v>
      </c>
      <c r="E11" s="15"/>
      <c r="F11" s="15"/>
      <c r="G11" s="15"/>
      <c r="H11" s="24"/>
    </row>
    <row r="12" spans="2:12" x14ac:dyDescent="0.25">
      <c r="B12" s="9" t="s">
        <v>140</v>
      </c>
      <c r="C12" t="s">
        <v>141</v>
      </c>
      <c r="E12" s="15" t="s">
        <v>152</v>
      </c>
      <c r="F12" s="15"/>
      <c r="G12" s="15"/>
      <c r="H12" s="24"/>
      <c r="J12" t="s">
        <v>68</v>
      </c>
    </row>
    <row r="13" spans="2:12" x14ac:dyDescent="0.25">
      <c r="B13" s="9" t="s">
        <v>88</v>
      </c>
      <c r="C13" t="s">
        <v>63</v>
      </c>
      <c r="E13" s="15"/>
      <c r="F13" s="15"/>
      <c r="G13" s="15"/>
      <c r="H13" s="24"/>
      <c r="J13" t="s">
        <v>75</v>
      </c>
    </row>
    <row r="14" spans="2:12" x14ac:dyDescent="0.25">
      <c r="B14" s="9" t="s">
        <v>64</v>
      </c>
      <c r="C14" t="s">
        <v>65</v>
      </c>
      <c r="E14" s="15" t="s">
        <v>164</v>
      </c>
      <c r="F14" s="15"/>
      <c r="G14" s="15"/>
      <c r="H14" s="24"/>
    </row>
    <row r="15" spans="2:12" x14ac:dyDescent="0.25">
      <c r="B15" s="9" t="s">
        <v>127</v>
      </c>
      <c r="C15" t="s">
        <v>128</v>
      </c>
      <c r="D15" t="s">
        <v>147</v>
      </c>
      <c r="E15" s="15" t="s">
        <v>103</v>
      </c>
      <c r="F15" s="15"/>
      <c r="G15" s="15"/>
      <c r="H15" s="24"/>
      <c r="J15" t="s">
        <v>99</v>
      </c>
    </row>
    <row r="16" spans="2:12" x14ac:dyDescent="0.25">
      <c r="B16" s="9" t="s">
        <v>69</v>
      </c>
      <c r="C16" t="s">
        <v>70</v>
      </c>
      <c r="E16" s="15" t="s">
        <v>148</v>
      </c>
      <c r="F16" s="15"/>
      <c r="G16" s="15"/>
      <c r="H16" s="24"/>
    </row>
    <row r="17" spans="2:8" x14ac:dyDescent="0.25">
      <c r="B17" s="9" t="s">
        <v>71</v>
      </c>
      <c r="C17" t="s">
        <v>72</v>
      </c>
      <c r="E17" s="15"/>
      <c r="F17" s="15"/>
      <c r="G17" s="15"/>
      <c r="H17" s="24"/>
    </row>
    <row r="18" spans="2:8" x14ac:dyDescent="0.25">
      <c r="B18" s="22" t="s">
        <v>110</v>
      </c>
      <c r="C18" t="s">
        <v>109</v>
      </c>
      <c r="D18" t="s">
        <v>82</v>
      </c>
      <c r="E18" s="15" t="s">
        <v>111</v>
      </c>
      <c r="F18" s="15"/>
      <c r="G18" s="15" t="s">
        <v>115</v>
      </c>
      <c r="H18" s="24"/>
    </row>
    <row r="19" spans="2:8" x14ac:dyDescent="0.25">
      <c r="B19" s="9" t="s">
        <v>89</v>
      </c>
      <c r="C19" t="s">
        <v>90</v>
      </c>
      <c r="E19" s="15"/>
      <c r="F19" s="15"/>
      <c r="G19" s="15"/>
      <c r="H19" s="24"/>
    </row>
    <row r="20" spans="2:8" x14ac:dyDescent="0.25">
      <c r="B20" s="9" t="s">
        <v>91</v>
      </c>
      <c r="C20" t="s">
        <v>93</v>
      </c>
      <c r="E20" s="15"/>
      <c r="F20" s="15"/>
      <c r="G20" s="15"/>
      <c r="H20" s="24"/>
    </row>
    <row r="21" spans="2:8" x14ac:dyDescent="0.25">
      <c r="B21" s="10" t="s">
        <v>94</v>
      </c>
      <c r="C21" s="11" t="s">
        <v>95</v>
      </c>
      <c r="D21" s="11"/>
      <c r="E21" s="16"/>
      <c r="F21" s="16"/>
      <c r="G21" s="16" t="s">
        <v>97</v>
      </c>
      <c r="H21" s="25"/>
    </row>
    <row r="23" spans="2:8" x14ac:dyDescent="0.25">
      <c r="E23" t="s">
        <v>121</v>
      </c>
    </row>
    <row r="24" spans="2:8" x14ac:dyDescent="0.25">
      <c r="E24" t="s">
        <v>112</v>
      </c>
    </row>
    <row r="25" spans="2:8" x14ac:dyDescent="0.25">
      <c r="E25" t="s">
        <v>113</v>
      </c>
    </row>
    <row r="28" spans="2:8" x14ac:dyDescent="0.25">
      <c r="B28" s="9" t="s">
        <v>66</v>
      </c>
      <c r="C28" t="s">
        <v>67</v>
      </c>
    </row>
    <row r="29" spans="2:8" x14ac:dyDescent="0.25">
      <c r="B29" s="9" t="s">
        <v>76</v>
      </c>
      <c r="C29" t="s">
        <v>77</v>
      </c>
      <c r="E29" s="15"/>
      <c r="F29" s="15"/>
    </row>
    <row r="30" spans="2:8" x14ac:dyDescent="0.25">
      <c r="B30" s="9" t="s">
        <v>78</v>
      </c>
      <c r="C30" t="s">
        <v>79</v>
      </c>
      <c r="D30" t="s">
        <v>92</v>
      </c>
      <c r="E30" s="15"/>
      <c r="F30" s="15"/>
    </row>
    <row r="31" spans="2:8" x14ac:dyDescent="0.25">
      <c r="B31" s="9" t="s">
        <v>104</v>
      </c>
      <c r="C31" t="s">
        <v>105</v>
      </c>
      <c r="D31" t="s">
        <v>92</v>
      </c>
      <c r="E31" s="15" t="s">
        <v>102</v>
      </c>
    </row>
    <row r="32" spans="2:8" x14ac:dyDescent="0.25">
      <c r="B32" t="s">
        <v>80</v>
      </c>
      <c r="C32" t="s">
        <v>81</v>
      </c>
    </row>
    <row r="33" spans="2:5" x14ac:dyDescent="0.25">
      <c r="B33" s="9" t="s">
        <v>100</v>
      </c>
      <c r="C33" t="s">
        <v>101</v>
      </c>
      <c r="D33" t="s">
        <v>92</v>
      </c>
      <c r="E33" s="15" t="s">
        <v>102</v>
      </c>
    </row>
  </sheetData>
  <hyperlinks>
    <hyperlink ref="B18" location="'4157'!A1" display="mRNA-4157/V940" xr:uid="{D955C29F-0D73-4368-B48E-9F918E568DFA}"/>
  </hyperlink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93C8-90F0-44F5-B32B-73F90FF84785}">
  <dimension ref="A1:EM59"/>
  <sheetViews>
    <sheetView zoomScale="130" zoomScaleNormal="130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X10" sqref="U10:X10"/>
    </sheetView>
  </sheetViews>
  <sheetFormatPr defaultRowHeight="12.5" x14ac:dyDescent="0.25"/>
  <cols>
    <col min="1" max="1" width="5" bestFit="1" customWidth="1"/>
    <col min="2" max="2" width="13.1796875" bestFit="1" customWidth="1"/>
    <col min="3" max="14" width="9.1796875" style="1"/>
    <col min="51" max="51" width="9.54296875" bestFit="1" customWidth="1"/>
  </cols>
  <sheetData>
    <row r="1" spans="1:48" x14ac:dyDescent="0.25">
      <c r="A1" s="19" t="s">
        <v>7</v>
      </c>
    </row>
    <row r="2" spans="1:48" x14ac:dyDescent="0.25"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6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123</v>
      </c>
      <c r="T2" s="1" t="s">
        <v>122</v>
      </c>
      <c r="U2" s="1" t="s">
        <v>124</v>
      </c>
      <c r="V2" s="1" t="s">
        <v>125</v>
      </c>
      <c r="W2" s="1" t="s">
        <v>142</v>
      </c>
      <c r="X2" s="1" t="s">
        <v>143</v>
      </c>
      <c r="Y2" s="1" t="s">
        <v>144</v>
      </c>
      <c r="Z2" s="1" t="s">
        <v>145</v>
      </c>
      <c r="AA2" s="1" t="s">
        <v>160</v>
      </c>
      <c r="AB2" s="1" t="s">
        <v>161</v>
      </c>
      <c r="AC2" s="1" t="s">
        <v>162</v>
      </c>
      <c r="AD2" s="1" t="s">
        <v>163</v>
      </c>
      <c r="AF2">
        <v>2019</v>
      </c>
      <c r="AG2">
        <f>+AF2+1</f>
        <v>2020</v>
      </c>
      <c r="AH2">
        <f t="shared" ref="AH2:AM2" si="0">+AG2+1</f>
        <v>2021</v>
      </c>
      <c r="AI2">
        <f t="shared" si="0"/>
        <v>2022</v>
      </c>
      <c r="AJ2">
        <f t="shared" si="0"/>
        <v>2023</v>
      </c>
      <c r="AK2">
        <f t="shared" si="0"/>
        <v>2024</v>
      </c>
      <c r="AL2">
        <f t="shared" si="0"/>
        <v>2025</v>
      </c>
      <c r="AM2">
        <f t="shared" si="0"/>
        <v>2026</v>
      </c>
      <c r="AN2">
        <f>+AM2+1</f>
        <v>2027</v>
      </c>
      <c r="AO2">
        <f t="shared" ref="AO2:AV2" si="1">+AN2+1</f>
        <v>2028</v>
      </c>
      <c r="AP2">
        <f t="shared" si="1"/>
        <v>2029</v>
      </c>
      <c r="AQ2">
        <f t="shared" si="1"/>
        <v>2030</v>
      </c>
      <c r="AR2">
        <f t="shared" si="1"/>
        <v>2031</v>
      </c>
      <c r="AS2">
        <f t="shared" si="1"/>
        <v>2032</v>
      </c>
      <c r="AT2">
        <f t="shared" si="1"/>
        <v>2033</v>
      </c>
      <c r="AU2">
        <f t="shared" si="1"/>
        <v>2034</v>
      </c>
      <c r="AV2">
        <f t="shared" si="1"/>
        <v>2035</v>
      </c>
    </row>
    <row r="3" spans="1:48" s="7" customFormat="1" ht="13" x14ac:dyDescent="0.3">
      <c r="B3" s="7" t="s">
        <v>54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48" x14ac:dyDescent="0.25">
      <c r="B4" t="s">
        <v>138</v>
      </c>
      <c r="O4" s="1"/>
      <c r="P4" s="1"/>
      <c r="Q4" s="1"/>
      <c r="R4" s="1"/>
      <c r="S4" s="1"/>
      <c r="T4" s="1"/>
      <c r="U4" s="1"/>
      <c r="AJ4">
        <v>0</v>
      </c>
      <c r="AK4" s="2">
        <v>1100</v>
      </c>
      <c r="AL4" s="2"/>
    </row>
    <row r="5" spans="1:48" x14ac:dyDescent="0.25">
      <c r="B5" t="s">
        <v>139</v>
      </c>
      <c r="O5" s="1"/>
      <c r="P5" s="1"/>
      <c r="Q5" s="1"/>
      <c r="R5" s="1"/>
      <c r="S5" s="1"/>
      <c r="T5" s="1"/>
      <c r="U5" s="1"/>
      <c r="AK5" s="2">
        <v>1500</v>
      </c>
      <c r="AL5" s="2"/>
    </row>
    <row r="6" spans="1:48" x14ac:dyDescent="0.25">
      <c r="O6" s="1"/>
      <c r="P6" s="1"/>
      <c r="Q6" s="1"/>
      <c r="R6" s="1"/>
      <c r="S6" s="1"/>
      <c r="T6" s="1"/>
      <c r="U6" s="1"/>
      <c r="AK6" s="2"/>
      <c r="AL6" s="2"/>
    </row>
    <row r="7" spans="1:48" x14ac:dyDescent="0.25">
      <c r="B7" t="s">
        <v>146</v>
      </c>
      <c r="O7" s="1"/>
      <c r="P7" s="1"/>
      <c r="Q7" s="1"/>
      <c r="R7" s="1"/>
      <c r="S7" s="1"/>
      <c r="T7" s="1"/>
      <c r="U7" s="1">
        <v>10</v>
      </c>
      <c r="V7">
        <v>15</v>
      </c>
      <c r="W7">
        <v>2</v>
      </c>
      <c r="X7">
        <v>0</v>
      </c>
      <c r="Y7">
        <v>2</v>
      </c>
      <c r="Z7">
        <f>8-Y7-X7-W7</f>
        <v>4</v>
      </c>
      <c r="AA7">
        <v>7</v>
      </c>
      <c r="AK7" s="2">
        <v>50</v>
      </c>
      <c r="AL7" s="2">
        <f>SUM(W7:Z7)</f>
        <v>8</v>
      </c>
      <c r="AM7" s="2">
        <f>+AL7*1.3</f>
        <v>10.4</v>
      </c>
      <c r="AN7" s="2">
        <f>+AM7*1.3</f>
        <v>13.520000000000001</v>
      </c>
      <c r="AO7" s="2">
        <f>+AN7*1.3</f>
        <v>17.576000000000004</v>
      </c>
      <c r="AP7" s="2">
        <f>+AO7*1.1</f>
        <v>19.333600000000008</v>
      </c>
      <c r="AQ7" s="2">
        <f>+AP7*1.1</f>
        <v>21.266960000000012</v>
      </c>
      <c r="AR7" s="2">
        <f>+AQ7*1.1</f>
        <v>23.393656000000014</v>
      </c>
      <c r="AS7" s="2">
        <f>+AR7*1.05</f>
        <v>24.563338800000015</v>
      </c>
      <c r="AT7" s="2">
        <f>+AS7*1.05</f>
        <v>25.791505740000016</v>
      </c>
      <c r="AU7" s="2">
        <f>+AT7*1.05</f>
        <v>27.081081027000018</v>
      </c>
      <c r="AV7" s="2">
        <f>+AU7*1.05</f>
        <v>28.435135078350019</v>
      </c>
    </row>
    <row r="8" spans="1:48" x14ac:dyDescent="0.25">
      <c r="B8" t="s">
        <v>73</v>
      </c>
      <c r="O8" s="1"/>
      <c r="P8" s="1"/>
      <c r="Q8" s="1"/>
      <c r="R8" s="1"/>
      <c r="S8" s="1"/>
      <c r="T8" s="1"/>
      <c r="U8" s="1"/>
      <c r="AL8" s="2">
        <f>SUM(W8:Z8)</f>
        <v>0</v>
      </c>
      <c r="AM8" s="2">
        <v>1000</v>
      </c>
      <c r="AN8" s="2">
        <f>+AM8*1.01</f>
        <v>1010</v>
      </c>
      <c r="AO8" s="2">
        <f t="shared" ref="AO8:AV8" si="2">+AN8*1.01</f>
        <v>1020.1</v>
      </c>
      <c r="AP8" s="2">
        <f t="shared" si="2"/>
        <v>1030.3009999999999</v>
      </c>
      <c r="AQ8" s="2">
        <f t="shared" si="2"/>
        <v>1040.60401</v>
      </c>
      <c r="AR8" s="2">
        <f t="shared" si="2"/>
        <v>1051.0100500999999</v>
      </c>
      <c r="AS8" s="2">
        <f t="shared" si="2"/>
        <v>1061.5201506009998</v>
      </c>
      <c r="AT8" s="2">
        <f t="shared" si="2"/>
        <v>1072.1353521070098</v>
      </c>
      <c r="AU8" s="2">
        <f t="shared" si="2"/>
        <v>1082.8567056280799</v>
      </c>
      <c r="AV8" s="2">
        <f t="shared" si="2"/>
        <v>1093.6852726843608</v>
      </c>
    </row>
    <row r="9" spans="1:48" x14ac:dyDescent="0.25">
      <c r="B9" t="s">
        <v>63</v>
      </c>
      <c r="O9" s="1"/>
      <c r="P9" s="1"/>
      <c r="Q9" s="1"/>
      <c r="R9" s="1"/>
      <c r="S9" s="1"/>
      <c r="T9" s="1"/>
      <c r="U9" s="1"/>
      <c r="AL9" s="2">
        <f>SUM(W9:Z9)</f>
        <v>0</v>
      </c>
      <c r="AM9" s="2">
        <f t="shared" ref="AM9:AV9" si="3">+AL10*0.5</f>
        <v>815.25</v>
      </c>
      <c r="AN9" s="2">
        <f t="shared" si="3"/>
        <v>652.20000000000005</v>
      </c>
      <c r="AO9" s="2">
        <f t="shared" si="3"/>
        <v>521.7600000000001</v>
      </c>
      <c r="AP9" s="2">
        <f t="shared" si="3"/>
        <v>417.40800000000013</v>
      </c>
      <c r="AQ9" s="2">
        <f t="shared" si="3"/>
        <v>333.92640000000011</v>
      </c>
      <c r="AR9" s="2">
        <f t="shared" si="3"/>
        <v>267.14112000000011</v>
      </c>
      <c r="AS9" s="2">
        <f t="shared" si="3"/>
        <v>213.71289600000011</v>
      </c>
      <c r="AT9" s="2">
        <f t="shared" si="3"/>
        <v>170.97031680000009</v>
      </c>
      <c r="AU9" s="2">
        <f t="shared" si="3"/>
        <v>136.77625344000009</v>
      </c>
      <c r="AV9" s="2">
        <f t="shared" si="3"/>
        <v>109.42100275200008</v>
      </c>
    </row>
    <row r="10" spans="1:48" x14ac:dyDescent="0.25">
      <c r="B10" t="s">
        <v>83</v>
      </c>
      <c r="O10" s="1"/>
      <c r="P10" s="1">
        <v>293</v>
      </c>
      <c r="Q10" s="3">
        <v>1757</v>
      </c>
      <c r="R10" s="3">
        <v>2793</v>
      </c>
      <c r="S10" s="3">
        <v>167</v>
      </c>
      <c r="T10" s="1">
        <v>184</v>
      </c>
      <c r="U10" s="3">
        <v>1810</v>
      </c>
      <c r="V10">
        <f>244+679</f>
        <v>923</v>
      </c>
      <c r="W10" s="2">
        <v>84</v>
      </c>
      <c r="X10" s="2">
        <v>114</v>
      </c>
      <c r="Y10">
        <v>971</v>
      </c>
      <c r="Z10" s="2">
        <f>+V10*0.5</f>
        <v>461.5</v>
      </c>
      <c r="AA10" s="2">
        <v>345</v>
      </c>
      <c r="AB10" s="2"/>
      <c r="AC10" s="2"/>
      <c r="AD10" s="2"/>
      <c r="AK10" s="2">
        <f>SUM(S10:V10)</f>
        <v>3084</v>
      </c>
      <c r="AL10" s="2">
        <f>SUM(W10:Z10)</f>
        <v>1630.5</v>
      </c>
      <c r="AM10" s="2">
        <f>+AL10*0.8</f>
        <v>1304.4000000000001</v>
      </c>
      <c r="AN10" s="2">
        <f t="shared" ref="AN10:AV10" si="4">+AM10*0.8</f>
        <v>1043.5200000000002</v>
      </c>
      <c r="AO10" s="2">
        <f t="shared" si="4"/>
        <v>834.81600000000026</v>
      </c>
      <c r="AP10" s="2">
        <f t="shared" si="4"/>
        <v>667.85280000000023</v>
      </c>
      <c r="AQ10" s="2">
        <f t="shared" si="4"/>
        <v>534.28224000000023</v>
      </c>
      <c r="AR10" s="2">
        <f t="shared" si="4"/>
        <v>427.42579200000023</v>
      </c>
      <c r="AS10" s="2">
        <f t="shared" si="4"/>
        <v>341.94063360000018</v>
      </c>
      <c r="AT10" s="2">
        <f t="shared" si="4"/>
        <v>273.55250688000018</v>
      </c>
      <c r="AU10" s="2">
        <f t="shared" si="4"/>
        <v>218.84200550400016</v>
      </c>
      <c r="AV10" s="2">
        <f t="shared" si="4"/>
        <v>175.07360440320014</v>
      </c>
    </row>
    <row r="11" spans="1:48" s="2" customFormat="1" x14ac:dyDescent="0.25">
      <c r="B11" s="2" t="s">
        <v>8</v>
      </c>
      <c r="C11" s="3"/>
      <c r="D11" s="3"/>
      <c r="E11" s="3">
        <v>0</v>
      </c>
      <c r="F11" s="3">
        <v>200</v>
      </c>
      <c r="G11" s="3">
        <v>1733</v>
      </c>
      <c r="H11" s="3">
        <v>4197</v>
      </c>
      <c r="I11" s="3">
        <v>4810</v>
      </c>
      <c r="J11" s="3">
        <v>6935</v>
      </c>
      <c r="K11" s="3">
        <v>5925</v>
      </c>
      <c r="L11" s="3">
        <v>4531</v>
      </c>
      <c r="M11" s="3">
        <v>3120</v>
      </c>
      <c r="N11" s="3">
        <v>4859</v>
      </c>
      <c r="O11" s="3">
        <v>1828</v>
      </c>
      <c r="P11" s="2">
        <f t="shared" ref="P11:AA11" si="5">+P10+P7</f>
        <v>293</v>
      </c>
      <c r="Q11" s="2">
        <f t="shared" si="5"/>
        <v>1757</v>
      </c>
      <c r="R11" s="2">
        <f t="shared" si="5"/>
        <v>2793</v>
      </c>
      <c r="S11" s="2">
        <f t="shared" si="5"/>
        <v>167</v>
      </c>
      <c r="T11" s="2">
        <f t="shared" si="5"/>
        <v>184</v>
      </c>
      <c r="U11" s="2">
        <f t="shared" si="5"/>
        <v>1820</v>
      </c>
      <c r="V11" s="2">
        <f t="shared" si="5"/>
        <v>938</v>
      </c>
      <c r="W11" s="2">
        <f t="shared" si="5"/>
        <v>86</v>
      </c>
      <c r="X11" s="2">
        <f t="shared" si="5"/>
        <v>114</v>
      </c>
      <c r="Y11" s="2">
        <f t="shared" si="5"/>
        <v>973</v>
      </c>
      <c r="Z11" s="2">
        <f t="shared" si="5"/>
        <v>465.5</v>
      </c>
      <c r="AA11" s="2">
        <f t="shared" si="5"/>
        <v>352</v>
      </c>
      <c r="AH11" s="2">
        <f>SUM(G11:J11)</f>
        <v>17675</v>
      </c>
      <c r="AI11" s="2">
        <f>SUM(K11:N11)</f>
        <v>18435</v>
      </c>
      <c r="AJ11" s="2">
        <f>SUM(O11:R11)</f>
        <v>6671</v>
      </c>
      <c r="AK11" s="2">
        <f>+AK10+AK7</f>
        <v>3134</v>
      </c>
      <c r="AL11" s="2">
        <f>SUM(AL7:AL10)</f>
        <v>1638.5</v>
      </c>
      <c r="AM11" s="2">
        <f t="shared" ref="AM11:AV11" si="6">+AL11*0.2</f>
        <v>327.70000000000005</v>
      </c>
      <c r="AN11" s="2">
        <f t="shared" si="6"/>
        <v>65.540000000000006</v>
      </c>
      <c r="AO11" s="2">
        <f t="shared" si="6"/>
        <v>13.108000000000002</v>
      </c>
      <c r="AP11" s="2">
        <f t="shared" si="6"/>
        <v>2.6216000000000008</v>
      </c>
      <c r="AQ11" s="2">
        <f t="shared" si="6"/>
        <v>0.52432000000000023</v>
      </c>
      <c r="AR11" s="2">
        <f t="shared" si="6"/>
        <v>0.10486400000000005</v>
      </c>
      <c r="AS11" s="2">
        <f t="shared" si="6"/>
        <v>2.0972800000000014E-2</v>
      </c>
      <c r="AT11" s="2">
        <f t="shared" si="6"/>
        <v>4.1945600000000026E-3</v>
      </c>
      <c r="AU11" s="2">
        <f t="shared" si="6"/>
        <v>8.3891200000000058E-4</v>
      </c>
      <c r="AV11" s="2">
        <f t="shared" si="6"/>
        <v>1.6778240000000014E-4</v>
      </c>
    </row>
    <row r="12" spans="1:48" s="2" customFormat="1" x14ac:dyDescent="0.25">
      <c r="B12" s="2" t="s">
        <v>24</v>
      </c>
      <c r="C12" s="3"/>
      <c r="D12" s="3"/>
      <c r="E12" s="3">
        <v>145</v>
      </c>
      <c r="F12" s="3">
        <v>341</v>
      </c>
      <c r="G12" s="3">
        <v>194</v>
      </c>
      <c r="H12" s="3">
        <v>139</v>
      </c>
      <c r="I12" s="3">
        <v>140</v>
      </c>
      <c r="J12" s="3">
        <v>262</v>
      </c>
      <c r="K12" s="3">
        <v>126</v>
      </c>
      <c r="L12" s="3">
        <v>183</v>
      </c>
      <c r="M12" s="3">
        <v>144</v>
      </c>
      <c r="N12" s="3"/>
      <c r="AH12" s="2">
        <f>SUM(G12:J12)</f>
        <v>735</v>
      </c>
      <c r="AI12" s="2">
        <f>SUM(K12:N12)</f>
        <v>453</v>
      </c>
      <c r="AJ12" s="2">
        <f>SUM(O12:R12)</f>
        <v>0</v>
      </c>
      <c r="AK12" s="2">
        <f>SUM(S12:V12)</f>
        <v>0</v>
      </c>
      <c r="AL12" s="2">
        <f>SUM(W12:Z12)</f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</row>
    <row r="13" spans="1:48" s="2" customFormat="1" x14ac:dyDescent="0.25">
      <c r="B13" s="2" t="s">
        <v>25</v>
      </c>
      <c r="C13" s="3"/>
      <c r="D13" s="3"/>
      <c r="E13" s="3">
        <v>12</v>
      </c>
      <c r="F13" s="3">
        <v>30</v>
      </c>
      <c r="G13" s="3">
        <v>10</v>
      </c>
      <c r="H13" s="3">
        <v>18</v>
      </c>
      <c r="I13" s="3">
        <v>19</v>
      </c>
      <c r="J13" s="3">
        <v>14</v>
      </c>
      <c r="K13" s="3">
        <v>15</v>
      </c>
      <c r="L13" s="3">
        <v>35</v>
      </c>
      <c r="M13" s="3">
        <v>100</v>
      </c>
      <c r="N13" s="3">
        <v>225</v>
      </c>
      <c r="O13" s="2">
        <v>34</v>
      </c>
      <c r="P13" s="2">
        <v>51</v>
      </c>
      <c r="Q13" s="2">
        <v>74</v>
      </c>
      <c r="R13" s="2">
        <v>18</v>
      </c>
      <c r="S13" s="2">
        <v>0</v>
      </c>
      <c r="T13" s="2">
        <v>57</v>
      </c>
      <c r="U13" s="2">
        <v>42</v>
      </c>
      <c r="V13" s="2">
        <v>28</v>
      </c>
      <c r="W13" s="2">
        <v>22</v>
      </c>
      <c r="X13" s="2">
        <v>28</v>
      </c>
      <c r="Y13" s="2">
        <v>43</v>
      </c>
      <c r="Z13" s="2">
        <f>+V13</f>
        <v>28</v>
      </c>
      <c r="AA13" s="2">
        <v>37</v>
      </c>
      <c r="AH13" s="2">
        <f>SUM(G13:J13)</f>
        <v>61</v>
      </c>
      <c r="AI13" s="2">
        <f>SUM(K13:N13)</f>
        <v>375</v>
      </c>
      <c r="AJ13" s="2">
        <f>SUM(O13:R13)</f>
        <v>177</v>
      </c>
      <c r="AK13" s="2">
        <f>SUM(S13:V13)</f>
        <v>127</v>
      </c>
      <c r="AL13" s="2">
        <f>SUM(W13:Z13)</f>
        <v>121</v>
      </c>
      <c r="AM13" s="2">
        <f>+AL13</f>
        <v>121</v>
      </c>
      <c r="AN13" s="2">
        <f t="shared" ref="AN13:AV13" si="7">+AM13</f>
        <v>121</v>
      </c>
      <c r="AO13" s="2">
        <f t="shared" si="7"/>
        <v>121</v>
      </c>
      <c r="AP13" s="2">
        <f t="shared" si="7"/>
        <v>121</v>
      </c>
      <c r="AQ13" s="2">
        <f t="shared" si="7"/>
        <v>121</v>
      </c>
      <c r="AR13" s="2">
        <f t="shared" si="7"/>
        <v>121</v>
      </c>
      <c r="AS13" s="2">
        <f t="shared" si="7"/>
        <v>121</v>
      </c>
      <c r="AT13" s="2">
        <f t="shared" si="7"/>
        <v>121</v>
      </c>
      <c r="AU13" s="2">
        <f t="shared" si="7"/>
        <v>121</v>
      </c>
      <c r="AV13" s="2">
        <f t="shared" si="7"/>
        <v>121</v>
      </c>
    </row>
    <row r="14" spans="1:48" s="4" customFormat="1" ht="13" x14ac:dyDescent="0.3">
      <c r="B14" s="4" t="s">
        <v>26</v>
      </c>
      <c r="C14" s="5"/>
      <c r="D14" s="5"/>
      <c r="E14" s="5">
        <f t="shared" ref="E14:L14" si="8">SUM(E11:E13)</f>
        <v>157</v>
      </c>
      <c r="F14" s="5">
        <f t="shared" si="8"/>
        <v>571</v>
      </c>
      <c r="G14" s="5">
        <f t="shared" si="8"/>
        <v>1937</v>
      </c>
      <c r="H14" s="5">
        <f t="shared" si="8"/>
        <v>4354</v>
      </c>
      <c r="I14" s="5">
        <f t="shared" si="8"/>
        <v>4969</v>
      </c>
      <c r="J14" s="5">
        <f t="shared" si="8"/>
        <v>7211</v>
      </c>
      <c r="K14" s="5">
        <f t="shared" si="8"/>
        <v>6066</v>
      </c>
      <c r="L14" s="5">
        <f t="shared" si="8"/>
        <v>4749</v>
      </c>
      <c r="M14" s="5">
        <f t="shared" ref="M14:N14" si="9">SUM(M11:M13)</f>
        <v>3364</v>
      </c>
      <c r="N14" s="5">
        <f t="shared" si="9"/>
        <v>5084</v>
      </c>
      <c r="O14" s="5">
        <f t="shared" ref="O14" si="10">SUM(O11:O13)</f>
        <v>1862</v>
      </c>
      <c r="P14" s="5">
        <f t="shared" ref="P14" si="11">SUM(P11:P13)</f>
        <v>344</v>
      </c>
      <c r="Q14" s="5">
        <f t="shared" ref="Q14" si="12">SUM(Q11:Q13)</f>
        <v>1831</v>
      </c>
      <c r="R14" s="5">
        <f t="shared" ref="R14:AD14" si="13">SUM(R11:R13)</f>
        <v>2811</v>
      </c>
      <c r="S14" s="5">
        <f t="shared" si="13"/>
        <v>167</v>
      </c>
      <c r="T14" s="5">
        <f t="shared" si="13"/>
        <v>241</v>
      </c>
      <c r="U14" s="5">
        <f t="shared" si="13"/>
        <v>1862</v>
      </c>
      <c r="V14" s="5">
        <f>SUM(V11:V13)</f>
        <v>966</v>
      </c>
      <c r="W14" s="5">
        <f t="shared" si="13"/>
        <v>108</v>
      </c>
      <c r="X14" s="5">
        <f t="shared" si="13"/>
        <v>142</v>
      </c>
      <c r="Y14" s="5">
        <f t="shared" si="13"/>
        <v>1016</v>
      </c>
      <c r="Z14" s="5">
        <f t="shared" si="13"/>
        <v>493.5</v>
      </c>
      <c r="AA14" s="5">
        <f t="shared" si="13"/>
        <v>389</v>
      </c>
      <c r="AB14" s="5">
        <f t="shared" si="13"/>
        <v>0</v>
      </c>
      <c r="AC14" s="5">
        <f t="shared" si="13"/>
        <v>0</v>
      </c>
      <c r="AD14" s="5">
        <f t="shared" si="13"/>
        <v>0</v>
      </c>
      <c r="AH14" s="4">
        <f>SUM(AH11:AH13)</f>
        <v>18471</v>
      </c>
      <c r="AI14" s="4">
        <f>SUM(AI11:AI13)</f>
        <v>19263</v>
      </c>
      <c r="AJ14" s="4">
        <f>SUM(AJ11:AJ13)</f>
        <v>6848</v>
      </c>
      <c r="AK14" s="4">
        <f>SUM(AK7:AK13)</f>
        <v>6395</v>
      </c>
      <c r="AL14" s="4">
        <f>+AL13+AL12+AL11</f>
        <v>1759.5</v>
      </c>
      <c r="AM14" s="4">
        <f>SUM(AM7:AM13)</f>
        <v>3578.75</v>
      </c>
      <c r="AN14" s="4">
        <f>SUM(AN7:AN13)</f>
        <v>2905.78</v>
      </c>
      <c r="AO14" s="4">
        <f t="shared" ref="AO14:AV14" si="14">SUM(AO7:AO13)</f>
        <v>2528.3600000000006</v>
      </c>
      <c r="AP14" s="4">
        <f t="shared" si="14"/>
        <v>2258.5170000000003</v>
      </c>
      <c r="AQ14" s="4">
        <f t="shared" si="14"/>
        <v>2051.6039300000002</v>
      </c>
      <c r="AR14" s="4">
        <f t="shared" si="14"/>
        <v>1890.0754821000003</v>
      </c>
      <c r="AS14" s="4">
        <f t="shared" si="14"/>
        <v>1762.7579918010001</v>
      </c>
      <c r="AT14" s="4">
        <f t="shared" si="14"/>
        <v>1663.4538760870103</v>
      </c>
      <c r="AU14" s="4">
        <f t="shared" si="14"/>
        <v>1586.5568845110802</v>
      </c>
      <c r="AV14" s="4">
        <f t="shared" si="14"/>
        <v>1527.6151827003109</v>
      </c>
    </row>
    <row r="15" spans="1:48" s="2" customFormat="1" x14ac:dyDescent="0.25">
      <c r="B15" s="2" t="s">
        <v>34</v>
      </c>
      <c r="C15" s="3"/>
      <c r="D15" s="3"/>
      <c r="E15" s="3">
        <v>0</v>
      </c>
      <c r="F15" s="3">
        <v>8</v>
      </c>
      <c r="G15" s="3">
        <v>193</v>
      </c>
      <c r="H15" s="3">
        <v>750</v>
      </c>
      <c r="I15" s="3">
        <v>722</v>
      </c>
      <c r="J15" s="3">
        <v>952</v>
      </c>
      <c r="K15" s="3">
        <v>1017</v>
      </c>
      <c r="L15" s="3">
        <v>1381</v>
      </c>
      <c r="M15" s="3">
        <v>1100</v>
      </c>
      <c r="N15" s="3">
        <v>1918</v>
      </c>
      <c r="O15" s="3">
        <v>792</v>
      </c>
      <c r="P15" s="3">
        <v>731</v>
      </c>
      <c r="Q15" s="3">
        <v>2241</v>
      </c>
      <c r="R15" s="3">
        <v>929</v>
      </c>
      <c r="S15" s="3">
        <v>96</v>
      </c>
      <c r="T15" s="3">
        <v>115</v>
      </c>
      <c r="U15" s="3">
        <v>514</v>
      </c>
      <c r="V15" s="2">
        <v>739</v>
      </c>
      <c r="W15" s="2">
        <v>90</v>
      </c>
      <c r="X15" s="2">
        <v>28</v>
      </c>
      <c r="Y15" s="2">
        <v>207</v>
      </c>
      <c r="AA15" s="2">
        <v>955</v>
      </c>
      <c r="AL15" s="2">
        <f>+AL14-AL16</f>
        <v>527.85000000000014</v>
      </c>
      <c r="AM15" s="2">
        <f t="shared" ref="AM15:AV15" si="15">+AM14-AM16</f>
        <v>1073.625</v>
      </c>
      <c r="AN15" s="2">
        <f t="shared" si="15"/>
        <v>871.73400000000015</v>
      </c>
      <c r="AO15" s="2">
        <f t="shared" si="15"/>
        <v>758.50800000000027</v>
      </c>
      <c r="AP15" s="2">
        <f t="shared" si="15"/>
        <v>677.55510000000027</v>
      </c>
      <c r="AQ15" s="2">
        <f t="shared" si="15"/>
        <v>615.48117900000011</v>
      </c>
      <c r="AR15" s="2">
        <f t="shared" si="15"/>
        <v>567.02264463000006</v>
      </c>
      <c r="AS15" s="2">
        <f t="shared" si="15"/>
        <v>528.82739754030013</v>
      </c>
      <c r="AT15" s="2">
        <f t="shared" si="15"/>
        <v>499.03616282610324</v>
      </c>
      <c r="AU15" s="2">
        <f t="shared" si="15"/>
        <v>475.96706535332419</v>
      </c>
      <c r="AV15" s="2">
        <f t="shared" si="15"/>
        <v>458.28455481009337</v>
      </c>
    </row>
    <row r="16" spans="1:48" x14ac:dyDescent="0.25">
      <c r="B16" s="2" t="s">
        <v>35</v>
      </c>
      <c r="E16" s="3">
        <f t="shared" ref="E16:L16" si="16">+E14-E15</f>
        <v>157</v>
      </c>
      <c r="F16" s="3">
        <f t="shared" si="16"/>
        <v>563</v>
      </c>
      <c r="G16" s="3">
        <f t="shared" si="16"/>
        <v>1744</v>
      </c>
      <c r="H16" s="3">
        <f t="shared" si="16"/>
        <v>3604</v>
      </c>
      <c r="I16" s="3">
        <f t="shared" si="16"/>
        <v>4247</v>
      </c>
      <c r="J16" s="3">
        <f t="shared" si="16"/>
        <v>6259</v>
      </c>
      <c r="K16" s="3">
        <f t="shared" si="16"/>
        <v>5049</v>
      </c>
      <c r="L16" s="3">
        <f t="shared" si="16"/>
        <v>3368</v>
      </c>
      <c r="M16" s="3">
        <f t="shared" ref="M16:T16" si="17">+M14-M15</f>
        <v>2264</v>
      </c>
      <c r="N16" s="3">
        <f t="shared" si="17"/>
        <v>3166</v>
      </c>
      <c r="O16" s="3">
        <f t="shared" si="17"/>
        <v>1070</v>
      </c>
      <c r="P16" s="3">
        <f t="shared" si="17"/>
        <v>-387</v>
      </c>
      <c r="Q16" s="3">
        <f t="shared" si="17"/>
        <v>-410</v>
      </c>
      <c r="R16" s="3">
        <f t="shared" si="17"/>
        <v>1882</v>
      </c>
      <c r="S16" s="3">
        <f t="shared" si="17"/>
        <v>71</v>
      </c>
      <c r="T16" s="3">
        <f t="shared" si="17"/>
        <v>126</v>
      </c>
      <c r="U16" s="3">
        <f>+U14-U15</f>
        <v>1348</v>
      </c>
      <c r="V16" s="2">
        <f>+V14-V15</f>
        <v>227</v>
      </c>
      <c r="W16" s="2">
        <f>+W14-W15</f>
        <v>18</v>
      </c>
      <c r="X16" s="2">
        <f t="shared" ref="X16" si="18">+X14-X15</f>
        <v>114</v>
      </c>
      <c r="Y16" s="2">
        <f>+Y14-Y15</f>
        <v>809</v>
      </c>
      <c r="AA16" s="2">
        <f>+AA14-AA15</f>
        <v>-566</v>
      </c>
      <c r="AL16" s="2">
        <f>+AL14*0.7</f>
        <v>1231.6499999999999</v>
      </c>
      <c r="AM16" s="2">
        <f t="shared" ref="AM16:AV16" si="19">+AM14*0.7</f>
        <v>2505.125</v>
      </c>
      <c r="AN16" s="2">
        <f t="shared" si="19"/>
        <v>2034.046</v>
      </c>
      <c r="AO16" s="2">
        <f t="shared" si="19"/>
        <v>1769.8520000000003</v>
      </c>
      <c r="AP16" s="2">
        <f t="shared" si="19"/>
        <v>1580.9619</v>
      </c>
      <c r="AQ16" s="2">
        <f t="shared" si="19"/>
        <v>1436.1227510000001</v>
      </c>
      <c r="AR16" s="2">
        <f t="shared" si="19"/>
        <v>1323.0528374700002</v>
      </c>
      <c r="AS16" s="2">
        <f t="shared" si="19"/>
        <v>1233.9305942607</v>
      </c>
      <c r="AT16" s="2">
        <f t="shared" si="19"/>
        <v>1164.417713260907</v>
      </c>
      <c r="AU16" s="2">
        <f t="shared" si="19"/>
        <v>1110.589819157756</v>
      </c>
      <c r="AV16" s="2">
        <f t="shared" si="19"/>
        <v>1069.3306278902176</v>
      </c>
    </row>
    <row r="17" spans="2:143" x14ac:dyDescent="0.25">
      <c r="B17" s="2" t="s">
        <v>36</v>
      </c>
      <c r="E17" s="1">
        <v>344</v>
      </c>
      <c r="F17" s="1">
        <v>759</v>
      </c>
      <c r="G17" s="1">
        <v>401</v>
      </c>
      <c r="H17" s="1">
        <v>421</v>
      </c>
      <c r="I17" s="1">
        <v>521</v>
      </c>
      <c r="J17" s="1">
        <v>648</v>
      </c>
      <c r="K17" s="1">
        <v>554</v>
      </c>
      <c r="L17" s="1">
        <v>710</v>
      </c>
      <c r="M17" s="3">
        <v>820</v>
      </c>
      <c r="N17" s="3">
        <v>1211</v>
      </c>
      <c r="O17" s="3">
        <v>1131</v>
      </c>
      <c r="P17" s="3">
        <v>1148</v>
      </c>
      <c r="Q17" s="3">
        <v>1160</v>
      </c>
      <c r="R17" s="3">
        <v>1406</v>
      </c>
      <c r="S17" s="3">
        <v>1063</v>
      </c>
      <c r="T17" s="3">
        <v>1221</v>
      </c>
      <c r="U17" s="3">
        <v>1137</v>
      </c>
      <c r="V17" s="3">
        <v>1122</v>
      </c>
      <c r="W17" s="3">
        <v>856</v>
      </c>
      <c r="X17" s="3">
        <v>700</v>
      </c>
      <c r="Y17" s="3">
        <v>801</v>
      </c>
    </row>
    <row r="18" spans="2:143" x14ac:dyDescent="0.25">
      <c r="B18" s="2" t="s">
        <v>37</v>
      </c>
      <c r="E18" s="1">
        <v>48</v>
      </c>
      <c r="F18" s="1">
        <v>79</v>
      </c>
      <c r="G18" s="1">
        <v>77</v>
      </c>
      <c r="H18" s="1">
        <v>121</v>
      </c>
      <c r="I18" s="1">
        <v>168</v>
      </c>
      <c r="J18" s="1">
        <v>201</v>
      </c>
      <c r="K18" s="1">
        <v>268</v>
      </c>
      <c r="L18" s="1">
        <v>211</v>
      </c>
      <c r="M18" s="3">
        <v>278</v>
      </c>
      <c r="N18" s="3">
        <v>375</v>
      </c>
      <c r="O18" s="3">
        <v>305</v>
      </c>
      <c r="P18" s="3">
        <v>332</v>
      </c>
      <c r="Q18" s="3">
        <v>442</v>
      </c>
      <c r="R18" s="3">
        <v>470</v>
      </c>
      <c r="S18" s="3">
        <v>274</v>
      </c>
      <c r="T18" s="3">
        <v>268</v>
      </c>
      <c r="U18" s="3">
        <v>281</v>
      </c>
      <c r="V18" s="2">
        <v>351</v>
      </c>
      <c r="W18" s="2">
        <v>212</v>
      </c>
      <c r="X18" s="2">
        <v>230</v>
      </c>
      <c r="Y18" s="2">
        <v>268</v>
      </c>
      <c r="AL18" s="2">
        <f>+AL14*0.25</f>
        <v>439.875</v>
      </c>
      <c r="AM18" s="2">
        <f t="shared" ref="AM18:AV18" si="20">+AM14*0.25</f>
        <v>894.6875</v>
      </c>
      <c r="AN18" s="2">
        <f t="shared" si="20"/>
        <v>726.44500000000005</v>
      </c>
      <c r="AO18" s="2">
        <f t="shared" si="20"/>
        <v>632.09000000000015</v>
      </c>
      <c r="AP18" s="2">
        <f t="shared" si="20"/>
        <v>564.62925000000007</v>
      </c>
      <c r="AQ18" s="2">
        <f t="shared" si="20"/>
        <v>512.90098250000005</v>
      </c>
      <c r="AR18" s="2">
        <f t="shared" si="20"/>
        <v>472.51887052500007</v>
      </c>
      <c r="AS18" s="2">
        <f t="shared" si="20"/>
        <v>440.68949795025003</v>
      </c>
      <c r="AT18" s="2">
        <f t="shared" si="20"/>
        <v>415.86346902175256</v>
      </c>
      <c r="AU18" s="2">
        <f t="shared" si="20"/>
        <v>396.63922112777004</v>
      </c>
      <c r="AV18" s="2">
        <f t="shared" si="20"/>
        <v>381.90379567507773</v>
      </c>
    </row>
    <row r="19" spans="2:143" x14ac:dyDescent="0.25">
      <c r="B19" t="s">
        <v>32</v>
      </c>
      <c r="E19" s="1">
        <f t="shared" ref="E19:L19" si="21">+E17+E18</f>
        <v>392</v>
      </c>
      <c r="F19" s="1">
        <f t="shared" si="21"/>
        <v>838</v>
      </c>
      <c r="G19" s="1">
        <f t="shared" si="21"/>
        <v>478</v>
      </c>
      <c r="H19" s="1">
        <f t="shared" si="21"/>
        <v>542</v>
      </c>
      <c r="I19" s="1">
        <f t="shared" si="21"/>
        <v>689</v>
      </c>
      <c r="J19" s="1">
        <f t="shared" si="21"/>
        <v>849</v>
      </c>
      <c r="K19" s="1">
        <f t="shared" si="21"/>
        <v>822</v>
      </c>
      <c r="L19" s="1">
        <f t="shared" si="21"/>
        <v>921</v>
      </c>
      <c r="M19" s="3">
        <f t="shared" ref="M19:O19" si="22">+M17+M18</f>
        <v>1098</v>
      </c>
      <c r="N19" s="3">
        <f t="shared" si="22"/>
        <v>1586</v>
      </c>
      <c r="O19" s="3">
        <f t="shared" si="22"/>
        <v>1436</v>
      </c>
      <c r="P19" s="3">
        <f t="shared" ref="P19" si="23">+P17+P18</f>
        <v>1480</v>
      </c>
      <c r="Q19" s="3">
        <f t="shared" ref="Q19" si="24">+Q17+Q18</f>
        <v>1602</v>
      </c>
      <c r="R19" s="3">
        <f t="shared" ref="R19:S19" si="25">+R17+R18</f>
        <v>1876</v>
      </c>
      <c r="S19" s="3">
        <f t="shared" si="25"/>
        <v>1337</v>
      </c>
      <c r="T19" s="3">
        <f>+T18+T17</f>
        <v>1489</v>
      </c>
      <c r="U19" s="3">
        <f>+U18+U17</f>
        <v>1418</v>
      </c>
      <c r="V19" s="3">
        <f>+V18+V17</f>
        <v>1473</v>
      </c>
      <c r="W19" s="3">
        <f t="shared" ref="W19:AD19" si="26">+W18+W17</f>
        <v>1068</v>
      </c>
      <c r="X19" s="3">
        <f t="shared" si="26"/>
        <v>930</v>
      </c>
      <c r="Y19" s="3">
        <f t="shared" si="26"/>
        <v>1069</v>
      </c>
      <c r="Z19" s="3">
        <f t="shared" si="26"/>
        <v>0</v>
      </c>
      <c r="AA19" s="3">
        <f t="shared" si="26"/>
        <v>0</v>
      </c>
      <c r="AB19" s="3">
        <f t="shared" si="26"/>
        <v>0</v>
      </c>
      <c r="AC19" s="3">
        <f t="shared" si="26"/>
        <v>0</v>
      </c>
      <c r="AD19" s="3">
        <f t="shared" si="26"/>
        <v>0</v>
      </c>
      <c r="AL19" s="2">
        <f>+AL18+AL17</f>
        <v>439.875</v>
      </c>
      <c r="AM19" s="2">
        <f t="shared" ref="AM19:AV19" si="27">+AM18+AM17</f>
        <v>894.6875</v>
      </c>
      <c r="AN19" s="2">
        <f t="shared" si="27"/>
        <v>726.44500000000005</v>
      </c>
      <c r="AO19" s="2">
        <f t="shared" si="27"/>
        <v>632.09000000000015</v>
      </c>
      <c r="AP19" s="2">
        <f t="shared" si="27"/>
        <v>564.62925000000007</v>
      </c>
      <c r="AQ19" s="2">
        <f t="shared" si="27"/>
        <v>512.90098250000005</v>
      </c>
      <c r="AR19" s="2">
        <f t="shared" si="27"/>
        <v>472.51887052500007</v>
      </c>
      <c r="AS19" s="2">
        <f t="shared" si="27"/>
        <v>440.68949795025003</v>
      </c>
      <c r="AT19" s="2">
        <f t="shared" si="27"/>
        <v>415.86346902175256</v>
      </c>
      <c r="AU19" s="2">
        <f t="shared" si="27"/>
        <v>396.63922112777004</v>
      </c>
      <c r="AV19" s="2">
        <f t="shared" si="27"/>
        <v>381.90379567507773</v>
      </c>
      <c r="AW19" s="2"/>
    </row>
    <row r="20" spans="2:143" x14ac:dyDescent="0.25">
      <c r="B20" t="s">
        <v>33</v>
      </c>
      <c r="E20" s="3">
        <f t="shared" ref="E20:L20" si="28">+E16-E19</f>
        <v>-235</v>
      </c>
      <c r="F20" s="3">
        <f t="shared" si="28"/>
        <v>-275</v>
      </c>
      <c r="G20" s="3">
        <f t="shared" si="28"/>
        <v>1266</v>
      </c>
      <c r="H20" s="3">
        <f t="shared" si="28"/>
        <v>3062</v>
      </c>
      <c r="I20" s="3">
        <f t="shared" si="28"/>
        <v>3558</v>
      </c>
      <c r="J20" s="3">
        <f t="shared" si="28"/>
        <v>5410</v>
      </c>
      <c r="K20" s="3">
        <f t="shared" si="28"/>
        <v>4227</v>
      </c>
      <c r="L20" s="3">
        <f t="shared" si="28"/>
        <v>2447</v>
      </c>
      <c r="M20" s="3">
        <f t="shared" ref="M20:O20" si="29">+M16-M19</f>
        <v>1166</v>
      </c>
      <c r="N20" s="3">
        <f t="shared" si="29"/>
        <v>1580</v>
      </c>
      <c r="O20" s="3">
        <f t="shared" si="29"/>
        <v>-366</v>
      </c>
      <c r="P20" s="3">
        <f t="shared" ref="P20" si="30">+P16-P19</f>
        <v>-1867</v>
      </c>
      <c r="Q20" s="3">
        <f t="shared" ref="Q20" si="31">+Q16-Q19</f>
        <v>-2012</v>
      </c>
      <c r="R20" s="3">
        <f t="shared" ref="R20:S20" si="32">+R16-R19</f>
        <v>6</v>
      </c>
      <c r="S20" s="3">
        <f t="shared" si="32"/>
        <v>-1266</v>
      </c>
      <c r="T20" s="3">
        <f>+T16-T19</f>
        <v>-1363</v>
      </c>
      <c r="U20" s="3">
        <f>+U16-U19</f>
        <v>-70</v>
      </c>
      <c r="V20" s="3">
        <f>+V16-V19</f>
        <v>-1246</v>
      </c>
      <c r="W20" s="3">
        <f t="shared" ref="W20:AD20" si="33">+W16-W19</f>
        <v>-1050</v>
      </c>
      <c r="X20" s="3">
        <f t="shared" si="33"/>
        <v>-816</v>
      </c>
      <c r="Y20" s="3">
        <f t="shared" si="33"/>
        <v>-260</v>
      </c>
      <c r="Z20" s="3">
        <f t="shared" si="33"/>
        <v>0</v>
      </c>
      <c r="AA20" s="3">
        <f t="shared" si="33"/>
        <v>-566</v>
      </c>
      <c r="AB20" s="3">
        <f t="shared" si="33"/>
        <v>0</v>
      </c>
      <c r="AC20" s="3">
        <f t="shared" si="33"/>
        <v>0</v>
      </c>
      <c r="AD20" s="3">
        <f t="shared" si="33"/>
        <v>0</v>
      </c>
      <c r="AL20" s="2">
        <f>+AL16-AL19</f>
        <v>791.77499999999986</v>
      </c>
      <c r="AM20" s="2">
        <f t="shared" ref="AM20:AV20" si="34">+AM16-AM19</f>
        <v>1610.4375</v>
      </c>
      <c r="AN20" s="2">
        <f t="shared" si="34"/>
        <v>1307.6010000000001</v>
      </c>
      <c r="AO20" s="2">
        <f t="shared" si="34"/>
        <v>1137.7620000000002</v>
      </c>
      <c r="AP20" s="2">
        <f t="shared" si="34"/>
        <v>1016.3326499999999</v>
      </c>
      <c r="AQ20" s="2">
        <f t="shared" si="34"/>
        <v>923.22176850000005</v>
      </c>
      <c r="AR20" s="2">
        <f t="shared" si="34"/>
        <v>850.5339669450002</v>
      </c>
      <c r="AS20" s="2">
        <f t="shared" si="34"/>
        <v>793.24109631044996</v>
      </c>
      <c r="AT20" s="2">
        <f t="shared" si="34"/>
        <v>748.55424423915451</v>
      </c>
      <c r="AU20" s="2">
        <f t="shared" si="34"/>
        <v>713.95059802998594</v>
      </c>
      <c r="AV20" s="2">
        <f t="shared" si="34"/>
        <v>687.42683221513983</v>
      </c>
      <c r="AW20" s="2"/>
    </row>
    <row r="21" spans="2:143" x14ac:dyDescent="0.25">
      <c r="B21" t="s">
        <v>31</v>
      </c>
      <c r="E21" s="1">
        <f>6-3</f>
        <v>3</v>
      </c>
      <c r="F21" s="1">
        <v>4</v>
      </c>
      <c r="G21" s="1">
        <f>4-10</f>
        <v>-6</v>
      </c>
      <c r="H21" s="1">
        <f>3-2</f>
        <v>1</v>
      </c>
      <c r="I21" s="1">
        <f>4-10</f>
        <v>-6</v>
      </c>
      <c r="J21" s="1">
        <f>7-7</f>
        <v>0</v>
      </c>
      <c r="K21" s="1">
        <f>15-13</f>
        <v>2</v>
      </c>
      <c r="L21" s="1">
        <f>40-13</f>
        <v>27</v>
      </c>
      <c r="M21" s="1">
        <f>58-7</f>
        <v>51</v>
      </c>
      <c r="N21" s="1">
        <f>87-12</f>
        <v>75</v>
      </c>
      <c r="O21">
        <f>109-48</f>
        <v>61</v>
      </c>
      <c r="P21">
        <f>104+14</f>
        <v>118</v>
      </c>
      <c r="Q21">
        <f>105-51</f>
        <v>54</v>
      </c>
      <c r="R21">
        <f>103-39</f>
        <v>64</v>
      </c>
      <c r="S21">
        <f>120-19</f>
        <v>101</v>
      </c>
      <c r="T21">
        <f>111-27</f>
        <v>84</v>
      </c>
      <c r="U21">
        <f>103-12</f>
        <v>91</v>
      </c>
      <c r="V21">
        <f>91-29</f>
        <v>62</v>
      </c>
      <c r="W21">
        <v>90</v>
      </c>
      <c r="X21">
        <v>81</v>
      </c>
      <c r="Y21">
        <v>73</v>
      </c>
    </row>
    <row r="22" spans="2:143" x14ac:dyDescent="0.25">
      <c r="B22" t="s">
        <v>30</v>
      </c>
      <c r="E22" s="3">
        <f t="shared" ref="E22:L22" si="35">+E20+E21</f>
        <v>-232</v>
      </c>
      <c r="F22" s="3">
        <f t="shared" si="35"/>
        <v>-271</v>
      </c>
      <c r="G22" s="3">
        <f t="shared" si="35"/>
        <v>1260</v>
      </c>
      <c r="H22" s="3">
        <f t="shared" si="35"/>
        <v>3063</v>
      </c>
      <c r="I22" s="3">
        <f t="shared" si="35"/>
        <v>3552</v>
      </c>
      <c r="J22" s="3">
        <f t="shared" si="35"/>
        <v>5410</v>
      </c>
      <c r="K22" s="3">
        <f t="shared" si="35"/>
        <v>4229</v>
      </c>
      <c r="L22" s="3">
        <f t="shared" si="35"/>
        <v>2474</v>
      </c>
      <c r="M22" s="3">
        <f t="shared" ref="M22:S22" si="36">+M20+M21</f>
        <v>1217</v>
      </c>
      <c r="N22" s="3">
        <f t="shared" si="36"/>
        <v>1655</v>
      </c>
      <c r="O22" s="3">
        <f t="shared" si="36"/>
        <v>-305</v>
      </c>
      <c r="P22" s="3">
        <f t="shared" si="36"/>
        <v>-1749</v>
      </c>
      <c r="Q22" s="3">
        <f t="shared" si="36"/>
        <v>-1958</v>
      </c>
      <c r="R22" s="3">
        <f t="shared" si="36"/>
        <v>70</v>
      </c>
      <c r="S22" s="3">
        <f t="shared" si="36"/>
        <v>-1165</v>
      </c>
      <c r="T22" s="3">
        <f>+T20+T21</f>
        <v>-1279</v>
      </c>
      <c r="U22" s="3">
        <f>+U20+U21</f>
        <v>21</v>
      </c>
      <c r="V22" s="3">
        <f>+V20+V21</f>
        <v>-1184</v>
      </c>
      <c r="W22" s="3">
        <f t="shared" ref="W22:AD22" si="37">+W20+W21</f>
        <v>-960</v>
      </c>
      <c r="X22" s="3">
        <f t="shared" si="37"/>
        <v>-735</v>
      </c>
      <c r="Y22" s="3">
        <f t="shared" si="37"/>
        <v>-187</v>
      </c>
      <c r="Z22" s="3">
        <f t="shared" si="37"/>
        <v>0</v>
      </c>
      <c r="AA22" s="3">
        <f t="shared" si="37"/>
        <v>-566</v>
      </c>
      <c r="AB22" s="3">
        <f t="shared" si="37"/>
        <v>0</v>
      </c>
      <c r="AC22" s="3">
        <f t="shared" si="37"/>
        <v>0</v>
      </c>
      <c r="AD22" s="3">
        <f t="shared" si="37"/>
        <v>0</v>
      </c>
      <c r="AL22" s="2">
        <f>+AL20+AL21</f>
        <v>791.77499999999986</v>
      </c>
      <c r="AM22" s="2">
        <f t="shared" ref="AM22:AV22" si="38">+AM20+AM21</f>
        <v>1610.4375</v>
      </c>
      <c r="AN22" s="2">
        <f t="shared" si="38"/>
        <v>1307.6010000000001</v>
      </c>
      <c r="AO22" s="2">
        <f t="shared" si="38"/>
        <v>1137.7620000000002</v>
      </c>
      <c r="AP22" s="2">
        <f t="shared" si="38"/>
        <v>1016.3326499999999</v>
      </c>
      <c r="AQ22" s="2">
        <f t="shared" si="38"/>
        <v>923.22176850000005</v>
      </c>
      <c r="AR22" s="2">
        <f t="shared" si="38"/>
        <v>850.5339669450002</v>
      </c>
      <c r="AS22" s="2">
        <f t="shared" si="38"/>
        <v>793.24109631044996</v>
      </c>
      <c r="AT22" s="2">
        <f t="shared" si="38"/>
        <v>748.55424423915451</v>
      </c>
      <c r="AU22" s="2">
        <f t="shared" si="38"/>
        <v>713.95059802998594</v>
      </c>
      <c r="AV22" s="2">
        <f t="shared" si="38"/>
        <v>687.42683221513983</v>
      </c>
    </row>
    <row r="23" spans="2:143" x14ac:dyDescent="0.25">
      <c r="B23" t="s">
        <v>29</v>
      </c>
      <c r="E23" s="1">
        <v>1</v>
      </c>
      <c r="F23" s="1">
        <v>1</v>
      </c>
      <c r="G23" s="1">
        <v>39</v>
      </c>
      <c r="H23" s="1">
        <v>283</v>
      </c>
      <c r="I23" s="1">
        <v>219</v>
      </c>
      <c r="J23" s="1">
        <v>542</v>
      </c>
      <c r="K23" s="1">
        <v>572</v>
      </c>
      <c r="L23" s="1">
        <v>277</v>
      </c>
      <c r="M23" s="3">
        <v>174</v>
      </c>
      <c r="N23" s="3">
        <v>190</v>
      </c>
      <c r="O23" s="3">
        <v>-384</v>
      </c>
      <c r="P23" s="3">
        <v>-369</v>
      </c>
      <c r="Q23" s="3">
        <v>1672</v>
      </c>
      <c r="R23" s="3">
        <v>-147</v>
      </c>
      <c r="S23" s="3">
        <v>10</v>
      </c>
      <c r="T23" s="3">
        <v>0</v>
      </c>
      <c r="U23" s="3">
        <v>8</v>
      </c>
      <c r="V23" s="3">
        <v>-64</v>
      </c>
      <c r="W23" s="3">
        <v>7</v>
      </c>
      <c r="X23" s="3">
        <v>7</v>
      </c>
      <c r="Y23" s="3">
        <v>13</v>
      </c>
      <c r="AL23" s="2">
        <f>+AL22*0.2</f>
        <v>158.35499999999999</v>
      </c>
      <c r="AM23" s="2">
        <f t="shared" ref="AM23:AV23" si="39">+AM22*0.2</f>
        <v>322.08750000000003</v>
      </c>
      <c r="AN23" s="2">
        <f t="shared" si="39"/>
        <v>261.52020000000005</v>
      </c>
      <c r="AO23" s="2">
        <f t="shared" si="39"/>
        <v>227.55240000000003</v>
      </c>
      <c r="AP23" s="2">
        <f t="shared" si="39"/>
        <v>203.26652999999999</v>
      </c>
      <c r="AQ23" s="2">
        <f t="shared" si="39"/>
        <v>184.64435370000001</v>
      </c>
      <c r="AR23" s="2">
        <f t="shared" si="39"/>
        <v>170.10679338900005</v>
      </c>
      <c r="AS23" s="2">
        <f t="shared" si="39"/>
        <v>158.64821926209001</v>
      </c>
      <c r="AT23" s="2">
        <f t="shared" si="39"/>
        <v>149.7108488478309</v>
      </c>
      <c r="AU23" s="2">
        <f t="shared" si="39"/>
        <v>142.79011960599721</v>
      </c>
      <c r="AV23" s="2">
        <f t="shared" si="39"/>
        <v>137.48536644302797</v>
      </c>
    </row>
    <row r="24" spans="2:143" x14ac:dyDescent="0.25">
      <c r="B24" t="s">
        <v>28</v>
      </c>
      <c r="E24" s="3">
        <f t="shared" ref="E24:L24" si="40">+E22-E23</f>
        <v>-233</v>
      </c>
      <c r="F24" s="3">
        <f t="shared" si="40"/>
        <v>-272</v>
      </c>
      <c r="G24" s="3">
        <f t="shared" si="40"/>
        <v>1221</v>
      </c>
      <c r="H24" s="3">
        <f t="shared" si="40"/>
        <v>2780</v>
      </c>
      <c r="I24" s="3">
        <f t="shared" si="40"/>
        <v>3333</v>
      </c>
      <c r="J24" s="3">
        <f t="shared" si="40"/>
        <v>4868</v>
      </c>
      <c r="K24" s="3">
        <f t="shared" si="40"/>
        <v>3657</v>
      </c>
      <c r="L24" s="3">
        <f t="shared" si="40"/>
        <v>2197</v>
      </c>
      <c r="M24" s="3">
        <f t="shared" ref="M24:S24" si="41">+M22-M23</f>
        <v>1043</v>
      </c>
      <c r="N24" s="3">
        <f t="shared" si="41"/>
        <v>1465</v>
      </c>
      <c r="O24" s="3">
        <f t="shared" si="41"/>
        <v>79</v>
      </c>
      <c r="P24" s="3">
        <f t="shared" si="41"/>
        <v>-1380</v>
      </c>
      <c r="Q24" s="3">
        <f t="shared" si="41"/>
        <v>-3630</v>
      </c>
      <c r="R24" s="3">
        <f t="shared" si="41"/>
        <v>217</v>
      </c>
      <c r="S24" s="3">
        <f t="shared" si="41"/>
        <v>-1175</v>
      </c>
      <c r="T24" s="3">
        <f>+T22-T23</f>
        <v>-1279</v>
      </c>
      <c r="U24" s="3">
        <f>+U22-U23</f>
        <v>13</v>
      </c>
      <c r="V24" s="3">
        <f>+V22-V23</f>
        <v>-1120</v>
      </c>
      <c r="W24" s="3">
        <f t="shared" ref="W24:AD24" si="42">+W22-W23</f>
        <v>-967</v>
      </c>
      <c r="X24" s="3">
        <f t="shared" si="42"/>
        <v>-742</v>
      </c>
      <c r="Y24" s="3">
        <f t="shared" si="42"/>
        <v>-200</v>
      </c>
      <c r="Z24" s="3">
        <f t="shared" si="42"/>
        <v>0</v>
      </c>
      <c r="AA24" s="3">
        <f t="shared" si="42"/>
        <v>-566</v>
      </c>
      <c r="AB24" s="3">
        <f t="shared" si="42"/>
        <v>0</v>
      </c>
      <c r="AC24" s="3">
        <f t="shared" si="42"/>
        <v>0</v>
      </c>
      <c r="AD24" s="3">
        <f t="shared" si="42"/>
        <v>0</v>
      </c>
      <c r="AL24" s="2">
        <f>+AL22-AL23</f>
        <v>633.41999999999985</v>
      </c>
      <c r="AM24" s="2">
        <f t="shared" ref="AM24:AV24" si="43">+AM22-AM23</f>
        <v>1288.3499999999999</v>
      </c>
      <c r="AN24" s="2">
        <f t="shared" si="43"/>
        <v>1046.0808000000002</v>
      </c>
      <c r="AO24" s="2">
        <f t="shared" si="43"/>
        <v>910.20960000000014</v>
      </c>
      <c r="AP24" s="2">
        <f t="shared" si="43"/>
        <v>813.06611999999996</v>
      </c>
      <c r="AQ24" s="2">
        <f t="shared" si="43"/>
        <v>738.57741480000004</v>
      </c>
      <c r="AR24" s="2">
        <f t="shared" si="43"/>
        <v>680.42717355600018</v>
      </c>
      <c r="AS24" s="2">
        <f t="shared" si="43"/>
        <v>634.59287704835992</v>
      </c>
      <c r="AT24" s="2">
        <f t="shared" si="43"/>
        <v>598.84339539132361</v>
      </c>
      <c r="AU24" s="2">
        <f t="shared" si="43"/>
        <v>571.16047842398871</v>
      </c>
      <c r="AV24" s="2">
        <f t="shared" si="43"/>
        <v>549.94146577211188</v>
      </c>
      <c r="AW24" s="2">
        <f>+AV24*(1+$AY$30)</f>
        <v>522.44439248350625</v>
      </c>
      <c r="AX24" s="2">
        <f t="shared" ref="AX24:DI24" si="44">+AW24*(1+$AY$30)</f>
        <v>496.32217285933092</v>
      </c>
      <c r="AY24" s="2">
        <f t="shared" si="44"/>
        <v>471.50606421636434</v>
      </c>
      <c r="AZ24" s="2">
        <f t="shared" si="44"/>
        <v>447.93076100554612</v>
      </c>
      <c r="BA24" s="2">
        <f t="shared" si="44"/>
        <v>425.53422295526877</v>
      </c>
      <c r="BB24" s="2">
        <f t="shared" si="44"/>
        <v>404.2575118075053</v>
      </c>
      <c r="BC24" s="2">
        <f t="shared" si="44"/>
        <v>384.04463621713001</v>
      </c>
      <c r="BD24" s="2">
        <f t="shared" si="44"/>
        <v>364.84240440627349</v>
      </c>
      <c r="BE24" s="2">
        <f t="shared" si="44"/>
        <v>346.60028418595982</v>
      </c>
      <c r="BF24" s="2">
        <f t="shared" si="44"/>
        <v>329.27026997666184</v>
      </c>
      <c r="BG24" s="2">
        <f t="shared" si="44"/>
        <v>312.80675647782874</v>
      </c>
      <c r="BH24" s="2">
        <f t="shared" si="44"/>
        <v>297.16641865393728</v>
      </c>
      <c r="BI24" s="2">
        <f t="shared" si="44"/>
        <v>282.30809772124042</v>
      </c>
      <c r="BJ24" s="2">
        <f t="shared" si="44"/>
        <v>268.19269283517838</v>
      </c>
      <c r="BK24" s="2">
        <f t="shared" si="44"/>
        <v>254.78305819341944</v>
      </c>
      <c r="BL24" s="2">
        <f t="shared" si="44"/>
        <v>242.04390528374844</v>
      </c>
      <c r="BM24" s="2">
        <f t="shared" si="44"/>
        <v>229.94171001956101</v>
      </c>
      <c r="BN24" s="2">
        <f t="shared" si="44"/>
        <v>218.44462451858294</v>
      </c>
      <c r="BO24" s="2">
        <f t="shared" si="44"/>
        <v>207.52239329265379</v>
      </c>
      <c r="BP24" s="2">
        <f t="shared" si="44"/>
        <v>197.14627362802108</v>
      </c>
      <c r="BQ24" s="2">
        <f t="shared" si="44"/>
        <v>187.28895994662003</v>
      </c>
      <c r="BR24" s="2">
        <f t="shared" si="44"/>
        <v>177.92451194928901</v>
      </c>
      <c r="BS24" s="2">
        <f t="shared" si="44"/>
        <v>169.02828635182456</v>
      </c>
      <c r="BT24" s="2">
        <f t="shared" si="44"/>
        <v>160.57687203423333</v>
      </c>
      <c r="BU24" s="2">
        <f t="shared" si="44"/>
        <v>152.54802843252165</v>
      </c>
      <c r="BV24" s="2">
        <f t="shared" si="44"/>
        <v>144.92062701089557</v>
      </c>
      <c r="BW24" s="2">
        <f t="shared" si="44"/>
        <v>137.67459566035078</v>
      </c>
      <c r="BX24" s="2">
        <f t="shared" si="44"/>
        <v>130.79086587733323</v>
      </c>
      <c r="BY24" s="2">
        <f t="shared" si="44"/>
        <v>124.25132258346656</v>
      </c>
      <c r="BZ24" s="2">
        <f t="shared" si="44"/>
        <v>118.03875645429322</v>
      </c>
      <c r="CA24" s="2">
        <f t="shared" si="44"/>
        <v>112.13681863157855</v>
      </c>
      <c r="CB24" s="2">
        <f t="shared" si="44"/>
        <v>106.52997769999962</v>
      </c>
      <c r="CC24" s="2">
        <f t="shared" si="44"/>
        <v>101.20347881499963</v>
      </c>
      <c r="CD24" s="2">
        <f t="shared" si="44"/>
        <v>96.143304874249637</v>
      </c>
      <c r="CE24" s="2">
        <f t="shared" si="44"/>
        <v>91.336139630537147</v>
      </c>
      <c r="CF24" s="2">
        <f t="shared" si="44"/>
        <v>86.769332649010281</v>
      </c>
      <c r="CG24" s="2">
        <f t="shared" si="44"/>
        <v>82.430866016559762</v>
      </c>
      <c r="CH24" s="2">
        <f t="shared" si="44"/>
        <v>78.309322715731767</v>
      </c>
      <c r="CI24" s="2">
        <f t="shared" si="44"/>
        <v>74.393856579945179</v>
      </c>
      <c r="CJ24" s="2">
        <f t="shared" si="44"/>
        <v>70.674163750947912</v>
      </c>
      <c r="CK24" s="2">
        <f t="shared" si="44"/>
        <v>67.140455563400508</v>
      </c>
      <c r="CL24" s="2">
        <f t="shared" si="44"/>
        <v>63.783432785230481</v>
      </c>
      <c r="CM24" s="2">
        <f t="shared" si="44"/>
        <v>60.594261145968957</v>
      </c>
      <c r="CN24" s="2">
        <f t="shared" si="44"/>
        <v>57.564548088670506</v>
      </c>
      <c r="CO24" s="2">
        <f t="shared" si="44"/>
        <v>54.686320684236975</v>
      </c>
      <c r="CP24" s="2">
        <f t="shared" si="44"/>
        <v>51.952004650025124</v>
      </c>
      <c r="CQ24" s="2">
        <f t="shared" si="44"/>
        <v>49.354404417523867</v>
      </c>
      <c r="CR24" s="2">
        <f t="shared" si="44"/>
        <v>46.886684196647671</v>
      </c>
      <c r="CS24" s="2">
        <f t="shared" si="44"/>
        <v>44.542349986815289</v>
      </c>
      <c r="CT24" s="2">
        <f t="shared" si="44"/>
        <v>42.315232487474525</v>
      </c>
      <c r="CU24" s="2">
        <f t="shared" si="44"/>
        <v>40.1994708631008</v>
      </c>
      <c r="CV24" s="2">
        <f t="shared" si="44"/>
        <v>38.189497319945758</v>
      </c>
      <c r="CW24" s="2">
        <f t="shared" si="44"/>
        <v>36.280022453948469</v>
      </c>
      <c r="CX24" s="2">
        <f t="shared" si="44"/>
        <v>34.466021331251042</v>
      </c>
      <c r="CY24" s="2">
        <f t="shared" si="44"/>
        <v>32.742720264688487</v>
      </c>
      <c r="CZ24" s="2">
        <f t="shared" si="44"/>
        <v>31.105584251454061</v>
      </c>
      <c r="DA24" s="2">
        <f t="shared" si="44"/>
        <v>29.550305038881358</v>
      </c>
      <c r="DB24" s="2">
        <f t="shared" si="44"/>
        <v>28.072789786937289</v>
      </c>
      <c r="DC24" s="2">
        <f t="shared" si="44"/>
        <v>26.669150297590424</v>
      </c>
      <c r="DD24" s="2">
        <f t="shared" si="44"/>
        <v>25.3356927827109</v>
      </c>
      <c r="DE24" s="2">
        <f t="shared" si="44"/>
        <v>24.068908143575353</v>
      </c>
      <c r="DF24" s="2">
        <f t="shared" si="44"/>
        <v>22.865462736396584</v>
      </c>
      <c r="DG24" s="2">
        <f t="shared" si="44"/>
        <v>21.722189599576755</v>
      </c>
      <c r="DH24" s="2">
        <f t="shared" si="44"/>
        <v>20.636080119597917</v>
      </c>
      <c r="DI24" s="2">
        <f t="shared" si="44"/>
        <v>19.60427611361802</v>
      </c>
      <c r="DJ24" s="2">
        <f t="shared" ref="DJ24:EM24" si="45">+DI24*(1+$AY$30)</f>
        <v>18.62406230793712</v>
      </c>
      <c r="DK24" s="2">
        <f t="shared" si="45"/>
        <v>17.692859192540261</v>
      </c>
      <c r="DL24" s="2">
        <f t="shared" si="45"/>
        <v>16.808216232913246</v>
      </c>
      <c r="DM24" s="2">
        <f t="shared" si="45"/>
        <v>15.967805421267583</v>
      </c>
      <c r="DN24" s="2">
        <f t="shared" si="45"/>
        <v>15.169415150204204</v>
      </c>
      <c r="DO24" s="2">
        <f t="shared" si="45"/>
        <v>14.410944392693994</v>
      </c>
      <c r="DP24" s="2">
        <f t="shared" si="45"/>
        <v>13.690397173059294</v>
      </c>
      <c r="DQ24" s="2">
        <f t="shared" si="45"/>
        <v>13.005877314406328</v>
      </c>
      <c r="DR24" s="2">
        <f t="shared" si="45"/>
        <v>12.355583448686012</v>
      </c>
      <c r="DS24" s="2">
        <f t="shared" si="45"/>
        <v>11.73780427625171</v>
      </c>
      <c r="DT24" s="2">
        <f t="shared" si="45"/>
        <v>11.150914062439124</v>
      </c>
      <c r="DU24" s="2">
        <f t="shared" si="45"/>
        <v>10.593368359317168</v>
      </c>
      <c r="DV24" s="2">
        <f t="shared" si="45"/>
        <v>10.06369994135131</v>
      </c>
      <c r="DW24" s="2">
        <f t="shared" si="45"/>
        <v>9.560514944283744</v>
      </c>
      <c r="DX24" s="2">
        <f t="shared" si="45"/>
        <v>9.082489197069556</v>
      </c>
      <c r="DY24" s="2">
        <f t="shared" si="45"/>
        <v>8.6283647372160779</v>
      </c>
      <c r="DZ24" s="2">
        <f t="shared" si="45"/>
        <v>8.1969465003552742</v>
      </c>
      <c r="EA24" s="2">
        <f t="shared" si="45"/>
        <v>7.7870991753375103</v>
      </c>
      <c r="EB24" s="2">
        <f t="shared" si="45"/>
        <v>7.3977442165706346</v>
      </c>
      <c r="EC24" s="2">
        <f t="shared" si="45"/>
        <v>7.0278570057421028</v>
      </c>
      <c r="ED24" s="2">
        <f t="shared" si="45"/>
        <v>6.6764641554549975</v>
      </c>
      <c r="EE24" s="2">
        <f t="shared" si="45"/>
        <v>6.3426409476822476</v>
      </c>
      <c r="EF24" s="2">
        <f t="shared" si="45"/>
        <v>6.025508900298135</v>
      </c>
      <c r="EG24" s="2">
        <f t="shared" si="45"/>
        <v>5.7242334552832279</v>
      </c>
      <c r="EH24" s="2">
        <f t="shared" si="45"/>
        <v>5.4380217825190664</v>
      </c>
      <c r="EI24" s="2">
        <f t="shared" si="45"/>
        <v>5.166120693393113</v>
      </c>
      <c r="EJ24" s="2">
        <f t="shared" si="45"/>
        <v>4.9078146587234572</v>
      </c>
      <c r="EK24" s="2">
        <f t="shared" si="45"/>
        <v>4.6624239257872846</v>
      </c>
      <c r="EL24" s="2">
        <f t="shared" si="45"/>
        <v>4.4293027294979206</v>
      </c>
      <c r="EM24" s="2">
        <f t="shared" si="45"/>
        <v>4.2078375930230241</v>
      </c>
    </row>
    <row r="25" spans="2:143" x14ac:dyDescent="0.25">
      <c r="B25" t="s">
        <v>27</v>
      </c>
      <c r="E25" s="6">
        <f t="shared" ref="E25:L25" si="46">+E24/E26</f>
        <v>-0.58987341772151902</v>
      </c>
      <c r="F25" s="6">
        <f t="shared" si="46"/>
        <v>-0.68513853904282118</v>
      </c>
      <c r="G25" s="6">
        <f t="shared" si="46"/>
        <v>2.8395348837209302</v>
      </c>
      <c r="H25" s="6">
        <f t="shared" si="46"/>
        <v>6.4501160092807428</v>
      </c>
      <c r="I25" s="6">
        <f t="shared" si="46"/>
        <v>7.6797235023041477</v>
      </c>
      <c r="J25" s="6">
        <f t="shared" si="46"/>
        <v>11.294663573085847</v>
      </c>
      <c r="K25" s="6">
        <f t="shared" si="46"/>
        <v>8.5845070422535219</v>
      </c>
      <c r="L25" s="6">
        <f t="shared" si="46"/>
        <v>5.2434367541766109</v>
      </c>
      <c r="M25" s="6">
        <f t="shared" ref="M25:S25" si="47">+M24/M26</f>
        <v>2.5315533980582523</v>
      </c>
      <c r="N25" s="6">
        <f t="shared" si="47"/>
        <v>3.617283950617284</v>
      </c>
      <c r="O25" s="6">
        <f t="shared" si="47"/>
        <v>0.19506172839506172</v>
      </c>
      <c r="P25" s="6">
        <f t="shared" si="47"/>
        <v>-3.622047244094488</v>
      </c>
      <c r="Q25" s="6">
        <f t="shared" si="47"/>
        <v>-9.5275590551181111</v>
      </c>
      <c r="R25" s="6">
        <f t="shared" si="47"/>
        <v>0.54936708860759498</v>
      </c>
      <c r="S25" s="6">
        <f t="shared" si="47"/>
        <v>-3.075916230366492</v>
      </c>
      <c r="T25" s="6">
        <f>+T24/T26</f>
        <v>-3.3307291666666665</v>
      </c>
      <c r="U25" s="6">
        <f>+U24/U26</f>
        <v>3.2581453634085211E-2</v>
      </c>
      <c r="V25" s="6">
        <f>+V24/V26</f>
        <v>-2.9090909090909092</v>
      </c>
      <c r="W25" s="6">
        <f t="shared" ref="W25:AD25" si="48">+W24/W26</f>
        <v>-2.5051813471502591</v>
      </c>
      <c r="X25" s="6">
        <f t="shared" si="48"/>
        <v>-1.9123711340206186</v>
      </c>
      <c r="Y25" s="6">
        <f t="shared" si="48"/>
        <v>-0.51282051282051277</v>
      </c>
      <c r="Z25" s="6" t="e">
        <f t="shared" si="48"/>
        <v>#DIV/0!</v>
      </c>
      <c r="AA25" s="6" t="e">
        <f t="shared" si="48"/>
        <v>#DIV/0!</v>
      </c>
      <c r="AB25" s="6" t="e">
        <f t="shared" si="48"/>
        <v>#DIV/0!</v>
      </c>
      <c r="AC25" s="6" t="e">
        <f t="shared" si="48"/>
        <v>#DIV/0!</v>
      </c>
      <c r="AD25" s="6" t="e">
        <f t="shared" si="48"/>
        <v>#DIV/0!</v>
      </c>
      <c r="AL25" s="20">
        <f>+AL24/AL26</f>
        <v>1.6346322580645156</v>
      </c>
      <c r="AM25" s="20">
        <f t="shared" ref="AM25:AV25" si="49">+AM24/AM26</f>
        <v>3.3247741935483868</v>
      </c>
      <c r="AN25" s="20">
        <f t="shared" si="49"/>
        <v>2.6995633548387103</v>
      </c>
      <c r="AO25" s="20">
        <f t="shared" si="49"/>
        <v>2.3489280000000003</v>
      </c>
      <c r="AP25" s="20">
        <f t="shared" si="49"/>
        <v>2.0982351483870967</v>
      </c>
      <c r="AQ25" s="20">
        <f t="shared" si="49"/>
        <v>1.9060062317419355</v>
      </c>
      <c r="AR25" s="20">
        <f t="shared" si="49"/>
        <v>1.7559410930477424</v>
      </c>
      <c r="AS25" s="20">
        <f t="shared" si="49"/>
        <v>1.6376590375441546</v>
      </c>
      <c r="AT25" s="20">
        <f t="shared" si="49"/>
        <v>1.5454023106872867</v>
      </c>
      <c r="AU25" s="20">
        <f t="shared" si="49"/>
        <v>1.4739625249651322</v>
      </c>
      <c r="AV25" s="20">
        <f t="shared" si="49"/>
        <v>1.4192037826377082</v>
      </c>
    </row>
    <row r="26" spans="2:143" x14ac:dyDescent="0.25">
      <c r="B26" t="s">
        <v>1</v>
      </c>
      <c r="E26" s="1">
        <v>395</v>
      </c>
      <c r="F26" s="1">
        <v>397</v>
      </c>
      <c r="G26" s="1">
        <v>430</v>
      </c>
      <c r="H26" s="1">
        <v>431</v>
      </c>
      <c r="I26" s="1">
        <v>434</v>
      </c>
      <c r="J26" s="1">
        <v>431</v>
      </c>
      <c r="K26" s="1">
        <v>426</v>
      </c>
      <c r="L26" s="1">
        <v>419</v>
      </c>
      <c r="M26" s="1">
        <v>412</v>
      </c>
      <c r="N26" s="1">
        <v>405</v>
      </c>
      <c r="O26" s="1">
        <v>405</v>
      </c>
      <c r="P26" s="1">
        <v>381</v>
      </c>
      <c r="Q26" s="1">
        <v>381</v>
      </c>
      <c r="R26" s="1">
        <v>395</v>
      </c>
      <c r="S26" s="1">
        <v>382</v>
      </c>
      <c r="T26" s="1">
        <v>384</v>
      </c>
      <c r="U26" s="1">
        <v>399</v>
      </c>
      <c r="V26" s="1">
        <v>385</v>
      </c>
      <c r="W26" s="1">
        <v>386</v>
      </c>
      <c r="X26" s="1">
        <v>388</v>
      </c>
      <c r="Y26" s="1">
        <v>390</v>
      </c>
      <c r="AL26" s="2">
        <f>AVERAGE(S26:V26)</f>
        <v>387.5</v>
      </c>
      <c r="AM26" s="2">
        <f>+AL26</f>
        <v>387.5</v>
      </c>
      <c r="AN26" s="2">
        <f>+AM26</f>
        <v>387.5</v>
      </c>
      <c r="AO26" s="2">
        <f t="shared" ref="AO26:AV26" si="50">+AN26</f>
        <v>387.5</v>
      </c>
      <c r="AP26" s="2">
        <f t="shared" si="50"/>
        <v>387.5</v>
      </c>
      <c r="AQ26" s="2">
        <f t="shared" si="50"/>
        <v>387.5</v>
      </c>
      <c r="AR26" s="2">
        <f t="shared" si="50"/>
        <v>387.5</v>
      </c>
      <c r="AS26" s="2">
        <f t="shared" si="50"/>
        <v>387.5</v>
      </c>
      <c r="AT26" s="2">
        <f t="shared" si="50"/>
        <v>387.5</v>
      </c>
      <c r="AU26" s="2">
        <f t="shared" si="50"/>
        <v>387.5</v>
      </c>
      <c r="AV26" s="2">
        <f t="shared" si="50"/>
        <v>387.5</v>
      </c>
    </row>
    <row r="28" spans="2:143" x14ac:dyDescent="0.25">
      <c r="B28" t="s">
        <v>106</v>
      </c>
      <c r="E28" s="17">
        <f>E16/E14</f>
        <v>1</v>
      </c>
      <c r="F28" s="17">
        <f t="shared" ref="F28:R28" si="51">F16/F14</f>
        <v>0.98598949211908937</v>
      </c>
      <c r="G28" s="17">
        <f t="shared" si="51"/>
        <v>0.90036138358286011</v>
      </c>
      <c r="H28" s="17">
        <f t="shared" si="51"/>
        <v>0.82774460266421679</v>
      </c>
      <c r="I28" s="17">
        <f t="shared" si="51"/>
        <v>0.85469913463473535</v>
      </c>
      <c r="J28" s="17">
        <f t="shared" si="51"/>
        <v>0.86797947580085977</v>
      </c>
      <c r="K28" s="17">
        <f t="shared" si="51"/>
        <v>0.83234421364985167</v>
      </c>
      <c r="L28" s="17">
        <f t="shared" si="51"/>
        <v>0.7092019372499474</v>
      </c>
      <c r="M28" s="17">
        <f t="shared" si="51"/>
        <v>0.67300832342449468</v>
      </c>
      <c r="N28" s="17">
        <f t="shared" si="51"/>
        <v>0.62273800157356407</v>
      </c>
      <c r="O28" s="17">
        <f t="shared" si="51"/>
        <v>0.57465091299677762</v>
      </c>
      <c r="P28" s="17">
        <f t="shared" si="51"/>
        <v>-1.125</v>
      </c>
      <c r="Q28" s="17">
        <f t="shared" si="51"/>
        <v>-0.2239213544511196</v>
      </c>
      <c r="R28" s="17">
        <f t="shared" si="51"/>
        <v>0.66951262895766628</v>
      </c>
      <c r="S28" s="17">
        <f t="shared" ref="S28:V28" si="52">S16/S14</f>
        <v>0.42514970059880242</v>
      </c>
      <c r="T28" s="17">
        <f t="shared" si="52"/>
        <v>0.52282157676348551</v>
      </c>
      <c r="U28" s="17">
        <f t="shared" si="52"/>
        <v>0.72395273899033297</v>
      </c>
      <c r="V28" s="17">
        <f t="shared" si="52"/>
        <v>0.2349896480331263</v>
      </c>
      <c r="W28" s="17">
        <f t="shared" ref="W28:AD28" si="53">W16/W14</f>
        <v>0.16666666666666666</v>
      </c>
      <c r="X28" s="17">
        <f t="shared" si="53"/>
        <v>0.80281690140845074</v>
      </c>
      <c r="Y28" s="17">
        <f t="shared" si="53"/>
        <v>0.79625984251968507</v>
      </c>
      <c r="Z28" s="17">
        <f t="shared" si="53"/>
        <v>0</v>
      </c>
      <c r="AA28" s="17">
        <f t="shared" si="53"/>
        <v>-1.455012853470437</v>
      </c>
      <c r="AB28" s="17" t="e">
        <f t="shared" si="53"/>
        <v>#DIV/0!</v>
      </c>
      <c r="AC28" s="17" t="e">
        <f t="shared" si="53"/>
        <v>#DIV/0!</v>
      </c>
      <c r="AD28" s="17" t="e">
        <f t="shared" si="53"/>
        <v>#DIV/0!</v>
      </c>
      <c r="AX28" t="s">
        <v>155</v>
      </c>
      <c r="AY28" s="18">
        <v>0.09</v>
      </c>
    </row>
    <row r="29" spans="2:143" x14ac:dyDescent="0.25">
      <c r="B29" s="18" t="s">
        <v>107</v>
      </c>
      <c r="E29" s="17">
        <f>E23/E22</f>
        <v>-4.3103448275862068E-3</v>
      </c>
      <c r="F29" s="17">
        <f t="shared" ref="F29:R29" si="54">F23/F22</f>
        <v>-3.6900369003690036E-3</v>
      </c>
      <c r="G29" s="17">
        <f t="shared" si="54"/>
        <v>3.0952380952380953E-2</v>
      </c>
      <c r="H29" s="17">
        <f t="shared" si="54"/>
        <v>9.2393078681031665E-2</v>
      </c>
      <c r="I29" s="17">
        <f t="shared" si="54"/>
        <v>6.1655405405405407E-2</v>
      </c>
      <c r="J29" s="17">
        <f t="shared" si="54"/>
        <v>0.10018484288354898</v>
      </c>
      <c r="K29" s="17">
        <f t="shared" si="54"/>
        <v>0.13525656183494916</v>
      </c>
      <c r="L29" s="17">
        <f t="shared" si="54"/>
        <v>0.11196443007275667</v>
      </c>
      <c r="M29" s="17">
        <f t="shared" si="54"/>
        <v>0.142974527526705</v>
      </c>
      <c r="N29" s="17">
        <f t="shared" si="54"/>
        <v>0.11480362537764351</v>
      </c>
      <c r="O29" s="17">
        <f t="shared" si="54"/>
        <v>1.2590163934426231</v>
      </c>
      <c r="P29" s="17">
        <f t="shared" si="54"/>
        <v>0.21097770154373929</v>
      </c>
      <c r="Q29" s="17">
        <f t="shared" si="54"/>
        <v>-0.8539325842696629</v>
      </c>
      <c r="R29" s="17">
        <f t="shared" si="54"/>
        <v>-2.1</v>
      </c>
      <c r="S29" s="17">
        <f t="shared" ref="S29:V29" si="55">S23/S22</f>
        <v>-8.5836909871244635E-3</v>
      </c>
      <c r="T29" s="17">
        <f t="shared" si="55"/>
        <v>0</v>
      </c>
      <c r="U29" s="17">
        <f t="shared" si="55"/>
        <v>0.38095238095238093</v>
      </c>
      <c r="V29" s="17">
        <f t="shared" si="55"/>
        <v>5.4054054054054057E-2</v>
      </c>
      <c r="W29" s="17">
        <f t="shared" ref="W29:AD29" si="56">W23/W22</f>
        <v>-7.2916666666666668E-3</v>
      </c>
      <c r="X29" s="17">
        <f t="shared" si="56"/>
        <v>-9.5238095238095247E-3</v>
      </c>
      <c r="Y29" s="17">
        <f t="shared" si="56"/>
        <v>-6.9518716577540107E-2</v>
      </c>
      <c r="Z29" s="17" t="e">
        <f t="shared" si="56"/>
        <v>#DIV/0!</v>
      </c>
      <c r="AA29" s="17">
        <f t="shared" si="56"/>
        <v>0</v>
      </c>
      <c r="AB29" s="17" t="e">
        <f t="shared" si="56"/>
        <v>#DIV/0!</v>
      </c>
      <c r="AC29" s="17" t="e">
        <f t="shared" si="56"/>
        <v>#DIV/0!</v>
      </c>
      <c r="AD29" s="17" t="e">
        <f t="shared" si="56"/>
        <v>#DIV/0!</v>
      </c>
      <c r="AX29" t="s">
        <v>156</v>
      </c>
      <c r="AY29" s="18">
        <v>0.01</v>
      </c>
    </row>
    <row r="30" spans="2:143" x14ac:dyDescent="0.25">
      <c r="AX30" t="s">
        <v>157</v>
      </c>
      <c r="AY30" s="18">
        <v>-0.05</v>
      </c>
    </row>
    <row r="31" spans="2:143" x14ac:dyDescent="0.25">
      <c r="AX31" t="s">
        <v>158</v>
      </c>
      <c r="AY31" s="2">
        <f>NPV(AY28,AL24:EM24)+Main!K5</f>
        <v>13459.883759215365</v>
      </c>
    </row>
    <row r="32" spans="2:143" s="2" customFormat="1" x14ac:dyDescent="0.25">
      <c r="B32" s="2" t="s">
        <v>3</v>
      </c>
      <c r="C32" s="3"/>
      <c r="D32" s="3"/>
      <c r="E32" s="3"/>
      <c r="F32" s="3"/>
      <c r="G32" s="3"/>
      <c r="H32" s="3"/>
      <c r="I32" s="3"/>
      <c r="J32" s="3"/>
      <c r="K32" s="3">
        <f>5048+5067+9171+12</f>
        <v>19298</v>
      </c>
      <c r="L32" s="3">
        <f>2873+5024+10162+12</f>
        <v>18071</v>
      </c>
      <c r="M32" s="3">
        <f>3027+5321+8655+14</f>
        <v>17017</v>
      </c>
      <c r="N32" s="3"/>
      <c r="T32" s="2">
        <f>2478+6010+2326</f>
        <v>10814</v>
      </c>
      <c r="U32" s="2">
        <f>1644+5223+2335</f>
        <v>9202</v>
      </c>
      <c r="V32" s="2">
        <f>1927+5098+2494</f>
        <v>9519</v>
      </c>
      <c r="AX32" s="2" t="s">
        <v>159</v>
      </c>
      <c r="AY32" s="20">
        <f>+AY31/Main!K3</f>
        <v>33.922252734098251</v>
      </c>
    </row>
    <row r="33" spans="2:22" s="2" customFormat="1" x14ac:dyDescent="0.25">
      <c r="B33" s="2" t="s">
        <v>39</v>
      </c>
      <c r="C33" s="3"/>
      <c r="D33" s="3"/>
      <c r="E33" s="3"/>
      <c r="F33" s="3"/>
      <c r="G33" s="3"/>
      <c r="H33" s="3"/>
      <c r="I33" s="3"/>
      <c r="J33" s="3"/>
      <c r="K33" s="3">
        <v>3173</v>
      </c>
      <c r="L33" s="3">
        <v>2691</v>
      </c>
      <c r="M33" s="3">
        <v>2695</v>
      </c>
      <c r="N33" s="3"/>
      <c r="T33" s="2">
        <v>163</v>
      </c>
      <c r="U33" s="2">
        <v>1564</v>
      </c>
      <c r="V33" s="2">
        <v>358</v>
      </c>
    </row>
    <row r="34" spans="2:22" s="2" customFormat="1" x14ac:dyDescent="0.25">
      <c r="B34" s="2" t="s">
        <v>40</v>
      </c>
      <c r="C34" s="3"/>
      <c r="D34" s="3"/>
      <c r="E34" s="3"/>
      <c r="F34" s="3"/>
      <c r="G34" s="3"/>
      <c r="H34" s="3"/>
      <c r="I34" s="3"/>
      <c r="J34" s="3"/>
      <c r="K34" s="3">
        <v>1942</v>
      </c>
      <c r="L34" s="3">
        <v>1921</v>
      </c>
      <c r="M34" s="3">
        <v>2077</v>
      </c>
      <c r="N34" s="3"/>
      <c r="T34" s="2">
        <v>399</v>
      </c>
      <c r="U34" s="2">
        <v>412</v>
      </c>
      <c r="V34" s="2">
        <v>117</v>
      </c>
    </row>
    <row r="35" spans="2:22" s="2" customFormat="1" x14ac:dyDescent="0.25">
      <c r="B35" s="2" t="s">
        <v>41</v>
      </c>
      <c r="C35" s="3"/>
      <c r="D35" s="3"/>
      <c r="E35" s="3"/>
      <c r="F35" s="3"/>
      <c r="G35" s="3"/>
      <c r="H35" s="3"/>
      <c r="I35" s="3"/>
      <c r="J35" s="3"/>
      <c r="K35" s="3">
        <v>1120</v>
      </c>
      <c r="L35" s="3">
        <v>1054</v>
      </c>
      <c r="M35" s="3">
        <v>1177</v>
      </c>
      <c r="N35" s="3"/>
      <c r="T35" s="2">
        <v>611</v>
      </c>
      <c r="U35" s="2">
        <v>823</v>
      </c>
      <c r="V35" s="2">
        <v>599</v>
      </c>
    </row>
    <row r="36" spans="2:22" s="2" customFormat="1" x14ac:dyDescent="0.25">
      <c r="B36" s="2" t="s">
        <v>42</v>
      </c>
      <c r="C36" s="3"/>
      <c r="D36" s="3"/>
      <c r="E36" s="3"/>
      <c r="F36" s="3"/>
      <c r="G36" s="3"/>
      <c r="H36" s="3"/>
      <c r="I36" s="3"/>
      <c r="J36" s="3"/>
      <c r="K36" s="3">
        <v>1341</v>
      </c>
      <c r="L36" s="3">
        <v>1324</v>
      </c>
      <c r="M36" s="3">
        <v>2019</v>
      </c>
      <c r="N36" s="3"/>
      <c r="T36" s="2">
        <v>2196</v>
      </c>
      <c r="U36" s="2">
        <v>2381</v>
      </c>
      <c r="V36" s="2">
        <v>2196</v>
      </c>
    </row>
    <row r="37" spans="2:22" s="2" customFormat="1" x14ac:dyDescent="0.25">
      <c r="B37" s="2" t="s">
        <v>43</v>
      </c>
      <c r="C37" s="3"/>
      <c r="D37" s="3"/>
      <c r="E37" s="3"/>
      <c r="F37" s="3"/>
      <c r="G37" s="3"/>
      <c r="H37" s="3"/>
      <c r="I37" s="3"/>
      <c r="J37" s="3"/>
      <c r="K37" s="3">
        <v>132</v>
      </c>
      <c r="L37" s="3">
        <v>122</v>
      </c>
      <c r="M37" s="3">
        <v>113</v>
      </c>
      <c r="N37" s="3"/>
      <c r="T37" s="2">
        <v>775</v>
      </c>
      <c r="U37" s="2">
        <v>784</v>
      </c>
      <c r="V37" s="2">
        <v>759</v>
      </c>
    </row>
    <row r="38" spans="2:22" s="2" customFormat="1" x14ac:dyDescent="0.25">
      <c r="B38" s="2" t="s">
        <v>44</v>
      </c>
      <c r="C38" s="3"/>
      <c r="D38" s="3"/>
      <c r="E38" s="3"/>
      <c r="F38" s="3"/>
      <c r="G38" s="3"/>
      <c r="H38" s="3"/>
      <c r="I38" s="3"/>
      <c r="J38" s="3"/>
      <c r="K38" s="3">
        <v>521</v>
      </c>
      <c r="L38" s="3">
        <v>785</v>
      </c>
      <c r="M38" s="3">
        <v>920</v>
      </c>
      <c r="N38" s="3"/>
      <c r="T38" s="2">
        <v>81</v>
      </c>
      <c r="U38" s="2">
        <v>81</v>
      </c>
      <c r="V38" s="2">
        <v>0</v>
      </c>
    </row>
    <row r="39" spans="2:22" s="2" customFormat="1" x14ac:dyDescent="0.25">
      <c r="B39" s="2" t="s">
        <v>45</v>
      </c>
      <c r="C39" s="3"/>
      <c r="D39" s="3"/>
      <c r="E39" s="3"/>
      <c r="F39" s="3"/>
      <c r="G39" s="3"/>
      <c r="H39" s="3"/>
      <c r="I39" s="3"/>
      <c r="J39" s="3"/>
      <c r="K39" s="3">
        <v>82</v>
      </c>
      <c r="L39" s="3">
        <v>75</v>
      </c>
      <c r="M39" s="3">
        <v>38</v>
      </c>
      <c r="N39" s="3"/>
      <c r="T39" s="2">
        <v>641</v>
      </c>
      <c r="U39" s="2">
        <v>556</v>
      </c>
      <c r="V39" s="2">
        <v>594</v>
      </c>
    </row>
    <row r="40" spans="2:22" s="2" customFormat="1" x14ac:dyDescent="0.25">
      <c r="B40" s="2" t="s">
        <v>38</v>
      </c>
      <c r="C40" s="3"/>
      <c r="D40" s="3"/>
      <c r="E40" s="3"/>
      <c r="F40" s="3"/>
      <c r="G40" s="3"/>
      <c r="H40" s="3"/>
      <c r="I40" s="3"/>
      <c r="J40" s="3"/>
      <c r="K40" s="3">
        <f>SUM(K32:K39)</f>
        <v>27609</v>
      </c>
      <c r="L40" s="3">
        <f>SUM(L32:L39)</f>
        <v>26043</v>
      </c>
      <c r="M40" s="3">
        <f>SUM(M32:M39)</f>
        <v>26056</v>
      </c>
      <c r="N40" s="3"/>
      <c r="T40" s="2">
        <f>SUM(T32:T39)</f>
        <v>15680</v>
      </c>
      <c r="U40" s="2">
        <f>SUM(U32:U39)</f>
        <v>15803</v>
      </c>
      <c r="V40" s="2">
        <f>SUM(V32:V39)</f>
        <v>14142</v>
      </c>
    </row>
    <row r="42" spans="2:22" s="2" customFormat="1" x14ac:dyDescent="0.25">
      <c r="B42" s="2" t="s">
        <v>46</v>
      </c>
      <c r="C42" s="3"/>
      <c r="D42" s="3"/>
      <c r="E42" s="3"/>
      <c r="F42" s="3"/>
      <c r="G42" s="3"/>
      <c r="H42" s="3"/>
      <c r="I42" s="3"/>
      <c r="J42" s="3"/>
      <c r="K42" s="3">
        <v>199</v>
      </c>
      <c r="L42" s="3">
        <v>181</v>
      </c>
      <c r="M42" s="3">
        <v>330</v>
      </c>
      <c r="N42" s="3"/>
      <c r="T42" s="2">
        <v>279</v>
      </c>
      <c r="U42" s="2">
        <v>373</v>
      </c>
      <c r="V42" s="2">
        <v>405</v>
      </c>
    </row>
    <row r="43" spans="2:22" s="2" customFormat="1" x14ac:dyDescent="0.25">
      <c r="B43" s="2" t="s">
        <v>47</v>
      </c>
      <c r="C43" s="3"/>
      <c r="D43" s="3"/>
      <c r="E43" s="3"/>
      <c r="F43" s="3"/>
      <c r="G43" s="3"/>
      <c r="H43" s="3"/>
      <c r="I43" s="3"/>
      <c r="J43" s="3"/>
      <c r="K43" s="3">
        <v>1608</v>
      </c>
      <c r="L43" s="3">
        <v>1780</v>
      </c>
      <c r="M43" s="3">
        <v>1856</v>
      </c>
      <c r="N43" s="3"/>
      <c r="T43" s="2">
        <v>1333</v>
      </c>
      <c r="U43" s="2">
        <v>1376</v>
      </c>
      <c r="V43" s="2">
        <v>1427</v>
      </c>
    </row>
    <row r="44" spans="2:22" s="2" customFormat="1" x14ac:dyDescent="0.25">
      <c r="B44" s="2" t="s">
        <v>48</v>
      </c>
      <c r="C44" s="3"/>
      <c r="D44" s="3"/>
      <c r="E44" s="3"/>
      <c r="F44" s="3"/>
      <c r="G44" s="3"/>
      <c r="H44" s="3"/>
      <c r="I44" s="3"/>
      <c r="J44" s="3"/>
      <c r="K44" s="3">
        <f>5599+464</f>
        <v>6063</v>
      </c>
      <c r="L44" s="3">
        <f>4093+405</f>
        <v>4498</v>
      </c>
      <c r="M44" s="3">
        <f>175+4002</f>
        <v>4177</v>
      </c>
      <c r="N44" s="3"/>
      <c r="T44" s="2">
        <f>702+95</f>
        <v>797</v>
      </c>
      <c r="U44" s="2">
        <f>379+95</f>
        <v>474</v>
      </c>
      <c r="V44" s="2">
        <f>153+58</f>
        <v>211</v>
      </c>
    </row>
    <row r="45" spans="2:22" s="2" customFormat="1" x14ac:dyDescent="0.25">
      <c r="B45" s="2" t="s">
        <v>29</v>
      </c>
      <c r="C45" s="3"/>
      <c r="D45" s="3"/>
      <c r="E45" s="3"/>
      <c r="F45" s="3"/>
      <c r="G45" s="3"/>
      <c r="H45" s="3"/>
      <c r="I45" s="3"/>
      <c r="J45" s="3"/>
      <c r="K45" s="3">
        <v>1592</v>
      </c>
      <c r="L45" s="3">
        <v>349</v>
      </c>
      <c r="M45" s="3">
        <v>66</v>
      </c>
      <c r="N45" s="3"/>
      <c r="T45" s="2">
        <v>7</v>
      </c>
      <c r="U45" s="2">
        <v>4</v>
      </c>
      <c r="V45" s="2">
        <v>0</v>
      </c>
    </row>
    <row r="46" spans="2:22" s="2" customFormat="1" x14ac:dyDescent="0.25">
      <c r="B46" s="2" t="s">
        <v>49</v>
      </c>
      <c r="C46" s="3"/>
      <c r="D46" s="3"/>
      <c r="E46" s="3"/>
      <c r="F46" s="3"/>
      <c r="G46" s="3"/>
      <c r="H46" s="3"/>
      <c r="I46" s="3"/>
      <c r="J46" s="3"/>
      <c r="K46" s="3">
        <v>240</v>
      </c>
      <c r="L46" s="3">
        <v>409</v>
      </c>
      <c r="M46" s="3">
        <v>553</v>
      </c>
      <c r="N46" s="3"/>
      <c r="T46" s="2">
        <v>42</v>
      </c>
      <c r="U46" s="2">
        <v>69</v>
      </c>
      <c r="V46" s="2">
        <v>221</v>
      </c>
    </row>
    <row r="47" spans="2:22" s="2" customFormat="1" x14ac:dyDescent="0.25">
      <c r="B47" s="2" t="s">
        <v>50</v>
      </c>
      <c r="C47" s="3"/>
      <c r="D47" s="3"/>
      <c r="E47" s="3"/>
      <c r="F47" s="3"/>
      <c r="G47" s="3"/>
      <c r="H47" s="3"/>
      <c r="I47" s="3"/>
      <c r="J47" s="3"/>
      <c r="K47" s="3">
        <v>95</v>
      </c>
      <c r="L47" s="3">
        <v>87</v>
      </c>
      <c r="M47" s="3">
        <v>79</v>
      </c>
      <c r="N47" s="3"/>
      <c r="T47" s="2">
        <v>668</v>
      </c>
      <c r="U47" s="2">
        <f>679+625</f>
        <v>1304</v>
      </c>
      <c r="V47" s="2">
        <f>671+39</f>
        <v>710</v>
      </c>
    </row>
    <row r="48" spans="2:22" s="2" customFormat="1" x14ac:dyDescent="0.25">
      <c r="B48" s="2" t="s">
        <v>51</v>
      </c>
      <c r="C48" s="3"/>
      <c r="D48" s="3"/>
      <c r="E48" s="3"/>
      <c r="F48" s="3"/>
      <c r="G48" s="3"/>
      <c r="H48" s="3"/>
      <c r="I48" s="3"/>
      <c r="J48" s="3"/>
      <c r="K48" s="3">
        <v>646</v>
      </c>
      <c r="L48" s="3">
        <v>641</v>
      </c>
      <c r="M48" s="3">
        <v>922</v>
      </c>
      <c r="N48" s="3"/>
      <c r="T48" s="2">
        <v>576</v>
      </c>
      <c r="U48" s="2">
        <v>0</v>
      </c>
      <c r="V48" s="2">
        <v>0</v>
      </c>
    </row>
    <row r="49" spans="2:37" s="2" customFormat="1" x14ac:dyDescent="0.25">
      <c r="B49" s="2" t="s">
        <v>108</v>
      </c>
      <c r="C49" s="3"/>
      <c r="D49" s="3"/>
      <c r="E49" s="3"/>
      <c r="F49" s="3"/>
      <c r="G49" s="3"/>
      <c r="H49" s="3"/>
      <c r="I49" s="3"/>
      <c r="J49" s="3"/>
      <c r="K49" s="3">
        <v>91</v>
      </c>
      <c r="L49" s="3">
        <v>113</v>
      </c>
      <c r="M49" s="3">
        <v>81</v>
      </c>
      <c r="N49" s="3"/>
      <c r="T49" s="2">
        <v>266</v>
      </c>
      <c r="U49" s="2">
        <v>276</v>
      </c>
      <c r="V49" s="2">
        <v>267</v>
      </c>
    </row>
    <row r="50" spans="2:37" s="2" customFormat="1" x14ac:dyDescent="0.25">
      <c r="B50" s="2" t="s">
        <v>52</v>
      </c>
      <c r="C50" s="3"/>
      <c r="D50" s="3"/>
      <c r="E50" s="3"/>
      <c r="F50" s="3"/>
      <c r="G50" s="3"/>
      <c r="H50" s="3"/>
      <c r="I50" s="3"/>
      <c r="J50" s="3"/>
      <c r="K50" s="3">
        <v>17075</v>
      </c>
      <c r="L50" s="3">
        <v>17985</v>
      </c>
      <c r="M50" s="3">
        <v>17992</v>
      </c>
      <c r="N50" s="3"/>
      <c r="T50" s="2">
        <v>11712</v>
      </c>
      <c r="U50" s="2">
        <v>11927</v>
      </c>
      <c r="V50" s="2">
        <v>10901</v>
      </c>
    </row>
    <row r="51" spans="2:37" s="2" customFormat="1" x14ac:dyDescent="0.25">
      <c r="B51" s="2" t="s">
        <v>53</v>
      </c>
      <c r="C51" s="3"/>
      <c r="D51" s="3"/>
      <c r="E51" s="3"/>
      <c r="F51" s="3"/>
      <c r="G51" s="3"/>
      <c r="H51" s="3"/>
      <c r="I51" s="3"/>
      <c r="J51" s="3"/>
      <c r="K51" s="3">
        <f>SUM(K42:K50)</f>
        <v>27609</v>
      </c>
      <c r="L51" s="3">
        <f>SUM(L42:L50)</f>
        <v>26043</v>
      </c>
      <c r="M51" s="3">
        <f>SUM(M42:M50)</f>
        <v>26056</v>
      </c>
      <c r="N51" s="3"/>
      <c r="T51" s="2">
        <f>SUM(T42:T50)</f>
        <v>15680</v>
      </c>
      <c r="U51" s="2">
        <f>SUM(U42:U50)</f>
        <v>15803</v>
      </c>
      <c r="V51" s="2">
        <f>SUM(V42:V50)</f>
        <v>14142</v>
      </c>
    </row>
    <row r="54" spans="2:37" s="2" customFormat="1" x14ac:dyDescent="0.25">
      <c r="B54" s="2" t="s">
        <v>98</v>
      </c>
      <c r="C54" s="3"/>
      <c r="D54" s="3"/>
      <c r="E54" s="3"/>
      <c r="F54" s="3"/>
      <c r="G54" s="3"/>
      <c r="H54" s="3">
        <v>1800</v>
      </c>
      <c r="I54" s="3"/>
      <c r="J54" s="3"/>
      <c r="K54" s="3"/>
      <c r="L54" s="3">
        <v>3400</v>
      </c>
      <c r="M54" s="3">
        <v>3700</v>
      </c>
      <c r="N54" s="3"/>
    </row>
    <row r="57" spans="2:37" s="2" customFormat="1" x14ac:dyDescent="0.25">
      <c r="B57" s="2" t="s">
        <v>153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AJ57" s="2">
        <v>-3118</v>
      </c>
      <c r="AK57" s="2">
        <v>-3004</v>
      </c>
    </row>
    <row r="58" spans="2:37" x14ac:dyDescent="0.25">
      <c r="B58" t="s">
        <v>154</v>
      </c>
      <c r="AJ58" s="2">
        <v>-707</v>
      </c>
      <c r="AK58" s="2">
        <v>-1051</v>
      </c>
    </row>
    <row r="59" spans="2:37" x14ac:dyDescent="0.25">
      <c r="AJ59" s="2">
        <f>+AJ57+AJ58</f>
        <v>-3825</v>
      </c>
      <c r="AK59" s="2">
        <f>+AK57+AK58</f>
        <v>-4055</v>
      </c>
    </row>
  </sheetData>
  <hyperlinks>
    <hyperlink ref="A1" location="Main!A1" display="Main" xr:uid="{DB90B18F-E33E-46EE-878C-F69A84A89155}"/>
  </hyperlink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4E3C-71B5-4048-B117-3278C772E1BF}">
  <dimension ref="A1:C2"/>
  <sheetViews>
    <sheetView zoomScale="175" zoomScaleNormal="175" workbookViewId="0"/>
  </sheetViews>
  <sheetFormatPr defaultRowHeight="12.5" x14ac:dyDescent="0.25"/>
  <cols>
    <col min="1" max="1" width="5" bestFit="1" customWidth="1"/>
  </cols>
  <sheetData>
    <row r="1" spans="1:3" x14ac:dyDescent="0.25">
      <c r="A1" s="19" t="s">
        <v>7</v>
      </c>
    </row>
    <row r="2" spans="1:3" x14ac:dyDescent="0.25">
      <c r="B2" t="s">
        <v>55</v>
      </c>
      <c r="C2" t="s">
        <v>114</v>
      </c>
    </row>
  </sheetData>
  <hyperlinks>
    <hyperlink ref="A1" location="Main!A1" display="Main" xr:uid="{6CB10CB8-6C09-45F1-B4FB-08DC5B4E751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A87B-AEA3-4FAB-8F81-CC20E0ED2CA0}">
  <dimension ref="A1:C7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9" t="s">
        <v>7</v>
      </c>
    </row>
    <row r="2" spans="1:3" x14ac:dyDescent="0.25">
      <c r="B2" t="s">
        <v>55</v>
      </c>
      <c r="C2" t="s">
        <v>110</v>
      </c>
    </row>
    <row r="3" spans="1:3" x14ac:dyDescent="0.25">
      <c r="B3" t="s">
        <v>96</v>
      </c>
      <c r="C3" t="s">
        <v>120</v>
      </c>
    </row>
    <row r="4" spans="1:3" x14ac:dyDescent="0.25">
      <c r="B4" t="s">
        <v>57</v>
      </c>
      <c r="C4" t="s">
        <v>116</v>
      </c>
    </row>
    <row r="5" spans="1:3" x14ac:dyDescent="0.25">
      <c r="B5" t="s">
        <v>117</v>
      </c>
    </row>
    <row r="6" spans="1:3" ht="13" x14ac:dyDescent="0.3">
      <c r="C6" s="21" t="s">
        <v>119</v>
      </c>
    </row>
    <row r="7" spans="1:3" x14ac:dyDescent="0.25">
      <c r="C7" t="s">
        <v>118</v>
      </c>
    </row>
  </sheetData>
  <hyperlinks>
    <hyperlink ref="A1" location="Main!A1" display="Main" xr:uid="{9BD2B3A6-7328-4643-A4E3-83B7BE45E63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90E5-388E-4F86-BD07-F4D936022199}">
  <dimension ref="A1:C7"/>
  <sheetViews>
    <sheetView workbookViewId="0"/>
  </sheetViews>
  <sheetFormatPr defaultRowHeight="12.5" x14ac:dyDescent="0.25"/>
  <cols>
    <col min="1" max="1" width="4.6328125" bestFit="1" customWidth="1"/>
    <col min="2" max="2" width="11.26953125" bestFit="1" customWidth="1"/>
  </cols>
  <sheetData>
    <row r="1" spans="1:3" x14ac:dyDescent="0.25">
      <c r="A1" s="19" t="s">
        <v>7</v>
      </c>
    </row>
    <row r="2" spans="1:3" x14ac:dyDescent="0.25">
      <c r="B2" t="s">
        <v>55</v>
      </c>
      <c r="C2" t="s">
        <v>73</v>
      </c>
    </row>
    <row r="3" spans="1:3" x14ac:dyDescent="0.25">
      <c r="B3" t="s">
        <v>56</v>
      </c>
      <c r="C3" t="s">
        <v>74</v>
      </c>
    </row>
    <row r="4" spans="1:3" x14ac:dyDescent="0.25">
      <c r="B4" t="s">
        <v>149</v>
      </c>
    </row>
    <row r="5" spans="1:3" x14ac:dyDescent="0.25">
      <c r="B5" t="s">
        <v>117</v>
      </c>
    </row>
    <row r="6" spans="1:3" ht="13" x14ac:dyDescent="0.3">
      <c r="C6" s="21" t="s">
        <v>151</v>
      </c>
    </row>
    <row r="7" spans="1:3" x14ac:dyDescent="0.25">
      <c r="C7" t="s">
        <v>150</v>
      </c>
    </row>
  </sheetData>
  <hyperlinks>
    <hyperlink ref="A1" location="Main!A1" display="Main" xr:uid="{1BEEEB37-0981-4EE5-B765-7BC00F2685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Main</vt:lpstr>
      <vt:lpstr>Model</vt:lpstr>
      <vt:lpstr>Spikevax</vt:lpstr>
      <vt:lpstr>4157</vt:lpstr>
      <vt:lpstr>1647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2022-09-10T06:32:44Z</dcterms:created>
  <dcterms:modified xsi:type="dcterms:W3CDTF">2026-07-06T19:01:50Z</dcterms:modified>
</cp:coreProperties>
</file>