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115521DB-81AE-43D2-87A9-FDEFBAA21501}" xr6:coauthVersionLast="47" xr6:coauthVersionMax="47" xr10:uidLastSave="{00000000-0000-0000-0000-000000000000}"/>
  <bookViews>
    <workbookView xWindow="13260" yWindow="3250" windowWidth="22360" windowHeight="16580" xr2:uid="{1DFF4005-BD0C-4C09-A1C4-CA5C3CA974D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6" i="1" l="1"/>
  <c r="L5" i="1"/>
  <c r="AD28" i="2"/>
  <c r="AC28" i="2"/>
  <c r="AB28" i="2"/>
  <c r="AD23" i="2"/>
  <c r="AC23" i="2"/>
  <c r="AB23" i="2"/>
  <c r="AD22" i="2"/>
  <c r="AC22" i="2"/>
  <c r="AB22" i="2"/>
  <c r="AD3" i="2"/>
  <c r="AC3" i="2"/>
  <c r="AB3" i="2"/>
  <c r="AD4" i="2"/>
  <c r="AC4" i="2"/>
  <c r="AB4" i="2"/>
  <c r="AD7" i="2"/>
  <c r="AC7" i="2"/>
  <c r="AB7" i="2"/>
  <c r="AD8" i="2"/>
  <c r="AC8" i="2"/>
  <c r="AB8" i="2"/>
  <c r="AD9" i="2"/>
  <c r="AC9" i="2"/>
  <c r="AB9" i="2"/>
  <c r="AD11" i="2"/>
  <c r="AC11" i="2"/>
  <c r="AD10" i="2"/>
  <c r="AC10" i="2"/>
  <c r="AB10" i="2"/>
  <c r="AB11" i="2"/>
  <c r="AD18" i="2"/>
  <c r="AC18" i="2"/>
  <c r="AD17" i="2"/>
  <c r="AC17" i="2"/>
  <c r="AB17" i="2"/>
  <c r="AD16" i="2"/>
  <c r="AC16" i="2"/>
  <c r="AB16" i="2"/>
  <c r="AD15" i="2"/>
  <c r="AC15" i="2"/>
  <c r="AB15" i="2"/>
  <c r="AD14" i="2"/>
  <c r="AC14" i="2"/>
  <c r="AB14" i="2"/>
  <c r="AD13" i="2"/>
  <c r="AC13" i="2"/>
  <c r="AB13" i="2"/>
  <c r="AD12" i="2"/>
  <c r="AD19" i="2" s="1"/>
  <c r="AC12" i="2"/>
  <c r="AC19" i="2" s="1"/>
  <c r="AB12" i="2"/>
  <c r="AB19" i="2" s="1"/>
  <c r="AB18" i="2"/>
  <c r="AC31" i="2"/>
  <c r="AD31" i="2" s="1"/>
  <c r="AB31" i="2"/>
  <c r="AD24" i="2"/>
  <c r="AC24" i="2"/>
  <c r="AB24" i="2"/>
  <c r="AD37" i="2"/>
  <c r="AC37" i="2"/>
  <c r="AB37" i="2"/>
  <c r="AD36" i="2"/>
  <c r="AC36" i="2"/>
  <c r="AB36" i="2"/>
  <c r="AD35" i="2"/>
  <c r="AC35" i="2"/>
  <c r="AB35" i="2"/>
  <c r="AD34" i="2"/>
  <c r="AC34" i="2"/>
  <c r="AB34" i="2"/>
  <c r="Z28" i="2"/>
  <c r="Z26" i="2"/>
  <c r="Z23" i="2"/>
  <c r="Z22" i="2"/>
  <c r="Z21" i="2"/>
  <c r="Z20" i="2"/>
  <c r="Z18" i="2"/>
  <c r="Z12" i="2"/>
  <c r="Z14" i="2"/>
  <c r="Z17" i="2"/>
  <c r="Z13" i="2"/>
  <c r="Z15" i="2"/>
  <c r="Z16" i="2"/>
  <c r="Z8" i="2"/>
  <c r="Z5" i="2"/>
  <c r="Z6" i="2"/>
  <c r="Z7" i="2"/>
  <c r="Z11" i="2"/>
  <c r="Z10" i="2"/>
  <c r="Z4" i="2"/>
  <c r="X26" i="2"/>
  <c r="X21" i="2"/>
  <c r="Y26" i="2"/>
  <c r="AA26" i="2"/>
  <c r="AA27" i="2"/>
  <c r="AA29" i="2" s="1"/>
  <c r="AA30" i="2" s="1"/>
  <c r="AA25" i="2"/>
  <c r="AA24" i="2"/>
  <c r="AA21" i="2"/>
  <c r="AA38" i="2" s="1"/>
  <c r="AA37" i="2"/>
  <c r="AA36" i="2"/>
  <c r="AA35" i="2"/>
  <c r="AA34" i="2"/>
  <c r="AA33" i="2"/>
  <c r="AA19" i="2"/>
  <c r="BJ26" i="2"/>
  <c r="BI26" i="2"/>
  <c r="BH26" i="2"/>
  <c r="BG26" i="2"/>
  <c r="Z37" i="2"/>
  <c r="Y37" i="2"/>
  <c r="Z36" i="2"/>
  <c r="X36" i="2"/>
  <c r="Z35" i="2"/>
  <c r="Y35" i="2"/>
  <c r="X35" i="2"/>
  <c r="R37" i="2"/>
  <c r="Q37" i="2"/>
  <c r="P37" i="2"/>
  <c r="R36" i="2"/>
  <c r="Q36" i="2"/>
  <c r="P36" i="2"/>
  <c r="V37" i="2"/>
  <c r="U37" i="2"/>
  <c r="T37" i="2"/>
  <c r="S37" i="2"/>
  <c r="V36" i="2"/>
  <c r="U36" i="2"/>
  <c r="T36" i="2"/>
  <c r="S36" i="2"/>
  <c r="W37" i="2"/>
  <c r="W36" i="2"/>
  <c r="AZ4" i="2"/>
  <c r="BA4" i="2" s="1"/>
  <c r="BB4" i="2" s="1"/>
  <c r="BC4" i="2" s="1"/>
  <c r="BD4" i="2" s="1"/>
  <c r="BE4" i="2" s="1"/>
  <c r="BF4" i="2" s="1"/>
  <c r="BG4" i="2" s="1"/>
  <c r="BH4" i="2" s="1"/>
  <c r="BI4" i="2" s="1"/>
  <c r="BJ4" i="2" s="1"/>
  <c r="Z3" i="2"/>
  <c r="AZ8" i="2"/>
  <c r="BA8" i="2" s="1"/>
  <c r="BB8" i="2" s="1"/>
  <c r="BC8" i="2" s="1"/>
  <c r="BD8" i="2" s="1"/>
  <c r="BE8" i="2" s="1"/>
  <c r="BF8" i="2" s="1"/>
  <c r="BG8" i="2" s="1"/>
  <c r="BH8" i="2" s="1"/>
  <c r="BI8" i="2" s="1"/>
  <c r="BJ8" i="2" s="1"/>
  <c r="AZ7" i="2"/>
  <c r="BA7" i="2" s="1"/>
  <c r="BB7" i="2" s="1"/>
  <c r="BC7" i="2" s="1"/>
  <c r="BD7" i="2" s="1"/>
  <c r="BE7" i="2" s="1"/>
  <c r="BF7" i="2" s="1"/>
  <c r="BG7" i="2" s="1"/>
  <c r="BH7" i="2" s="1"/>
  <c r="BI7" i="2" s="1"/>
  <c r="BJ7" i="2" s="1"/>
  <c r="AZ16" i="2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R35" i="2"/>
  <c r="Q35" i="2"/>
  <c r="P35" i="2"/>
  <c r="O35" i="2"/>
  <c r="N35" i="2"/>
  <c r="V35" i="2"/>
  <c r="U35" i="2"/>
  <c r="T35" i="2"/>
  <c r="S35" i="2"/>
  <c r="W35" i="2"/>
  <c r="Z34" i="2"/>
  <c r="Y34" i="2"/>
  <c r="X34" i="2"/>
  <c r="M34" i="2"/>
  <c r="L34" i="2"/>
  <c r="K34" i="2"/>
  <c r="Q34" i="2"/>
  <c r="P34" i="2"/>
  <c r="O34" i="2"/>
  <c r="N34" i="2"/>
  <c r="T34" i="2"/>
  <c r="S34" i="2"/>
  <c r="R34" i="2"/>
  <c r="V34" i="2"/>
  <c r="U34" i="2"/>
  <c r="W34" i="2"/>
  <c r="AZ31" i="2"/>
  <c r="BA31" i="2" s="1"/>
  <c r="BB31" i="2" s="1"/>
  <c r="BC31" i="2" s="1"/>
  <c r="BD31" i="2" s="1"/>
  <c r="BE31" i="2" s="1"/>
  <c r="BF31" i="2" s="1"/>
  <c r="BG31" i="2" s="1"/>
  <c r="BH31" i="2" s="1"/>
  <c r="BI31" i="2" s="1"/>
  <c r="BJ31" i="2" s="1"/>
  <c r="U26" i="2"/>
  <c r="V26" i="2"/>
  <c r="V19" i="2"/>
  <c r="V21" i="2" s="1"/>
  <c r="W19" i="2"/>
  <c r="W21" i="2" s="1"/>
  <c r="W38" i="2" s="1"/>
  <c r="W75" i="2"/>
  <c r="W79" i="2" s="1"/>
  <c r="W73" i="2"/>
  <c r="W68" i="2"/>
  <c r="W57" i="2"/>
  <c r="W55" i="2"/>
  <c r="W58" i="2" s="1"/>
  <c r="W41" i="2"/>
  <c r="W40" i="2" s="1"/>
  <c r="W46" i="2"/>
  <c r="W48" i="2" s="1"/>
  <c r="W26" i="2"/>
  <c r="W24" i="2"/>
  <c r="AX69" i="2"/>
  <c r="AW69" i="2"/>
  <c r="AV69" i="2"/>
  <c r="AY17" i="2"/>
  <c r="AY15" i="2"/>
  <c r="AY11" i="2"/>
  <c r="AY8" i="2"/>
  <c r="AY7" i="2"/>
  <c r="AY6" i="2"/>
  <c r="AY5" i="2"/>
  <c r="AY4" i="2"/>
  <c r="AX31" i="2"/>
  <c r="AX28" i="2"/>
  <c r="AX26" i="2"/>
  <c r="AX23" i="2"/>
  <c r="AX22" i="2"/>
  <c r="AY18" i="2"/>
  <c r="AY3" i="2"/>
  <c r="AX18" i="2"/>
  <c r="AX17" i="2"/>
  <c r="AX16" i="2"/>
  <c r="AX15" i="2"/>
  <c r="AX14" i="2"/>
  <c r="AX13" i="2"/>
  <c r="AX12" i="2"/>
  <c r="AX11" i="2"/>
  <c r="AX10" i="2"/>
  <c r="AX8" i="2"/>
  <c r="AX7" i="2"/>
  <c r="AX6" i="2"/>
  <c r="AX5" i="2"/>
  <c r="AX4" i="2"/>
  <c r="AX3" i="2"/>
  <c r="I19" i="2"/>
  <c r="I21" i="2" s="1"/>
  <c r="I38" i="2" s="1"/>
  <c r="M19" i="2"/>
  <c r="N19" i="2"/>
  <c r="N20" i="2" s="1"/>
  <c r="O24" i="2"/>
  <c r="O25" i="2" s="1"/>
  <c r="O27" i="2" s="1"/>
  <c r="O29" i="2" s="1"/>
  <c r="O30" i="2" s="1"/>
  <c r="O19" i="2"/>
  <c r="P24" i="2"/>
  <c r="P19" i="2"/>
  <c r="P20" i="2" s="1"/>
  <c r="Q24" i="2"/>
  <c r="Q25" i="2" s="1"/>
  <c r="Q27" i="2" s="1"/>
  <c r="Q29" i="2" s="1"/>
  <c r="Q30" i="2" s="1"/>
  <c r="Q19" i="2"/>
  <c r="Q20" i="2" s="1"/>
  <c r="R24" i="2"/>
  <c r="R25" i="2" s="1"/>
  <c r="R27" i="2" s="1"/>
  <c r="R29" i="2" s="1"/>
  <c r="R30" i="2" s="1"/>
  <c r="R19" i="2"/>
  <c r="S24" i="2"/>
  <c r="S25" i="2" s="1"/>
  <c r="S27" i="2" s="1"/>
  <c r="S29" i="2" s="1"/>
  <c r="S30" i="2" s="1"/>
  <c r="S19" i="2"/>
  <c r="S20" i="2" s="1"/>
  <c r="T24" i="2"/>
  <c r="T25" i="2" s="1"/>
  <c r="T27" i="2" s="1"/>
  <c r="T29" i="2" s="1"/>
  <c r="T30" i="2" s="1"/>
  <c r="T19" i="2"/>
  <c r="T20" i="2" s="1"/>
  <c r="AV31" i="2"/>
  <c r="AV28" i="2"/>
  <c r="AP33" i="2"/>
  <c r="AQ33" i="2"/>
  <c r="AR33" i="2"/>
  <c r="AS33" i="2"/>
  <c r="AQ26" i="2"/>
  <c r="AR26" i="2"/>
  <c r="AQ24" i="2"/>
  <c r="AQ21" i="2"/>
  <c r="AQ38" i="2" s="1"/>
  <c r="AR24" i="2"/>
  <c r="AR21" i="2"/>
  <c r="AR38" i="2" s="1"/>
  <c r="AR11" i="2"/>
  <c r="AR10" i="2"/>
  <c r="AR4" i="2"/>
  <c r="AS11" i="2"/>
  <c r="AS10" i="2"/>
  <c r="AS4" i="2"/>
  <c r="AT3" i="2"/>
  <c r="AU3" i="2"/>
  <c r="AU26" i="2"/>
  <c r="AT26" i="2"/>
  <c r="AS26" i="2"/>
  <c r="AU24" i="2"/>
  <c r="AT24" i="2"/>
  <c r="AS24" i="2"/>
  <c r="AV23" i="2"/>
  <c r="AV22" i="2"/>
  <c r="AV20" i="2"/>
  <c r="AS21" i="2"/>
  <c r="AS38" i="2" s="1"/>
  <c r="AU11" i="2"/>
  <c r="AT11" i="2"/>
  <c r="AU10" i="2"/>
  <c r="AT10" i="2"/>
  <c r="AV10" i="2"/>
  <c r="AT4" i="2"/>
  <c r="AU4" i="2"/>
  <c r="AV18" i="2"/>
  <c r="AV17" i="2"/>
  <c r="AV16" i="2"/>
  <c r="AV15" i="2"/>
  <c r="AV14" i="2"/>
  <c r="AV13" i="2"/>
  <c r="AV12" i="2"/>
  <c r="AV11" i="2"/>
  <c r="AV8" i="2"/>
  <c r="AV7" i="2"/>
  <c r="AV6" i="2"/>
  <c r="AV5" i="2"/>
  <c r="AV4" i="2"/>
  <c r="AV3" i="2"/>
  <c r="AW15" i="2"/>
  <c r="AW14" i="2"/>
  <c r="AW13" i="2"/>
  <c r="AW12" i="2"/>
  <c r="AW11" i="2"/>
  <c r="AW8" i="2"/>
  <c r="AW7" i="2"/>
  <c r="AW6" i="2"/>
  <c r="AW5" i="2"/>
  <c r="AW4" i="2"/>
  <c r="AW3" i="2"/>
  <c r="AG2" i="2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AW18" i="2"/>
  <c r="AW17" i="2"/>
  <c r="AW16" i="2"/>
  <c r="AW10" i="2"/>
  <c r="AW31" i="2"/>
  <c r="AW23" i="2"/>
  <c r="N24" i="2"/>
  <c r="H19" i="2"/>
  <c r="H21" i="2" s="1"/>
  <c r="H38" i="2" s="1"/>
  <c r="L19" i="2"/>
  <c r="H26" i="2"/>
  <c r="L26" i="2"/>
  <c r="L24" i="2"/>
  <c r="M57" i="2"/>
  <c r="M55" i="2"/>
  <c r="M53" i="2"/>
  <c r="M46" i="2"/>
  <c r="M41" i="2"/>
  <c r="I26" i="2"/>
  <c r="M26" i="2"/>
  <c r="M24" i="2"/>
  <c r="J26" i="2"/>
  <c r="J19" i="2"/>
  <c r="J21" i="2" s="1"/>
  <c r="J38" i="2" s="1"/>
  <c r="G26" i="2"/>
  <c r="K26" i="2"/>
  <c r="J24" i="2"/>
  <c r="I24" i="2"/>
  <c r="H24" i="2"/>
  <c r="G24" i="2"/>
  <c r="K24" i="2"/>
  <c r="G19" i="2"/>
  <c r="G21" i="2" s="1"/>
  <c r="G38" i="2" s="1"/>
  <c r="K19" i="2"/>
  <c r="L4" i="1"/>
  <c r="L7" i="1" s="1"/>
  <c r="AD33" i="2" l="1"/>
  <c r="AD21" i="2"/>
  <c r="AB33" i="2"/>
  <c r="AB21" i="2"/>
  <c r="AB20" i="2" s="1"/>
  <c r="AC33" i="2"/>
  <c r="AC21" i="2"/>
  <c r="AC25" i="2" s="1"/>
  <c r="AC27" i="2" s="1"/>
  <c r="AC29" i="2" s="1"/>
  <c r="AC30" i="2" s="1"/>
  <c r="AB38" i="2"/>
  <c r="AD25" i="2"/>
  <c r="AD27" i="2" s="1"/>
  <c r="AD29" i="2" s="1"/>
  <c r="AD30" i="2" s="1"/>
  <c r="AB25" i="2"/>
  <c r="AB27" i="2" s="1"/>
  <c r="AB29" i="2" s="1"/>
  <c r="AB30" i="2" s="1"/>
  <c r="M33" i="2"/>
  <c r="AZ3" i="2"/>
  <c r="BA3" i="2" s="1"/>
  <c r="BB3" i="2" s="1"/>
  <c r="BC3" i="2" s="1"/>
  <c r="BD3" i="2" s="1"/>
  <c r="AZ5" i="2"/>
  <c r="BA5" i="2" s="1"/>
  <c r="BB5" i="2" s="1"/>
  <c r="BC5" i="2" s="1"/>
  <c r="BD5" i="2" s="1"/>
  <c r="BE5" i="2" s="1"/>
  <c r="BF5" i="2" s="1"/>
  <c r="BG5" i="2" s="1"/>
  <c r="BH5" i="2" s="1"/>
  <c r="BI5" i="2" s="1"/>
  <c r="BJ5" i="2" s="1"/>
  <c r="M21" i="2"/>
  <c r="M38" i="2" s="1"/>
  <c r="AZ15" i="2"/>
  <c r="BA15" i="2" s="1"/>
  <c r="BB15" i="2" s="1"/>
  <c r="BC15" i="2" s="1"/>
  <c r="BD15" i="2" s="1"/>
  <c r="BE15" i="2" s="1"/>
  <c r="BF15" i="2" s="1"/>
  <c r="BG15" i="2" s="1"/>
  <c r="BH15" i="2" s="1"/>
  <c r="BI15" i="2" s="1"/>
  <c r="BJ15" i="2" s="1"/>
  <c r="X24" i="2"/>
  <c r="AZ17" i="2"/>
  <c r="BA17" i="2" s="1"/>
  <c r="BB17" i="2" s="1"/>
  <c r="BC17" i="2" s="1"/>
  <c r="BD17" i="2" s="1"/>
  <c r="BE17" i="2" s="1"/>
  <c r="BF17" i="2" s="1"/>
  <c r="BG17" i="2" s="1"/>
  <c r="BH17" i="2" s="1"/>
  <c r="BI17" i="2" s="1"/>
  <c r="BJ17" i="2" s="1"/>
  <c r="Z24" i="2"/>
  <c r="Y24" i="2"/>
  <c r="AZ26" i="2"/>
  <c r="Y36" i="2"/>
  <c r="AZ22" i="2"/>
  <c r="AZ23" i="2"/>
  <c r="BA23" i="2" s="1"/>
  <c r="BB23" i="2" s="1"/>
  <c r="BC23" i="2" s="1"/>
  <c r="BD23" i="2" s="1"/>
  <c r="BE23" i="2" s="1"/>
  <c r="BF23" i="2" s="1"/>
  <c r="BG23" i="2" s="1"/>
  <c r="BH23" i="2" s="1"/>
  <c r="BI23" i="2" s="1"/>
  <c r="BJ23" i="2" s="1"/>
  <c r="X37" i="2"/>
  <c r="AZ11" i="2"/>
  <c r="BA11" i="2" s="1"/>
  <c r="BB11" i="2" s="1"/>
  <c r="BC11" i="2" s="1"/>
  <c r="BD11" i="2" s="1"/>
  <c r="BE11" i="2" s="1"/>
  <c r="BF11" i="2" s="1"/>
  <c r="BG11" i="2" s="1"/>
  <c r="BH11" i="2" s="1"/>
  <c r="BI11" i="2" s="1"/>
  <c r="BJ11" i="2" s="1"/>
  <c r="AZ13" i="2"/>
  <c r="BA13" i="2" s="1"/>
  <c r="BB13" i="2" s="1"/>
  <c r="BC13" i="2" s="1"/>
  <c r="BD13" i="2" s="1"/>
  <c r="BE13" i="2" s="1"/>
  <c r="BF13" i="2" s="1"/>
  <c r="BG13" i="2" s="1"/>
  <c r="BH13" i="2" s="1"/>
  <c r="BI13" i="2" s="1"/>
  <c r="BJ13" i="2" s="1"/>
  <c r="AZ12" i="2"/>
  <c r="BA12" i="2" s="1"/>
  <c r="BB12" i="2" s="1"/>
  <c r="BC12" i="2" s="1"/>
  <c r="BD12" i="2" s="1"/>
  <c r="BE12" i="2" s="1"/>
  <c r="BF12" i="2" s="1"/>
  <c r="BG12" i="2" s="1"/>
  <c r="BH12" i="2" s="1"/>
  <c r="BI12" i="2" s="1"/>
  <c r="BJ12" i="2" s="1"/>
  <c r="AZ10" i="2"/>
  <c r="BA10" i="2" s="1"/>
  <c r="BB10" i="2" s="1"/>
  <c r="BC10" i="2" s="1"/>
  <c r="BD10" i="2" s="1"/>
  <c r="BE10" i="2" s="1"/>
  <c r="BF10" i="2" s="1"/>
  <c r="BG10" i="2" s="1"/>
  <c r="BH10" i="2" s="1"/>
  <c r="BI10" i="2" s="1"/>
  <c r="BJ10" i="2" s="1"/>
  <c r="M48" i="2"/>
  <c r="AZ6" i="2"/>
  <c r="BA6" i="2" s="1"/>
  <c r="BB6" i="2" s="1"/>
  <c r="BC6" i="2" s="1"/>
  <c r="BD6" i="2" s="1"/>
  <c r="BE6" i="2" s="1"/>
  <c r="BF6" i="2" s="1"/>
  <c r="BG6" i="2" s="1"/>
  <c r="BH6" i="2" s="1"/>
  <c r="BI6" i="2" s="1"/>
  <c r="BJ6" i="2" s="1"/>
  <c r="AZ14" i="2"/>
  <c r="BA14" i="2" s="1"/>
  <c r="BB14" i="2" s="1"/>
  <c r="BC14" i="2" s="1"/>
  <c r="BD14" i="2" s="1"/>
  <c r="BE14" i="2" s="1"/>
  <c r="BF14" i="2" s="1"/>
  <c r="BG14" i="2" s="1"/>
  <c r="BH14" i="2" s="1"/>
  <c r="BI14" i="2" s="1"/>
  <c r="BJ14" i="2" s="1"/>
  <c r="Y19" i="2"/>
  <c r="X19" i="2"/>
  <c r="X33" i="2" s="1"/>
  <c r="AZ18" i="2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Z19" i="2"/>
  <c r="Z33" i="2" s="1"/>
  <c r="M58" i="2"/>
  <c r="L33" i="2"/>
  <c r="O33" i="2"/>
  <c r="AY16" i="2"/>
  <c r="AX19" i="2"/>
  <c r="U19" i="2"/>
  <c r="W33" i="2"/>
  <c r="AX24" i="2"/>
  <c r="AY14" i="2"/>
  <c r="AY10" i="2"/>
  <c r="V38" i="2"/>
  <c r="V33" i="2"/>
  <c r="AV24" i="2"/>
  <c r="AY13" i="2"/>
  <c r="AY23" i="2"/>
  <c r="AY26" i="2"/>
  <c r="W25" i="2"/>
  <c r="W27" i="2" s="1"/>
  <c r="W29" i="2" s="1"/>
  <c r="AY31" i="2"/>
  <c r="AY12" i="2"/>
  <c r="W81" i="2"/>
  <c r="V24" i="2"/>
  <c r="U24" i="2"/>
  <c r="AY22" i="2"/>
  <c r="T38" i="2"/>
  <c r="T33" i="2"/>
  <c r="P33" i="2"/>
  <c r="R20" i="2"/>
  <c r="S33" i="2"/>
  <c r="O20" i="2"/>
  <c r="S38" i="2"/>
  <c r="R38" i="2"/>
  <c r="P38" i="2"/>
  <c r="O38" i="2"/>
  <c r="R33" i="2"/>
  <c r="P25" i="2"/>
  <c r="P27" i="2" s="1"/>
  <c r="P29" i="2" s="1"/>
  <c r="P30" i="2" s="1"/>
  <c r="Q33" i="2"/>
  <c r="Q38" i="2"/>
  <c r="AU19" i="2"/>
  <c r="AU21" i="2" s="1"/>
  <c r="AU38" i="2" s="1"/>
  <c r="AT19" i="2"/>
  <c r="AT33" i="2" s="1"/>
  <c r="AW26" i="2"/>
  <c r="AV26" i="2"/>
  <c r="AW19" i="2"/>
  <c r="AQ25" i="2"/>
  <c r="AQ27" i="2" s="1"/>
  <c r="AQ29" i="2" s="1"/>
  <c r="AQ30" i="2" s="1"/>
  <c r="AV19" i="2"/>
  <c r="AV21" i="2" s="1"/>
  <c r="AV38" i="2" s="1"/>
  <c r="AS25" i="2"/>
  <c r="AS27" i="2" s="1"/>
  <c r="AS29" i="2" s="1"/>
  <c r="AS30" i="2" s="1"/>
  <c r="AW22" i="2"/>
  <c r="AW24" i="2" s="1"/>
  <c r="L21" i="2"/>
  <c r="AR25" i="2"/>
  <c r="AR27" i="2" s="1"/>
  <c r="AR29" i="2" s="1"/>
  <c r="AR30" i="2" s="1"/>
  <c r="M25" i="2"/>
  <c r="M27" i="2" s="1"/>
  <c r="M29" i="2" s="1"/>
  <c r="M30" i="2" s="1"/>
  <c r="K33" i="2"/>
  <c r="M40" i="2"/>
  <c r="G25" i="2"/>
  <c r="G27" i="2" s="1"/>
  <c r="G29" i="2" s="1"/>
  <c r="G30" i="2" s="1"/>
  <c r="H25" i="2"/>
  <c r="H27" i="2" s="1"/>
  <c r="H29" i="2" s="1"/>
  <c r="H30" i="2" s="1"/>
  <c r="I25" i="2"/>
  <c r="I27" i="2" s="1"/>
  <c r="I29" i="2" s="1"/>
  <c r="I30" i="2" s="1"/>
  <c r="K21" i="2"/>
  <c r="J25" i="2"/>
  <c r="J27" i="2" s="1"/>
  <c r="J29" i="2" s="1"/>
  <c r="J30" i="2" s="1"/>
  <c r="AD20" i="2" l="1"/>
  <c r="AD38" i="2"/>
  <c r="AC20" i="2"/>
  <c r="AC38" i="2"/>
  <c r="Y38" i="2"/>
  <c r="Y21" i="2"/>
  <c r="BA19" i="2"/>
  <c r="BC19" i="2"/>
  <c r="BC21" i="2" s="1"/>
  <c r="BC38" i="2" s="1"/>
  <c r="AZ24" i="2"/>
  <c r="BA22" i="2"/>
  <c r="BB19" i="2"/>
  <c r="BB33" i="2" s="1"/>
  <c r="BA21" i="2"/>
  <c r="BA20" i="2" s="1"/>
  <c r="BE3" i="2"/>
  <c r="BD19" i="2"/>
  <c r="AX20" i="2"/>
  <c r="AX21" i="2" s="1"/>
  <c r="AZ19" i="2"/>
  <c r="BA33" i="2" s="1"/>
  <c r="AY24" i="2"/>
  <c r="X38" i="2"/>
  <c r="Y25" i="2"/>
  <c r="Y27" i="2" s="1"/>
  <c r="U33" i="2"/>
  <c r="U21" i="2"/>
  <c r="U38" i="2" s="1"/>
  <c r="AX33" i="2"/>
  <c r="Y33" i="2"/>
  <c r="AY19" i="2"/>
  <c r="AY33" i="2" s="1"/>
  <c r="W30" i="2"/>
  <c r="W60" i="2"/>
  <c r="AY20" i="2"/>
  <c r="V25" i="2"/>
  <c r="V27" i="2" s="1"/>
  <c r="AU25" i="2"/>
  <c r="AU27" i="2" s="1"/>
  <c r="AU29" i="2" s="1"/>
  <c r="AU30" i="2" s="1"/>
  <c r="AT21" i="2"/>
  <c r="AT38" i="2" s="1"/>
  <c r="AU33" i="2"/>
  <c r="AV33" i="2"/>
  <c r="K25" i="2"/>
  <c r="K27" i="2" s="1"/>
  <c r="K29" i="2" s="1"/>
  <c r="K30" i="2" s="1"/>
  <c r="K38" i="2"/>
  <c r="N33" i="2"/>
  <c r="AW20" i="2"/>
  <c r="AW21" i="2" s="1"/>
  <c r="L25" i="2"/>
  <c r="L27" i="2" s="1"/>
  <c r="L29" i="2" s="1"/>
  <c r="L30" i="2" s="1"/>
  <c r="L38" i="2"/>
  <c r="AW33" i="2"/>
  <c r="AV25" i="2"/>
  <c r="AV27" i="2" s="1"/>
  <c r="AV29" i="2" s="1"/>
  <c r="AV30" i="2" s="1"/>
  <c r="BB21" i="2" l="1"/>
  <c r="BB38" i="2" s="1"/>
  <c r="BC33" i="2"/>
  <c r="AX38" i="2"/>
  <c r="AX25" i="2"/>
  <c r="AX27" i="2" s="1"/>
  <c r="AX29" i="2" s="1"/>
  <c r="AX30" i="2" s="1"/>
  <c r="Y29" i="2"/>
  <c r="Y30" i="2" s="1"/>
  <c r="AZ33" i="2"/>
  <c r="BE19" i="2"/>
  <c r="BE21" i="2" s="1"/>
  <c r="BF3" i="2"/>
  <c r="BB22" i="2"/>
  <c r="BA24" i="2"/>
  <c r="BA25" i="2" s="1"/>
  <c r="BD33" i="2"/>
  <c r="BD21" i="2"/>
  <c r="BD38" i="2" s="1"/>
  <c r="BC20" i="2"/>
  <c r="BB20" i="2"/>
  <c r="BA38" i="2"/>
  <c r="AZ20" i="2"/>
  <c r="AZ21" i="2" s="1"/>
  <c r="X25" i="2"/>
  <c r="X27" i="2" s="1"/>
  <c r="Z38" i="2"/>
  <c r="Z25" i="2"/>
  <c r="Z27" i="2" s="1"/>
  <c r="AY21" i="2"/>
  <c r="AY38" i="2" s="1"/>
  <c r="U25" i="2"/>
  <c r="U27" i="2" s="1"/>
  <c r="V29" i="2"/>
  <c r="V30" i="2" s="1"/>
  <c r="AT25" i="2"/>
  <c r="AT27" i="2" s="1"/>
  <c r="AT29" i="2" s="1"/>
  <c r="AT30" i="2" s="1"/>
  <c r="AW38" i="2"/>
  <c r="AW25" i="2"/>
  <c r="AW27" i="2" s="1"/>
  <c r="N38" i="2"/>
  <c r="N25" i="2"/>
  <c r="N27" i="2" s="1"/>
  <c r="BE33" i="2" l="1"/>
  <c r="BE38" i="2"/>
  <c r="BE20" i="2"/>
  <c r="Z29" i="2"/>
  <c r="Z30" i="2" s="1"/>
  <c r="AZ28" i="2"/>
  <c r="AZ25" i="2"/>
  <c r="AZ27" i="2" s="1"/>
  <c r="AZ38" i="2"/>
  <c r="BB24" i="2"/>
  <c r="BB25" i="2" s="1"/>
  <c r="BC22" i="2"/>
  <c r="BF19" i="2"/>
  <c r="BG3" i="2"/>
  <c r="BD20" i="2"/>
  <c r="AY28" i="2"/>
  <c r="AY25" i="2"/>
  <c r="AY27" i="2" s="1"/>
  <c r="U29" i="2"/>
  <c r="U30" i="2" s="1"/>
  <c r="AW28" i="2"/>
  <c r="AW29" i="2" s="1"/>
  <c r="AW30" i="2" s="1"/>
  <c r="AZ29" i="2" l="1"/>
  <c r="AZ30" i="2" s="1"/>
  <c r="BF21" i="2"/>
  <c r="BF20" i="2" s="1"/>
  <c r="BC24" i="2"/>
  <c r="BC25" i="2" s="1"/>
  <c r="BD22" i="2"/>
  <c r="BH3" i="2"/>
  <c r="BG19" i="2"/>
  <c r="X29" i="2"/>
  <c r="AY29" i="2"/>
  <c r="AY30" i="2" s="1"/>
  <c r="N29" i="2"/>
  <c r="N30" i="2" s="1"/>
  <c r="X30" i="2" l="1"/>
  <c r="X40" i="2"/>
  <c r="Y40" i="2" s="1"/>
  <c r="Z40" i="2" s="1"/>
  <c r="AZ40" i="2" s="1"/>
  <c r="BE22" i="2"/>
  <c r="BD24" i="2"/>
  <c r="BD25" i="2" s="1"/>
  <c r="BG21" i="2"/>
  <c r="BG20" i="2" s="1"/>
  <c r="BI3" i="2"/>
  <c r="BH19" i="2"/>
  <c r="BE24" i="2" l="1"/>
  <c r="BE25" i="2" s="1"/>
  <c r="BF22" i="2"/>
  <c r="BH21" i="2"/>
  <c r="BH20" i="2" s="1"/>
  <c r="BI19" i="2"/>
  <c r="BJ3" i="2"/>
  <c r="BJ19" i="2" s="1"/>
  <c r="BA26" i="2"/>
  <c r="BA27" i="2" s="1"/>
  <c r="BA28" i="2" s="1"/>
  <c r="BA29" i="2" s="1"/>
  <c r="BA30" i="2" s="1"/>
  <c r="BA40" i="2" l="1"/>
  <c r="BB26" i="2" s="1"/>
  <c r="BB27" i="2" s="1"/>
  <c r="BB28" i="2" s="1"/>
  <c r="BB29" i="2" s="1"/>
  <c r="BB30" i="2" s="1"/>
  <c r="BJ21" i="2"/>
  <c r="BI21" i="2"/>
  <c r="BF24" i="2"/>
  <c r="BF25" i="2" s="1"/>
  <c r="BG22" i="2"/>
  <c r="BB40" i="2" l="1"/>
  <c r="BC26" i="2" s="1"/>
  <c r="BC27" i="2" s="1"/>
  <c r="BC28" i="2" s="1"/>
  <c r="BC29" i="2" s="1"/>
  <c r="BC30" i="2" s="1"/>
  <c r="BG24" i="2"/>
  <c r="BG25" i="2" s="1"/>
  <c r="BG27" i="2" s="1"/>
  <c r="BG28" i="2" s="1"/>
  <c r="BG29" i="2" s="1"/>
  <c r="BG30" i="2" s="1"/>
  <c r="BH22" i="2"/>
  <c r="BI20" i="2"/>
  <c r="BJ20" i="2"/>
  <c r="BC40" i="2" l="1"/>
  <c r="BD26" i="2" s="1"/>
  <c r="BD27" i="2" s="1"/>
  <c r="BD28" i="2" s="1"/>
  <c r="BD29" i="2" s="1"/>
  <c r="BD40" i="2" s="1"/>
  <c r="BI22" i="2"/>
  <c r="BH24" i="2"/>
  <c r="BH25" i="2" s="1"/>
  <c r="BH27" i="2" s="1"/>
  <c r="BH28" i="2" s="1"/>
  <c r="BH29" i="2" s="1"/>
  <c r="BH30" i="2" s="1"/>
  <c r="BJ22" i="2" l="1"/>
  <c r="BJ24" i="2" s="1"/>
  <c r="BJ25" i="2" s="1"/>
  <c r="BJ27" i="2" s="1"/>
  <c r="BJ28" i="2" s="1"/>
  <c r="BJ29" i="2" s="1"/>
  <c r="BJ30" i="2" s="1"/>
  <c r="BI24" i="2"/>
  <c r="BI25" i="2" s="1"/>
  <c r="BI27" i="2" s="1"/>
  <c r="BI28" i="2" s="1"/>
  <c r="BI29" i="2" s="1"/>
  <c r="BI30" i="2" s="1"/>
  <c r="BE26" i="2"/>
  <c r="BE27" i="2" s="1"/>
  <c r="BE28" i="2" s="1"/>
  <c r="BE29" i="2" s="1"/>
  <c r="BE40" i="2" s="1"/>
  <c r="BF26" i="2" s="1"/>
  <c r="BF27" i="2" s="1"/>
  <c r="BD30" i="2"/>
  <c r="BF28" i="2" l="1"/>
  <c r="BF29" i="2" s="1"/>
  <c r="BF30" i="2" s="1"/>
  <c r="BE30" i="2"/>
  <c r="BK29" i="2" l="1"/>
  <c r="BL29" i="2" s="1"/>
  <c r="BM29" i="2" s="1"/>
  <c r="BN29" i="2" s="1"/>
  <c r="BO29" i="2" s="1"/>
  <c r="BP29" i="2" s="1"/>
  <c r="BQ29" i="2" s="1"/>
  <c r="BR29" i="2" s="1"/>
  <c r="BS29" i="2" s="1"/>
  <c r="BT29" i="2" s="1"/>
  <c r="BU29" i="2" s="1"/>
  <c r="BV29" i="2" s="1"/>
  <c r="BW29" i="2" s="1"/>
  <c r="BX29" i="2" s="1"/>
  <c r="BY29" i="2" s="1"/>
  <c r="BZ29" i="2" s="1"/>
  <c r="CA29" i="2" s="1"/>
  <c r="CB29" i="2" s="1"/>
  <c r="CC29" i="2" s="1"/>
  <c r="CD29" i="2" s="1"/>
  <c r="CE29" i="2" s="1"/>
  <c r="CF29" i="2" s="1"/>
  <c r="CG29" i="2" s="1"/>
  <c r="CH29" i="2" s="1"/>
  <c r="CI29" i="2" s="1"/>
  <c r="CJ29" i="2" s="1"/>
  <c r="CK29" i="2" s="1"/>
  <c r="CL29" i="2" s="1"/>
  <c r="CM29" i="2" s="1"/>
  <c r="CN29" i="2" s="1"/>
  <c r="CO29" i="2" s="1"/>
  <c r="CP29" i="2" s="1"/>
  <c r="CQ29" i="2" s="1"/>
  <c r="CR29" i="2" s="1"/>
  <c r="CS29" i="2" s="1"/>
  <c r="CT29" i="2" s="1"/>
  <c r="CU29" i="2" s="1"/>
  <c r="CV29" i="2" s="1"/>
  <c r="CW29" i="2" s="1"/>
  <c r="CX29" i="2" s="1"/>
  <c r="CY29" i="2" s="1"/>
  <c r="CZ29" i="2" s="1"/>
  <c r="DA29" i="2" s="1"/>
  <c r="DB29" i="2" s="1"/>
  <c r="DC29" i="2" s="1"/>
  <c r="DD29" i="2" s="1"/>
  <c r="DE29" i="2" s="1"/>
  <c r="DF29" i="2" s="1"/>
  <c r="DG29" i="2" s="1"/>
  <c r="DH29" i="2" s="1"/>
  <c r="DI29" i="2" s="1"/>
  <c r="DJ29" i="2" s="1"/>
  <c r="DK29" i="2" s="1"/>
  <c r="DL29" i="2" s="1"/>
  <c r="DM29" i="2" s="1"/>
  <c r="DN29" i="2" s="1"/>
  <c r="DO29" i="2" s="1"/>
  <c r="DP29" i="2" s="1"/>
  <c r="DQ29" i="2" s="1"/>
  <c r="DR29" i="2" s="1"/>
  <c r="DS29" i="2" s="1"/>
  <c r="DT29" i="2" s="1"/>
  <c r="DU29" i="2" s="1"/>
  <c r="DV29" i="2" s="1"/>
  <c r="DW29" i="2" s="1"/>
  <c r="DX29" i="2" s="1"/>
  <c r="DY29" i="2" s="1"/>
  <c r="BM36" i="2" l="1"/>
  <c r="BM3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tc={DEC28CAE-3B18-448E-9B03-42CBC7D02E25}</author>
  </authors>
  <commentList>
    <comment ref="AR19" authorId="0" shapeId="0" xr:uid="{DEC28CAE-3B18-448E-9B03-42CBC7D02E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STJ acquisition</t>
      </text>
    </comment>
  </commentList>
</comments>
</file>

<file path=xl/sharedStrings.xml><?xml version="1.0" encoding="utf-8"?>
<sst xmlns="http://schemas.openxmlformats.org/spreadsheetml/2006/main" count="169" uniqueCount="149">
  <si>
    <t>Price</t>
  </si>
  <si>
    <t>Shares</t>
  </si>
  <si>
    <t>MC</t>
  </si>
  <si>
    <t>Cash</t>
  </si>
  <si>
    <t>Debt</t>
  </si>
  <si>
    <t>EV</t>
  </si>
  <si>
    <t>Q122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</si>
  <si>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</si>
  <si>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</si>
  <si>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</si>
  <si>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</si>
  <si>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</si>
  <si>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</si>
  <si>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</si>
  <si>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</si>
  <si>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</si>
  <si>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</si>
  <si>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</si>
  <si>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</si>
  <si>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</si>
  <si>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Diabetes</t>
  </si>
  <si>
    <t>Rapid Diagnostics</t>
  </si>
  <si>
    <t>Core Lab</t>
  </si>
  <si>
    <t>Molecular Dx</t>
  </si>
  <si>
    <t>PoC Dx</t>
  </si>
  <si>
    <t>Neuromodulation</t>
  </si>
  <si>
    <t>Structural Heart</t>
  </si>
  <si>
    <t>Vascular</t>
  </si>
  <si>
    <t>Heart Failure</t>
  </si>
  <si>
    <t>Electrophysiology</t>
  </si>
  <si>
    <t>Rhythm</t>
  </si>
  <si>
    <t>Adult Nutritionals</t>
  </si>
  <si>
    <t>Pediatric Nutritionals</t>
  </si>
  <si>
    <t>Pharma</t>
  </si>
  <si>
    <t>Other</t>
  </si>
  <si>
    <t>Operating Expenses</t>
  </si>
  <si>
    <t>Operating Income</t>
  </si>
  <si>
    <t>COGS</t>
  </si>
  <si>
    <t>Gross Profit</t>
  </si>
  <si>
    <t>SG&amp;A</t>
  </si>
  <si>
    <t>R&amp;D</t>
  </si>
  <si>
    <t>Interest Income</t>
  </si>
  <si>
    <t>Pretax Income</t>
  </si>
  <si>
    <t>Taxes</t>
  </si>
  <si>
    <t>Net Income</t>
  </si>
  <si>
    <t>EPS</t>
  </si>
  <si>
    <t>Revenue Growth</t>
  </si>
  <si>
    <t>Q123</t>
  </si>
  <si>
    <t>Q223</t>
  </si>
  <si>
    <t>Q323</t>
  </si>
  <si>
    <t>Q423</t>
  </si>
  <si>
    <t>AP</t>
  </si>
  <si>
    <t>Salaries</t>
  </si>
  <si>
    <t>AL</t>
  </si>
  <si>
    <t>Dividends</t>
  </si>
  <si>
    <t>Pension</t>
  </si>
  <si>
    <t>SE+NCI</t>
  </si>
  <si>
    <t>AR</t>
  </si>
  <si>
    <t>Inventories</t>
  </si>
  <si>
    <t>Prepaids</t>
  </si>
  <si>
    <t>Goodwill</t>
  </si>
  <si>
    <t>PP&amp;E</t>
  </si>
  <si>
    <t>DT</t>
  </si>
  <si>
    <t>Assets</t>
  </si>
  <si>
    <t>L+SE</t>
  </si>
  <si>
    <t>Net Debt</t>
  </si>
  <si>
    <t>Gross Margin</t>
  </si>
  <si>
    <t>Q124</t>
  </si>
  <si>
    <t>Q224</t>
  </si>
  <si>
    <t>Q324</t>
  </si>
  <si>
    <t>Q424</t>
  </si>
  <si>
    <t>Founded:</t>
  </si>
  <si>
    <t>FreeStyle, FreeStyle Libre, sensors, test strips</t>
  </si>
  <si>
    <t>DexCom</t>
  </si>
  <si>
    <t>XIENCE DES</t>
  </si>
  <si>
    <t>StarClose (clip closure system), Perclose ProGlide, Perclose ProStyle (suture system)</t>
  </si>
  <si>
    <t>Assurity, Endurity pacemakers</t>
  </si>
  <si>
    <t>Aveir single and dual-chamber leadless pacemakers</t>
  </si>
  <si>
    <t>Ellipse, Fortify Assura, Gallant ICD</t>
  </si>
  <si>
    <t>Quadra Assura ICD-CRT</t>
  </si>
  <si>
    <t>Confirm Rx, Jot Dx, Assert IQ implantable cardiac monitors</t>
  </si>
  <si>
    <t>TactiFlex, TactiCath ablation catheters</t>
  </si>
  <si>
    <t>FlexAbility irrigated ablation catheter</t>
  </si>
  <si>
    <t>EnSite cardiac mapping system</t>
  </si>
  <si>
    <t>Agilis NxT, Swartz - introducer catheters</t>
  </si>
  <si>
    <t>Advisor HD Grid mapping catheter</t>
  </si>
  <si>
    <t>ViewFlex intracardiac echo catheter</t>
  </si>
  <si>
    <t>HeartMate LVAD</t>
  </si>
  <si>
    <t>CardioMEMS HF System pulmonary artery sensor</t>
  </si>
  <si>
    <t>CentriMag - circulatory support system</t>
  </si>
  <si>
    <t>MitraClip - transcatheter mitral valve repair system</t>
  </si>
  <si>
    <t>TriClip - tricuspid transcatheter repair</t>
  </si>
  <si>
    <t>Epic - aortic valve and mitral valve replacement devices</t>
  </si>
  <si>
    <t>Portico Navitor - transcatheter aortic heart valves</t>
  </si>
  <si>
    <t>Regent and Masters Series mechanical heart valves</t>
  </si>
  <si>
    <t>2017: Closes St. Jude Medical acquisition for $25B.</t>
  </si>
  <si>
    <t>Amplatzer PFO occluder</t>
  </si>
  <si>
    <t>Amplatzer Amulet occluder</t>
  </si>
  <si>
    <t>Tendyne transcatheter mitral valve replacement system</t>
  </si>
  <si>
    <t>Proclaim spinal cord stimulator</t>
  </si>
  <si>
    <t>Infinity DBS system</t>
  </si>
  <si>
    <t>Nutritional</t>
  </si>
  <si>
    <t>Similac</t>
  </si>
  <si>
    <t>Ensure</t>
  </si>
  <si>
    <t>Pediasure</t>
  </si>
  <si>
    <t>Enteral Feeding: Glucerna, Osmolite</t>
  </si>
  <si>
    <t>Diagnostics</t>
  </si>
  <si>
    <t>Alinity</t>
  </si>
  <si>
    <t>core lab</t>
  </si>
  <si>
    <t>Alinity m, m2000</t>
  </si>
  <si>
    <t>molecular diagnostics/PCR</t>
  </si>
  <si>
    <t>iSTAT</t>
  </si>
  <si>
    <t>POC system</t>
  </si>
  <si>
    <t>BinaxNOW, PanBio</t>
  </si>
  <si>
    <t>Rapid diagnostics</t>
  </si>
  <si>
    <t>Pharmaceuticals</t>
  </si>
  <si>
    <t>Creon, Duspatal, Dicetel, Heptral, Transmetil, Samyr, Duphalac, Duphaston, Femoston, TriCor, Serc, Brufen, Sevedol, clarithromycin</t>
  </si>
  <si>
    <t>Q125</t>
  </si>
  <si>
    <t>Q225</t>
  </si>
  <si>
    <t>Q325</t>
  </si>
  <si>
    <t>Q425</t>
  </si>
  <si>
    <t>CIC</t>
  </si>
  <si>
    <t>FX</t>
  </si>
  <si>
    <t>CFFF</t>
  </si>
  <si>
    <t>Options Proceeds</t>
  </si>
  <si>
    <t>Buyback</t>
  </si>
  <si>
    <t>CFFI</t>
  </si>
  <si>
    <t>CapEx</t>
  </si>
  <si>
    <t>Investments</t>
  </si>
  <si>
    <t>CFFO</t>
  </si>
  <si>
    <t>Model NI</t>
  </si>
  <si>
    <t>Reported NI</t>
  </si>
  <si>
    <t>Depreciation</t>
  </si>
  <si>
    <t>Amortization</t>
  </si>
  <si>
    <t>SBC</t>
  </si>
  <si>
    <t>Diabetes y/y</t>
  </si>
  <si>
    <t>Vascular y/y</t>
  </si>
  <si>
    <t>SG&amp;A y/y</t>
  </si>
  <si>
    <t>R&amp;D y/y</t>
  </si>
  <si>
    <t>NPV</t>
  </si>
  <si>
    <t>Discount</t>
  </si>
  <si>
    <t>Maturity</t>
  </si>
  <si>
    <t>ROIC</t>
  </si>
  <si>
    <t>Share</t>
  </si>
  <si>
    <t>Q126</t>
  </si>
  <si>
    <t>Q226</t>
  </si>
  <si>
    <t>Q326</t>
  </si>
  <si>
    <t>Q426</t>
  </si>
  <si>
    <t>Cancer Diagnostics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</si>
</sst>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/>
    <xf numFmtId="0" fontId="2" fillId="0" borderId="0" xfId="1"/>
    <xf numFmtId="9" fontId="0" fillId="0" borderId="0" xfId="0" applyNumberFormat="1" applyAlignment="1">
      <alignment horizontal="right"/>
    </xf>
    <xf numFmtId="9" fontId="1" fillId="0" borderId="0" xfId="0" applyNumberFormat="1" applyFont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44388</xdr:colOff>
      <xdr:row>0</xdr:row>
      <xdr:rowOff>0</xdr:rowOff>
    </xdr:from>
    <xdr:to>
      <xdr:col>27</xdr:col>
      <xdr:colOff>44388</xdr:colOff>
      <xdr:row>81</xdr:row>
      <xdr:rowOff>102821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3B7D2B6-EE12-C73C-03DF-8EB2CB34AD53}"/>
            </a:ext>
          </a:extLst>
        </xdr:cNvPr>
        <xdr:cNvCxnSpPr/>
      </xdr:nvCxnSpPr>
      <xdr:spPr>
        <a:xfrm>
          <a:off x="17257773" y="0"/>
          <a:ext cx="0" cy="131691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33307</xdr:colOff>
      <xdr:row>0</xdr:row>
      <xdr:rowOff>0</xdr:rowOff>
    </xdr:from>
    <xdr:to>
      <xdr:col>51</xdr:col>
      <xdr:colOff>33307</xdr:colOff>
      <xdr:row>75</xdr:row>
      <xdr:rowOff>151424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CB05243-6FE7-4A1D-B9B1-1E4090294687}"/>
            </a:ext>
          </a:extLst>
        </xdr:cNvPr>
        <xdr:cNvCxnSpPr/>
      </xdr:nvCxnSpPr>
      <xdr:spPr>
        <a:xfrm>
          <a:off x="29038153" y="0"/>
          <a:ext cx="0" cy="122750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2F949183-79EC-44FB-BA6D-BE13BEB03E9C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R19" dT="2023-01-07T00:44:46.14" personId="{2F949183-79EC-44FB-BA6D-BE13BEB03E9C}" id="{DEC28CAE-3B18-448E-9B03-42CBC7D02E25}">
    <text>STJ acquisition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650F-BB24-4124-8C12-116214A91726}">
  <dimension ref="B2:M55"/>
  <sheetViews>
    <sheetView tabSelected="1" zoomScale="115" zoomScaleNormal="115" workbookViewId="0">
      <selection activeCell="M5" sqref="M5"/>
    </sheetView>
  </sheetViews>
  <sheetFormatPr defaultRowHeight="12.5" x14ac:dyDescent="0.25"/>
  <cols>
    <col min="1" max="1" width="6" customWidth="1"/>
    <col min="3" max="3" width="12.1796875" customWidth="1"/>
  </cols>
  <sheetData>
    <row r="2" spans="2:13" x14ac:dyDescent="0.25">
      <c r="B2" t="s">
        <v>20</v>
      </c>
      <c r="K2" t="s">
        <v>0</v>
      </c>
      <c r="L2" s="1">
        <v>101</v>
      </c>
    </row>
    <row r="3" spans="2:13" x14ac:dyDescent="0.25">
      <c r="C3" t="s">
        <v>72</v>
      </c>
      <c r="K3" t="s">
        <v>1</v>
      </c>
      <c r="L3" s="2">
        <v>1741.8124290000001</v>
      </c>
      <c r="M3" s="3" t="s">
        <v>144</v>
      </c>
    </row>
    <row r="4" spans="2:13" x14ac:dyDescent="0.25">
      <c r="D4" t="s">
        <v>73</v>
      </c>
      <c r="K4" t="s">
        <v>2</v>
      </c>
      <c r="L4" s="2">
        <f>+L2*L3</f>
        <v>175923.055329</v>
      </c>
    </row>
    <row r="5" spans="2:13" x14ac:dyDescent="0.25">
      <c r="B5" t="s">
        <v>27</v>
      </c>
      <c r="K5" t="s">
        <v>3</v>
      </c>
      <c r="L5" s="2">
        <f>6803+492+1090</f>
        <v>8385</v>
      </c>
      <c r="M5" s="3" t="s">
        <v>144</v>
      </c>
    </row>
    <row r="6" spans="2:13" x14ac:dyDescent="0.25">
      <c r="C6" t="s">
        <v>74</v>
      </c>
      <c r="K6" t="s">
        <v>4</v>
      </c>
      <c r="L6" s="2">
        <f>4409+29638</f>
        <v>34047</v>
      </c>
      <c r="M6" s="3" t="s">
        <v>144</v>
      </c>
    </row>
    <row r="7" spans="2:13" x14ac:dyDescent="0.25">
      <c r="C7" t="s">
        <v>75</v>
      </c>
      <c r="K7" t="s">
        <v>5</v>
      </c>
      <c r="L7" s="2">
        <f>+L4-L5+L6</f>
        <v>201585.055329</v>
      </c>
    </row>
    <row r="8" spans="2:13" x14ac:dyDescent="0.25">
      <c r="B8" t="s">
        <v>30</v>
      </c>
    </row>
    <row r="9" spans="2:13" x14ac:dyDescent="0.25">
      <c r="C9" t="s">
        <v>76</v>
      </c>
    </row>
    <row r="10" spans="2:13" x14ac:dyDescent="0.25">
      <c r="C10" t="s">
        <v>77</v>
      </c>
      <c r="K10" t="s">
        <v>71</v>
      </c>
      <c r="L10">
        <v>1900</v>
      </c>
    </row>
    <row r="11" spans="2:13" x14ac:dyDescent="0.25">
      <c r="C11" t="s">
        <v>78</v>
      </c>
    </row>
    <row r="12" spans="2:13" x14ac:dyDescent="0.25">
      <c r="C12" t="s">
        <v>79</v>
      </c>
    </row>
    <row r="13" spans="2:13" x14ac:dyDescent="0.25">
      <c r="C13" t="s">
        <v>80</v>
      </c>
    </row>
    <row r="14" spans="2:13" x14ac:dyDescent="0.25">
      <c r="B14" t="s">
        <v>29</v>
      </c>
    </row>
    <row r="15" spans="2:13" x14ac:dyDescent="0.25">
      <c r="C15" t="s">
        <v>81</v>
      </c>
      <c r="K15" t="s">
        <v>95</v>
      </c>
    </row>
    <row r="16" spans="2:13" x14ac:dyDescent="0.25">
      <c r="C16" t="s">
        <v>82</v>
      </c>
    </row>
    <row r="17" spans="2:3" x14ac:dyDescent="0.25">
      <c r="C17" t="s">
        <v>83</v>
      </c>
    </row>
    <row r="18" spans="2:3" x14ac:dyDescent="0.25">
      <c r="C18" t="s">
        <v>84</v>
      </c>
    </row>
    <row r="19" spans="2:3" x14ac:dyDescent="0.25">
      <c r="C19" t="s">
        <v>85</v>
      </c>
    </row>
    <row r="20" spans="2:3" x14ac:dyDescent="0.25">
      <c r="C20" t="s">
        <v>86</v>
      </c>
    </row>
    <row r="22" spans="2:3" x14ac:dyDescent="0.25">
      <c r="B22" t="s">
        <v>28</v>
      </c>
    </row>
    <row r="23" spans="2:3" x14ac:dyDescent="0.25">
      <c r="C23" t="s">
        <v>87</v>
      </c>
    </row>
    <row r="24" spans="2:3" x14ac:dyDescent="0.25">
      <c r="C24" t="s">
        <v>88</v>
      </c>
    </row>
    <row r="25" spans="2:3" x14ac:dyDescent="0.25">
      <c r="C25" t="s">
        <v>89</v>
      </c>
    </row>
    <row r="27" spans="2:3" x14ac:dyDescent="0.25">
      <c r="B27" t="s">
        <v>26</v>
      </c>
    </row>
    <row r="28" spans="2:3" x14ac:dyDescent="0.25">
      <c r="C28" t="s">
        <v>90</v>
      </c>
    </row>
    <row r="29" spans="2:3" x14ac:dyDescent="0.25">
      <c r="C29" t="s">
        <v>91</v>
      </c>
    </row>
    <row r="30" spans="2:3" x14ac:dyDescent="0.25">
      <c r="C30" t="s">
        <v>92</v>
      </c>
    </row>
    <row r="31" spans="2:3" x14ac:dyDescent="0.25">
      <c r="C31" t="s">
        <v>93</v>
      </c>
    </row>
    <row r="32" spans="2:3" x14ac:dyDescent="0.25">
      <c r="C32" t="s">
        <v>94</v>
      </c>
    </row>
    <row r="33" spans="2:3" x14ac:dyDescent="0.25">
      <c r="C33" t="s">
        <v>96</v>
      </c>
    </row>
    <row r="34" spans="2:3" x14ac:dyDescent="0.25">
      <c r="C34" t="s">
        <v>97</v>
      </c>
    </row>
    <row r="35" spans="2:3" x14ac:dyDescent="0.25">
      <c r="C35" t="s">
        <v>98</v>
      </c>
    </row>
    <row r="37" spans="2:3" x14ac:dyDescent="0.25">
      <c r="B37" t="s">
        <v>25</v>
      </c>
    </row>
    <row r="38" spans="2:3" x14ac:dyDescent="0.25">
      <c r="C38" t="s">
        <v>99</v>
      </c>
    </row>
    <row r="39" spans="2:3" x14ac:dyDescent="0.25">
      <c r="C39" t="s">
        <v>100</v>
      </c>
    </row>
    <row r="42" spans="2:3" x14ac:dyDescent="0.25">
      <c r="B42" t="s">
        <v>101</v>
      </c>
    </row>
    <row r="43" spans="2:3" x14ac:dyDescent="0.25">
      <c r="C43" t="s">
        <v>102</v>
      </c>
    </row>
    <row r="44" spans="2:3" x14ac:dyDescent="0.25">
      <c r="C44" t="s">
        <v>103</v>
      </c>
    </row>
    <row r="45" spans="2:3" x14ac:dyDescent="0.25">
      <c r="C45" t="s">
        <v>104</v>
      </c>
    </row>
    <row r="46" spans="2:3" x14ac:dyDescent="0.25">
      <c r="C46" t="s">
        <v>105</v>
      </c>
    </row>
    <row r="48" spans="2:3" x14ac:dyDescent="0.25">
      <c r="B48" t="s">
        <v>106</v>
      </c>
    </row>
    <row r="49" spans="2:4" x14ac:dyDescent="0.25">
      <c r="C49" t="s">
        <v>107</v>
      </c>
      <c r="D49" t="s">
        <v>108</v>
      </c>
    </row>
    <row r="50" spans="2:4" x14ac:dyDescent="0.25">
      <c r="C50" t="s">
        <v>109</v>
      </c>
      <c r="D50" t="s">
        <v>110</v>
      </c>
    </row>
    <row r="51" spans="2:4" x14ac:dyDescent="0.25">
      <c r="C51" t="s">
        <v>111</v>
      </c>
      <c r="D51" t="s">
        <v>112</v>
      </c>
    </row>
    <row r="52" spans="2:4" x14ac:dyDescent="0.25">
      <c r="C52" t="s">
        <v>113</v>
      </c>
      <c r="D52" t="s">
        <v>114</v>
      </c>
    </row>
    <row r="54" spans="2:4" x14ac:dyDescent="0.25">
      <c r="B54" t="s">
        <v>115</v>
      </c>
    </row>
    <row r="55" spans="2:4" x14ac:dyDescent="0.25">
      <c r="C55" t="s">
        <v>116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BD345-0DC4-47FD-B223-F1519D82AF4D}">
  <dimension ref="A1:DY81"/>
  <sheetViews>
    <sheetView zoomScale="130" zoomScaleNormal="130" workbookViewId="0">
      <pane xSplit="2" ySplit="2" topLeftCell="T16" activePane="bottomRight" state="frozen"/>
      <selection pane="topRight" activeCell="C1" sqref="C1"/>
      <selection pane="bottomLeft" activeCell="A4" sqref="A4"/>
      <selection pane="bottomRight" activeCell="Z29" sqref="W29:Z29"/>
    </sheetView>
  </sheetViews>
  <sheetFormatPr defaultRowHeight="12.5" x14ac:dyDescent="0.25"/>
  <cols>
    <col min="1" max="1" width="5" bestFit="1" customWidth="1"/>
    <col min="2" max="2" width="17.81640625" customWidth="1"/>
    <col min="3" max="14" width="9.1796875" style="3"/>
    <col min="58" max="62" width="8.81640625" customWidth="1"/>
    <col min="65" max="65" width="9" customWidth="1"/>
  </cols>
  <sheetData>
    <row r="1" spans="1:62" x14ac:dyDescent="0.25">
      <c r="A1" s="11" t="s">
        <v>7</v>
      </c>
    </row>
    <row r="2" spans="1:62" x14ac:dyDescent="0.25"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6</v>
      </c>
      <c r="L2" s="3" t="s">
        <v>17</v>
      </c>
      <c r="M2" s="3" t="s">
        <v>18</v>
      </c>
      <c r="N2" s="3" t="s">
        <v>19</v>
      </c>
      <c r="O2" s="3" t="s">
        <v>47</v>
      </c>
      <c r="P2" s="3" t="s">
        <v>48</v>
      </c>
      <c r="Q2" s="3" t="s">
        <v>49</v>
      </c>
      <c r="R2" s="3" t="s">
        <v>50</v>
      </c>
      <c r="S2" s="3" t="s">
        <v>67</v>
      </c>
      <c r="T2" s="3" t="s">
        <v>68</v>
      </c>
      <c r="U2" s="3" t="s">
        <v>69</v>
      </c>
      <c r="V2" s="3" t="s">
        <v>70</v>
      </c>
      <c r="W2" s="3" t="s">
        <v>117</v>
      </c>
      <c r="X2" s="3" t="s">
        <v>118</v>
      </c>
      <c r="Y2" s="3" t="s">
        <v>119</v>
      </c>
      <c r="Z2" s="3" t="s">
        <v>120</v>
      </c>
      <c r="AA2" s="3" t="s">
        <v>144</v>
      </c>
      <c r="AB2" s="3" t="s">
        <v>145</v>
      </c>
      <c r="AC2" s="3" t="s">
        <v>146</v>
      </c>
      <c r="AD2" s="3" t="s">
        <v>147</v>
      </c>
      <c r="AE2" s="3"/>
      <c r="AF2">
        <v>2005</v>
      </c>
      <c r="AG2">
        <f>+AF2+1</f>
        <v>2006</v>
      </c>
      <c r="AH2">
        <f t="shared" ref="AH2:AX2" si="0">+AG2+1</f>
        <v>2007</v>
      </c>
      <c r="AI2">
        <f t="shared" si="0"/>
        <v>2008</v>
      </c>
      <c r="AJ2">
        <f t="shared" si="0"/>
        <v>2009</v>
      </c>
      <c r="AK2">
        <f t="shared" si="0"/>
        <v>2010</v>
      </c>
      <c r="AL2">
        <f t="shared" si="0"/>
        <v>2011</v>
      </c>
      <c r="AM2">
        <f t="shared" si="0"/>
        <v>2012</v>
      </c>
      <c r="AN2">
        <f t="shared" si="0"/>
        <v>2013</v>
      </c>
      <c r="AO2">
        <f t="shared" si="0"/>
        <v>2014</v>
      </c>
      <c r="AP2">
        <f t="shared" si="0"/>
        <v>2015</v>
      </c>
      <c r="AQ2">
        <f t="shared" si="0"/>
        <v>2016</v>
      </c>
      <c r="AR2">
        <f t="shared" si="0"/>
        <v>2017</v>
      </c>
      <c r="AS2">
        <f t="shared" si="0"/>
        <v>2018</v>
      </c>
      <c r="AT2">
        <f t="shared" si="0"/>
        <v>2019</v>
      </c>
      <c r="AU2">
        <f t="shared" si="0"/>
        <v>2020</v>
      </c>
      <c r="AV2">
        <f t="shared" si="0"/>
        <v>2021</v>
      </c>
      <c r="AW2">
        <f t="shared" si="0"/>
        <v>2022</v>
      </c>
      <c r="AX2">
        <f t="shared" si="0"/>
        <v>2023</v>
      </c>
      <c r="AY2">
        <f t="shared" ref="AY2:BE2" si="1">+AX2+1</f>
        <v>2024</v>
      </c>
      <c r="AZ2">
        <f t="shared" si="1"/>
        <v>2025</v>
      </c>
      <c r="BA2">
        <f t="shared" si="1"/>
        <v>2026</v>
      </c>
      <c r="BB2">
        <f t="shared" si="1"/>
        <v>2027</v>
      </c>
      <c r="BC2">
        <f t="shared" si="1"/>
        <v>2028</v>
      </c>
      <c r="BD2">
        <f t="shared" si="1"/>
        <v>2029</v>
      </c>
      <c r="BE2">
        <f t="shared" si="1"/>
        <v>2030</v>
      </c>
      <c r="BF2">
        <f t="shared" ref="BF2:BJ2" si="2">+BE2+1</f>
        <v>2031</v>
      </c>
      <c r="BG2">
        <f t="shared" si="2"/>
        <v>2032</v>
      </c>
      <c r="BH2">
        <f t="shared" si="2"/>
        <v>2033</v>
      </c>
      <c r="BI2">
        <f t="shared" si="2"/>
        <v>2034</v>
      </c>
      <c r="BJ2">
        <f t="shared" si="2"/>
        <v>2035</v>
      </c>
    </row>
    <row r="3" spans="1:62" s="2" customFormat="1" x14ac:dyDescent="0.25">
      <c r="B3" s="2" t="s">
        <v>34</v>
      </c>
      <c r="C3" s="4"/>
      <c r="D3" s="4"/>
      <c r="E3" s="4"/>
      <c r="F3" s="4"/>
      <c r="G3" s="4">
        <v>16</v>
      </c>
      <c r="H3" s="4">
        <v>22</v>
      </c>
      <c r="I3" s="4">
        <v>11</v>
      </c>
      <c r="J3" s="4">
        <v>3</v>
      </c>
      <c r="K3" s="4">
        <v>3</v>
      </c>
      <c r="L3" s="4">
        <v>2</v>
      </c>
      <c r="M3" s="4">
        <v>3</v>
      </c>
      <c r="N3" s="4"/>
      <c r="V3" s="2">
        <v>5</v>
      </c>
      <c r="W3" s="2">
        <v>3</v>
      </c>
      <c r="X3" s="2">
        <v>5</v>
      </c>
      <c r="Y3" s="2">
        <v>4</v>
      </c>
      <c r="Z3" s="2">
        <f t="shared" ref="Z3:Z6" si="3">+V3</f>
        <v>5</v>
      </c>
      <c r="AA3" s="2">
        <v>2</v>
      </c>
      <c r="AB3" s="2">
        <f t="shared" ref="AB3" si="4">+X3</f>
        <v>5</v>
      </c>
      <c r="AC3" s="2">
        <f t="shared" ref="AC3" si="5">+Y3</f>
        <v>4</v>
      </c>
      <c r="AD3" s="2">
        <f t="shared" ref="AD3" si="6">+Z3</f>
        <v>5</v>
      </c>
      <c r="AT3" s="2">
        <f>31904-31847</f>
        <v>57</v>
      </c>
      <c r="AU3" s="2">
        <f>34608-34542</f>
        <v>66</v>
      </c>
      <c r="AV3" s="2">
        <f>SUM(G3:J3)</f>
        <v>52</v>
      </c>
      <c r="AW3" s="2">
        <f>SUM(K3:N3)</f>
        <v>8</v>
      </c>
      <c r="AX3" s="2">
        <f t="shared" ref="AX3:AX18" si="7">SUM(O3:R3)</f>
        <v>0</v>
      </c>
      <c r="AY3" s="2">
        <f>SUM(S3:V3)</f>
        <v>5</v>
      </c>
      <c r="AZ3" s="2">
        <f>SUM(W3:Z3)</f>
        <v>17</v>
      </c>
      <c r="BA3" s="2">
        <f t="shared" ref="BA3:BE3" si="8">+AZ3*1.03</f>
        <v>17.510000000000002</v>
      </c>
      <c r="BB3" s="2">
        <f t="shared" si="8"/>
        <v>18.035300000000003</v>
      </c>
      <c r="BC3" s="2">
        <f t="shared" si="8"/>
        <v>18.576359000000004</v>
      </c>
      <c r="BD3" s="2">
        <f t="shared" si="8"/>
        <v>19.133649770000005</v>
      </c>
      <c r="BE3" s="2">
        <f t="shared" si="8"/>
        <v>19.707659263100005</v>
      </c>
      <c r="BF3" s="2">
        <f t="shared" ref="BF3:BJ3" si="9">+BE3*1.03</f>
        <v>20.298889040993007</v>
      </c>
      <c r="BG3" s="2">
        <f t="shared" si="9"/>
        <v>20.907855712222798</v>
      </c>
      <c r="BH3" s="2">
        <f t="shared" si="9"/>
        <v>21.535091383589481</v>
      </c>
      <c r="BI3" s="2">
        <f t="shared" si="9"/>
        <v>22.181144125097166</v>
      </c>
      <c r="BJ3" s="2">
        <f t="shared" si="9"/>
        <v>22.846578448850082</v>
      </c>
    </row>
    <row r="4" spans="1:62" s="2" customFormat="1" x14ac:dyDescent="0.25">
      <c r="B4" s="2" t="s">
        <v>33</v>
      </c>
      <c r="C4" s="4"/>
      <c r="D4" s="4"/>
      <c r="E4" s="4"/>
      <c r="F4" s="4"/>
      <c r="G4" s="4">
        <v>1070</v>
      </c>
      <c r="H4" s="4">
        <v>1180</v>
      </c>
      <c r="I4" s="4">
        <v>1265</v>
      </c>
      <c r="J4" s="4">
        <v>1203</v>
      </c>
      <c r="K4" s="4">
        <v>1147</v>
      </c>
      <c r="L4" s="4">
        <v>1223</v>
      </c>
      <c r="M4" s="4">
        <v>1326</v>
      </c>
      <c r="N4" s="4">
        <v>1216</v>
      </c>
      <c r="O4" s="2">
        <v>1189</v>
      </c>
      <c r="P4" s="2">
        <v>1287</v>
      </c>
      <c r="Q4" s="2">
        <v>1368</v>
      </c>
      <c r="R4" s="2">
        <v>1222</v>
      </c>
      <c r="S4" s="2">
        <v>1226.4000000000001</v>
      </c>
      <c r="T4" s="2">
        <v>1294</v>
      </c>
      <c r="U4" s="4">
        <v>1406</v>
      </c>
      <c r="V4" s="4">
        <v>1268</v>
      </c>
      <c r="W4" s="2">
        <v>1260</v>
      </c>
      <c r="X4" s="2">
        <v>1383</v>
      </c>
      <c r="Y4" s="2">
        <v>1511</v>
      </c>
      <c r="Z4" s="2">
        <f>4167+1369-Y4-X4-W4</f>
        <v>1382</v>
      </c>
      <c r="AA4" s="2">
        <v>1426</v>
      </c>
      <c r="AB4" s="2">
        <f t="shared" ref="AB4" si="10">+X4</f>
        <v>1383</v>
      </c>
      <c r="AC4" s="2">
        <f t="shared" ref="AC4" si="11">+Y4</f>
        <v>1511</v>
      </c>
      <c r="AD4" s="2">
        <f t="shared" ref="AD4" si="12">+Z4</f>
        <v>1382</v>
      </c>
      <c r="AR4" s="2">
        <f>3307+980</f>
        <v>4287</v>
      </c>
      <c r="AS4" s="2">
        <f>3363+1059</f>
        <v>4422</v>
      </c>
      <c r="AT4" s="2">
        <f>3392+1094</f>
        <v>4486</v>
      </c>
      <c r="AU4" s="2">
        <f>3209+1094</f>
        <v>4303</v>
      </c>
      <c r="AV4" s="2">
        <f t="shared" ref="AV4:AV20" si="13">SUM(G4:J4)</f>
        <v>4718</v>
      </c>
      <c r="AW4" s="2">
        <f t="shared" ref="AW4:AW20" si="14">SUM(K4:N4)</f>
        <v>4912</v>
      </c>
      <c r="AX4" s="2">
        <f t="shared" si="7"/>
        <v>5066</v>
      </c>
      <c r="AY4" s="2">
        <f>SUM(S4:V4)</f>
        <v>5194.3999999999996</v>
      </c>
      <c r="AZ4" s="2">
        <f t="shared" ref="AZ4:AZ23" si="15">SUM(W4:Z4)</f>
        <v>5536</v>
      </c>
      <c r="BA4" s="2">
        <f t="shared" ref="BA4:BE4" si="16">+AZ4*1.03</f>
        <v>5702.08</v>
      </c>
      <c r="BB4" s="2">
        <f t="shared" si="16"/>
        <v>5873.1423999999997</v>
      </c>
      <c r="BC4" s="2">
        <f t="shared" si="16"/>
        <v>6049.3366719999995</v>
      </c>
      <c r="BD4" s="2">
        <f t="shared" si="16"/>
        <v>6230.8167721599993</v>
      </c>
      <c r="BE4" s="2">
        <f t="shared" si="16"/>
        <v>6417.7412753247991</v>
      </c>
      <c r="BF4" s="2">
        <f t="shared" ref="BF4:BJ4" si="17">+BE4*1.03</f>
        <v>6610.2735135845433</v>
      </c>
      <c r="BG4" s="2">
        <f t="shared" si="17"/>
        <v>6808.5817189920799</v>
      </c>
      <c r="BH4" s="2">
        <f t="shared" si="17"/>
        <v>7012.8391705618424</v>
      </c>
      <c r="BI4" s="2">
        <f t="shared" si="17"/>
        <v>7223.2243456786982</v>
      </c>
      <c r="BJ4" s="2">
        <f t="shared" si="17"/>
        <v>7439.9210760490596</v>
      </c>
    </row>
    <row r="5" spans="1:62" s="2" customFormat="1" x14ac:dyDescent="0.25">
      <c r="B5" s="2" t="s">
        <v>24</v>
      </c>
      <c r="C5" s="4"/>
      <c r="D5" s="4"/>
      <c r="E5" s="4"/>
      <c r="F5" s="4"/>
      <c r="G5" s="4">
        <v>129</v>
      </c>
      <c r="H5" s="4">
        <v>137</v>
      </c>
      <c r="I5" s="4">
        <v>135</v>
      </c>
      <c r="J5" s="4">
        <v>135</v>
      </c>
      <c r="K5" s="4">
        <v>128</v>
      </c>
      <c r="L5" s="4">
        <v>139</v>
      </c>
      <c r="M5" s="4">
        <v>127</v>
      </c>
      <c r="N5" s="4">
        <v>131</v>
      </c>
      <c r="O5" s="2">
        <v>134</v>
      </c>
      <c r="P5" s="2">
        <v>142</v>
      </c>
      <c r="Q5" s="2">
        <v>140</v>
      </c>
      <c r="R5" s="2">
        <v>149</v>
      </c>
      <c r="S5" s="2">
        <v>139.4</v>
      </c>
      <c r="T5" s="2">
        <v>156</v>
      </c>
      <c r="U5" s="4">
        <v>146</v>
      </c>
      <c r="V5" s="4">
        <v>147</v>
      </c>
      <c r="W5" s="2">
        <v>142</v>
      </c>
      <c r="X5" s="2">
        <v>148</v>
      </c>
      <c r="Y5" s="2">
        <v>158</v>
      </c>
      <c r="Z5" s="2">
        <f>606-Y5-X5-W5</f>
        <v>158</v>
      </c>
      <c r="AR5" s="2">
        <v>550</v>
      </c>
      <c r="AS5" s="2">
        <v>553</v>
      </c>
      <c r="AT5" s="2">
        <v>561</v>
      </c>
      <c r="AU5" s="2">
        <v>516</v>
      </c>
      <c r="AV5" s="2">
        <f t="shared" si="13"/>
        <v>536</v>
      </c>
      <c r="AW5" s="2">
        <f t="shared" si="14"/>
        <v>525</v>
      </c>
      <c r="AX5" s="2">
        <f t="shared" si="7"/>
        <v>565</v>
      </c>
      <c r="AY5" s="2">
        <f t="shared" ref="AY5:AY20" si="18">SUM(S5:V5)</f>
        <v>588.4</v>
      </c>
      <c r="AZ5" s="2">
        <f t="shared" si="15"/>
        <v>606</v>
      </c>
      <c r="BA5" s="2">
        <f t="shared" ref="BA5:BE5" si="19">+AZ5*1.03</f>
        <v>624.18000000000006</v>
      </c>
      <c r="BB5" s="2">
        <f t="shared" si="19"/>
        <v>642.9054000000001</v>
      </c>
      <c r="BC5" s="2">
        <f t="shared" si="19"/>
        <v>662.19256200000007</v>
      </c>
      <c r="BD5" s="2">
        <f t="shared" si="19"/>
        <v>682.05833886000005</v>
      </c>
      <c r="BE5" s="2">
        <f t="shared" si="19"/>
        <v>702.52008902580008</v>
      </c>
      <c r="BF5" s="2">
        <f t="shared" ref="BF5:BJ5" si="20">+BE5*1.03</f>
        <v>723.59569169657414</v>
      </c>
      <c r="BG5" s="2">
        <f t="shared" si="20"/>
        <v>745.30356244747134</v>
      </c>
      <c r="BH5" s="2">
        <f t="shared" si="20"/>
        <v>767.66266932089547</v>
      </c>
      <c r="BI5" s="2">
        <f t="shared" si="20"/>
        <v>790.69254940052235</v>
      </c>
      <c r="BJ5" s="2">
        <f t="shared" si="20"/>
        <v>814.41332588253806</v>
      </c>
    </row>
    <row r="6" spans="1:62" s="2" customFormat="1" x14ac:dyDescent="0.25">
      <c r="B6" s="2" t="s">
        <v>23</v>
      </c>
      <c r="C6" s="4"/>
      <c r="D6" s="4"/>
      <c r="E6" s="4"/>
      <c r="F6" s="4"/>
      <c r="G6" s="4">
        <v>447</v>
      </c>
      <c r="H6" s="4">
        <v>290</v>
      </c>
      <c r="I6" s="4">
        <v>345</v>
      </c>
      <c r="J6" s="4">
        <v>345</v>
      </c>
      <c r="K6" s="4">
        <v>420</v>
      </c>
      <c r="L6" s="4">
        <v>212</v>
      </c>
      <c r="M6" s="4">
        <v>183</v>
      </c>
      <c r="N6" s="4">
        <v>180</v>
      </c>
      <c r="O6" s="2">
        <v>147</v>
      </c>
      <c r="P6" s="2">
        <v>141</v>
      </c>
      <c r="Q6" s="2">
        <v>133</v>
      </c>
      <c r="R6" s="2">
        <v>153</v>
      </c>
      <c r="S6" s="2">
        <v>129.4</v>
      </c>
      <c r="T6" s="2">
        <v>127</v>
      </c>
      <c r="U6" s="4">
        <v>128</v>
      </c>
      <c r="V6" s="4">
        <v>137</v>
      </c>
      <c r="W6" s="2">
        <v>122</v>
      </c>
      <c r="X6" s="2">
        <v>123</v>
      </c>
      <c r="Y6" s="2">
        <v>131</v>
      </c>
      <c r="Z6" s="2">
        <f>517-Y6-X6-W6</f>
        <v>141</v>
      </c>
      <c r="AR6" s="2">
        <v>463</v>
      </c>
      <c r="AS6" s="2">
        <v>484</v>
      </c>
      <c r="AT6" s="2">
        <v>442</v>
      </c>
      <c r="AU6" s="2">
        <v>1438</v>
      </c>
      <c r="AV6" s="2">
        <f t="shared" si="13"/>
        <v>1427</v>
      </c>
      <c r="AW6" s="2">
        <f t="shared" si="14"/>
        <v>995</v>
      </c>
      <c r="AX6" s="2">
        <f t="shared" si="7"/>
        <v>574</v>
      </c>
      <c r="AY6" s="2">
        <f t="shared" si="18"/>
        <v>521.4</v>
      </c>
      <c r="AZ6" s="2">
        <f t="shared" si="15"/>
        <v>517</v>
      </c>
      <c r="BA6" s="2">
        <f t="shared" ref="BA6:BE6" si="21">+AZ6*1.03</f>
        <v>532.51</v>
      </c>
      <c r="BB6" s="2">
        <f t="shared" si="21"/>
        <v>548.48530000000005</v>
      </c>
      <c r="BC6" s="2">
        <f t="shared" si="21"/>
        <v>564.93985900000007</v>
      </c>
      <c r="BD6" s="2">
        <f t="shared" si="21"/>
        <v>581.88805477000005</v>
      </c>
      <c r="BE6" s="2">
        <f t="shared" si="21"/>
        <v>599.34469641310011</v>
      </c>
      <c r="BF6" s="2">
        <f t="shared" ref="BF6:BJ6" si="22">+BE6*1.03</f>
        <v>617.32503730549308</v>
      </c>
      <c r="BG6" s="2">
        <f t="shared" si="22"/>
        <v>635.84478842465785</v>
      </c>
      <c r="BH6" s="2">
        <f t="shared" si="22"/>
        <v>654.92013207739762</v>
      </c>
      <c r="BI6" s="2">
        <f t="shared" si="22"/>
        <v>674.56773603971953</v>
      </c>
      <c r="BJ6" s="2">
        <f t="shared" si="22"/>
        <v>694.80476812091115</v>
      </c>
    </row>
    <row r="7" spans="1:62" s="2" customFormat="1" x14ac:dyDescent="0.25">
      <c r="B7" s="2" t="s">
        <v>22</v>
      </c>
      <c r="C7" s="4"/>
      <c r="D7" s="4"/>
      <c r="E7" s="4"/>
      <c r="F7" s="4"/>
      <c r="G7" s="4">
        <v>1182</v>
      </c>
      <c r="H7" s="4">
        <v>1306</v>
      </c>
      <c r="I7" s="4">
        <v>1292</v>
      </c>
      <c r="J7" s="4">
        <v>1348</v>
      </c>
      <c r="K7" s="4">
        <v>1184</v>
      </c>
      <c r="L7" s="4">
        <v>1221</v>
      </c>
      <c r="M7" s="4">
        <v>1219</v>
      </c>
      <c r="N7" s="4">
        <v>1264</v>
      </c>
      <c r="O7" s="2">
        <v>1182</v>
      </c>
      <c r="P7" s="2">
        <v>1293</v>
      </c>
      <c r="Q7" s="2">
        <v>1314</v>
      </c>
      <c r="R7" s="2">
        <v>1370</v>
      </c>
      <c r="S7" s="2">
        <v>1205.4000000000001</v>
      </c>
      <c r="T7" s="2">
        <v>1329</v>
      </c>
      <c r="U7" s="4">
        <v>1314</v>
      </c>
      <c r="V7" s="4">
        <v>1387</v>
      </c>
      <c r="W7" s="2">
        <v>1177</v>
      </c>
      <c r="X7" s="2">
        <v>1358</v>
      </c>
      <c r="Y7" s="2">
        <v>1364</v>
      </c>
      <c r="Z7" s="2">
        <f>5360-Y7-X7-W7</f>
        <v>1461</v>
      </c>
      <c r="AA7" s="2">
        <v>1272</v>
      </c>
      <c r="AB7" s="2">
        <f t="shared" ref="AB7" si="23">+X7</f>
        <v>1358</v>
      </c>
      <c r="AC7" s="2">
        <f t="shared" ref="AC7" si="24">+Y7</f>
        <v>1364</v>
      </c>
      <c r="AD7" s="2">
        <f t="shared" ref="AD7" si="25">+Z7</f>
        <v>1461</v>
      </c>
      <c r="AR7" s="2">
        <v>4063</v>
      </c>
      <c r="AS7" s="2">
        <v>4386</v>
      </c>
      <c r="AT7" s="2">
        <v>4656</v>
      </c>
      <c r="AU7" s="2">
        <v>4475</v>
      </c>
      <c r="AV7" s="2">
        <f t="shared" si="13"/>
        <v>5128</v>
      </c>
      <c r="AW7" s="2">
        <f t="shared" si="14"/>
        <v>4888</v>
      </c>
      <c r="AX7" s="2">
        <f t="shared" si="7"/>
        <v>5159</v>
      </c>
      <c r="AY7" s="2">
        <f t="shared" si="18"/>
        <v>5235.3999999999996</v>
      </c>
      <c r="AZ7" s="2">
        <f t="shared" si="15"/>
        <v>5360</v>
      </c>
      <c r="BA7" s="2">
        <f t="shared" ref="BA7:BE7" si="26">+AZ7*1.03</f>
        <v>5520.8</v>
      </c>
      <c r="BB7" s="2">
        <f t="shared" si="26"/>
        <v>5686.424</v>
      </c>
      <c r="BC7" s="2">
        <f t="shared" si="26"/>
        <v>5857.0167200000005</v>
      </c>
      <c r="BD7" s="2">
        <f t="shared" si="26"/>
        <v>6032.727221600001</v>
      </c>
      <c r="BE7" s="2">
        <f t="shared" si="26"/>
        <v>6213.709038248001</v>
      </c>
      <c r="BF7" s="2">
        <f t="shared" ref="BF7:BJ7" si="27">+BE7*1.03</f>
        <v>6400.1203093954409</v>
      </c>
      <c r="BG7" s="2">
        <f t="shared" si="27"/>
        <v>6592.1239186773046</v>
      </c>
      <c r="BH7" s="2">
        <f t="shared" si="27"/>
        <v>6789.8876362376241</v>
      </c>
      <c r="BI7" s="2">
        <f t="shared" si="27"/>
        <v>6993.5842653247528</v>
      </c>
      <c r="BJ7" s="2">
        <f t="shared" si="27"/>
        <v>7203.3917932844952</v>
      </c>
    </row>
    <row r="8" spans="1:62" s="2" customFormat="1" x14ac:dyDescent="0.25">
      <c r="B8" s="2" t="s">
        <v>21</v>
      </c>
      <c r="C8" s="4"/>
      <c r="D8" s="4"/>
      <c r="E8" s="4"/>
      <c r="F8" s="4"/>
      <c r="G8" s="4">
        <v>2256</v>
      </c>
      <c r="H8" s="4">
        <v>1514</v>
      </c>
      <c r="I8" s="4">
        <v>2140</v>
      </c>
      <c r="J8" s="4">
        <v>2643</v>
      </c>
      <c r="K8" s="4">
        <v>3554</v>
      </c>
      <c r="L8" s="4">
        <v>2750</v>
      </c>
      <c r="M8" s="4">
        <v>2142</v>
      </c>
      <c r="N8" s="4">
        <v>1730</v>
      </c>
      <c r="O8" s="2">
        <v>1225</v>
      </c>
      <c r="P8" s="2">
        <v>741</v>
      </c>
      <c r="Q8" s="2">
        <v>862</v>
      </c>
      <c r="R8" s="2">
        <v>862</v>
      </c>
      <c r="S8" s="2">
        <v>741.4</v>
      </c>
      <c r="T8" s="2">
        <v>583</v>
      </c>
      <c r="U8" s="4">
        <v>824</v>
      </c>
      <c r="V8" s="4">
        <v>849</v>
      </c>
      <c r="W8" s="2">
        <v>613</v>
      </c>
      <c r="X8" s="2">
        <v>544</v>
      </c>
      <c r="Y8" s="2">
        <v>600</v>
      </c>
      <c r="Z8" s="2">
        <f>2454-Y8-X8-W8</f>
        <v>697</v>
      </c>
      <c r="AA8" s="2">
        <v>812</v>
      </c>
      <c r="AB8" s="2">
        <f t="shared" ref="AB8" si="28">+X8</f>
        <v>544</v>
      </c>
      <c r="AC8" s="2">
        <f t="shared" ref="AC8" si="29">+Y8</f>
        <v>600</v>
      </c>
      <c r="AD8" s="2">
        <f t="shared" ref="AD8" si="30">+Z8</f>
        <v>697</v>
      </c>
      <c r="AR8" s="2">
        <v>540</v>
      </c>
      <c r="AS8" s="2">
        <v>2072</v>
      </c>
      <c r="AT8" s="2">
        <v>2054</v>
      </c>
      <c r="AU8" s="2">
        <v>4376</v>
      </c>
      <c r="AV8" s="2">
        <f t="shared" si="13"/>
        <v>8553</v>
      </c>
      <c r="AW8" s="2">
        <f t="shared" si="14"/>
        <v>10176</v>
      </c>
      <c r="AX8" s="2">
        <f t="shared" si="7"/>
        <v>3690</v>
      </c>
      <c r="AY8" s="2">
        <f t="shared" si="18"/>
        <v>2997.4</v>
      </c>
      <c r="AZ8" s="2">
        <f t="shared" si="15"/>
        <v>2454</v>
      </c>
      <c r="BA8" s="2">
        <f t="shared" ref="BA8:BE8" si="31">+AZ8*1.03</f>
        <v>2527.62</v>
      </c>
      <c r="BB8" s="2">
        <f t="shared" si="31"/>
        <v>2603.4486000000002</v>
      </c>
      <c r="BC8" s="2">
        <f t="shared" si="31"/>
        <v>2681.5520580000002</v>
      </c>
      <c r="BD8" s="2">
        <f t="shared" si="31"/>
        <v>2761.9986197400003</v>
      </c>
      <c r="BE8" s="2">
        <f t="shared" si="31"/>
        <v>2844.8585783322005</v>
      </c>
      <c r="BF8" s="2">
        <f t="shared" ref="BF8:BJ8" si="32">+BE8*1.03</f>
        <v>2930.2043356821664</v>
      </c>
      <c r="BG8" s="2">
        <f t="shared" si="32"/>
        <v>3018.1104657526316</v>
      </c>
      <c r="BH8" s="2">
        <f t="shared" si="32"/>
        <v>3108.6537797252108</v>
      </c>
      <c r="BI8" s="2">
        <f t="shared" si="32"/>
        <v>3201.9133931169672</v>
      </c>
      <c r="BJ8" s="2">
        <f t="shared" si="32"/>
        <v>3297.9707949104763</v>
      </c>
    </row>
    <row r="9" spans="1:62" s="2" customFormat="1" x14ac:dyDescent="0.25">
      <c r="B9" s="2" t="s">
        <v>148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U9" s="4"/>
      <c r="V9" s="4"/>
      <c r="W9" s="2">
        <v>0</v>
      </c>
      <c r="X9" s="2">
        <v>0</v>
      </c>
      <c r="Y9" s="2">
        <v>0</v>
      </c>
      <c r="Z9" s="2">
        <v>0</v>
      </c>
      <c r="AA9" s="2">
        <v>96</v>
      </c>
      <c r="AB9" s="2">
        <f>+AA9</f>
        <v>96</v>
      </c>
      <c r="AC9" s="2">
        <f>+AB9</f>
        <v>96</v>
      </c>
      <c r="AD9" s="2">
        <f>+AC9</f>
        <v>96</v>
      </c>
    </row>
    <row r="10" spans="1:62" s="2" customFormat="1" x14ac:dyDescent="0.25">
      <c r="B10" s="2" t="s">
        <v>32</v>
      </c>
      <c r="C10" s="4"/>
      <c r="D10" s="4"/>
      <c r="E10" s="4"/>
      <c r="F10" s="4"/>
      <c r="G10" s="4">
        <v>1066</v>
      </c>
      <c r="H10" s="4">
        <v>1093</v>
      </c>
      <c r="I10" s="4">
        <v>1100</v>
      </c>
      <c r="J10" s="4">
        <v>1039</v>
      </c>
      <c r="K10" s="4">
        <v>847</v>
      </c>
      <c r="L10" s="4">
        <v>925</v>
      </c>
      <c r="M10" s="4">
        <v>827</v>
      </c>
      <c r="N10" s="4">
        <v>882</v>
      </c>
      <c r="O10" s="2">
        <v>924</v>
      </c>
      <c r="P10" s="2">
        <v>1024</v>
      </c>
      <c r="Q10" s="2">
        <v>1001</v>
      </c>
      <c r="R10" s="2">
        <v>985</v>
      </c>
      <c r="S10" s="2">
        <v>1009.4</v>
      </c>
      <c r="T10" s="2">
        <v>1059</v>
      </c>
      <c r="U10" s="4">
        <v>955</v>
      </c>
      <c r="V10" s="4">
        <v>1000</v>
      </c>
      <c r="W10" s="2">
        <v>1041</v>
      </c>
      <c r="X10" s="2">
        <v>1054</v>
      </c>
      <c r="Y10" s="2">
        <v>977</v>
      </c>
      <c r="Z10" s="2">
        <f>2158+1816-Y10-X10-W10</f>
        <v>902</v>
      </c>
      <c r="AA10" s="2">
        <v>953</v>
      </c>
      <c r="AB10" s="2">
        <f t="shared" ref="AB10:AB11" si="33">+X10</f>
        <v>1054</v>
      </c>
      <c r="AC10" s="2">
        <f t="shared" ref="AC10:AC11" si="34">+Y10</f>
        <v>977</v>
      </c>
      <c r="AD10" s="2">
        <f t="shared" ref="AD10:AD11" si="35">+Z10</f>
        <v>902</v>
      </c>
      <c r="AR10" s="2">
        <f>2112+1777</f>
        <v>3889</v>
      </c>
      <c r="AS10" s="2">
        <f>1843+2254</f>
        <v>4097</v>
      </c>
      <c r="AT10" s="2">
        <f>1879+2282</f>
        <v>4161</v>
      </c>
      <c r="AU10" s="2">
        <f>2140+1987</f>
        <v>4127</v>
      </c>
      <c r="AV10" s="2">
        <f>SUM(G10:J10)</f>
        <v>4298</v>
      </c>
      <c r="AW10" s="2">
        <f>SUM(K10:N10)</f>
        <v>3481</v>
      </c>
      <c r="AX10" s="2">
        <f t="shared" si="7"/>
        <v>3934</v>
      </c>
      <c r="AY10" s="2">
        <f t="shared" si="18"/>
        <v>4023.4</v>
      </c>
      <c r="AZ10" s="2">
        <f t="shared" si="15"/>
        <v>3974</v>
      </c>
      <c r="BA10" s="2">
        <f t="shared" ref="BA10:BE10" si="36">+AZ10*1.03</f>
        <v>4093.2200000000003</v>
      </c>
      <c r="BB10" s="2">
        <f t="shared" si="36"/>
        <v>4216.0165999999999</v>
      </c>
      <c r="BC10" s="2">
        <f t="shared" si="36"/>
        <v>4342.4970979999998</v>
      </c>
      <c r="BD10" s="2">
        <f t="shared" si="36"/>
        <v>4472.7720109399997</v>
      </c>
      <c r="BE10" s="2">
        <f t="shared" si="36"/>
        <v>4606.9551712681996</v>
      </c>
      <c r="BF10" s="2">
        <f t="shared" ref="BF10:BJ10" si="37">+BE10*1.03</f>
        <v>4745.1638264062458</v>
      </c>
      <c r="BG10" s="2">
        <f t="shared" si="37"/>
        <v>4887.5187411984334</v>
      </c>
      <c r="BH10" s="2">
        <f t="shared" si="37"/>
        <v>5034.1443034343865</v>
      </c>
      <c r="BI10" s="2">
        <f t="shared" si="37"/>
        <v>5185.1686325374185</v>
      </c>
      <c r="BJ10" s="2">
        <f t="shared" si="37"/>
        <v>5340.7236915135409</v>
      </c>
    </row>
    <row r="11" spans="1:62" s="2" customFormat="1" x14ac:dyDescent="0.25">
      <c r="B11" s="2" t="s">
        <v>31</v>
      </c>
      <c r="C11" s="4"/>
      <c r="D11" s="4"/>
      <c r="E11" s="4"/>
      <c r="F11" s="4"/>
      <c r="G11" s="4">
        <v>970</v>
      </c>
      <c r="H11" s="4">
        <v>1015</v>
      </c>
      <c r="I11" s="4">
        <v>1008</v>
      </c>
      <c r="J11" s="4">
        <v>1003</v>
      </c>
      <c r="K11" s="4">
        <v>1047</v>
      </c>
      <c r="L11" s="4">
        <v>1028</v>
      </c>
      <c r="M11" s="4">
        <v>968</v>
      </c>
      <c r="N11" s="4">
        <v>935</v>
      </c>
      <c r="O11" s="2">
        <v>1043</v>
      </c>
      <c r="P11" s="2">
        <v>1052</v>
      </c>
      <c r="Q11" s="2">
        <v>1072</v>
      </c>
      <c r="R11" s="2">
        <v>1053</v>
      </c>
      <c r="S11" s="2">
        <v>1059.4000000000001</v>
      </c>
      <c r="T11" s="2">
        <v>1091</v>
      </c>
      <c r="U11" s="4">
        <v>1111</v>
      </c>
      <c r="V11" s="4">
        <v>1129</v>
      </c>
      <c r="W11" s="2">
        <v>1105</v>
      </c>
      <c r="X11" s="2">
        <v>1158</v>
      </c>
      <c r="Y11" s="2">
        <v>1176</v>
      </c>
      <c r="Z11" s="2">
        <f>3029+1448-Y11-X11-W11</f>
        <v>1038</v>
      </c>
      <c r="AA11" s="2">
        <v>1064</v>
      </c>
      <c r="AB11" s="2">
        <f>+X11</f>
        <v>1158</v>
      </c>
      <c r="AC11" s="2">
        <f t="shared" si="34"/>
        <v>1176</v>
      </c>
      <c r="AD11" s="2">
        <f t="shared" si="35"/>
        <v>1038</v>
      </c>
      <c r="AR11" s="2">
        <f>1782+1254</f>
        <v>3036</v>
      </c>
      <c r="AS11" s="2">
        <f>1900+1232</f>
        <v>3132</v>
      </c>
      <c r="AT11" s="2">
        <f>1231+2017</f>
        <v>3248</v>
      </c>
      <c r="AU11" s="2">
        <f>1292+2228</f>
        <v>3520</v>
      </c>
      <c r="AV11" s="2">
        <f t="shared" si="13"/>
        <v>3996</v>
      </c>
      <c r="AW11" s="2">
        <f t="shared" si="14"/>
        <v>3978</v>
      </c>
      <c r="AX11" s="2">
        <f t="shared" si="7"/>
        <v>4220</v>
      </c>
      <c r="AY11" s="2">
        <f t="shared" si="18"/>
        <v>4390.3999999999996</v>
      </c>
      <c r="AZ11" s="2">
        <f t="shared" si="15"/>
        <v>4477</v>
      </c>
      <c r="BA11" s="2">
        <f t="shared" ref="BA11:BE11" si="38">+AZ11*1.03</f>
        <v>4611.3100000000004</v>
      </c>
      <c r="BB11" s="2">
        <f t="shared" si="38"/>
        <v>4749.6493000000009</v>
      </c>
      <c r="BC11" s="2">
        <f t="shared" si="38"/>
        <v>4892.1387790000008</v>
      </c>
      <c r="BD11" s="2">
        <f t="shared" si="38"/>
        <v>5038.9029423700013</v>
      </c>
      <c r="BE11" s="2">
        <f t="shared" si="38"/>
        <v>5190.0700306411018</v>
      </c>
      <c r="BF11" s="2">
        <f t="shared" ref="BF11:BJ11" si="39">+BE11*1.03</f>
        <v>5345.7721315603349</v>
      </c>
      <c r="BG11" s="2">
        <f t="shared" si="39"/>
        <v>5506.1452955071454</v>
      </c>
      <c r="BH11" s="2">
        <f t="shared" si="39"/>
        <v>5671.32965437236</v>
      </c>
      <c r="BI11" s="2">
        <f t="shared" si="39"/>
        <v>5841.4695440035312</v>
      </c>
      <c r="BJ11" s="2">
        <f t="shared" si="39"/>
        <v>6016.7136303236375</v>
      </c>
    </row>
    <row r="12" spans="1:62" s="2" customFormat="1" x14ac:dyDescent="0.25">
      <c r="B12" s="2" t="s">
        <v>25</v>
      </c>
      <c r="C12" s="4"/>
      <c r="D12" s="4"/>
      <c r="E12" s="4"/>
      <c r="F12" s="4"/>
      <c r="G12" s="4">
        <v>184</v>
      </c>
      <c r="H12" s="4">
        <v>210</v>
      </c>
      <c r="I12" s="4">
        <v>190</v>
      </c>
      <c r="J12" s="4">
        <v>197</v>
      </c>
      <c r="K12" s="4">
        <v>179</v>
      </c>
      <c r="L12" s="4">
        <v>197</v>
      </c>
      <c r="M12" s="4">
        <v>192</v>
      </c>
      <c r="N12" s="4">
        <v>202</v>
      </c>
      <c r="O12" s="2">
        <v>196</v>
      </c>
      <c r="P12" s="2">
        <v>227</v>
      </c>
      <c r="Q12" s="2">
        <v>227</v>
      </c>
      <c r="R12" s="2">
        <v>240</v>
      </c>
      <c r="S12" s="2">
        <v>226</v>
      </c>
      <c r="T12" s="2">
        <v>243</v>
      </c>
      <c r="U12" s="4">
        <v>236</v>
      </c>
      <c r="V12" s="4">
        <v>257</v>
      </c>
      <c r="W12" s="2">
        <v>228</v>
      </c>
      <c r="X12" s="2">
        <v>254</v>
      </c>
      <c r="Y12" s="2">
        <v>254</v>
      </c>
      <c r="Z12" s="2">
        <f>1010-Y12-X12-W12</f>
        <v>274</v>
      </c>
      <c r="AA12" s="2">
        <v>243</v>
      </c>
      <c r="AB12" s="2">
        <f t="shared" ref="AB12:AB18" si="40">+X12*1.05</f>
        <v>266.7</v>
      </c>
      <c r="AC12" s="2">
        <f t="shared" ref="AC12:AC18" si="41">+Y12*1.05</f>
        <v>266.7</v>
      </c>
      <c r="AD12" s="2">
        <f t="shared" ref="AD12:AD18" si="42">+Z12*1.05</f>
        <v>287.7</v>
      </c>
      <c r="AR12" s="2">
        <v>808</v>
      </c>
      <c r="AS12" s="2">
        <v>864</v>
      </c>
      <c r="AT12" s="2">
        <v>831</v>
      </c>
      <c r="AU12" s="2">
        <v>702</v>
      </c>
      <c r="AV12" s="2">
        <f t="shared" si="13"/>
        <v>781</v>
      </c>
      <c r="AW12" s="2">
        <f t="shared" si="14"/>
        <v>770</v>
      </c>
      <c r="AX12" s="2">
        <f t="shared" si="7"/>
        <v>890</v>
      </c>
      <c r="AY12" s="2">
        <f t="shared" si="18"/>
        <v>962</v>
      </c>
      <c r="AZ12" s="2">
        <f t="shared" si="15"/>
        <v>1010</v>
      </c>
      <c r="BA12" s="2">
        <f t="shared" ref="BA12:BE12" si="43">+AZ12*1.03</f>
        <v>1040.3</v>
      </c>
      <c r="BB12" s="2">
        <f t="shared" si="43"/>
        <v>1071.509</v>
      </c>
      <c r="BC12" s="2">
        <f t="shared" si="43"/>
        <v>1103.65427</v>
      </c>
      <c r="BD12" s="2">
        <f t="shared" si="43"/>
        <v>1136.7638981</v>
      </c>
      <c r="BE12" s="2">
        <f t="shared" si="43"/>
        <v>1170.8668150430001</v>
      </c>
      <c r="BF12" s="2">
        <f t="shared" ref="BF12:BJ12" si="44">+BE12*1.03</f>
        <v>1205.9928194942902</v>
      </c>
      <c r="BG12" s="2">
        <f t="shared" si="44"/>
        <v>1242.1726040791189</v>
      </c>
      <c r="BH12" s="2">
        <f t="shared" si="44"/>
        <v>1279.4377822014924</v>
      </c>
      <c r="BI12" s="2">
        <f t="shared" si="44"/>
        <v>1317.8209156675373</v>
      </c>
      <c r="BJ12" s="2">
        <f t="shared" si="44"/>
        <v>1357.3555431375635</v>
      </c>
    </row>
    <row r="13" spans="1:62" s="2" customFormat="1" x14ac:dyDescent="0.25">
      <c r="B13" s="2" t="s">
        <v>28</v>
      </c>
      <c r="C13" s="4"/>
      <c r="D13" s="4"/>
      <c r="E13" s="4"/>
      <c r="F13" s="4"/>
      <c r="G13" s="4">
        <v>194</v>
      </c>
      <c r="H13" s="4">
        <v>227</v>
      </c>
      <c r="I13" s="4">
        <v>229</v>
      </c>
      <c r="J13" s="4">
        <v>239</v>
      </c>
      <c r="K13" s="4">
        <v>221</v>
      </c>
      <c r="L13" s="4">
        <v>241</v>
      </c>
      <c r="M13" s="4">
        <v>228</v>
      </c>
      <c r="N13" s="4">
        <v>230</v>
      </c>
      <c r="O13" s="2">
        <v>281</v>
      </c>
      <c r="P13" s="2">
        <v>295</v>
      </c>
      <c r="Q13" s="2">
        <v>284</v>
      </c>
      <c r="R13" s="2">
        <v>301</v>
      </c>
      <c r="S13" s="2">
        <v>305</v>
      </c>
      <c r="T13" s="2">
        <v>321</v>
      </c>
      <c r="U13" s="4">
        <v>322</v>
      </c>
      <c r="V13" s="4">
        <v>331</v>
      </c>
      <c r="W13" s="2">
        <v>339</v>
      </c>
      <c r="X13" s="2">
        <v>368</v>
      </c>
      <c r="Y13" s="2">
        <v>366</v>
      </c>
      <c r="Z13" s="2">
        <f>1448-Y13-X13-W13</f>
        <v>375</v>
      </c>
      <c r="AA13" s="2">
        <v>389</v>
      </c>
      <c r="AB13" s="2">
        <f t="shared" si="40"/>
        <v>386.40000000000003</v>
      </c>
      <c r="AC13" s="2">
        <f t="shared" si="41"/>
        <v>384.3</v>
      </c>
      <c r="AD13" s="2">
        <f t="shared" si="42"/>
        <v>393.75</v>
      </c>
      <c r="AR13" s="2">
        <v>643</v>
      </c>
      <c r="AS13" s="2">
        <v>646</v>
      </c>
      <c r="AT13" s="2">
        <v>769</v>
      </c>
      <c r="AU13" s="2">
        <v>740</v>
      </c>
      <c r="AV13" s="2">
        <f t="shared" si="13"/>
        <v>889</v>
      </c>
      <c r="AW13" s="2">
        <f t="shared" si="14"/>
        <v>920</v>
      </c>
      <c r="AX13" s="2">
        <f t="shared" si="7"/>
        <v>1161</v>
      </c>
      <c r="AY13" s="2">
        <f t="shared" si="18"/>
        <v>1279</v>
      </c>
      <c r="AZ13" s="2">
        <f t="shared" si="15"/>
        <v>1448</v>
      </c>
      <c r="BA13" s="2">
        <f t="shared" ref="BA13:BE13" si="45">+AZ13*1.03</f>
        <v>1491.44</v>
      </c>
      <c r="BB13" s="2">
        <f t="shared" si="45"/>
        <v>1536.1832000000002</v>
      </c>
      <c r="BC13" s="2">
        <f t="shared" si="45"/>
        <v>1582.2686960000003</v>
      </c>
      <c r="BD13" s="2">
        <f t="shared" si="45"/>
        <v>1629.7367568800003</v>
      </c>
      <c r="BE13" s="2">
        <f t="shared" si="45"/>
        <v>1678.6288595864003</v>
      </c>
      <c r="BF13" s="2">
        <f t="shared" ref="BF13:BJ13" si="46">+BE13*1.03</f>
        <v>1728.9877253739924</v>
      </c>
      <c r="BG13" s="2">
        <f t="shared" si="46"/>
        <v>1780.8573571352122</v>
      </c>
      <c r="BH13" s="2">
        <f t="shared" si="46"/>
        <v>1834.2830778492687</v>
      </c>
      <c r="BI13" s="2">
        <f t="shared" si="46"/>
        <v>1889.3115701847469</v>
      </c>
      <c r="BJ13" s="2">
        <f t="shared" si="46"/>
        <v>1945.9909172902894</v>
      </c>
    </row>
    <row r="14" spans="1:62" s="2" customFormat="1" x14ac:dyDescent="0.25">
      <c r="B14" s="2" t="s">
        <v>26</v>
      </c>
      <c r="C14" s="4"/>
      <c r="D14" s="4"/>
      <c r="E14" s="4"/>
      <c r="F14" s="4"/>
      <c r="G14" s="4">
        <v>377</v>
      </c>
      <c r="H14" s="4">
        <v>422</v>
      </c>
      <c r="I14" s="4">
        <v>392</v>
      </c>
      <c r="J14" s="4">
        <v>419</v>
      </c>
      <c r="K14" s="4">
        <v>411</v>
      </c>
      <c r="L14" s="4">
        <v>440</v>
      </c>
      <c r="M14" s="4">
        <v>420</v>
      </c>
      <c r="N14" s="4">
        <v>441</v>
      </c>
      <c r="O14" s="2">
        <v>461</v>
      </c>
      <c r="P14" s="2">
        <v>498</v>
      </c>
      <c r="Q14" s="2">
        <v>487</v>
      </c>
      <c r="R14" s="2">
        <v>498</v>
      </c>
      <c r="S14" s="2">
        <v>515</v>
      </c>
      <c r="T14" s="2">
        <v>564</v>
      </c>
      <c r="U14" s="4">
        <v>558</v>
      </c>
      <c r="V14" s="4">
        <v>609</v>
      </c>
      <c r="W14" s="2">
        <v>577</v>
      </c>
      <c r="X14" s="2">
        <v>636</v>
      </c>
      <c r="Y14" s="2">
        <v>635</v>
      </c>
      <c r="Z14" s="2">
        <f>2523-Y14-X14-W14</f>
        <v>675</v>
      </c>
      <c r="AA14" s="2">
        <v>578</v>
      </c>
      <c r="AB14" s="2">
        <f t="shared" si="40"/>
        <v>667.80000000000007</v>
      </c>
      <c r="AC14" s="2">
        <f t="shared" si="41"/>
        <v>666.75</v>
      </c>
      <c r="AD14" s="2">
        <f t="shared" si="42"/>
        <v>708.75</v>
      </c>
      <c r="AR14" s="2">
        <v>1083</v>
      </c>
      <c r="AS14" s="2">
        <v>1239</v>
      </c>
      <c r="AT14" s="2">
        <v>1400</v>
      </c>
      <c r="AU14" s="2">
        <v>1247</v>
      </c>
      <c r="AV14" s="2">
        <f t="shared" si="13"/>
        <v>1610</v>
      </c>
      <c r="AW14" s="2">
        <f t="shared" si="14"/>
        <v>1712</v>
      </c>
      <c r="AX14" s="2">
        <f t="shared" si="7"/>
        <v>1944</v>
      </c>
      <c r="AY14" s="2">
        <f t="shared" si="18"/>
        <v>2246</v>
      </c>
      <c r="AZ14" s="2">
        <f t="shared" si="15"/>
        <v>2523</v>
      </c>
      <c r="BA14" s="2">
        <f t="shared" ref="BA14:BE14" si="47">+AZ14*1.03</f>
        <v>2598.69</v>
      </c>
      <c r="BB14" s="2">
        <f t="shared" si="47"/>
        <v>2676.6507000000001</v>
      </c>
      <c r="BC14" s="2">
        <f t="shared" si="47"/>
        <v>2756.9502210000001</v>
      </c>
      <c r="BD14" s="2">
        <f t="shared" si="47"/>
        <v>2839.6587276300002</v>
      </c>
      <c r="BE14" s="2">
        <f t="shared" si="47"/>
        <v>2924.8484894589001</v>
      </c>
      <c r="BF14" s="2">
        <f t="shared" ref="BF14:BJ14" si="48">+BE14*1.03</f>
        <v>3012.5939441426672</v>
      </c>
      <c r="BG14" s="2">
        <f t="shared" si="48"/>
        <v>3102.9717624669474</v>
      </c>
      <c r="BH14" s="2">
        <f t="shared" si="48"/>
        <v>3196.0609153409559</v>
      </c>
      <c r="BI14" s="2">
        <f t="shared" si="48"/>
        <v>3291.9427428011845</v>
      </c>
      <c r="BJ14" s="2">
        <f t="shared" si="48"/>
        <v>3390.70102508522</v>
      </c>
    </row>
    <row r="15" spans="1:62" s="2" customFormat="1" x14ac:dyDescent="0.25">
      <c r="B15" s="2" t="s">
        <v>29</v>
      </c>
      <c r="C15" s="4"/>
      <c r="D15" s="4"/>
      <c r="E15" s="4"/>
      <c r="F15" s="4"/>
      <c r="G15" s="4">
        <v>431</v>
      </c>
      <c r="H15" s="4">
        <v>487</v>
      </c>
      <c r="I15" s="4">
        <v>485</v>
      </c>
      <c r="J15" s="4">
        <v>504</v>
      </c>
      <c r="K15" s="4">
        <v>485</v>
      </c>
      <c r="L15" s="4">
        <v>486</v>
      </c>
      <c r="M15" s="4">
        <v>469</v>
      </c>
      <c r="N15" s="4">
        <v>487</v>
      </c>
      <c r="O15" s="2">
        <v>505</v>
      </c>
      <c r="P15" s="2">
        <v>553</v>
      </c>
      <c r="Q15" s="2">
        <v>544</v>
      </c>
      <c r="R15" s="2">
        <v>593</v>
      </c>
      <c r="S15" s="2">
        <v>587</v>
      </c>
      <c r="T15" s="2">
        <v>627</v>
      </c>
      <c r="U15" s="4">
        <v>610</v>
      </c>
      <c r="V15" s="4">
        <v>643</v>
      </c>
      <c r="W15" s="2">
        <v>629</v>
      </c>
      <c r="X15" s="2">
        <v>700</v>
      </c>
      <c r="Y15" s="2">
        <v>705</v>
      </c>
      <c r="Z15" s="2">
        <f>2764-Y15-X15-W15</f>
        <v>730</v>
      </c>
      <c r="AA15" s="2">
        <v>788</v>
      </c>
      <c r="AB15" s="2">
        <f t="shared" si="40"/>
        <v>735</v>
      </c>
      <c r="AC15" s="2">
        <f t="shared" si="41"/>
        <v>740.25</v>
      </c>
      <c r="AD15" s="2">
        <f t="shared" si="42"/>
        <v>766.5</v>
      </c>
      <c r="AR15" s="2">
        <v>1382</v>
      </c>
      <c r="AS15" s="2">
        <v>1561</v>
      </c>
      <c r="AT15" s="2">
        <v>1721</v>
      </c>
      <c r="AU15" s="2">
        <v>1578</v>
      </c>
      <c r="AV15" s="2">
        <f t="shared" si="13"/>
        <v>1907</v>
      </c>
      <c r="AW15" s="2">
        <f t="shared" si="14"/>
        <v>1927</v>
      </c>
      <c r="AX15" s="2">
        <f t="shared" si="7"/>
        <v>2195</v>
      </c>
      <c r="AY15" s="2">
        <f t="shared" si="18"/>
        <v>2467</v>
      </c>
      <c r="AZ15" s="2">
        <f t="shared" si="15"/>
        <v>2764</v>
      </c>
      <c r="BA15" s="2">
        <f t="shared" ref="BA15:BE15" si="49">+AZ15*1.03</f>
        <v>2846.92</v>
      </c>
      <c r="BB15" s="2">
        <f t="shared" si="49"/>
        <v>2932.3276000000001</v>
      </c>
      <c r="BC15" s="2">
        <f t="shared" si="49"/>
        <v>3020.2974280000003</v>
      </c>
      <c r="BD15" s="2">
        <f t="shared" si="49"/>
        <v>3110.9063508400004</v>
      </c>
      <c r="BE15" s="2">
        <f t="shared" si="49"/>
        <v>3204.2335413652004</v>
      </c>
      <c r="BF15" s="2">
        <f t="shared" ref="BF15:BJ15" si="50">+BE15*1.03</f>
        <v>3300.3605476061566</v>
      </c>
      <c r="BG15" s="2">
        <f t="shared" si="50"/>
        <v>3399.3713640343412</v>
      </c>
      <c r="BH15" s="2">
        <f t="shared" si="50"/>
        <v>3501.3525049553714</v>
      </c>
      <c r="BI15" s="2">
        <f t="shared" si="50"/>
        <v>3606.3930801040328</v>
      </c>
      <c r="BJ15" s="2">
        <f t="shared" si="50"/>
        <v>3714.5848725071537</v>
      </c>
    </row>
    <row r="16" spans="1:62" s="2" customFormat="1" x14ac:dyDescent="0.25">
      <c r="B16" s="2" t="s">
        <v>30</v>
      </c>
      <c r="C16" s="4"/>
      <c r="D16" s="4"/>
      <c r="E16" s="4"/>
      <c r="F16" s="4"/>
      <c r="G16" s="4">
        <v>519</v>
      </c>
      <c r="H16" s="4">
        <v>567</v>
      </c>
      <c r="I16" s="4">
        <v>571</v>
      </c>
      <c r="J16" s="4">
        <v>541</v>
      </c>
      <c r="K16" s="4">
        <v>524</v>
      </c>
      <c r="L16" s="4">
        <v>548</v>
      </c>
      <c r="M16" s="4">
        <v>533</v>
      </c>
      <c r="N16" s="4">
        <v>514</v>
      </c>
      <c r="O16" s="2">
        <v>527</v>
      </c>
      <c r="P16" s="2">
        <v>583</v>
      </c>
      <c r="Q16" s="2">
        <v>563</v>
      </c>
      <c r="R16" s="2">
        <v>582</v>
      </c>
      <c r="S16" s="2">
        <v>562</v>
      </c>
      <c r="T16" s="2">
        <v>607</v>
      </c>
      <c r="U16" s="4">
        <v>597</v>
      </c>
      <c r="V16" s="4">
        <v>624</v>
      </c>
      <c r="W16" s="2">
        <v>585</v>
      </c>
      <c r="X16" s="2">
        <v>673</v>
      </c>
      <c r="Y16" s="2">
        <v>686</v>
      </c>
      <c r="Z16" s="2">
        <f>2649-Y16-X16-W16</f>
        <v>705</v>
      </c>
      <c r="AA16" s="2">
        <v>684</v>
      </c>
      <c r="AB16" s="2">
        <f t="shared" si="40"/>
        <v>706.65</v>
      </c>
      <c r="AC16" s="2">
        <f t="shared" si="41"/>
        <v>720.30000000000007</v>
      </c>
      <c r="AD16" s="2">
        <f t="shared" si="42"/>
        <v>740.25</v>
      </c>
      <c r="AR16" s="2">
        <v>2103</v>
      </c>
      <c r="AS16" s="2">
        <v>2198</v>
      </c>
      <c r="AT16" s="2">
        <v>2144</v>
      </c>
      <c r="AU16" s="2">
        <v>1914</v>
      </c>
      <c r="AV16" s="2">
        <f t="shared" si="13"/>
        <v>2198</v>
      </c>
      <c r="AW16" s="2">
        <f t="shared" si="14"/>
        <v>2119</v>
      </c>
      <c r="AX16" s="2">
        <f t="shared" si="7"/>
        <v>2255</v>
      </c>
      <c r="AY16" s="2">
        <f t="shared" si="18"/>
        <v>2390</v>
      </c>
      <c r="AZ16" s="2">
        <f t="shared" si="15"/>
        <v>2649</v>
      </c>
      <c r="BA16" s="2">
        <f t="shared" ref="BA16:BE16" si="51">+AZ16*1.03</f>
        <v>2728.4700000000003</v>
      </c>
      <c r="BB16" s="2">
        <f t="shared" si="51"/>
        <v>2810.3241000000003</v>
      </c>
      <c r="BC16" s="2">
        <f t="shared" si="51"/>
        <v>2894.6338230000006</v>
      </c>
      <c r="BD16" s="2">
        <f t="shared" si="51"/>
        <v>2981.4728376900007</v>
      </c>
      <c r="BE16" s="2">
        <f t="shared" si="51"/>
        <v>3070.9170228207008</v>
      </c>
      <c r="BF16" s="2">
        <f t="shared" ref="BF16:BJ16" si="52">+BE16*1.03</f>
        <v>3163.0445335053219</v>
      </c>
      <c r="BG16" s="2">
        <f t="shared" si="52"/>
        <v>3257.9358695104816</v>
      </c>
      <c r="BH16" s="2">
        <f t="shared" si="52"/>
        <v>3355.6739455957959</v>
      </c>
      <c r="BI16" s="2">
        <f t="shared" si="52"/>
        <v>3456.3441639636699</v>
      </c>
      <c r="BJ16" s="2">
        <f t="shared" si="52"/>
        <v>3560.0344888825803</v>
      </c>
    </row>
    <row r="17" spans="2:129" s="2" customFormat="1" x14ac:dyDescent="0.25">
      <c r="B17" s="2" t="s">
        <v>27</v>
      </c>
      <c r="C17" s="4"/>
      <c r="D17" s="4"/>
      <c r="E17" s="4"/>
      <c r="F17" s="4"/>
      <c r="G17" s="4">
        <v>635</v>
      </c>
      <c r="H17" s="4">
        <v>697</v>
      </c>
      <c r="I17" s="4">
        <v>644</v>
      </c>
      <c r="J17" s="4">
        <v>678</v>
      </c>
      <c r="K17" s="4">
        <v>619</v>
      </c>
      <c r="L17" s="4">
        <v>653</v>
      </c>
      <c r="M17" s="4">
        <v>606</v>
      </c>
      <c r="N17" s="4">
        <v>605</v>
      </c>
      <c r="O17" s="2">
        <v>617</v>
      </c>
      <c r="P17" s="2">
        <v>715</v>
      </c>
      <c r="Q17" s="2">
        <v>672</v>
      </c>
      <c r="R17" s="2">
        <v>677</v>
      </c>
      <c r="S17" s="2">
        <v>689</v>
      </c>
      <c r="T17" s="2">
        <v>724</v>
      </c>
      <c r="U17" s="4">
        <v>699</v>
      </c>
      <c r="V17" s="4">
        <v>725</v>
      </c>
      <c r="W17" s="2">
        <v>710</v>
      </c>
      <c r="X17" s="2">
        <v>757</v>
      </c>
      <c r="Y17" s="2">
        <v>745</v>
      </c>
      <c r="Z17" s="2">
        <f>2995-Y17-X17-W17</f>
        <v>783</v>
      </c>
      <c r="AA17" s="2">
        <v>777</v>
      </c>
      <c r="AB17" s="2">
        <f t="shared" si="40"/>
        <v>794.85</v>
      </c>
      <c r="AC17" s="2">
        <f t="shared" si="41"/>
        <v>782.25</v>
      </c>
      <c r="AD17" s="2">
        <f t="shared" si="42"/>
        <v>822.15000000000009</v>
      </c>
      <c r="AR17" s="2">
        <v>2892</v>
      </c>
      <c r="AS17" s="2">
        <v>2929</v>
      </c>
      <c r="AT17" s="2">
        <v>2850</v>
      </c>
      <c r="AU17" s="2">
        <v>2339</v>
      </c>
      <c r="AV17" s="2">
        <f t="shared" si="13"/>
        <v>2654</v>
      </c>
      <c r="AW17" s="2">
        <f t="shared" si="14"/>
        <v>2483</v>
      </c>
      <c r="AX17" s="2">
        <f t="shared" si="7"/>
        <v>2681</v>
      </c>
      <c r="AY17" s="2">
        <f t="shared" si="18"/>
        <v>2837</v>
      </c>
      <c r="AZ17" s="2">
        <f t="shared" si="15"/>
        <v>2995</v>
      </c>
      <c r="BA17" s="2">
        <f>+AZ17*1.07</f>
        <v>3204.65</v>
      </c>
      <c r="BB17" s="2">
        <f>+BA17*1.07</f>
        <v>3428.9755000000005</v>
      </c>
      <c r="BC17" s="2">
        <f>+BB17*1.05</f>
        <v>3600.4242750000008</v>
      </c>
      <c r="BD17" s="2">
        <f t="shared" ref="BD17:BE17" si="53">+BC17*1.03</f>
        <v>3708.437003250001</v>
      </c>
      <c r="BE17" s="2">
        <f t="shared" si="53"/>
        <v>3819.6901133475012</v>
      </c>
      <c r="BF17" s="2">
        <f t="shared" ref="BF17:BJ17" si="54">+BE17*1.03</f>
        <v>3934.2808167479266</v>
      </c>
      <c r="BG17" s="2">
        <f t="shared" si="54"/>
        <v>4052.3092412503643</v>
      </c>
      <c r="BH17" s="2">
        <f t="shared" si="54"/>
        <v>4173.8785184878752</v>
      </c>
      <c r="BI17" s="2">
        <f t="shared" si="54"/>
        <v>4299.0948740425119</v>
      </c>
      <c r="BJ17" s="2">
        <f t="shared" si="54"/>
        <v>4428.0677202637871</v>
      </c>
    </row>
    <row r="18" spans="2:129" s="2" customFormat="1" x14ac:dyDescent="0.25">
      <c r="B18" s="2" t="s">
        <v>20</v>
      </c>
      <c r="C18" s="4"/>
      <c r="D18" s="4"/>
      <c r="E18" s="4"/>
      <c r="F18" s="4"/>
      <c r="G18" s="4">
        <v>980</v>
      </c>
      <c r="H18" s="4">
        <v>1056</v>
      </c>
      <c r="I18" s="4">
        <v>1121</v>
      </c>
      <c r="J18" s="4">
        <v>1171</v>
      </c>
      <c r="K18" s="4">
        <v>1126</v>
      </c>
      <c r="L18" s="4">
        <v>1192</v>
      </c>
      <c r="M18" s="4">
        <v>1167</v>
      </c>
      <c r="N18" s="4">
        <v>1271</v>
      </c>
      <c r="O18" s="2">
        <v>1313</v>
      </c>
      <c r="P18" s="2">
        <v>1424</v>
      </c>
      <c r="Q18" s="2">
        <v>1472</v>
      </c>
      <c r="R18" s="2">
        <v>1552</v>
      </c>
      <c r="S18" s="2">
        <v>1569</v>
      </c>
      <c r="T18" s="2">
        <v>1648</v>
      </c>
      <c r="U18" s="4">
        <v>1725</v>
      </c>
      <c r="V18" s="4">
        <v>1863</v>
      </c>
      <c r="W18" s="2">
        <v>1827</v>
      </c>
      <c r="X18" s="2">
        <v>1981</v>
      </c>
      <c r="Y18" s="2">
        <v>2057</v>
      </c>
      <c r="Z18" s="2">
        <f>7998-Y18-X18-W18</f>
        <v>2133</v>
      </c>
      <c r="AA18" s="2">
        <v>2080</v>
      </c>
      <c r="AB18" s="2">
        <f>+X18*1.05</f>
        <v>2080.0500000000002</v>
      </c>
      <c r="AC18" s="2">
        <f t="shared" si="41"/>
        <v>2159.85</v>
      </c>
      <c r="AD18" s="2">
        <f t="shared" si="42"/>
        <v>2239.65</v>
      </c>
      <c r="AS18" s="2">
        <v>1933</v>
      </c>
      <c r="AT18" s="2">
        <v>2524</v>
      </c>
      <c r="AU18" s="2">
        <v>3267</v>
      </c>
      <c r="AV18" s="2">
        <f t="shared" si="13"/>
        <v>4328</v>
      </c>
      <c r="AW18" s="2">
        <f t="shared" si="14"/>
        <v>4756</v>
      </c>
      <c r="AX18" s="2">
        <f t="shared" si="7"/>
        <v>5761</v>
      </c>
      <c r="AY18" s="2">
        <f t="shared" si="18"/>
        <v>6805</v>
      </c>
      <c r="AZ18" s="2">
        <f t="shared" si="15"/>
        <v>7998</v>
      </c>
      <c r="BA18" s="2">
        <f>+AZ18*1.1</f>
        <v>8797.8000000000011</v>
      </c>
      <c r="BB18" s="2">
        <f>+BA18*1.1</f>
        <v>9677.5800000000017</v>
      </c>
      <c r="BC18" s="2">
        <f>+BB18*1.1</f>
        <v>10645.338000000003</v>
      </c>
      <c r="BD18" s="2">
        <f>+BC18*1.05</f>
        <v>11177.604900000004</v>
      </c>
      <c r="BE18" s="2">
        <f>+BD18*1.05</f>
        <v>11736.485145000004</v>
      </c>
      <c r="BF18" s="2">
        <f t="shared" ref="BF18:BJ18" si="55">+BE18*1.05</f>
        <v>12323.309402250004</v>
      </c>
      <c r="BG18" s="2">
        <f t="shared" si="55"/>
        <v>12939.474872362505</v>
      </c>
      <c r="BH18" s="2">
        <f t="shared" si="55"/>
        <v>13586.448615980631</v>
      </c>
      <c r="BI18" s="2">
        <f t="shared" si="55"/>
        <v>14265.771046779662</v>
      </c>
      <c r="BJ18" s="2">
        <f t="shared" si="55"/>
        <v>14979.059599118646</v>
      </c>
    </row>
    <row r="19" spans="2:129" s="5" customFormat="1" ht="13" x14ac:dyDescent="0.3">
      <c r="B19" s="5" t="s">
        <v>8</v>
      </c>
      <c r="C19" s="6"/>
      <c r="D19" s="6"/>
      <c r="E19" s="6"/>
      <c r="F19" s="6"/>
      <c r="G19" s="6">
        <f t="shared" ref="G19:J19" si="56">SUM(G3:G18)</f>
        <v>10456</v>
      </c>
      <c r="H19" s="6">
        <f t="shared" si="56"/>
        <v>10223</v>
      </c>
      <c r="I19" s="6">
        <f t="shared" si="56"/>
        <v>10928</v>
      </c>
      <c r="J19" s="6">
        <f t="shared" si="56"/>
        <v>11468</v>
      </c>
      <c r="K19" s="6">
        <f>SUM(K3:K18)</f>
        <v>11895</v>
      </c>
      <c r="L19" s="6">
        <f>SUM(L3:L18)</f>
        <v>11257</v>
      </c>
      <c r="M19" s="6">
        <f t="shared" ref="M19:T19" si="57">SUM(M4:M18)</f>
        <v>10407</v>
      </c>
      <c r="N19" s="6">
        <f t="shared" si="57"/>
        <v>10088</v>
      </c>
      <c r="O19" s="6">
        <f t="shared" si="57"/>
        <v>9744</v>
      </c>
      <c r="P19" s="6">
        <f t="shared" si="57"/>
        <v>9975</v>
      </c>
      <c r="Q19" s="6">
        <f t="shared" si="57"/>
        <v>10139</v>
      </c>
      <c r="R19" s="6">
        <f t="shared" si="57"/>
        <v>10237</v>
      </c>
      <c r="S19" s="6">
        <f t="shared" si="57"/>
        <v>9963.8000000000011</v>
      </c>
      <c r="T19" s="6">
        <f t="shared" si="57"/>
        <v>10373</v>
      </c>
      <c r="U19" s="6">
        <f>+Q19*1.01</f>
        <v>10240.39</v>
      </c>
      <c r="V19" s="6">
        <f>SUM(V3:V18)</f>
        <v>10974</v>
      </c>
      <c r="W19" s="6">
        <f>SUM(W3:W18)</f>
        <v>10358</v>
      </c>
      <c r="X19" s="6">
        <f t="shared" ref="X19:AD19" si="58">SUM(X3:X18)</f>
        <v>11142</v>
      </c>
      <c r="Y19" s="6">
        <f t="shared" si="58"/>
        <v>11369</v>
      </c>
      <c r="Z19" s="6">
        <f t="shared" si="58"/>
        <v>11459</v>
      </c>
      <c r="AA19" s="6">
        <f t="shared" si="58"/>
        <v>11164</v>
      </c>
      <c r="AB19" s="6">
        <f t="shared" si="58"/>
        <v>11235.45</v>
      </c>
      <c r="AC19" s="6">
        <f t="shared" si="58"/>
        <v>11448.4</v>
      </c>
      <c r="AD19" s="6">
        <f t="shared" si="58"/>
        <v>11539.75</v>
      </c>
      <c r="AO19" s="5">
        <v>20247</v>
      </c>
      <c r="AP19" s="5">
        <v>20405</v>
      </c>
      <c r="AQ19" s="5">
        <v>20853</v>
      </c>
      <c r="AR19" s="5">
        <v>27390</v>
      </c>
      <c r="AS19" s="5">
        <v>30578</v>
      </c>
      <c r="AT19" s="5">
        <f t="shared" ref="AT19:AZ19" si="59">SUM(AT3:AT18)</f>
        <v>31904</v>
      </c>
      <c r="AU19" s="5">
        <f t="shared" si="59"/>
        <v>34608</v>
      </c>
      <c r="AV19" s="5">
        <f t="shared" si="59"/>
        <v>43075</v>
      </c>
      <c r="AW19" s="5">
        <f t="shared" si="59"/>
        <v>43650</v>
      </c>
      <c r="AX19" s="5">
        <f t="shared" si="59"/>
        <v>40095</v>
      </c>
      <c r="AY19" s="5">
        <f t="shared" si="59"/>
        <v>41941.799999999996</v>
      </c>
      <c r="AZ19" s="5">
        <f t="shared" si="59"/>
        <v>44328</v>
      </c>
      <c r="BA19" s="5">
        <f t="shared" ref="BA19" si="60">SUM(BA3:BA18)</f>
        <v>46337.500000000007</v>
      </c>
      <c r="BB19" s="5">
        <f t="shared" ref="BB19" si="61">SUM(BB3:BB18)</f>
        <v>48471.656999999999</v>
      </c>
      <c r="BC19" s="5">
        <f t="shared" ref="BC19" si="62">SUM(BC3:BC18)</f>
        <v>50671.81682</v>
      </c>
      <c r="BD19" s="5">
        <f t="shared" ref="BD19" si="63">SUM(BD3:BD18)</f>
        <v>52404.878084600008</v>
      </c>
      <c r="BE19" s="5">
        <f t="shared" ref="BE19" si="64">SUM(BE3:BE18)</f>
        <v>54200.576525138014</v>
      </c>
      <c r="BF19" s="5">
        <f t="shared" ref="BF19" si="65">SUM(BF3:BF18)</f>
        <v>56061.323523792147</v>
      </c>
      <c r="BG19" s="5">
        <f t="shared" ref="BG19" si="66">SUM(BG3:BG18)</f>
        <v>57989.62941755091</v>
      </c>
      <c r="BH19" s="5">
        <f t="shared" ref="BH19" si="67">SUM(BH3:BH18)</f>
        <v>59988.107797524695</v>
      </c>
      <c r="BI19" s="5">
        <f t="shared" ref="BI19" si="68">SUM(BI3:BI18)</f>
        <v>62059.480003770055</v>
      </c>
      <c r="BJ19" s="5">
        <f t="shared" ref="BJ19" si="69">SUM(BJ3:BJ18)</f>
        <v>64206.579824818749</v>
      </c>
    </row>
    <row r="20" spans="2:129" s="2" customFormat="1" x14ac:dyDescent="0.25">
      <c r="B20" s="2" t="s">
        <v>37</v>
      </c>
      <c r="C20" s="4"/>
      <c r="D20" s="4"/>
      <c r="E20" s="4"/>
      <c r="F20" s="4"/>
      <c r="G20" s="4">
        <v>4401</v>
      </c>
      <c r="H20" s="4">
        <v>4947</v>
      </c>
      <c r="I20" s="4">
        <v>4423</v>
      </c>
      <c r="J20" s="4">
        <v>4766</v>
      </c>
      <c r="K20" s="4">
        <v>4987</v>
      </c>
      <c r="L20" s="4">
        <v>4933</v>
      </c>
      <c r="M20" s="4">
        <v>4629</v>
      </c>
      <c r="N20" s="4">
        <f t="shared" ref="N20:T20" si="70">+N19-N21</f>
        <v>4474</v>
      </c>
      <c r="O20" s="2">
        <f t="shared" si="70"/>
        <v>4299</v>
      </c>
      <c r="P20" s="2">
        <f t="shared" si="70"/>
        <v>4449</v>
      </c>
      <c r="Q20" s="2">
        <f t="shared" si="70"/>
        <v>4555</v>
      </c>
      <c r="R20" s="2">
        <f t="shared" si="70"/>
        <v>4515</v>
      </c>
      <c r="S20" s="2">
        <f t="shared" si="70"/>
        <v>4416.8000000000011</v>
      </c>
      <c r="T20" s="2">
        <f t="shared" si="70"/>
        <v>4564</v>
      </c>
      <c r="U20" s="2">
        <v>4698</v>
      </c>
      <c r="V20" s="2">
        <v>4942</v>
      </c>
      <c r="W20" s="2">
        <v>4468</v>
      </c>
      <c r="X20" s="2">
        <v>4854</v>
      </c>
      <c r="Y20" s="2">
        <v>5075</v>
      </c>
      <c r="Z20" s="2">
        <f>19319-Y20-X20-W20</f>
        <v>4922</v>
      </c>
      <c r="AA20" s="2">
        <v>4890</v>
      </c>
      <c r="AB20" s="2">
        <f>+AB19-AB21</f>
        <v>4831.2435000000005</v>
      </c>
      <c r="AC20" s="2">
        <f>+AC19-AC21</f>
        <v>4922.8120000000008</v>
      </c>
      <c r="AD20" s="2">
        <f>+AD19-AD21</f>
        <v>4962.0925000000007</v>
      </c>
      <c r="AQ20" s="2">
        <v>9094</v>
      </c>
      <c r="AR20" s="2">
        <v>12409</v>
      </c>
      <c r="AS20" s="2">
        <v>12706</v>
      </c>
      <c r="AT20" s="2">
        <v>13231</v>
      </c>
      <c r="AU20" s="2">
        <v>15003</v>
      </c>
      <c r="AV20" s="2">
        <f t="shared" si="13"/>
        <v>18537</v>
      </c>
      <c r="AW20" s="2">
        <f t="shared" si="14"/>
        <v>19023</v>
      </c>
      <c r="AX20" s="2">
        <f>SUM(O20:R20)</f>
        <v>17818</v>
      </c>
      <c r="AY20" s="2">
        <f t="shared" si="18"/>
        <v>18620.800000000003</v>
      </c>
      <c r="AZ20" s="2">
        <f t="shared" si="15"/>
        <v>19319</v>
      </c>
      <c r="BA20" s="2">
        <f>+BA19-BA21</f>
        <v>19925.125000000004</v>
      </c>
      <c r="BB20" s="2">
        <f>+BB19-BB21</f>
        <v>20842.812510000003</v>
      </c>
      <c r="BC20" s="2">
        <f>+BC19-BC21</f>
        <v>21788.881232600004</v>
      </c>
      <c r="BD20" s="2">
        <f>+BD19-BD21</f>
        <v>22534.097576378004</v>
      </c>
      <c r="BE20" s="2">
        <f>+BE19-BE21</f>
        <v>23306.247905809349</v>
      </c>
      <c r="BF20" s="2">
        <f t="shared" ref="BF20:BJ20" si="71">+BF19-BF21</f>
        <v>24106.369115230627</v>
      </c>
      <c r="BG20" s="2">
        <f t="shared" si="71"/>
        <v>24935.540649546892</v>
      </c>
      <c r="BH20" s="2">
        <f t="shared" si="71"/>
        <v>25794.886352935624</v>
      </c>
      <c r="BI20" s="2">
        <f t="shared" si="71"/>
        <v>26685.576401621125</v>
      </c>
      <c r="BJ20" s="2">
        <f t="shared" si="71"/>
        <v>27608.829324672064</v>
      </c>
    </row>
    <row r="21" spans="2:129" s="2" customFormat="1" x14ac:dyDescent="0.25">
      <c r="B21" s="2" t="s">
        <v>38</v>
      </c>
      <c r="C21" s="4"/>
      <c r="D21" s="4"/>
      <c r="E21" s="4"/>
      <c r="F21" s="4"/>
      <c r="G21" s="4">
        <f t="shared" ref="G21:J21" si="72">+G19-G20</f>
        <v>6055</v>
      </c>
      <c r="H21" s="4">
        <f t="shared" si="72"/>
        <v>5276</v>
      </c>
      <c r="I21" s="4">
        <f t="shared" si="72"/>
        <v>6505</v>
      </c>
      <c r="J21" s="4">
        <f t="shared" si="72"/>
        <v>6702</v>
      </c>
      <c r="K21" s="4">
        <f>+K19-K20</f>
        <v>6908</v>
      </c>
      <c r="L21" s="4">
        <f>+L19-L20</f>
        <v>6324</v>
      </c>
      <c r="M21" s="4">
        <f>+M19-M20</f>
        <v>5778</v>
      </c>
      <c r="N21" s="4">
        <v>5614</v>
      </c>
      <c r="O21" s="2">
        <v>5445</v>
      </c>
      <c r="P21" s="2">
        <v>5526</v>
      </c>
      <c r="Q21" s="2">
        <v>5584</v>
      </c>
      <c r="R21" s="2">
        <v>5722</v>
      </c>
      <c r="S21" s="2">
        <v>5547</v>
      </c>
      <c r="T21" s="2">
        <v>5809</v>
      </c>
      <c r="U21" s="2">
        <f>+U19-U20</f>
        <v>5542.3899999999994</v>
      </c>
      <c r="V21" s="2">
        <f>+V19-V20</f>
        <v>6032</v>
      </c>
      <c r="W21" s="2">
        <f>+W19-W20</f>
        <v>5890</v>
      </c>
      <c r="X21" s="2">
        <f>+X19-X20</f>
        <v>6288</v>
      </c>
      <c r="Y21" s="2">
        <f>+Y19-Y20</f>
        <v>6294</v>
      </c>
      <c r="Z21" s="2">
        <f>+Z19-Z20</f>
        <v>6537</v>
      </c>
      <c r="AA21" s="2">
        <f>+AA19*0.57</f>
        <v>6363.48</v>
      </c>
      <c r="AB21" s="2">
        <f>+AB19*0.57</f>
        <v>6404.2065000000002</v>
      </c>
      <c r="AC21" s="2">
        <f>+AC19*0.57</f>
        <v>6525.5879999999988</v>
      </c>
      <c r="AD21" s="2">
        <f>+AD19*0.57</f>
        <v>6577.6574999999993</v>
      </c>
      <c r="AQ21" s="2">
        <f t="shared" ref="AQ21:AW21" si="73">+AQ19-AQ20</f>
        <v>11759</v>
      </c>
      <c r="AR21" s="2">
        <f t="shared" si="73"/>
        <v>14981</v>
      </c>
      <c r="AS21" s="2">
        <f t="shared" si="73"/>
        <v>17872</v>
      </c>
      <c r="AT21" s="2">
        <f t="shared" si="73"/>
        <v>18673</v>
      </c>
      <c r="AU21" s="2">
        <f t="shared" si="73"/>
        <v>19605</v>
      </c>
      <c r="AV21" s="2">
        <f t="shared" si="73"/>
        <v>24538</v>
      </c>
      <c r="AW21" s="2">
        <f t="shared" si="73"/>
        <v>24627</v>
      </c>
      <c r="AX21" s="2">
        <f>+AX19-AX20</f>
        <v>22277</v>
      </c>
      <c r="AY21" s="2">
        <f>+AY19-AY20</f>
        <v>23320.999999999993</v>
      </c>
      <c r="AZ21" s="2">
        <f>+AZ19-AZ20</f>
        <v>25009</v>
      </c>
      <c r="BA21" s="2">
        <f>+BA19*0.57</f>
        <v>26412.375000000004</v>
      </c>
      <c r="BB21" s="2">
        <f>+BB19*0.57</f>
        <v>27628.844489999996</v>
      </c>
      <c r="BC21" s="2">
        <f>+BC19*0.57</f>
        <v>28882.935587399996</v>
      </c>
      <c r="BD21" s="2">
        <f>+BD19*0.57</f>
        <v>29870.780508222004</v>
      </c>
      <c r="BE21" s="2">
        <f>+BE19*0.57</f>
        <v>30894.328619328666</v>
      </c>
      <c r="BF21" s="2">
        <f t="shared" ref="BF21:BJ21" si="74">+BF19*0.57</f>
        <v>31954.95440856152</v>
      </c>
      <c r="BG21" s="2">
        <f t="shared" si="74"/>
        <v>33054.088768004018</v>
      </c>
      <c r="BH21" s="2">
        <f t="shared" si="74"/>
        <v>34193.221444589071</v>
      </c>
      <c r="BI21" s="2">
        <f t="shared" si="74"/>
        <v>35373.90360214893</v>
      </c>
      <c r="BJ21" s="2">
        <f t="shared" si="74"/>
        <v>36597.750500146685</v>
      </c>
    </row>
    <row r="22" spans="2:129" s="2" customFormat="1" x14ac:dyDescent="0.25">
      <c r="B22" s="2" t="s">
        <v>39</v>
      </c>
      <c r="C22" s="4"/>
      <c r="D22" s="4"/>
      <c r="E22" s="4"/>
      <c r="F22" s="4"/>
      <c r="G22" s="4">
        <v>2783</v>
      </c>
      <c r="H22" s="4">
        <v>2726</v>
      </c>
      <c r="I22" s="4">
        <v>2767</v>
      </c>
      <c r="J22" s="4">
        <v>3048</v>
      </c>
      <c r="K22" s="4">
        <v>2787</v>
      </c>
      <c r="L22" s="4">
        <v>2757</v>
      </c>
      <c r="M22" s="4">
        <v>2731</v>
      </c>
      <c r="N22" s="4">
        <v>2829</v>
      </c>
      <c r="O22" s="2">
        <v>2762</v>
      </c>
      <c r="P22" s="2">
        <v>2718</v>
      </c>
      <c r="Q22" s="2">
        <v>2680</v>
      </c>
      <c r="R22" s="2">
        <v>2689</v>
      </c>
      <c r="S22" s="2">
        <v>2925</v>
      </c>
      <c r="T22" s="2">
        <v>2879</v>
      </c>
      <c r="U22" s="2">
        <v>2895</v>
      </c>
      <c r="V22" s="2">
        <v>2907</v>
      </c>
      <c r="W22" s="2">
        <v>3061</v>
      </c>
      <c r="X22" s="2">
        <v>3091</v>
      </c>
      <c r="Y22" s="2">
        <v>3051</v>
      </c>
      <c r="Z22" s="2">
        <f>12332-Y22-X22-W22</f>
        <v>3129</v>
      </c>
      <c r="AA22" s="2">
        <v>3740</v>
      </c>
      <c r="AB22" s="2">
        <f>+X22</f>
        <v>3091</v>
      </c>
      <c r="AC22" s="2">
        <f t="shared" ref="AC22:AC23" si="75">+Y22</f>
        <v>3051</v>
      </c>
      <c r="AD22" s="2">
        <f t="shared" ref="AD22:AD23" si="76">+Z22</f>
        <v>3129</v>
      </c>
      <c r="AQ22" s="2">
        <v>6736</v>
      </c>
      <c r="AR22" s="2">
        <v>9182</v>
      </c>
      <c r="AS22" s="2">
        <v>9744</v>
      </c>
      <c r="AT22" s="2">
        <v>9765</v>
      </c>
      <c r="AU22" s="2">
        <v>9696</v>
      </c>
      <c r="AV22" s="2">
        <f t="shared" ref="AV22:AV23" si="77">SUM(G22:J22)</f>
        <v>11324</v>
      </c>
      <c r="AW22" s="2">
        <f t="shared" ref="AW22:AW23" si="78">SUM(K22:N22)</f>
        <v>11104</v>
      </c>
      <c r="AX22" s="2">
        <f>SUM(O22:R22)</f>
        <v>10849</v>
      </c>
      <c r="AY22" s="2">
        <f t="shared" ref="AY22:AY23" si="79">SUM(S22:V22)</f>
        <v>11606</v>
      </c>
      <c r="AZ22" s="2">
        <f t="shared" si="15"/>
        <v>12332</v>
      </c>
      <c r="BA22" s="2">
        <f t="shared" ref="BA22:BE22" si="80">+AZ22*1.03</f>
        <v>12701.960000000001</v>
      </c>
      <c r="BB22" s="2">
        <f t="shared" si="80"/>
        <v>13083.018800000002</v>
      </c>
      <c r="BC22" s="2">
        <f t="shared" si="80"/>
        <v>13475.509364000001</v>
      </c>
      <c r="BD22" s="2">
        <f t="shared" si="80"/>
        <v>13879.774644920002</v>
      </c>
      <c r="BE22" s="2">
        <f t="shared" si="80"/>
        <v>14296.167884267603</v>
      </c>
      <c r="BF22" s="2">
        <f t="shared" ref="BF22:BJ22" si="81">+BE22*1.03</f>
        <v>14725.052920795632</v>
      </c>
      <c r="BG22" s="2">
        <f t="shared" si="81"/>
        <v>15166.8045084195</v>
      </c>
      <c r="BH22" s="2">
        <f t="shared" si="81"/>
        <v>15621.808643672086</v>
      </c>
      <c r="BI22" s="2">
        <f t="shared" si="81"/>
        <v>16090.462902982248</v>
      </c>
      <c r="BJ22" s="2">
        <f t="shared" si="81"/>
        <v>16573.176790071717</v>
      </c>
    </row>
    <row r="23" spans="2:129" s="2" customFormat="1" x14ac:dyDescent="0.25">
      <c r="B23" s="2" t="s">
        <v>40</v>
      </c>
      <c r="C23" s="4"/>
      <c r="D23" s="4"/>
      <c r="E23" s="4"/>
      <c r="F23" s="4"/>
      <c r="G23" s="4">
        <v>654</v>
      </c>
      <c r="H23" s="4">
        <v>654</v>
      </c>
      <c r="I23" s="4">
        <v>672</v>
      </c>
      <c r="J23" s="4">
        <v>762</v>
      </c>
      <c r="K23" s="4">
        <v>697</v>
      </c>
      <c r="L23" s="4">
        <v>684</v>
      </c>
      <c r="M23" s="4">
        <v>782</v>
      </c>
      <c r="N23" s="4">
        <v>654</v>
      </c>
      <c r="O23" s="2">
        <v>628</v>
      </c>
      <c r="P23" s="2">
        <v>643</v>
      </c>
      <c r="Q23" s="2">
        <v>626</v>
      </c>
      <c r="R23" s="2">
        <v>622</v>
      </c>
      <c r="S23" s="2">
        <v>663</v>
      </c>
      <c r="T23" s="2">
        <v>657</v>
      </c>
      <c r="U23" s="2">
        <v>713</v>
      </c>
      <c r="V23" s="2">
        <v>749</v>
      </c>
      <c r="W23" s="2">
        <v>716</v>
      </c>
      <c r="X23" s="2">
        <v>725</v>
      </c>
      <c r="Y23" s="2">
        <v>756</v>
      </c>
      <c r="Z23" s="2">
        <f>2942-Y23-X23-W23</f>
        <v>745</v>
      </c>
      <c r="AA23" s="2">
        <v>767</v>
      </c>
      <c r="AB23" s="2">
        <f t="shared" ref="AB23" si="82">+X23</f>
        <v>725</v>
      </c>
      <c r="AC23" s="2">
        <f t="shared" si="75"/>
        <v>756</v>
      </c>
      <c r="AD23" s="2">
        <f t="shared" si="76"/>
        <v>745</v>
      </c>
      <c r="AQ23" s="2">
        <v>1447</v>
      </c>
      <c r="AR23" s="2">
        <v>2260</v>
      </c>
      <c r="AS23" s="2">
        <v>2300</v>
      </c>
      <c r="AT23" s="2">
        <v>2440</v>
      </c>
      <c r="AU23" s="2">
        <v>2420</v>
      </c>
      <c r="AV23" s="2">
        <f t="shared" si="77"/>
        <v>2742</v>
      </c>
      <c r="AW23" s="2">
        <f t="shared" si="78"/>
        <v>2817</v>
      </c>
      <c r="AX23" s="2">
        <f>SUM(O23:R23)</f>
        <v>2519</v>
      </c>
      <c r="AY23" s="2">
        <f t="shared" si="79"/>
        <v>2782</v>
      </c>
      <c r="AZ23" s="2">
        <f t="shared" si="15"/>
        <v>2942</v>
      </c>
      <c r="BA23" s="2">
        <f>+AZ23*1.03</f>
        <v>3030.26</v>
      </c>
      <c r="BB23" s="2">
        <f t="shared" ref="BB23:BE23" si="83">+BA23*1.03</f>
        <v>3121.1678000000002</v>
      </c>
      <c r="BC23" s="2">
        <f t="shared" si="83"/>
        <v>3214.8028340000001</v>
      </c>
      <c r="BD23" s="2">
        <f t="shared" si="83"/>
        <v>3311.24691902</v>
      </c>
      <c r="BE23" s="2">
        <f t="shared" si="83"/>
        <v>3410.5843265906001</v>
      </c>
      <c r="BF23" s="2">
        <f t="shared" ref="BF23:BJ23" si="84">+BE23*1.03</f>
        <v>3512.9018563883183</v>
      </c>
      <c r="BG23" s="2">
        <f t="shared" si="84"/>
        <v>3618.2889120799678</v>
      </c>
      <c r="BH23" s="2">
        <f t="shared" si="84"/>
        <v>3726.8375794423669</v>
      </c>
      <c r="BI23" s="2">
        <f t="shared" si="84"/>
        <v>3838.642706825638</v>
      </c>
      <c r="BJ23" s="2">
        <f t="shared" si="84"/>
        <v>3953.8019880304073</v>
      </c>
    </row>
    <row r="24" spans="2:129" s="2" customFormat="1" x14ac:dyDescent="0.25">
      <c r="B24" s="2" t="s">
        <v>35</v>
      </c>
      <c r="C24" s="4"/>
      <c r="D24" s="4"/>
      <c r="E24" s="4"/>
      <c r="F24" s="4"/>
      <c r="G24" s="4">
        <f t="shared" ref="G24:J24" si="85">+G22+G23</f>
        <v>3437</v>
      </c>
      <c r="H24" s="4">
        <f t="shared" si="85"/>
        <v>3380</v>
      </c>
      <c r="I24" s="4">
        <f t="shared" si="85"/>
        <v>3439</v>
      </c>
      <c r="J24" s="4">
        <f t="shared" si="85"/>
        <v>3810</v>
      </c>
      <c r="K24" s="4">
        <f>+K22+K23</f>
        <v>3484</v>
      </c>
      <c r="L24" s="4">
        <f>+L22+L23</f>
        <v>3441</v>
      </c>
      <c r="M24" s="4">
        <f>+M22+M23</f>
        <v>3513</v>
      </c>
      <c r="N24" s="4">
        <f>+N22+N23</f>
        <v>3483</v>
      </c>
      <c r="O24" s="4">
        <f t="shared" ref="O24" si="86">+O22+O23</f>
        <v>3390</v>
      </c>
      <c r="P24" s="2">
        <f t="shared" ref="P24:X24" si="87">+P22+P23</f>
        <v>3361</v>
      </c>
      <c r="Q24" s="2">
        <f t="shared" si="87"/>
        <v>3306</v>
      </c>
      <c r="R24" s="2">
        <f t="shared" si="87"/>
        <v>3311</v>
      </c>
      <c r="S24" s="2">
        <f t="shared" si="87"/>
        <v>3588</v>
      </c>
      <c r="T24" s="2">
        <f t="shared" si="87"/>
        <v>3536</v>
      </c>
      <c r="U24" s="2">
        <f t="shared" si="87"/>
        <v>3608</v>
      </c>
      <c r="V24" s="2">
        <f t="shared" si="87"/>
        <v>3656</v>
      </c>
      <c r="W24" s="2">
        <f t="shared" si="87"/>
        <v>3777</v>
      </c>
      <c r="X24" s="2">
        <f t="shared" si="87"/>
        <v>3816</v>
      </c>
      <c r="Y24" s="2">
        <f t="shared" ref="Y24" si="88">+Y22+Y23</f>
        <v>3807</v>
      </c>
      <c r="Z24" s="2">
        <f t="shared" ref="Z24:AA24" si="89">+Z22+Z23</f>
        <v>3874</v>
      </c>
      <c r="AA24" s="2">
        <f t="shared" si="89"/>
        <v>4507</v>
      </c>
      <c r="AB24" s="2">
        <f t="shared" ref="AB24:AD24" si="90">+AB22+AB23</f>
        <v>3816</v>
      </c>
      <c r="AC24" s="2">
        <f t="shared" si="90"/>
        <v>3807</v>
      </c>
      <c r="AD24" s="2">
        <f t="shared" si="90"/>
        <v>3874</v>
      </c>
      <c r="AQ24" s="4">
        <f>+AQ22+AQ23</f>
        <v>8183</v>
      </c>
      <c r="AR24" s="4">
        <f>+AR22+AR23</f>
        <v>11442</v>
      </c>
      <c r="AS24" s="4">
        <f>+AS22+AS23</f>
        <v>12044</v>
      </c>
      <c r="AT24" s="4">
        <f t="shared" ref="AT24:AW24" si="91">+AT22+AT23</f>
        <v>12205</v>
      </c>
      <c r="AU24" s="4">
        <f t="shared" si="91"/>
        <v>12116</v>
      </c>
      <c r="AV24" s="4">
        <f t="shared" si="91"/>
        <v>14066</v>
      </c>
      <c r="AW24" s="4">
        <f t="shared" si="91"/>
        <v>13921</v>
      </c>
      <c r="AX24" s="4">
        <f t="shared" ref="AX24:AZ24" si="92">+AX22+AX23</f>
        <v>13368</v>
      </c>
      <c r="AY24" s="4">
        <f t="shared" si="92"/>
        <v>14388</v>
      </c>
      <c r="AZ24" s="4">
        <f t="shared" si="92"/>
        <v>15274</v>
      </c>
      <c r="BA24" s="4">
        <f t="shared" ref="BA24:BE24" si="93">+BA22+BA23</f>
        <v>15732.220000000001</v>
      </c>
      <c r="BB24" s="4">
        <f t="shared" si="93"/>
        <v>16204.186600000001</v>
      </c>
      <c r="BC24" s="4">
        <f t="shared" si="93"/>
        <v>16690.312198</v>
      </c>
      <c r="BD24" s="4">
        <f t="shared" si="93"/>
        <v>17191.021563940001</v>
      </c>
      <c r="BE24" s="4">
        <f t="shared" si="93"/>
        <v>17706.752210858202</v>
      </c>
      <c r="BF24" s="4">
        <f t="shared" ref="BF24:BJ24" si="94">+BF22+BF23</f>
        <v>18237.95477718395</v>
      </c>
      <c r="BG24" s="4">
        <f t="shared" si="94"/>
        <v>18785.093420499466</v>
      </c>
      <c r="BH24" s="4">
        <f t="shared" si="94"/>
        <v>19348.646223114454</v>
      </c>
      <c r="BI24" s="4">
        <f t="shared" si="94"/>
        <v>19929.105609807884</v>
      </c>
      <c r="BJ24" s="4">
        <f t="shared" si="94"/>
        <v>20526.978778102122</v>
      </c>
    </row>
    <row r="25" spans="2:129" s="2" customFormat="1" x14ac:dyDescent="0.25">
      <c r="B25" s="2" t="s">
        <v>36</v>
      </c>
      <c r="C25" s="4"/>
      <c r="D25" s="4"/>
      <c r="E25" s="4"/>
      <c r="F25" s="4"/>
      <c r="G25" s="4">
        <f t="shared" ref="G25:J25" si="95">+G21-G24</f>
        <v>2618</v>
      </c>
      <c r="H25" s="4">
        <f t="shared" si="95"/>
        <v>1896</v>
      </c>
      <c r="I25" s="4">
        <f t="shared" si="95"/>
        <v>3066</v>
      </c>
      <c r="J25" s="4">
        <f t="shared" si="95"/>
        <v>2892</v>
      </c>
      <c r="K25" s="4">
        <f>+K21-K24</f>
        <v>3424</v>
      </c>
      <c r="L25" s="4">
        <f>+L21-L24</f>
        <v>2883</v>
      </c>
      <c r="M25" s="4">
        <f>+M21-M24</f>
        <v>2265</v>
      </c>
      <c r="N25" s="4">
        <f>+N21-N24</f>
        <v>2131</v>
      </c>
      <c r="O25" s="4">
        <f t="shared" ref="O25" si="96">+O21-O24</f>
        <v>2055</v>
      </c>
      <c r="P25" s="2">
        <f t="shared" ref="P25:X25" si="97">+P21-P24</f>
        <v>2165</v>
      </c>
      <c r="Q25" s="2">
        <f t="shared" si="97"/>
        <v>2278</v>
      </c>
      <c r="R25" s="2">
        <f t="shared" si="97"/>
        <v>2411</v>
      </c>
      <c r="S25" s="2">
        <f t="shared" si="97"/>
        <v>1959</v>
      </c>
      <c r="T25" s="2">
        <f t="shared" si="97"/>
        <v>2273</v>
      </c>
      <c r="U25" s="2">
        <f t="shared" si="97"/>
        <v>1934.3899999999994</v>
      </c>
      <c r="V25" s="2">
        <f t="shared" si="97"/>
        <v>2376</v>
      </c>
      <c r="W25" s="2">
        <f t="shared" si="97"/>
        <v>2113</v>
      </c>
      <c r="X25" s="2">
        <f t="shared" si="97"/>
        <v>2472</v>
      </c>
      <c r="Y25" s="2">
        <f t="shared" ref="Y25" si="98">+Y21-Y24</f>
        <v>2487</v>
      </c>
      <c r="Z25" s="2">
        <f t="shared" ref="Z25:AA25" si="99">+Z21-Z24</f>
        <v>2663</v>
      </c>
      <c r="AA25" s="2">
        <f t="shared" si="99"/>
        <v>1856.4799999999996</v>
      </c>
      <c r="AB25" s="2">
        <f t="shared" ref="AB25:AD25" si="100">+AB21-AB24</f>
        <v>2588.2065000000002</v>
      </c>
      <c r="AC25" s="2">
        <f t="shared" si="100"/>
        <v>2718.5879999999988</v>
      </c>
      <c r="AD25" s="2">
        <f t="shared" si="100"/>
        <v>2703.6574999999993</v>
      </c>
      <c r="AQ25" s="4">
        <f>+AQ21-AQ24</f>
        <v>3576</v>
      </c>
      <c r="AR25" s="4">
        <f>+AR21-AR24</f>
        <v>3539</v>
      </c>
      <c r="AS25" s="4">
        <f>+AS21-AS24</f>
        <v>5828</v>
      </c>
      <c r="AT25" s="4">
        <f t="shared" ref="AT25:AW25" si="101">+AT21-AT24</f>
        <v>6468</v>
      </c>
      <c r="AU25" s="4">
        <f t="shared" si="101"/>
        <v>7489</v>
      </c>
      <c r="AV25" s="4">
        <f t="shared" si="101"/>
        <v>10472</v>
      </c>
      <c r="AW25" s="4">
        <f t="shared" si="101"/>
        <v>10706</v>
      </c>
      <c r="AX25" s="4">
        <f t="shared" ref="AX25:AZ25" si="102">+AX21-AX24</f>
        <v>8909</v>
      </c>
      <c r="AY25" s="4">
        <f t="shared" si="102"/>
        <v>8932.9999999999927</v>
      </c>
      <c r="AZ25" s="4">
        <f t="shared" si="102"/>
        <v>9735</v>
      </c>
      <c r="BA25" s="4">
        <f t="shared" ref="BA25:BE25" si="103">+BA21-BA24</f>
        <v>10680.155000000002</v>
      </c>
      <c r="BB25" s="4">
        <f t="shared" si="103"/>
        <v>11424.657889999995</v>
      </c>
      <c r="BC25" s="4">
        <f t="shared" si="103"/>
        <v>12192.623389399996</v>
      </c>
      <c r="BD25" s="4">
        <f t="shared" si="103"/>
        <v>12679.758944282003</v>
      </c>
      <c r="BE25" s="4">
        <f t="shared" si="103"/>
        <v>13187.576408470464</v>
      </c>
      <c r="BF25" s="4">
        <f t="shared" ref="BF25:BJ25" si="104">+BF21-BF24</f>
        <v>13716.99963137757</v>
      </c>
      <c r="BG25" s="4">
        <f t="shared" si="104"/>
        <v>14268.995347504551</v>
      </c>
      <c r="BH25" s="4">
        <f t="shared" si="104"/>
        <v>14844.575221474617</v>
      </c>
      <c r="BI25" s="4">
        <f t="shared" si="104"/>
        <v>15444.797992341046</v>
      </c>
      <c r="BJ25" s="4">
        <f t="shared" si="104"/>
        <v>16070.771722044563</v>
      </c>
    </row>
    <row r="26" spans="2:129" x14ac:dyDescent="0.25">
      <c r="B26" s="2" t="s">
        <v>41</v>
      </c>
      <c r="G26" s="3">
        <f>-135+11+61</f>
        <v>-63</v>
      </c>
      <c r="H26" s="3">
        <f>-134+11+79</f>
        <v>-44</v>
      </c>
      <c r="I26" s="3">
        <f>-133+10+74</f>
        <v>-49</v>
      </c>
      <c r="J26" s="3">
        <f>-120+63</f>
        <v>-57</v>
      </c>
      <c r="K26" s="3">
        <f>-131+14+78</f>
        <v>-39</v>
      </c>
      <c r="L26" s="3">
        <f>-132+26+82</f>
        <v>-24</v>
      </c>
      <c r="M26" s="3">
        <f>-141+55+93</f>
        <v>7</v>
      </c>
      <c r="N26" s="4">
        <v>92</v>
      </c>
      <c r="O26">
        <v>111</v>
      </c>
      <c r="P26">
        <v>119</v>
      </c>
      <c r="Q26">
        <v>106</v>
      </c>
      <c r="R26" s="2">
        <v>118</v>
      </c>
      <c r="S26" s="2">
        <v>137</v>
      </c>
      <c r="T26" s="2">
        <v>135</v>
      </c>
      <c r="U26" s="2">
        <f>121-142+91</f>
        <v>70</v>
      </c>
      <c r="V26" s="2">
        <f>154-45</f>
        <v>109</v>
      </c>
      <c r="W26">
        <f>127-131+82</f>
        <v>78</v>
      </c>
      <c r="X26">
        <f>-121+71</f>
        <v>-50</v>
      </c>
      <c r="Y26">
        <f>-121+77</f>
        <v>-44</v>
      </c>
      <c r="Z26">
        <f>-493+308-Y26-X26-W26</f>
        <v>-169</v>
      </c>
      <c r="AA26">
        <f>-174+106</f>
        <v>-68</v>
      </c>
      <c r="AQ26">
        <f>-99+786</f>
        <v>687</v>
      </c>
      <c r="AR26" s="2">
        <f>-904+124-1413</f>
        <v>-2193</v>
      </c>
      <c r="AS26">
        <f>-826+105+139</f>
        <v>-582</v>
      </c>
      <c r="AT26">
        <f>-670+94+191</f>
        <v>-385</v>
      </c>
      <c r="AU26">
        <f>-546+46+103</f>
        <v>-397</v>
      </c>
      <c r="AV26" s="2">
        <f t="shared" ref="AV26" si="105">SUM(G26:J26)</f>
        <v>-213</v>
      </c>
      <c r="AW26" s="2">
        <f t="shared" ref="AW26" si="106">SUM(K26:N26)</f>
        <v>36</v>
      </c>
      <c r="AX26" s="2">
        <f>SUM(O26:R26)</f>
        <v>454</v>
      </c>
      <c r="AY26" s="2">
        <f t="shared" ref="AY26" si="107">SUM(S26:V26)</f>
        <v>451</v>
      </c>
      <c r="AZ26" s="2">
        <f t="shared" ref="AZ26:AZ28" si="108">SUM(W26:Z26)</f>
        <v>-185</v>
      </c>
      <c r="BA26" s="2">
        <f t="shared" ref="BA26:BJ26" si="109">+AZ40*$BM$37</f>
        <v>18.95</v>
      </c>
      <c r="BB26" s="2">
        <f t="shared" si="109"/>
        <v>473.66196250000013</v>
      </c>
      <c r="BC26" s="2">
        <f t="shared" si="109"/>
        <v>979.34055623124993</v>
      </c>
      <c r="BD26" s="2">
        <f t="shared" si="109"/>
        <v>1539.1490239205777</v>
      </c>
      <c r="BE26" s="2">
        <f t="shared" si="109"/>
        <v>2143.4526125691877</v>
      </c>
      <c r="BF26" s="2">
        <f t="shared" si="109"/>
        <v>2795.0213459633728</v>
      </c>
      <c r="BG26" s="2">
        <f t="shared" si="109"/>
        <v>0</v>
      </c>
      <c r="BH26" s="2">
        <f t="shared" si="109"/>
        <v>0</v>
      </c>
      <c r="BI26" s="2">
        <f t="shared" si="109"/>
        <v>0</v>
      </c>
      <c r="BJ26" s="2">
        <f t="shared" si="109"/>
        <v>0</v>
      </c>
    </row>
    <row r="27" spans="2:129" x14ac:dyDescent="0.25">
      <c r="B27" s="2" t="s">
        <v>42</v>
      </c>
      <c r="G27" s="4">
        <f t="shared" ref="G27:J27" si="110">+G25+G26</f>
        <v>2555</v>
      </c>
      <c r="H27" s="4">
        <f t="shared" si="110"/>
        <v>1852</v>
      </c>
      <c r="I27" s="4">
        <f t="shared" si="110"/>
        <v>3017</v>
      </c>
      <c r="J27" s="4">
        <f t="shared" si="110"/>
        <v>2835</v>
      </c>
      <c r="K27" s="4">
        <f t="shared" ref="K27:X27" si="111">+K25+K26</f>
        <v>3385</v>
      </c>
      <c r="L27" s="4">
        <f t="shared" si="111"/>
        <v>2859</v>
      </c>
      <c r="M27" s="4">
        <f t="shared" si="111"/>
        <v>2272</v>
      </c>
      <c r="N27" s="4">
        <f t="shared" si="111"/>
        <v>2223</v>
      </c>
      <c r="O27" s="4">
        <f t="shared" si="111"/>
        <v>2166</v>
      </c>
      <c r="P27" s="2">
        <f t="shared" si="111"/>
        <v>2284</v>
      </c>
      <c r="Q27" s="2">
        <f t="shared" si="111"/>
        <v>2384</v>
      </c>
      <c r="R27" s="2">
        <f t="shared" si="111"/>
        <v>2529</v>
      </c>
      <c r="S27" s="2">
        <f t="shared" si="111"/>
        <v>2096</v>
      </c>
      <c r="T27" s="2">
        <f t="shared" si="111"/>
        <v>2408</v>
      </c>
      <c r="U27" s="2">
        <f t="shared" si="111"/>
        <v>2004.3899999999994</v>
      </c>
      <c r="V27" s="2">
        <f t="shared" si="111"/>
        <v>2485</v>
      </c>
      <c r="W27" s="2">
        <f t="shared" si="111"/>
        <v>2191</v>
      </c>
      <c r="X27" s="2">
        <f t="shared" si="111"/>
        <v>2422</v>
      </c>
      <c r="Y27" s="2">
        <f t="shared" ref="Y27" si="112">+Y25+Y26</f>
        <v>2443</v>
      </c>
      <c r="Z27" s="2">
        <f t="shared" ref="Z27:AD27" si="113">+Z25+Z26</f>
        <v>2494</v>
      </c>
      <c r="AA27" s="2">
        <f t="shared" si="113"/>
        <v>1788.4799999999996</v>
      </c>
      <c r="AB27" s="2">
        <f t="shared" si="113"/>
        <v>2588.2065000000002</v>
      </c>
      <c r="AC27" s="2">
        <f t="shared" si="113"/>
        <v>2718.5879999999988</v>
      </c>
      <c r="AD27" s="2">
        <f t="shared" si="113"/>
        <v>2703.6574999999993</v>
      </c>
      <c r="AQ27" s="2">
        <f>+AQ25+AQ26</f>
        <v>4263</v>
      </c>
      <c r="AR27" s="2">
        <f>+AR25+AR26</f>
        <v>1346</v>
      </c>
      <c r="AS27" s="2">
        <f>+AS25+AS26</f>
        <v>5246</v>
      </c>
      <c r="AT27" s="2">
        <f t="shared" ref="AT27:BA27" si="114">+AT25+AT26</f>
        <v>6083</v>
      </c>
      <c r="AU27" s="2">
        <f t="shared" si="114"/>
        <v>7092</v>
      </c>
      <c r="AV27" s="2">
        <f t="shared" si="114"/>
        <v>10259</v>
      </c>
      <c r="AW27" s="2">
        <f t="shared" si="114"/>
        <v>10742</v>
      </c>
      <c r="AX27" s="2">
        <f t="shared" si="114"/>
        <v>9363</v>
      </c>
      <c r="AY27" s="2">
        <f t="shared" si="114"/>
        <v>9383.9999999999927</v>
      </c>
      <c r="AZ27" s="2">
        <f t="shared" si="114"/>
        <v>9550</v>
      </c>
      <c r="BA27" s="2">
        <f t="shared" si="114"/>
        <v>10699.105000000003</v>
      </c>
      <c r="BB27" s="2">
        <f t="shared" ref="BB27:BE27" si="115">+BB25+BB26</f>
        <v>11898.319852499995</v>
      </c>
      <c r="BC27" s="2">
        <f t="shared" si="115"/>
        <v>13171.963945631245</v>
      </c>
      <c r="BD27" s="2">
        <f t="shared" si="115"/>
        <v>14218.90796820258</v>
      </c>
      <c r="BE27" s="2">
        <f t="shared" si="115"/>
        <v>15331.029021039652</v>
      </c>
      <c r="BF27" s="2">
        <f t="shared" ref="BF27:BJ27" si="116">+BF25+BF26</f>
        <v>16512.020977340944</v>
      </c>
      <c r="BG27" s="2">
        <f t="shared" si="116"/>
        <v>14268.995347504551</v>
      </c>
      <c r="BH27" s="2">
        <f t="shared" si="116"/>
        <v>14844.575221474617</v>
      </c>
      <c r="BI27" s="2">
        <f t="shared" si="116"/>
        <v>15444.797992341046</v>
      </c>
      <c r="BJ27" s="2">
        <f t="shared" si="116"/>
        <v>16070.771722044563</v>
      </c>
    </row>
    <row r="28" spans="2:129" x14ac:dyDescent="0.25">
      <c r="B28" s="2" t="s">
        <v>43</v>
      </c>
      <c r="G28" s="3">
        <v>250</v>
      </c>
      <c r="H28" s="3">
        <v>159</v>
      </c>
      <c r="I28" s="3">
        <v>393</v>
      </c>
      <c r="J28" s="3">
        <v>398</v>
      </c>
      <c r="K28" s="3">
        <v>429</v>
      </c>
      <c r="L28" s="3">
        <v>334</v>
      </c>
      <c r="M28" s="3">
        <v>323</v>
      </c>
      <c r="N28" s="4">
        <v>360</v>
      </c>
      <c r="O28" s="3">
        <v>295</v>
      </c>
      <c r="P28">
        <v>309</v>
      </c>
      <c r="Q28">
        <v>325</v>
      </c>
      <c r="R28">
        <v>341</v>
      </c>
      <c r="S28">
        <v>306</v>
      </c>
      <c r="T28">
        <v>353</v>
      </c>
      <c r="U28" s="2">
        <v>294</v>
      </c>
      <c r="V28" s="2">
        <v>0</v>
      </c>
      <c r="W28">
        <v>453</v>
      </c>
      <c r="X28" s="2">
        <v>371</v>
      </c>
      <c r="Y28" s="2">
        <v>536</v>
      </c>
      <c r="Z28" s="2">
        <f>1942-Y28-X28-W28</f>
        <v>582</v>
      </c>
      <c r="AA28" s="2">
        <v>372</v>
      </c>
      <c r="AB28" s="2">
        <f>+AB27*0.2</f>
        <v>517.64130000000011</v>
      </c>
      <c r="AC28" s="2">
        <f>+AC27*0.2</f>
        <v>543.71759999999983</v>
      </c>
      <c r="AD28" s="2">
        <f>+AD27*0.2</f>
        <v>540.73149999999987</v>
      </c>
      <c r="AQ28">
        <v>350</v>
      </c>
      <c r="AR28">
        <v>0</v>
      </c>
      <c r="AS28">
        <v>539</v>
      </c>
      <c r="AT28">
        <v>390</v>
      </c>
      <c r="AU28">
        <v>497</v>
      </c>
      <c r="AV28" s="2">
        <f t="shared" ref="AV28" si="117">SUM(G28:J28)</f>
        <v>1200</v>
      </c>
      <c r="AW28" s="2">
        <f>SUM(K28:N28)</f>
        <v>1446</v>
      </c>
      <c r="AX28" s="2">
        <f>SUM(O28:R28)</f>
        <v>1270</v>
      </c>
      <c r="AY28" s="2">
        <f t="shared" ref="AY28" si="118">SUM(S28:V28)</f>
        <v>953</v>
      </c>
      <c r="AZ28" s="2">
        <f t="shared" si="108"/>
        <v>1942</v>
      </c>
      <c r="BA28" s="2">
        <f>BA27*0.15</f>
        <v>1604.8657500000004</v>
      </c>
      <c r="BB28" s="2">
        <f t="shared" ref="BB28:BE28" si="119">BB27*0.15</f>
        <v>1784.7479778749992</v>
      </c>
      <c r="BC28" s="2">
        <f t="shared" si="119"/>
        <v>1975.7945918446867</v>
      </c>
      <c r="BD28" s="2">
        <f t="shared" si="119"/>
        <v>2132.8361952303871</v>
      </c>
      <c r="BE28" s="2">
        <f t="shared" si="119"/>
        <v>2299.6543531559478</v>
      </c>
      <c r="BF28" s="2">
        <f t="shared" ref="BF28" si="120">BF27*0.15</f>
        <v>2476.8031466011416</v>
      </c>
      <c r="BG28" s="2">
        <f t="shared" ref="BG28" si="121">BG27*0.15</f>
        <v>2140.3493021256827</v>
      </c>
      <c r="BH28" s="2">
        <f t="shared" ref="BH28" si="122">BH27*0.15</f>
        <v>2226.6862832211923</v>
      </c>
      <c r="BI28" s="2">
        <f t="shared" ref="BI28" si="123">BI27*0.15</f>
        <v>2316.7196988511569</v>
      </c>
      <c r="BJ28" s="2">
        <f t="shared" ref="BJ28" si="124">BJ27*0.15</f>
        <v>2410.6157583066843</v>
      </c>
    </row>
    <row r="29" spans="2:129" x14ac:dyDescent="0.25">
      <c r="B29" s="2" t="s">
        <v>44</v>
      </c>
      <c r="G29" s="4">
        <f t="shared" ref="G29:J29" si="125">+G27-G28</f>
        <v>2305</v>
      </c>
      <c r="H29" s="4">
        <f t="shared" si="125"/>
        <v>1693</v>
      </c>
      <c r="I29" s="4">
        <f t="shared" si="125"/>
        <v>2624</v>
      </c>
      <c r="J29" s="4">
        <f t="shared" si="125"/>
        <v>2437</v>
      </c>
      <c r="K29" s="4">
        <f t="shared" ref="K29:X29" si="126">+K27-K28</f>
        <v>2956</v>
      </c>
      <c r="L29" s="4">
        <f t="shared" si="126"/>
        <v>2525</v>
      </c>
      <c r="M29" s="4">
        <f t="shared" si="126"/>
        <v>1949</v>
      </c>
      <c r="N29" s="4">
        <f t="shared" si="126"/>
        <v>1863</v>
      </c>
      <c r="O29" s="4">
        <f t="shared" si="126"/>
        <v>1871</v>
      </c>
      <c r="P29" s="2">
        <f t="shared" si="126"/>
        <v>1975</v>
      </c>
      <c r="Q29" s="2">
        <f t="shared" si="126"/>
        <v>2059</v>
      </c>
      <c r="R29" s="2">
        <f t="shared" si="126"/>
        <v>2188</v>
      </c>
      <c r="S29" s="2">
        <f t="shared" si="126"/>
        <v>1790</v>
      </c>
      <c r="T29" s="2">
        <f t="shared" si="126"/>
        <v>2055</v>
      </c>
      <c r="U29" s="2">
        <f t="shared" si="126"/>
        <v>1710.3899999999994</v>
      </c>
      <c r="V29" s="2">
        <f t="shared" si="126"/>
        <v>2485</v>
      </c>
      <c r="W29" s="2">
        <f t="shared" si="126"/>
        <v>1738</v>
      </c>
      <c r="X29" s="2">
        <f t="shared" si="126"/>
        <v>2051</v>
      </c>
      <c r="Y29" s="2">
        <f t="shared" ref="Y29" si="127">+Y27-Y28</f>
        <v>1907</v>
      </c>
      <c r="Z29" s="2">
        <f t="shared" ref="Z29:AD29" si="128">+Z27-Z28</f>
        <v>1912</v>
      </c>
      <c r="AA29" s="2">
        <f t="shared" si="128"/>
        <v>1416.4799999999996</v>
      </c>
      <c r="AB29" s="2">
        <f t="shared" si="128"/>
        <v>2070.5652</v>
      </c>
      <c r="AC29" s="2">
        <f t="shared" si="128"/>
        <v>2174.8703999999989</v>
      </c>
      <c r="AD29" s="2">
        <f t="shared" si="128"/>
        <v>2162.9259999999995</v>
      </c>
      <c r="AQ29" s="2">
        <f t="shared" ref="AQ29:BA29" si="129">+AQ27-AQ28</f>
        <v>3913</v>
      </c>
      <c r="AR29" s="2">
        <f t="shared" si="129"/>
        <v>1346</v>
      </c>
      <c r="AS29" s="2">
        <f t="shared" si="129"/>
        <v>4707</v>
      </c>
      <c r="AT29" s="2">
        <f t="shared" si="129"/>
        <v>5693</v>
      </c>
      <c r="AU29" s="2">
        <f t="shared" si="129"/>
        <v>6595</v>
      </c>
      <c r="AV29" s="2">
        <f t="shared" si="129"/>
        <v>9059</v>
      </c>
      <c r="AW29" s="2">
        <f t="shared" si="129"/>
        <v>9296</v>
      </c>
      <c r="AX29" s="2">
        <f t="shared" si="129"/>
        <v>8093</v>
      </c>
      <c r="AY29" s="2">
        <f t="shared" si="129"/>
        <v>8430.9999999999927</v>
      </c>
      <c r="AZ29" s="2">
        <f t="shared" si="129"/>
        <v>7608</v>
      </c>
      <c r="BA29" s="2">
        <f t="shared" si="129"/>
        <v>9094.2392500000024</v>
      </c>
      <c r="BB29" s="2">
        <f t="shared" ref="BB29:BE29" si="130">+BB27-BB28</f>
        <v>10113.571874624997</v>
      </c>
      <c r="BC29" s="2">
        <f t="shared" si="130"/>
        <v>11196.169353786558</v>
      </c>
      <c r="BD29" s="2">
        <f t="shared" si="130"/>
        <v>12086.071772972193</v>
      </c>
      <c r="BE29" s="2">
        <f t="shared" si="130"/>
        <v>13031.374667883705</v>
      </c>
      <c r="BF29" s="2">
        <f t="shared" ref="BF29:BJ29" si="131">+BF27-BF28</f>
        <v>14035.217830739803</v>
      </c>
      <c r="BG29" s="2">
        <f t="shared" si="131"/>
        <v>12128.646045378868</v>
      </c>
      <c r="BH29" s="2">
        <f t="shared" si="131"/>
        <v>12617.888938253425</v>
      </c>
      <c r="BI29" s="2">
        <f t="shared" si="131"/>
        <v>13128.078293489889</v>
      </c>
      <c r="BJ29" s="2">
        <f t="shared" si="131"/>
        <v>13660.155963737878</v>
      </c>
      <c r="BK29" s="2">
        <f t="shared" ref="BK29:CP29" si="132">BJ29*(1+$BM$35)</f>
        <v>13523.5544041005</v>
      </c>
      <c r="BL29" s="2">
        <f t="shared" si="132"/>
        <v>13388.318860059495</v>
      </c>
      <c r="BM29" s="2">
        <f t="shared" si="132"/>
        <v>13254.435671458899</v>
      </c>
      <c r="BN29" s="2">
        <f t="shared" si="132"/>
        <v>13121.891314744311</v>
      </c>
      <c r="BO29" s="2">
        <f t="shared" si="132"/>
        <v>12990.672401596868</v>
      </c>
      <c r="BP29" s="2">
        <f t="shared" si="132"/>
        <v>12860.765677580899</v>
      </c>
      <c r="BQ29" s="2">
        <f t="shared" si="132"/>
        <v>12732.158020805091</v>
      </c>
      <c r="BR29" s="2">
        <f t="shared" si="132"/>
        <v>12604.836440597041</v>
      </c>
      <c r="BS29" s="2">
        <f t="shared" si="132"/>
        <v>12478.788076191069</v>
      </c>
      <c r="BT29" s="2">
        <f t="shared" si="132"/>
        <v>12354.000195429158</v>
      </c>
      <c r="BU29" s="2">
        <f t="shared" si="132"/>
        <v>12230.460193474866</v>
      </c>
      <c r="BV29" s="2">
        <f t="shared" si="132"/>
        <v>12108.155591540117</v>
      </c>
      <c r="BW29" s="2">
        <f t="shared" si="132"/>
        <v>11987.074035624715</v>
      </c>
      <c r="BX29" s="2">
        <f t="shared" si="132"/>
        <v>11867.203295268468</v>
      </c>
      <c r="BY29" s="2">
        <f t="shared" si="132"/>
        <v>11748.531262315782</v>
      </c>
      <c r="BZ29" s="2">
        <f t="shared" si="132"/>
        <v>11631.045949692625</v>
      </c>
      <c r="CA29" s="2">
        <f t="shared" si="132"/>
        <v>11514.735490195699</v>
      </c>
      <c r="CB29" s="2">
        <f t="shared" si="132"/>
        <v>11399.588135293741</v>
      </c>
      <c r="CC29" s="2">
        <f t="shared" si="132"/>
        <v>11285.592253940804</v>
      </c>
      <c r="CD29" s="2">
        <f t="shared" si="132"/>
        <v>11172.736331401396</v>
      </c>
      <c r="CE29" s="2">
        <f t="shared" si="132"/>
        <v>11061.008968087383</v>
      </c>
      <c r="CF29" s="2">
        <f t="shared" si="132"/>
        <v>10950.398878406508</v>
      </c>
      <c r="CG29" s="2">
        <f t="shared" si="132"/>
        <v>10840.894889622443</v>
      </c>
      <c r="CH29" s="2">
        <f t="shared" si="132"/>
        <v>10732.485940726217</v>
      </c>
      <c r="CI29" s="2">
        <f t="shared" si="132"/>
        <v>10625.161081318955</v>
      </c>
      <c r="CJ29" s="2">
        <f t="shared" si="132"/>
        <v>10518.909470505765</v>
      </c>
      <c r="CK29" s="2">
        <f t="shared" si="132"/>
        <v>10413.720375800707</v>
      </c>
      <c r="CL29" s="2">
        <f t="shared" si="132"/>
        <v>10309.5831720427</v>
      </c>
      <c r="CM29" s="2">
        <f t="shared" si="132"/>
        <v>10206.487340322272</v>
      </c>
      <c r="CN29" s="2">
        <f t="shared" si="132"/>
        <v>10104.42246691905</v>
      </c>
      <c r="CO29" s="2">
        <f t="shared" si="132"/>
        <v>10003.378242249859</v>
      </c>
      <c r="CP29" s="2">
        <f t="shared" si="132"/>
        <v>9903.34445982736</v>
      </c>
      <c r="CQ29" s="2">
        <f t="shared" ref="CQ29:DY29" si="133">CP29*(1+$BM$35)</f>
        <v>9804.3110152290865</v>
      </c>
      <c r="CR29" s="2">
        <f t="shared" si="133"/>
        <v>9706.2679050767947</v>
      </c>
      <c r="CS29" s="2">
        <f t="shared" si="133"/>
        <v>9609.2052260260261</v>
      </c>
      <c r="CT29" s="2">
        <f t="shared" si="133"/>
        <v>9513.1131737657652</v>
      </c>
      <c r="CU29" s="2">
        <f t="shared" si="133"/>
        <v>9417.9820420281067</v>
      </c>
      <c r="CV29" s="2">
        <f t="shared" si="133"/>
        <v>9323.8022216078261</v>
      </c>
      <c r="CW29" s="2">
        <f t="shared" si="133"/>
        <v>9230.564199391747</v>
      </c>
      <c r="CX29" s="2">
        <f t="shared" si="133"/>
        <v>9138.2585573978304</v>
      </c>
      <c r="CY29" s="2">
        <f t="shared" si="133"/>
        <v>9046.8759718238525</v>
      </c>
      <c r="CZ29" s="2">
        <f t="shared" si="133"/>
        <v>8956.4072121056142</v>
      </c>
      <c r="DA29" s="2">
        <f t="shared" si="133"/>
        <v>8866.8431399845576</v>
      </c>
      <c r="DB29" s="2">
        <f t="shared" si="133"/>
        <v>8778.1747085847128</v>
      </c>
      <c r="DC29" s="2">
        <f t="shared" si="133"/>
        <v>8690.3929614988647</v>
      </c>
      <c r="DD29" s="2">
        <f t="shared" si="133"/>
        <v>8603.4890318838752</v>
      </c>
      <c r="DE29" s="2">
        <f t="shared" si="133"/>
        <v>8517.4541415650365</v>
      </c>
      <c r="DF29" s="2">
        <f t="shared" si="133"/>
        <v>8432.2796001493862</v>
      </c>
      <c r="DG29" s="2">
        <f t="shared" si="133"/>
        <v>8347.9568041478924</v>
      </c>
      <c r="DH29" s="2">
        <f t="shared" si="133"/>
        <v>8264.4772361064133</v>
      </c>
      <c r="DI29" s="2">
        <f t="shared" si="133"/>
        <v>8181.8324637453488</v>
      </c>
      <c r="DJ29" s="2">
        <f t="shared" si="133"/>
        <v>8100.0141391078951</v>
      </c>
      <c r="DK29" s="2">
        <f t="shared" si="133"/>
        <v>8019.0139977168164</v>
      </c>
      <c r="DL29" s="2">
        <f t="shared" si="133"/>
        <v>7938.8238577396478</v>
      </c>
      <c r="DM29" s="2">
        <f t="shared" si="133"/>
        <v>7859.435619162251</v>
      </c>
      <c r="DN29" s="2">
        <f t="shared" si="133"/>
        <v>7780.8412629706281</v>
      </c>
      <c r="DO29" s="2">
        <f t="shared" si="133"/>
        <v>7703.0328503409219</v>
      </c>
      <c r="DP29" s="2">
        <f t="shared" si="133"/>
        <v>7626.0025218375122</v>
      </c>
      <c r="DQ29" s="2">
        <f t="shared" si="133"/>
        <v>7549.7424966191365</v>
      </c>
      <c r="DR29" s="2">
        <f t="shared" si="133"/>
        <v>7474.2450716529447</v>
      </c>
      <c r="DS29" s="2">
        <f t="shared" si="133"/>
        <v>7399.502620936415</v>
      </c>
      <c r="DT29" s="2">
        <f t="shared" si="133"/>
        <v>7325.5075947270507</v>
      </c>
      <c r="DU29" s="2">
        <f t="shared" si="133"/>
        <v>7252.2525187797801</v>
      </c>
      <c r="DV29" s="2">
        <f t="shared" si="133"/>
        <v>7179.7299935919818</v>
      </c>
      <c r="DW29" s="2">
        <f t="shared" si="133"/>
        <v>7107.9326936560619</v>
      </c>
      <c r="DX29" s="2">
        <f t="shared" si="133"/>
        <v>7036.8533667195015</v>
      </c>
      <c r="DY29" s="2">
        <f t="shared" si="133"/>
        <v>6966.4848330523064</v>
      </c>
    </row>
    <row r="30" spans="2:129" x14ac:dyDescent="0.25">
      <c r="B30" s="2" t="s">
        <v>45</v>
      </c>
      <c r="G30" s="7" t="e">
        <f t="shared" ref="G30:O30" si="134">+G29/G31</f>
        <v>#DIV/0!</v>
      </c>
      <c r="H30" s="7">
        <f t="shared" si="134"/>
        <v>0.94408064779657819</v>
      </c>
      <c r="I30" s="7">
        <f t="shared" si="134"/>
        <v>1.4667420160659677</v>
      </c>
      <c r="J30" s="7">
        <f t="shared" si="134"/>
        <v>1.3675645342312008</v>
      </c>
      <c r="K30" s="7">
        <f t="shared" si="134"/>
        <v>1.6657819313377762</v>
      </c>
      <c r="L30" s="7">
        <f t="shared" si="134"/>
        <v>1.4302197213988626</v>
      </c>
      <c r="M30" s="7">
        <f t="shared" si="134"/>
        <v>1.1050926684557563</v>
      </c>
      <c r="N30" s="7">
        <f t="shared" si="134"/>
        <v>1.0621436716077537</v>
      </c>
      <c r="O30" s="7">
        <f t="shared" si="134"/>
        <v>1.0679223744292237</v>
      </c>
      <c r="P30" s="1">
        <f t="shared" ref="P30:X30" si="135">+P29/P31</f>
        <v>1.1279268989149058</v>
      </c>
      <c r="Q30" s="1">
        <f t="shared" si="135"/>
        <v>1.1779176201372998</v>
      </c>
      <c r="R30" s="1">
        <f t="shared" si="135"/>
        <v>1.2517162471395882</v>
      </c>
      <c r="S30" s="1">
        <f t="shared" si="135"/>
        <v>1.0228571428571429</v>
      </c>
      <c r="T30" s="1">
        <f t="shared" si="135"/>
        <v>1.1736150770988008</v>
      </c>
      <c r="U30" s="1">
        <f t="shared" si="135"/>
        <v>0.97870962241294723</v>
      </c>
      <c r="V30" s="1">
        <f t="shared" si="135"/>
        <v>1.4232531500572738</v>
      </c>
      <c r="W30" s="1">
        <f t="shared" si="135"/>
        <v>0.99472304575268133</v>
      </c>
      <c r="X30" s="1">
        <f t="shared" si="135"/>
        <v>1.1714410552679151</v>
      </c>
      <c r="Y30" s="1">
        <f t="shared" ref="Y30" si="136">+Y29/Y31</f>
        <v>1.0901123324459616</v>
      </c>
      <c r="Z30" s="1">
        <f t="shared" ref="Z30:AB30" si="137">+Z29/Z31</f>
        <v>1.0938215102974829</v>
      </c>
      <c r="AA30" s="1">
        <f t="shared" si="137"/>
        <v>0.81077321897825649</v>
      </c>
      <c r="AB30" s="1">
        <f t="shared" si="137"/>
        <v>1.1851623830257807</v>
      </c>
      <c r="AC30" s="1">
        <f t="shared" ref="AC30:AD30" si="138">+AC29/AC31</f>
        <v>1.2448652116997967</v>
      </c>
      <c r="AD30" s="1">
        <f t="shared" si="138"/>
        <v>1.2380284052240516</v>
      </c>
      <c r="AQ30" s="1">
        <f>+AQ29/AQ31</f>
        <v>2.6385704652730952</v>
      </c>
      <c r="AR30" s="1">
        <f>+AR29/AR31</f>
        <v>0.76958261863922239</v>
      </c>
      <c r="AS30" s="1">
        <f>+AS29/AS31</f>
        <v>2.659322033898305</v>
      </c>
      <c r="AT30" s="1">
        <f t="shared" ref="AT30:BA30" si="139">+AT29/AT31</f>
        <v>3.1965188096574959</v>
      </c>
      <c r="AU30" s="1">
        <f t="shared" si="139"/>
        <v>3.692609182530795</v>
      </c>
      <c r="AV30" s="1">
        <f t="shared" si="139"/>
        <v>5.0662922391419682</v>
      </c>
      <c r="AW30" s="1">
        <f t="shared" si="139"/>
        <v>5.2686032675428587</v>
      </c>
      <c r="AX30" s="1">
        <f t="shared" si="139"/>
        <v>4.625232176025146</v>
      </c>
      <c r="AY30" s="1">
        <f t="shared" si="139"/>
        <v>4.8214357453331438</v>
      </c>
      <c r="AZ30" s="1">
        <f t="shared" si="139"/>
        <v>4.3502773816453519</v>
      </c>
      <c r="BA30" s="1">
        <f t="shared" si="139"/>
        <v>5.2001134743094637</v>
      </c>
      <c r="BB30" s="1">
        <f t="shared" ref="BB30:BE30" si="140">+BB29/BB31</f>
        <v>5.7829709481894982</v>
      </c>
      <c r="BC30" s="1">
        <f t="shared" si="140"/>
        <v>6.4020034569990161</v>
      </c>
      <c r="BD30" s="1">
        <f t="shared" si="140"/>
        <v>6.9108523484362863</v>
      </c>
      <c r="BE30" s="1">
        <f t="shared" si="140"/>
        <v>7.4513793992429926</v>
      </c>
      <c r="BF30" s="1">
        <f t="shared" ref="BF30:BJ30" si="141">+BF29/BF31</f>
        <v>8.0253799520942302</v>
      </c>
      <c r="BG30" s="1">
        <f t="shared" si="141"/>
        <v>6.9351964460034212</v>
      </c>
      <c r="BH30" s="1">
        <f t="shared" si="141"/>
        <v>7.214947010015373</v>
      </c>
      <c r="BI30" s="1">
        <f t="shared" si="141"/>
        <v>7.5066748244792807</v>
      </c>
      <c r="BJ30" s="1">
        <f t="shared" si="141"/>
        <v>7.8109184435852717</v>
      </c>
    </row>
    <row r="31" spans="2:129" s="2" customFormat="1" x14ac:dyDescent="0.25">
      <c r="B31" s="2" t="s">
        <v>1</v>
      </c>
      <c r="C31" s="4"/>
      <c r="D31" s="4"/>
      <c r="E31" s="4"/>
      <c r="F31" s="4"/>
      <c r="G31" s="4"/>
      <c r="H31" s="4">
        <v>1793.279</v>
      </c>
      <c r="I31" s="4">
        <v>1788.999</v>
      </c>
      <c r="J31" s="4">
        <v>1782</v>
      </c>
      <c r="K31" s="4">
        <v>1774.5419999999999</v>
      </c>
      <c r="L31" s="4">
        <v>1765.463</v>
      </c>
      <c r="M31" s="4">
        <v>1763.653</v>
      </c>
      <c r="N31" s="4">
        <v>1754</v>
      </c>
      <c r="O31" s="2">
        <v>1752</v>
      </c>
      <c r="P31" s="2">
        <v>1751</v>
      </c>
      <c r="Q31" s="2">
        <v>1748</v>
      </c>
      <c r="R31" s="2">
        <v>1748</v>
      </c>
      <c r="S31" s="2">
        <v>1750</v>
      </c>
      <c r="T31" s="2">
        <v>1751</v>
      </c>
      <c r="U31" s="2">
        <v>1747.597</v>
      </c>
      <c r="V31" s="2">
        <v>1746</v>
      </c>
      <c r="W31" s="2">
        <v>1747.22</v>
      </c>
      <c r="X31" s="2">
        <v>1750.835</v>
      </c>
      <c r="Y31" s="2">
        <v>1749.3610000000001</v>
      </c>
      <c r="Z31" s="2">
        <v>1748</v>
      </c>
      <c r="AA31" s="2">
        <v>1747.0730000000001</v>
      </c>
      <c r="AB31" s="2">
        <f>+AA31</f>
        <v>1747.0730000000001</v>
      </c>
      <c r="AC31" s="2">
        <f t="shared" ref="AC31:AD31" si="142">+AB31</f>
        <v>1747.0730000000001</v>
      </c>
      <c r="AD31" s="2">
        <f t="shared" si="142"/>
        <v>1747.0730000000001</v>
      </c>
      <c r="AQ31" s="2">
        <v>1483</v>
      </c>
      <c r="AR31" s="2">
        <v>1749</v>
      </c>
      <c r="AS31" s="2">
        <v>1770</v>
      </c>
      <c r="AT31" s="2">
        <v>1781</v>
      </c>
      <c r="AU31" s="2">
        <v>1786</v>
      </c>
      <c r="AV31" s="2">
        <f>AVERAGE(G31:J31)</f>
        <v>1788.0926666666667</v>
      </c>
      <c r="AW31" s="2">
        <f>AVERAGE(K31:N31)</f>
        <v>1764.4145000000001</v>
      </c>
      <c r="AX31" s="2">
        <f>AVERAGE(O31:R31)</f>
        <v>1749.75</v>
      </c>
      <c r="AY31" s="2">
        <f>AVERAGE(S31:V31)</f>
        <v>1748.6492499999999</v>
      </c>
      <c r="AZ31" s="2">
        <f>AVERAGE(W31:Z31)</f>
        <v>1748.854</v>
      </c>
      <c r="BA31" s="2">
        <f>+AZ31</f>
        <v>1748.854</v>
      </c>
      <c r="BB31" s="2">
        <f t="shared" ref="BB31:BE31" si="143">+BA31</f>
        <v>1748.854</v>
      </c>
      <c r="BC31" s="2">
        <f t="shared" si="143"/>
        <v>1748.854</v>
      </c>
      <c r="BD31" s="2">
        <f t="shared" si="143"/>
        <v>1748.854</v>
      </c>
      <c r="BE31" s="2">
        <f t="shared" si="143"/>
        <v>1748.854</v>
      </c>
      <c r="BF31" s="2">
        <f t="shared" ref="BF31:BJ31" si="144">+BE31</f>
        <v>1748.854</v>
      </c>
      <c r="BG31" s="2">
        <f t="shared" si="144"/>
        <v>1748.854</v>
      </c>
      <c r="BH31" s="2">
        <f t="shared" si="144"/>
        <v>1748.854</v>
      </c>
      <c r="BI31" s="2">
        <f t="shared" si="144"/>
        <v>1748.854</v>
      </c>
      <c r="BJ31" s="2">
        <f t="shared" si="144"/>
        <v>1748.854</v>
      </c>
    </row>
    <row r="33" spans="2:65" s="10" customFormat="1" ht="13" x14ac:dyDescent="0.3">
      <c r="B33" s="5" t="s">
        <v>46</v>
      </c>
      <c r="C33" s="8"/>
      <c r="D33" s="8"/>
      <c r="E33" s="8"/>
      <c r="F33" s="8"/>
      <c r="G33" s="8"/>
      <c r="H33" s="8"/>
      <c r="I33" s="8"/>
      <c r="J33" s="8"/>
      <c r="K33" s="9">
        <f>K19/G19-1</f>
        <v>0.13762433052792655</v>
      </c>
      <c r="L33" s="9">
        <f>L19/H19-1</f>
        <v>0.10114447813753302</v>
      </c>
      <c r="M33" s="9">
        <f>M19/I19-1</f>
        <v>-4.767569546120054E-2</v>
      </c>
      <c r="N33" s="9">
        <f>N19/J19-1</f>
        <v>-0.12033484478549006</v>
      </c>
      <c r="O33" s="13">
        <f t="shared" ref="O33" si="145">+O19/K19-1</f>
        <v>-0.18083228247162675</v>
      </c>
      <c r="P33" s="13">
        <f t="shared" ref="P33:Z33" si="146">+P19/L19-1</f>
        <v>-0.11388469396819756</v>
      </c>
      <c r="Q33" s="13">
        <f t="shared" si="146"/>
        <v>-2.57518977611223E-2</v>
      </c>
      <c r="R33" s="13">
        <f t="shared" si="146"/>
        <v>1.4770023790642295E-2</v>
      </c>
      <c r="S33" s="13">
        <f t="shared" si="146"/>
        <v>2.2557471264367912E-2</v>
      </c>
      <c r="T33" s="13">
        <f t="shared" si="146"/>
        <v>3.9899749373433657E-2</v>
      </c>
      <c r="U33" s="13">
        <f t="shared" si="146"/>
        <v>1.0000000000000009E-2</v>
      </c>
      <c r="V33" s="13">
        <f t="shared" si="146"/>
        <v>7.1993748168408755E-2</v>
      </c>
      <c r="W33" s="13">
        <f t="shared" si="146"/>
        <v>3.9563218852245008E-2</v>
      </c>
      <c r="X33" s="13">
        <f t="shared" si="146"/>
        <v>7.413477296828308E-2</v>
      </c>
      <c r="Y33" s="13">
        <f t="shared" si="146"/>
        <v>0.11021162279952246</v>
      </c>
      <c r="Z33" s="13">
        <f t="shared" si="146"/>
        <v>4.4195370876617401E-2</v>
      </c>
      <c r="AA33" s="13">
        <f t="shared" ref="AA33:AD33" si="147">+AA19/W19-1</f>
        <v>7.781424985518437E-2</v>
      </c>
      <c r="AB33" s="13">
        <f t="shared" si="147"/>
        <v>8.3871836295099644E-3</v>
      </c>
      <c r="AC33" s="13">
        <f t="shared" si="147"/>
        <v>6.9839035975018948E-3</v>
      </c>
      <c r="AD33" s="13">
        <f t="shared" si="147"/>
        <v>7.0468627279867135E-3</v>
      </c>
      <c r="AP33" s="13">
        <f t="shared" ref="AP33:AU33" si="148">+AP19/AO19-1</f>
        <v>7.8036252284288121E-3</v>
      </c>
      <c r="AQ33" s="13">
        <f t="shared" si="148"/>
        <v>2.1955403087478453E-2</v>
      </c>
      <c r="AR33" s="13">
        <f t="shared" si="148"/>
        <v>0.31348007480938</v>
      </c>
      <c r="AS33" s="13">
        <f t="shared" si="148"/>
        <v>0.11639284410368744</v>
      </c>
      <c r="AT33" s="13">
        <f t="shared" si="148"/>
        <v>4.3364510432337022E-2</v>
      </c>
      <c r="AU33" s="13">
        <f t="shared" si="148"/>
        <v>8.4754262788365065E-2</v>
      </c>
      <c r="AV33" s="13">
        <f t="shared" ref="AV33:AZ33" si="149">+AV19/AU19-1</f>
        <v>0.2446544151641239</v>
      </c>
      <c r="AW33" s="13">
        <f t="shared" si="149"/>
        <v>1.3348810214741658E-2</v>
      </c>
      <c r="AX33" s="13">
        <f t="shared" si="149"/>
        <v>-8.1443298969072209E-2</v>
      </c>
      <c r="AY33" s="13">
        <f t="shared" si="149"/>
        <v>4.6060606060605913E-2</v>
      </c>
      <c r="AZ33" s="13">
        <f t="shared" si="149"/>
        <v>5.6893123328040307E-2</v>
      </c>
      <c r="BA33" s="13">
        <f t="shared" ref="BA33" si="150">+BA19/AZ19-1</f>
        <v>4.533252120555864E-2</v>
      </c>
      <c r="BB33" s="13">
        <f t="shared" ref="BB33" si="151">+BB19/BA19-1</f>
        <v>4.6056800647423568E-2</v>
      </c>
      <c r="BC33" s="13">
        <f t="shared" ref="BC33" si="152">+BC19/BB19-1</f>
        <v>4.5390645919119343E-2</v>
      </c>
      <c r="BD33" s="13">
        <f t="shared" ref="BD33" si="153">+BD19/BC19-1</f>
        <v>3.4201680013888458E-2</v>
      </c>
      <c r="BE33" s="13">
        <f t="shared" ref="BE33" si="154">+BE19/BD19-1</f>
        <v>3.4265864289181547E-2</v>
      </c>
    </row>
    <row r="34" spans="2:65" x14ac:dyDescent="0.25">
      <c r="B34" s="2" t="s">
        <v>135</v>
      </c>
      <c r="I34" s="14"/>
      <c r="J34" s="14"/>
      <c r="K34" s="14">
        <f t="shared" ref="K34" si="155">+K18/G18-1</f>
        <v>0.1489795918367347</v>
      </c>
      <c r="L34" s="14">
        <f t="shared" ref="L34" si="156">+L18/H18-1</f>
        <v>0.1287878787878789</v>
      </c>
      <c r="M34" s="14">
        <f t="shared" ref="M34" si="157">+M18/I18-1</f>
        <v>4.1034790365744866E-2</v>
      </c>
      <c r="N34" s="14">
        <f t="shared" ref="N34" si="158">+N18/J18-1</f>
        <v>8.5397096498718961E-2</v>
      </c>
      <c r="O34" s="14">
        <f t="shared" ref="O34" si="159">+O18/K18-1</f>
        <v>0.1660746003552398</v>
      </c>
      <c r="P34" s="14">
        <f t="shared" ref="P34" si="160">+P18/L18-1</f>
        <v>0.19463087248322153</v>
      </c>
      <c r="Q34" s="14">
        <f t="shared" ref="Q34" si="161">+Q18/M18-1</f>
        <v>0.26135389888603267</v>
      </c>
      <c r="R34" s="14">
        <f t="shared" ref="R34" si="162">+R18/N18-1</f>
        <v>0.22108575924468932</v>
      </c>
      <c r="S34" s="14">
        <f t="shared" ref="S34" si="163">+S18/O18-1</f>
        <v>0.19497334348819506</v>
      </c>
      <c r="T34" s="14">
        <f t="shared" ref="T34" si="164">+T18/P18-1</f>
        <v>0.15730337078651679</v>
      </c>
      <c r="U34" s="14">
        <f t="shared" ref="U34:V34" si="165">+U18/Q18-1</f>
        <v>0.171875</v>
      </c>
      <c r="V34" s="14">
        <f t="shared" si="165"/>
        <v>0.20038659793814428</v>
      </c>
      <c r="W34" s="14">
        <f>+W18/S18-1</f>
        <v>0.1644359464627152</v>
      </c>
      <c r="X34" s="14">
        <f t="shared" ref="X34:Z34" si="166">+X18/T18-1</f>
        <v>0.2020631067961165</v>
      </c>
      <c r="Y34" s="14">
        <f t="shared" si="166"/>
        <v>0.19246376811594201</v>
      </c>
      <c r="Z34" s="14">
        <f t="shared" si="166"/>
        <v>0.14492753623188404</v>
      </c>
      <c r="AA34" s="14">
        <f t="shared" ref="AA34" si="167">+AA18/W18-1</f>
        <v>0.13847837985769029</v>
      </c>
      <c r="AB34" s="14">
        <f t="shared" ref="AB34" si="168">+AB18/X18-1</f>
        <v>5.0000000000000044E-2</v>
      </c>
      <c r="AC34" s="14">
        <f t="shared" ref="AC34" si="169">+AC18/Y18-1</f>
        <v>5.0000000000000044E-2</v>
      </c>
      <c r="AD34" s="14">
        <f t="shared" ref="AD34" si="170">+AD18/Z18-1</f>
        <v>5.0000000000000044E-2</v>
      </c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BL34" t="s">
        <v>140</v>
      </c>
      <c r="BM34" s="14">
        <v>7.0000000000000007E-2</v>
      </c>
    </row>
    <row r="35" spans="2:65" x14ac:dyDescent="0.25">
      <c r="B35" s="2" t="s">
        <v>136</v>
      </c>
      <c r="I35" s="14"/>
      <c r="J35" s="14"/>
      <c r="K35" s="14"/>
      <c r="L35" s="14"/>
      <c r="M35" s="14"/>
      <c r="N35" s="14">
        <f t="shared" ref="N35" si="171">+N17/J17-1</f>
        <v>-0.10766961651917406</v>
      </c>
      <c r="O35" s="14">
        <f t="shared" ref="O35" si="172">+O17/K17-1</f>
        <v>-3.231017770597755E-3</v>
      </c>
      <c r="P35" s="14">
        <f t="shared" ref="P35" si="173">+P17/L17-1</f>
        <v>9.4946401225114885E-2</v>
      </c>
      <c r="Q35" s="14">
        <f t="shared" ref="Q35" si="174">+Q17/M17-1</f>
        <v>0.10891089108910901</v>
      </c>
      <c r="R35" s="14">
        <f t="shared" ref="R35" si="175">+R17/N17-1</f>
        <v>0.11900826446280988</v>
      </c>
      <c r="S35" s="14">
        <f t="shared" ref="S35:V35" si="176">+S17/O17-1</f>
        <v>0.11669367909238249</v>
      </c>
      <c r="T35" s="14">
        <f t="shared" si="176"/>
        <v>1.2587412587412583E-2</v>
      </c>
      <c r="U35" s="14">
        <f t="shared" si="176"/>
        <v>4.0178571428571397E-2</v>
      </c>
      <c r="V35" s="14">
        <f t="shared" si="176"/>
        <v>7.0901033973412186E-2</v>
      </c>
      <c r="W35" s="14">
        <f>+W17/S17-1</f>
        <v>3.0478955007256836E-2</v>
      </c>
      <c r="X35" s="14">
        <f t="shared" ref="X35:Z35" si="177">+X17/T17-1</f>
        <v>4.5580110497237536E-2</v>
      </c>
      <c r="Y35" s="14">
        <f t="shared" si="177"/>
        <v>6.5808297567954144E-2</v>
      </c>
      <c r="Z35" s="14">
        <f t="shared" si="177"/>
        <v>8.0000000000000071E-2</v>
      </c>
      <c r="AA35" s="14">
        <f t="shared" ref="AA35" si="178">+AA17/W17-1</f>
        <v>9.4366197183098688E-2</v>
      </c>
      <c r="AB35" s="14">
        <f t="shared" ref="AB35" si="179">+AB17/X17-1</f>
        <v>5.0000000000000044E-2</v>
      </c>
      <c r="AC35" s="14">
        <f t="shared" ref="AC35" si="180">+AC17/Y17-1</f>
        <v>5.0000000000000044E-2</v>
      </c>
      <c r="AD35" s="14">
        <f t="shared" ref="AD35" si="181">+AD17/Z17-1</f>
        <v>5.0000000000000044E-2</v>
      </c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BL35" t="s">
        <v>141</v>
      </c>
      <c r="BM35" s="14">
        <v>-0.01</v>
      </c>
    </row>
    <row r="36" spans="2:65" x14ac:dyDescent="0.25">
      <c r="B36" s="2" t="s">
        <v>137</v>
      </c>
      <c r="I36" s="14"/>
      <c r="J36" s="14"/>
      <c r="K36" s="14"/>
      <c r="L36" s="14"/>
      <c r="M36" s="14"/>
      <c r="N36" s="14"/>
      <c r="O36" s="14"/>
      <c r="P36" s="14">
        <f t="shared" ref="P36:P37" si="182">+P22/L22-1</f>
        <v>-1.4145810663764968E-2</v>
      </c>
      <c r="Q36" s="14">
        <f t="shared" ref="Q36:Q37" si="183">+Q22/M22-1</f>
        <v>-1.8674478213108747E-2</v>
      </c>
      <c r="R36" s="14">
        <f t="shared" ref="R36:R37" si="184">+R22/N22-1</f>
        <v>-4.9487451396253102E-2</v>
      </c>
      <c r="S36" s="14">
        <f t="shared" ref="S36:V37" si="185">+S22/O22-1</f>
        <v>5.901520637219404E-2</v>
      </c>
      <c r="T36" s="14">
        <f t="shared" si="185"/>
        <v>5.9234731420161779E-2</v>
      </c>
      <c r="U36" s="14">
        <f t="shared" si="185"/>
        <v>8.0223880597015018E-2</v>
      </c>
      <c r="V36" s="14">
        <f t="shared" si="185"/>
        <v>8.107103012272221E-2</v>
      </c>
      <c r="W36" s="14">
        <f>+W22/S22-1</f>
        <v>4.6495726495726419E-2</v>
      </c>
      <c r="X36" s="14">
        <f t="shared" ref="X36:Z37" si="186">+X22/T22-1</f>
        <v>7.3636679402570238E-2</v>
      </c>
      <c r="Y36" s="14">
        <f t="shared" si="186"/>
        <v>5.3886010362694359E-2</v>
      </c>
      <c r="Z36" s="14">
        <f t="shared" si="186"/>
        <v>7.636738906088758E-2</v>
      </c>
      <c r="AA36" s="14">
        <f t="shared" ref="AA36:AA37" si="187">+AA22/W22-1</f>
        <v>0.22182293368180339</v>
      </c>
      <c r="AB36" s="14">
        <f t="shared" ref="AB36:AB37" si="188">+AB22/X22-1</f>
        <v>0</v>
      </c>
      <c r="AC36" s="14">
        <f t="shared" ref="AC36:AC37" si="189">+AC22/Y22-1</f>
        <v>0</v>
      </c>
      <c r="AD36" s="14">
        <f t="shared" ref="AD36:AD37" si="190">+AD22/Z22-1</f>
        <v>0</v>
      </c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BL36" t="s">
        <v>139</v>
      </c>
      <c r="BM36" s="2">
        <f>NPV(BM34,BA29:DY29)+Main!L5-Main!L6</f>
        <v>143118.54137540385</v>
      </c>
    </row>
    <row r="37" spans="2:65" x14ac:dyDescent="0.25">
      <c r="B37" s="2" t="s">
        <v>138</v>
      </c>
      <c r="I37" s="14"/>
      <c r="J37" s="14"/>
      <c r="K37" s="14"/>
      <c r="L37" s="14"/>
      <c r="M37" s="14"/>
      <c r="N37" s="14"/>
      <c r="O37" s="14"/>
      <c r="P37" s="14">
        <f t="shared" si="182"/>
        <v>-5.9941520467836296E-2</v>
      </c>
      <c r="Q37" s="14">
        <f t="shared" si="183"/>
        <v>-0.19948849104859334</v>
      </c>
      <c r="R37" s="14">
        <f t="shared" si="184"/>
        <v>-4.8929663608562657E-2</v>
      </c>
      <c r="S37" s="14">
        <f t="shared" si="185"/>
        <v>5.5732484076433053E-2</v>
      </c>
      <c r="T37" s="14">
        <f t="shared" si="185"/>
        <v>2.1772939346811793E-2</v>
      </c>
      <c r="U37" s="14">
        <f t="shared" si="185"/>
        <v>0.13897763578274769</v>
      </c>
      <c r="V37" s="14">
        <f t="shared" si="185"/>
        <v>0.20418006430868174</v>
      </c>
      <c r="W37" s="14">
        <f t="shared" ref="W37" si="191">+W23/S23-1</f>
        <v>7.9939668174962231E-2</v>
      </c>
      <c r="X37" s="14">
        <f t="shared" si="186"/>
        <v>0.1035007610350076</v>
      </c>
      <c r="Y37" s="14">
        <f t="shared" si="186"/>
        <v>6.0308555399719577E-2</v>
      </c>
      <c r="Z37" s="14">
        <f t="shared" si="186"/>
        <v>-5.3404539385847327E-3</v>
      </c>
      <c r="AA37" s="14">
        <f t="shared" si="187"/>
        <v>7.1229050279329575E-2</v>
      </c>
      <c r="AB37" s="14">
        <f t="shared" si="188"/>
        <v>0</v>
      </c>
      <c r="AC37" s="14">
        <f t="shared" si="189"/>
        <v>0</v>
      </c>
      <c r="AD37" s="14">
        <f t="shared" si="190"/>
        <v>0</v>
      </c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BL37" t="s">
        <v>142</v>
      </c>
      <c r="BM37" s="14">
        <v>0.05</v>
      </c>
    </row>
    <row r="38" spans="2:65" x14ac:dyDescent="0.25">
      <c r="B38" s="2" t="s">
        <v>66</v>
      </c>
      <c r="G38" s="12">
        <f>+G21/G19</f>
        <v>0.57909334353481257</v>
      </c>
      <c r="H38" s="12">
        <f>+H21/H19</f>
        <v>0.51609116697642565</v>
      </c>
      <c r="I38" s="12">
        <f>+I21/I19</f>
        <v>0.59525988286969256</v>
      </c>
      <c r="J38" s="12">
        <f>+J21/J19</f>
        <v>0.58440878967561916</v>
      </c>
      <c r="K38" s="12">
        <f t="shared" ref="K38:O38" si="192">+K21/K19</f>
        <v>0.58074821353509876</v>
      </c>
      <c r="L38" s="12">
        <f t="shared" si="192"/>
        <v>0.56178377898196674</v>
      </c>
      <c r="M38" s="12">
        <f t="shared" si="192"/>
        <v>0.55520322859613724</v>
      </c>
      <c r="N38" s="12">
        <f t="shared" si="192"/>
        <v>0.55650277557494054</v>
      </c>
      <c r="O38" s="14">
        <f t="shared" si="192"/>
        <v>0.55880541871921185</v>
      </c>
      <c r="P38" s="14">
        <f t="shared" ref="P38:W38" si="193">+P21/P19</f>
        <v>0.55398496240601502</v>
      </c>
      <c r="Q38" s="14">
        <f t="shared" si="193"/>
        <v>0.55074464937370549</v>
      </c>
      <c r="R38" s="14">
        <f t="shared" si="193"/>
        <v>0.55895281820845955</v>
      </c>
      <c r="S38" s="14">
        <f t="shared" si="193"/>
        <v>0.55671530942010072</v>
      </c>
      <c r="T38" s="14">
        <f t="shared" si="193"/>
        <v>0.56001156849513156</v>
      </c>
      <c r="U38" s="14">
        <f t="shared" si="193"/>
        <v>0.54122841024609414</v>
      </c>
      <c r="V38" s="14">
        <f t="shared" si="193"/>
        <v>0.54966283943867322</v>
      </c>
      <c r="W38" s="14">
        <f t="shared" si="193"/>
        <v>0.56864259509557835</v>
      </c>
      <c r="X38" s="14">
        <f t="shared" ref="X38:Z38" si="194">+X21/X19</f>
        <v>0.56435110393107157</v>
      </c>
      <c r="Y38" s="14">
        <f t="shared" si="194"/>
        <v>0.55361069575160526</v>
      </c>
      <c r="Z38" s="14">
        <f t="shared" si="194"/>
        <v>0.57046862727986736</v>
      </c>
      <c r="AA38" s="14">
        <f t="shared" ref="AA38:AD38" si="195">+AA21/AA19</f>
        <v>0.56999999999999995</v>
      </c>
      <c r="AB38" s="14">
        <f t="shared" si="195"/>
        <v>0.56999999999999995</v>
      </c>
      <c r="AC38" s="14">
        <f t="shared" si="195"/>
        <v>0.56999999999999995</v>
      </c>
      <c r="AD38" s="14">
        <f t="shared" si="195"/>
        <v>0.56999999999999995</v>
      </c>
      <c r="AQ38" s="14">
        <f>+AQ21/AQ19</f>
        <v>0.56389967870330404</v>
      </c>
      <c r="AR38" s="14">
        <f>+AR21/AR19</f>
        <v>0.54695144213216507</v>
      </c>
      <c r="AS38" s="14">
        <f>+AS21/AS19</f>
        <v>0.58447249656615863</v>
      </c>
      <c r="AT38" s="14">
        <f>+AT21/AT19</f>
        <v>0.58528711133400202</v>
      </c>
      <c r="AU38" s="14">
        <f>+AU21/AU19</f>
        <v>0.56648751733703195</v>
      </c>
      <c r="AV38" s="14">
        <f t="shared" ref="AV38:BE38" si="196">+AV21/AV19</f>
        <v>0.56965757399883921</v>
      </c>
      <c r="AW38" s="14">
        <f t="shared" si="196"/>
        <v>0.56419243986254297</v>
      </c>
      <c r="AX38" s="14">
        <f t="shared" si="196"/>
        <v>0.55560543708691856</v>
      </c>
      <c r="AY38" s="14">
        <f t="shared" si="196"/>
        <v>0.55603240681134325</v>
      </c>
      <c r="AZ38" s="14">
        <f t="shared" si="196"/>
        <v>0.56418065331167655</v>
      </c>
      <c r="BA38" s="14">
        <f t="shared" si="196"/>
        <v>0.56999999999999995</v>
      </c>
      <c r="BB38" s="14">
        <f t="shared" si="196"/>
        <v>0.56999999999999995</v>
      </c>
      <c r="BC38" s="14">
        <f t="shared" si="196"/>
        <v>0.56999999999999995</v>
      </c>
      <c r="BD38" s="14">
        <f t="shared" si="196"/>
        <v>0.56999999999999995</v>
      </c>
      <c r="BE38" s="14">
        <f t="shared" si="196"/>
        <v>0.56999999999999995</v>
      </c>
      <c r="BL38" t="s">
        <v>143</v>
      </c>
      <c r="BM38" s="1">
        <f>BM36/Main!L3</f>
        <v>82.166448575390106</v>
      </c>
    </row>
    <row r="40" spans="2:65" x14ac:dyDescent="0.25">
      <c r="B40" t="s">
        <v>65</v>
      </c>
      <c r="M40" s="4">
        <f>+M41-M55</f>
        <v>-5743</v>
      </c>
      <c r="W40" s="4">
        <f>+W41-W55</f>
        <v>-5491</v>
      </c>
      <c r="X40" s="2">
        <f>+W40+X29</f>
        <v>-3440</v>
      </c>
      <c r="Y40" s="2">
        <f>+X40+Y29</f>
        <v>-1533</v>
      </c>
      <c r="Z40" s="2">
        <f>+Y40+Z29</f>
        <v>379</v>
      </c>
      <c r="AA40" s="2"/>
      <c r="AB40" s="2"/>
      <c r="AC40" s="2"/>
      <c r="AD40" s="2"/>
      <c r="AZ40" s="2">
        <f>+Z40</f>
        <v>379</v>
      </c>
      <c r="BA40" s="2">
        <f>+AZ40+BA29</f>
        <v>9473.2392500000024</v>
      </c>
      <c r="BB40" s="2">
        <f>+BA40+BB29</f>
        <v>19586.811124624997</v>
      </c>
      <c r="BC40" s="2">
        <f>+BB40+BC29</f>
        <v>30782.980478411555</v>
      </c>
      <c r="BD40" s="2">
        <f>+BC40+BD29</f>
        <v>42869.05225138375</v>
      </c>
      <c r="BE40" s="2">
        <f>+BD40+BE29</f>
        <v>55900.426919267455</v>
      </c>
    </row>
    <row r="41" spans="2:65" s="2" customFormat="1" x14ac:dyDescent="0.25">
      <c r="B41" s="2" t="s">
        <v>3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>
        <f>9594+313+764</f>
        <v>10671</v>
      </c>
      <c r="N41" s="4"/>
      <c r="W41" s="2">
        <f>6532+312+907</f>
        <v>7751</v>
      </c>
    </row>
    <row r="42" spans="2:65" s="2" customFormat="1" x14ac:dyDescent="0.25">
      <c r="B42" s="2" t="s">
        <v>57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>
        <v>6408</v>
      </c>
      <c r="N42" s="4"/>
      <c r="W42" s="2">
        <v>7327</v>
      </c>
    </row>
    <row r="43" spans="2:65" s="2" customFormat="1" x14ac:dyDescent="0.25">
      <c r="B43" s="2" t="s">
        <v>58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>
        <v>5734</v>
      </c>
      <c r="N43" s="4"/>
      <c r="W43" s="2">
        <v>6639</v>
      </c>
    </row>
    <row r="44" spans="2:65" s="2" customFormat="1" x14ac:dyDescent="0.25">
      <c r="B44" s="2" t="s">
        <v>59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>
        <v>2796</v>
      </c>
      <c r="N44" s="4"/>
      <c r="W44" s="2">
        <v>2343</v>
      </c>
    </row>
    <row r="45" spans="2:65" s="2" customFormat="1" x14ac:dyDescent="0.25">
      <c r="B45" s="2" t="s">
        <v>61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>
        <v>8689</v>
      </c>
      <c r="N45" s="4"/>
      <c r="W45" s="2">
        <v>10932</v>
      </c>
    </row>
    <row r="46" spans="2:65" s="2" customFormat="1" x14ac:dyDescent="0.25">
      <c r="B46" s="2" t="s">
        <v>60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>
        <f>10850+22284</f>
        <v>33134</v>
      </c>
      <c r="N46" s="4"/>
      <c r="W46" s="2">
        <f>6261+23359</f>
        <v>29620</v>
      </c>
    </row>
    <row r="47" spans="2:65" s="2" customFormat="1" x14ac:dyDescent="0.25">
      <c r="B47" s="2" t="s">
        <v>62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>
        <v>5369</v>
      </c>
      <c r="N47" s="4"/>
      <c r="W47" s="2">
        <v>16836</v>
      </c>
    </row>
    <row r="48" spans="2:65" s="2" customFormat="1" x14ac:dyDescent="0.25">
      <c r="B48" s="2" t="s">
        <v>63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>
        <f>SUM(M41:M47)</f>
        <v>72801</v>
      </c>
      <c r="N48" s="4"/>
      <c r="W48" s="2">
        <f>SUM(W41:W47)</f>
        <v>81448</v>
      </c>
    </row>
    <row r="49" spans="2:23" s="2" customFormat="1" x14ac:dyDescent="0.25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2:23" s="2" customFormat="1" x14ac:dyDescent="0.25">
      <c r="B50" s="2" t="s">
        <v>51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>
        <v>4133</v>
      </c>
      <c r="N50" s="4"/>
      <c r="W50" s="2">
        <v>4214</v>
      </c>
    </row>
    <row r="51" spans="2:23" s="2" customFormat="1" x14ac:dyDescent="0.25">
      <c r="B51" s="2" t="s">
        <v>52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>
        <v>1426</v>
      </c>
      <c r="N51" s="4"/>
      <c r="W51" s="2">
        <v>1167</v>
      </c>
    </row>
    <row r="52" spans="2:23" s="2" customFormat="1" x14ac:dyDescent="0.25">
      <c r="B52" s="2" t="s">
        <v>53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>
        <v>5475</v>
      </c>
      <c r="N52" s="4"/>
      <c r="W52" s="2">
        <v>5600</v>
      </c>
    </row>
    <row r="53" spans="2:23" s="2" customFormat="1" x14ac:dyDescent="0.25">
      <c r="B53" s="2" t="s">
        <v>54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>
        <f>820</f>
        <v>820</v>
      </c>
      <c r="N53" s="4"/>
      <c r="W53" s="2">
        <v>1032</v>
      </c>
    </row>
    <row r="54" spans="2:23" s="2" customFormat="1" x14ac:dyDescent="0.25">
      <c r="B54" s="2" t="s">
        <v>43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>
        <v>394</v>
      </c>
      <c r="N54" s="4"/>
      <c r="W54" s="2">
        <v>485</v>
      </c>
    </row>
    <row r="55" spans="2:23" s="2" customFormat="1" x14ac:dyDescent="0.25">
      <c r="B55" s="2" t="s">
        <v>4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>
        <f>1117+15297</f>
        <v>16414</v>
      </c>
      <c r="N55" s="4"/>
      <c r="W55" s="2">
        <f>506+12736</f>
        <v>13242</v>
      </c>
    </row>
    <row r="56" spans="2:23" s="2" customFormat="1" x14ac:dyDescent="0.25">
      <c r="B56" s="2" t="s">
        <v>55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>
        <v>8255</v>
      </c>
      <c r="N56" s="4"/>
      <c r="W56" s="2">
        <v>6644</v>
      </c>
    </row>
    <row r="57" spans="2:23" s="2" customFormat="1" x14ac:dyDescent="0.25">
      <c r="B57" s="2" t="s">
        <v>56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>
        <f>35884</f>
        <v>35884</v>
      </c>
      <c r="N57" s="4"/>
      <c r="W57" s="2">
        <f>49064</f>
        <v>49064</v>
      </c>
    </row>
    <row r="58" spans="2:23" s="2" customFormat="1" x14ac:dyDescent="0.25">
      <c r="B58" s="2" t="s">
        <v>64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>
        <f>SUM(M50:M57)</f>
        <v>72801</v>
      </c>
      <c r="N58" s="4"/>
      <c r="W58" s="2">
        <f>SUM(W50:W57)</f>
        <v>81448</v>
      </c>
    </row>
    <row r="60" spans="2:23" s="2" customFormat="1" x14ac:dyDescent="0.25">
      <c r="B60" s="2" t="s">
        <v>130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W60" s="2">
        <f>+W29</f>
        <v>1738</v>
      </c>
    </row>
    <row r="61" spans="2:23" s="2" customFormat="1" x14ac:dyDescent="0.25">
      <c r="B61" s="2" t="s">
        <v>131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W61" s="2">
        <v>1325</v>
      </c>
    </row>
    <row r="62" spans="2:23" s="2" customFormat="1" x14ac:dyDescent="0.25">
      <c r="B62" s="2" t="s">
        <v>132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W62" s="2">
        <v>336</v>
      </c>
    </row>
    <row r="63" spans="2:23" s="2" customFormat="1" x14ac:dyDescent="0.25">
      <c r="B63" s="2" t="s">
        <v>133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W63" s="2">
        <v>420</v>
      </c>
    </row>
    <row r="64" spans="2:23" s="2" customFormat="1" x14ac:dyDescent="0.25">
      <c r="B64" s="2" t="s">
        <v>134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W64" s="2">
        <v>289</v>
      </c>
    </row>
    <row r="65" spans="2:50" s="2" customFormat="1" x14ac:dyDescent="0.25">
      <c r="B65" s="2" t="s">
        <v>57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W65" s="2">
        <v>-262</v>
      </c>
    </row>
    <row r="66" spans="2:50" s="2" customFormat="1" x14ac:dyDescent="0.25">
      <c r="B66" s="2" t="s">
        <v>58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W66" s="2">
        <v>-255</v>
      </c>
    </row>
    <row r="67" spans="2:50" s="2" customFormat="1" x14ac:dyDescent="0.25">
      <c r="B67" s="2" t="s">
        <v>34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W67" s="2">
        <v>-436</v>
      </c>
      <c r="AV67" s="2">
        <v>10533</v>
      </c>
      <c r="AW67" s="2">
        <v>9581</v>
      </c>
      <c r="AX67" s="2">
        <v>7261</v>
      </c>
    </row>
    <row r="68" spans="2:50" s="2" customFormat="1" x14ac:dyDescent="0.25">
      <c r="B68" s="2" t="s">
        <v>129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W68" s="2">
        <f>SUM(W61:W67)</f>
        <v>1417</v>
      </c>
      <c r="AV68" s="2">
        <v>1885</v>
      </c>
      <c r="AW68" s="2">
        <v>1777</v>
      </c>
      <c r="AX68" s="2">
        <v>2202</v>
      </c>
    </row>
    <row r="69" spans="2:50" s="2" customFormat="1" x14ac:dyDescent="0.25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AV69" s="2">
        <f>+AV67-AV68</f>
        <v>8648</v>
      </c>
      <c r="AW69" s="2">
        <f>+AW67-AW68</f>
        <v>7804</v>
      </c>
      <c r="AX69" s="2">
        <f>+AX67-AX68</f>
        <v>5059</v>
      </c>
    </row>
    <row r="70" spans="2:50" s="2" customFormat="1" x14ac:dyDescent="0.25">
      <c r="B70" s="2" t="s">
        <v>127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W70" s="2">
        <v>-484</v>
      </c>
    </row>
    <row r="71" spans="2:50" s="2" customFormat="1" x14ac:dyDescent="0.25">
      <c r="B71" s="2" t="s">
        <v>128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W71" s="2">
        <v>8</v>
      </c>
    </row>
    <row r="72" spans="2:50" s="2" customFormat="1" x14ac:dyDescent="0.25">
      <c r="B72" s="2" t="s">
        <v>34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W72" s="2">
        <v>6</v>
      </c>
    </row>
    <row r="73" spans="2:50" s="2" customFormat="1" x14ac:dyDescent="0.25">
      <c r="B73" s="2" t="s">
        <v>126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W73" s="2">
        <f>SUM(W70:W72)</f>
        <v>-470</v>
      </c>
    </row>
    <row r="74" spans="2:50" s="2" customFormat="1" x14ac:dyDescent="0.25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2:50" s="2" customFormat="1" x14ac:dyDescent="0.25">
      <c r="B75" s="2" t="s">
        <v>4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W75" s="2">
        <f>-1001+1-36</f>
        <v>-1036</v>
      </c>
    </row>
    <row r="76" spans="2:50" s="2" customFormat="1" x14ac:dyDescent="0.25">
      <c r="B76" s="2" t="s">
        <v>125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W76" s="2">
        <v>-280</v>
      </c>
    </row>
    <row r="77" spans="2:50" s="2" customFormat="1" x14ac:dyDescent="0.25">
      <c r="B77" s="2" t="s">
        <v>124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W77" s="2">
        <v>287</v>
      </c>
    </row>
    <row r="78" spans="2:50" s="2" customFormat="1" x14ac:dyDescent="0.25">
      <c r="B78" s="2" t="s">
        <v>54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W78" s="2">
        <v>-1026</v>
      </c>
    </row>
    <row r="79" spans="2:50" s="2" customFormat="1" x14ac:dyDescent="0.25">
      <c r="B79" s="2" t="s">
        <v>123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W79" s="2">
        <f>SUM(W75:W78)</f>
        <v>-2055</v>
      </c>
    </row>
    <row r="80" spans="2:50" s="2" customFormat="1" x14ac:dyDescent="0.25">
      <c r="B80" s="2" t="s">
        <v>122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W80" s="2">
        <v>24</v>
      </c>
    </row>
    <row r="81" spans="2:23" s="2" customFormat="1" x14ac:dyDescent="0.25">
      <c r="B81" s="2" t="s">
        <v>121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W81" s="2">
        <f>+W80+W79+W73+W68</f>
        <v>-1084</v>
      </c>
    </row>
  </sheetData>
  <hyperlinks>
    <hyperlink ref="A1" location="Main!A1" display="Main" xr:uid="{99BB727D-8C29-48CC-ACC9-35EF86A9E0C2}"/>
  </hyperlink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2022-07-19T14:56:20Z</dcterms:created>
  <dcterms:modified xsi:type="dcterms:W3CDTF">2026-07-17T15:07:23Z</dcterms:modified>
</cp:coreProperties>
</file>