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83EC43D-1DA0-4C7B-88A7-258589A75AE4}" xr6:coauthVersionLast="47" xr6:coauthVersionMax="47" xr10:uidLastSave="{00000000-0000-0000-0000-000000000000}"/>
  <bookViews>
    <workbookView xWindow="1930" yWindow="1990" windowWidth="30640" windowHeight="16580" xr2:uid="{B093D665-270D-44A5-96DD-79BA04ADB2EB}"/>
  </bookViews>
  <sheets>
    <sheet name="Main" sheetId="1" r:id="rId1"/>
    <sheet name="Service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34" i="1" l="1"/>
  <c r="I234" i="1"/>
  <c r="E234" i="1" s="1"/>
  <c r="G234" i="1" l="1"/>
  <c r="F227" i="1"/>
  <c r="I227" i="1"/>
  <c r="E227" i="1" s="1"/>
  <c r="G227" i="1" s="1"/>
  <c r="F9" i="1"/>
  <c r="I9" i="1"/>
  <c r="E9" i="1" s="1"/>
  <c r="G9" i="1" l="1"/>
  <c r="F37" i="2"/>
  <c r="H37" i="2"/>
  <c r="E37" i="2" s="1"/>
  <c r="G37" i="2" l="1"/>
  <c r="F235" i="1"/>
  <c r="I235" i="1"/>
  <c r="E235" i="1" s="1"/>
  <c r="F46" i="2"/>
  <c r="H46" i="2"/>
  <c r="E46" i="2" s="1"/>
  <c r="F12" i="1"/>
  <c r="I12" i="1"/>
  <c r="E12" i="1" s="1"/>
  <c r="G235" i="1" l="1"/>
  <c r="G46" i="2"/>
  <c r="G12" i="1"/>
  <c r="F13" i="1" l="1"/>
  <c r="I13" i="1"/>
  <c r="E13" i="1" s="1"/>
  <c r="F45" i="2"/>
  <c r="H45" i="2"/>
  <c r="E45" i="2" s="1"/>
  <c r="G13" i="1" l="1"/>
  <c r="G45" i="2"/>
  <c r="F43" i="2"/>
  <c r="H43" i="2"/>
  <c r="E43" i="2" s="1"/>
  <c r="I11" i="1"/>
  <c r="E11" i="1" s="1"/>
  <c r="F11" i="1"/>
  <c r="F8" i="1"/>
  <c r="F7" i="1"/>
  <c r="I8" i="1"/>
  <c r="E8" i="1" s="1"/>
  <c r="I7" i="1"/>
  <c r="E7" i="1" s="1"/>
  <c r="G8" i="1" l="1"/>
  <c r="G7" i="1"/>
  <c r="G43" i="2"/>
  <c r="G11" i="1"/>
  <c r="F65" i="2" l="1"/>
  <c r="H65" i="2"/>
  <c r="E65" i="2" s="1"/>
  <c r="G65" i="2" l="1"/>
  <c r="F10" i="1"/>
  <c r="I10" i="1"/>
  <c r="E10" i="1" s="1"/>
  <c r="G10" i="1" l="1"/>
  <c r="F5" i="1"/>
  <c r="F4" i="1"/>
  <c r="I5" i="1"/>
  <c r="E5" i="1" s="1"/>
  <c r="I4" i="1"/>
  <c r="E4" i="1" s="1"/>
  <c r="F6" i="1"/>
  <c r="I6" i="1"/>
  <c r="E6" i="1" s="1"/>
  <c r="G6" i="1" l="1"/>
  <c r="G4" i="1"/>
  <c r="G5" i="1"/>
</calcChain>
</file>

<file path=xl/sharedStrings.xml><?xml version="1.0" encoding="utf-8"?>
<sst xmlns="http://schemas.openxmlformats.org/spreadsheetml/2006/main" count="883" uniqueCount="619">
  <si>
    <t>Name</t>
  </si>
  <si>
    <t>Tesla</t>
  </si>
  <si>
    <t>Ticker</t>
  </si>
  <si>
    <t>TSLA</t>
  </si>
  <si>
    <t>Price</t>
  </si>
  <si>
    <t>MC</t>
  </si>
  <si>
    <t>BRK/A</t>
  </si>
  <si>
    <t>Toyota</t>
  </si>
  <si>
    <t>7203 JP</t>
  </si>
  <si>
    <t>Reliance</t>
  </si>
  <si>
    <t>RIL IN</t>
  </si>
  <si>
    <t>Contemporary Amperex</t>
  </si>
  <si>
    <t>300750 CH</t>
  </si>
  <si>
    <t>Net Cash</t>
  </si>
  <si>
    <t>EV</t>
  </si>
  <si>
    <t>S/O</t>
  </si>
  <si>
    <t>Update</t>
  </si>
  <si>
    <t>Last</t>
  </si>
  <si>
    <t>NPV</t>
  </si>
  <si>
    <t>x</t>
  </si>
  <si>
    <t>TM</t>
  </si>
  <si>
    <t>Main</t>
  </si>
  <si>
    <t>Accenture</t>
  </si>
  <si>
    <t>Upside</t>
  </si>
  <si>
    <t>Discount</t>
  </si>
  <si>
    <t>Terminal</t>
  </si>
  <si>
    <t>ROIC</t>
  </si>
  <si>
    <t>EV/E 22</t>
  </si>
  <si>
    <t>EV/E 23</t>
  </si>
  <si>
    <t>EV/E 24</t>
  </si>
  <si>
    <t>EPS 22</t>
  </si>
  <si>
    <t>Founded</t>
  </si>
  <si>
    <t>ACN US</t>
  </si>
  <si>
    <t>UPS</t>
  </si>
  <si>
    <t>UPS US</t>
  </si>
  <si>
    <t>International Holding</t>
  </si>
  <si>
    <t>IHC UH</t>
  </si>
  <si>
    <t>TCS IN</t>
  </si>
  <si>
    <t>Tata Consultancy</t>
  </si>
  <si>
    <t>Linde</t>
  </si>
  <si>
    <t>LIN</t>
  </si>
  <si>
    <t>RTX</t>
  </si>
  <si>
    <t>Byd Co</t>
  </si>
  <si>
    <t>1211 HK</t>
  </si>
  <si>
    <t>Union Pac</t>
  </si>
  <si>
    <t>UNP</t>
  </si>
  <si>
    <t>Honeywell</t>
  </si>
  <si>
    <t>HON</t>
  </si>
  <si>
    <t>BHP Group</t>
  </si>
  <si>
    <t>BHP AU</t>
  </si>
  <si>
    <t>Lockheed Martin</t>
  </si>
  <si>
    <t>LMT</t>
  </si>
  <si>
    <t>Caterpiller</t>
  </si>
  <si>
    <t>CAT</t>
  </si>
  <si>
    <t>Deere</t>
  </si>
  <si>
    <t>DE</t>
  </si>
  <si>
    <t>Rio Tinto</t>
  </si>
  <si>
    <t>RIO AU</t>
  </si>
  <si>
    <t>Keyence</t>
  </si>
  <si>
    <t>6861 JP</t>
  </si>
  <si>
    <t>Boeing</t>
  </si>
  <si>
    <t>BA</t>
  </si>
  <si>
    <t>Airbus</t>
  </si>
  <si>
    <t>Volkswagen</t>
  </si>
  <si>
    <t>VOW GR</t>
  </si>
  <si>
    <t>AIR FP</t>
  </si>
  <si>
    <t>Siemens</t>
  </si>
  <si>
    <t>SIE GR</t>
  </si>
  <si>
    <t>Canadian National Railway</t>
  </si>
  <si>
    <t>CNR CN</t>
  </si>
  <si>
    <t>SABIC</t>
  </si>
  <si>
    <t>SABIC AB</t>
  </si>
  <si>
    <t>Infosys</t>
  </si>
  <si>
    <t>INFO IN</t>
  </si>
  <si>
    <t>3M</t>
  </si>
  <si>
    <t>MMM</t>
  </si>
  <si>
    <t>Northrop Grumman</t>
  </si>
  <si>
    <t>NOC</t>
  </si>
  <si>
    <t>General Electric</t>
  </si>
  <si>
    <t>GE</t>
  </si>
  <si>
    <t>Schneider Electric</t>
  </si>
  <si>
    <t>SU FP</t>
  </si>
  <si>
    <t>Canadian Pacific</t>
  </si>
  <si>
    <t>CP CN</t>
  </si>
  <si>
    <t>Air Liquide</t>
  </si>
  <si>
    <t>AI FP</t>
  </si>
  <si>
    <t>Sherman-Williams</t>
  </si>
  <si>
    <t>SHW</t>
  </si>
  <si>
    <t>Vale</t>
  </si>
  <si>
    <t>VALE3 BZ</t>
  </si>
  <si>
    <t>Glencore</t>
  </si>
  <si>
    <t>GLEN LN</t>
  </si>
  <si>
    <t>Waste Management</t>
  </si>
  <si>
    <t>WM</t>
  </si>
  <si>
    <t>CSX</t>
  </si>
  <si>
    <t>General Dynamics</t>
  </si>
  <si>
    <t>GD</t>
  </si>
  <si>
    <t>Mercedes-Benz</t>
  </si>
  <si>
    <t>MBG GR</t>
  </si>
  <si>
    <t>Fedex</t>
  </si>
  <si>
    <t>FDX</t>
  </si>
  <si>
    <t>Illinois Tool Works</t>
  </si>
  <si>
    <t>ITW</t>
  </si>
  <si>
    <t>Norfolk Southern</t>
  </si>
  <si>
    <t>NSC</t>
  </si>
  <si>
    <t>Recruit Holdings</t>
  </si>
  <si>
    <t>6098 JP</t>
  </si>
  <si>
    <t>ABB</t>
  </si>
  <si>
    <t>ABBN SW</t>
  </si>
  <si>
    <t>Vinci</t>
  </si>
  <si>
    <t>DG FP</t>
  </si>
  <si>
    <t>Eaton</t>
  </si>
  <si>
    <t>ETN</t>
  </si>
  <si>
    <t>Air Products</t>
  </si>
  <si>
    <t>APD</t>
  </si>
  <si>
    <t>General Motors</t>
  </si>
  <si>
    <t>GM</t>
  </si>
  <si>
    <t>BMW</t>
  </si>
  <si>
    <t>BMW GR</t>
  </si>
  <si>
    <t>Shin-Etsu Chemical</t>
  </si>
  <si>
    <t>4063 JP</t>
  </si>
  <si>
    <t>Ford Motor</t>
  </si>
  <si>
    <t>F</t>
  </si>
  <si>
    <t>Emerson Electric</t>
  </si>
  <si>
    <t>EMR</t>
  </si>
  <si>
    <t>Marriott</t>
  </si>
  <si>
    <t>MAR</t>
  </si>
  <si>
    <t>Hapag-Lloyd</t>
  </si>
  <si>
    <t>HLAG GR</t>
  </si>
  <si>
    <t>Daikin</t>
  </si>
  <si>
    <t>6367 JP</t>
  </si>
  <si>
    <t>Atlas Copco</t>
  </si>
  <si>
    <t>ATCOA SS</t>
  </si>
  <si>
    <t>ITC Ltd</t>
  </si>
  <si>
    <t>ITC IN</t>
  </si>
  <si>
    <t>Kimberly-Clark</t>
  </si>
  <si>
    <t>KMB</t>
  </si>
  <si>
    <t>Deutsche Post</t>
  </si>
  <si>
    <t>DPW GR</t>
  </si>
  <si>
    <t>Safran</t>
  </si>
  <si>
    <t>SAF FP</t>
  </si>
  <si>
    <t>Sysco</t>
  </si>
  <si>
    <t>SYY</t>
  </si>
  <si>
    <t>Private</t>
  </si>
  <si>
    <t>Entrepreneur First</t>
  </si>
  <si>
    <t>Ecolab</t>
  </si>
  <si>
    <t>ECL</t>
  </si>
  <si>
    <t>Maersk</t>
  </si>
  <si>
    <t>MAERSKB DC</t>
  </si>
  <si>
    <t>Honda</t>
  </si>
  <si>
    <t>7267 JP</t>
  </si>
  <si>
    <t>Itochu</t>
  </si>
  <si>
    <t>8001 JP</t>
  </si>
  <si>
    <t>Newmont</t>
  </si>
  <si>
    <t>NEM</t>
  </si>
  <si>
    <t>L3Harris</t>
  </si>
  <si>
    <t>LHX</t>
  </si>
  <si>
    <t>Denso</t>
  </si>
  <si>
    <t>6902 JP</t>
  </si>
  <si>
    <t>Roper</t>
  </si>
  <si>
    <t>ROP</t>
  </si>
  <si>
    <t>Wanhua Chemical</t>
  </si>
  <si>
    <t>600309 CH</t>
  </si>
  <si>
    <t>8058 JP</t>
  </si>
  <si>
    <t>GMKN RM</t>
  </si>
  <si>
    <t>Norilsk Nickel</t>
  </si>
  <si>
    <t>Republic Services</t>
  </si>
  <si>
    <t>RSG</t>
  </si>
  <si>
    <t>Nutrien</t>
  </si>
  <si>
    <t>NTR CN</t>
  </si>
  <si>
    <t>Li Auto</t>
  </si>
  <si>
    <t>LI</t>
  </si>
  <si>
    <t>Nidec</t>
  </si>
  <si>
    <t>6594 JP</t>
  </si>
  <si>
    <t>Cintas</t>
  </si>
  <si>
    <t>CTAS</t>
  </si>
  <si>
    <t>Amphenol</t>
  </si>
  <si>
    <t>APH</t>
  </si>
  <si>
    <t>Compass Group</t>
  </si>
  <si>
    <t>CPG LN</t>
  </si>
  <si>
    <t>Stellantis</t>
  </si>
  <si>
    <t>STLA</t>
  </si>
  <si>
    <t>BASF</t>
  </si>
  <si>
    <t>BAS GR</t>
  </si>
  <si>
    <t>Corteva</t>
  </si>
  <si>
    <t>CTVA</t>
  </si>
  <si>
    <t>Freeport-McMoran</t>
  </si>
  <si>
    <t>FCX</t>
  </si>
  <si>
    <t>TE Connectivity</t>
  </si>
  <si>
    <t>TEL</t>
  </si>
  <si>
    <t>Anglo American</t>
  </si>
  <si>
    <t>AAL LN</t>
  </si>
  <si>
    <t>S F Holding Co</t>
  </si>
  <si>
    <t>002352 CH</t>
  </si>
  <si>
    <t>Great Wall Motor</t>
  </si>
  <si>
    <t>2333 HK</t>
  </si>
  <si>
    <t>Murata Manufacturing</t>
  </si>
  <si>
    <t>6981 JP</t>
  </si>
  <si>
    <t>Souther Copper Corporation</t>
  </si>
  <si>
    <t>SCCO</t>
  </si>
  <si>
    <t>Dow</t>
  </si>
  <si>
    <t>DOW</t>
  </si>
  <si>
    <t>Asian Paints</t>
  </si>
  <si>
    <t>APNT IN</t>
  </si>
  <si>
    <t>Ferrari</t>
  </si>
  <si>
    <t>RACE</t>
  </si>
  <si>
    <t>Wesfarmers</t>
  </si>
  <si>
    <t>WES AU</t>
  </si>
  <si>
    <t>Sika AG</t>
  </si>
  <si>
    <t>SIKA SW</t>
  </si>
  <si>
    <t>Nio</t>
  </si>
  <si>
    <t>NIO</t>
  </si>
  <si>
    <t>Luxshare Precision</t>
  </si>
  <si>
    <t>002475 CH</t>
  </si>
  <si>
    <t>Adani Enterprises</t>
  </si>
  <si>
    <t>ADE IN</t>
  </si>
  <si>
    <t>Beijing-Shanghai High-Speed Railway</t>
  </si>
  <si>
    <t>601816 CH</t>
  </si>
  <si>
    <t>Cognizant</t>
  </si>
  <si>
    <t>CTSH</t>
  </si>
  <si>
    <t>Fortescue Metals</t>
  </si>
  <si>
    <t>FMG AU</t>
  </si>
  <si>
    <t>Hoya</t>
  </si>
  <si>
    <t>7741 JP</t>
  </si>
  <si>
    <t>Inner Mongolia Yili</t>
  </si>
  <si>
    <t>600887 CH</t>
  </si>
  <si>
    <t>Mitsui</t>
  </si>
  <si>
    <t>8031 JP</t>
  </si>
  <si>
    <t>DSV</t>
  </si>
  <si>
    <t>DSV DC</t>
  </si>
  <si>
    <t>Maruti Suzuki</t>
  </si>
  <si>
    <t>MSIL IN</t>
  </si>
  <si>
    <t>Lucid Group</t>
  </si>
  <si>
    <t>LCID</t>
  </si>
  <si>
    <t>China State Construction</t>
  </si>
  <si>
    <t>601668 CH</t>
  </si>
  <si>
    <t>MTR</t>
  </si>
  <si>
    <t>66 HK</t>
  </si>
  <si>
    <t>Johnson Controls</t>
  </si>
  <si>
    <t>JCI</t>
  </si>
  <si>
    <t>Haier Smart Home</t>
  </si>
  <si>
    <t>600690 CH</t>
  </si>
  <si>
    <t>Volvo</t>
  </si>
  <si>
    <t>VOLVB SS</t>
  </si>
  <si>
    <t>Waste Connection</t>
  </si>
  <si>
    <t>WCN CN</t>
  </si>
  <si>
    <t>Parker Hannifin</t>
  </si>
  <si>
    <t>PH</t>
  </si>
  <si>
    <t>Cosco Shipping</t>
  </si>
  <si>
    <t>1919 HK</t>
  </si>
  <si>
    <t>Zijin Mining</t>
  </si>
  <si>
    <t>2899 HK</t>
  </si>
  <si>
    <t>Yunnan Energy</t>
  </si>
  <si>
    <t>002812 CH</t>
  </si>
  <si>
    <t>Fanuc</t>
  </si>
  <si>
    <t>6954 JP</t>
  </si>
  <si>
    <t>Carrier Global</t>
  </si>
  <si>
    <t>CARR</t>
  </si>
  <si>
    <t>Trane Technologies</t>
  </si>
  <si>
    <t>TT</t>
  </si>
  <si>
    <t>HCL Tech</t>
  </si>
  <si>
    <t>HCLT IN</t>
  </si>
  <si>
    <t>Canon</t>
  </si>
  <si>
    <t>7751 JP</t>
  </si>
  <si>
    <t>Transurban</t>
  </si>
  <si>
    <t>TCL AU</t>
  </si>
  <si>
    <t>600406 CH</t>
  </si>
  <si>
    <t>Nari Technology</t>
  </si>
  <si>
    <t>Saudi Arabian Mining</t>
  </si>
  <si>
    <t>MAADEN AB</t>
  </si>
  <si>
    <t>Hyundai</t>
  </si>
  <si>
    <t>005380 KS</t>
  </si>
  <si>
    <t>Larsen &amp; Toubro</t>
  </si>
  <si>
    <t>LT IN</t>
  </si>
  <si>
    <t>BAE Systems</t>
  </si>
  <si>
    <t>BA/ LN</t>
  </si>
  <si>
    <t>Grupo Mexico</t>
  </si>
  <si>
    <t>GMEXICOB MM</t>
  </si>
  <si>
    <t>Otis Worldwide</t>
  </si>
  <si>
    <t>OTIS</t>
  </si>
  <si>
    <t>TransDigm</t>
  </si>
  <si>
    <t>TDG</t>
  </si>
  <si>
    <t>Nucor</t>
  </si>
  <si>
    <t>NUE</t>
  </si>
  <si>
    <t>SMC Corp</t>
  </si>
  <si>
    <t>6273 JP</t>
  </si>
  <si>
    <t>Old Dominion</t>
  </si>
  <si>
    <t>ODFL</t>
  </si>
  <si>
    <t>EVE Energy</t>
  </si>
  <si>
    <t>300014 CH</t>
  </si>
  <si>
    <t>Tianqi Lithium</t>
  </si>
  <si>
    <t>002466 CH</t>
  </si>
  <si>
    <t>Kuehne &amp; Nagel</t>
  </si>
  <si>
    <t>KNIN SW</t>
  </si>
  <si>
    <t>CapGemini</t>
  </si>
  <si>
    <t>CAP FP</t>
  </si>
  <si>
    <t>Samsung SDI</t>
  </si>
  <si>
    <t>006400 KS</t>
  </si>
  <si>
    <t>Rivian</t>
  </si>
  <si>
    <t>RIVN</t>
  </si>
  <si>
    <t>Gree Electric</t>
  </si>
  <si>
    <t>000651 CH</t>
  </si>
  <si>
    <t>Corning</t>
  </si>
  <si>
    <t>GLW</t>
  </si>
  <si>
    <t>SAIC Motor</t>
  </si>
  <si>
    <t>600104 CH</t>
  </si>
  <si>
    <t>PACCAR</t>
  </si>
  <si>
    <t>PCAR</t>
  </si>
  <si>
    <t>Ganfeng Lithium</t>
  </si>
  <si>
    <t>002460 CH</t>
  </si>
  <si>
    <t>Barrick Gold</t>
  </si>
  <si>
    <t>ABX CN</t>
  </si>
  <si>
    <t>Dupont De Nemour</t>
  </si>
  <si>
    <t>DD</t>
  </si>
  <si>
    <t>LyondellBasell</t>
  </si>
  <si>
    <t>LYB</t>
  </si>
  <si>
    <t>CMI</t>
  </si>
  <si>
    <t>Cummins</t>
  </si>
  <si>
    <t>Fastenal</t>
  </si>
  <si>
    <t>FAST</t>
  </si>
  <si>
    <t>PPG</t>
  </si>
  <si>
    <t>PPG Industries</t>
  </si>
  <si>
    <t>Sungrow Power</t>
  </si>
  <si>
    <t>300274 CH</t>
  </si>
  <si>
    <t>LG Chem</t>
  </si>
  <si>
    <t>051910 KS</t>
  </si>
  <si>
    <t>Airports of Thailand</t>
  </si>
  <si>
    <t>AOT TB</t>
  </si>
  <si>
    <t>Wipro</t>
  </si>
  <si>
    <t>WPRO IN</t>
  </si>
  <si>
    <t>TCL Zhonghuan</t>
  </si>
  <si>
    <t>002129 CH</t>
  </si>
  <si>
    <t>Henkel</t>
  </si>
  <si>
    <t>HEN3 GR</t>
  </si>
  <si>
    <t>Fujitsu</t>
  </si>
  <si>
    <t>6702 JP</t>
  </si>
  <si>
    <t>Thales</t>
  </si>
  <si>
    <t>HO FP</t>
  </si>
  <si>
    <t>Enphase</t>
  </si>
  <si>
    <t>ENPH</t>
  </si>
  <si>
    <t>CRH</t>
  </si>
  <si>
    <t>CRH ID</t>
  </si>
  <si>
    <t>Weyerhaeuser</t>
  </si>
  <si>
    <t>WY</t>
  </si>
  <si>
    <t>Dr Horton</t>
  </si>
  <si>
    <t>DHI</t>
  </si>
  <si>
    <t>Holcim</t>
  </si>
  <si>
    <t>HOLN SW</t>
  </si>
  <si>
    <t>Keysight</t>
  </si>
  <si>
    <t>KEYS</t>
  </si>
  <si>
    <t>Bridgestone</t>
  </si>
  <si>
    <t>5108 JP</t>
  </si>
  <si>
    <t>Ametek</t>
  </si>
  <si>
    <t>AME</t>
  </si>
  <si>
    <t>914 HK</t>
  </si>
  <si>
    <t>Conch Cement</t>
  </si>
  <si>
    <t>Xpeng</t>
  </si>
  <si>
    <t>XPEV</t>
  </si>
  <si>
    <t>Japan Post</t>
  </si>
  <si>
    <t>6178 JP</t>
  </si>
  <si>
    <t>JA Solar Technology</t>
  </si>
  <si>
    <t>002459 CH</t>
  </si>
  <si>
    <t>Aptiv</t>
  </si>
  <si>
    <t>APTV</t>
  </si>
  <si>
    <t>Shenzhen Innovance</t>
  </si>
  <si>
    <t>300124 CH</t>
  </si>
  <si>
    <t>Kone</t>
  </si>
  <si>
    <t>KNEBV FH</t>
  </si>
  <si>
    <t>Ferguson</t>
  </si>
  <si>
    <t>FERG</t>
  </si>
  <si>
    <t>Franco-Nevada</t>
  </si>
  <si>
    <t>FNV CN</t>
  </si>
  <si>
    <t>000270 KS</t>
  </si>
  <si>
    <t>Kia</t>
  </si>
  <si>
    <t>Qinghai Salt</t>
  </si>
  <si>
    <t>000792 CH</t>
  </si>
  <si>
    <t>Industries Qatar</t>
  </si>
  <si>
    <t>IQCD QD</t>
  </si>
  <si>
    <t>Assa Abloy</t>
  </si>
  <si>
    <t>ASSAB SS</t>
  </si>
  <si>
    <t>Trina Solar</t>
  </si>
  <si>
    <t>688599 CH</t>
  </si>
  <si>
    <t>Albemarle</t>
  </si>
  <si>
    <t>ALB</t>
  </si>
  <si>
    <t>Soquimich</t>
  </si>
  <si>
    <t>SQM/B CI</t>
  </si>
  <si>
    <t>Southwest Air</t>
  </si>
  <si>
    <t>LUV</t>
  </si>
  <si>
    <t>WW Grainger</t>
  </si>
  <si>
    <t>GWW</t>
  </si>
  <si>
    <t>Borouge</t>
  </si>
  <si>
    <t>BOROUGE UH</t>
  </si>
  <si>
    <t>Chongqing Changan</t>
  </si>
  <si>
    <t>200265 CH</t>
  </si>
  <si>
    <t>Extra Space Storage</t>
  </si>
  <si>
    <t>EXR</t>
  </si>
  <si>
    <t>Central Japan Railway</t>
  </si>
  <si>
    <t>9022 JP</t>
  </si>
  <si>
    <t>China Rail</t>
  </si>
  <si>
    <t>390 HK</t>
  </si>
  <si>
    <t>Mitsubishi</t>
  </si>
  <si>
    <t>Mitsubishi Electric</t>
  </si>
  <si>
    <t>6503 JP</t>
  </si>
  <si>
    <t>Lennar</t>
  </si>
  <si>
    <t>LEN</t>
  </si>
  <si>
    <t>Sany Heavy</t>
  </si>
  <si>
    <t>600031 CH</t>
  </si>
  <si>
    <t>Vestas Wind</t>
  </si>
  <si>
    <t>VWS DC</t>
  </si>
  <si>
    <t>Berkshire Hathaway</t>
  </si>
  <si>
    <t>BRK/B</t>
  </si>
  <si>
    <t>Q421</t>
  </si>
  <si>
    <t>Porsche</t>
  </si>
  <si>
    <t>P911 GR</t>
  </si>
  <si>
    <t>Q423</t>
  </si>
  <si>
    <t>Symbotic</t>
  </si>
  <si>
    <t>SYM</t>
  </si>
  <si>
    <t>Q224</t>
  </si>
  <si>
    <t>Applied Digital</t>
  </si>
  <si>
    <t>APLD</t>
  </si>
  <si>
    <t>American Airlines</t>
  </si>
  <si>
    <t>AAL</t>
  </si>
  <si>
    <t>Autoliv</t>
  </si>
  <si>
    <t>ALV</t>
  </si>
  <si>
    <t>ASPI</t>
  </si>
  <si>
    <t>ASP Isotopes</t>
  </si>
  <si>
    <t>EV/EPS</t>
  </si>
  <si>
    <t>EPS</t>
  </si>
  <si>
    <t>NC</t>
  </si>
  <si>
    <t>SO</t>
  </si>
  <si>
    <t>Location</t>
  </si>
  <si>
    <t>Embraer</t>
  </si>
  <si>
    <t>Carvana</t>
  </si>
  <si>
    <t>CVNA</t>
  </si>
  <si>
    <t>ERJ</t>
  </si>
  <si>
    <t>RKLB</t>
  </si>
  <si>
    <t>LUNR</t>
  </si>
  <si>
    <t>Intuitive Machines</t>
  </si>
  <si>
    <t>Rocket Lab USA</t>
  </si>
  <si>
    <t>Q324</t>
  </si>
  <si>
    <t>CDW</t>
  </si>
  <si>
    <t>Rolls-Royce</t>
  </si>
  <si>
    <t>RR/ LN</t>
  </si>
  <si>
    <t>RTX Corp</t>
  </si>
  <si>
    <t>Hitachi</t>
  </si>
  <si>
    <t>6501 JP</t>
  </si>
  <si>
    <t>Prologis</t>
  </si>
  <si>
    <t>PLD</t>
  </si>
  <si>
    <t>GE Verona</t>
  </si>
  <si>
    <t>GEV</t>
  </si>
  <si>
    <t>International Paper</t>
  </si>
  <si>
    <t>IP</t>
  </si>
  <si>
    <t>Komatsu</t>
  </si>
  <si>
    <t>6301 JP</t>
  </si>
  <si>
    <t>Dassault Aviation</t>
  </si>
  <si>
    <t>AM FP</t>
  </si>
  <si>
    <t>Dover</t>
  </si>
  <si>
    <t>DOV</t>
  </si>
  <si>
    <t>Agnico Eagle Mines</t>
  </si>
  <si>
    <t>AEM CN</t>
  </si>
  <si>
    <t>East Japan Railway</t>
  </si>
  <si>
    <t>9020 JP</t>
  </si>
  <si>
    <t>Equinix</t>
  </si>
  <si>
    <t>EQIX</t>
  </si>
  <si>
    <t>Saint-Gobain Glass</t>
  </si>
  <si>
    <t>SGGVP BB</t>
  </si>
  <si>
    <t>Schlumberger</t>
  </si>
  <si>
    <t>SLB</t>
  </si>
  <si>
    <t>LG Energy Solution</t>
  </si>
  <si>
    <t>373220 KS</t>
  </si>
  <si>
    <t>Public Storage</t>
  </si>
  <si>
    <t>PSA</t>
  </si>
  <si>
    <t>Howmet Aerospace</t>
  </si>
  <si>
    <t>HWM</t>
  </si>
  <si>
    <t>Siemens Energy</t>
  </si>
  <si>
    <t>ENR GR</t>
  </si>
  <si>
    <t>Compagnie de Saint Gobain</t>
  </si>
  <si>
    <t>SGO FP</t>
  </si>
  <si>
    <t>Axon Enterprise</t>
  </si>
  <si>
    <t>AXON</t>
  </si>
  <si>
    <t>Mitsubishi Heavy Industries</t>
  </si>
  <si>
    <t>7011 JP</t>
  </si>
  <si>
    <t>United Rentals</t>
  </si>
  <si>
    <t>URI</t>
  </si>
  <si>
    <t>DHL</t>
  </si>
  <si>
    <t>DHL GR</t>
  </si>
  <si>
    <t>Baker Hughes</t>
  </si>
  <si>
    <t>BKR</t>
  </si>
  <si>
    <t>Quanta Services</t>
  </si>
  <si>
    <t>PWR</t>
  </si>
  <si>
    <t>Mahindra &amp; Mahindra</t>
  </si>
  <si>
    <t>MM IN</t>
  </si>
  <si>
    <t>Bayan Resources</t>
  </si>
  <si>
    <t>BYAN IJ</t>
  </si>
  <si>
    <t>Delta Air</t>
  </si>
  <si>
    <t>DAL</t>
  </si>
  <si>
    <t>Vertiv</t>
  </si>
  <si>
    <t>VRT</t>
  </si>
  <si>
    <t>Givaudan</t>
  </si>
  <si>
    <t>GIVN SW</t>
  </si>
  <si>
    <t>Ultratech Cement</t>
  </si>
  <si>
    <t>UTCEM IN</t>
  </si>
  <si>
    <t>Weg</t>
  </si>
  <si>
    <t>WEGE3 BZ</t>
  </si>
  <si>
    <t>Chandra Asri Petrochemical</t>
  </si>
  <si>
    <t>TPIA IJ</t>
  </si>
  <si>
    <t>Ingersoll-Rand</t>
  </si>
  <si>
    <t>IR</t>
  </si>
  <si>
    <t>Vulcan Materials</t>
  </si>
  <si>
    <t>VMC</t>
  </si>
  <si>
    <t>Daimler Truck Holding</t>
  </si>
  <si>
    <t>DTG GR</t>
  </si>
  <si>
    <t>Aena</t>
  </si>
  <si>
    <t>AENA SM</t>
  </si>
  <si>
    <t>Rheinmetall</t>
  </si>
  <si>
    <t>RHM GR</t>
  </si>
  <si>
    <t>Rockwell Automation</t>
  </si>
  <si>
    <t>ROK</t>
  </si>
  <si>
    <t>Wabtec</t>
  </si>
  <si>
    <t>WAB</t>
  </si>
  <si>
    <t>Tata Motors</t>
  </si>
  <si>
    <t>TTAN IN</t>
  </si>
  <si>
    <t>United Airlines</t>
  </si>
  <si>
    <t>UAL</t>
  </si>
  <si>
    <t>Ferrovial</t>
  </si>
  <si>
    <t>FER SM</t>
  </si>
  <si>
    <t>Q424</t>
  </si>
  <si>
    <t>Martin Marietta</t>
  </si>
  <si>
    <t>MLM</t>
  </si>
  <si>
    <t>Schindler Holding</t>
  </si>
  <si>
    <t>SCHP SW</t>
  </si>
  <si>
    <t>Xylem</t>
  </si>
  <si>
    <t>XYL</t>
  </si>
  <si>
    <t>Wheaton Precious Metals</t>
  </si>
  <si>
    <t>WPM CN</t>
  </si>
  <si>
    <t>Amman Mineral</t>
  </si>
  <si>
    <t>AMMN JK</t>
  </si>
  <si>
    <t>Legrand</t>
  </si>
  <si>
    <t>LR FP</t>
  </si>
  <si>
    <t>Iron Mountain</t>
  </si>
  <si>
    <t>IRM</t>
  </si>
  <si>
    <t>Fortive</t>
  </si>
  <si>
    <t>FTV</t>
  </si>
  <si>
    <t>Smurfit Westrock</t>
  </si>
  <si>
    <t>SW</t>
  </si>
  <si>
    <t>Hindustan Aeronautics</t>
  </si>
  <si>
    <t>HAL IN</t>
  </si>
  <si>
    <t>NTT Data</t>
  </si>
  <si>
    <t>9613 JP</t>
  </si>
  <si>
    <t>Bajaj Auto</t>
  </si>
  <si>
    <t>BAJAJ-AUTO IN</t>
  </si>
  <si>
    <t>Sandvik</t>
  </si>
  <si>
    <t>SAND SS</t>
  </si>
  <si>
    <t>CGI</t>
  </si>
  <si>
    <t>GIB/A</t>
  </si>
  <si>
    <t>ADANIPORTS</t>
  </si>
  <si>
    <t>Adani Ports &amp; Special Economic Zone</t>
  </si>
  <si>
    <t>Heidelberg</t>
  </si>
  <si>
    <t>HEI GR</t>
  </si>
  <si>
    <t>Heico</t>
  </si>
  <si>
    <t>HEI</t>
  </si>
  <si>
    <t>Ashtead</t>
  </si>
  <si>
    <t>AHT LN</t>
  </si>
  <si>
    <t>CRRC</t>
  </si>
  <si>
    <t>601766 CH</t>
  </si>
  <si>
    <t>JSW Steel</t>
  </si>
  <si>
    <t>JSWSTEEL IN</t>
  </si>
  <si>
    <t>Novonesis (Novozymes)</t>
  </si>
  <si>
    <t>NSISB DC</t>
  </si>
  <si>
    <t>Avic Chengdu Aircraft</t>
  </si>
  <si>
    <t>300114 CH</t>
  </si>
  <si>
    <t>Sumitomo</t>
  </si>
  <si>
    <t>8053 JP</t>
  </si>
  <si>
    <t>Golden MV</t>
  </si>
  <si>
    <t>HVN PM</t>
  </si>
  <si>
    <t>Marubeni</t>
  </si>
  <si>
    <t>8002 JP</t>
  </si>
  <si>
    <t>Rollins</t>
  </si>
  <si>
    <t>ROL</t>
  </si>
  <si>
    <t>Techtronic</t>
  </si>
  <si>
    <t>669 HK</t>
  </si>
  <si>
    <t>Suzuki</t>
  </si>
  <si>
    <t>7269 JP</t>
  </si>
  <si>
    <t>Michelin</t>
  </si>
  <si>
    <t>ML FP</t>
  </si>
  <si>
    <t>Seres</t>
  </si>
  <si>
    <t>601127 CH</t>
  </si>
  <si>
    <t>Veralto</t>
  </si>
  <si>
    <t>VLTO</t>
  </si>
  <si>
    <t>ArcelorMittal</t>
  </si>
  <si>
    <t>MT NA</t>
  </si>
  <si>
    <t>Nippon Steel</t>
  </si>
  <si>
    <t>5401 JP</t>
  </si>
  <si>
    <t>WSP Global</t>
  </si>
  <si>
    <t>WSP CN</t>
  </si>
  <si>
    <t>Epiroc</t>
  </si>
  <si>
    <t>EPIA SS</t>
  </si>
  <si>
    <t>Teledyne</t>
  </si>
  <si>
    <t>TDY</t>
  </si>
  <si>
    <t>Halliburton</t>
  </si>
  <si>
    <t>HAL</t>
  </si>
  <si>
    <t>ELM Co</t>
  </si>
  <si>
    <t>ELM AB</t>
  </si>
  <si>
    <t>Antofagasta</t>
  </si>
  <si>
    <t>ANTO LN</t>
  </si>
  <si>
    <t>Ryanair</t>
  </si>
  <si>
    <t>RYA ID</t>
  </si>
  <si>
    <t>Tenaris</t>
  </si>
  <si>
    <t>TEN IM</t>
  </si>
  <si>
    <t>HD Hyundai Heavy</t>
  </si>
  <si>
    <t>329180 KS</t>
  </si>
  <si>
    <t>Teck Resources</t>
  </si>
  <si>
    <t>TECK/B CN</t>
  </si>
  <si>
    <t>Joby</t>
  </si>
  <si>
    <t>JOBY</t>
  </si>
  <si>
    <t>Q125</t>
  </si>
  <si>
    <t>Hive</t>
  </si>
  <si>
    <t>HIVE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</si>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</sst>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9"/>
      <name val="Arial Unicode MS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28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2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/>
    <xf numFmtId="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3" fontId="0" fillId="0" borderId="0" xfId="0" applyNumberFormat="1"/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4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right"/>
    </xf>
    <xf numFmtId="0" fontId="0" fillId="2" borderId="0" xfId="0" applyFill="1"/>
    <xf numFmtId="0" fontId="5" fillId="2" borderId="0" xfId="0" applyFont="1" applyFill="1"/>
    <xf numFmtId="0" fontId="2" fillId="0" borderId="0" xfId="0" applyFont="1" applyAlignment="1">
      <alignment horizontal="center"/>
    </xf>
  </cellXfs>
  <cellStyles count="3">
    <cellStyle name="defaultsheetstyle" xfId="2" xr:uid="{1FE46ECE-F473-4431-9279-77788A764428}"/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142200E-5C05-46F8-AAD3-26C8830B80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RK.xlsx" TargetMode="External"/><Relationship Id="rId1" Type="http://schemas.openxmlformats.org/officeDocument/2006/relationships/externalLinkPath" Target="BR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SLA.xlsx" TargetMode="External"/><Relationship Id="rId1" Type="http://schemas.openxmlformats.org/officeDocument/2006/relationships/externalLinkPath" Target="TSL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M.xlsx" TargetMode="External"/><Relationship Id="rId1" Type="http://schemas.openxmlformats.org/officeDocument/2006/relationships/externalLinkPath" Target="TM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IN.xlsx" TargetMode="External"/><Relationship Id="rId1" Type="http://schemas.openxmlformats.org/officeDocument/2006/relationships/externalLinkPath" Target="LIN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A.xlsx" TargetMode="External"/><Relationship Id="rId1" Type="http://schemas.openxmlformats.org/officeDocument/2006/relationships/externalLinkPath" Target="B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1211%20HK%20Byd.xlsx" TargetMode="External"/><Relationship Id="rId1" Type="http://schemas.openxmlformats.org/officeDocument/2006/relationships/externalLinkPath" Target="1211%20HK%20By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TAS.xlsx" TargetMode="External"/><Relationship Id="rId1" Type="http://schemas.openxmlformats.org/officeDocument/2006/relationships/externalLinkPath" Target="CTA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TLA.xlsx" TargetMode="External"/><Relationship Id="rId1" Type="http://schemas.openxmlformats.org/officeDocument/2006/relationships/externalLinkPath" Target="STLA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JOBY.xlsx" TargetMode="External"/><Relationship Id="rId1" Type="http://schemas.openxmlformats.org/officeDocument/2006/relationships/externalLinkPath" Target="JOB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KLB.xlsx" TargetMode="External"/><Relationship Id="rId1" Type="http://schemas.openxmlformats.org/officeDocument/2006/relationships/externalLinkPath" Target="RKLB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UNR.xlsx" TargetMode="External"/><Relationship Id="rId1" Type="http://schemas.openxmlformats.org/officeDocument/2006/relationships/externalLinkPath" Target="LUN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DW.xlsx" TargetMode="External"/><Relationship Id="rId1" Type="http://schemas.openxmlformats.org/officeDocument/2006/relationships/externalLinkPath" Target="CDW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AL.xlsx" TargetMode="External"/><Relationship Id="rId1" Type="http://schemas.openxmlformats.org/officeDocument/2006/relationships/externalLinkPath" Target="AAL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LV.xlsx" TargetMode="External"/><Relationship Id="rId1" Type="http://schemas.openxmlformats.org/officeDocument/2006/relationships/externalLinkPath" Target="ALV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RJ.xlsx" TargetMode="External"/><Relationship Id="rId1" Type="http://schemas.openxmlformats.org/officeDocument/2006/relationships/externalLinkPath" Target="ERJ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PLD.xlsx" TargetMode="External"/><Relationship Id="rId1" Type="http://schemas.openxmlformats.org/officeDocument/2006/relationships/externalLinkPath" Target="AP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492.18</v>
          </cell>
        </row>
        <row r="5">
          <cell r="K5">
            <v>1029257.40369977</v>
          </cell>
        </row>
        <row r="6">
          <cell r="K6">
            <v>652421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Manufacturing"/>
      <sheetName val="IP"/>
    </sheetNames>
    <sheetDataSet>
      <sheetData sheetId="0">
        <row r="3">
          <cell r="K3">
            <v>3526</v>
          </cell>
        </row>
        <row r="5">
          <cell r="K5">
            <v>41647</v>
          </cell>
        </row>
        <row r="6">
          <cell r="K6">
            <v>7702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L4">
            <v>13469.159202000001</v>
          </cell>
        </row>
        <row r="8">
          <cell r="L8">
            <v>30928716</v>
          </cell>
        </row>
        <row r="9">
          <cell r="L9">
            <v>39486312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482.09199999999998</v>
          </cell>
        </row>
        <row r="5">
          <cell r="J5">
            <v>6980</v>
          </cell>
        </row>
        <row r="6">
          <cell r="J6">
            <v>21623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754</v>
          </cell>
        </row>
        <row r="5">
          <cell r="J5">
            <v>23674</v>
          </cell>
        </row>
        <row r="6">
          <cell r="J6">
            <v>53618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2909.2658550000001</v>
          </cell>
        </row>
        <row r="5">
          <cell r="L5">
            <v>72201.659999999989</v>
          </cell>
        </row>
        <row r="6">
          <cell r="L6">
            <v>27778.79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403.298633</v>
          </cell>
        </row>
        <row r="5">
          <cell r="L5">
            <v>427</v>
          </cell>
        </row>
        <row r="6">
          <cell r="L6">
            <v>2642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J4">
            <v>3024.45</v>
          </cell>
        </row>
        <row r="6">
          <cell r="J6">
            <v>55293</v>
          </cell>
        </row>
        <row r="7">
          <cell r="J7">
            <v>32174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791.79807600000004</v>
          </cell>
        </row>
        <row r="5">
          <cell r="K5">
            <v>812.524</v>
          </cell>
        </row>
        <row r="6">
          <cell r="K6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578.75099</v>
          </cell>
        </row>
        <row r="5">
          <cell r="L5">
            <v>1482.3689999999999</v>
          </cell>
        </row>
        <row r="6">
          <cell r="L6">
            <v>38.585000000000001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140.34679399999999</v>
          </cell>
        </row>
        <row r="5">
          <cell r="K5">
            <v>91.647000000000006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P3">
            <v>133.264062</v>
          </cell>
        </row>
        <row r="5">
          <cell r="P5">
            <v>1158.4000000000001</v>
          </cell>
        </row>
        <row r="6">
          <cell r="P6">
            <v>6030.7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N3">
            <v>656.70391300000006</v>
          </cell>
        </row>
        <row r="5">
          <cell r="N5">
            <v>9321</v>
          </cell>
        </row>
        <row r="6">
          <cell r="N6">
            <v>31756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80.079757000000001</v>
          </cell>
        </row>
        <row r="5">
          <cell r="L5">
            <v>408</v>
          </cell>
        </row>
        <row r="6">
          <cell r="L6">
            <v>1995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H3">
            <v>185.11625000000001</v>
          </cell>
        </row>
        <row r="5">
          <cell r="H5">
            <v>0</v>
          </cell>
        </row>
        <row r="6">
          <cell r="H6">
            <v>1307.2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206.820246</v>
          </cell>
        </row>
        <row r="5">
          <cell r="K5">
            <v>184.68799999999999</v>
          </cell>
        </row>
        <row r="6">
          <cell r="K6">
            <v>89.554000000000002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1211%20HK%20Byd.xlsx" TargetMode="External"/><Relationship Id="rId13" Type="http://schemas.openxmlformats.org/officeDocument/2006/relationships/hyperlink" Target="LUNR.xlsx" TargetMode="External"/><Relationship Id="rId3" Type="http://schemas.openxmlformats.org/officeDocument/2006/relationships/hyperlink" Target="BRK.xlsx" TargetMode="External"/><Relationship Id="rId7" Type="http://schemas.openxmlformats.org/officeDocument/2006/relationships/hyperlink" Target="TM.xlsx" TargetMode="External"/><Relationship Id="rId12" Type="http://schemas.openxmlformats.org/officeDocument/2006/relationships/hyperlink" Target="RKLB.xlsx" TargetMode="External"/><Relationship Id="rId2" Type="http://schemas.openxmlformats.org/officeDocument/2006/relationships/hyperlink" Target="BRK.xlsx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TSLA.xlsx" TargetMode="External"/><Relationship Id="rId6" Type="http://schemas.openxmlformats.org/officeDocument/2006/relationships/hyperlink" Target="TM.xlsx" TargetMode="External"/><Relationship Id="rId11" Type="http://schemas.openxmlformats.org/officeDocument/2006/relationships/hyperlink" Target="ASPI.xlsx" TargetMode="External"/><Relationship Id="rId5" Type="http://schemas.openxmlformats.org/officeDocument/2006/relationships/hyperlink" Target="SYM.xlsx" TargetMode="External"/><Relationship Id="rId15" Type="http://schemas.openxmlformats.org/officeDocument/2006/relationships/hyperlink" Target="JOBY.xlsx" TargetMode="External"/><Relationship Id="rId10" Type="http://schemas.openxmlformats.org/officeDocument/2006/relationships/hyperlink" Target="CTAS.xlsx" TargetMode="External"/><Relationship Id="rId4" Type="http://schemas.openxmlformats.org/officeDocument/2006/relationships/hyperlink" Target="BA.xlsx" TargetMode="External"/><Relationship Id="rId9" Type="http://schemas.openxmlformats.org/officeDocument/2006/relationships/hyperlink" Target="STLA.xlsx" TargetMode="External"/><Relationship Id="rId14" Type="http://schemas.openxmlformats.org/officeDocument/2006/relationships/hyperlink" Target="LIN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ALV.xlsx" TargetMode="External"/><Relationship Id="rId7" Type="http://schemas.openxmlformats.org/officeDocument/2006/relationships/hyperlink" Target="HIVE.xlsx" TargetMode="External"/><Relationship Id="rId2" Type="http://schemas.openxmlformats.org/officeDocument/2006/relationships/hyperlink" Target="AAL.xlsx" TargetMode="External"/><Relationship Id="rId1" Type="http://schemas.openxmlformats.org/officeDocument/2006/relationships/hyperlink" Target="APLD.xlsx" TargetMode="External"/><Relationship Id="rId6" Type="http://schemas.openxmlformats.org/officeDocument/2006/relationships/hyperlink" Target="CDW.xlsx" TargetMode="External"/><Relationship Id="rId5" Type="http://schemas.openxmlformats.org/officeDocument/2006/relationships/hyperlink" Target="ERJ.xlsx" TargetMode="External"/><Relationship Id="rId4" Type="http://schemas.openxmlformats.org/officeDocument/2006/relationships/hyperlink" Target="CVN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6EF2F-9AAA-4E23-B670-1242386800FF}">
  <dimension ref="A1:AC235"/>
  <sheetViews>
    <sheetView tabSelected="1" zoomScale="130" zoomScaleNormal="13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E4" sqref="E4"/>
    </sheetView>
  </sheetViews>
  <sheetFormatPr defaultColWidth="8.81640625" defaultRowHeight="12.5"/>
  <cols>
    <col min="1" max="1" width="2" bestFit="1" customWidth="1"/>
    <col min="2" max="2" width="21.26953125" customWidth="1"/>
    <col min="3" max="3" width="15.81640625" customWidth="1"/>
    <col min="4" max="4" width="9.1796875" style="2"/>
    <col min="5" max="5" width="12.26953125" style="2" customWidth="1"/>
    <col min="6" max="6" width="9.1796875" style="2"/>
    <col min="7" max="7" width="11.54296875" style="2" customWidth="1"/>
    <col min="8" max="8" width="9.1796875" style="2"/>
    <col min="9" max="9" width="10.453125" style="2" bestFit="1" customWidth="1"/>
    <col min="10" max="10" width="11.453125" style="2" customWidth="1"/>
  </cols>
  <sheetData>
    <row r="1" spans="1:29" s="4" customFormat="1"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9" s="4" customFormat="1">
      <c r="E2" s="22"/>
      <c r="F2" s="22"/>
      <c r="G2" s="22"/>
      <c r="H2" s="22"/>
      <c r="I2" s="22"/>
      <c r="J2" s="24"/>
      <c r="K2" s="22"/>
      <c r="L2" s="22"/>
      <c r="M2" s="22"/>
      <c r="N2" s="22"/>
      <c r="O2" s="22"/>
      <c r="P2" s="27" t="s">
        <v>426</v>
      </c>
      <c r="Q2" s="27"/>
      <c r="R2" s="27"/>
      <c r="S2" s="27"/>
      <c r="T2" s="27"/>
      <c r="U2" s="27"/>
      <c r="V2" s="27" t="s">
        <v>427</v>
      </c>
      <c r="W2" s="27"/>
      <c r="X2" s="27"/>
      <c r="Y2" s="27"/>
      <c r="Z2" s="27"/>
      <c r="AA2" s="27"/>
    </row>
    <row r="3" spans="1:29" s="4" customFormat="1">
      <c r="B3" s="4" t="s">
        <v>0</v>
      </c>
      <c r="C3" s="4" t="s">
        <v>2</v>
      </c>
      <c r="D3" s="4" t="s">
        <v>4</v>
      </c>
      <c r="E3" s="22" t="s">
        <v>5</v>
      </c>
      <c r="F3" s="22" t="s">
        <v>428</v>
      </c>
      <c r="G3" s="22" t="s">
        <v>14</v>
      </c>
      <c r="H3" s="22" t="s">
        <v>16</v>
      </c>
      <c r="I3" s="22" t="s">
        <v>429</v>
      </c>
      <c r="J3" s="22" t="s">
        <v>17</v>
      </c>
      <c r="K3" s="22" t="s">
        <v>18</v>
      </c>
      <c r="L3" s="22" t="s">
        <v>23</v>
      </c>
      <c r="M3" s="22" t="s">
        <v>26</v>
      </c>
      <c r="N3" s="22" t="s">
        <v>25</v>
      </c>
      <c r="O3" s="22" t="s">
        <v>24</v>
      </c>
      <c r="P3" s="23">
        <v>2022</v>
      </c>
      <c r="Q3" s="23">
        <v>2023</v>
      </c>
      <c r="R3" s="23">
        <v>2024</v>
      </c>
      <c r="S3" s="23">
        <v>2025</v>
      </c>
      <c r="T3" s="23">
        <v>2026</v>
      </c>
      <c r="U3" s="23">
        <v>2027</v>
      </c>
      <c r="V3" s="23">
        <v>2022</v>
      </c>
      <c r="W3" s="23">
        <v>2023</v>
      </c>
      <c r="X3" s="23">
        <v>2024</v>
      </c>
      <c r="Y3" s="23">
        <v>2025</v>
      </c>
      <c r="Z3" s="23">
        <v>2026</v>
      </c>
      <c r="AA3" s="23">
        <v>2027</v>
      </c>
      <c r="AB3" s="4" t="s">
        <v>31</v>
      </c>
      <c r="AC3" s="4" t="s">
        <v>430</v>
      </c>
    </row>
    <row r="4" spans="1:29">
      <c r="A4" s="25" t="s">
        <v>19</v>
      </c>
      <c r="B4" s="1" t="s">
        <v>409</v>
      </c>
      <c r="C4" t="s">
        <v>6</v>
      </c>
      <c r="D4" s="3">
        <v>698340</v>
      </c>
      <c r="E4" s="3">
        <f>+D4*I4</f>
        <v>343708981.19999999</v>
      </c>
      <c r="F4" s="3">
        <f>+[1]Main!$K$5-[1]Main!$K$6</f>
        <v>376836.40369976999</v>
      </c>
      <c r="G4" s="3">
        <f t="shared" ref="G4:G11" si="0">+E4-F4</f>
        <v>343332144.79630023</v>
      </c>
      <c r="H4" s="2" t="s">
        <v>411</v>
      </c>
      <c r="I4" s="3">
        <f>+[1]Main!$K$3</f>
        <v>492.18</v>
      </c>
      <c r="J4" s="16">
        <v>44964</v>
      </c>
    </row>
    <row r="5" spans="1:29">
      <c r="A5" s="25" t="s">
        <v>19</v>
      </c>
      <c r="B5" s="1" t="s">
        <v>409</v>
      </c>
      <c r="C5" t="s">
        <v>410</v>
      </c>
      <c r="D5" s="15">
        <v>468</v>
      </c>
      <c r="E5" s="3">
        <f>+D5*I5*1500</f>
        <v>345510360</v>
      </c>
      <c r="F5" s="3">
        <f>+[1]Main!$K$5-[1]Main!$K$6</f>
        <v>376836.40369976999</v>
      </c>
      <c r="G5" s="3">
        <f t="shared" si="0"/>
        <v>345133523.59630024</v>
      </c>
      <c r="H5" s="2" t="s">
        <v>411</v>
      </c>
      <c r="I5" s="3">
        <f>+[1]Main!$K$3</f>
        <v>492.18</v>
      </c>
      <c r="J5" s="16">
        <v>44964</v>
      </c>
    </row>
    <row r="6" spans="1:29">
      <c r="A6" s="25" t="s">
        <v>19</v>
      </c>
      <c r="B6" s="1" t="s">
        <v>1</v>
      </c>
      <c r="C6" t="s">
        <v>3</v>
      </c>
      <c r="D6" s="15">
        <v>259</v>
      </c>
      <c r="E6" s="3">
        <f>+D6*I6</f>
        <v>913234</v>
      </c>
      <c r="F6" s="3">
        <f>+[2]Main!$K$5-[2]Main!$K$6</f>
        <v>33945</v>
      </c>
      <c r="G6" s="3">
        <f>+E6-F6</f>
        <v>879289</v>
      </c>
      <c r="H6" s="2" t="s">
        <v>417</v>
      </c>
      <c r="I6" s="3">
        <f>+[2]Main!$K$3</f>
        <v>3526</v>
      </c>
      <c r="J6" s="16">
        <v>45560</v>
      </c>
    </row>
    <row r="7" spans="1:29">
      <c r="A7" s="25" t="s">
        <v>19</v>
      </c>
      <c r="B7" s="1" t="s">
        <v>7</v>
      </c>
      <c r="C7" t="s">
        <v>8</v>
      </c>
      <c r="D7" s="15">
        <v>2643.5</v>
      </c>
      <c r="E7" s="3">
        <f>+D7*I7/145</f>
        <v>245556.70586542759</v>
      </c>
      <c r="F7" s="3">
        <f>+([3]Main!$L$8-[3]Main!$L$9)/145</f>
        <v>-59017.903448275865</v>
      </c>
      <c r="G7" s="3">
        <f t="shared" si="0"/>
        <v>304574.60931370343</v>
      </c>
      <c r="H7" s="2" t="s">
        <v>417</v>
      </c>
      <c r="I7" s="3">
        <f>+[3]Main!$L$4</f>
        <v>13469.159202000001</v>
      </c>
      <c r="J7" s="16">
        <v>45560</v>
      </c>
    </row>
    <row r="8" spans="1:29">
      <c r="A8" s="25" t="s">
        <v>19</v>
      </c>
      <c r="B8" s="1" t="s">
        <v>7</v>
      </c>
      <c r="C8" t="s">
        <v>20</v>
      </c>
      <c r="D8" s="15">
        <v>184.11</v>
      </c>
      <c r="E8" s="3">
        <f>+D8*I8/10</f>
        <v>247980.69006802203</v>
      </c>
      <c r="F8" s="3">
        <f>+([3]Main!$L$8-[3]Main!$L$9)/145</f>
        <v>-59017.903448275865</v>
      </c>
      <c r="G8" s="3">
        <f t="shared" si="0"/>
        <v>306998.59351629787</v>
      </c>
      <c r="H8" s="2" t="s">
        <v>417</v>
      </c>
      <c r="I8" s="3">
        <f>+[3]Main!$L$4</f>
        <v>13469.159202000001</v>
      </c>
      <c r="J8" s="16">
        <v>45560</v>
      </c>
    </row>
    <row r="9" spans="1:29">
      <c r="A9" s="25" t="s">
        <v>19</v>
      </c>
      <c r="B9" s="1" t="s">
        <v>39</v>
      </c>
      <c r="C9" t="s">
        <v>40</v>
      </c>
      <c r="D9" s="15">
        <v>462.6</v>
      </c>
      <c r="E9" s="3">
        <f>+D9*I9</f>
        <v>223015.7592</v>
      </c>
      <c r="F9" s="3">
        <f>+[4]Main!$J$5-[4]Main!$J$6</f>
        <v>-14643</v>
      </c>
      <c r="G9" s="3">
        <f>+E9-F9</f>
        <v>237658.7592</v>
      </c>
      <c r="H9" s="2" t="s">
        <v>526</v>
      </c>
      <c r="I9" s="3">
        <f>+[4]Main!$J$3</f>
        <v>482.09199999999998</v>
      </c>
      <c r="J9" s="16">
        <v>45742</v>
      </c>
    </row>
    <row r="10" spans="1:29">
      <c r="A10" s="25" t="s">
        <v>19</v>
      </c>
      <c r="B10" s="1" t="s">
        <v>60</v>
      </c>
      <c r="C10" t="s">
        <v>61</v>
      </c>
      <c r="D10" s="15">
        <v>174.9</v>
      </c>
      <c r="E10" s="3">
        <f>+D10*I10</f>
        <v>131874.6</v>
      </c>
      <c r="F10" s="3">
        <f>+[5]Main!$J$5-[5]Main!$J$6</f>
        <v>-29944</v>
      </c>
      <c r="G10" s="3">
        <f t="shared" si="0"/>
        <v>161818.6</v>
      </c>
      <c r="H10" s="16" t="s">
        <v>414</v>
      </c>
      <c r="I10" s="3">
        <f>+[5]Main!$J$3</f>
        <v>754</v>
      </c>
      <c r="J10" s="16">
        <v>45527</v>
      </c>
    </row>
    <row r="11" spans="1:29">
      <c r="A11" s="25" t="s">
        <v>19</v>
      </c>
      <c r="B11" s="1" t="s">
        <v>42</v>
      </c>
      <c r="C11" t="s">
        <v>43</v>
      </c>
      <c r="D11" s="15">
        <v>251.8</v>
      </c>
      <c r="E11" s="3">
        <f>+D11*I11/7</f>
        <v>104650.44889842859</v>
      </c>
      <c r="F11" s="3">
        <f>+([6]Main!$L$5-[6]Main!$L$6)/7</f>
        <v>6346.1242857142843</v>
      </c>
      <c r="G11" s="3">
        <f t="shared" si="0"/>
        <v>98304.324612714307</v>
      </c>
      <c r="H11" s="2" t="s">
        <v>417</v>
      </c>
      <c r="I11" s="3">
        <f>+[6]Main!$L$3</f>
        <v>2909.2658550000001</v>
      </c>
      <c r="J11" s="16">
        <v>45560</v>
      </c>
    </row>
    <row r="12" spans="1:29">
      <c r="A12" s="25" t="s">
        <v>19</v>
      </c>
      <c r="B12" s="1" t="s">
        <v>174</v>
      </c>
      <c r="C12" t="s">
        <v>175</v>
      </c>
      <c r="D12" s="2">
        <v>209.67</v>
      </c>
      <c r="E12" s="3">
        <f>+D12*I12</f>
        <v>84559.624381109999</v>
      </c>
      <c r="F12" s="3">
        <f>+[7]Main!$L$5-[7]Main!$L$6</f>
        <v>-2215</v>
      </c>
      <c r="G12" s="3">
        <f>+E12-F12</f>
        <v>86774.624381109999</v>
      </c>
      <c r="H12" s="2" t="s">
        <v>417</v>
      </c>
      <c r="I12" s="3">
        <f>+[7]Main!$L$3</f>
        <v>403.298633</v>
      </c>
      <c r="J12" s="16">
        <v>45579</v>
      </c>
    </row>
    <row r="13" spans="1:29">
      <c r="A13" s="25" t="s">
        <v>19</v>
      </c>
      <c r="B13" s="1" t="s">
        <v>180</v>
      </c>
      <c r="C13" t="s">
        <v>181</v>
      </c>
      <c r="D13" s="2">
        <v>13.04</v>
      </c>
      <c r="E13" s="3">
        <f>+D13*I13</f>
        <v>39438.827999999994</v>
      </c>
      <c r="F13" s="3">
        <f>([8]Main!$J$6-[8]Main!$J$7)*1.1</f>
        <v>25430.9</v>
      </c>
      <c r="G13" s="3">
        <f>+E13-F13</f>
        <v>14007.927999999993</v>
      </c>
      <c r="H13" s="2" t="s">
        <v>417</v>
      </c>
      <c r="I13" s="3">
        <f>+[8]Main!$J$4</f>
        <v>3024.45</v>
      </c>
      <c r="J13" s="16">
        <v>45578</v>
      </c>
    </row>
    <row r="14" spans="1:29">
      <c r="A14" s="25" t="s">
        <v>19</v>
      </c>
      <c r="B14" t="s">
        <v>9</v>
      </c>
      <c r="C14" t="s">
        <v>10</v>
      </c>
    </row>
    <row r="15" spans="1:29">
      <c r="A15" s="25" t="s">
        <v>19</v>
      </c>
      <c r="B15" t="s">
        <v>11</v>
      </c>
      <c r="C15" t="s">
        <v>12</v>
      </c>
    </row>
    <row r="16" spans="1:29">
      <c r="A16" s="25" t="s">
        <v>19</v>
      </c>
      <c r="B16" t="s">
        <v>35</v>
      </c>
      <c r="C16" t="s">
        <v>36</v>
      </c>
    </row>
    <row r="17" spans="1:10">
      <c r="A17" s="25" t="s">
        <v>19</v>
      </c>
      <c r="B17" t="s">
        <v>443</v>
      </c>
      <c r="C17" t="s">
        <v>41</v>
      </c>
    </row>
    <row r="18" spans="1:10">
      <c r="A18" s="25" t="s">
        <v>19</v>
      </c>
      <c r="B18" t="s">
        <v>44</v>
      </c>
      <c r="C18" t="s">
        <v>45</v>
      </c>
    </row>
    <row r="19" spans="1:10">
      <c r="A19" s="25" t="s">
        <v>19</v>
      </c>
      <c r="B19" t="s">
        <v>46</v>
      </c>
      <c r="C19" t="s">
        <v>47</v>
      </c>
    </row>
    <row r="20" spans="1:10">
      <c r="A20" s="25" t="s">
        <v>19</v>
      </c>
      <c r="B20" t="s">
        <v>48</v>
      </c>
      <c r="C20" t="s">
        <v>49</v>
      </c>
    </row>
    <row r="21" spans="1:10">
      <c r="A21" s="25" t="s">
        <v>19</v>
      </c>
      <c r="B21" t="s">
        <v>50</v>
      </c>
      <c r="C21" t="s">
        <v>51</v>
      </c>
    </row>
    <row r="22" spans="1:10">
      <c r="A22" s="25" t="s">
        <v>19</v>
      </c>
      <c r="B22" t="s">
        <v>52</v>
      </c>
      <c r="C22" t="s">
        <v>53</v>
      </c>
    </row>
    <row r="23" spans="1:10">
      <c r="A23" s="25" t="s">
        <v>19</v>
      </c>
      <c r="B23" t="s">
        <v>541</v>
      </c>
      <c r="C23" t="s">
        <v>542</v>
      </c>
      <c r="D23"/>
      <c r="E23"/>
      <c r="F23"/>
      <c r="G23"/>
      <c r="H23"/>
      <c r="I23"/>
      <c r="J23"/>
    </row>
    <row r="24" spans="1:10">
      <c r="A24" s="25" t="s">
        <v>19</v>
      </c>
      <c r="B24" t="s">
        <v>56</v>
      </c>
      <c r="C24" t="s">
        <v>57</v>
      </c>
    </row>
    <row r="25" spans="1:10">
      <c r="A25" s="25" t="s">
        <v>19</v>
      </c>
      <c r="B25" t="s">
        <v>54</v>
      </c>
      <c r="C25" t="s">
        <v>55</v>
      </c>
    </row>
    <row r="26" spans="1:10">
      <c r="A26" s="25" t="s">
        <v>19</v>
      </c>
      <c r="B26" t="s">
        <v>58</v>
      </c>
      <c r="C26" t="s">
        <v>59</v>
      </c>
    </row>
    <row r="27" spans="1:10">
      <c r="A27" s="25" t="s">
        <v>19</v>
      </c>
      <c r="B27" t="s">
        <v>412</v>
      </c>
      <c r="C27" t="s">
        <v>413</v>
      </c>
    </row>
    <row r="28" spans="1:10">
      <c r="A28" s="25" t="s">
        <v>19</v>
      </c>
      <c r="B28" t="s">
        <v>62</v>
      </c>
      <c r="C28" t="s">
        <v>65</v>
      </c>
    </row>
    <row r="29" spans="1:10" s="19" customFormat="1" ht="13">
      <c r="A29" s="25" t="s">
        <v>19</v>
      </c>
      <c r="B29" t="s">
        <v>63</v>
      </c>
      <c r="C29" t="s">
        <v>64</v>
      </c>
      <c r="D29" s="20"/>
      <c r="E29" s="20"/>
      <c r="F29" s="20"/>
      <c r="G29" s="20"/>
      <c r="H29" s="20"/>
      <c r="I29" s="20"/>
      <c r="J29" s="20"/>
    </row>
    <row r="30" spans="1:10">
      <c r="A30" s="25" t="s">
        <v>19</v>
      </c>
      <c r="B30" t="s">
        <v>66</v>
      </c>
      <c r="C30" t="s">
        <v>67</v>
      </c>
    </row>
    <row r="31" spans="1:10">
      <c r="A31" s="25" t="s">
        <v>19</v>
      </c>
      <c r="B31" t="s">
        <v>474</v>
      </c>
      <c r="C31" t="s">
        <v>475</v>
      </c>
    </row>
    <row r="32" spans="1:10">
      <c r="A32" s="25" t="s">
        <v>19</v>
      </c>
      <c r="B32" t="s">
        <v>68</v>
      </c>
      <c r="C32" t="s">
        <v>69</v>
      </c>
    </row>
    <row r="33" spans="1:10">
      <c r="A33" s="25" t="s">
        <v>19</v>
      </c>
      <c r="B33" t="s">
        <v>70</v>
      </c>
      <c r="C33" t="s">
        <v>71</v>
      </c>
    </row>
    <row r="34" spans="1:10">
      <c r="A34" s="25" t="s">
        <v>19</v>
      </c>
      <c r="B34" t="s">
        <v>74</v>
      </c>
      <c r="C34" t="s">
        <v>75</v>
      </c>
    </row>
    <row r="35" spans="1:10">
      <c r="A35" s="25" t="s">
        <v>19</v>
      </c>
      <c r="B35" t="s">
        <v>76</v>
      </c>
      <c r="C35" t="s">
        <v>77</v>
      </c>
    </row>
    <row r="36" spans="1:10">
      <c r="A36" s="25" t="s">
        <v>19</v>
      </c>
      <c r="B36" t="s">
        <v>78</v>
      </c>
      <c r="C36" t="s">
        <v>79</v>
      </c>
    </row>
    <row r="37" spans="1:10">
      <c r="A37" s="25" t="s">
        <v>19</v>
      </c>
      <c r="B37" t="s">
        <v>80</v>
      </c>
      <c r="C37" t="s">
        <v>81</v>
      </c>
    </row>
    <row r="38" spans="1:10">
      <c r="A38" s="25" t="s">
        <v>19</v>
      </c>
      <c r="B38" t="s">
        <v>84</v>
      </c>
      <c r="C38" t="s">
        <v>85</v>
      </c>
    </row>
    <row r="39" spans="1:10">
      <c r="A39" s="25" t="s">
        <v>19</v>
      </c>
      <c r="B39" t="s">
        <v>82</v>
      </c>
      <c r="C39" t="s">
        <v>83</v>
      </c>
    </row>
    <row r="40" spans="1:10">
      <c r="A40" s="25" t="s">
        <v>19</v>
      </c>
      <c r="B40" t="s">
        <v>86</v>
      </c>
      <c r="C40" t="s">
        <v>87</v>
      </c>
    </row>
    <row r="41" spans="1:10">
      <c r="A41" s="25" t="s">
        <v>19</v>
      </c>
      <c r="B41" t="s">
        <v>88</v>
      </c>
      <c r="C41" t="s">
        <v>89</v>
      </c>
    </row>
    <row r="42" spans="1:10">
      <c r="A42" s="25" t="s">
        <v>19</v>
      </c>
      <c r="B42" t="s">
        <v>90</v>
      </c>
      <c r="C42" t="s">
        <v>91</v>
      </c>
    </row>
    <row r="43" spans="1:10">
      <c r="A43" s="25" t="s">
        <v>19</v>
      </c>
      <c r="B43" t="s">
        <v>92</v>
      </c>
      <c r="C43" t="s">
        <v>93</v>
      </c>
    </row>
    <row r="44" spans="1:10">
      <c r="A44" s="25" t="s">
        <v>19</v>
      </c>
      <c r="B44" t="s">
        <v>94</v>
      </c>
      <c r="C44" t="s">
        <v>94</v>
      </c>
    </row>
    <row r="45" spans="1:10">
      <c r="A45" s="25" t="s">
        <v>19</v>
      </c>
      <c r="B45" t="s">
        <v>95</v>
      </c>
      <c r="C45" t="s">
        <v>96</v>
      </c>
    </row>
    <row r="46" spans="1:10" s="19" customFormat="1" ht="13">
      <c r="A46" s="25" t="s">
        <v>19</v>
      </c>
      <c r="B46" t="s">
        <v>97</v>
      </c>
      <c r="C46" t="s">
        <v>98</v>
      </c>
      <c r="D46" s="20"/>
      <c r="E46" s="20"/>
      <c r="F46" s="20"/>
      <c r="G46" s="20"/>
      <c r="H46" s="20"/>
      <c r="I46" s="20"/>
      <c r="J46" s="20"/>
    </row>
    <row r="47" spans="1:10">
      <c r="A47" s="25" t="s">
        <v>19</v>
      </c>
      <c r="B47" t="s">
        <v>101</v>
      </c>
      <c r="C47" t="s">
        <v>102</v>
      </c>
    </row>
    <row r="48" spans="1:10">
      <c r="A48" s="25" t="s">
        <v>19</v>
      </c>
      <c r="B48" t="s">
        <v>103</v>
      </c>
      <c r="C48" t="s">
        <v>104</v>
      </c>
    </row>
    <row r="49" spans="1:10">
      <c r="A49" s="25" t="s">
        <v>19</v>
      </c>
      <c r="B49" t="s">
        <v>107</v>
      </c>
      <c r="C49" t="s">
        <v>108</v>
      </c>
    </row>
    <row r="50" spans="1:10">
      <c r="A50" s="25" t="s">
        <v>19</v>
      </c>
      <c r="B50" t="s">
        <v>109</v>
      </c>
      <c r="C50" t="s">
        <v>110</v>
      </c>
    </row>
    <row r="51" spans="1:10">
      <c r="A51" s="25" t="s">
        <v>19</v>
      </c>
      <c r="B51" t="s">
        <v>111</v>
      </c>
      <c r="C51" t="s">
        <v>112</v>
      </c>
    </row>
    <row r="52" spans="1:10">
      <c r="A52" s="25" t="s">
        <v>19</v>
      </c>
      <c r="B52" t="s">
        <v>113</v>
      </c>
      <c r="C52" t="s">
        <v>114</v>
      </c>
    </row>
    <row r="53" spans="1:10" s="19" customFormat="1" ht="13">
      <c r="A53" s="25" t="s">
        <v>19</v>
      </c>
      <c r="B53" t="s">
        <v>115</v>
      </c>
      <c r="C53" t="s">
        <v>116</v>
      </c>
      <c r="D53" s="20"/>
      <c r="E53" s="20"/>
      <c r="F53" s="20"/>
      <c r="G53" s="20"/>
      <c r="H53" s="20"/>
      <c r="I53" s="20"/>
      <c r="J53" s="20"/>
    </row>
    <row r="54" spans="1:10" s="19" customFormat="1" ht="13">
      <c r="A54" s="25" t="s">
        <v>19</v>
      </c>
      <c r="B54" s="19" t="s">
        <v>117</v>
      </c>
      <c r="C54" s="19" t="s">
        <v>118</v>
      </c>
      <c r="D54" s="20"/>
      <c r="E54" s="20"/>
      <c r="F54" s="20"/>
      <c r="G54" s="20"/>
      <c r="H54" s="20"/>
      <c r="I54" s="20"/>
      <c r="J54" s="20"/>
    </row>
    <row r="55" spans="1:10">
      <c r="A55" s="25" t="s">
        <v>19</v>
      </c>
      <c r="B55" t="s">
        <v>119</v>
      </c>
      <c r="C55" t="s">
        <v>120</v>
      </c>
    </row>
    <row r="56" spans="1:10" s="19" customFormat="1" ht="13">
      <c r="A56" s="25" t="s">
        <v>19</v>
      </c>
      <c r="B56" s="19" t="s">
        <v>121</v>
      </c>
      <c r="C56" s="19" t="s">
        <v>122</v>
      </c>
      <c r="D56" s="20"/>
      <c r="E56" s="20"/>
      <c r="F56" s="20"/>
      <c r="G56" s="20"/>
      <c r="H56" s="20"/>
      <c r="I56" s="20"/>
      <c r="J56" s="20"/>
    </row>
    <row r="57" spans="1:10">
      <c r="A57" s="25" t="s">
        <v>19</v>
      </c>
      <c r="B57" t="s">
        <v>123</v>
      </c>
      <c r="C57" t="s">
        <v>124</v>
      </c>
    </row>
    <row r="58" spans="1:10">
      <c r="A58" s="25" t="s">
        <v>19</v>
      </c>
      <c r="B58" t="s">
        <v>129</v>
      </c>
      <c r="C58" t="s">
        <v>130</v>
      </c>
    </row>
    <row r="59" spans="1:10">
      <c r="A59" s="25" t="s">
        <v>19</v>
      </c>
      <c r="B59" t="s">
        <v>131</v>
      </c>
      <c r="C59" t="s">
        <v>132</v>
      </c>
    </row>
    <row r="60" spans="1:10">
      <c r="A60" s="25" t="s">
        <v>19</v>
      </c>
      <c r="B60" t="s">
        <v>448</v>
      </c>
      <c r="C60" t="s">
        <v>449</v>
      </c>
    </row>
    <row r="61" spans="1:10">
      <c r="A61" s="25" t="s">
        <v>19</v>
      </c>
      <c r="B61" t="s">
        <v>133</v>
      </c>
      <c r="C61" t="s">
        <v>134</v>
      </c>
    </row>
    <row r="62" spans="1:10">
      <c r="A62" s="25" t="s">
        <v>19</v>
      </c>
      <c r="B62" t="s">
        <v>135</v>
      </c>
      <c r="C62" t="s">
        <v>136</v>
      </c>
    </row>
    <row r="63" spans="1:10">
      <c r="A63" s="25" t="s">
        <v>19</v>
      </c>
      <c r="B63" t="s">
        <v>139</v>
      </c>
      <c r="C63" t="s">
        <v>140</v>
      </c>
    </row>
    <row r="64" spans="1:10" ht="13">
      <c r="A64" s="25" t="s">
        <v>19</v>
      </c>
      <c r="B64" s="19" t="s">
        <v>149</v>
      </c>
      <c r="C64" s="19" t="s">
        <v>150</v>
      </c>
    </row>
    <row r="65" spans="1:3">
      <c r="A65" s="25" t="s">
        <v>19</v>
      </c>
      <c r="B65" t="s">
        <v>157</v>
      </c>
      <c r="C65" t="s">
        <v>158</v>
      </c>
    </row>
    <row r="66" spans="1:3">
      <c r="A66" s="25" t="s">
        <v>19</v>
      </c>
      <c r="B66" t="s">
        <v>159</v>
      </c>
      <c r="C66" t="s">
        <v>160</v>
      </c>
    </row>
    <row r="67" spans="1:3">
      <c r="A67" s="25" t="s">
        <v>19</v>
      </c>
      <c r="B67" t="s">
        <v>161</v>
      </c>
      <c r="C67" t="s">
        <v>162</v>
      </c>
    </row>
    <row r="68" spans="1:3">
      <c r="A68" s="25" t="s">
        <v>19</v>
      </c>
      <c r="B68" t="s">
        <v>400</v>
      </c>
      <c r="C68" t="s">
        <v>163</v>
      </c>
    </row>
    <row r="69" spans="1:3">
      <c r="A69" t="s">
        <v>19</v>
      </c>
      <c r="B69" t="s">
        <v>165</v>
      </c>
      <c r="C69" t="s">
        <v>164</v>
      </c>
    </row>
    <row r="70" spans="1:3">
      <c r="A70" s="25" t="s">
        <v>19</v>
      </c>
      <c r="B70" t="s">
        <v>168</v>
      </c>
      <c r="C70" t="s">
        <v>169</v>
      </c>
    </row>
    <row r="71" spans="1:3" ht="13">
      <c r="A71" s="25" t="s">
        <v>19</v>
      </c>
      <c r="B71" s="19" t="s">
        <v>170</v>
      </c>
      <c r="C71" s="19" t="s">
        <v>171</v>
      </c>
    </row>
    <row r="72" spans="1:3">
      <c r="A72" s="25" t="s">
        <v>19</v>
      </c>
      <c r="B72" t="s">
        <v>172</v>
      </c>
      <c r="C72" t="s">
        <v>173</v>
      </c>
    </row>
    <row r="73" spans="1:3">
      <c r="A73" s="25" t="s">
        <v>19</v>
      </c>
      <c r="B73" t="s">
        <v>176</v>
      </c>
      <c r="C73" t="s">
        <v>177</v>
      </c>
    </row>
    <row r="74" spans="1:3">
      <c r="A74" s="25" t="s">
        <v>19</v>
      </c>
      <c r="B74" t="s">
        <v>182</v>
      </c>
      <c r="C74" t="s">
        <v>183</v>
      </c>
    </row>
    <row r="75" spans="1:3">
      <c r="A75" s="25" t="s">
        <v>19</v>
      </c>
      <c r="B75" t="s">
        <v>184</v>
      </c>
      <c r="C75" t="s">
        <v>185</v>
      </c>
    </row>
    <row r="76" spans="1:3">
      <c r="A76" s="25" t="s">
        <v>19</v>
      </c>
      <c r="B76" t="s">
        <v>186</v>
      </c>
      <c r="C76" t="s">
        <v>187</v>
      </c>
    </row>
    <row r="77" spans="1:3">
      <c r="A77" s="25" t="s">
        <v>19</v>
      </c>
      <c r="B77" t="s">
        <v>468</v>
      </c>
      <c r="C77" t="s">
        <v>469</v>
      </c>
    </row>
    <row r="78" spans="1:3">
      <c r="A78" s="25" t="s">
        <v>19</v>
      </c>
      <c r="B78" t="s">
        <v>188</v>
      </c>
      <c r="C78" t="s">
        <v>189</v>
      </c>
    </row>
    <row r="79" spans="1:3">
      <c r="A79" s="25" t="s">
        <v>19</v>
      </c>
      <c r="B79" t="s">
        <v>190</v>
      </c>
      <c r="C79" t="s">
        <v>191</v>
      </c>
    </row>
    <row r="80" spans="1:3">
      <c r="A80" s="25" t="s">
        <v>19</v>
      </c>
      <c r="B80" t="s">
        <v>194</v>
      </c>
      <c r="C80" t="s">
        <v>195</v>
      </c>
    </row>
    <row r="81" spans="1:3">
      <c r="A81" s="25" t="s">
        <v>19</v>
      </c>
      <c r="B81" t="s">
        <v>196</v>
      </c>
      <c r="C81" t="s">
        <v>197</v>
      </c>
    </row>
    <row r="82" spans="1:3">
      <c r="A82" s="25" t="s">
        <v>19</v>
      </c>
      <c r="B82" t="s">
        <v>198</v>
      </c>
      <c r="C82" t="s">
        <v>199</v>
      </c>
    </row>
    <row r="83" spans="1:3">
      <c r="A83" s="25" t="s">
        <v>19</v>
      </c>
      <c r="B83" t="s">
        <v>200</v>
      </c>
      <c r="C83" t="s">
        <v>201</v>
      </c>
    </row>
    <row r="84" spans="1:3">
      <c r="A84" s="25" t="s">
        <v>19</v>
      </c>
      <c r="B84" t="s">
        <v>202</v>
      </c>
      <c r="C84" t="s">
        <v>203</v>
      </c>
    </row>
    <row r="85" spans="1:3" ht="13">
      <c r="A85" s="26" t="s">
        <v>19</v>
      </c>
      <c r="B85" s="19" t="s">
        <v>204</v>
      </c>
      <c r="C85" s="19" t="s">
        <v>205</v>
      </c>
    </row>
    <row r="86" spans="1:3" ht="13">
      <c r="A86" s="26" t="s">
        <v>19</v>
      </c>
      <c r="B86" t="s">
        <v>206</v>
      </c>
      <c r="C86" t="s">
        <v>207</v>
      </c>
    </row>
    <row r="87" spans="1:3" ht="13">
      <c r="A87" s="26" t="s">
        <v>19</v>
      </c>
      <c r="B87" t="s">
        <v>208</v>
      </c>
      <c r="C87" t="s">
        <v>209</v>
      </c>
    </row>
    <row r="88" spans="1:3">
      <c r="A88" t="s">
        <v>19</v>
      </c>
      <c r="B88" t="s">
        <v>210</v>
      </c>
      <c r="C88" t="s">
        <v>211</v>
      </c>
    </row>
    <row r="89" spans="1:3">
      <c r="A89" s="25" t="s">
        <v>19</v>
      </c>
      <c r="B89" t="s">
        <v>212</v>
      </c>
      <c r="C89" t="s">
        <v>213</v>
      </c>
    </row>
    <row r="90" spans="1:3">
      <c r="A90" s="25" t="s">
        <v>19</v>
      </c>
      <c r="B90" t="s">
        <v>214</v>
      </c>
      <c r="C90" t="s">
        <v>215</v>
      </c>
    </row>
    <row r="91" spans="1:3">
      <c r="A91" s="25" t="s">
        <v>19</v>
      </c>
      <c r="B91" t="s">
        <v>216</v>
      </c>
      <c r="C91" t="s">
        <v>217</v>
      </c>
    </row>
    <row r="92" spans="1:3">
      <c r="A92" s="25" t="s">
        <v>19</v>
      </c>
      <c r="B92" t="s">
        <v>220</v>
      </c>
      <c r="C92" t="s">
        <v>221</v>
      </c>
    </row>
    <row r="93" spans="1:3">
      <c r="A93" s="25" t="s">
        <v>19</v>
      </c>
      <c r="B93" t="s">
        <v>222</v>
      </c>
      <c r="C93" t="s">
        <v>223</v>
      </c>
    </row>
    <row r="94" spans="1:3">
      <c r="A94" s="25" t="s">
        <v>19</v>
      </c>
      <c r="B94" t="s">
        <v>224</v>
      </c>
      <c r="C94" t="s">
        <v>225</v>
      </c>
    </row>
    <row r="95" spans="1:3">
      <c r="A95" s="25" t="s">
        <v>19</v>
      </c>
      <c r="B95" t="s">
        <v>230</v>
      </c>
      <c r="C95" t="s">
        <v>231</v>
      </c>
    </row>
    <row r="96" spans="1:3">
      <c r="A96" t="s">
        <v>19</v>
      </c>
      <c r="B96" t="s">
        <v>232</v>
      </c>
      <c r="C96" t="s">
        <v>233</v>
      </c>
    </row>
    <row r="97" spans="1:3">
      <c r="A97" s="25" t="s">
        <v>19</v>
      </c>
      <c r="B97" t="s">
        <v>236</v>
      </c>
      <c r="C97" t="s">
        <v>237</v>
      </c>
    </row>
    <row r="98" spans="1:3">
      <c r="A98" s="25" t="s">
        <v>19</v>
      </c>
      <c r="B98" t="s">
        <v>441</v>
      </c>
      <c r="C98" t="s">
        <v>442</v>
      </c>
    </row>
    <row r="99" spans="1:3">
      <c r="A99" s="25" t="s">
        <v>19</v>
      </c>
      <c r="B99" t="s">
        <v>238</v>
      </c>
      <c r="C99" t="s">
        <v>239</v>
      </c>
    </row>
    <row r="100" spans="1:3">
      <c r="A100" s="25" t="s">
        <v>19</v>
      </c>
      <c r="B100" t="s">
        <v>240</v>
      </c>
      <c r="C100" t="s">
        <v>241</v>
      </c>
    </row>
    <row r="101" spans="1:3" ht="13">
      <c r="A101" s="26" t="s">
        <v>19</v>
      </c>
      <c r="B101" s="19" t="s">
        <v>242</v>
      </c>
      <c r="C101" s="19" t="s">
        <v>243</v>
      </c>
    </row>
    <row r="102" spans="1:3">
      <c r="A102" s="25" t="s">
        <v>19</v>
      </c>
      <c r="B102" t="s">
        <v>246</v>
      </c>
      <c r="C102" t="s">
        <v>247</v>
      </c>
    </row>
    <row r="103" spans="1:3">
      <c r="A103" s="25" t="s">
        <v>19</v>
      </c>
      <c r="B103" t="s">
        <v>250</v>
      </c>
      <c r="C103" t="s">
        <v>251</v>
      </c>
    </row>
    <row r="104" spans="1:3">
      <c r="A104" t="s">
        <v>19</v>
      </c>
      <c r="B104" t="s">
        <v>252</v>
      </c>
      <c r="C104" t="s">
        <v>253</v>
      </c>
    </row>
    <row r="105" spans="1:3">
      <c r="A105" s="25" t="s">
        <v>19</v>
      </c>
      <c r="B105" t="s">
        <v>254</v>
      </c>
      <c r="C105" t="s">
        <v>255</v>
      </c>
    </row>
    <row r="106" spans="1:3">
      <c r="A106" s="25" t="s">
        <v>19</v>
      </c>
      <c r="B106" t="s">
        <v>256</v>
      </c>
      <c r="C106" t="s">
        <v>257</v>
      </c>
    </row>
    <row r="107" spans="1:3">
      <c r="A107" s="25" t="s">
        <v>19</v>
      </c>
      <c r="B107" t="s">
        <v>258</v>
      </c>
      <c r="C107" t="s">
        <v>259</v>
      </c>
    </row>
    <row r="108" spans="1:3">
      <c r="A108" s="25" t="s">
        <v>19</v>
      </c>
      <c r="B108" t="s">
        <v>262</v>
      </c>
      <c r="C108" t="s">
        <v>263</v>
      </c>
    </row>
    <row r="109" spans="1:3">
      <c r="A109" s="25" t="s">
        <v>19</v>
      </c>
      <c r="B109" t="s">
        <v>267</v>
      </c>
      <c r="C109" t="s">
        <v>266</v>
      </c>
    </row>
    <row r="110" spans="1:3">
      <c r="A110" s="25" t="s">
        <v>19</v>
      </c>
      <c r="B110" t="s">
        <v>268</v>
      </c>
      <c r="C110" t="s">
        <v>269</v>
      </c>
    </row>
    <row r="111" spans="1:3">
      <c r="A111" s="25" t="s">
        <v>19</v>
      </c>
      <c r="B111" t="s">
        <v>270</v>
      </c>
      <c r="C111" t="s">
        <v>271</v>
      </c>
    </row>
    <row r="112" spans="1:3">
      <c r="A112" s="25" t="s">
        <v>19</v>
      </c>
      <c r="B112" t="s">
        <v>272</v>
      </c>
      <c r="C112" t="s">
        <v>273</v>
      </c>
    </row>
    <row r="113" spans="1:3">
      <c r="A113" s="25" t="s">
        <v>19</v>
      </c>
      <c r="B113" t="s">
        <v>274</v>
      </c>
      <c r="C113" t="s">
        <v>275</v>
      </c>
    </row>
    <row r="114" spans="1:3">
      <c r="A114" s="25" t="s">
        <v>19</v>
      </c>
      <c r="B114" t="s">
        <v>276</v>
      </c>
      <c r="C114" t="s">
        <v>277</v>
      </c>
    </row>
    <row r="115" spans="1:3">
      <c r="A115" s="25" t="s">
        <v>19</v>
      </c>
      <c r="B115" t="s">
        <v>278</v>
      </c>
      <c r="C115" t="s">
        <v>279</v>
      </c>
    </row>
    <row r="116" spans="1:3">
      <c r="A116" s="25" t="s">
        <v>19</v>
      </c>
      <c r="B116" t="s">
        <v>280</v>
      </c>
      <c r="C116" t="s">
        <v>281</v>
      </c>
    </row>
    <row r="117" spans="1:3">
      <c r="A117" s="25" t="s">
        <v>19</v>
      </c>
      <c r="B117" t="s">
        <v>282</v>
      </c>
      <c r="C117" t="s">
        <v>283</v>
      </c>
    </row>
    <row r="118" spans="1:3">
      <c r="A118" s="25" t="s">
        <v>19</v>
      </c>
      <c r="B118" t="s">
        <v>284</v>
      </c>
      <c r="C118" t="s">
        <v>285</v>
      </c>
    </row>
    <row r="119" spans="1:3">
      <c r="A119" s="25" t="s">
        <v>19</v>
      </c>
      <c r="B119" t="s">
        <v>288</v>
      </c>
      <c r="C119" t="s">
        <v>289</v>
      </c>
    </row>
    <row r="120" spans="1:3">
      <c r="A120" t="s">
        <v>19</v>
      </c>
      <c r="B120" t="s">
        <v>290</v>
      </c>
      <c r="C120" t="s">
        <v>291</v>
      </c>
    </row>
    <row r="121" spans="1:3">
      <c r="A121" s="25" t="s">
        <v>19</v>
      </c>
      <c r="B121" t="s">
        <v>296</v>
      </c>
      <c r="C121" t="s">
        <v>297</v>
      </c>
    </row>
    <row r="122" spans="1:3">
      <c r="A122" s="25" t="s">
        <v>19</v>
      </c>
      <c r="B122" t="s">
        <v>298</v>
      </c>
      <c r="C122" t="s">
        <v>299</v>
      </c>
    </row>
    <row r="123" spans="1:3">
      <c r="A123" s="25" t="s">
        <v>19</v>
      </c>
      <c r="B123" t="s">
        <v>300</v>
      </c>
      <c r="C123" t="s">
        <v>301</v>
      </c>
    </row>
    <row r="124" spans="1:3">
      <c r="A124" s="25" t="s">
        <v>19</v>
      </c>
      <c r="B124" t="s">
        <v>302</v>
      </c>
      <c r="C124" t="s">
        <v>303</v>
      </c>
    </row>
    <row r="125" spans="1:3">
      <c r="A125" s="25" t="s">
        <v>19</v>
      </c>
      <c r="B125" t="s">
        <v>304</v>
      </c>
      <c r="C125" t="s">
        <v>305</v>
      </c>
    </row>
    <row r="126" spans="1:3">
      <c r="A126" s="25" t="s">
        <v>19</v>
      </c>
      <c r="B126" t="s">
        <v>306</v>
      </c>
      <c r="C126" t="s">
        <v>307</v>
      </c>
    </row>
    <row r="127" spans="1:3">
      <c r="A127" t="s">
        <v>19</v>
      </c>
      <c r="B127" t="s">
        <v>308</v>
      </c>
      <c r="C127" t="s">
        <v>309</v>
      </c>
    </row>
    <row r="128" spans="1:3">
      <c r="A128" s="25" t="s">
        <v>19</v>
      </c>
      <c r="B128" t="s">
        <v>310</v>
      </c>
      <c r="C128" t="s">
        <v>311</v>
      </c>
    </row>
    <row r="129" spans="1:3">
      <c r="A129" s="25" t="s">
        <v>19</v>
      </c>
      <c r="B129" t="s">
        <v>312</v>
      </c>
      <c r="C129" t="s">
        <v>313</v>
      </c>
    </row>
    <row r="130" spans="1:3">
      <c r="A130" s="25" t="s">
        <v>19</v>
      </c>
      <c r="B130" t="s">
        <v>314</v>
      </c>
      <c r="C130" t="s">
        <v>315</v>
      </c>
    </row>
    <row r="131" spans="1:3">
      <c r="A131" s="25" t="s">
        <v>19</v>
      </c>
      <c r="B131" t="s">
        <v>317</v>
      </c>
      <c r="C131" t="s">
        <v>316</v>
      </c>
    </row>
    <row r="132" spans="1:3">
      <c r="A132" s="25" t="s">
        <v>19</v>
      </c>
      <c r="B132" t="s">
        <v>318</v>
      </c>
      <c r="C132" t="s">
        <v>319</v>
      </c>
    </row>
    <row r="133" spans="1:3">
      <c r="A133" s="25" t="s">
        <v>19</v>
      </c>
      <c r="B133" t="s">
        <v>321</v>
      </c>
      <c r="C133" t="s">
        <v>320</v>
      </c>
    </row>
    <row r="134" spans="1:3">
      <c r="A134" s="25" t="s">
        <v>19</v>
      </c>
      <c r="B134" t="s">
        <v>322</v>
      </c>
      <c r="C134" t="s">
        <v>323</v>
      </c>
    </row>
    <row r="135" spans="1:3">
      <c r="A135" s="25" t="s">
        <v>19</v>
      </c>
      <c r="B135" t="s">
        <v>324</v>
      </c>
      <c r="C135" t="s">
        <v>325</v>
      </c>
    </row>
    <row r="136" spans="1:3">
      <c r="A136" t="s">
        <v>19</v>
      </c>
      <c r="B136" t="s">
        <v>330</v>
      </c>
      <c r="C136" t="s">
        <v>331</v>
      </c>
    </row>
    <row r="137" spans="1:3">
      <c r="A137" s="25" t="s">
        <v>19</v>
      </c>
      <c r="B137" t="s">
        <v>332</v>
      </c>
      <c r="C137" t="s">
        <v>333</v>
      </c>
    </row>
    <row r="138" spans="1:3">
      <c r="A138" s="25" t="s">
        <v>19</v>
      </c>
      <c r="B138" t="s">
        <v>334</v>
      </c>
      <c r="C138" t="s">
        <v>335</v>
      </c>
    </row>
    <row r="139" spans="1:3">
      <c r="A139" s="25" t="s">
        <v>19</v>
      </c>
      <c r="B139" t="s">
        <v>336</v>
      </c>
      <c r="C139" t="s">
        <v>337</v>
      </c>
    </row>
    <row r="140" spans="1:3">
      <c r="A140" t="s">
        <v>19</v>
      </c>
      <c r="B140" t="s">
        <v>338</v>
      </c>
      <c r="C140" t="s">
        <v>339</v>
      </c>
    </row>
    <row r="141" spans="1:3">
      <c r="A141" s="25" t="s">
        <v>19</v>
      </c>
      <c r="B141" t="s">
        <v>340</v>
      </c>
      <c r="C141" t="s">
        <v>341</v>
      </c>
    </row>
    <row r="142" spans="1:3">
      <c r="A142" s="25" t="s">
        <v>19</v>
      </c>
      <c r="B142" t="s">
        <v>342</v>
      </c>
      <c r="C142" t="s">
        <v>343</v>
      </c>
    </row>
    <row r="143" spans="1:3">
      <c r="A143" s="25" t="s">
        <v>19</v>
      </c>
      <c r="B143" t="s">
        <v>344</v>
      </c>
      <c r="C143" t="s">
        <v>345</v>
      </c>
    </row>
    <row r="144" spans="1:3">
      <c r="A144" s="25" t="s">
        <v>19</v>
      </c>
      <c r="B144" t="s">
        <v>346</v>
      </c>
      <c r="C144" t="s">
        <v>347</v>
      </c>
    </row>
    <row r="145" spans="1:3">
      <c r="A145" s="25" t="s">
        <v>19</v>
      </c>
      <c r="B145" t="s">
        <v>348</v>
      </c>
      <c r="C145" t="s">
        <v>349</v>
      </c>
    </row>
    <row r="146" spans="1:3">
      <c r="A146" s="25" t="s">
        <v>19</v>
      </c>
      <c r="B146" t="s">
        <v>350</v>
      </c>
      <c r="C146" t="s">
        <v>351</v>
      </c>
    </row>
    <row r="147" spans="1:3">
      <c r="A147" s="25" t="s">
        <v>19</v>
      </c>
      <c r="B147" t="s">
        <v>352</v>
      </c>
      <c r="C147" t="s">
        <v>353</v>
      </c>
    </row>
    <row r="148" spans="1:3">
      <c r="A148" s="25" t="s">
        <v>19</v>
      </c>
      <c r="B148" t="s">
        <v>355</v>
      </c>
      <c r="C148" t="s">
        <v>354</v>
      </c>
    </row>
    <row r="149" spans="1:3">
      <c r="A149" s="25" t="s">
        <v>19</v>
      </c>
      <c r="B149" t="s">
        <v>356</v>
      </c>
      <c r="C149" t="s">
        <v>357</v>
      </c>
    </row>
    <row r="150" spans="1:3">
      <c r="A150" t="s">
        <v>19</v>
      </c>
      <c r="B150" t="s">
        <v>360</v>
      </c>
      <c r="C150" t="s">
        <v>361</v>
      </c>
    </row>
    <row r="151" spans="1:3">
      <c r="A151" s="25" t="s">
        <v>19</v>
      </c>
      <c r="B151" t="s">
        <v>362</v>
      </c>
      <c r="C151" t="s">
        <v>363</v>
      </c>
    </row>
    <row r="152" spans="1:3">
      <c r="A152" s="25" t="s">
        <v>19</v>
      </c>
      <c r="B152" t="s">
        <v>364</v>
      </c>
      <c r="C152" t="s">
        <v>365</v>
      </c>
    </row>
    <row r="153" spans="1:3">
      <c r="A153" s="25" t="s">
        <v>19</v>
      </c>
      <c r="B153" t="s">
        <v>366</v>
      </c>
      <c r="C153" t="s">
        <v>367</v>
      </c>
    </row>
    <row r="154" spans="1:3">
      <c r="A154" s="25" t="s">
        <v>19</v>
      </c>
      <c r="B154" t="s">
        <v>368</v>
      </c>
      <c r="C154" t="s">
        <v>369</v>
      </c>
    </row>
    <row r="155" spans="1:3">
      <c r="A155" s="25" t="s">
        <v>19</v>
      </c>
      <c r="B155" t="s">
        <v>370</v>
      </c>
      <c r="C155" t="s">
        <v>371</v>
      </c>
    </row>
    <row r="156" spans="1:3">
      <c r="A156" s="25" t="s">
        <v>19</v>
      </c>
      <c r="B156" t="s">
        <v>456</v>
      </c>
      <c r="C156" t="s">
        <v>457</v>
      </c>
    </row>
    <row r="157" spans="1:3">
      <c r="A157" s="25" t="s">
        <v>19</v>
      </c>
      <c r="B157" t="s">
        <v>373</v>
      </c>
      <c r="C157" t="s">
        <v>372</v>
      </c>
    </row>
    <row r="158" spans="1:3">
      <c r="A158" s="25" t="s">
        <v>19</v>
      </c>
      <c r="B158" t="s">
        <v>374</v>
      </c>
      <c r="C158" t="s">
        <v>375</v>
      </c>
    </row>
    <row r="159" spans="1:3">
      <c r="A159" s="25" t="s">
        <v>19</v>
      </c>
      <c r="B159" t="s">
        <v>376</v>
      </c>
      <c r="C159" t="s">
        <v>377</v>
      </c>
    </row>
    <row r="160" spans="1:3">
      <c r="A160" s="25" t="s">
        <v>19</v>
      </c>
      <c r="B160" t="s">
        <v>454</v>
      </c>
      <c r="C160" t="s">
        <v>455</v>
      </c>
    </row>
    <row r="161" spans="1:4">
      <c r="A161" s="25" t="s">
        <v>19</v>
      </c>
      <c r="B161" t="s">
        <v>587</v>
      </c>
      <c r="C161" t="s">
        <v>588</v>
      </c>
    </row>
    <row r="162" spans="1:4">
      <c r="A162" s="25" t="s">
        <v>19</v>
      </c>
      <c r="B162" t="s">
        <v>589</v>
      </c>
      <c r="C162" t="s">
        <v>590</v>
      </c>
    </row>
    <row r="163" spans="1:4">
      <c r="A163" s="25" t="s">
        <v>19</v>
      </c>
      <c r="B163" t="s">
        <v>585</v>
      </c>
      <c r="C163" t="s">
        <v>586</v>
      </c>
    </row>
    <row r="164" spans="1:4">
      <c r="A164" s="25" t="s">
        <v>19</v>
      </c>
      <c r="B164" t="s">
        <v>378</v>
      </c>
      <c r="C164" t="s">
        <v>379</v>
      </c>
    </row>
    <row r="165" spans="1:4">
      <c r="A165" t="s">
        <v>19</v>
      </c>
      <c r="B165" t="s">
        <v>380</v>
      </c>
      <c r="C165" t="s">
        <v>381</v>
      </c>
    </row>
    <row r="166" spans="1:4">
      <c r="A166" s="25" t="s">
        <v>19</v>
      </c>
      <c r="B166" t="s">
        <v>472</v>
      </c>
      <c r="C166" t="s">
        <v>473</v>
      </c>
    </row>
    <row r="167" spans="1:4">
      <c r="B167" t="s">
        <v>431</v>
      </c>
      <c r="D167" s="15">
        <v>34.5</v>
      </c>
    </row>
    <row r="168" spans="1:4">
      <c r="A168" s="25" t="s">
        <v>19</v>
      </c>
      <c r="B168" t="s">
        <v>452</v>
      </c>
      <c r="C168" t="s">
        <v>453</v>
      </c>
      <c r="D168" s="15"/>
    </row>
    <row r="169" spans="1:4">
      <c r="A169" t="s">
        <v>19</v>
      </c>
      <c r="B169" t="s">
        <v>382</v>
      </c>
      <c r="C169" t="s">
        <v>383</v>
      </c>
    </row>
    <row r="170" spans="1:4">
      <c r="A170" s="25" t="s">
        <v>19</v>
      </c>
      <c r="B170" t="s">
        <v>450</v>
      </c>
      <c r="C170" t="s">
        <v>451</v>
      </c>
    </row>
    <row r="171" spans="1:4">
      <c r="A171" t="s">
        <v>19</v>
      </c>
      <c r="B171" t="s">
        <v>384</v>
      </c>
      <c r="C171" t="s">
        <v>385</v>
      </c>
    </row>
    <row r="172" spans="1:4">
      <c r="A172" s="25" t="s">
        <v>19</v>
      </c>
      <c r="B172" t="s">
        <v>388</v>
      </c>
      <c r="C172" t="s">
        <v>389</v>
      </c>
    </row>
    <row r="173" spans="1:4">
      <c r="A173" s="25" t="s">
        <v>19</v>
      </c>
      <c r="B173" t="s">
        <v>458</v>
      </c>
      <c r="C173" t="s">
        <v>459</v>
      </c>
    </row>
    <row r="174" spans="1:4">
      <c r="A174" s="25" t="s">
        <v>19</v>
      </c>
      <c r="B174" t="s">
        <v>390</v>
      </c>
      <c r="C174" t="s">
        <v>391</v>
      </c>
    </row>
    <row r="175" spans="1:4">
      <c r="A175" s="25" t="s">
        <v>19</v>
      </c>
      <c r="B175" t="s">
        <v>392</v>
      </c>
      <c r="C175" t="s">
        <v>393</v>
      </c>
    </row>
    <row r="176" spans="1:4">
      <c r="A176" s="25" t="s">
        <v>19</v>
      </c>
      <c r="B176" t="s">
        <v>460</v>
      </c>
      <c r="C176" t="s">
        <v>461</v>
      </c>
    </row>
    <row r="177" spans="1:3">
      <c r="A177" s="25" t="s">
        <v>19</v>
      </c>
      <c r="B177" t="s">
        <v>476</v>
      </c>
      <c r="C177" t="s">
        <v>477</v>
      </c>
    </row>
    <row r="178" spans="1:3">
      <c r="A178" s="25" t="s">
        <v>19</v>
      </c>
      <c r="B178" t="s">
        <v>480</v>
      </c>
      <c r="C178" t="s">
        <v>481</v>
      </c>
    </row>
    <row r="179" spans="1:3">
      <c r="A179" s="25" t="s">
        <v>19</v>
      </c>
      <c r="B179" t="s">
        <v>486</v>
      </c>
      <c r="C179" t="s">
        <v>487</v>
      </c>
    </row>
    <row r="180" spans="1:3">
      <c r="A180" s="25" t="s">
        <v>19</v>
      </c>
      <c r="B180" t="s">
        <v>478</v>
      </c>
      <c r="C180" t="s">
        <v>479</v>
      </c>
    </row>
    <row r="181" spans="1:3">
      <c r="A181" s="25" t="s">
        <v>19</v>
      </c>
      <c r="B181" t="s">
        <v>396</v>
      </c>
      <c r="C181" t="s">
        <v>397</v>
      </c>
    </row>
    <row r="182" spans="1:3">
      <c r="A182" s="25" t="s">
        <v>19</v>
      </c>
      <c r="B182" t="s">
        <v>398</v>
      </c>
      <c r="C182" t="s">
        <v>399</v>
      </c>
    </row>
    <row r="183" spans="1:3">
      <c r="A183" s="25" t="s">
        <v>19</v>
      </c>
      <c r="B183" t="s">
        <v>488</v>
      </c>
      <c r="C183" t="s">
        <v>489</v>
      </c>
    </row>
    <row r="184" spans="1:3">
      <c r="A184" s="25" t="s">
        <v>19</v>
      </c>
      <c r="B184" t="s">
        <v>401</v>
      </c>
      <c r="C184" t="s">
        <v>402</v>
      </c>
    </row>
    <row r="185" spans="1:3">
      <c r="A185" s="25" t="s">
        <v>19</v>
      </c>
      <c r="B185" t="s">
        <v>444</v>
      </c>
      <c r="C185" t="s">
        <v>445</v>
      </c>
    </row>
    <row r="186" spans="1:3">
      <c r="A186" s="25" t="s">
        <v>19</v>
      </c>
      <c r="B186" t="s">
        <v>492</v>
      </c>
      <c r="C186" t="s">
        <v>493</v>
      </c>
    </row>
    <row r="187" spans="1:3">
      <c r="A187" s="25" t="s">
        <v>19</v>
      </c>
      <c r="B187" t="s">
        <v>403</v>
      </c>
      <c r="C187" t="s">
        <v>404</v>
      </c>
    </row>
    <row r="188" spans="1:3">
      <c r="A188" s="25" t="s">
        <v>19</v>
      </c>
      <c r="B188" t="s">
        <v>405</v>
      </c>
      <c r="C188" t="s">
        <v>406</v>
      </c>
    </row>
    <row r="189" spans="1:3">
      <c r="A189" s="25" t="s">
        <v>19</v>
      </c>
      <c r="B189" t="s">
        <v>155</v>
      </c>
      <c r="C189" t="s">
        <v>156</v>
      </c>
    </row>
    <row r="190" spans="1:3">
      <c r="A190" s="25" t="s">
        <v>19</v>
      </c>
      <c r="B190" t="s">
        <v>490</v>
      </c>
      <c r="C190" t="s">
        <v>491</v>
      </c>
    </row>
    <row r="191" spans="1:3">
      <c r="A191" s="25" t="s">
        <v>19</v>
      </c>
      <c r="B191" t="s">
        <v>502</v>
      </c>
      <c r="C191" t="s">
        <v>503</v>
      </c>
    </row>
    <row r="192" spans="1:3">
      <c r="A192" s="25" t="s">
        <v>19</v>
      </c>
      <c r="B192" t="s">
        <v>508</v>
      </c>
      <c r="C192" t="s">
        <v>509</v>
      </c>
    </row>
    <row r="193" spans="1:3">
      <c r="A193" s="25" t="s">
        <v>19</v>
      </c>
      <c r="B193" t="s">
        <v>506</v>
      </c>
      <c r="C193" t="s">
        <v>507</v>
      </c>
    </row>
    <row r="194" spans="1:3">
      <c r="A194" s="25" t="s">
        <v>19</v>
      </c>
      <c r="B194" t="s">
        <v>504</v>
      </c>
      <c r="C194" t="s">
        <v>505</v>
      </c>
    </row>
    <row r="195" spans="1:3">
      <c r="A195" s="25" t="s">
        <v>19</v>
      </c>
      <c r="B195" t="s">
        <v>510</v>
      </c>
      <c r="C195" t="s">
        <v>511</v>
      </c>
    </row>
    <row r="196" spans="1:3">
      <c r="A196" s="25" t="s">
        <v>19</v>
      </c>
      <c r="B196" t="s">
        <v>516</v>
      </c>
      <c r="C196" t="s">
        <v>517</v>
      </c>
    </row>
    <row r="197" spans="1:3">
      <c r="A197" s="25" t="s">
        <v>19</v>
      </c>
      <c r="B197" t="s">
        <v>549</v>
      </c>
      <c r="C197" t="s">
        <v>550</v>
      </c>
    </row>
    <row r="198" spans="1:3">
      <c r="A198" s="25" t="s">
        <v>19</v>
      </c>
      <c r="B198" t="s">
        <v>520</v>
      </c>
      <c r="C198" t="s">
        <v>521</v>
      </c>
    </row>
    <row r="199" spans="1:3">
      <c r="A199" s="25" t="s">
        <v>19</v>
      </c>
      <c r="B199" t="s">
        <v>514</v>
      </c>
      <c r="C199" t="s">
        <v>515</v>
      </c>
    </row>
    <row r="200" spans="1:3">
      <c r="A200" s="25" t="s">
        <v>19</v>
      </c>
      <c r="B200" t="s">
        <v>500</v>
      </c>
      <c r="C200" t="s">
        <v>501</v>
      </c>
    </row>
    <row r="201" spans="1:3">
      <c r="A201" s="25" t="s">
        <v>19</v>
      </c>
      <c r="B201" t="s">
        <v>518</v>
      </c>
      <c r="C201" t="s">
        <v>519</v>
      </c>
    </row>
    <row r="202" spans="1:3">
      <c r="A202" s="25" t="s">
        <v>19</v>
      </c>
      <c r="B202" t="s">
        <v>407</v>
      </c>
      <c r="C202" t="s">
        <v>408</v>
      </c>
    </row>
    <row r="203" spans="1:3">
      <c r="A203" s="25" t="s">
        <v>19</v>
      </c>
      <c r="B203" t="s">
        <v>524</v>
      </c>
      <c r="C203" t="s">
        <v>525</v>
      </c>
    </row>
    <row r="204" spans="1:3">
      <c r="A204" s="25" t="s">
        <v>19</v>
      </c>
      <c r="B204" t="s">
        <v>527</v>
      </c>
      <c r="C204" t="s">
        <v>528</v>
      </c>
    </row>
    <row r="205" spans="1:3">
      <c r="A205" s="25" t="s">
        <v>19</v>
      </c>
      <c r="B205" t="s">
        <v>529</v>
      </c>
      <c r="C205" t="s">
        <v>530</v>
      </c>
    </row>
    <row r="206" spans="1:3">
      <c r="A206" s="25" t="s">
        <v>19</v>
      </c>
      <c r="B206" t="s">
        <v>533</v>
      </c>
      <c r="C206" t="s">
        <v>534</v>
      </c>
    </row>
    <row r="207" spans="1:3">
      <c r="A207" s="25" t="s">
        <v>19</v>
      </c>
      <c r="B207" t="s">
        <v>531</v>
      </c>
      <c r="C207" t="s">
        <v>532</v>
      </c>
    </row>
    <row r="208" spans="1:3">
      <c r="A208" s="25" t="s">
        <v>19</v>
      </c>
      <c r="B208" t="s">
        <v>535</v>
      </c>
      <c r="C208" t="s">
        <v>536</v>
      </c>
    </row>
    <row r="209" spans="1:10">
      <c r="A209" s="25" t="s">
        <v>19</v>
      </c>
      <c r="B209" t="s">
        <v>498</v>
      </c>
      <c r="C209" t="s">
        <v>499</v>
      </c>
    </row>
    <row r="210" spans="1:10">
      <c r="A210" s="25" t="s">
        <v>19</v>
      </c>
      <c r="B210" t="s">
        <v>537</v>
      </c>
      <c r="C210" t="s">
        <v>538</v>
      </c>
    </row>
    <row r="211" spans="1:10">
      <c r="A211" s="25" t="s">
        <v>19</v>
      </c>
      <c r="B211" t="s">
        <v>545</v>
      </c>
      <c r="C211" t="s">
        <v>546</v>
      </c>
      <c r="D211"/>
      <c r="E211"/>
      <c r="F211"/>
      <c r="G211"/>
      <c r="H211"/>
      <c r="I211"/>
      <c r="J211"/>
    </row>
    <row r="212" spans="1:10">
      <c r="A212" s="25" t="s">
        <v>19</v>
      </c>
      <c r="B212" t="s">
        <v>551</v>
      </c>
      <c r="C212" t="s">
        <v>552</v>
      </c>
      <c r="D212"/>
      <c r="E212"/>
      <c r="F212"/>
      <c r="G212"/>
      <c r="H212"/>
      <c r="I212"/>
      <c r="J212"/>
    </row>
    <row r="213" spans="1:10">
      <c r="A213" s="25" t="s">
        <v>19</v>
      </c>
      <c r="B213" t="s">
        <v>559</v>
      </c>
      <c r="C213" t="s">
        <v>560</v>
      </c>
      <c r="D213"/>
      <c r="E213"/>
      <c r="F213"/>
      <c r="G213"/>
      <c r="H213"/>
      <c r="I213"/>
      <c r="J213"/>
    </row>
    <row r="214" spans="1:10">
      <c r="A214" s="25" t="s">
        <v>19</v>
      </c>
      <c r="B214" t="s">
        <v>563</v>
      </c>
      <c r="C214" t="s">
        <v>564</v>
      </c>
    </row>
    <row r="215" spans="1:10">
      <c r="A215" s="25" t="s">
        <v>19</v>
      </c>
      <c r="B215" t="s">
        <v>565</v>
      </c>
      <c r="C215" t="s">
        <v>566</v>
      </c>
    </row>
    <row r="216" spans="1:10">
      <c r="A216" s="25" t="s">
        <v>19</v>
      </c>
      <c r="B216" t="s">
        <v>543</v>
      </c>
      <c r="C216" t="s">
        <v>544</v>
      </c>
      <c r="D216"/>
      <c r="E216"/>
      <c r="F216"/>
      <c r="G216"/>
      <c r="H216"/>
      <c r="I216"/>
      <c r="J216"/>
    </row>
    <row r="217" spans="1:10">
      <c r="A217" s="25" t="s">
        <v>19</v>
      </c>
      <c r="B217" t="s">
        <v>567</v>
      </c>
      <c r="C217" t="s">
        <v>568</v>
      </c>
      <c r="D217"/>
      <c r="E217"/>
      <c r="F217"/>
      <c r="G217"/>
      <c r="H217"/>
      <c r="I217"/>
      <c r="J217"/>
    </row>
    <row r="218" spans="1:10">
      <c r="A218" s="25" t="s">
        <v>19</v>
      </c>
      <c r="B218" t="s">
        <v>569</v>
      </c>
      <c r="C218" t="s">
        <v>570</v>
      </c>
      <c r="D218"/>
      <c r="E218"/>
      <c r="F218"/>
      <c r="G218"/>
      <c r="H218"/>
      <c r="I218"/>
      <c r="J218"/>
    </row>
    <row r="219" spans="1:10">
      <c r="A219" s="25" t="s">
        <v>19</v>
      </c>
      <c r="B219" t="s">
        <v>571</v>
      </c>
      <c r="C219" t="s">
        <v>572</v>
      </c>
      <c r="D219"/>
      <c r="E219"/>
      <c r="F219"/>
      <c r="G219"/>
      <c r="H219"/>
      <c r="I219"/>
      <c r="J219"/>
    </row>
    <row r="220" spans="1:10">
      <c r="A220" s="25" t="s">
        <v>19</v>
      </c>
      <c r="B220" t="s">
        <v>575</v>
      </c>
      <c r="C220" t="s">
        <v>576</v>
      </c>
      <c r="D220"/>
      <c r="E220"/>
      <c r="F220"/>
      <c r="G220"/>
      <c r="H220"/>
      <c r="I220"/>
      <c r="J220"/>
    </row>
    <row r="221" spans="1:10">
      <c r="A221" s="25" t="s">
        <v>19</v>
      </c>
      <c r="B221" t="s">
        <v>581</v>
      </c>
      <c r="C221" t="s">
        <v>582</v>
      </c>
      <c r="D221"/>
      <c r="E221"/>
      <c r="F221"/>
      <c r="G221"/>
      <c r="H221"/>
      <c r="I221"/>
      <c r="J221"/>
    </row>
    <row r="222" spans="1:10">
      <c r="A222" s="25" t="s">
        <v>19</v>
      </c>
      <c r="B222" t="s">
        <v>583</v>
      </c>
      <c r="C222" t="s">
        <v>584</v>
      </c>
      <c r="D222"/>
      <c r="E222"/>
      <c r="F222"/>
      <c r="G222"/>
      <c r="H222"/>
      <c r="I222"/>
      <c r="J222"/>
    </row>
    <row r="223" spans="1:10">
      <c r="A223" s="25" t="s">
        <v>19</v>
      </c>
      <c r="B223" t="s">
        <v>591</v>
      </c>
      <c r="C223" t="s">
        <v>592</v>
      </c>
      <c r="D223"/>
      <c r="E223"/>
      <c r="F223"/>
      <c r="G223"/>
      <c r="H223"/>
      <c r="I223"/>
      <c r="J223"/>
    </row>
    <row r="224" spans="1:10">
      <c r="A224" s="25" t="s">
        <v>19</v>
      </c>
      <c r="B224" t="s">
        <v>579</v>
      </c>
      <c r="C224" t="s">
        <v>580</v>
      </c>
      <c r="D224"/>
      <c r="E224"/>
      <c r="F224"/>
      <c r="G224"/>
      <c r="H224"/>
      <c r="I224"/>
      <c r="J224"/>
    </row>
    <row r="225" spans="1:10">
      <c r="A225" s="25" t="s">
        <v>19</v>
      </c>
      <c r="B225" t="s">
        <v>595</v>
      </c>
      <c r="C225" t="s">
        <v>596</v>
      </c>
      <c r="D225"/>
      <c r="E225"/>
      <c r="F225"/>
      <c r="G225"/>
      <c r="H225"/>
      <c r="I225"/>
      <c r="J225"/>
    </row>
    <row r="226" spans="1:10">
      <c r="A226" s="25" t="s">
        <v>19</v>
      </c>
      <c r="B226" t="s">
        <v>603</v>
      </c>
      <c r="C226" t="s">
        <v>604</v>
      </c>
      <c r="D226"/>
      <c r="E226"/>
      <c r="F226"/>
      <c r="G226"/>
      <c r="H226"/>
      <c r="I226"/>
      <c r="J226"/>
    </row>
    <row r="227" spans="1:10">
      <c r="B227" s="1" t="s">
        <v>613</v>
      </c>
      <c r="C227" t="s">
        <v>614</v>
      </c>
      <c r="D227">
        <v>9.02</v>
      </c>
      <c r="E227" s="17">
        <f>+D227*I227</f>
        <v>7142.0186455200001</v>
      </c>
      <c r="F227" s="17">
        <f>[9]Main!$K$5-[9]Main!$K$6</f>
        <v>812.524</v>
      </c>
      <c r="G227" s="17">
        <f>+E227-F227</f>
        <v>6329.4946455199997</v>
      </c>
      <c r="H227" t="s">
        <v>615</v>
      </c>
      <c r="I227" s="17">
        <f>[9]Main!$K$3</f>
        <v>791.79807600000004</v>
      </c>
      <c r="J227" s="18">
        <v>45824</v>
      </c>
    </row>
    <row r="228" spans="1:10">
      <c r="A228" s="25" t="s">
        <v>19</v>
      </c>
      <c r="B228" t="s">
        <v>597</v>
      </c>
      <c r="C228" t="s">
        <v>598</v>
      </c>
      <c r="D228"/>
      <c r="E228"/>
      <c r="F228"/>
      <c r="G228"/>
      <c r="H228"/>
      <c r="I228"/>
      <c r="J228"/>
    </row>
    <row r="229" spans="1:10">
      <c r="A229" s="25" t="s">
        <v>19</v>
      </c>
      <c r="B229" t="s">
        <v>607</v>
      </c>
      <c r="C229" t="s">
        <v>608</v>
      </c>
      <c r="D229"/>
      <c r="E229"/>
      <c r="F229"/>
      <c r="G229"/>
      <c r="H229"/>
      <c r="I229"/>
      <c r="J229"/>
    </row>
    <row r="230" spans="1:10">
      <c r="A230" s="25" t="s">
        <v>19</v>
      </c>
      <c r="B230" t="s">
        <v>609</v>
      </c>
      <c r="C230" t="s">
        <v>610</v>
      </c>
      <c r="D230"/>
      <c r="E230"/>
      <c r="F230"/>
      <c r="G230"/>
      <c r="H230"/>
      <c r="I230"/>
      <c r="J230"/>
    </row>
    <row r="231" spans="1:10">
      <c r="A231" s="25" t="s">
        <v>19</v>
      </c>
      <c r="B231" t="s">
        <v>611</v>
      </c>
      <c r="C231" t="s">
        <v>612</v>
      </c>
      <c r="D231"/>
      <c r="E231"/>
      <c r="F231"/>
      <c r="G231"/>
      <c r="H231"/>
      <c r="I231"/>
      <c r="J231"/>
    </row>
    <row r="232" spans="1:10">
      <c r="A232" s="25" t="s">
        <v>19</v>
      </c>
      <c r="B232" s="1" t="s">
        <v>415</v>
      </c>
      <c r="C232" t="s">
        <v>416</v>
      </c>
      <c r="D232" s="2">
        <v>17.71</v>
      </c>
      <c r="H232" s="16" t="s">
        <v>417</v>
      </c>
      <c r="I232" s="16"/>
      <c r="J232" s="16">
        <v>45545</v>
      </c>
    </row>
    <row r="233" spans="1:10">
      <c r="B233" s="1" t="s">
        <v>425</v>
      </c>
      <c r="C233" t="s">
        <v>424</v>
      </c>
      <c r="D233" s="2">
        <v>3.55</v>
      </c>
      <c r="E233" s="3"/>
      <c r="F233" s="3"/>
      <c r="G233" s="3"/>
      <c r="H233" s="2" t="s">
        <v>417</v>
      </c>
      <c r="I233" s="16"/>
      <c r="J233" s="16">
        <v>45581</v>
      </c>
    </row>
    <row r="234" spans="1:10">
      <c r="A234" s="25" t="s">
        <v>19</v>
      </c>
      <c r="B234" s="1" t="s">
        <v>438</v>
      </c>
      <c r="C234" t="s">
        <v>435</v>
      </c>
      <c r="D234" s="15">
        <v>92.48</v>
      </c>
      <c r="E234" s="3">
        <f>+D234*I234</f>
        <v>53522.891555200003</v>
      </c>
      <c r="F234" s="3">
        <f>[10]Main!$L$5-[10]Main!$L$6</f>
        <v>1443.7839999999999</v>
      </c>
      <c r="G234" s="3">
        <f>+E234-F234</f>
        <v>52079.107555200004</v>
      </c>
      <c r="H234" s="2" t="s">
        <v>618</v>
      </c>
      <c r="I234" s="3">
        <f>[10]Main!$L$3</f>
        <v>578.75099</v>
      </c>
      <c r="J234" s="16">
        <v>46202</v>
      </c>
    </row>
    <row r="235" spans="1:10">
      <c r="B235" s="1" t="s">
        <v>437</v>
      </c>
      <c r="C235" t="s">
        <v>436</v>
      </c>
      <c r="D235" s="2">
        <v>19.88</v>
      </c>
      <c r="E235" s="3">
        <f>+D235*I235</f>
        <v>2790.0942647199995</v>
      </c>
      <c r="F235" s="3">
        <f>+[11]Main!$K$5-[11]Main!$K$6</f>
        <v>91.647000000000006</v>
      </c>
      <c r="G235" s="3">
        <f>+E235-F235</f>
        <v>2698.4472647199996</v>
      </c>
      <c r="H235" s="2" t="s">
        <v>439</v>
      </c>
      <c r="I235" s="3">
        <f>+[11]Main!$K$3</f>
        <v>140.34679399999999</v>
      </c>
      <c r="J235" s="16">
        <v>45659</v>
      </c>
    </row>
  </sheetData>
  <mergeCells count="2">
    <mergeCell ref="P2:U2"/>
    <mergeCell ref="V2:AA2"/>
  </mergeCells>
  <hyperlinks>
    <hyperlink ref="B6" r:id="rId1" xr:uid="{A10232A7-6D7E-4EDF-93AD-D782AE764D1D}"/>
    <hyperlink ref="B4" r:id="rId2" xr:uid="{12810A9F-061A-4E6E-AA3F-8DB3F3413560}"/>
    <hyperlink ref="B5" r:id="rId3" xr:uid="{56EE368F-C030-4C14-9D83-DFB7F84F7540}"/>
    <hyperlink ref="B10" r:id="rId4" xr:uid="{490CE38D-A8DB-4F5E-BAA9-72EFF0E65C54}"/>
    <hyperlink ref="B232" r:id="rId5" xr:uid="{F783B162-8945-4038-B21B-71A7FC54EA00}"/>
    <hyperlink ref="B7" r:id="rId6" xr:uid="{6EB7F145-14EB-4DF3-9241-A7BBFC152602}"/>
    <hyperlink ref="B8" r:id="rId7" xr:uid="{080A2B62-2090-42D3-9C6A-9C89DB9A9BF0}"/>
    <hyperlink ref="B11" r:id="rId8" xr:uid="{99DC6962-93B7-4C3C-AFAB-867F77F0A131}"/>
    <hyperlink ref="B13" r:id="rId9" xr:uid="{48AAE3B7-A16F-4BBD-9E00-368D9ABFA13C}"/>
    <hyperlink ref="B12" r:id="rId10" xr:uid="{DB20D182-627B-49D8-A0E5-268EFFF8960F}"/>
    <hyperlink ref="B233" r:id="rId11" xr:uid="{246165DE-E878-4578-94A2-93BD0ABE32FE}"/>
    <hyperlink ref="B234" r:id="rId12" xr:uid="{C0DF0C06-13BF-4EC8-BAC1-D9516357868E}"/>
    <hyperlink ref="B235" r:id="rId13" xr:uid="{CAC1DA11-2160-43FB-96E4-19B4A929DA43}"/>
    <hyperlink ref="B9" r:id="rId14" xr:uid="{8C3466D6-7FE8-4C98-9106-6EAD2D7F3F9F}"/>
    <hyperlink ref="B227" r:id="rId15" xr:uid="{C65ED2D7-04E9-4094-881D-6748397BDDB3}"/>
  </hyperlinks>
  <pageMargins left="0.7" right="0.7" top="0.75" bottom="0.75" header="0.3" footer="0.3"/>
  <pageSetup orientation="portrait" horizontalDpi="1200" verticalDpi="1200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4E56-FB77-4B77-9CE1-6E407783E14B}">
  <dimension ref="A1:X69"/>
  <sheetViews>
    <sheetView zoomScale="145" zoomScaleNormal="14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7" sqref="A7"/>
    </sheetView>
  </sheetViews>
  <sheetFormatPr defaultColWidth="8.81640625" defaultRowHeight="12.5"/>
  <cols>
    <col min="1" max="1" width="5" bestFit="1" customWidth="1"/>
    <col min="2" max="2" width="22.1796875" bestFit="1" customWidth="1"/>
    <col min="3" max="3" width="14.1796875" customWidth="1"/>
    <col min="9" max="9" width="9.54296875" bestFit="1" customWidth="1"/>
    <col min="10" max="10" width="10.54296875" bestFit="1" customWidth="1"/>
  </cols>
  <sheetData>
    <row r="1" spans="1:24">
      <c r="A1" t="s">
        <v>21</v>
      </c>
    </row>
    <row r="2" spans="1:24" s="4" customFormat="1">
      <c r="B2" s="5" t="s">
        <v>0</v>
      </c>
      <c r="C2" s="6" t="s">
        <v>2</v>
      </c>
      <c r="D2" s="7" t="s">
        <v>4</v>
      </c>
      <c r="E2" s="8" t="s">
        <v>5</v>
      </c>
      <c r="F2" s="9" t="s">
        <v>13</v>
      </c>
      <c r="G2" s="9" t="s">
        <v>14</v>
      </c>
      <c r="H2" s="9" t="s">
        <v>15</v>
      </c>
      <c r="I2" s="9" t="s">
        <v>16</v>
      </c>
      <c r="J2" s="9" t="s">
        <v>17</v>
      </c>
      <c r="K2" s="10" t="s">
        <v>18</v>
      </c>
      <c r="L2" s="10" t="s">
        <v>23</v>
      </c>
      <c r="M2" s="10" t="s">
        <v>24</v>
      </c>
      <c r="N2" s="10" t="s">
        <v>25</v>
      </c>
      <c r="O2" s="11" t="s">
        <v>26</v>
      </c>
      <c r="P2" s="12" t="s">
        <v>27</v>
      </c>
      <c r="Q2" s="13" t="s">
        <v>28</v>
      </c>
      <c r="R2" s="13" t="s">
        <v>29</v>
      </c>
      <c r="S2" s="11">
        <v>2025</v>
      </c>
      <c r="T2" s="12" t="s">
        <v>30</v>
      </c>
      <c r="U2" s="10">
        <v>2023</v>
      </c>
      <c r="V2" s="10">
        <v>2024</v>
      </c>
      <c r="W2" s="11">
        <v>2025</v>
      </c>
      <c r="X2" s="4" t="s">
        <v>31</v>
      </c>
    </row>
    <row r="3" spans="1:24">
      <c r="A3" t="s">
        <v>19</v>
      </c>
      <c r="B3" t="s">
        <v>22</v>
      </c>
      <c r="C3" t="s">
        <v>32</v>
      </c>
    </row>
    <row r="4" spans="1:24">
      <c r="B4" t="s">
        <v>33</v>
      </c>
      <c r="C4" t="s">
        <v>34</v>
      </c>
    </row>
    <row r="5" spans="1:24">
      <c r="A5" t="s">
        <v>19</v>
      </c>
      <c r="B5" t="s">
        <v>38</v>
      </c>
      <c r="C5" t="s">
        <v>37</v>
      </c>
    </row>
    <row r="6" spans="1:24">
      <c r="A6" t="s">
        <v>19</v>
      </c>
      <c r="B6" t="s">
        <v>72</v>
      </c>
      <c r="C6" t="s">
        <v>73</v>
      </c>
    </row>
    <row r="7" spans="1:24">
      <c r="B7" t="s">
        <v>446</v>
      </c>
      <c r="C7" t="s">
        <v>447</v>
      </c>
    </row>
    <row r="8" spans="1:24">
      <c r="B8" t="s">
        <v>99</v>
      </c>
      <c r="C8" t="s">
        <v>100</v>
      </c>
    </row>
    <row r="9" spans="1:24">
      <c r="A9" t="s">
        <v>19</v>
      </c>
      <c r="B9" t="s">
        <v>105</v>
      </c>
      <c r="C9" t="s">
        <v>106</v>
      </c>
    </row>
    <row r="10" spans="1:24">
      <c r="B10" t="s">
        <v>125</v>
      </c>
      <c r="C10" t="s">
        <v>126</v>
      </c>
    </row>
    <row r="11" spans="1:24">
      <c r="B11" t="s">
        <v>127</v>
      </c>
      <c r="C11" t="s">
        <v>128</v>
      </c>
    </row>
    <row r="12" spans="1:24">
      <c r="B12" t="s">
        <v>137</v>
      </c>
      <c r="C12" t="s">
        <v>138</v>
      </c>
    </row>
    <row r="13" spans="1:24">
      <c r="B13" t="s">
        <v>141</v>
      </c>
      <c r="C13" t="s">
        <v>142</v>
      </c>
    </row>
    <row r="14" spans="1:24">
      <c r="B14" t="s">
        <v>145</v>
      </c>
      <c r="C14" t="s">
        <v>146</v>
      </c>
    </row>
    <row r="15" spans="1:24">
      <c r="B15" t="s">
        <v>147</v>
      </c>
      <c r="C15" t="s">
        <v>148</v>
      </c>
    </row>
    <row r="16" spans="1:24">
      <c r="B16" t="s">
        <v>151</v>
      </c>
      <c r="C16" t="s">
        <v>152</v>
      </c>
    </row>
    <row r="17" spans="2:3">
      <c r="B17" t="s">
        <v>153</v>
      </c>
      <c r="C17" t="s">
        <v>154</v>
      </c>
    </row>
    <row r="18" spans="2:3">
      <c r="B18" t="s">
        <v>166</v>
      </c>
      <c r="C18" t="s">
        <v>167</v>
      </c>
    </row>
    <row r="19" spans="2:3">
      <c r="B19" t="s">
        <v>178</v>
      </c>
      <c r="C19" t="s">
        <v>179</v>
      </c>
    </row>
    <row r="20" spans="2:3">
      <c r="B20" t="s">
        <v>192</v>
      </c>
      <c r="C20" t="s">
        <v>193</v>
      </c>
    </row>
    <row r="21" spans="2:3">
      <c r="B21" t="s">
        <v>218</v>
      </c>
      <c r="C21" t="s">
        <v>219</v>
      </c>
    </row>
    <row r="22" spans="2:3">
      <c r="B22" t="s">
        <v>462</v>
      </c>
      <c r="C22" t="s">
        <v>463</v>
      </c>
    </row>
    <row r="23" spans="2:3">
      <c r="B23" t="s">
        <v>226</v>
      </c>
      <c r="C23" t="s">
        <v>227</v>
      </c>
    </row>
    <row r="24" spans="2:3">
      <c r="B24" t="s">
        <v>228</v>
      </c>
      <c r="C24" t="s">
        <v>229</v>
      </c>
    </row>
    <row r="25" spans="2:3">
      <c r="B25" t="s">
        <v>234</v>
      </c>
      <c r="C25" t="s">
        <v>235</v>
      </c>
    </row>
    <row r="26" spans="2:3">
      <c r="B26" t="s">
        <v>464</v>
      </c>
      <c r="C26" t="s">
        <v>465</v>
      </c>
    </row>
    <row r="27" spans="2:3">
      <c r="B27" t="s">
        <v>244</v>
      </c>
      <c r="C27" t="s">
        <v>245</v>
      </c>
    </row>
    <row r="28" spans="2:3">
      <c r="B28" t="s">
        <v>248</v>
      </c>
      <c r="C28" t="s">
        <v>249</v>
      </c>
    </row>
    <row r="29" spans="2:3">
      <c r="B29" t="s">
        <v>482</v>
      </c>
      <c r="C29" t="s">
        <v>483</v>
      </c>
    </row>
    <row r="30" spans="2:3">
      <c r="B30" t="s">
        <v>260</v>
      </c>
      <c r="C30" t="s">
        <v>261</v>
      </c>
    </row>
    <row r="31" spans="2:3">
      <c r="B31" t="s">
        <v>484</v>
      </c>
      <c r="C31" t="s">
        <v>485</v>
      </c>
    </row>
    <row r="32" spans="2:3">
      <c r="B32" t="s">
        <v>264</v>
      </c>
      <c r="C32" t="s">
        <v>265</v>
      </c>
    </row>
    <row r="33" spans="2:10">
      <c r="B33" t="s">
        <v>286</v>
      </c>
      <c r="C33" t="s">
        <v>287</v>
      </c>
    </row>
    <row r="34" spans="2:10">
      <c r="B34" s="1" t="s">
        <v>432</v>
      </c>
      <c r="C34" t="s">
        <v>433</v>
      </c>
      <c r="D34" s="21">
        <v>191</v>
      </c>
    </row>
    <row r="35" spans="2:10">
      <c r="B35" t="s">
        <v>292</v>
      </c>
      <c r="C35" t="s">
        <v>293</v>
      </c>
    </row>
    <row r="36" spans="2:10">
      <c r="B36" t="s">
        <v>294</v>
      </c>
      <c r="C36" t="s">
        <v>295</v>
      </c>
    </row>
    <row r="37" spans="2:10">
      <c r="B37" s="1" t="s">
        <v>440</v>
      </c>
      <c r="C37" t="s">
        <v>440</v>
      </c>
      <c r="D37" s="21">
        <v>192.2</v>
      </c>
      <c r="E37" s="17">
        <f>+D37*H37</f>
        <v>25613.352716399997</v>
      </c>
      <c r="F37" s="17">
        <f>+[12]Main!$P$5-[12]Main!$P$6</f>
        <v>-4872.2999999999993</v>
      </c>
      <c r="G37" s="17">
        <f>+E37-F37</f>
        <v>30485.652716399996</v>
      </c>
      <c r="H37" s="17">
        <f>+[12]Main!$P$3</f>
        <v>133.264062</v>
      </c>
      <c r="I37" s="2" t="s">
        <v>439</v>
      </c>
      <c r="J37" s="18">
        <v>45684</v>
      </c>
    </row>
    <row r="38" spans="2:10">
      <c r="B38" t="s">
        <v>326</v>
      </c>
      <c r="C38" t="s">
        <v>327</v>
      </c>
    </row>
    <row r="39" spans="2:10">
      <c r="B39" t="s">
        <v>494</v>
      </c>
      <c r="C39" t="s">
        <v>495</v>
      </c>
    </row>
    <row r="40" spans="2:10">
      <c r="B40" t="s">
        <v>496</v>
      </c>
      <c r="C40" t="s">
        <v>497</v>
      </c>
    </row>
    <row r="41" spans="2:10">
      <c r="B41" t="s">
        <v>470</v>
      </c>
      <c r="C41" t="s">
        <v>471</v>
      </c>
    </row>
    <row r="42" spans="2:10">
      <c r="B42" t="s">
        <v>328</v>
      </c>
      <c r="C42" t="s">
        <v>329</v>
      </c>
    </row>
    <row r="43" spans="2:10">
      <c r="B43" s="1" t="s">
        <v>420</v>
      </c>
      <c r="C43" t="s">
        <v>421</v>
      </c>
      <c r="D43">
        <v>11.73</v>
      </c>
      <c r="E43" s="17">
        <f>+D43*H43</f>
        <v>7703.1368994900013</v>
      </c>
      <c r="F43" s="17">
        <f>+[13]Main!$N$5-[13]Main!$N$6</f>
        <v>-22435</v>
      </c>
      <c r="G43" s="17">
        <f>+E43-F43</f>
        <v>30138.13689949</v>
      </c>
      <c r="H43" s="17">
        <f>+[13]Main!$N$3</f>
        <v>656.70391300000006</v>
      </c>
      <c r="I43" s="2" t="s">
        <v>417</v>
      </c>
      <c r="J43" s="18">
        <v>45561</v>
      </c>
    </row>
    <row r="44" spans="2:10">
      <c r="B44" t="s">
        <v>358</v>
      </c>
      <c r="C44" t="s">
        <v>359</v>
      </c>
    </row>
    <row r="45" spans="2:10">
      <c r="B45" s="1" t="s">
        <v>422</v>
      </c>
      <c r="C45" t="s">
        <v>423</v>
      </c>
      <c r="D45" s="21">
        <v>93.74</v>
      </c>
      <c r="E45" s="17">
        <f>+D45*H45</f>
        <v>7506.67642118</v>
      </c>
      <c r="F45" s="17">
        <f>+[14]Main!$L$5-[14]Main!$L$6</f>
        <v>-1587</v>
      </c>
      <c r="G45" s="17">
        <f>+E45-F45</f>
        <v>9093.67642118</v>
      </c>
      <c r="H45" s="17">
        <f>+[14]Main!$L$3</f>
        <v>80.079757000000001</v>
      </c>
      <c r="I45" s="2" t="s">
        <v>417</v>
      </c>
      <c r="J45" s="18">
        <v>45565</v>
      </c>
    </row>
    <row r="46" spans="2:10">
      <c r="B46" s="1" t="s">
        <v>431</v>
      </c>
      <c r="C46" t="s">
        <v>434</v>
      </c>
      <c r="D46" s="21">
        <v>35</v>
      </c>
      <c r="E46" s="17">
        <f>+D46*H46</f>
        <v>6479.0687500000004</v>
      </c>
      <c r="F46" s="17">
        <f>+[15]Main!$H$5-[15]Main!$H$6</f>
        <v>-1307.2</v>
      </c>
      <c r="G46" s="17">
        <f>+E46-F46</f>
        <v>7786.2687500000002</v>
      </c>
      <c r="H46" s="17">
        <f>+[15]Main!$H$3</f>
        <v>185.11625000000001</v>
      </c>
      <c r="I46" s="2" t="s">
        <v>417</v>
      </c>
      <c r="J46" s="18">
        <v>45590</v>
      </c>
    </row>
    <row r="47" spans="2:10">
      <c r="B47" t="s">
        <v>386</v>
      </c>
      <c r="C47" t="s">
        <v>387</v>
      </c>
    </row>
    <row r="48" spans="2:10">
      <c r="B48" t="s">
        <v>522</v>
      </c>
      <c r="C48" t="s">
        <v>523</v>
      </c>
    </row>
    <row r="49" spans="2:3">
      <c r="B49" t="s">
        <v>547</v>
      </c>
      <c r="C49" t="s">
        <v>548</v>
      </c>
    </row>
    <row r="50" spans="2:3">
      <c r="B50" t="s">
        <v>557</v>
      </c>
      <c r="C50" t="s">
        <v>558</v>
      </c>
    </row>
    <row r="51" spans="2:3">
      <c r="B51" t="s">
        <v>466</v>
      </c>
      <c r="C51" t="s">
        <v>467</v>
      </c>
    </row>
    <row r="52" spans="2:3">
      <c r="B52" t="s">
        <v>539</v>
      </c>
      <c r="C52" t="s">
        <v>540</v>
      </c>
    </row>
    <row r="53" spans="2:3">
      <c r="B53" t="s">
        <v>556</v>
      </c>
      <c r="C53" t="s">
        <v>555</v>
      </c>
    </row>
    <row r="54" spans="2:3">
      <c r="B54" t="s">
        <v>561</v>
      </c>
      <c r="C54" t="s">
        <v>562</v>
      </c>
    </row>
    <row r="55" spans="2:3">
      <c r="B55" t="s">
        <v>553</v>
      </c>
      <c r="C55" t="s">
        <v>554</v>
      </c>
    </row>
    <row r="56" spans="2:3">
      <c r="B56" t="s">
        <v>512</v>
      </c>
      <c r="C56" t="s">
        <v>513</v>
      </c>
    </row>
    <row r="57" spans="2:3">
      <c r="B57" t="s">
        <v>573</v>
      </c>
      <c r="C57" t="s">
        <v>574</v>
      </c>
    </row>
    <row r="58" spans="2:3">
      <c r="B58" t="s">
        <v>577</v>
      </c>
      <c r="C58" t="s">
        <v>578</v>
      </c>
    </row>
    <row r="59" spans="2:3">
      <c r="B59" t="s">
        <v>593</v>
      </c>
      <c r="C59" t="s">
        <v>594</v>
      </c>
    </row>
    <row r="60" spans="2:3">
      <c r="B60" t="s">
        <v>599</v>
      </c>
      <c r="C60" t="s">
        <v>600</v>
      </c>
    </row>
    <row r="61" spans="2:3">
      <c r="B61" t="s">
        <v>601</v>
      </c>
      <c r="C61" t="s">
        <v>602</v>
      </c>
    </row>
    <row r="62" spans="2:3">
      <c r="B62" t="s">
        <v>605</v>
      </c>
      <c r="C62" t="s">
        <v>606</v>
      </c>
    </row>
    <row r="63" spans="2:3">
      <c r="B63" t="s">
        <v>607</v>
      </c>
      <c r="C63" t="s">
        <v>608</v>
      </c>
    </row>
    <row r="64" spans="2:3">
      <c r="B64" t="s">
        <v>394</v>
      </c>
      <c r="C64" t="s">
        <v>395</v>
      </c>
    </row>
    <row r="65" spans="2:10">
      <c r="B65" s="1" t="s">
        <v>418</v>
      </c>
      <c r="C65" t="s">
        <v>419</v>
      </c>
      <c r="D65">
        <v>5.92</v>
      </c>
      <c r="E65" s="17">
        <f>+D65*H65</f>
        <v>1224.3758563199999</v>
      </c>
      <c r="F65" s="17">
        <f>+[16]Main!$K$5-[16]Main!$K$6</f>
        <v>95.133999999999986</v>
      </c>
      <c r="G65" s="17">
        <f>+E65-F65</f>
        <v>1129.2418563199999</v>
      </c>
      <c r="H65" s="17">
        <f>+[16]Main!$K$3</f>
        <v>206.820246</v>
      </c>
      <c r="I65" s="16" t="s">
        <v>417</v>
      </c>
      <c r="J65" s="18">
        <v>45555</v>
      </c>
    </row>
    <row r="66" spans="2:10">
      <c r="B66" s="1" t="s">
        <v>616</v>
      </c>
      <c r="C66" t="s">
        <v>617</v>
      </c>
      <c r="D66" s="21">
        <v>4</v>
      </c>
      <c r="E66" s="17"/>
      <c r="F66" s="17"/>
      <c r="G66" s="17"/>
      <c r="H66" s="17"/>
      <c r="I66" s="16"/>
      <c r="J66" s="18"/>
    </row>
    <row r="68" spans="2:10" ht="13">
      <c r="B68" s="14" t="s">
        <v>143</v>
      </c>
    </row>
    <row r="69" spans="2:10">
      <c r="B69" t="s">
        <v>144</v>
      </c>
    </row>
  </sheetData>
  <hyperlinks>
    <hyperlink ref="B65" r:id="rId1" xr:uid="{E9CEDD0D-C68A-4B79-8732-15DD4A2D41B2}"/>
    <hyperlink ref="B43" r:id="rId2" xr:uid="{C57F97EF-8A9F-4353-A72B-DB7E3526D2F3}"/>
    <hyperlink ref="B45" r:id="rId3" xr:uid="{0E2AC1C1-44FE-4C5D-90D1-A980F64EE9C9}"/>
    <hyperlink ref="B34" r:id="rId4" xr:uid="{E488D252-1EB4-4CE7-A8EB-3D04741A62CB}"/>
    <hyperlink ref="B46" r:id="rId5" xr:uid="{63BA1E06-255B-4EB1-8678-DDBD2CA94724}"/>
    <hyperlink ref="B37" r:id="rId6" xr:uid="{799133E6-77ED-4BF4-A4EA-ADF98A7D402C}"/>
    <hyperlink ref="B66" r:id="rId7" xr:uid="{B7866BD8-61EC-4EC0-9B49-BA8020EB43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2022-07-19T01:26:46Z</dcterms:created>
  <dcterms:modified xsi:type="dcterms:W3CDTF">2026-07-04T20:38:07Z</dcterms:modified>
</cp:coreProperties>
</file>