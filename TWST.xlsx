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2CDBAFE-8C5D-4A3E-ACA9-2EA6EB7267E6}" xr6:coauthVersionLast="47" xr6:coauthVersionMax="47" xr10:uidLastSave="{00000000-0000-0000-0000-000000000000}"/>
  <bookViews>
    <workbookView xWindow="1030" yWindow="4580" windowWidth="19910" windowHeight="14480" activeTab="1" xr2:uid="{5526B156-764B-4226-BCE6-BCEC8940E66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3" i="2" l="1"/>
  <c r="P13" i="2"/>
  <c r="Q11" i="2"/>
  <c r="P11" i="2"/>
  <c r="N17" i="2"/>
  <c r="M17" i="2"/>
  <c r="L17" i="2"/>
  <c r="C18" i="2"/>
  <c r="D18" i="2"/>
  <c r="G17" i="2"/>
  <c r="C8" i="2"/>
  <c r="C9" i="2" s="1"/>
  <c r="C11" i="2" s="1"/>
  <c r="C13" i="2" s="1"/>
  <c r="C14" i="2" s="1"/>
  <c r="C5" i="2"/>
  <c r="F11" i="2"/>
  <c r="F13" i="2" s="1"/>
  <c r="F14" i="2" s="1"/>
  <c r="E11" i="2"/>
  <c r="E13" i="2" s="1"/>
  <c r="E14" i="2" s="1"/>
  <c r="J11" i="2"/>
  <c r="I11" i="2"/>
  <c r="I13" i="2" s="1"/>
  <c r="I14" i="2" s="1"/>
  <c r="J13" i="2"/>
  <c r="J14" i="2" s="1"/>
  <c r="F8" i="2"/>
  <c r="F9" i="2" s="1"/>
  <c r="E8" i="2"/>
  <c r="E9" i="2" s="1"/>
  <c r="D8" i="2"/>
  <c r="D5" i="2"/>
  <c r="H5" i="2"/>
  <c r="H18" i="2" s="1"/>
  <c r="J18" i="2"/>
  <c r="I18" i="2"/>
  <c r="I17" i="2"/>
  <c r="H17" i="2"/>
  <c r="J17" i="2"/>
  <c r="K17" i="2"/>
  <c r="U7" i="2"/>
  <c r="V7" i="2" s="1"/>
  <c r="W7" i="2" s="1"/>
  <c r="U6" i="2"/>
  <c r="V6" i="2" s="1"/>
  <c r="Q8" i="2"/>
  <c r="P8" i="2"/>
  <c r="O8" i="2"/>
  <c r="N8" i="2"/>
  <c r="M8" i="2"/>
  <c r="L8" i="2"/>
  <c r="L3" i="2"/>
  <c r="L5" i="2" s="1"/>
  <c r="J8" i="2"/>
  <c r="J9" i="2" s="1"/>
  <c r="I8" i="2"/>
  <c r="I9" i="2" s="1"/>
  <c r="H8" i="2"/>
  <c r="G8" i="2"/>
  <c r="K8" i="2"/>
  <c r="K5" i="2"/>
  <c r="K18" i="2" s="1"/>
  <c r="G5" i="2"/>
  <c r="G18" i="2" s="1"/>
  <c r="L7" i="1"/>
  <c r="L4" i="1"/>
  <c r="H9" i="2" l="1"/>
  <c r="H11" i="2" s="1"/>
  <c r="H13" i="2" s="1"/>
  <c r="H14" i="2" s="1"/>
  <c r="D9" i="2"/>
  <c r="D11" i="2" s="1"/>
  <c r="D13" i="2" s="1"/>
  <c r="D14" i="2" s="1"/>
  <c r="L4" i="2"/>
  <c r="L18" i="2"/>
  <c r="W6" i="2"/>
  <c r="X6" i="2" s="1"/>
  <c r="Y6" i="2" s="1"/>
  <c r="V8" i="2"/>
  <c r="U8" i="2"/>
  <c r="G9" i="2"/>
  <c r="G11" i="2" s="1"/>
  <c r="G13" i="2" s="1"/>
  <c r="G14" i="2" s="1"/>
  <c r="K9" i="2"/>
  <c r="K11" i="2" s="1"/>
  <c r="K13" i="2" s="1"/>
  <c r="K14" i="2" s="1"/>
  <c r="M3" i="2"/>
  <c r="X7" i="2"/>
  <c r="Y7" i="2" s="1"/>
  <c r="L9" i="2"/>
  <c r="L11" i="2" s="1"/>
  <c r="L13" i="2" s="1"/>
  <c r="L14" i="2" s="1"/>
  <c r="W8" i="2" l="1"/>
  <c r="M5" i="2"/>
  <c r="N3" i="2"/>
  <c r="X8" i="2"/>
  <c r="Y8" i="2"/>
  <c r="N5" i="2" l="1"/>
  <c r="N4" i="2"/>
  <c r="O3" i="2"/>
  <c r="M9" i="2"/>
  <c r="M11" i="2" s="1"/>
  <c r="M13" i="2" s="1"/>
  <c r="M14" i="2" s="1"/>
  <c r="M18" i="2"/>
  <c r="M4" i="2"/>
  <c r="O17" i="2" l="1"/>
  <c r="O5" i="2"/>
  <c r="O4" i="2" s="1"/>
  <c r="P3" i="2"/>
  <c r="N9" i="2"/>
  <c r="N11" i="2" s="1"/>
  <c r="N13" i="2" s="1"/>
  <c r="N14" i="2" s="1"/>
  <c r="N18" i="2"/>
  <c r="O9" i="2" l="1"/>
  <c r="O11" i="2" s="1"/>
  <c r="O13" i="2" s="1"/>
  <c r="O14" i="2" s="1"/>
  <c r="O18" i="2"/>
  <c r="P17" i="2"/>
  <c r="P5" i="2"/>
  <c r="Q3" i="2"/>
  <c r="Q17" i="2" l="1"/>
  <c r="Q5" i="2"/>
  <c r="U3" i="2"/>
  <c r="P9" i="2"/>
  <c r="P18" i="2"/>
  <c r="P4" i="2"/>
  <c r="V3" i="2" l="1"/>
  <c r="Q9" i="2"/>
  <c r="Q18" i="2"/>
  <c r="Q4" i="2"/>
  <c r="U4" i="2" s="1"/>
  <c r="U5" i="2" s="1"/>
  <c r="U18" i="2" l="1"/>
  <c r="U9" i="2"/>
  <c r="W3" i="2"/>
  <c r="V5" i="2"/>
  <c r="V17" i="2"/>
  <c r="V4" i="2" l="1"/>
  <c r="V18" i="2"/>
  <c r="V9" i="2"/>
  <c r="W17" i="2"/>
  <c r="X3" i="2"/>
  <c r="W5" i="2"/>
  <c r="W4" i="2"/>
  <c r="W9" i="2" l="1"/>
  <c r="W18" i="2"/>
  <c r="Y3" i="2"/>
  <c r="X17" i="2"/>
  <c r="X5" i="2"/>
  <c r="X4" i="2"/>
  <c r="Y17" i="2" l="1"/>
  <c r="Y5" i="2"/>
  <c r="X18" i="2"/>
  <c r="X9" i="2"/>
  <c r="X11" i="2" s="1"/>
  <c r="X12" i="2" s="1"/>
  <c r="X13" i="2" s="1"/>
  <c r="Y18" i="2" l="1"/>
  <c r="Y9" i="2"/>
  <c r="Y11" i="2" s="1"/>
  <c r="Y12" i="2" s="1"/>
  <c r="Y13" i="2" s="1"/>
  <c r="Y4" i="2"/>
</calcChain>
</file>

<file path=xl/sharedStrings.xml><?xml version="1.0" encoding="utf-8"?>
<sst xmlns="http://schemas.openxmlformats.org/spreadsheetml/2006/main" count="40" uniqueCount="35">
  <si>
    <t>Price</t>
  </si>
  <si>
    <t>Shares</t>
  </si>
  <si>
    <t>MC</t>
  </si>
  <si>
    <t>Cash</t>
  </si>
  <si>
    <t>Debt</t>
  </si>
  <si>
    <t>EV</t>
  </si>
  <si>
    <t>Q226</t>
  </si>
  <si>
    <t>Main</t>
  </si>
  <si>
    <t>Revenue</t>
  </si>
  <si>
    <t>Q125</t>
  </si>
  <si>
    <t>Q225</t>
  </si>
  <si>
    <t>Q325</t>
  </si>
  <si>
    <t>Q425</t>
  </si>
  <si>
    <t>Q126</t>
  </si>
  <si>
    <t>Q326</t>
  </si>
  <si>
    <t>Q426</t>
  </si>
  <si>
    <t>Gross Margin</t>
  </si>
  <si>
    <t>COGS</t>
  </si>
  <si>
    <t>SG&amp;A</t>
  </si>
  <si>
    <t>R&amp;D</t>
  </si>
  <si>
    <t>Opex</t>
  </si>
  <si>
    <t>Opinc</t>
  </si>
  <si>
    <t>Q127</t>
  </si>
  <si>
    <t>Q227</t>
  </si>
  <si>
    <t>Q327</t>
  </si>
  <si>
    <t>Q427</t>
  </si>
  <si>
    <t>Revenue y/y</t>
  </si>
  <si>
    <t>Q424</t>
  </si>
  <si>
    <t>Q324</t>
  </si>
  <si>
    <t>EPS</t>
  </si>
  <si>
    <t>Net Income</t>
  </si>
  <si>
    <t>Taxes</t>
  </si>
  <si>
    <t>Pretax Income</t>
  </si>
  <si>
    <t>Interest Income</t>
  </si>
  <si>
    <t>Q224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</si>
</sst>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239-2BDF-40E3-AD69-6765C774730C}">
  <dimension ref="K2:M7"/>
  <sheetViews>
    <sheetView zoomScale="130" zoomScaleNormal="130" workbookViewId="0">
      <selection activeCell="L2" sqref="L2"/>
    </sheetView>
  </sheetViews>
  <sheetFormatPr defaultRowHeight="12.5" x14ac:dyDescent="0.25"/>
  <cols>
    <col min="1" max="16384" width="8.7265625" style="1"/>
  </cols>
  <sheetData>
    <row r="2" spans="11:13" x14ac:dyDescent="0.25">
      <c r="K2" s="1" t="s">
        <v>0</v>
      </c>
      <c r="L2" s="9">
        <v>140</v>
      </c>
    </row>
    <row r="3" spans="11:13" x14ac:dyDescent="0.25">
      <c r="K3" s="1" t="s">
        <v>1</v>
      </c>
      <c r="L3" s="2">
        <v>64</v>
      </c>
      <c r="M3" s="3" t="s">
        <v>6</v>
      </c>
    </row>
    <row r="4" spans="11:13" x14ac:dyDescent="0.25">
      <c r="K4" s="1" t="s">
        <v>2</v>
      </c>
      <c r="L4" s="2">
        <f>L3*L2</f>
        <v>8960</v>
      </c>
    </row>
    <row r="5" spans="11:13" x14ac:dyDescent="0.25">
      <c r="K5" s="1" t="s">
        <v>3</v>
      </c>
      <c r="L5" s="2">
        <v>117</v>
      </c>
      <c r="M5" s="3" t="s">
        <v>6</v>
      </c>
    </row>
    <row r="6" spans="11:13" x14ac:dyDescent="0.25">
      <c r="K6" s="1" t="s">
        <v>4</v>
      </c>
      <c r="L6" s="2">
        <v>0</v>
      </c>
      <c r="M6" s="3" t="s">
        <v>6</v>
      </c>
    </row>
    <row r="7" spans="11:13" x14ac:dyDescent="0.25">
      <c r="K7" s="1" t="s">
        <v>5</v>
      </c>
      <c r="L7" s="2">
        <f>L4-L5+L6</f>
        <v>8843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3A1-B158-4364-A622-7CEB54F77E44}">
  <dimension ref="A1:Y18"/>
  <sheetViews>
    <sheetView tabSelected="1" zoomScale="130" zoomScaleNormal="13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Y3" sqref="Y3"/>
    </sheetView>
  </sheetViews>
  <sheetFormatPr defaultRowHeight="12.5" x14ac:dyDescent="0.25"/>
  <cols>
    <col min="1" max="1" width="4.7265625" style="1" bestFit="1" customWidth="1"/>
    <col min="2" max="2" width="13.36328125" style="1" bestFit="1" customWidth="1"/>
    <col min="3" max="17" width="8.7265625" style="3"/>
    <col min="18" max="16384" width="8.7265625" style="1"/>
  </cols>
  <sheetData>
    <row r="1" spans="1:25" x14ac:dyDescent="0.25">
      <c r="A1" s="1" t="s">
        <v>7</v>
      </c>
    </row>
    <row r="2" spans="1:25" x14ac:dyDescent="0.25">
      <c r="C2" s="3" t="s">
        <v>34</v>
      </c>
      <c r="D2" s="3" t="s">
        <v>28</v>
      </c>
      <c r="E2" s="3" t="s">
        <v>27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6</v>
      </c>
      <c r="L2" s="3" t="s">
        <v>14</v>
      </c>
      <c r="M2" s="3" t="s">
        <v>15</v>
      </c>
      <c r="N2" s="3" t="s">
        <v>22</v>
      </c>
      <c r="O2" s="3" t="s">
        <v>23</v>
      </c>
      <c r="P2" s="3" t="s">
        <v>24</v>
      </c>
      <c r="Q2" s="3" t="s">
        <v>25</v>
      </c>
      <c r="U2" s="1">
        <v>2027</v>
      </c>
      <c r="V2" s="1">
        <v>2028</v>
      </c>
      <c r="W2" s="1">
        <v>2029</v>
      </c>
      <c r="X2" s="1">
        <v>2030</v>
      </c>
      <c r="Y2" s="1">
        <v>2030</v>
      </c>
    </row>
    <row r="3" spans="1:25" s="5" customFormat="1" ht="13" x14ac:dyDescent="0.3">
      <c r="B3" s="5" t="s">
        <v>8</v>
      </c>
      <c r="C3" s="6">
        <v>81.463999999999999</v>
      </c>
      <c r="D3" s="6">
        <v>84.7</v>
      </c>
      <c r="E3" s="6">
        <v>88.712999999999994</v>
      </c>
      <c r="F3" s="6">
        <v>92.793000000000006</v>
      </c>
      <c r="G3" s="6">
        <v>96.057000000000002</v>
      </c>
      <c r="H3" s="6">
        <v>99.009</v>
      </c>
      <c r="I3" s="6">
        <v>103.69799999999999</v>
      </c>
      <c r="J3" s="6">
        <v>110</v>
      </c>
      <c r="K3" s="6">
        <v>118.376</v>
      </c>
      <c r="L3" s="6">
        <f>K3*1.1</f>
        <v>130.21360000000001</v>
      </c>
      <c r="M3" s="6">
        <f t="shared" ref="M3:Q3" si="0">L3*1.1</f>
        <v>143.23496000000003</v>
      </c>
      <c r="N3" s="6">
        <f t="shared" si="0"/>
        <v>157.55845600000004</v>
      </c>
      <c r="O3" s="6">
        <f t="shared" si="0"/>
        <v>173.31430160000005</v>
      </c>
      <c r="P3" s="6">
        <f t="shared" si="0"/>
        <v>190.64573176000007</v>
      </c>
      <c r="Q3" s="6">
        <f t="shared" si="0"/>
        <v>209.71030493600009</v>
      </c>
      <c r="U3" s="5">
        <f>SUM(N3:Q3)</f>
        <v>731.22879429600027</v>
      </c>
      <c r="V3" s="5">
        <f>U3*1.4</f>
        <v>1023.7203120144003</v>
      </c>
      <c r="W3" s="5">
        <f>V3*1.4</f>
        <v>1433.2084368201604</v>
      </c>
      <c r="X3" s="5">
        <f>W3*1.4</f>
        <v>2006.4918115482244</v>
      </c>
      <c r="Y3" s="5">
        <f>X3*1.4</f>
        <v>2809.0885361675141</v>
      </c>
    </row>
    <row r="4" spans="1:25" s="2" customFormat="1" x14ac:dyDescent="0.25">
      <c r="B4" s="2" t="s">
        <v>17</v>
      </c>
      <c r="C4" s="4">
        <v>46.192999999999998</v>
      </c>
      <c r="D4" s="4">
        <v>46.476999999999997</v>
      </c>
      <c r="E4" s="4"/>
      <c r="F4" s="4"/>
      <c r="G4" s="4">
        <v>44.76</v>
      </c>
      <c r="H4" s="4">
        <v>48.171999999999997</v>
      </c>
      <c r="I4" s="4"/>
      <c r="J4" s="4"/>
      <c r="K4" s="4">
        <v>55.921999999999997</v>
      </c>
      <c r="L4" s="4">
        <f>L3-L5</f>
        <v>61.200392000000008</v>
      </c>
      <c r="M4" s="4">
        <f t="shared" ref="M4" si="1">M3-M5</f>
        <v>67.320431200000016</v>
      </c>
      <c r="N4" s="4">
        <f t="shared" ref="N4" si="2">N3-N5</f>
        <v>74.052474320000016</v>
      </c>
      <c r="O4" s="4">
        <f t="shared" ref="O4" si="3">O3-O5</f>
        <v>81.457721752000012</v>
      </c>
      <c r="P4" s="4">
        <f t="shared" ref="P4" si="4">P3-P5</f>
        <v>89.603493927200034</v>
      </c>
      <c r="Q4" s="4">
        <f t="shared" ref="Q4" si="5">Q3-Q5</f>
        <v>98.563843319920039</v>
      </c>
      <c r="U4" s="2">
        <f>SUM(N4:Q4)</f>
        <v>343.67753331912013</v>
      </c>
      <c r="V4" s="2">
        <f>V3-V5</f>
        <v>481.14854664676807</v>
      </c>
      <c r="W4" s="2">
        <f>W3-W5</f>
        <v>673.60796530547532</v>
      </c>
      <c r="X4" s="2">
        <f t="shared" ref="X4" si="6">X3-X5</f>
        <v>943.05115142766545</v>
      </c>
      <c r="Y4" s="2">
        <f t="shared" ref="Y4" si="7">Y3-Y5</f>
        <v>1320.2716119987315</v>
      </c>
    </row>
    <row r="5" spans="1:25" s="2" customFormat="1" x14ac:dyDescent="0.25">
      <c r="B5" s="2" t="s">
        <v>16</v>
      </c>
      <c r="C5" s="4">
        <f>C3-C4</f>
        <v>35.271000000000001</v>
      </c>
      <c r="D5" s="4">
        <f>D3-D4</f>
        <v>38.223000000000006</v>
      </c>
      <c r="E5" s="4"/>
      <c r="F5" s="4"/>
      <c r="G5" s="4">
        <f>G3-G4</f>
        <v>51.297000000000004</v>
      </c>
      <c r="H5" s="4">
        <f>H3-H4</f>
        <v>50.837000000000003</v>
      </c>
      <c r="I5" s="4"/>
      <c r="J5" s="4"/>
      <c r="K5" s="4">
        <f>K3-K4</f>
        <v>62.454000000000008</v>
      </c>
      <c r="L5" s="4">
        <f>L3*0.53</f>
        <v>69.013208000000006</v>
      </c>
      <c r="M5" s="4">
        <f t="shared" ref="M5:Q5" si="8">M3*0.53</f>
        <v>75.914528800000014</v>
      </c>
      <c r="N5" s="4">
        <f t="shared" si="8"/>
        <v>83.505981680000019</v>
      </c>
      <c r="O5" s="4">
        <f t="shared" si="8"/>
        <v>91.856579848000038</v>
      </c>
      <c r="P5" s="4">
        <f t="shared" si="8"/>
        <v>101.04223783280004</v>
      </c>
      <c r="Q5" s="4">
        <f t="shared" si="8"/>
        <v>111.14646161608005</v>
      </c>
      <c r="U5" s="2">
        <f>U3-U4</f>
        <v>387.55126097688014</v>
      </c>
      <c r="V5" s="2">
        <f>V3*0.53</f>
        <v>542.57176536763222</v>
      </c>
      <c r="W5" s="2">
        <f>W3*0.53</f>
        <v>759.60047151468507</v>
      </c>
      <c r="X5" s="2">
        <f t="shared" ref="X5:Y5" si="9">X3*0.53</f>
        <v>1063.440660120559</v>
      </c>
      <c r="Y5" s="2">
        <f t="shared" si="9"/>
        <v>1488.8169241687826</v>
      </c>
    </row>
    <row r="6" spans="1:25" s="2" customFormat="1" x14ac:dyDescent="0.25">
      <c r="B6" s="2" t="s">
        <v>18</v>
      </c>
      <c r="C6" s="4">
        <v>56.793999999999997</v>
      </c>
      <c r="D6" s="4">
        <v>53.143000000000001</v>
      </c>
      <c r="E6" s="4"/>
      <c r="F6" s="4"/>
      <c r="G6" s="4">
        <v>63.37</v>
      </c>
      <c r="H6" s="4">
        <v>63.758000000000003</v>
      </c>
      <c r="I6" s="4"/>
      <c r="J6" s="4"/>
      <c r="K6" s="4">
        <v>80.709000000000003</v>
      </c>
      <c r="L6" s="4">
        <v>80.709000000000003</v>
      </c>
      <c r="M6" s="4">
        <v>80.709000000000003</v>
      </c>
      <c r="N6" s="4">
        <v>80.709000000000003</v>
      </c>
      <c r="O6" s="4">
        <v>80.709000000000003</v>
      </c>
      <c r="P6" s="4">
        <v>80.709000000000003</v>
      </c>
      <c r="Q6" s="4">
        <v>80.709000000000003</v>
      </c>
      <c r="U6" s="2">
        <f t="shared" ref="U6:U7" si="10">SUM(N6:Q6)</f>
        <v>322.83600000000001</v>
      </c>
      <c r="V6" s="2">
        <f>U6*1.03</f>
        <v>332.52108000000004</v>
      </c>
      <c r="W6" s="2">
        <f t="shared" ref="W6:Y6" si="11">V6*1.03</f>
        <v>342.49671240000004</v>
      </c>
      <c r="X6" s="2">
        <f t="shared" si="11"/>
        <v>352.77161377200002</v>
      </c>
      <c r="Y6" s="2">
        <f t="shared" si="11"/>
        <v>363.35476218516004</v>
      </c>
    </row>
    <row r="7" spans="1:25" s="2" customFormat="1" x14ac:dyDescent="0.25">
      <c r="B7" s="2" t="s">
        <v>19</v>
      </c>
      <c r="C7" s="4">
        <v>22.469000000000001</v>
      </c>
      <c r="D7" s="4">
        <v>21.134</v>
      </c>
      <c r="E7" s="4"/>
      <c r="F7" s="4"/>
      <c r="G7" s="4">
        <v>18.047000000000001</v>
      </c>
      <c r="H7" s="4">
        <v>17.013999999999999</v>
      </c>
      <c r="I7" s="4"/>
      <c r="J7" s="4"/>
      <c r="K7" s="4">
        <v>18.024999999999999</v>
      </c>
      <c r="L7" s="4">
        <v>18.024999999999999</v>
      </c>
      <c r="M7" s="4">
        <v>18.024999999999999</v>
      </c>
      <c r="N7" s="4">
        <v>18.024999999999999</v>
      </c>
      <c r="O7" s="4">
        <v>18.024999999999999</v>
      </c>
      <c r="P7" s="4">
        <v>18.024999999999999</v>
      </c>
      <c r="Q7" s="4">
        <v>18.024999999999999</v>
      </c>
      <c r="U7" s="2">
        <f t="shared" si="10"/>
        <v>72.099999999999994</v>
      </c>
      <c r="V7" s="2">
        <f t="shared" ref="V7:Y7" si="12">U7*1.03</f>
        <v>74.262999999999991</v>
      </c>
      <c r="W7" s="2">
        <f t="shared" si="12"/>
        <v>76.490889999999993</v>
      </c>
      <c r="X7" s="2">
        <f t="shared" si="12"/>
        <v>78.785616699999991</v>
      </c>
      <c r="Y7" s="2">
        <f t="shared" si="12"/>
        <v>81.149185200999995</v>
      </c>
    </row>
    <row r="8" spans="1:25" s="2" customFormat="1" x14ac:dyDescent="0.25">
      <c r="B8" s="2" t="s">
        <v>20</v>
      </c>
      <c r="C8" s="4">
        <f t="shared" ref="C8:D8" si="13">C6+C7</f>
        <v>79.263000000000005</v>
      </c>
      <c r="D8" s="4">
        <f t="shared" si="13"/>
        <v>74.277000000000001</v>
      </c>
      <c r="E8" s="4">
        <f t="shared" ref="E8" si="14">E6+E7</f>
        <v>0</v>
      </c>
      <c r="F8" s="4">
        <f t="shared" ref="F8" si="15">F6+F7</f>
        <v>0</v>
      </c>
      <c r="G8" s="4">
        <f t="shared" ref="G8:J8" si="16">G6+G7</f>
        <v>81.417000000000002</v>
      </c>
      <c r="H8" s="4">
        <f t="shared" si="16"/>
        <v>80.772000000000006</v>
      </c>
      <c r="I8" s="4">
        <f t="shared" si="16"/>
        <v>0</v>
      </c>
      <c r="J8" s="4">
        <f t="shared" si="16"/>
        <v>0</v>
      </c>
      <c r="K8" s="4">
        <f>K6+K7</f>
        <v>98.734000000000009</v>
      </c>
      <c r="L8" s="4">
        <f>L6+L7</f>
        <v>98.734000000000009</v>
      </c>
      <c r="M8" s="4">
        <f t="shared" ref="M8" si="17">M6+M7</f>
        <v>98.734000000000009</v>
      </c>
      <c r="N8" s="4">
        <f t="shared" ref="N8" si="18">N6+N7</f>
        <v>98.734000000000009</v>
      </c>
      <c r="O8" s="4">
        <f t="shared" ref="O8" si="19">O6+O7</f>
        <v>98.734000000000009</v>
      </c>
      <c r="P8" s="4">
        <f t="shared" ref="P8" si="20">P6+P7</f>
        <v>98.734000000000009</v>
      </c>
      <c r="Q8" s="4">
        <f t="shared" ref="Q8" si="21">Q6+Q7</f>
        <v>98.734000000000009</v>
      </c>
      <c r="U8" s="4">
        <f t="shared" ref="U8:W8" si="22">U6+U7</f>
        <v>394.93600000000004</v>
      </c>
      <c r="V8" s="4">
        <f t="shared" si="22"/>
        <v>406.78408000000002</v>
      </c>
      <c r="W8" s="4">
        <f t="shared" si="22"/>
        <v>418.98760240000001</v>
      </c>
      <c r="X8" s="4">
        <f t="shared" ref="X8" si="23">X6+X7</f>
        <v>431.55723047200001</v>
      </c>
      <c r="Y8" s="4">
        <f t="shared" ref="Y8" si="24">Y6+Y7</f>
        <v>444.50394738616001</v>
      </c>
    </row>
    <row r="9" spans="1:25" s="2" customFormat="1" x14ac:dyDescent="0.25">
      <c r="B9" s="2" t="s">
        <v>21</v>
      </c>
      <c r="C9" s="4">
        <f t="shared" ref="C9:D9" si="25">C5-C8</f>
        <v>-43.992000000000004</v>
      </c>
      <c r="D9" s="4">
        <f t="shared" si="25"/>
        <v>-36.053999999999995</v>
      </c>
      <c r="E9" s="4">
        <f t="shared" ref="E9" si="26">E5-E8</f>
        <v>0</v>
      </c>
      <c r="F9" s="4">
        <f t="shared" ref="F9" si="27">F5-F8</f>
        <v>0</v>
      </c>
      <c r="G9" s="4">
        <f t="shared" ref="G9:J9" si="28">G5-G8</f>
        <v>-30.119999999999997</v>
      </c>
      <c r="H9" s="4">
        <f t="shared" si="28"/>
        <v>-29.935000000000002</v>
      </c>
      <c r="I9" s="4">
        <f t="shared" si="28"/>
        <v>0</v>
      </c>
      <c r="J9" s="4">
        <f t="shared" si="28"/>
        <v>0</v>
      </c>
      <c r="K9" s="4">
        <f>K5-K8</f>
        <v>-36.28</v>
      </c>
      <c r="L9" s="4">
        <f>L5-L8</f>
        <v>-29.720792000000003</v>
      </c>
      <c r="M9" s="4">
        <f t="shared" ref="M9" si="29">M5-M8</f>
        <v>-22.819471199999995</v>
      </c>
      <c r="N9" s="4">
        <f t="shared" ref="N9" si="30">N5-N8</f>
        <v>-15.22801831999999</v>
      </c>
      <c r="O9" s="4">
        <f t="shared" ref="O9" si="31">O5-O8</f>
        <v>-6.8774201519999707</v>
      </c>
      <c r="P9" s="4">
        <f t="shared" ref="P9" si="32">P5-P8</f>
        <v>2.3082378328000317</v>
      </c>
      <c r="Q9" s="4">
        <f t="shared" ref="Q9" si="33">Q5-Q8</f>
        <v>12.412461616080037</v>
      </c>
      <c r="U9" s="4">
        <f t="shared" ref="U9:W9" si="34">U5-U8</f>
        <v>-7.3847390231198915</v>
      </c>
      <c r="V9" s="4">
        <f t="shared" si="34"/>
        <v>135.78768536763221</v>
      </c>
      <c r="W9" s="4">
        <f t="shared" si="34"/>
        <v>340.61286911468505</v>
      </c>
      <c r="X9" s="4">
        <f t="shared" ref="X9" si="35">X5-X8</f>
        <v>631.88342964855894</v>
      </c>
      <c r="Y9" s="4">
        <f t="shared" ref="Y9" si="36">Y5-Y8</f>
        <v>1044.3129767826226</v>
      </c>
    </row>
    <row r="10" spans="1:25" s="2" customFormat="1" x14ac:dyDescent="0.25">
      <c r="B10" s="2" t="s">
        <v>33</v>
      </c>
      <c r="C10" s="4">
        <v>3.6629999999999998</v>
      </c>
      <c r="D10" s="4"/>
      <c r="E10" s="4"/>
      <c r="F10" s="4"/>
      <c r="G10" s="4">
        <v>2.69</v>
      </c>
      <c r="H10" s="4">
        <v>3.6</v>
      </c>
      <c r="I10" s="4"/>
      <c r="J10" s="4"/>
      <c r="K10" s="4"/>
      <c r="L10" s="4"/>
      <c r="M10" s="4"/>
      <c r="N10" s="4"/>
      <c r="O10" s="4"/>
      <c r="P10" s="4"/>
      <c r="Q10" s="4"/>
      <c r="X10" s="2">
        <v>0</v>
      </c>
      <c r="Y10" s="2">
        <v>0</v>
      </c>
    </row>
    <row r="11" spans="1:25" s="2" customFormat="1" x14ac:dyDescent="0.25">
      <c r="B11" s="2" t="s">
        <v>32</v>
      </c>
      <c r="C11" s="4">
        <f t="shared" ref="C11:G11" si="37">C9+C10</f>
        <v>-40.329000000000008</v>
      </c>
      <c r="D11" s="4">
        <f t="shared" si="37"/>
        <v>-36.053999999999995</v>
      </c>
      <c r="E11" s="4">
        <f t="shared" si="37"/>
        <v>0</v>
      </c>
      <c r="F11" s="4">
        <f t="shared" si="37"/>
        <v>0</v>
      </c>
      <c r="G11" s="4">
        <f t="shared" si="37"/>
        <v>-27.429999999999996</v>
      </c>
      <c r="H11" s="4">
        <f>H9+H10</f>
        <v>-26.335000000000001</v>
      </c>
      <c r="I11" s="4">
        <f t="shared" ref="I11:Q11" si="38">I9+I10</f>
        <v>0</v>
      </c>
      <c r="J11" s="4">
        <f t="shared" si="38"/>
        <v>0</v>
      </c>
      <c r="K11" s="4">
        <f t="shared" si="38"/>
        <v>-36.28</v>
      </c>
      <c r="L11" s="4">
        <f t="shared" si="38"/>
        <v>-29.720792000000003</v>
      </c>
      <c r="M11" s="4">
        <f t="shared" si="38"/>
        <v>-22.819471199999995</v>
      </c>
      <c r="N11" s="4">
        <f t="shared" si="38"/>
        <v>-15.22801831999999</v>
      </c>
      <c r="O11" s="4">
        <f t="shared" si="38"/>
        <v>-6.8774201519999707</v>
      </c>
      <c r="P11" s="4">
        <f t="shared" si="38"/>
        <v>2.3082378328000317</v>
      </c>
      <c r="Q11" s="4">
        <f t="shared" si="38"/>
        <v>12.412461616080037</v>
      </c>
      <c r="X11" s="2">
        <f>X9+X10</f>
        <v>631.88342964855894</v>
      </c>
      <c r="Y11" s="2">
        <f t="shared" ref="Y11" si="39">Y9+Y10</f>
        <v>1044.3129767826226</v>
      </c>
    </row>
    <row r="12" spans="1:25" s="2" customFormat="1" x14ac:dyDescent="0.25">
      <c r="B12" s="2" t="s">
        <v>31</v>
      </c>
      <c r="C12" s="2">
        <v>0.191</v>
      </c>
      <c r="G12" s="2">
        <v>0.191</v>
      </c>
      <c r="H12" s="2">
        <v>0.25600000000000001</v>
      </c>
      <c r="X12" s="2">
        <f>X11*0.15</f>
        <v>94.782514447283845</v>
      </c>
      <c r="Y12" s="2">
        <f t="shared" ref="Y12" si="40">Y11*0.15</f>
        <v>156.64694651739339</v>
      </c>
    </row>
    <row r="13" spans="1:25" s="2" customFormat="1" x14ac:dyDescent="0.25">
      <c r="B13" s="2" t="s">
        <v>30</v>
      </c>
      <c r="C13" s="4">
        <f t="shared" ref="C13:G13" si="41">C11-C12</f>
        <v>-40.52000000000001</v>
      </c>
      <c r="D13" s="4">
        <f t="shared" si="41"/>
        <v>-36.053999999999995</v>
      </c>
      <c r="E13" s="4">
        <f t="shared" si="41"/>
        <v>0</v>
      </c>
      <c r="F13" s="4">
        <f t="shared" si="41"/>
        <v>0</v>
      </c>
      <c r="G13" s="4">
        <f t="shared" si="41"/>
        <v>-27.620999999999995</v>
      </c>
      <c r="H13" s="4">
        <f>H11-H12</f>
        <v>-26.591000000000001</v>
      </c>
      <c r="I13" s="4">
        <f t="shared" ref="I13:Q13" si="42">I11-I12</f>
        <v>0</v>
      </c>
      <c r="J13" s="4">
        <f t="shared" si="42"/>
        <v>0</v>
      </c>
      <c r="K13" s="4">
        <f t="shared" si="42"/>
        <v>-36.28</v>
      </c>
      <c r="L13" s="4">
        <f t="shared" si="42"/>
        <v>-29.720792000000003</v>
      </c>
      <c r="M13" s="4">
        <f t="shared" si="42"/>
        <v>-22.819471199999995</v>
      </c>
      <c r="N13" s="4">
        <f t="shared" si="42"/>
        <v>-15.22801831999999</v>
      </c>
      <c r="O13" s="4">
        <f t="shared" si="42"/>
        <v>-6.8774201519999707</v>
      </c>
      <c r="P13" s="4">
        <f t="shared" si="42"/>
        <v>2.3082378328000317</v>
      </c>
      <c r="Q13" s="4">
        <f t="shared" si="42"/>
        <v>12.412461616080037</v>
      </c>
      <c r="X13" s="2">
        <f>X11-X12</f>
        <v>537.10091520127514</v>
      </c>
      <c r="Y13" s="2">
        <f t="shared" ref="Y13" si="43">Y11-Y12</f>
        <v>887.66603026522921</v>
      </c>
    </row>
    <row r="14" spans="1:25" s="2" customFormat="1" x14ac:dyDescent="0.25">
      <c r="B14" s="2" t="s">
        <v>29</v>
      </c>
      <c r="C14" s="10">
        <f t="shared" ref="C14:G14" si="44">C13/C15</f>
        <v>-0.69687849342161856</v>
      </c>
      <c r="D14" s="10" t="e">
        <f t="shared" si="44"/>
        <v>#DIV/0!</v>
      </c>
      <c r="E14" s="10" t="e">
        <f t="shared" si="44"/>
        <v>#DIV/0!</v>
      </c>
      <c r="F14" s="10" t="e">
        <f t="shared" si="44"/>
        <v>#DIV/0!</v>
      </c>
      <c r="G14" s="10">
        <f t="shared" si="44"/>
        <v>-0.45158917010005878</v>
      </c>
      <c r="H14" s="10">
        <f>H13/H15</f>
        <v>-0.44007348073613134</v>
      </c>
      <c r="I14" s="10" t="e">
        <f>I13/I15</f>
        <v>#DIV/0!</v>
      </c>
      <c r="J14" s="10" t="e">
        <f>J13/J15</f>
        <v>#DIV/0!</v>
      </c>
      <c r="K14" s="10" t="e">
        <f>K13/K15</f>
        <v>#DIV/0!</v>
      </c>
      <c r="L14" s="10" t="e">
        <f>L13/L15</f>
        <v>#DIV/0!</v>
      </c>
      <c r="M14" s="10" t="e">
        <f>M13/M15</f>
        <v>#DIV/0!</v>
      </c>
      <c r="N14" s="10" t="e">
        <f>N13/N15</f>
        <v>#DIV/0!</v>
      </c>
      <c r="O14" s="10" t="e">
        <f>O13/O15</f>
        <v>#DIV/0!</v>
      </c>
      <c r="P14" s="4"/>
      <c r="Q14" s="4"/>
    </row>
    <row r="15" spans="1:25" x14ac:dyDescent="0.25">
      <c r="B15" s="1" t="s">
        <v>1</v>
      </c>
      <c r="C15" s="3">
        <v>58.145000000000003</v>
      </c>
      <c r="G15" s="3">
        <v>61.164000000000001</v>
      </c>
      <c r="H15" s="3">
        <v>60.423999999999999</v>
      </c>
    </row>
    <row r="17" spans="2:25" x14ac:dyDescent="0.25">
      <c r="B17" s="2" t="s">
        <v>26</v>
      </c>
      <c r="C17" s="4"/>
      <c r="D17" s="4"/>
      <c r="E17" s="4"/>
      <c r="F17" s="4"/>
      <c r="G17" s="7">
        <f>G3/C3-1</f>
        <v>0.17913434154964158</v>
      </c>
      <c r="H17" s="7">
        <f>H3/D3-1</f>
        <v>0.16893742621015351</v>
      </c>
      <c r="I17" s="7">
        <f>I3/E3-1</f>
        <v>0.16891549152886265</v>
      </c>
      <c r="J17" s="7">
        <f>J3/F3-1</f>
        <v>0.18543424611770276</v>
      </c>
      <c r="K17" s="7">
        <f>K3/G3-1</f>
        <v>0.23235162455625313</v>
      </c>
      <c r="L17" s="7">
        <f>L3/H3-1</f>
        <v>0.31516932804088538</v>
      </c>
      <c r="M17" s="7">
        <f>M3/I3-1</f>
        <v>0.38127022700534274</v>
      </c>
      <c r="N17" s="7">
        <f>N3/J3-1</f>
        <v>0.43234960000000022</v>
      </c>
      <c r="O17" s="7">
        <f>O3/K3-1</f>
        <v>0.4641000000000004</v>
      </c>
      <c r="P17" s="7">
        <f>P3/L3-1</f>
        <v>0.4641000000000004</v>
      </c>
      <c r="Q17" s="7">
        <f>Q3/M3-1</f>
        <v>0.4641000000000004</v>
      </c>
      <c r="V17" s="8">
        <f>V3/U3-1</f>
        <v>0.39999999999999991</v>
      </c>
      <c r="W17" s="8">
        <f>W3/V3-1</f>
        <v>0.39999999999999991</v>
      </c>
      <c r="X17" s="8">
        <f>X3/W3-1</f>
        <v>0.39999999999999991</v>
      </c>
      <c r="Y17" s="8">
        <f>Y3/X3-1</f>
        <v>0.39999999999999991</v>
      </c>
    </row>
    <row r="18" spans="2:25" x14ac:dyDescent="0.25">
      <c r="B18" s="1" t="s">
        <v>16</v>
      </c>
      <c r="C18" s="7">
        <f>C5/C3</f>
        <v>0.43296425414907203</v>
      </c>
      <c r="D18" s="7">
        <f>D5/D3</f>
        <v>0.45127508854781589</v>
      </c>
      <c r="G18" s="7">
        <f>G5/G3</f>
        <v>0.53402667166369966</v>
      </c>
      <c r="H18" s="7">
        <f>H5/H3</f>
        <v>0.51345837247118953</v>
      </c>
      <c r="I18" s="7">
        <f>I5/I3</f>
        <v>0</v>
      </c>
      <c r="J18" s="7">
        <f>J5/J3</f>
        <v>0</v>
      </c>
      <c r="K18" s="7">
        <f>K5/K3</f>
        <v>0.52759005203757525</v>
      </c>
      <c r="L18" s="7">
        <f>L5/L3</f>
        <v>0.53</v>
      </c>
      <c r="M18" s="7">
        <f t="shared" ref="M18:Q18" si="45">M5/M3</f>
        <v>0.53</v>
      </c>
      <c r="N18" s="7">
        <f t="shared" si="45"/>
        <v>0.53</v>
      </c>
      <c r="O18" s="7">
        <f t="shared" si="45"/>
        <v>0.53</v>
      </c>
      <c r="P18" s="7">
        <f t="shared" si="45"/>
        <v>0.53</v>
      </c>
      <c r="Q18" s="7">
        <f t="shared" si="45"/>
        <v>0.53</v>
      </c>
      <c r="U18" s="7">
        <f t="shared" ref="U18:Y18" si="46">U5/U3</f>
        <v>0.53</v>
      </c>
      <c r="V18" s="7">
        <f t="shared" si="46"/>
        <v>0.53</v>
      </c>
      <c r="W18" s="7">
        <f t="shared" si="46"/>
        <v>0.53</v>
      </c>
      <c r="X18" s="7">
        <f t="shared" si="46"/>
        <v>0.53</v>
      </c>
      <c r="Y18" s="7">
        <f t="shared" si="46"/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2026-08-25T10:59:02Z</dcterms:created>
  <dcterms:modified xsi:type="dcterms:W3CDTF">2026-08-25T11:24:07Z</dcterms:modified>
</cp:coreProperties>
</file>