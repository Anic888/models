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5EE7A34-4689-4080-B355-3D4BC2AA78F6}" xr6:coauthVersionLast="47" xr6:coauthVersionMax="47" xr10:uidLastSave="{00000000-0000-0000-0000-000000000000}"/>
  <bookViews>
    <workbookView xWindow="13050" yWindow="4020" windowWidth="20170" windowHeight="14480" activeTab="2" xr2:uid="{00000000-000D-0000-FFFF-FFFF00000000}"/>
  </bookViews>
  <sheets>
    <sheet name="Master Pipeline" sheetId="29" r:id="rId1"/>
    <sheet name="Main" sheetId="2" r:id="rId2"/>
    <sheet name="Model" sheetId="8" r:id="rId3"/>
    <sheet name="Keytruda" sheetId="31" r:id="rId4"/>
    <sheet name="Winrevair" sheetId="36" r:id="rId5"/>
    <sheet name="Welireg" sheetId="37" r:id="rId6"/>
    <sheet name="Gardasil" sheetId="3" r:id="rId7"/>
    <sheet name="Lenvima" sheetId="35" r:id="rId8"/>
    <sheet name="Lynparza" sheetId="32" r:id="rId9"/>
    <sheet name="Padcev" sheetId="33" r:id="rId10"/>
    <sheet name="Rotateq" sheetId="17" r:id="rId11"/>
    <sheet name="V940" sheetId="34" r:id="rId12"/>
    <sheet name="0482" sheetId="38" r:id="rId13"/>
    <sheet name="Zostavax" sheetId="15" r:id="rId14"/>
    <sheet name="Vytorin" sheetId="26" r:id="rId15"/>
    <sheet name="Singulair" sheetId="19" r:id="rId16"/>
    <sheet name="Januvia" sheetId="4" r:id="rId17"/>
    <sheet name="odanacatib" sheetId="27" r:id="rId18"/>
    <sheet name="524" sheetId="6" r:id="rId19"/>
    <sheet name="517" sheetId="13" r:id="rId20"/>
    <sheet name="Isentress" sheetId="14" r:id="rId21"/>
    <sheet name="rolofylline" sheetId="25" r:id="rId22"/>
    <sheet name="taranabant" sheetId="23" r:id="rId23"/>
    <sheet name="telcagepant" sheetId="24" r:id="rId24"/>
    <sheet name="457" sheetId="20" r:id="rId25"/>
    <sheet name="vorapaxar" sheetId="28" r:id="rId26"/>
    <sheet name="Crixivan" sheetId="30" r:id="rId27"/>
    <sheet name="Fosamax" sheetId="22" r:id="rId28"/>
    <sheet name="Arcoxia" sheetId="21" r:id="rId29"/>
    <sheet name="Zolinza" sheetId="5" r:id="rId30"/>
  </sheets>
  <externalReferences>
    <externalReference r:id="rId31"/>
    <externalReference r:id="rId32"/>
  </externalReferences>
  <definedNames>
    <definedName name="\a">[1]ROCHE!#REF!</definedName>
    <definedName name="\p">[1]ROCHE!#REF!</definedName>
    <definedName name="\q">[1]ROCHE!#REF!</definedName>
    <definedName name="\r">[1]ROCHE!#REF!</definedName>
    <definedName name="\s">[1]ROCHE!#REF!</definedName>
    <definedName name="\t">[1]ROCHE!#REF!</definedName>
    <definedName name="\u">[1]ROCHE!#REF!</definedName>
    <definedName name="\v">[1]ROCHE!#REF!</definedName>
    <definedName name="\x">[1]ROCHE!#REF!</definedName>
    <definedName name="_1EBITDA_Sh">#REF!</definedName>
    <definedName name="_2NOPAT_Sh">#REF!</definedName>
    <definedName name="_3_.__Gross_inc_gro">#REF!</definedName>
    <definedName name="_4_.__Restructuring_char">#REF!</definedName>
    <definedName name="_5_.__SGA_gro">#REF!</definedName>
    <definedName name="_6_.__Shares_repurchase_liabil">#REF!</definedName>
    <definedName name="_7_3__Income_before_ta">#REF!</definedName>
    <definedName name="_8_3__Increase_in_other_liabilit">#REF!</definedName>
    <definedName name="_9_3__Other_Segment_Reven">#REF!</definedName>
    <definedName name="_QP2">#REF!</definedName>
    <definedName name="Adjusted_EPS">[2]Figures!#REF!</definedName>
    <definedName name="Choices_Wrapper">[0]!Choices_Wrapper</definedName>
    <definedName name="Company_reported_exceptionals">[2]Figures!#REF!</definedName>
    <definedName name="Current_cost_adjusted_net_income">[2]Figures!#REF!</definedName>
    <definedName name="Debt_Market_Cap_Ratio">#REF!</definedName>
    <definedName name="DivisionSales">[1]ROCHE!#REF!</definedName>
    <definedName name="EG_DPS">[2]projections!#REF!</definedName>
    <definedName name="EG_Net_Profit">[2]projections!#REF!</definedName>
    <definedName name="EPS">[2]Figures!#REF!</definedName>
    <definedName name="Exceptionals">[2]Figures!#REF!</definedName>
    <definedName name="Exchange">[1]Valuation!$A$1:$I$12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ixedAssets">[1]Valuation!$A$1:$V$51</definedName>
    <definedName name="ForecastVersion">#REF!</definedName>
    <definedName name="GenentechFrom1996">[1]ROCHE!#REF!</definedName>
    <definedName name="GenentechTo1995">[1]ROCHE!#REF!</definedName>
    <definedName name="Geographic">[1]ROCHE!#REF!</definedName>
    <definedName name="graphdata">#REF!</definedName>
    <definedName name="Loan_Loss_Provision_fore">#REF!</definedName>
    <definedName name="M_PlaceofPath" hidden="1">"\\snyceqt0301\vdf$\tmp\blabla"</definedName>
    <definedName name="NetDebtPerShare">[2]projections!#REF!</definedName>
    <definedName name="Number_of_Shares">#REF!</definedName>
    <definedName name="Off_B_S_Income_fore">#REF!</definedName>
    <definedName name="Off_B_S_Income_growth_fore">#REF!</definedName>
    <definedName name="Partial_year">#REF!</definedName>
    <definedName name="Patent">[1]Valuation!#REF!</definedName>
    <definedName name="Payout_ratio_on_underlying">[2]Figures!#REF!</definedName>
    <definedName name="Post_tax_stock_gains_losses">[2]Figures!#REF!</definedName>
    <definedName name="_xlnm.Print_Area" localSheetId="2">Model!$A$2:$DH$125</definedName>
    <definedName name="Products">[1]ROCHE!#REF!</definedName>
    <definedName name="quarter">#REF!</definedName>
    <definedName name="Reported_net_income">[2]Figures!#REF!</definedName>
    <definedName name="ResearchForecasts">#REF!</definedName>
    <definedName name="SalesAndOperatingDivisions">[1]ROCHE!#REF!</definedName>
    <definedName name="Schroder_exceptionals">[2]Figures!#REF!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hare_Price">#REF!</definedName>
    <definedName name="summary">#REF!</definedName>
    <definedName name="Value_of_Equity">#REF!</definedName>
    <definedName name="WWSalesQuarter">#REF!</definedName>
    <definedName name="WWSalesYear">#REF!</definedName>
    <definedName name="year">#REF!</definedName>
    <definedName name="yt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B123" i="8" l="1"/>
  <c r="DA123" i="8"/>
  <c r="DB122" i="8"/>
  <c r="DA122" i="8"/>
  <c r="CZ169" i="8"/>
  <c r="CZ168" i="8"/>
  <c r="CZ167" i="8"/>
  <c r="CZ166" i="8"/>
  <c r="CZ165" i="8"/>
  <c r="CZ164" i="8"/>
  <c r="CZ163" i="8"/>
  <c r="CZ162" i="8"/>
  <c r="CZ159" i="8"/>
  <c r="CZ158" i="8"/>
  <c r="CZ157" i="8"/>
  <c r="CZ156" i="8"/>
  <c r="CZ160" i="8"/>
  <c r="CZ154" i="8"/>
  <c r="CZ153" i="8"/>
  <c r="CZ152" i="8"/>
  <c r="CZ151" i="8"/>
  <c r="CZ150" i="8"/>
  <c r="CZ149" i="8"/>
  <c r="CZ148" i="8"/>
  <c r="CZ147" i="8"/>
  <c r="CZ146" i="8"/>
  <c r="CZ143" i="8"/>
  <c r="CZ139" i="8"/>
  <c r="CZ136" i="8"/>
  <c r="CZ126" i="8" s="1"/>
  <c r="CZ134" i="8"/>
  <c r="CZ132" i="8"/>
  <c r="CZ127" i="8"/>
  <c r="CY162" i="8"/>
  <c r="CY167" i="8"/>
  <c r="CY169" i="8" s="1"/>
  <c r="CY160" i="8"/>
  <c r="CY154" i="8"/>
  <c r="CY152" i="8"/>
  <c r="CY139" i="8"/>
  <c r="CY143" i="8"/>
  <c r="CY136" i="8"/>
  <c r="CY134" i="8"/>
  <c r="CY132" i="8"/>
  <c r="CY127" i="8"/>
  <c r="CX169" i="8"/>
  <c r="CX168" i="8"/>
  <c r="CX166" i="8"/>
  <c r="CX165" i="8"/>
  <c r="CX167" i="8"/>
  <c r="CX164" i="8"/>
  <c r="CX163" i="8"/>
  <c r="CX162" i="8"/>
  <c r="CX159" i="8"/>
  <c r="CX160" i="8"/>
  <c r="CX157" i="8"/>
  <c r="CX156" i="8"/>
  <c r="CX153" i="8"/>
  <c r="CX154" i="8"/>
  <c r="CX152" i="8"/>
  <c r="CX151" i="8"/>
  <c r="CX150" i="8"/>
  <c r="CX149" i="8"/>
  <c r="CX148" i="8"/>
  <c r="CX147" i="8"/>
  <c r="CX146" i="8"/>
  <c r="CX143" i="8"/>
  <c r="CX139" i="8"/>
  <c r="CX136" i="8"/>
  <c r="CX134" i="8"/>
  <c r="CX132" i="8"/>
  <c r="CX127" i="8"/>
  <c r="CW168" i="8"/>
  <c r="CW169" i="8"/>
  <c r="CW167" i="8"/>
  <c r="CW166" i="8"/>
  <c r="CW165" i="8"/>
  <c r="CW164" i="8"/>
  <c r="CW163" i="8"/>
  <c r="CW162" i="8"/>
  <c r="CW159" i="8"/>
  <c r="CW157" i="8"/>
  <c r="CW160" i="8" s="1"/>
  <c r="CW156" i="8"/>
  <c r="CW154" i="8"/>
  <c r="CW153" i="8"/>
  <c r="CW152" i="8"/>
  <c r="CW151" i="8"/>
  <c r="CW150" i="8"/>
  <c r="CW149" i="8"/>
  <c r="CW148" i="8"/>
  <c r="CW147" i="8"/>
  <c r="CW146" i="8"/>
  <c r="CW139" i="8"/>
  <c r="CW136" i="8"/>
  <c r="CV169" i="8"/>
  <c r="CV168" i="8"/>
  <c r="CV167" i="8"/>
  <c r="CV166" i="8"/>
  <c r="CV165" i="8"/>
  <c r="CV164" i="8"/>
  <c r="CV163" i="8"/>
  <c r="CV162" i="8"/>
  <c r="CV159" i="8"/>
  <c r="CV157" i="8"/>
  <c r="CV156" i="8"/>
  <c r="CV154" i="8"/>
  <c r="CV153" i="8"/>
  <c r="CV152" i="8"/>
  <c r="CV151" i="8"/>
  <c r="CV150" i="8"/>
  <c r="CV149" i="8"/>
  <c r="CV148" i="8"/>
  <c r="CV147" i="8"/>
  <c r="CV146" i="8"/>
  <c r="CZ175" i="8"/>
  <c r="CY175" i="8"/>
  <c r="CX175" i="8"/>
  <c r="CW175" i="8"/>
  <c r="CV175" i="8"/>
  <c r="CU175" i="8"/>
  <c r="CT175" i="8"/>
  <c r="CZ174" i="8"/>
  <c r="CY174" i="8"/>
  <c r="CX174" i="8"/>
  <c r="CW174" i="8"/>
  <c r="CV174" i="8"/>
  <c r="CU174" i="8"/>
  <c r="CT174" i="8"/>
  <c r="CT169" i="8"/>
  <c r="CU167" i="8"/>
  <c r="CU169" i="8" s="1"/>
  <c r="CT167" i="8"/>
  <c r="CU160" i="8"/>
  <c r="CT160" i="8"/>
  <c r="CU157" i="8"/>
  <c r="CU154" i="8"/>
  <c r="CT154" i="8"/>
  <c r="CZ145" i="8"/>
  <c r="CY145" i="8"/>
  <c r="CX145" i="8"/>
  <c r="CW145" i="8"/>
  <c r="CV145" i="8"/>
  <c r="CU145" i="8"/>
  <c r="CT145" i="8"/>
  <c r="CU139" i="8"/>
  <c r="CU143" i="8"/>
  <c r="CU136" i="8"/>
  <c r="CU127" i="8"/>
  <c r="CU134" i="8"/>
  <c r="CU132" i="8"/>
  <c r="DB99" i="8"/>
  <c r="DA99" i="8"/>
  <c r="DB95" i="8"/>
  <c r="DA95" i="8"/>
  <c r="DB94" i="8"/>
  <c r="DA94" i="8"/>
  <c r="DB92" i="8"/>
  <c r="DA92" i="8"/>
  <c r="DB109" i="8"/>
  <c r="DA109" i="8"/>
  <c r="CX90" i="8"/>
  <c r="CY95" i="8"/>
  <c r="CY91" i="8"/>
  <c r="DB90" i="8"/>
  <c r="DA90" i="8"/>
  <c r="DB8" i="8"/>
  <c r="DA8" i="8"/>
  <c r="DB7" i="8"/>
  <c r="DA7" i="8"/>
  <c r="DB6" i="8"/>
  <c r="DA6" i="8"/>
  <c r="DB5" i="8"/>
  <c r="DA5" i="8"/>
  <c r="DB4" i="8"/>
  <c r="DA4" i="8"/>
  <c r="DB12" i="8"/>
  <c r="DA12" i="8"/>
  <c r="DB11" i="8"/>
  <c r="DA11" i="8"/>
  <c r="DB15" i="8"/>
  <c r="DA15" i="8"/>
  <c r="DB16" i="8"/>
  <c r="DA16" i="8"/>
  <c r="DB14" i="8"/>
  <c r="DA14" i="8"/>
  <c r="DB19" i="8"/>
  <c r="DB18" i="8"/>
  <c r="DA18" i="8"/>
  <c r="DA19" i="8"/>
  <c r="DB21" i="8"/>
  <c r="DA21" i="8"/>
  <c r="DB23" i="8"/>
  <c r="DA23" i="8"/>
  <c r="DB22" i="8"/>
  <c r="DA22" i="8"/>
  <c r="DB24" i="8"/>
  <c r="DA24" i="8"/>
  <c r="DB25" i="8"/>
  <c r="DA25" i="8"/>
  <c r="DA30" i="8"/>
  <c r="DB30" i="8" s="1"/>
  <c r="DB31" i="8"/>
  <c r="DA31" i="8"/>
  <c r="DB33" i="8"/>
  <c r="DA33" i="8"/>
  <c r="DB81" i="8"/>
  <c r="DA81" i="8"/>
  <c r="DB35" i="8"/>
  <c r="DA35" i="8"/>
  <c r="DA91" i="8" s="1"/>
  <c r="DA93" i="8" s="1"/>
  <c r="DA111" i="8" s="1"/>
  <c r="DB10" i="8"/>
  <c r="DA10" i="8"/>
  <c r="DB3" i="8"/>
  <c r="DA3" i="8"/>
  <c r="CY126" i="8"/>
  <c r="CX126" i="8"/>
  <c r="CZ123" i="8"/>
  <c r="CY123" i="8"/>
  <c r="CZ122" i="8"/>
  <c r="CY122" i="8"/>
  <c r="CZ120" i="8"/>
  <c r="CY120" i="8"/>
  <c r="CZ114" i="8"/>
  <c r="CZ113" i="8"/>
  <c r="CY113" i="8"/>
  <c r="CZ112" i="8"/>
  <c r="CY112" i="8"/>
  <c r="CZ111" i="8"/>
  <c r="CZ95" i="8"/>
  <c r="CZ93" i="8"/>
  <c r="CY90" i="8"/>
  <c r="CZ90" i="8"/>
  <c r="CZ3" i="8"/>
  <c r="CZ91" i="8" s="1"/>
  <c r="CX3" i="8"/>
  <c r="CY3" i="8"/>
  <c r="DB96" i="8"/>
  <c r="DA96" i="8"/>
  <c r="CZ96" i="8"/>
  <c r="CY96" i="8"/>
  <c r="CX96" i="8"/>
  <c r="CY93" i="8"/>
  <c r="CY111" i="8" s="1"/>
  <c r="CW143" i="8"/>
  <c r="CW132" i="8"/>
  <c r="CW127" i="8"/>
  <c r="CW134" i="8"/>
  <c r="CW126" i="8"/>
  <c r="CW96" i="8"/>
  <c r="CW90" i="8"/>
  <c r="CV139" i="8"/>
  <c r="CV136" i="8"/>
  <c r="CV143" i="8" s="1"/>
  <c r="CV127" i="8"/>
  <c r="CV132" i="8"/>
  <c r="EC81" i="8"/>
  <c r="EJ13" i="8"/>
  <c r="EK13" i="8" s="1"/>
  <c r="EL13" i="8" s="1"/>
  <c r="EM13" i="8" s="1"/>
  <c r="EN13" i="8" s="1"/>
  <c r="CV91" i="8"/>
  <c r="CV90" i="8"/>
  <c r="CV96" i="8"/>
  <c r="CU126" i="8"/>
  <c r="CU96" i="8"/>
  <c r="CU90" i="8"/>
  <c r="CU91" i="8" s="1"/>
  <c r="CU93" i="8" s="1"/>
  <c r="CU97" i="8" s="1"/>
  <c r="CU105" i="8" s="1"/>
  <c r="CU117" i="8" s="1"/>
  <c r="CT142" i="8"/>
  <c r="CT139" i="8"/>
  <c r="CT136" i="8"/>
  <c r="CT143" i="8" s="1"/>
  <c r="CT132" i="8"/>
  <c r="CT127" i="8"/>
  <c r="CT122" i="8"/>
  <c r="EC95" i="8"/>
  <c r="EC35" i="8"/>
  <c r="CT106" i="8"/>
  <c r="CT90" i="8"/>
  <c r="ED18" i="8"/>
  <c r="ED15" i="8"/>
  <c r="ED14" i="8"/>
  <c r="CX123" i="8"/>
  <c r="CW123" i="8"/>
  <c r="CV123" i="8"/>
  <c r="EC14" i="8"/>
  <c r="EC12" i="8"/>
  <c r="EC11" i="8"/>
  <c r="EC9" i="8"/>
  <c r="EC7" i="8"/>
  <c r="EC6" i="8"/>
  <c r="ED5" i="8"/>
  <c r="EC5" i="8"/>
  <c r="EC4" i="8"/>
  <c r="EB4" i="8"/>
  <c r="ED4" i="8"/>
  <c r="CS106" i="8"/>
  <c r="CU123" i="8"/>
  <c r="CU122" i="8"/>
  <c r="CS127" i="8"/>
  <c r="CV160" i="8" l="1"/>
  <c r="DA120" i="8"/>
  <c r="DA112" i="8"/>
  <c r="DA113" i="8"/>
  <c r="DB91" i="8"/>
  <c r="DA97" i="8"/>
  <c r="CZ97" i="8"/>
  <c r="CZ105" i="8" s="1"/>
  <c r="CY97" i="8"/>
  <c r="ED19" i="8"/>
  <c r="ED16" i="8"/>
  <c r="CV134" i="8"/>
  <c r="ED30" i="8"/>
  <c r="ED22" i="8"/>
  <c r="ED24" i="8"/>
  <c r="EE24" i="8" s="1"/>
  <c r="EF24" i="8" s="1"/>
  <c r="EG24" i="8" s="1"/>
  <c r="EH24" i="8" s="1"/>
  <c r="EI24" i="8" s="1"/>
  <c r="EJ24" i="8" s="1"/>
  <c r="EK24" i="8" s="1"/>
  <c r="EL24" i="8" s="1"/>
  <c r="EM24" i="8" s="1"/>
  <c r="EN24" i="8" s="1"/>
  <c r="ED31" i="8"/>
  <c r="ED81" i="8"/>
  <c r="ED17" i="8"/>
  <c r="ED23" i="8"/>
  <c r="ED27" i="8"/>
  <c r="CT126" i="8"/>
  <c r="ED7" i="8"/>
  <c r="ED34" i="8"/>
  <c r="EE34" i="8" s="1"/>
  <c r="EF34" i="8" s="1"/>
  <c r="EG34" i="8" s="1"/>
  <c r="EH34" i="8" s="1"/>
  <c r="EI34" i="8" s="1"/>
  <c r="EJ34" i="8" s="1"/>
  <c r="EK34" i="8" s="1"/>
  <c r="EL34" i="8" s="1"/>
  <c r="EM34" i="8" s="1"/>
  <c r="EN34" i="8" s="1"/>
  <c r="ED6" i="8"/>
  <c r="ED10" i="8"/>
  <c r="ED33" i="8"/>
  <c r="ED9" i="8"/>
  <c r="ED11" i="8"/>
  <c r="ED21" i="8"/>
  <c r="ED12" i="8"/>
  <c r="CV126" i="8"/>
  <c r="CT134" i="8"/>
  <c r="CU111" i="8"/>
  <c r="CU107" i="8"/>
  <c r="CY105" i="8" l="1"/>
  <c r="CY114" i="8"/>
  <c r="CZ107" i="8"/>
  <c r="CZ117" i="8"/>
  <c r="DB93" i="8"/>
  <c r="DB112" i="8"/>
  <c r="DB113" i="8"/>
  <c r="DA105" i="8"/>
  <c r="DA106" i="8" s="1"/>
  <c r="DA114" i="8"/>
  <c r="CU112" i="8"/>
  <c r="CU114" i="8"/>
  <c r="CU113" i="8"/>
  <c r="ED35" i="8"/>
  <c r="EE35" i="8" s="1"/>
  <c r="EF35" i="8" s="1"/>
  <c r="EG35" i="8" s="1"/>
  <c r="EH35" i="8" s="1"/>
  <c r="CU116" i="8"/>
  <c r="CY107" i="8" l="1"/>
  <c r="CY117" i="8"/>
  <c r="CZ108" i="8"/>
  <c r="CZ116" i="8"/>
  <c r="DB97" i="8"/>
  <c r="DB111" i="8"/>
  <c r="DA107" i="8"/>
  <c r="DA117" i="8"/>
  <c r="EC10" i="8"/>
  <c r="CR168" i="8"/>
  <c r="CS168" i="8" s="1"/>
  <c r="CR166" i="8"/>
  <c r="CS166" i="8" s="1"/>
  <c r="CR165" i="8"/>
  <c r="CS165" i="8" s="1"/>
  <c r="CR164" i="8"/>
  <c r="CR163" i="8"/>
  <c r="CS163" i="8" s="1"/>
  <c r="CR162" i="8"/>
  <c r="CS162" i="8" s="1"/>
  <c r="CR159" i="8"/>
  <c r="CS159" i="8" s="1"/>
  <c r="CR158" i="8"/>
  <c r="CS158" i="8" s="1"/>
  <c r="CR156" i="8"/>
  <c r="CS156" i="8" s="1"/>
  <c r="CR153" i="8"/>
  <c r="CS153" i="8" s="1"/>
  <c r="CR152" i="8"/>
  <c r="CS152" i="8" s="1"/>
  <c r="CR151" i="8"/>
  <c r="CS151" i="8" s="1"/>
  <c r="CR150" i="8"/>
  <c r="CS150" i="8" s="1"/>
  <c r="CR148" i="8"/>
  <c r="CS148" i="8" s="1"/>
  <c r="CR147" i="8"/>
  <c r="CS147" i="8" s="1"/>
  <c r="CR146" i="8"/>
  <c r="CS146" i="8" s="1"/>
  <c r="CS175" i="8"/>
  <c r="CS174" i="8"/>
  <c r="CR175" i="8"/>
  <c r="CR174" i="8"/>
  <c r="CS139" i="8"/>
  <c r="CS136" i="8"/>
  <c r="CS126" i="8" s="1"/>
  <c r="CS132" i="8"/>
  <c r="CS134" i="8" s="1"/>
  <c r="EC3" i="8"/>
  <c r="CS90" i="8"/>
  <c r="CP139" i="8"/>
  <c r="CP136" i="8"/>
  <c r="CP132" i="8"/>
  <c r="CP127" i="8"/>
  <c r="CO139" i="8"/>
  <c r="CO136" i="8"/>
  <c r="CO127" i="8"/>
  <c r="CO132" i="8"/>
  <c r="CN168" i="8"/>
  <c r="CO168" i="8" s="1"/>
  <c r="CP168" i="8" s="1"/>
  <c r="CN166" i="8"/>
  <c r="CO166" i="8" s="1"/>
  <c r="CP166" i="8" s="1"/>
  <c r="CN165" i="8"/>
  <c r="CO165" i="8" s="1"/>
  <c r="CP165" i="8" s="1"/>
  <c r="CN164" i="8"/>
  <c r="CO164" i="8" s="1"/>
  <c r="CP164" i="8" s="1"/>
  <c r="CN163" i="8"/>
  <c r="CO163" i="8" s="1"/>
  <c r="CP163" i="8" s="1"/>
  <c r="CN162" i="8"/>
  <c r="CO162" i="8" s="1"/>
  <c r="CN159" i="8"/>
  <c r="CO159" i="8" s="1"/>
  <c r="CP159" i="8" s="1"/>
  <c r="CN158" i="8"/>
  <c r="CO158" i="8" s="1"/>
  <c r="CP158" i="8" s="1"/>
  <c r="CN156" i="8"/>
  <c r="CO156" i="8" s="1"/>
  <c r="CN153" i="8"/>
  <c r="CO153" i="8" s="1"/>
  <c r="CP153" i="8" s="1"/>
  <c r="CN152" i="8"/>
  <c r="CO152" i="8" s="1"/>
  <c r="CP152" i="8" s="1"/>
  <c r="CN151" i="8"/>
  <c r="CO151" i="8" s="1"/>
  <c r="CP151" i="8" s="1"/>
  <c r="CN150" i="8"/>
  <c r="CO150" i="8" s="1"/>
  <c r="CP150" i="8" s="1"/>
  <c r="CN148" i="8"/>
  <c r="CO148" i="8" s="1"/>
  <c r="CP148" i="8" s="1"/>
  <c r="CN147" i="8"/>
  <c r="CO147" i="8" s="1"/>
  <c r="CP147" i="8" s="1"/>
  <c r="CN146" i="8"/>
  <c r="CO146" i="8" s="1"/>
  <c r="CP146" i="8" s="1"/>
  <c r="CN139" i="8"/>
  <c r="CN136" i="8"/>
  <c r="CN132" i="8"/>
  <c r="CN127" i="8"/>
  <c r="CM167" i="8"/>
  <c r="CM157" i="8"/>
  <c r="CN157" i="8" s="1"/>
  <c r="CO157" i="8" s="1"/>
  <c r="CP157" i="8" s="1"/>
  <c r="CM149" i="8"/>
  <c r="CN149" i="8" s="1"/>
  <c r="CM90" i="8"/>
  <c r="CM91" i="8" s="1"/>
  <c r="CR141" i="8"/>
  <c r="CR136" i="8"/>
  <c r="CR143" i="8" s="1"/>
  <c r="CR132" i="8"/>
  <c r="CR127" i="8"/>
  <c r="CR90" i="8"/>
  <c r="CQ175" i="8"/>
  <c r="CQ174" i="8"/>
  <c r="CQ167" i="8"/>
  <c r="CQ157" i="8"/>
  <c r="CQ160" i="8" s="1"/>
  <c r="CQ149" i="8"/>
  <c r="CQ154" i="8" s="1"/>
  <c r="CQ136" i="8"/>
  <c r="CQ139" i="8"/>
  <c r="CQ132" i="8"/>
  <c r="CQ127" i="8"/>
  <c r="CT96" i="8"/>
  <c r="CS96" i="8"/>
  <c r="CR96" i="8"/>
  <c r="CT123" i="8"/>
  <c r="CS123" i="8"/>
  <c r="CN95" i="8"/>
  <c r="CP95" i="8"/>
  <c r="CQ96" i="8"/>
  <c r="CR123" i="8"/>
  <c r="CQ123" i="8"/>
  <c r="CQ90" i="8"/>
  <c r="CQ91" i="8" s="1"/>
  <c r="CP90" i="8"/>
  <c r="CO90" i="8"/>
  <c r="CN90" i="8"/>
  <c r="CN91" i="8" s="1"/>
  <c r="EB34" i="8"/>
  <c r="EB33" i="8"/>
  <c r="EC33" i="8" s="1"/>
  <c r="EE33" i="8" s="1"/>
  <c r="EF33" i="8" s="1"/>
  <c r="EG33" i="8" s="1"/>
  <c r="EH33" i="8" s="1"/>
  <c r="EI33" i="8" s="1"/>
  <c r="EJ33" i="8" s="1"/>
  <c r="EK33" i="8" s="1"/>
  <c r="EL33" i="8" s="1"/>
  <c r="EM33" i="8" s="1"/>
  <c r="EN33" i="8" s="1"/>
  <c r="CS122" i="8"/>
  <c r="CR122" i="8"/>
  <c r="CQ122" i="8"/>
  <c r="DZ109" i="8"/>
  <c r="DZ106" i="8"/>
  <c r="EA99" i="8"/>
  <c r="DZ99" i="8"/>
  <c r="EA95" i="8"/>
  <c r="DZ95" i="8"/>
  <c r="EA94" i="8"/>
  <c r="DZ94" i="8"/>
  <c r="EA92" i="8"/>
  <c r="DZ92" i="8"/>
  <c r="CM139" i="8"/>
  <c r="CM136" i="8"/>
  <c r="CM127" i="8"/>
  <c r="CM132" i="8"/>
  <c r="CL126" i="8"/>
  <c r="CK126" i="8"/>
  <c r="EA109" i="8"/>
  <c r="EI35" i="8"/>
  <c r="EJ35" i="8" s="1"/>
  <c r="EK35" i="8" s="1"/>
  <c r="EL35" i="8" s="1"/>
  <c r="EM35" i="8" s="1"/>
  <c r="EN35" i="8" s="1"/>
  <c r="CM123" i="8"/>
  <c r="CM175" i="8"/>
  <c r="CM174" i="8"/>
  <c r="CM122" i="8"/>
  <c r="CM96" i="8"/>
  <c r="CL90" i="8"/>
  <c r="CK90" i="8"/>
  <c r="CJ90" i="8"/>
  <c r="CJ91" i="8" s="1"/>
  <c r="CJ93" i="8" s="1"/>
  <c r="CJ111" i="8" s="1"/>
  <c r="CI90" i="8"/>
  <c r="CI91" i="8" s="1"/>
  <c r="CI112" i="8" s="1"/>
  <c r="EA18" i="8"/>
  <c r="EA7" i="8"/>
  <c r="DP82" i="8"/>
  <c r="DP81" i="8"/>
  <c r="DP78" i="8"/>
  <c r="DP74" i="8"/>
  <c r="DP73" i="8"/>
  <c r="DP72" i="8"/>
  <c r="DP69" i="8"/>
  <c r="DP68" i="8"/>
  <c r="DP67" i="8"/>
  <c r="DP65" i="8"/>
  <c r="DP64" i="8"/>
  <c r="DP63" i="8"/>
  <c r="DP62" i="8"/>
  <c r="DP61" i="8"/>
  <c r="DP60" i="8"/>
  <c r="DP59" i="8"/>
  <c r="DP32" i="8"/>
  <c r="DP41" i="8"/>
  <c r="DP40" i="8"/>
  <c r="DP39" i="8"/>
  <c r="DP38" i="8"/>
  <c r="DP29" i="8"/>
  <c r="DP36" i="8"/>
  <c r="DP27" i="8"/>
  <c r="DP47" i="8"/>
  <c r="DP46" i="8"/>
  <c r="DP45" i="8"/>
  <c r="DP43" i="8"/>
  <c r="DP53" i="8"/>
  <c r="DP52" i="8"/>
  <c r="DP51" i="8"/>
  <c r="DP50" i="8"/>
  <c r="DP48" i="8"/>
  <c r="DP20" i="8"/>
  <c r="DP42" i="8"/>
  <c r="DP49" i="8"/>
  <c r="DP19" i="8"/>
  <c r="DP58" i="8"/>
  <c r="DP16" i="8"/>
  <c r="DP55" i="8"/>
  <c r="DP54" i="8"/>
  <c r="DP26" i="8"/>
  <c r="DP15" i="8"/>
  <c r="DP14" i="8"/>
  <c r="DP12" i="8"/>
  <c r="DP11" i="8"/>
  <c r="DQ82" i="8"/>
  <c r="DQ81" i="8"/>
  <c r="DQ74" i="8"/>
  <c r="DQ72" i="8"/>
  <c r="DQ69" i="8"/>
  <c r="DQ68" i="8"/>
  <c r="DQ67" i="8"/>
  <c r="DQ66" i="8"/>
  <c r="DQ65" i="8"/>
  <c r="DQ62" i="8"/>
  <c r="DQ61" i="8"/>
  <c r="DQ60" i="8"/>
  <c r="DQ59" i="8"/>
  <c r="DQ32" i="8"/>
  <c r="DQ41" i="8"/>
  <c r="DQ40" i="8"/>
  <c r="DQ39" i="8"/>
  <c r="DQ38" i="8"/>
  <c r="DQ29" i="8"/>
  <c r="DQ36" i="8"/>
  <c r="DQ27" i="8"/>
  <c r="DQ47" i="8"/>
  <c r="DQ46" i="8"/>
  <c r="DQ45" i="8"/>
  <c r="DQ43" i="8"/>
  <c r="DQ53" i="8"/>
  <c r="DQ52" i="8"/>
  <c r="DQ51" i="8"/>
  <c r="DQ50" i="8"/>
  <c r="DQ48" i="8"/>
  <c r="DQ20" i="8"/>
  <c r="DQ42" i="8"/>
  <c r="DQ49" i="8"/>
  <c r="DQ19" i="8"/>
  <c r="DQ58" i="8"/>
  <c r="DQ57" i="8"/>
  <c r="DQ16" i="8"/>
  <c r="DQ55" i="8"/>
  <c r="DQ54" i="8"/>
  <c r="DQ26" i="8"/>
  <c r="DQ15" i="8"/>
  <c r="DQ14" i="8"/>
  <c r="DQ12" i="8"/>
  <c r="DQ11" i="8"/>
  <c r="DQ10" i="8"/>
  <c r="AI90" i="8"/>
  <c r="AI91" i="8" s="1"/>
  <c r="AK91" i="8"/>
  <c r="AJ91" i="8"/>
  <c r="AQ90" i="8"/>
  <c r="AQ91" i="8" s="1"/>
  <c r="DS82" i="8"/>
  <c r="DR82" i="8"/>
  <c r="DS81" i="8"/>
  <c r="DR81" i="8"/>
  <c r="DS66" i="8"/>
  <c r="DR66" i="8"/>
  <c r="DS60" i="8"/>
  <c r="DR60" i="8"/>
  <c r="DS59" i="8"/>
  <c r="DR59" i="8"/>
  <c r="DS32" i="8"/>
  <c r="DR32" i="8"/>
  <c r="DS41" i="8"/>
  <c r="DR41" i="8"/>
  <c r="DS40" i="8"/>
  <c r="DR40" i="8"/>
  <c r="DS39" i="8"/>
  <c r="DR39" i="8"/>
  <c r="DS38" i="8"/>
  <c r="DR38" i="8"/>
  <c r="DS29" i="8"/>
  <c r="DR29" i="8"/>
  <c r="DS36" i="8"/>
  <c r="DR36" i="8"/>
  <c r="DS27" i="8"/>
  <c r="DR27" i="8"/>
  <c r="DS47" i="8"/>
  <c r="DR47" i="8"/>
  <c r="DS46" i="8"/>
  <c r="DR46" i="8"/>
  <c r="DS45" i="8"/>
  <c r="DR45" i="8"/>
  <c r="DS43" i="8"/>
  <c r="DR43" i="8"/>
  <c r="DS53" i="8"/>
  <c r="DR53" i="8"/>
  <c r="DS52" i="8"/>
  <c r="DR52" i="8"/>
  <c r="DS51" i="8"/>
  <c r="DR51" i="8"/>
  <c r="DS50" i="8"/>
  <c r="DR50" i="8"/>
  <c r="DS48" i="8"/>
  <c r="DR48" i="8"/>
  <c r="DS20" i="8"/>
  <c r="DR20" i="8"/>
  <c r="DS42" i="8"/>
  <c r="DR42" i="8"/>
  <c r="DS49" i="8"/>
  <c r="DR49" i="8"/>
  <c r="DS19" i="8"/>
  <c r="DR19" i="8"/>
  <c r="DS58" i="8"/>
  <c r="DR58" i="8"/>
  <c r="DS57" i="8"/>
  <c r="DR57" i="8"/>
  <c r="DS16" i="8"/>
  <c r="DR16" i="8"/>
  <c r="DS55" i="8"/>
  <c r="DR55" i="8"/>
  <c r="DS54" i="8"/>
  <c r="DR54" i="8"/>
  <c r="DS26" i="8"/>
  <c r="DR26" i="8"/>
  <c r="DS15" i="8"/>
  <c r="DR15" i="8"/>
  <c r="DS14" i="8"/>
  <c r="DR14" i="8"/>
  <c r="DS12" i="8"/>
  <c r="DR12" i="8"/>
  <c r="DS11" i="8"/>
  <c r="DR11" i="8"/>
  <c r="DS10" i="8"/>
  <c r="DR10" i="8"/>
  <c r="DS3" i="8"/>
  <c r="BB90" i="8"/>
  <c r="BB91" i="8" s="1"/>
  <c r="BA90" i="8"/>
  <c r="BA91" i="8" s="1"/>
  <c r="AZ90" i="8"/>
  <c r="AZ91" i="8" s="1"/>
  <c r="AY90" i="8"/>
  <c r="BF90" i="8"/>
  <c r="BF91" i="8" s="1"/>
  <c r="BE90" i="8"/>
  <c r="BE91" i="8" s="1"/>
  <c r="BD90" i="8"/>
  <c r="BD91" i="8" s="1"/>
  <c r="BC90" i="8"/>
  <c r="BC91" i="8" s="1"/>
  <c r="DU81" i="8"/>
  <c r="DT81" i="8"/>
  <c r="DU66" i="8"/>
  <c r="DT66" i="8"/>
  <c r="DU32" i="8"/>
  <c r="DT32" i="8"/>
  <c r="DU39" i="8"/>
  <c r="DT39" i="8"/>
  <c r="DU38" i="8"/>
  <c r="DT38" i="8"/>
  <c r="DU37" i="8"/>
  <c r="DU29" i="8"/>
  <c r="DT29" i="8"/>
  <c r="DU27" i="8"/>
  <c r="DT27" i="8"/>
  <c r="DU47" i="8"/>
  <c r="DT47" i="8"/>
  <c r="DU46" i="8"/>
  <c r="DT46" i="8"/>
  <c r="DU45" i="8"/>
  <c r="DT45" i="8"/>
  <c r="DU44" i="8"/>
  <c r="DT44" i="8"/>
  <c r="DU53" i="8"/>
  <c r="DT53" i="8"/>
  <c r="DU52" i="8"/>
  <c r="DT52" i="8"/>
  <c r="DU51" i="8"/>
  <c r="DT51" i="8"/>
  <c r="DU50" i="8"/>
  <c r="DT50" i="8"/>
  <c r="DU48" i="8"/>
  <c r="DT48" i="8"/>
  <c r="DU20" i="8"/>
  <c r="DT20" i="8"/>
  <c r="DU42" i="8"/>
  <c r="DT42" i="8"/>
  <c r="DU49" i="8"/>
  <c r="DT49" i="8"/>
  <c r="DU19" i="8"/>
  <c r="DT19" i="8"/>
  <c r="DU58" i="8"/>
  <c r="DT58" i="8"/>
  <c r="DU57" i="8"/>
  <c r="DT57" i="8"/>
  <c r="DU16" i="8"/>
  <c r="DT16" i="8"/>
  <c r="DU55" i="8"/>
  <c r="DT55" i="8"/>
  <c r="DU54" i="8"/>
  <c r="DT54" i="8"/>
  <c r="DU26" i="8"/>
  <c r="DT26" i="8"/>
  <c r="DU15" i="8"/>
  <c r="DT15" i="8"/>
  <c r="DU14" i="8"/>
  <c r="DT14" i="8"/>
  <c r="DU12" i="8"/>
  <c r="DT12" i="8"/>
  <c r="DU11" i="8"/>
  <c r="DT11" i="8"/>
  <c r="DU10" i="8"/>
  <c r="DT10" i="8"/>
  <c r="DU3" i="8"/>
  <c r="DT3" i="8"/>
  <c r="BN90" i="8"/>
  <c r="BN91" i="8" s="1"/>
  <c r="BM90" i="8"/>
  <c r="BM91" i="8" s="1"/>
  <c r="BL90" i="8"/>
  <c r="BL91" i="8" s="1"/>
  <c r="BK90" i="8"/>
  <c r="BK91" i="8" s="1"/>
  <c r="BJ90" i="8"/>
  <c r="BJ91" i="8" s="1"/>
  <c r="BI90" i="8"/>
  <c r="BI91" i="8" s="1"/>
  <c r="BH90" i="8"/>
  <c r="BH91" i="8" s="1"/>
  <c r="BG90" i="8"/>
  <c r="DW81" i="8"/>
  <c r="DV81" i="8"/>
  <c r="DW66" i="8"/>
  <c r="DV66" i="8"/>
  <c r="DW32" i="8"/>
  <c r="DV32" i="8"/>
  <c r="DW38" i="8"/>
  <c r="DV38" i="8"/>
  <c r="DW37" i="8"/>
  <c r="DV37" i="8"/>
  <c r="DW31" i="8"/>
  <c r="DV31" i="8"/>
  <c r="DW29" i="8"/>
  <c r="DV29" i="8"/>
  <c r="DW27" i="8"/>
  <c r="DV27" i="8"/>
  <c r="DW47" i="8"/>
  <c r="DV47" i="8"/>
  <c r="DW46" i="8"/>
  <c r="DV46" i="8"/>
  <c r="DW45" i="8"/>
  <c r="DV45" i="8"/>
  <c r="DW44" i="8"/>
  <c r="DV44" i="8"/>
  <c r="DW53" i="8"/>
  <c r="DV53" i="8"/>
  <c r="DW52" i="8"/>
  <c r="DV52" i="8"/>
  <c r="DW51" i="8"/>
  <c r="DV51" i="8"/>
  <c r="DW50" i="8"/>
  <c r="DV50" i="8"/>
  <c r="DW48" i="8"/>
  <c r="DV48" i="8"/>
  <c r="DW20" i="8"/>
  <c r="DV20" i="8"/>
  <c r="DW42" i="8"/>
  <c r="DV42" i="8"/>
  <c r="DW49" i="8"/>
  <c r="DV49" i="8"/>
  <c r="DW19" i="8"/>
  <c r="DV19" i="8"/>
  <c r="DW58" i="8"/>
  <c r="DV58" i="8"/>
  <c r="DW57" i="8"/>
  <c r="DV57" i="8"/>
  <c r="DW17" i="8"/>
  <c r="DV17" i="8"/>
  <c r="DW16" i="8"/>
  <c r="DV16" i="8"/>
  <c r="DW56" i="8"/>
  <c r="DV56" i="8"/>
  <c r="DW55" i="8"/>
  <c r="DV55" i="8"/>
  <c r="DW54" i="8"/>
  <c r="DV54" i="8"/>
  <c r="DW26" i="8"/>
  <c r="DV26" i="8"/>
  <c r="DW15" i="8"/>
  <c r="DV15" i="8"/>
  <c r="DW14" i="8"/>
  <c r="DV14" i="8"/>
  <c r="DW12" i="8"/>
  <c r="DV12" i="8"/>
  <c r="DW11" i="8"/>
  <c r="DV11" i="8"/>
  <c r="DW10" i="8"/>
  <c r="DV10" i="8"/>
  <c r="DW5" i="8"/>
  <c r="DW4" i="8"/>
  <c r="DV4" i="8"/>
  <c r="DW3" i="8"/>
  <c r="DV3" i="8"/>
  <c r="BV90" i="8"/>
  <c r="BV91" i="8" s="1"/>
  <c r="BU90" i="8"/>
  <c r="BU91" i="8" s="1"/>
  <c r="BT90" i="8"/>
  <c r="BT91" i="8" s="1"/>
  <c r="BS90" i="8"/>
  <c r="BR90" i="8"/>
  <c r="BR91" i="8" s="1"/>
  <c r="BQ90" i="8"/>
  <c r="BQ91" i="8" s="1"/>
  <c r="BP90" i="8"/>
  <c r="BP91" i="8" s="1"/>
  <c r="BO90" i="8"/>
  <c r="EA81" i="8"/>
  <c r="DZ81" i="8"/>
  <c r="DY81" i="8"/>
  <c r="DX81" i="8"/>
  <c r="DY66" i="8"/>
  <c r="DX66" i="8"/>
  <c r="EA32" i="8"/>
  <c r="DZ32" i="8"/>
  <c r="DY32" i="8"/>
  <c r="DX32" i="8"/>
  <c r="DY37" i="8"/>
  <c r="DX37" i="8"/>
  <c r="EA31" i="8"/>
  <c r="DZ31" i="8"/>
  <c r="DY31" i="8"/>
  <c r="DX31" i="8"/>
  <c r="EA30" i="8"/>
  <c r="DZ30" i="8"/>
  <c r="DY30" i="8"/>
  <c r="DX30" i="8"/>
  <c r="EA29" i="8"/>
  <c r="DZ29" i="8"/>
  <c r="DY29" i="8"/>
  <c r="DX29" i="8"/>
  <c r="EA28" i="8"/>
  <c r="DZ28" i="8"/>
  <c r="DY28" i="8"/>
  <c r="DX28" i="8"/>
  <c r="EA27" i="8"/>
  <c r="DZ27" i="8"/>
  <c r="DY27" i="8"/>
  <c r="DX27" i="8"/>
  <c r="DY46" i="8"/>
  <c r="DX46" i="8"/>
  <c r="DY45" i="8"/>
  <c r="DX45" i="8"/>
  <c r="EA9" i="8"/>
  <c r="DZ9" i="8"/>
  <c r="EA6" i="8"/>
  <c r="DZ6" i="8"/>
  <c r="EA5" i="8"/>
  <c r="DZ5" i="8"/>
  <c r="DY5" i="8"/>
  <c r="DX5" i="8"/>
  <c r="EA4" i="8"/>
  <c r="DZ4" i="8"/>
  <c r="DY4" i="8"/>
  <c r="DX4" i="8"/>
  <c r="EA3" i="8"/>
  <c r="DZ3" i="8"/>
  <c r="DY3" i="8"/>
  <c r="DX3" i="8"/>
  <c r="DY44" i="8"/>
  <c r="DX44" i="8"/>
  <c r="EA23" i="8"/>
  <c r="DZ23" i="8"/>
  <c r="DY23" i="8"/>
  <c r="DX23" i="8"/>
  <c r="EA22" i="8"/>
  <c r="DZ22" i="8"/>
  <c r="EA53" i="8"/>
  <c r="DZ53" i="8"/>
  <c r="DY53" i="8"/>
  <c r="DX53" i="8"/>
  <c r="DY52" i="8"/>
  <c r="DX52" i="8"/>
  <c r="DY50" i="8"/>
  <c r="DX50" i="8"/>
  <c r="EA21" i="8"/>
  <c r="DZ21" i="8"/>
  <c r="DY21" i="8"/>
  <c r="DX21" i="8"/>
  <c r="EA20" i="8"/>
  <c r="DZ20" i="8"/>
  <c r="DY20" i="8"/>
  <c r="DX20" i="8"/>
  <c r="EA42" i="8"/>
  <c r="DZ42" i="8"/>
  <c r="DY42" i="8"/>
  <c r="DX42" i="8"/>
  <c r="DY49" i="8"/>
  <c r="DX49" i="8"/>
  <c r="EA19" i="8"/>
  <c r="DZ19" i="8"/>
  <c r="DY19" i="8"/>
  <c r="DX19" i="8"/>
  <c r="DY58" i="8"/>
  <c r="DX58" i="8"/>
  <c r="DY57" i="8"/>
  <c r="DX57" i="8"/>
  <c r="EA17" i="8"/>
  <c r="DZ17" i="8"/>
  <c r="DY17" i="8"/>
  <c r="DX17" i="8"/>
  <c r="EA16" i="8"/>
  <c r="DZ16" i="8"/>
  <c r="DY16" i="8"/>
  <c r="DX16" i="8"/>
  <c r="DY56" i="8"/>
  <c r="DX56" i="8"/>
  <c r="DY55" i="8"/>
  <c r="DX55" i="8"/>
  <c r="DY54" i="8"/>
  <c r="DX54" i="8"/>
  <c r="EA26" i="8"/>
  <c r="DZ26" i="8"/>
  <c r="DY26" i="8"/>
  <c r="DX26" i="8"/>
  <c r="EA15" i="8"/>
  <c r="DZ15" i="8"/>
  <c r="DY15" i="8"/>
  <c r="DX15" i="8"/>
  <c r="EA14" i="8"/>
  <c r="DZ14" i="8"/>
  <c r="DY14" i="8"/>
  <c r="DX14" i="8"/>
  <c r="EA12" i="8"/>
  <c r="DZ12" i="8"/>
  <c r="DY12" i="8"/>
  <c r="DX12" i="8"/>
  <c r="EA11" i="8"/>
  <c r="DZ11" i="8"/>
  <c r="DY11" i="8"/>
  <c r="DX11" i="8"/>
  <c r="EA10" i="8"/>
  <c r="DZ10" i="8"/>
  <c r="DY10" i="8"/>
  <c r="DX10" i="8"/>
  <c r="CJ139" i="8"/>
  <c r="CJ136" i="8"/>
  <c r="CJ132" i="8"/>
  <c r="CJ127" i="8"/>
  <c r="CK106" i="8"/>
  <c r="EA106" i="8" s="1"/>
  <c r="CC90" i="8"/>
  <c r="CC91" i="8" s="1"/>
  <c r="CC96" i="8"/>
  <c r="CG96" i="8"/>
  <c r="CJ175" i="8"/>
  <c r="CI175" i="8"/>
  <c r="CH175" i="8"/>
  <c r="CG175" i="8"/>
  <c r="CF175" i="8"/>
  <c r="CE175" i="8"/>
  <c r="CD175" i="8"/>
  <c r="CC175" i="8"/>
  <c r="CB175" i="8"/>
  <c r="CA175" i="8"/>
  <c r="CI174" i="8"/>
  <c r="CH174" i="8"/>
  <c r="CG174" i="8"/>
  <c r="CF174" i="8"/>
  <c r="CE174" i="8"/>
  <c r="CD174" i="8"/>
  <c r="CC174" i="8"/>
  <c r="CB174" i="8"/>
  <c r="CA174" i="8"/>
  <c r="CJ174" i="8"/>
  <c r="CP175" i="8"/>
  <c r="CK174" i="8"/>
  <c r="CN123" i="8"/>
  <c r="CP123" i="8"/>
  <c r="CK123" i="8"/>
  <c r="CI123" i="8"/>
  <c r="CH123" i="8"/>
  <c r="CG123" i="8"/>
  <c r="CF123" i="8"/>
  <c r="CE123" i="8"/>
  <c r="CD123" i="8"/>
  <c r="CC123" i="8"/>
  <c r="CB123" i="8"/>
  <c r="CA123" i="8"/>
  <c r="CJ123" i="8"/>
  <c r="CA122" i="8"/>
  <c r="CH122" i="8"/>
  <c r="CG122" i="8"/>
  <c r="CF122" i="8"/>
  <c r="CE122" i="8"/>
  <c r="CD122" i="8"/>
  <c r="CC122" i="8"/>
  <c r="CB122" i="8"/>
  <c r="CJ122" i="8"/>
  <c r="CD96" i="8"/>
  <c r="CH96" i="8"/>
  <c r="CE96" i="8"/>
  <c r="CI96" i="8"/>
  <c r="CF96" i="8"/>
  <c r="CJ96" i="8"/>
  <c r="DF91" i="8"/>
  <c r="CP122" i="8"/>
  <c r="CO122" i="8"/>
  <c r="CN122" i="8"/>
  <c r="CD90" i="8"/>
  <c r="CD91" i="8" s="1"/>
  <c r="CD93" i="8" s="1"/>
  <c r="CD111" i="8" s="1"/>
  <c r="CB90" i="8"/>
  <c r="CB91" i="8" s="1"/>
  <c r="CA90" i="8"/>
  <c r="CA91" i="8" s="1"/>
  <c r="BZ90" i="8"/>
  <c r="BZ91" i="8" s="1"/>
  <c r="BY90" i="8"/>
  <c r="BY91" i="8" s="1"/>
  <c r="BX90" i="8"/>
  <c r="BX91" i="8" s="1"/>
  <c r="BW90" i="8"/>
  <c r="BW91" i="8" s="1"/>
  <c r="CI122" i="8"/>
  <c r="CH90" i="8"/>
  <c r="CH91" i="8" s="1"/>
  <c r="CH93" i="8" s="1"/>
  <c r="CH111" i="8" s="1"/>
  <c r="CG90" i="8"/>
  <c r="CG91" i="8" s="1"/>
  <c r="CG93" i="8" s="1"/>
  <c r="CG111" i="8" s="1"/>
  <c r="CF90" i="8"/>
  <c r="CF91" i="8" s="1"/>
  <c r="CF93" i="8" s="1"/>
  <c r="CF111" i="8" s="1"/>
  <c r="CE90" i="8"/>
  <c r="CE91" i="8" s="1"/>
  <c r="CE93" i="8" s="1"/>
  <c r="CE111" i="8" s="1"/>
  <c r="AK16" i="30"/>
  <c r="AL16" i="30"/>
  <c r="AK19" i="30"/>
  <c r="AK20" i="30"/>
  <c r="AJ19" i="30"/>
  <c r="AJ20" i="30"/>
  <c r="AI19" i="30"/>
  <c r="AI20" i="30"/>
  <c r="AL15" i="30"/>
  <c r="AM15" i="30"/>
  <c r="AN15" i="30"/>
  <c r="AO15" i="30"/>
  <c r="AP15" i="30"/>
  <c r="AQ15" i="30"/>
  <c r="AR15" i="30"/>
  <c r="AS15" i="30"/>
  <c r="AT15" i="30"/>
  <c r="AU15" i="30"/>
  <c r="AK17" i="30"/>
  <c r="AJ17" i="30"/>
  <c r="AI16" i="30"/>
  <c r="AJ16" i="30"/>
  <c r="AX90" i="8"/>
  <c r="AX91" i="8" s="1"/>
  <c r="AW90" i="8"/>
  <c r="AW91" i="8" s="1"/>
  <c r="AV90" i="8"/>
  <c r="AV91" i="8" s="1"/>
  <c r="AU90" i="8"/>
  <c r="AT90" i="8"/>
  <c r="AT91" i="8" s="1"/>
  <c r="AS90" i="8"/>
  <c r="AS91" i="8" s="1"/>
  <c r="AR90" i="8"/>
  <c r="AR91" i="8" s="1"/>
  <c r="J4" i="2"/>
  <c r="AQ104" i="8"/>
  <c r="AQ96" i="8"/>
  <c r="DO74" i="8"/>
  <c r="AT95" i="8"/>
  <c r="AS95" i="8"/>
  <c r="AR95" i="8"/>
  <c r="AQ124" i="8"/>
  <c r="AP124" i="8"/>
  <c r="AO124" i="8"/>
  <c r="AN124" i="8"/>
  <c r="AM124" i="8"/>
  <c r="AK124" i="8"/>
  <c r="AJ124" i="8"/>
  <c r="AI124" i="8"/>
  <c r="AG124" i="8"/>
  <c r="AF124" i="8"/>
  <c r="AE124" i="8"/>
  <c r="AT124" i="8"/>
  <c r="AS124" i="8"/>
  <c r="AR124" i="8"/>
  <c r="AT123" i="8"/>
  <c r="AS123" i="8"/>
  <c r="AR123" i="8"/>
  <c r="AQ123" i="8"/>
  <c r="AP123" i="8"/>
  <c r="AO123" i="8"/>
  <c r="AN123" i="8"/>
  <c r="AM123" i="8"/>
  <c r="AK123" i="8"/>
  <c r="AJ123" i="8"/>
  <c r="AI123" i="8"/>
  <c r="AG123" i="8"/>
  <c r="AF123" i="8"/>
  <c r="AE123" i="8"/>
  <c r="AD123" i="8"/>
  <c r="AQ175" i="8"/>
  <c r="AP175" i="8"/>
  <c r="AO175" i="8"/>
  <c r="AN175" i="8"/>
  <c r="AM175" i="8"/>
  <c r="AK175" i="8"/>
  <c r="AJ175" i="8"/>
  <c r="AI175" i="8"/>
  <c r="AG175" i="8"/>
  <c r="AF175" i="8"/>
  <c r="AR178" i="8"/>
  <c r="AR177" i="8"/>
  <c r="AQ177" i="8"/>
  <c r="AP178" i="8"/>
  <c r="AO178" i="8"/>
  <c r="AN178" i="8"/>
  <c r="AK178" i="8"/>
  <c r="AJ178" i="8"/>
  <c r="AI178" i="8"/>
  <c r="AG178" i="8"/>
  <c r="AF178" i="8"/>
  <c r="AE178" i="8"/>
  <c r="AD178" i="8"/>
  <c r="AP177" i="8"/>
  <c r="AO177" i="8"/>
  <c r="AN177" i="8"/>
  <c r="AM177" i="8"/>
  <c r="AK177" i="8"/>
  <c r="AJ177" i="8"/>
  <c r="AI177" i="8"/>
  <c r="AG177" i="8"/>
  <c r="AF177" i="8"/>
  <c r="AE177" i="8"/>
  <c r="AD177" i="8"/>
  <c r="AT176" i="8"/>
  <c r="AS176" i="8"/>
  <c r="AR176" i="8"/>
  <c r="AQ176" i="8"/>
  <c r="AP176" i="8"/>
  <c r="AO176" i="8"/>
  <c r="AN176" i="8"/>
  <c r="AM176" i="8"/>
  <c r="AL176" i="8"/>
  <c r="AK176" i="8"/>
  <c r="AJ176" i="8"/>
  <c r="AI176" i="8"/>
  <c r="AH176" i="8"/>
  <c r="AS174" i="8"/>
  <c r="AR174" i="8"/>
  <c r="AT175" i="8"/>
  <c r="AS175" i="8"/>
  <c r="AR175" i="8"/>
  <c r="AP174" i="8"/>
  <c r="DP104" i="8"/>
  <c r="DO78" i="8"/>
  <c r="DO55" i="8"/>
  <c r="DO58" i="8"/>
  <c r="DO26" i="8"/>
  <c r="DO95" i="8"/>
  <c r="DO94" i="8"/>
  <c r="AO106" i="8"/>
  <c r="AO104" i="8"/>
  <c r="AO96" i="8"/>
  <c r="AO90" i="8"/>
  <c r="AO91" i="8" s="1"/>
  <c r="AP106" i="8"/>
  <c r="AP104" i="8"/>
  <c r="AP96" i="8"/>
  <c r="AP90" i="8"/>
  <c r="AP91" i="8" s="1"/>
  <c r="AN106" i="8"/>
  <c r="AN104" i="8"/>
  <c r="AN90" i="8"/>
  <c r="AN91" i="8" s="1"/>
  <c r="AH106" i="8"/>
  <c r="AH104" i="8"/>
  <c r="AL106" i="8"/>
  <c r="AL90" i="8"/>
  <c r="AL104" i="8"/>
  <c r="AL96" i="8"/>
  <c r="AO174" i="8"/>
  <c r="AN174" i="8"/>
  <c r="AE174" i="8"/>
  <c r="AD174" i="8"/>
  <c r="AK174" i="8"/>
  <c r="AJ174" i="8"/>
  <c r="AI174" i="8"/>
  <c r="AG174" i="8"/>
  <c r="AF174" i="8"/>
  <c r="AM174" i="8"/>
  <c r="AM54" i="8"/>
  <c r="AM72" i="8"/>
  <c r="DO72" i="8" s="1"/>
  <c r="DO50" i="8"/>
  <c r="AM59" i="8"/>
  <c r="DO59" i="8" s="1"/>
  <c r="AM41" i="8"/>
  <c r="DO41" i="8" s="1"/>
  <c r="AM51" i="8"/>
  <c r="DO51" i="8" s="1"/>
  <c r="AM57" i="8"/>
  <c r="DO57" i="8" s="1"/>
  <c r="DP57" i="8" s="1"/>
  <c r="AM66" i="8"/>
  <c r="DO66" i="8" s="1"/>
  <c r="DO43" i="8"/>
  <c r="AM106" i="8"/>
  <c r="DO49" i="8"/>
  <c r="DN14" i="8"/>
  <c r="DN51" i="8"/>
  <c r="AN96" i="8"/>
  <c r="AM96" i="8"/>
  <c r="AM90" i="8"/>
  <c r="DO81" i="8"/>
  <c r="DO29" i="8"/>
  <c r="AL19" i="8"/>
  <c r="DN19" i="8" s="1"/>
  <c r="DO19" i="8"/>
  <c r="DO60" i="8"/>
  <c r="DO62" i="8"/>
  <c r="DN66" i="8"/>
  <c r="DO67" i="8"/>
  <c r="F26" i="26"/>
  <c r="L26" i="26"/>
  <c r="F25" i="26"/>
  <c r="L25" i="26"/>
  <c r="F24" i="26"/>
  <c r="L24" i="26"/>
  <c r="F23" i="26"/>
  <c r="L23" i="26"/>
  <c r="F22" i="26"/>
  <c r="L22" i="26"/>
  <c r="F21" i="26"/>
  <c r="L21" i="26"/>
  <c r="F20" i="26"/>
  <c r="L20" i="26"/>
  <c r="F19" i="26"/>
  <c r="L19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DG91" i="8"/>
  <c r="DN68" i="8"/>
  <c r="DN65" i="8"/>
  <c r="DN50" i="8"/>
  <c r="DN39" i="8"/>
  <c r="DN29" i="8"/>
  <c r="DN36" i="8"/>
  <c r="DN55" i="8"/>
  <c r="DM66" i="8"/>
  <c r="AI95" i="8"/>
  <c r="AI94" i="8"/>
  <c r="AI92" i="8"/>
  <c r="AI106" i="8"/>
  <c r="AA90" i="8"/>
  <c r="AB90" i="8"/>
  <c r="AB91" i="8" s="1"/>
  <c r="AB112" i="8" s="1"/>
  <c r="AC90" i="8"/>
  <c r="AC91" i="8" s="1"/>
  <c r="AE90" i="8"/>
  <c r="AE91" i="8" s="1"/>
  <c r="AF90" i="8"/>
  <c r="AF91" i="8" s="1"/>
  <c r="AG90" i="8"/>
  <c r="AG91" i="8" s="1"/>
  <c r="AJ106" i="8"/>
  <c r="AJ95" i="8"/>
  <c r="AJ94" i="8"/>
  <c r="AJ92" i="8"/>
  <c r="C33" i="4"/>
  <c r="C34" i="4"/>
  <c r="C35" i="4"/>
  <c r="C31" i="4"/>
  <c r="AG104" i="8"/>
  <c r="AG96" i="8"/>
  <c r="AL174" i="8"/>
  <c r="AH55" i="8"/>
  <c r="AH177" i="8" s="1"/>
  <c r="AH51" i="8"/>
  <c r="DM51" i="8" s="1"/>
  <c r="AH58" i="8"/>
  <c r="DM79" i="8"/>
  <c r="AH65" i="8"/>
  <c r="DM65" i="8" s="1"/>
  <c r="DM48" i="8"/>
  <c r="DM54" i="8"/>
  <c r="AH10" i="8"/>
  <c r="AL123" i="8" s="1"/>
  <c r="AH16" i="8"/>
  <c r="AH14" i="8"/>
  <c r="DM14" i="8" s="1"/>
  <c r="AH19" i="8"/>
  <c r="DM19" i="8" s="1"/>
  <c r="AH76" i="8"/>
  <c r="DM76" i="8" s="1"/>
  <c r="AH75" i="8"/>
  <c r="DM75" i="8" s="1"/>
  <c r="AH50" i="8"/>
  <c r="DM50" i="8" s="1"/>
  <c r="AH42" i="8"/>
  <c r="DM42" i="8" s="1"/>
  <c r="AH36" i="8"/>
  <c r="DM36" i="8" s="1"/>
  <c r="AH63" i="8"/>
  <c r="DM63" i="8" s="1"/>
  <c r="AH52" i="8"/>
  <c r="DM52" i="8" s="1"/>
  <c r="AH53" i="8"/>
  <c r="DM53" i="8" s="1"/>
  <c r="AH29" i="8"/>
  <c r="DM29" i="8" s="1"/>
  <c r="AH59" i="8"/>
  <c r="DM59" i="8" s="1"/>
  <c r="AH61" i="8"/>
  <c r="DM61" i="8" s="1"/>
  <c r="AH68" i="8"/>
  <c r="DM68" i="8" s="1"/>
  <c r="AH77" i="8"/>
  <c r="DM77" i="8" s="1"/>
  <c r="AH39" i="8"/>
  <c r="DM39" i="8" s="1"/>
  <c r="AH80" i="8"/>
  <c r="DM80" i="8" s="1"/>
  <c r="AD29" i="8"/>
  <c r="DL29" i="8" s="1"/>
  <c r="AD42" i="8"/>
  <c r="DL42" i="8" s="1"/>
  <c r="AD14" i="8"/>
  <c r="DL14" i="8" s="1"/>
  <c r="AD36" i="8"/>
  <c r="DL36" i="8" s="1"/>
  <c r="AD50" i="8"/>
  <c r="DL50" i="8" s="1"/>
  <c r="AD63" i="8"/>
  <c r="DL63" i="8" s="1"/>
  <c r="AD52" i="8"/>
  <c r="DL52" i="8" s="1"/>
  <c r="AD53" i="8"/>
  <c r="DL53" i="8" s="1"/>
  <c r="AD65" i="8"/>
  <c r="DL65" i="8" s="1"/>
  <c r="AD59" i="8"/>
  <c r="DL59" i="8" s="1"/>
  <c r="AD61" i="8"/>
  <c r="DL61" i="8" s="1"/>
  <c r="AD68" i="8"/>
  <c r="DL68" i="8" s="1"/>
  <c r="AD75" i="8"/>
  <c r="DL75" i="8" s="1"/>
  <c r="AD76" i="8"/>
  <c r="DL76" i="8" s="1"/>
  <c r="AD77" i="8"/>
  <c r="DL77" i="8" s="1"/>
  <c r="AD79" i="8"/>
  <c r="DL79" i="8" s="1"/>
  <c r="AD80" i="8"/>
  <c r="DL80" i="8" s="1"/>
  <c r="DL98" i="8"/>
  <c r="DL99" i="8"/>
  <c r="DL100" i="8"/>
  <c r="DL101" i="8"/>
  <c r="DL102" i="8"/>
  <c r="DM102" i="8"/>
  <c r="DN2" i="8"/>
  <c r="DO2" i="8" s="1"/>
  <c r="DP2" i="8" s="1"/>
  <c r="DQ2" i="8" s="1"/>
  <c r="DR2" i="8" s="1"/>
  <c r="DS2" i="8" s="1"/>
  <c r="DT2" i="8" s="1"/>
  <c r="DU2" i="8" s="1"/>
  <c r="DV2" i="8" s="1"/>
  <c r="DW2" i="8" s="1"/>
  <c r="DX2" i="8" s="1"/>
  <c r="DY2" i="8" s="1"/>
  <c r="DZ2" i="8" s="1"/>
  <c r="EA2" i="8" s="1"/>
  <c r="EB2" i="8" s="1"/>
  <c r="EC2" i="8" s="1"/>
  <c r="ED2" i="8" s="1"/>
  <c r="EE2" i="8" s="1"/>
  <c r="EF2" i="8" s="1"/>
  <c r="EG2" i="8" s="1"/>
  <c r="EH2" i="8" s="1"/>
  <c r="EI2" i="8" s="1"/>
  <c r="EJ2" i="8" s="1"/>
  <c r="EK2" i="8" s="1"/>
  <c r="EL2" i="8" s="1"/>
  <c r="EM2" i="8" s="1"/>
  <c r="EN2" i="8" s="1"/>
  <c r="AE94" i="8"/>
  <c r="DM94" i="8" s="1"/>
  <c r="AE92" i="8"/>
  <c r="DM92" i="8" s="1"/>
  <c r="AE104" i="8"/>
  <c r="AF96" i="8"/>
  <c r="AF104" i="8"/>
  <c r="Z14" i="8"/>
  <c r="Z90" i="8" s="1"/>
  <c r="Z91" i="8" s="1"/>
  <c r="DL2" i="8"/>
  <c r="DK2" i="8" s="1"/>
  <c r="DJ2" i="8" s="1"/>
  <c r="DI2" i="8" s="1"/>
  <c r="DH2" i="8" s="1"/>
  <c r="DG2" i="8" s="1"/>
  <c r="DF2" i="8" s="1"/>
  <c r="I94" i="8"/>
  <c r="DG94" i="8" s="1"/>
  <c r="O94" i="8"/>
  <c r="O90" i="8"/>
  <c r="O91" i="8" s="1"/>
  <c r="P94" i="8"/>
  <c r="P202" i="8" s="1"/>
  <c r="T202" i="8" s="1"/>
  <c r="P90" i="8"/>
  <c r="Q90" i="8"/>
  <c r="Q91" i="8" s="1"/>
  <c r="R94" i="8"/>
  <c r="R96" i="8" s="1"/>
  <c r="R90" i="8"/>
  <c r="R91" i="8" s="1"/>
  <c r="O95" i="8"/>
  <c r="P95" i="8"/>
  <c r="Q95" i="8"/>
  <c r="Q96" i="8" s="1"/>
  <c r="C96" i="8"/>
  <c r="C97" i="8" s="1"/>
  <c r="D96" i="8"/>
  <c r="D97" i="8" s="1"/>
  <c r="E96" i="8"/>
  <c r="E97" i="8" s="1"/>
  <c r="F96" i="8"/>
  <c r="F97" i="8" s="1"/>
  <c r="G96" i="8"/>
  <c r="G97" i="8" s="1"/>
  <c r="H92" i="8"/>
  <c r="H96" i="8" s="1"/>
  <c r="H97" i="8" s="1"/>
  <c r="I92" i="8"/>
  <c r="J92" i="8"/>
  <c r="J96" i="8" s="1"/>
  <c r="J97" i="8" s="1"/>
  <c r="K92" i="8"/>
  <c r="K203" i="8" s="1"/>
  <c r="L92" i="8"/>
  <c r="L203" i="8" s="1"/>
  <c r="M96" i="8"/>
  <c r="M97" i="8" s="1"/>
  <c r="N96" i="8"/>
  <c r="N97" i="8" s="1"/>
  <c r="O92" i="8"/>
  <c r="O203" i="8" s="1"/>
  <c r="P92" i="8"/>
  <c r="P203" i="8" s="1"/>
  <c r="C104" i="8"/>
  <c r="D104" i="8"/>
  <c r="E104" i="8"/>
  <c r="F104" i="8"/>
  <c r="G98" i="8"/>
  <c r="DG98" i="8" s="1"/>
  <c r="G99" i="8"/>
  <c r="DG99" i="8" s="1"/>
  <c r="G100" i="8"/>
  <c r="DG100" i="8" s="1"/>
  <c r="G101" i="8"/>
  <c r="DG101" i="8" s="1"/>
  <c r="H103" i="8"/>
  <c r="H104" i="8" s="1"/>
  <c r="I103" i="8"/>
  <c r="I104" i="8" s="1"/>
  <c r="J103" i="8"/>
  <c r="J104" i="8" s="1"/>
  <c r="K103" i="8"/>
  <c r="K104" i="8" s="1"/>
  <c r="L103" i="8"/>
  <c r="L104" i="8" s="1"/>
  <c r="M104" i="8"/>
  <c r="N103" i="8"/>
  <c r="N104" i="8" s="1"/>
  <c r="O104" i="8"/>
  <c r="P104" i="8"/>
  <c r="Q104" i="8"/>
  <c r="R104" i="8"/>
  <c r="F106" i="8"/>
  <c r="DF106" i="8" s="1"/>
  <c r="DK66" i="8"/>
  <c r="DK58" i="8"/>
  <c r="DK51" i="8"/>
  <c r="DK55" i="8"/>
  <c r="DK54" i="8"/>
  <c r="DK10" i="8"/>
  <c r="X14" i="8"/>
  <c r="Y14" i="8"/>
  <c r="Y90" i="8" s="1"/>
  <c r="Y91" i="8" s="1"/>
  <c r="DK11" i="8"/>
  <c r="DK19" i="8"/>
  <c r="DK36" i="8"/>
  <c r="DK39" i="8"/>
  <c r="DK29" i="8"/>
  <c r="DK42" i="8"/>
  <c r="DK48" i="8"/>
  <c r="DK50" i="8"/>
  <c r="DK63" i="8"/>
  <c r="DK52" i="8"/>
  <c r="DK53" i="8"/>
  <c r="DK65" i="8"/>
  <c r="DK59" i="8"/>
  <c r="DK61" i="8"/>
  <c r="DK68" i="8"/>
  <c r="DK75" i="8"/>
  <c r="DK76" i="8"/>
  <c r="DK77" i="8"/>
  <c r="DK79" i="8"/>
  <c r="DK80" i="8"/>
  <c r="W90" i="8"/>
  <c r="W91" i="8" s="1"/>
  <c r="W92" i="8"/>
  <c r="X92" i="8"/>
  <c r="Z92" i="8"/>
  <c r="W95" i="8"/>
  <c r="W96" i="8" s="1"/>
  <c r="X95" i="8"/>
  <c r="Z95" i="8"/>
  <c r="Z94" i="8"/>
  <c r="DK98" i="8"/>
  <c r="DK99" i="8"/>
  <c r="DK100" i="8"/>
  <c r="DK101" i="8"/>
  <c r="DK102" i="8"/>
  <c r="DK103" i="8"/>
  <c r="DL66" i="8"/>
  <c r="DL58" i="8"/>
  <c r="DL51" i="8"/>
  <c r="DL55" i="8"/>
  <c r="DL54" i="8"/>
  <c r="DL10" i="8"/>
  <c r="DL11" i="8"/>
  <c r="DL19" i="8"/>
  <c r="DL39" i="8"/>
  <c r="DL48" i="8"/>
  <c r="DL12" i="8"/>
  <c r="AC95" i="8"/>
  <c r="AC96" i="8" s="1"/>
  <c r="DL103" i="8"/>
  <c r="DK106" i="8"/>
  <c r="DJ66" i="8"/>
  <c r="DJ58" i="8"/>
  <c r="DJ51" i="8"/>
  <c r="DJ55" i="8"/>
  <c r="DJ54" i="8"/>
  <c r="DJ10" i="8"/>
  <c r="DJ14" i="8"/>
  <c r="DJ11" i="8"/>
  <c r="DJ19" i="8"/>
  <c r="DJ36" i="8"/>
  <c r="DJ39" i="8"/>
  <c r="DJ29" i="8"/>
  <c r="DJ42" i="8"/>
  <c r="DJ48" i="8"/>
  <c r="DJ50" i="8"/>
  <c r="DJ63" i="8"/>
  <c r="DJ52" i="8"/>
  <c r="DJ53" i="8"/>
  <c r="DJ65" i="8"/>
  <c r="DJ59" i="8"/>
  <c r="DJ61" i="8"/>
  <c r="DJ68" i="8"/>
  <c r="DJ75" i="8"/>
  <c r="DJ76" i="8"/>
  <c r="DJ77" i="8"/>
  <c r="DJ79" i="8"/>
  <c r="DJ80" i="8"/>
  <c r="S90" i="8"/>
  <c r="T90" i="8"/>
  <c r="T91" i="8" s="1"/>
  <c r="U90" i="8"/>
  <c r="U91" i="8" s="1"/>
  <c r="V90" i="8"/>
  <c r="V91" i="8" s="1"/>
  <c r="V92" i="8"/>
  <c r="DJ92" i="8" s="1"/>
  <c r="V95" i="8"/>
  <c r="DJ95" i="8" s="1"/>
  <c r="U94" i="8"/>
  <c r="U96" i="8" s="1"/>
  <c r="V94" i="8"/>
  <c r="DJ98" i="8"/>
  <c r="DJ99" i="8"/>
  <c r="DJ100" i="8"/>
  <c r="DJ101" i="8"/>
  <c r="DJ102" i="8"/>
  <c r="DJ103" i="8"/>
  <c r="T106" i="8"/>
  <c r="DJ106" i="8" s="1"/>
  <c r="DF92" i="8"/>
  <c r="DF95" i="8"/>
  <c r="DF94" i="8"/>
  <c r="DG95" i="8"/>
  <c r="DH95" i="8"/>
  <c r="DH94" i="8"/>
  <c r="DF102" i="8"/>
  <c r="DF103" i="8"/>
  <c r="DG102" i="8"/>
  <c r="DH98" i="8"/>
  <c r="DH99" i="8"/>
  <c r="DH100" i="8"/>
  <c r="DH101" i="8"/>
  <c r="DH102" i="8"/>
  <c r="DI102" i="8"/>
  <c r="DG106" i="8"/>
  <c r="DH106" i="8"/>
  <c r="DK109" i="8"/>
  <c r="DI106" i="8"/>
  <c r="DI98" i="8"/>
  <c r="DI99" i="8"/>
  <c r="DI100" i="8"/>
  <c r="DI101" i="8"/>
  <c r="DI103" i="8"/>
  <c r="DI66" i="8"/>
  <c r="DI58" i="8"/>
  <c r="DI51" i="8"/>
  <c r="DI55" i="8"/>
  <c r="DI54" i="8"/>
  <c r="DI10" i="8"/>
  <c r="DI14" i="8"/>
  <c r="DI11" i="8"/>
  <c r="DI19" i="8"/>
  <c r="DI36" i="8"/>
  <c r="DI39" i="8"/>
  <c r="DI29" i="8"/>
  <c r="DI42" i="8"/>
  <c r="DI48" i="8"/>
  <c r="DI50" i="8"/>
  <c r="DI63" i="8"/>
  <c r="DI52" i="8"/>
  <c r="DI53" i="8"/>
  <c r="DI65" i="8"/>
  <c r="DI59" i="8"/>
  <c r="DI61" i="8"/>
  <c r="DI68" i="8"/>
  <c r="DI75" i="8"/>
  <c r="DI76" i="8"/>
  <c r="DI77" i="8"/>
  <c r="DI79" i="8"/>
  <c r="DI87" i="8"/>
  <c r="S96" i="8"/>
  <c r="S104" i="8"/>
  <c r="T104" i="8"/>
  <c r="T96" i="8"/>
  <c r="U104" i="8"/>
  <c r="V104" i="8"/>
  <c r="W104" i="8"/>
  <c r="X104" i="8"/>
  <c r="Y104" i="8"/>
  <c r="Y96" i="8"/>
  <c r="Z104" i="8"/>
  <c r="AA96" i="8"/>
  <c r="AA104" i="8"/>
  <c r="AB96" i="8"/>
  <c r="AB104" i="8"/>
  <c r="AC104" i="8"/>
  <c r="Q202" i="8"/>
  <c r="E34" i="3"/>
  <c r="F34" i="3"/>
  <c r="G34" i="3" s="1"/>
  <c r="H34" i="3" s="1"/>
  <c r="I34" i="3" s="1"/>
  <c r="J34" i="3" s="1"/>
  <c r="K34" i="3" s="1"/>
  <c r="DJ184" i="8"/>
  <c r="T185" i="8"/>
  <c r="U185" i="8"/>
  <c r="V185" i="8"/>
  <c r="DJ183" i="8"/>
  <c r="DJ109" i="8"/>
  <c r="T190" i="8"/>
  <c r="S194" i="8"/>
  <c r="U194" i="8"/>
  <c r="S191" i="8"/>
  <c r="S188" i="8"/>
  <c r="V188" i="8" s="1"/>
  <c r="S185" i="8"/>
  <c r="O198" i="8"/>
  <c r="DI198" i="8" s="1"/>
  <c r="DI109" i="8"/>
  <c r="DH109" i="8"/>
  <c r="T192" i="8"/>
  <c r="U192" i="8" s="1"/>
  <c r="P188" i="8"/>
  <c r="P189" i="8" s="1"/>
  <c r="Q188" i="8"/>
  <c r="Q189" i="8" s="1"/>
  <c r="R188" i="8"/>
  <c r="R189" i="8" s="1"/>
  <c r="O188" i="8"/>
  <c r="O189" i="8" s="1"/>
  <c r="DI183" i="8"/>
  <c r="O185" i="8"/>
  <c r="O184" i="8" s="1"/>
  <c r="P185" i="8"/>
  <c r="P184" i="8" s="1"/>
  <c r="Q185" i="8"/>
  <c r="Q184" i="8" s="1"/>
  <c r="R185" i="8"/>
  <c r="R184" i="8" s="1"/>
  <c r="Q192" i="8"/>
  <c r="R192" i="8" s="1"/>
  <c r="R191" i="8"/>
  <c r="DI190" i="8"/>
  <c r="O194" i="8"/>
  <c r="P194" i="8"/>
  <c r="Q194" i="8"/>
  <c r="R194" i="8"/>
  <c r="N192" i="8"/>
  <c r="L191" i="8"/>
  <c r="DI199" i="8"/>
  <c r="R203" i="8"/>
  <c r="Q203" i="8"/>
  <c r="M203" i="8"/>
  <c r="N203" i="8"/>
  <c r="K202" i="8"/>
  <c r="L202" i="8"/>
  <c r="M202" i="8"/>
  <c r="N202" i="8"/>
  <c r="DH201" i="8"/>
  <c r="DH200" i="8"/>
  <c r="DH199" i="8"/>
  <c r="DH198" i="8"/>
  <c r="DH190" i="8"/>
  <c r="DI201" i="8"/>
  <c r="DI200" i="8"/>
  <c r="DH191" i="8"/>
  <c r="S190" i="8"/>
  <c r="DN10" i="8"/>
  <c r="DN16" i="8"/>
  <c r="DN42" i="8"/>
  <c r="DN52" i="8"/>
  <c r="DN48" i="8"/>
  <c r="DN76" i="8"/>
  <c r="DN63" i="8"/>
  <c r="DN53" i="8"/>
  <c r="DN59" i="8"/>
  <c r="DN61" i="8"/>
  <c r="DN75" i="8"/>
  <c r="DN77" i="8"/>
  <c r="DN80" i="8"/>
  <c r="DN12" i="8"/>
  <c r="DH91" i="8"/>
  <c r="AK96" i="8"/>
  <c r="V191" i="8"/>
  <c r="T188" i="8"/>
  <c r="V190" i="8"/>
  <c r="U190" i="8"/>
  <c r="DN54" i="8"/>
  <c r="DN11" i="8"/>
  <c r="DN58" i="8"/>
  <c r="T194" i="8"/>
  <c r="U188" i="8"/>
  <c r="DO36" i="8"/>
  <c r="DO42" i="8"/>
  <c r="DO10" i="8"/>
  <c r="DO61" i="8"/>
  <c r="DM98" i="8"/>
  <c r="DN102" i="8"/>
  <c r="DN104" i="8" s="1"/>
  <c r="DO14" i="8"/>
  <c r="DO63" i="8"/>
  <c r="DO12" i="8"/>
  <c r="DO39" i="8"/>
  <c r="AH96" i="8"/>
  <c r="DM95" i="8"/>
  <c r="DO27" i="8"/>
  <c r="DO73" i="8"/>
  <c r="DL94" i="8"/>
  <c r="DL92" i="8"/>
  <c r="DL106" i="8"/>
  <c r="DO11" i="8"/>
  <c r="DO71" i="8"/>
  <c r="DO16" i="8"/>
  <c r="DO48" i="8"/>
  <c r="DO64" i="8"/>
  <c r="DO38" i="8"/>
  <c r="DO82" i="8"/>
  <c r="DO65" i="8"/>
  <c r="DO69" i="8"/>
  <c r="DO68" i="8"/>
  <c r="DO70" i="8"/>
  <c r="DO53" i="8"/>
  <c r="DO52" i="8"/>
  <c r="DO46" i="8"/>
  <c r="DO45" i="8"/>
  <c r="AQ174" i="8"/>
  <c r="AH178" i="8"/>
  <c r="DM11" i="8"/>
  <c r="AH174" i="8"/>
  <c r="DP10" i="8"/>
  <c r="AL178" i="8"/>
  <c r="DP66" i="8"/>
  <c r="AL175" i="8"/>
  <c r="AH175" i="8"/>
  <c r="DM12" i="8"/>
  <c r="AT174" i="8"/>
  <c r="AT178" i="8"/>
  <c r="AS177" i="8"/>
  <c r="AS178" i="8"/>
  <c r="AT177" i="8"/>
  <c r="AL17" i="30"/>
  <c r="AL19" i="30"/>
  <c r="AL20" i="30"/>
  <c r="AM16" i="30"/>
  <c r="AN16" i="30"/>
  <c r="AM19" i="30"/>
  <c r="AM20" i="30"/>
  <c r="AM17" i="30"/>
  <c r="AO16" i="30"/>
  <c r="AN19" i="30"/>
  <c r="AN20" i="30"/>
  <c r="AN17" i="30"/>
  <c r="AP16" i="30"/>
  <c r="AO19" i="30"/>
  <c r="AO20" i="30"/>
  <c r="AO17" i="30"/>
  <c r="AQ16" i="30"/>
  <c r="AP19" i="30"/>
  <c r="AP20" i="30"/>
  <c r="AP17" i="30"/>
  <c r="AR16" i="30"/>
  <c r="AQ19" i="30"/>
  <c r="AQ20" i="30"/>
  <c r="AQ17" i="30"/>
  <c r="AS16" i="30"/>
  <c r="AR17" i="30"/>
  <c r="AR19" i="30"/>
  <c r="AR20" i="30"/>
  <c r="AT16" i="30"/>
  <c r="AS19" i="30"/>
  <c r="AS20" i="30"/>
  <c r="AS17" i="30"/>
  <c r="AT17" i="30"/>
  <c r="AU16" i="30"/>
  <c r="AT19" i="30"/>
  <c r="AT20" i="30"/>
  <c r="AU17" i="30"/>
  <c r="AU19" i="30"/>
  <c r="AU20" i="30"/>
  <c r="AK22" i="30"/>
  <c r="CY108" i="8" l="1"/>
  <c r="CY116" i="8"/>
  <c r="DB105" i="8"/>
  <c r="DB106" i="8" s="1"/>
  <c r="DB114" i="8"/>
  <c r="DA108" i="8"/>
  <c r="DA116" i="8"/>
  <c r="CO143" i="8"/>
  <c r="ED3" i="8"/>
  <c r="CP126" i="8"/>
  <c r="CN126" i="8"/>
  <c r="CQ126" i="8"/>
  <c r="CO167" i="8"/>
  <c r="CO126" i="8"/>
  <c r="CR134" i="8"/>
  <c r="CR157" i="8"/>
  <c r="CS157" i="8" s="1"/>
  <c r="CS160" i="8" s="1"/>
  <c r="EE3" i="8"/>
  <c r="EF3" i="8" s="1"/>
  <c r="EG3" i="8" s="1"/>
  <c r="EH3" i="8" s="1"/>
  <c r="EI3" i="8" s="1"/>
  <c r="EJ3" i="8" s="1"/>
  <c r="EK3" i="8" s="1"/>
  <c r="EL3" i="8" s="1"/>
  <c r="CR126" i="8"/>
  <c r="CM160" i="8"/>
  <c r="CP162" i="8"/>
  <c r="CN167" i="8"/>
  <c r="CP167" i="8"/>
  <c r="CO149" i="8"/>
  <c r="CP149" i="8" s="1"/>
  <c r="CP154" i="8" s="1"/>
  <c r="CN154" i="8"/>
  <c r="CO160" i="8"/>
  <c r="CP156" i="8"/>
  <c r="CP160" i="8" s="1"/>
  <c r="CO154" i="8"/>
  <c r="CR167" i="8"/>
  <c r="CV122" i="8"/>
  <c r="CV93" i="8"/>
  <c r="CV97" i="8" s="1"/>
  <c r="CV105" i="8" s="1"/>
  <c r="CW122" i="8"/>
  <c r="CW91" i="8"/>
  <c r="CW93" i="8" s="1"/>
  <c r="CW97" i="8" s="1"/>
  <c r="CW105" i="8" s="1"/>
  <c r="CQ93" i="8"/>
  <c r="CQ97" i="8" s="1"/>
  <c r="CQ105" i="8" s="1"/>
  <c r="CQ107" i="8" s="1"/>
  <c r="CQ145" i="8" s="1"/>
  <c r="CU120" i="8"/>
  <c r="CP134" i="8"/>
  <c r="CS143" i="8"/>
  <c r="CO134" i="8"/>
  <c r="CR160" i="8"/>
  <c r="CN134" i="8"/>
  <c r="CS164" i="8"/>
  <c r="CS167" i="8" s="1"/>
  <c r="CM154" i="8"/>
  <c r="CN160" i="8"/>
  <c r="CP143" i="8"/>
  <c r="CR149" i="8"/>
  <c r="CU108" i="8"/>
  <c r="CX122" i="8"/>
  <c r="CX91" i="8"/>
  <c r="CN143" i="8"/>
  <c r="CJ126" i="8"/>
  <c r="CT91" i="8"/>
  <c r="CT93" i="8" s="1"/>
  <c r="CT97" i="8" s="1"/>
  <c r="CT105" i="8" s="1"/>
  <c r="CT117" i="8" s="1"/>
  <c r="CQ169" i="8"/>
  <c r="CQ134" i="8"/>
  <c r="CQ143" i="8"/>
  <c r="CR91" i="8"/>
  <c r="CS91" i="8"/>
  <c r="CQ113" i="8"/>
  <c r="CQ112" i="8"/>
  <c r="EB81" i="8"/>
  <c r="EE81" i="8" s="1"/>
  <c r="EF81" i="8" s="1"/>
  <c r="EG81" i="8" s="1"/>
  <c r="EH81" i="8" s="1"/>
  <c r="EI81" i="8" s="1"/>
  <c r="EJ81" i="8" s="1"/>
  <c r="EK81" i="8" s="1"/>
  <c r="EL81" i="8" s="1"/>
  <c r="EM81" i="8" s="1"/>
  <c r="EN81" i="8" s="1"/>
  <c r="EB22" i="8"/>
  <c r="EC22" i="8" s="1"/>
  <c r="EE22" i="8" s="1"/>
  <c r="EF22" i="8" s="1"/>
  <c r="EG22" i="8" s="1"/>
  <c r="EH22" i="8" s="1"/>
  <c r="EI22" i="8" s="1"/>
  <c r="EJ22" i="8" s="1"/>
  <c r="EK22" i="8" s="1"/>
  <c r="EL22" i="8" s="1"/>
  <c r="EM22" i="8" s="1"/>
  <c r="EN22" i="8" s="1"/>
  <c r="EB9" i="8"/>
  <c r="EE9" i="8" s="1"/>
  <c r="EF9" i="8" s="1"/>
  <c r="EG9" i="8" s="1"/>
  <c r="EH9" i="8" s="1"/>
  <c r="EI9" i="8" s="1"/>
  <c r="EJ9" i="8" s="1"/>
  <c r="EK9" i="8" s="1"/>
  <c r="EL9" i="8" s="1"/>
  <c r="EM9" i="8" s="1"/>
  <c r="EN9" i="8" s="1"/>
  <c r="EB12" i="8"/>
  <c r="EE12" i="8" s="1"/>
  <c r="EF12" i="8" s="1"/>
  <c r="EG12" i="8" s="1"/>
  <c r="EH12" i="8" s="1"/>
  <c r="EI12" i="8" s="1"/>
  <c r="EJ12" i="8" s="1"/>
  <c r="EK12" i="8" s="1"/>
  <c r="EL12" i="8" s="1"/>
  <c r="EM12" i="8" s="1"/>
  <c r="EN12" i="8" s="1"/>
  <c r="EB5" i="8"/>
  <c r="EE5" i="8" s="1"/>
  <c r="EF5" i="8" s="1"/>
  <c r="EG5" i="8" s="1"/>
  <c r="EH5" i="8" s="1"/>
  <c r="EI5" i="8" s="1"/>
  <c r="EJ5" i="8" s="1"/>
  <c r="EK5" i="8" s="1"/>
  <c r="EL5" i="8" s="1"/>
  <c r="EM5" i="8" s="1"/>
  <c r="EN5" i="8" s="1"/>
  <c r="EA90" i="8"/>
  <c r="CM134" i="8"/>
  <c r="CM143" i="8"/>
  <c r="EB94" i="8"/>
  <c r="CM126" i="8"/>
  <c r="EA96" i="8"/>
  <c r="EE4" i="8"/>
  <c r="EF4" i="8" s="1"/>
  <c r="EG4" i="8" s="1"/>
  <c r="EH4" i="8" s="1"/>
  <c r="EB26" i="8"/>
  <c r="EC26" i="8" s="1"/>
  <c r="EB95" i="8"/>
  <c r="EB6" i="8"/>
  <c r="EE6" i="8" s="1"/>
  <c r="EF6" i="8" s="1"/>
  <c r="EG6" i="8" s="1"/>
  <c r="EH6" i="8" s="1"/>
  <c r="EI6" i="8" s="1"/>
  <c r="EJ6" i="8" s="1"/>
  <c r="EK6" i="8" s="1"/>
  <c r="EL6" i="8" s="1"/>
  <c r="EM6" i="8" s="1"/>
  <c r="EN6" i="8" s="1"/>
  <c r="EB7" i="8"/>
  <c r="EE7" i="8" s="1"/>
  <c r="EF7" i="8" s="1"/>
  <c r="EG7" i="8" s="1"/>
  <c r="EH7" i="8" s="1"/>
  <c r="EI7" i="8" s="1"/>
  <c r="EJ7" i="8" s="1"/>
  <c r="EK7" i="8" s="1"/>
  <c r="EL7" i="8" s="1"/>
  <c r="EM7" i="8" s="1"/>
  <c r="EN7" i="8" s="1"/>
  <c r="DQ90" i="8"/>
  <c r="DQ91" i="8" s="1"/>
  <c r="EB23" i="8"/>
  <c r="EC23" i="8" s="1"/>
  <c r="EE23" i="8" s="1"/>
  <c r="EF23" i="8" s="1"/>
  <c r="EG23" i="8" s="1"/>
  <c r="EH23" i="8" s="1"/>
  <c r="EI23" i="8" s="1"/>
  <c r="EJ23" i="8" s="1"/>
  <c r="EK23" i="8" s="1"/>
  <c r="EL23" i="8" s="1"/>
  <c r="EM23" i="8" s="1"/>
  <c r="EN23" i="8" s="1"/>
  <c r="EB109" i="8"/>
  <c r="EC109" i="8" s="1"/>
  <c r="ED109" i="8" s="1"/>
  <c r="EE109" i="8" s="1"/>
  <c r="EF109" i="8" s="1"/>
  <c r="EG109" i="8" s="1"/>
  <c r="EH109" i="8" s="1"/>
  <c r="EI109" i="8" s="1"/>
  <c r="EJ109" i="8" s="1"/>
  <c r="EK109" i="8" s="1"/>
  <c r="EL109" i="8" s="1"/>
  <c r="EM109" i="8" s="1"/>
  <c r="EN109" i="8" s="1"/>
  <c r="EB27" i="8"/>
  <c r="EC27" i="8" s="1"/>
  <c r="EE27" i="8" s="1"/>
  <c r="EF27" i="8" s="1"/>
  <c r="EG27" i="8" s="1"/>
  <c r="EH27" i="8" s="1"/>
  <c r="EI27" i="8" s="1"/>
  <c r="EJ27" i="8" s="1"/>
  <c r="EK27" i="8" s="1"/>
  <c r="EL27" i="8" s="1"/>
  <c r="EM27" i="8" s="1"/>
  <c r="EN27" i="8" s="1"/>
  <c r="EB14" i="8"/>
  <c r="EE14" i="8" s="1"/>
  <c r="EF14" i="8" s="1"/>
  <c r="EG14" i="8" s="1"/>
  <c r="EH14" i="8" s="1"/>
  <c r="EI14" i="8" s="1"/>
  <c r="EJ14" i="8" s="1"/>
  <c r="EK14" i="8" s="1"/>
  <c r="EL14" i="8" s="1"/>
  <c r="EM14" i="8" s="1"/>
  <c r="EN14" i="8" s="1"/>
  <c r="EB20" i="8"/>
  <c r="EC20" i="8" s="1"/>
  <c r="EB19" i="8"/>
  <c r="EC19" i="8" s="1"/>
  <c r="EE19" i="8" s="1"/>
  <c r="EF19" i="8" s="1"/>
  <c r="EG19" i="8" s="1"/>
  <c r="EH19" i="8" s="1"/>
  <c r="EI19" i="8" s="1"/>
  <c r="EJ19" i="8" s="1"/>
  <c r="EK19" i="8" s="1"/>
  <c r="EL19" i="8" s="1"/>
  <c r="EM19" i="8" s="1"/>
  <c r="EN19" i="8" s="1"/>
  <c r="EB15" i="8"/>
  <c r="EC15" i="8" s="1"/>
  <c r="EE15" i="8" s="1"/>
  <c r="EF15" i="8" s="1"/>
  <c r="EG15" i="8" s="1"/>
  <c r="EH15" i="8" s="1"/>
  <c r="EI15" i="8" s="1"/>
  <c r="EJ15" i="8" s="1"/>
  <c r="EK15" i="8" s="1"/>
  <c r="EL15" i="8" s="1"/>
  <c r="EM15" i="8" s="1"/>
  <c r="EN15" i="8" s="1"/>
  <c r="EB16" i="8"/>
  <c r="EC16" i="8" s="1"/>
  <c r="EE16" i="8" s="1"/>
  <c r="EF16" i="8" s="1"/>
  <c r="EG16" i="8" s="1"/>
  <c r="EH16" i="8" s="1"/>
  <c r="EI16" i="8" s="1"/>
  <c r="EJ16" i="8" s="1"/>
  <c r="EK16" i="8" s="1"/>
  <c r="EL16" i="8" s="1"/>
  <c r="EM16" i="8" s="1"/>
  <c r="EN16" i="8" s="1"/>
  <c r="EB17" i="8"/>
  <c r="EC17" i="8" s="1"/>
  <c r="EE17" i="8" s="1"/>
  <c r="EF17" i="8" s="1"/>
  <c r="EG17" i="8" s="1"/>
  <c r="EH17" i="8" s="1"/>
  <c r="EI17" i="8" s="1"/>
  <c r="EJ17" i="8" s="1"/>
  <c r="EK17" i="8" s="1"/>
  <c r="EL17" i="8" s="1"/>
  <c r="EM17" i="8" s="1"/>
  <c r="EN17" i="8" s="1"/>
  <c r="DW90" i="8"/>
  <c r="DW91" i="8" s="1"/>
  <c r="EB18" i="8"/>
  <c r="EC18" i="8" s="1"/>
  <c r="EE18" i="8" s="1"/>
  <c r="EF18" i="8" s="1"/>
  <c r="EG18" i="8" s="1"/>
  <c r="EH18" i="8" s="1"/>
  <c r="EI18" i="8" s="1"/>
  <c r="EJ18" i="8" s="1"/>
  <c r="EK18" i="8" s="1"/>
  <c r="EL18" i="8" s="1"/>
  <c r="EM18" i="8" s="1"/>
  <c r="EN18" i="8" s="1"/>
  <c r="EB30" i="8"/>
  <c r="EC30" i="8" s="1"/>
  <c r="EE30" i="8" s="1"/>
  <c r="EF30" i="8" s="1"/>
  <c r="EG30" i="8" s="1"/>
  <c r="EH30" i="8" s="1"/>
  <c r="EI30" i="8" s="1"/>
  <c r="EJ30" i="8" s="1"/>
  <c r="EK30" i="8" s="1"/>
  <c r="EL30" i="8" s="1"/>
  <c r="EM30" i="8" s="1"/>
  <c r="EN30" i="8" s="1"/>
  <c r="EB28" i="8"/>
  <c r="EC28" i="8" s="1"/>
  <c r="EB3" i="8"/>
  <c r="EB31" i="8"/>
  <c r="EC31" i="8" s="1"/>
  <c r="EE31" i="8" s="1"/>
  <c r="EF31" i="8" s="1"/>
  <c r="EG31" i="8" s="1"/>
  <c r="EH31" i="8" s="1"/>
  <c r="EI31" i="8" s="1"/>
  <c r="EJ31" i="8" s="1"/>
  <c r="EK31" i="8" s="1"/>
  <c r="EL31" i="8" s="1"/>
  <c r="EM31" i="8" s="1"/>
  <c r="EN31" i="8" s="1"/>
  <c r="EB21" i="8"/>
  <c r="EC21" i="8" s="1"/>
  <c r="EE21" i="8" s="1"/>
  <c r="EF21" i="8" s="1"/>
  <c r="EG21" i="8" s="1"/>
  <c r="EH21" i="8" s="1"/>
  <c r="EI21" i="8" s="1"/>
  <c r="EJ21" i="8" s="1"/>
  <c r="EK21" i="8" s="1"/>
  <c r="EL21" i="8" s="1"/>
  <c r="EM21" i="8" s="1"/>
  <c r="EN21" i="8" s="1"/>
  <c r="EB29" i="8"/>
  <c r="EC29" i="8" s="1"/>
  <c r="EB32" i="8"/>
  <c r="EC32" i="8" s="1"/>
  <c r="DV90" i="8"/>
  <c r="DV91" i="8" s="1"/>
  <c r="BS91" i="8"/>
  <c r="CJ143" i="8"/>
  <c r="DR90" i="8"/>
  <c r="DR91" i="8" s="1"/>
  <c r="AY91" i="8"/>
  <c r="DS90" i="8"/>
  <c r="DS91" i="8" s="1"/>
  <c r="DS120" i="8" s="1"/>
  <c r="AU91" i="8"/>
  <c r="DT90" i="8"/>
  <c r="DT91" i="8" s="1"/>
  <c r="DT120" i="8" s="1"/>
  <c r="DU90" i="8"/>
  <c r="DU91" i="8" s="1"/>
  <c r="CN96" i="8"/>
  <c r="DX90" i="8"/>
  <c r="DX91" i="8" s="1"/>
  <c r="DP90" i="8"/>
  <c r="DP91" i="8" s="1"/>
  <c r="BO91" i="8"/>
  <c r="DY90" i="8"/>
  <c r="DY91" i="8" s="1"/>
  <c r="AL91" i="8"/>
  <c r="AM91" i="8"/>
  <c r="DZ90" i="8"/>
  <c r="DZ91" i="8" s="1"/>
  <c r="BG91" i="8"/>
  <c r="CJ134" i="8"/>
  <c r="CD113" i="8"/>
  <c r="CJ112" i="8"/>
  <c r="CI113" i="8"/>
  <c r="CH113" i="8"/>
  <c r="CE113" i="8"/>
  <c r="CD112" i="8"/>
  <c r="CC93" i="8"/>
  <c r="CC111" i="8" s="1"/>
  <c r="CC113" i="8"/>
  <c r="CC112" i="8"/>
  <c r="CE112" i="8"/>
  <c r="CF112" i="8"/>
  <c r="CG112" i="8"/>
  <c r="CH112" i="8"/>
  <c r="CF113" i="8"/>
  <c r="CG113" i="8"/>
  <c r="CJ113" i="8"/>
  <c r="CO96" i="8"/>
  <c r="CP96" i="8"/>
  <c r="CK96" i="8"/>
  <c r="CL96" i="8"/>
  <c r="CG97" i="8"/>
  <c r="CA120" i="8"/>
  <c r="DN95" i="8"/>
  <c r="CD97" i="8"/>
  <c r="CD114" i="8" s="1"/>
  <c r="CB120" i="8"/>
  <c r="CF120" i="8"/>
  <c r="CH120" i="8"/>
  <c r="CO123" i="8"/>
  <c r="CE120" i="8"/>
  <c r="CK175" i="8"/>
  <c r="CL175" i="8"/>
  <c r="CG120" i="8"/>
  <c r="CC120" i="8"/>
  <c r="DF93" i="8"/>
  <c r="CL123" i="8"/>
  <c r="CK122" i="8"/>
  <c r="CL122" i="8"/>
  <c r="CI93" i="8"/>
  <c r="CD120" i="8"/>
  <c r="CO175" i="8"/>
  <c r="CN175" i="8"/>
  <c r="CJ120" i="8"/>
  <c r="CJ97" i="8"/>
  <c r="CF97" i="8"/>
  <c r="O93" i="8"/>
  <c r="CH97" i="8"/>
  <c r="CE97" i="8"/>
  <c r="J7" i="2"/>
  <c r="I96" i="8"/>
  <c r="I97" i="8" s="1"/>
  <c r="I105" i="8" s="1"/>
  <c r="I107" i="8" s="1"/>
  <c r="I108" i="8" s="1"/>
  <c r="CI120" i="8"/>
  <c r="DF112" i="8"/>
  <c r="F105" i="8"/>
  <c r="F107" i="8" s="1"/>
  <c r="F108" i="8" s="1"/>
  <c r="T189" i="8"/>
  <c r="T97" i="8"/>
  <c r="T105" i="8" s="1"/>
  <c r="DM96" i="8"/>
  <c r="AL177" i="8"/>
  <c r="DK104" i="8"/>
  <c r="DM55" i="8"/>
  <c r="DL95" i="8"/>
  <c r="DL96" i="8" s="1"/>
  <c r="W97" i="8"/>
  <c r="W105" i="8" s="1"/>
  <c r="W107" i="8" s="1"/>
  <c r="W108" i="8" s="1"/>
  <c r="E105" i="8"/>
  <c r="E107" i="8" s="1"/>
  <c r="E108" i="8" s="1"/>
  <c r="DI94" i="8"/>
  <c r="DH203" i="8"/>
  <c r="DG96" i="8"/>
  <c r="R202" i="8"/>
  <c r="V202" i="8" s="1"/>
  <c r="DK92" i="8"/>
  <c r="DF104" i="8"/>
  <c r="Q191" i="8"/>
  <c r="U189" i="8"/>
  <c r="DG92" i="8"/>
  <c r="DI92" i="8"/>
  <c r="M105" i="8"/>
  <c r="DO96" i="8"/>
  <c r="AH123" i="8"/>
  <c r="DM10" i="8"/>
  <c r="DM104" i="8"/>
  <c r="Y97" i="8"/>
  <c r="Y105" i="8" s="1"/>
  <c r="Y107" i="8" s="1"/>
  <c r="Y108" i="8" s="1"/>
  <c r="DH103" i="8"/>
  <c r="DH104" i="8" s="1"/>
  <c r="T191" i="8"/>
  <c r="U191" i="8" s="1"/>
  <c r="O96" i="8"/>
  <c r="DN94" i="8"/>
  <c r="AD124" i="8"/>
  <c r="DI95" i="8"/>
  <c r="DM58" i="8"/>
  <c r="DH202" i="8"/>
  <c r="DO106" i="8"/>
  <c r="L96" i="8"/>
  <c r="L97" i="8" s="1"/>
  <c r="L105" i="8" s="1"/>
  <c r="L195" i="8" s="1"/>
  <c r="DH92" i="8"/>
  <c r="AR120" i="8"/>
  <c r="U202" i="8"/>
  <c r="DI104" i="8"/>
  <c r="DJ104" i="8"/>
  <c r="AJ96" i="8"/>
  <c r="Q97" i="8"/>
  <c r="Q105" i="8" s="1"/>
  <c r="Q107" i="8" s="1"/>
  <c r="DJ185" i="8"/>
  <c r="DH96" i="8"/>
  <c r="AE96" i="8"/>
  <c r="AS120" i="8"/>
  <c r="AD91" i="8"/>
  <c r="Z113" i="8"/>
  <c r="DI203" i="8"/>
  <c r="V189" i="8"/>
  <c r="DF113" i="8"/>
  <c r="V96" i="8"/>
  <c r="H105" i="8"/>
  <c r="H107" i="8" s="1"/>
  <c r="H108" i="8" s="1"/>
  <c r="DP95" i="8"/>
  <c r="AT120" i="8"/>
  <c r="AC113" i="8"/>
  <c r="AC112" i="8"/>
  <c r="P96" i="8"/>
  <c r="R97" i="8"/>
  <c r="R105" i="8" s="1"/>
  <c r="R107" i="8" s="1"/>
  <c r="DO104" i="8"/>
  <c r="G103" i="8"/>
  <c r="DG103" i="8" s="1"/>
  <c r="DG104" i="8" s="1"/>
  <c r="J105" i="8"/>
  <c r="J107" i="8" s="1"/>
  <c r="J108" i="8" s="1"/>
  <c r="AH124" i="8"/>
  <c r="O202" i="8"/>
  <c r="DF96" i="8"/>
  <c r="AL124" i="8"/>
  <c r="DI184" i="8"/>
  <c r="DI185" i="8" s="1"/>
  <c r="V192" i="8"/>
  <c r="S189" i="8"/>
  <c r="K96" i="8"/>
  <c r="K97" i="8" s="1"/>
  <c r="K105" i="8" s="1"/>
  <c r="C105" i="8"/>
  <c r="C107" i="8" s="1"/>
  <c r="C108" i="8" s="1"/>
  <c r="AI96" i="8"/>
  <c r="DJ94" i="8"/>
  <c r="DJ96" i="8" s="1"/>
  <c r="DO90" i="8"/>
  <c r="Z96" i="8"/>
  <c r="DK95" i="8"/>
  <c r="X96" i="8"/>
  <c r="DN90" i="8"/>
  <c r="DQ208" i="8"/>
  <c r="DI90" i="8"/>
  <c r="DI91" i="8" s="1"/>
  <c r="P91" i="8"/>
  <c r="P93" i="8" s="1"/>
  <c r="U97" i="8"/>
  <c r="U105" i="8" s="1"/>
  <c r="DK94" i="8"/>
  <c r="Z112" i="8"/>
  <c r="DP208" i="8"/>
  <c r="D105" i="8"/>
  <c r="D107" i="8" s="1"/>
  <c r="D108" i="8" s="1"/>
  <c r="DL90" i="8"/>
  <c r="DL91" i="8" s="1"/>
  <c r="AA91" i="8"/>
  <c r="AM178" i="8"/>
  <c r="DO54" i="8"/>
  <c r="AQ178" i="8"/>
  <c r="AO120" i="8"/>
  <c r="DL104" i="8"/>
  <c r="DM16" i="8"/>
  <c r="AH90" i="8"/>
  <c r="X90" i="8"/>
  <c r="DK14" i="8"/>
  <c r="AB113" i="8"/>
  <c r="N105" i="8"/>
  <c r="S91" i="8"/>
  <c r="S97" i="8" s="1"/>
  <c r="S105" i="8" s="1"/>
  <c r="DJ90" i="8"/>
  <c r="DJ91" i="8" s="1"/>
  <c r="CX93" i="8" l="1"/>
  <c r="CX97" i="8" s="1"/>
  <c r="CX105" i="8" s="1"/>
  <c r="CX117" i="8" s="1"/>
  <c r="DB120" i="8"/>
  <c r="DB107" i="8"/>
  <c r="DB117" i="8"/>
  <c r="CW117" i="8"/>
  <c r="CW107" i="8"/>
  <c r="EM3" i="8"/>
  <c r="EN3" i="8" s="1"/>
  <c r="CM169" i="8"/>
  <c r="CN169" i="8"/>
  <c r="DY120" i="8"/>
  <c r="DQ120" i="8"/>
  <c r="CP169" i="8"/>
  <c r="CQ111" i="8"/>
  <c r="DV120" i="8"/>
  <c r="CO169" i="8"/>
  <c r="CV117" i="8"/>
  <c r="CV107" i="8"/>
  <c r="CV108" i="8" s="1"/>
  <c r="CS149" i="8"/>
  <c r="CS154" i="8" s="1"/>
  <c r="CS169" i="8" s="1"/>
  <c r="CR154" i="8"/>
  <c r="DR120" i="8"/>
  <c r="CR93" i="8"/>
  <c r="CR113" i="8"/>
  <c r="CR112" i="8"/>
  <c r="CR169" i="8"/>
  <c r="DW120" i="8"/>
  <c r="CS113" i="8"/>
  <c r="CS112" i="8"/>
  <c r="CS93" i="8"/>
  <c r="CW120" i="8"/>
  <c r="CW112" i="8"/>
  <c r="CW114" i="8"/>
  <c r="CW111" i="8"/>
  <c r="CW113" i="8"/>
  <c r="CW116" i="8"/>
  <c r="DZ93" i="8"/>
  <c r="DZ120" i="8"/>
  <c r="CV113" i="8"/>
  <c r="CV120" i="8"/>
  <c r="CV111" i="8"/>
  <c r="CV112" i="8"/>
  <c r="CV114" i="8"/>
  <c r="DJ120" i="8"/>
  <c r="DX120" i="8"/>
  <c r="DU120" i="8"/>
  <c r="CT107" i="8"/>
  <c r="CT108" i="8" s="1"/>
  <c r="CX120" i="8"/>
  <c r="CX112" i="8"/>
  <c r="CX113" i="8"/>
  <c r="CT113" i="8"/>
  <c r="CT111" i="8"/>
  <c r="CT112" i="8"/>
  <c r="CT116" i="8"/>
  <c r="CT114" i="8"/>
  <c r="CQ114" i="8"/>
  <c r="CQ108" i="8"/>
  <c r="CQ116" i="8"/>
  <c r="CQ117" i="8"/>
  <c r="EB96" i="8"/>
  <c r="EI4" i="8"/>
  <c r="EJ4" i="8" s="1"/>
  <c r="EK4" i="8" s="1"/>
  <c r="EL4" i="8" s="1"/>
  <c r="EM4" i="8" s="1"/>
  <c r="EN4" i="8" s="1"/>
  <c r="CP174" i="8"/>
  <c r="EB10" i="8"/>
  <c r="DO91" i="8"/>
  <c r="EA91" i="8"/>
  <c r="CD105" i="8"/>
  <c r="CD107" i="8" s="1"/>
  <c r="CC97" i="8"/>
  <c r="CC105" i="8" s="1"/>
  <c r="CH105" i="8"/>
  <c r="CH114" i="8"/>
  <c r="CF105" i="8"/>
  <c r="CF114" i="8"/>
  <c r="CI97" i="8"/>
  <c r="CI111" i="8"/>
  <c r="CE105" i="8"/>
  <c r="CE114" i="8"/>
  <c r="DN96" i="8"/>
  <c r="CG105" i="8"/>
  <c r="CG114" i="8"/>
  <c r="CJ105" i="8"/>
  <c r="CJ114" i="8"/>
  <c r="CQ120" i="8"/>
  <c r="CL174" i="8"/>
  <c r="CN174" i="8"/>
  <c r="DI113" i="8"/>
  <c r="O97" i="8"/>
  <c r="O105" i="8" s="1"/>
  <c r="O195" i="8" s="1"/>
  <c r="DP209" i="8"/>
  <c r="CK91" i="8"/>
  <c r="DN79" i="8"/>
  <c r="DN91" i="8" s="1"/>
  <c r="CL91" i="8"/>
  <c r="CL93" i="8" s="1"/>
  <c r="DF97" i="8"/>
  <c r="DF114" i="8" s="1"/>
  <c r="AI97" i="8"/>
  <c r="AI105" i="8" s="1"/>
  <c r="R195" i="8"/>
  <c r="AQ97" i="8"/>
  <c r="Z97" i="8"/>
  <c r="Z114" i="8" s="1"/>
  <c r="L107" i="8"/>
  <c r="L193" i="8" s="1"/>
  <c r="P97" i="8"/>
  <c r="P105" i="8" s="1"/>
  <c r="P195" i="8" s="1"/>
  <c r="DG97" i="8"/>
  <c r="DG105" i="8" s="1"/>
  <c r="DG117" i="8" s="1"/>
  <c r="DI96" i="8"/>
  <c r="DH97" i="8"/>
  <c r="DH105" i="8" s="1"/>
  <c r="DH195" i="8" s="1"/>
  <c r="AP120" i="8"/>
  <c r="AL93" i="8"/>
  <c r="AL97" i="8" s="1"/>
  <c r="M107" i="8"/>
  <c r="M195" i="8"/>
  <c r="V97" i="8"/>
  <c r="V105" i="8" s="1"/>
  <c r="V107" i="8" s="1"/>
  <c r="V108" i="8" s="1"/>
  <c r="Q195" i="8"/>
  <c r="AK97" i="8"/>
  <c r="DO208" i="8"/>
  <c r="DF108" i="8"/>
  <c r="AN97" i="8"/>
  <c r="AC97" i="8"/>
  <c r="AP97" i="8"/>
  <c r="AG97" i="8"/>
  <c r="DI202" i="8"/>
  <c r="DJ198" i="8" s="1"/>
  <c r="S202" i="8"/>
  <c r="G104" i="8"/>
  <c r="G105" i="8" s="1"/>
  <c r="G107" i="8" s="1"/>
  <c r="G108" i="8" s="1"/>
  <c r="AF97" i="8"/>
  <c r="K195" i="8"/>
  <c r="K107" i="8"/>
  <c r="AN120" i="8"/>
  <c r="AB97" i="8"/>
  <c r="AM93" i="8"/>
  <c r="AQ120" i="8"/>
  <c r="AM120" i="8"/>
  <c r="Q193" i="8"/>
  <c r="Q108" i="8"/>
  <c r="DK96" i="8"/>
  <c r="DQ209" i="8"/>
  <c r="DM90" i="8"/>
  <c r="DM91" i="8" s="1"/>
  <c r="DM120" i="8" s="1"/>
  <c r="AH91" i="8"/>
  <c r="U195" i="8"/>
  <c r="U107" i="8"/>
  <c r="S195" i="8"/>
  <c r="S107" i="8"/>
  <c r="N195" i="8"/>
  <c r="N107" i="8"/>
  <c r="T195" i="8"/>
  <c r="T107" i="8"/>
  <c r="DJ199" i="8"/>
  <c r="DI112" i="8"/>
  <c r="AO97" i="8"/>
  <c r="R108" i="8"/>
  <c r="R193" i="8"/>
  <c r="AE97" i="8"/>
  <c r="AA112" i="8"/>
  <c r="AA113" i="8"/>
  <c r="DR208" i="8"/>
  <c r="DK90" i="8"/>
  <c r="DK91" i="8" s="1"/>
  <c r="DK120" i="8" s="1"/>
  <c r="X91" i="8"/>
  <c r="X97" i="8" s="1"/>
  <c r="X105" i="8" s="1"/>
  <c r="X107" i="8" s="1"/>
  <c r="X108" i="8" s="1"/>
  <c r="CX111" i="8" l="1"/>
  <c r="CX114" i="8"/>
  <c r="DB108" i="8"/>
  <c r="DB116" i="8"/>
  <c r="CX107" i="8"/>
  <c r="CX116" i="8" s="1"/>
  <c r="CV116" i="8"/>
  <c r="DO113" i="8"/>
  <c r="DO120" i="8"/>
  <c r="DN120" i="8"/>
  <c r="EA93" i="8"/>
  <c r="EA120" i="8"/>
  <c r="EE10" i="8"/>
  <c r="EF10" i="8" s="1"/>
  <c r="EG10" i="8" s="1"/>
  <c r="EH10" i="8" s="1"/>
  <c r="EI10" i="8" s="1"/>
  <c r="EJ10" i="8" s="1"/>
  <c r="EK10" i="8" s="1"/>
  <c r="EL10" i="8" s="1"/>
  <c r="EM10" i="8" s="1"/>
  <c r="EN10" i="8" s="1"/>
  <c r="CS111" i="8"/>
  <c r="CS97" i="8"/>
  <c r="DL120" i="8"/>
  <c r="DP120" i="8"/>
  <c r="CR111" i="8"/>
  <c r="CR97" i="8"/>
  <c r="CW108" i="8"/>
  <c r="EB11" i="8"/>
  <c r="EA97" i="8"/>
  <c r="EA111" i="8"/>
  <c r="DO209" i="8"/>
  <c r="CO174" i="8"/>
  <c r="O107" i="8"/>
  <c r="O108" i="8" s="1"/>
  <c r="DO112" i="8"/>
  <c r="CC114" i="8"/>
  <c r="EB99" i="8"/>
  <c r="CM113" i="8"/>
  <c r="CM93" i="8"/>
  <c r="CM120" i="8"/>
  <c r="CM112" i="8"/>
  <c r="CD117" i="8"/>
  <c r="DF105" i="8"/>
  <c r="DF117" i="8" s="1"/>
  <c r="DP94" i="8"/>
  <c r="DP96" i="8" s="1"/>
  <c r="DP93" i="8"/>
  <c r="DP92" i="8" s="1"/>
  <c r="AQ105" i="8"/>
  <c r="AQ117" i="8" s="1"/>
  <c r="CG107" i="8"/>
  <c r="CG117" i="8"/>
  <c r="CK93" i="8"/>
  <c r="CK120" i="8"/>
  <c r="CC107" i="8"/>
  <c r="CC117" i="8"/>
  <c r="CE107" i="8"/>
  <c r="CE117" i="8"/>
  <c r="CI105" i="8"/>
  <c r="CI114" i="8"/>
  <c r="CJ107" i="8"/>
  <c r="CJ117" i="8"/>
  <c r="CF107" i="8"/>
  <c r="CF117" i="8"/>
  <c r="CH107" i="8"/>
  <c r="CH117" i="8"/>
  <c r="CD108" i="8"/>
  <c r="CD116" i="8"/>
  <c r="CL120" i="8"/>
  <c r="CL113" i="8"/>
  <c r="CL112" i="8"/>
  <c r="CK113" i="8"/>
  <c r="CK112" i="8"/>
  <c r="Z105" i="8"/>
  <c r="Z115" i="8" s="1"/>
  <c r="DI97" i="8"/>
  <c r="DI114" i="8" s="1"/>
  <c r="P107" i="8"/>
  <c r="P193" i="8" s="1"/>
  <c r="DN97" i="8"/>
  <c r="CO91" i="8"/>
  <c r="L108" i="8"/>
  <c r="DG107" i="8"/>
  <c r="DG108" i="8" s="1"/>
  <c r="DH107" i="8"/>
  <c r="DH108" i="8" s="1"/>
  <c r="DH117" i="8"/>
  <c r="M193" i="8"/>
  <c r="M108" i="8"/>
  <c r="AN105" i="8"/>
  <c r="AK105" i="8"/>
  <c r="V193" i="8"/>
  <c r="AG105" i="8"/>
  <c r="K108" i="8"/>
  <c r="K193" i="8"/>
  <c r="AP105" i="8"/>
  <c r="AC105" i="8"/>
  <c r="AC114" i="8"/>
  <c r="AF105" i="8"/>
  <c r="AL105" i="8"/>
  <c r="AI117" i="8"/>
  <c r="AI107" i="8"/>
  <c r="AB105" i="8"/>
  <c r="AB114" i="8"/>
  <c r="AM97" i="8"/>
  <c r="N193" i="8"/>
  <c r="N108" i="8"/>
  <c r="DR209" i="8"/>
  <c r="S193" i="8"/>
  <c r="S108" i="8"/>
  <c r="DL97" i="8"/>
  <c r="AE105" i="8"/>
  <c r="U193" i="8"/>
  <c r="U108" i="8"/>
  <c r="DJ97" i="8"/>
  <c r="AO105" i="8"/>
  <c r="AL120" i="8"/>
  <c r="DS208" i="8"/>
  <c r="AA97" i="8"/>
  <c r="DK97" i="8"/>
  <c r="T193" i="8"/>
  <c r="T108" i="8"/>
  <c r="DQ94" i="8"/>
  <c r="DQ96" i="8" s="1"/>
  <c r="DQ93" i="8"/>
  <c r="DQ92" i="8" s="1"/>
  <c r="CX108" i="8" l="1"/>
  <c r="DF107" i="8"/>
  <c r="DF116" i="8" s="1"/>
  <c r="CR105" i="8"/>
  <c r="CR114" i="8"/>
  <c r="CS105" i="8"/>
  <c r="CS114" i="8"/>
  <c r="DF115" i="8"/>
  <c r="CN120" i="8"/>
  <c r="CN93" i="8"/>
  <c r="CN111" i="8" s="1"/>
  <c r="CR120" i="8"/>
  <c r="CO93" i="8"/>
  <c r="CS120" i="8"/>
  <c r="O193" i="8"/>
  <c r="CN112" i="8"/>
  <c r="CN113" i="8"/>
  <c r="Z117" i="8"/>
  <c r="CM111" i="8"/>
  <c r="CM97" i="8"/>
  <c r="CM114" i="8" s="1"/>
  <c r="Z107" i="8"/>
  <c r="Z108" i="8" s="1"/>
  <c r="EE11" i="8"/>
  <c r="DP97" i="8"/>
  <c r="DP105" i="8" s="1"/>
  <c r="DP106" i="8" s="1"/>
  <c r="AQ107" i="8"/>
  <c r="AQ108" i="8" s="1"/>
  <c r="CF108" i="8"/>
  <c r="CF116" i="8"/>
  <c r="CI107" i="8"/>
  <c r="CI117" i="8"/>
  <c r="DI105" i="8"/>
  <c r="DI117" i="8" s="1"/>
  <c r="CH108" i="8"/>
  <c r="CH116" i="8"/>
  <c r="CE108" i="8"/>
  <c r="CE116" i="8"/>
  <c r="CC108" i="8"/>
  <c r="CC116" i="8"/>
  <c r="CJ108" i="8"/>
  <c r="CJ116" i="8"/>
  <c r="CG108" i="8"/>
  <c r="CG116" i="8"/>
  <c r="CP91" i="8"/>
  <c r="CL111" i="8"/>
  <c r="CL97" i="8"/>
  <c r="CO120" i="8"/>
  <c r="CO112" i="8"/>
  <c r="CO113" i="8"/>
  <c r="CK111" i="8"/>
  <c r="CK97" i="8"/>
  <c r="P108" i="8"/>
  <c r="DN105" i="8"/>
  <c r="DN106" i="8" s="1"/>
  <c r="DN117" i="8" s="1"/>
  <c r="AK106" i="8"/>
  <c r="AK117" i="8" s="1"/>
  <c r="AN117" i="8"/>
  <c r="AN107" i="8"/>
  <c r="AI108" i="8"/>
  <c r="AF107" i="8"/>
  <c r="AF117" i="8"/>
  <c r="AC115" i="8"/>
  <c r="AC117" i="8"/>
  <c r="AC107" i="8"/>
  <c r="AL117" i="8"/>
  <c r="AL107" i="8"/>
  <c r="AP107" i="8"/>
  <c r="AP117" i="8"/>
  <c r="AG117" i="8"/>
  <c r="AG107" i="8"/>
  <c r="DR94" i="8"/>
  <c r="DR96" i="8" s="1"/>
  <c r="DR93" i="8"/>
  <c r="DM97" i="8"/>
  <c r="DJ114" i="8"/>
  <c r="DJ105" i="8"/>
  <c r="DO97" i="8"/>
  <c r="DO111" i="8"/>
  <c r="AM105" i="8"/>
  <c r="DK105" i="8"/>
  <c r="AO107" i="8"/>
  <c r="AO117" i="8"/>
  <c r="AE106" i="8"/>
  <c r="AE117" i="8" s="1"/>
  <c r="AJ97" i="8"/>
  <c r="AA105" i="8"/>
  <c r="AA114" i="8"/>
  <c r="DQ97" i="8"/>
  <c r="DQ114" i="8" s="1"/>
  <c r="DT208" i="8"/>
  <c r="DL105" i="8"/>
  <c r="AB115" i="8"/>
  <c r="AB117" i="8"/>
  <c r="AB107" i="8"/>
  <c r="DP114" i="8" l="1"/>
  <c r="CR107" i="8"/>
  <c r="CR117" i="8"/>
  <c r="CS107" i="8"/>
  <c r="CS117" i="8"/>
  <c r="CP120" i="8"/>
  <c r="CP93" i="8"/>
  <c r="CT120" i="8"/>
  <c r="Z116" i="8"/>
  <c r="CN97" i="8"/>
  <c r="CN105" i="8" s="1"/>
  <c r="DI195" i="8"/>
  <c r="EF11" i="8"/>
  <c r="DI107" i="8"/>
  <c r="DI115" i="8"/>
  <c r="EB90" i="8"/>
  <c r="CM105" i="8"/>
  <c r="CM117" i="8" s="1"/>
  <c r="CI108" i="8"/>
  <c r="CI116" i="8"/>
  <c r="CP112" i="8"/>
  <c r="CP113" i="8"/>
  <c r="CL114" i="8"/>
  <c r="CL105" i="8"/>
  <c r="CO111" i="8"/>
  <c r="CO97" i="8"/>
  <c r="CK114" i="8"/>
  <c r="CK105" i="8"/>
  <c r="AN108" i="8"/>
  <c r="DP107" i="8"/>
  <c r="DR97" i="8"/>
  <c r="DR114" i="8" s="1"/>
  <c r="AK107" i="8"/>
  <c r="AL108" i="8"/>
  <c r="AC108" i="8"/>
  <c r="AC116" i="8"/>
  <c r="AF108" i="8"/>
  <c r="AE107" i="8"/>
  <c r="AE108" i="8" s="1"/>
  <c r="AG108" i="8"/>
  <c r="DN107" i="8"/>
  <c r="AP108" i="8"/>
  <c r="DS93" i="8"/>
  <c r="DS94" i="8"/>
  <c r="DS96" i="8" s="1"/>
  <c r="DJ117" i="8"/>
  <c r="DJ107" i="8"/>
  <c r="DJ195" i="8"/>
  <c r="AO108" i="8"/>
  <c r="DT209" i="8"/>
  <c r="AM107" i="8"/>
  <c r="AM117" i="8"/>
  <c r="DI108" i="8"/>
  <c r="DI116" i="8"/>
  <c r="AH97" i="8"/>
  <c r="DS209" i="8"/>
  <c r="AB108" i="8"/>
  <c r="AB116" i="8"/>
  <c r="AJ105" i="8"/>
  <c r="DL107" i="8"/>
  <c r="DL117" i="8"/>
  <c r="AA107" i="8"/>
  <c r="AA115" i="8"/>
  <c r="AA117" i="8"/>
  <c r="DR92" i="8"/>
  <c r="DU208" i="8"/>
  <c r="DM105" i="8"/>
  <c r="DK107" i="8"/>
  <c r="DK117" i="8"/>
  <c r="DO114" i="8"/>
  <c r="DO105" i="8"/>
  <c r="CR145" i="8" l="1"/>
  <c r="CR116" i="8"/>
  <c r="CR108" i="8"/>
  <c r="CS108" i="8"/>
  <c r="CS145" i="8"/>
  <c r="CS116" i="8"/>
  <c r="CN114" i="8"/>
  <c r="EB92" i="8"/>
  <c r="EC90" i="8"/>
  <c r="EB91" i="8"/>
  <c r="EB120" i="8" s="1"/>
  <c r="EG11" i="8"/>
  <c r="CP97" i="8"/>
  <c r="CP114" i="8" s="1"/>
  <c r="DQ104" i="8"/>
  <c r="DQ105" i="8" s="1"/>
  <c r="CP111" i="8"/>
  <c r="CM107" i="8"/>
  <c r="CM145" i="8" s="1"/>
  <c r="CL117" i="8"/>
  <c r="CK117" i="8"/>
  <c r="CO114" i="8"/>
  <c r="CO105" i="8"/>
  <c r="AK108" i="8"/>
  <c r="DU209" i="8"/>
  <c r="DJ108" i="8"/>
  <c r="AJ117" i="8"/>
  <c r="AJ107" i="8"/>
  <c r="DV208" i="8"/>
  <c r="AM108" i="8"/>
  <c r="DO107" i="8"/>
  <c r="DO117" i="8"/>
  <c r="DO115" i="8"/>
  <c r="AA108" i="8"/>
  <c r="AA116" i="8"/>
  <c r="DM106" i="8"/>
  <c r="DM117" i="8" s="1"/>
  <c r="DS97" i="8"/>
  <c r="DS114" i="8" s="1"/>
  <c r="DT93" i="8"/>
  <c r="DT92" i="8" s="1"/>
  <c r="DT94" i="8"/>
  <c r="DT96" i="8" s="1"/>
  <c r="DK108" i="8"/>
  <c r="AH105" i="8"/>
  <c r="DS92" i="8"/>
  <c r="CP105" i="8" l="1"/>
  <c r="CP117" i="8" s="1"/>
  <c r="EB93" i="8"/>
  <c r="EB97" i="8" s="1"/>
  <c r="CN117" i="8"/>
  <c r="EH11" i="8"/>
  <c r="ED90" i="8"/>
  <c r="EC91" i="8"/>
  <c r="CM108" i="8"/>
  <c r="CM116" i="8"/>
  <c r="CN107" i="8"/>
  <c r="CN145" i="8" s="1"/>
  <c r="CK107" i="8"/>
  <c r="CK116" i="8" s="1"/>
  <c r="CL107" i="8"/>
  <c r="CO117" i="8"/>
  <c r="DM107" i="8"/>
  <c r="DQ106" i="8"/>
  <c r="DO116" i="8"/>
  <c r="DU94" i="8"/>
  <c r="DU96" i="8" s="1"/>
  <c r="DU93" i="8"/>
  <c r="DU92" i="8" s="1"/>
  <c r="AJ108" i="8"/>
  <c r="AH107" i="8"/>
  <c r="DT97" i="8"/>
  <c r="DT114" i="8" s="1"/>
  <c r="DW208" i="8"/>
  <c r="CK108" i="8" l="1"/>
  <c r="EC93" i="8"/>
  <c r="EC120" i="8"/>
  <c r="EC113" i="8"/>
  <c r="EB111" i="8"/>
  <c r="EC92" i="8"/>
  <c r="EC111" i="8"/>
  <c r="CN108" i="8"/>
  <c r="EE90" i="8"/>
  <c r="ED91" i="8"/>
  <c r="ED120" i="8" s="1"/>
  <c r="EB106" i="8"/>
  <c r="EI11" i="8"/>
  <c r="CN116" i="8"/>
  <c r="CP107" i="8"/>
  <c r="CO107" i="8"/>
  <c r="CL108" i="8"/>
  <c r="CL116" i="8"/>
  <c r="DU97" i="8"/>
  <c r="DU114" i="8" s="1"/>
  <c r="DQ107" i="8"/>
  <c r="DV94" i="8"/>
  <c r="DV96" i="8" s="1"/>
  <c r="DV93" i="8"/>
  <c r="DX208" i="8"/>
  <c r="DV209" i="8"/>
  <c r="AH108" i="8"/>
  <c r="CP108" i="8" l="1"/>
  <c r="CP145" i="8"/>
  <c r="CO108" i="8"/>
  <c r="CO145" i="8"/>
  <c r="EB126" i="8"/>
  <c r="EC99" i="8" s="1"/>
  <c r="EC104" i="8" s="1"/>
  <c r="EJ11" i="8"/>
  <c r="ED93" i="8"/>
  <c r="ED111" i="8" s="1"/>
  <c r="EF90" i="8"/>
  <c r="EE91" i="8"/>
  <c r="EE120" i="8" s="1"/>
  <c r="CP116" i="8"/>
  <c r="CO116" i="8"/>
  <c r="DV97" i="8"/>
  <c r="DV114" i="8" s="1"/>
  <c r="DW94" i="8"/>
  <c r="DW96" i="8" s="1"/>
  <c r="DW93" i="8"/>
  <c r="DV92" i="8"/>
  <c r="DW209" i="8"/>
  <c r="ED92" i="8" l="1"/>
  <c r="EG90" i="8"/>
  <c r="EF91" i="8"/>
  <c r="EF120" i="8" s="1"/>
  <c r="EE93" i="8"/>
  <c r="EK11" i="8"/>
  <c r="DW97" i="8"/>
  <c r="DW114" i="8" s="1"/>
  <c r="DW92" i="8"/>
  <c r="DR104" i="8"/>
  <c r="DR105" i="8" s="1"/>
  <c r="DX93" i="8"/>
  <c r="DX92" i="8" s="1"/>
  <c r="DX94" i="8"/>
  <c r="DX209" i="8"/>
  <c r="EE92" i="8" l="1"/>
  <c r="EE111" i="8"/>
  <c r="EF94" i="8"/>
  <c r="EF96" i="8" s="1"/>
  <c r="EF93" i="8"/>
  <c r="EL11" i="8"/>
  <c r="EH90" i="8"/>
  <c r="EG91" i="8"/>
  <c r="EG120" i="8" s="1"/>
  <c r="DX96" i="8"/>
  <c r="DX97" i="8" s="1"/>
  <c r="DX114" i="8" s="1"/>
  <c r="DY94" i="8"/>
  <c r="DY93" i="8"/>
  <c r="DY92" i="8" s="1"/>
  <c r="DR106" i="8"/>
  <c r="EF97" i="8" l="1"/>
  <c r="EF111" i="8"/>
  <c r="EF92" i="8"/>
  <c r="EI90" i="8"/>
  <c r="EH91" i="8"/>
  <c r="EH120" i="8" s="1"/>
  <c r="EG94" i="8"/>
  <c r="EG96" i="8" s="1"/>
  <c r="EG93" i="8"/>
  <c r="EG111" i="8" s="1"/>
  <c r="EM11" i="8"/>
  <c r="DR107" i="8"/>
  <c r="DY96" i="8"/>
  <c r="DY97" i="8" s="1"/>
  <c r="EG97" i="8" l="1"/>
  <c r="EN11" i="8"/>
  <c r="EG92" i="8"/>
  <c r="EH94" i="8"/>
  <c r="EH96" i="8" s="1"/>
  <c r="EH93" i="8"/>
  <c r="EH111" i="8" s="1"/>
  <c r="EJ90" i="8"/>
  <c r="EI91" i="8"/>
  <c r="EI120" i="8" s="1"/>
  <c r="DZ96" i="8"/>
  <c r="EH92" i="8" l="1"/>
  <c r="EK90" i="8"/>
  <c r="EJ91" i="8"/>
  <c r="EJ120" i="8" s="1"/>
  <c r="EI94" i="8"/>
  <c r="EI96" i="8" s="1"/>
  <c r="EI93" i="8"/>
  <c r="EI111" i="8" s="1"/>
  <c r="EH97" i="8"/>
  <c r="DS104" i="8"/>
  <c r="DS105" i="8" s="1"/>
  <c r="EI92" i="8" l="1"/>
  <c r="EI97" i="8"/>
  <c r="EJ94" i="8"/>
  <c r="EJ96" i="8" s="1"/>
  <c r="EJ93" i="8"/>
  <c r="EJ92" i="8" s="1"/>
  <c r="EL90" i="8"/>
  <c r="EK91" i="8"/>
  <c r="EK120" i="8" s="1"/>
  <c r="DS106" i="8"/>
  <c r="EC94" i="8"/>
  <c r="EC112" i="8" s="1"/>
  <c r="EJ97" i="8" l="1"/>
  <c r="EJ111" i="8"/>
  <c r="EK94" i="8"/>
  <c r="EK96" i="8" s="1"/>
  <c r="EK93" i="8"/>
  <c r="EM90" i="8"/>
  <c r="EL91" i="8"/>
  <c r="EL120" i="8" s="1"/>
  <c r="ED94" i="8"/>
  <c r="EC96" i="8"/>
  <c r="EC97" i="8" s="1"/>
  <c r="DS107" i="8"/>
  <c r="EC105" i="8" l="1"/>
  <c r="EC114" i="8"/>
  <c r="EK97" i="8"/>
  <c r="EK111" i="8"/>
  <c r="EL94" i="8"/>
  <c r="EL96" i="8" s="1"/>
  <c r="EL93" i="8"/>
  <c r="EL92" i="8" s="1"/>
  <c r="EN90" i="8"/>
  <c r="EN91" i="8" s="1"/>
  <c r="EM91" i="8"/>
  <c r="EM120" i="8" s="1"/>
  <c r="EK92" i="8"/>
  <c r="ED96" i="8"/>
  <c r="ED97" i="8" s="1"/>
  <c r="EE94" i="8"/>
  <c r="EE96" i="8" s="1"/>
  <c r="EN120" i="8" l="1"/>
  <c r="EL97" i="8"/>
  <c r="EL111" i="8"/>
  <c r="EM94" i="8"/>
  <c r="EM96" i="8" s="1"/>
  <c r="EM93" i="8"/>
  <c r="EN94" i="8"/>
  <c r="EN96" i="8" s="1"/>
  <c r="EN93" i="8"/>
  <c r="EN111" i="8" s="1"/>
  <c r="DT104" i="8"/>
  <c r="DT105" i="8" s="1"/>
  <c r="EE97" i="8"/>
  <c r="EN92" i="8" l="1"/>
  <c r="EM92" i="8"/>
  <c r="EM111" i="8"/>
  <c r="EN97" i="8"/>
  <c r="EM97" i="8"/>
  <c r="DT106" i="8"/>
  <c r="DT107" i="8" l="1"/>
  <c r="DU104" i="8" l="1"/>
  <c r="DU105" i="8" s="1"/>
  <c r="DU106" i="8" l="1"/>
  <c r="DU107" i="8" l="1"/>
  <c r="DV104" i="8" l="1"/>
  <c r="DV105" i="8" s="1"/>
  <c r="DV106" i="8" l="1"/>
  <c r="DV107" i="8" l="1"/>
  <c r="DW104" i="8" l="1"/>
  <c r="DW105" i="8" s="1"/>
  <c r="DW106" i="8" l="1"/>
  <c r="DW107" i="8" l="1"/>
  <c r="DX104" i="8" l="1"/>
  <c r="DX105" i="8" s="1"/>
  <c r="DX106" i="8" l="1"/>
  <c r="DX107" i="8" l="1"/>
  <c r="DY104" i="8" l="1"/>
  <c r="DY105" i="8" s="1"/>
  <c r="DY106" i="8" l="1"/>
  <c r="DY107" i="8" s="1"/>
  <c r="DZ104" i="8" l="1"/>
  <c r="EA104" i="8" l="1"/>
  <c r="EA105" i="8" s="1"/>
  <c r="EA107" i="8" s="1"/>
  <c r="EA108" i="8" l="1"/>
  <c r="EB104" i="8" l="1"/>
  <c r="EB105" i="8" s="1"/>
  <c r="EB107" i="8" s="1"/>
  <c r="EB108" i="8" l="1"/>
  <c r="EC106" i="8" l="1"/>
  <c r="EC107" i="8" l="1"/>
  <c r="EC115" i="8" s="1"/>
  <c r="EC116" i="8"/>
  <c r="EC126" i="8"/>
  <c r="ED99" i="8" s="1"/>
  <c r="ED104" i="8" s="1"/>
  <c r="ED105" i="8" s="1"/>
  <c r="EC108" i="8"/>
  <c r="ED106" i="8" l="1"/>
  <c r="ED107" i="8" s="1"/>
  <c r="ED126" i="8" l="1"/>
  <c r="EE99" i="8" s="1"/>
  <c r="EE104" i="8" s="1"/>
  <c r="EE105" i="8" s="1"/>
  <c r="ED108" i="8"/>
  <c r="EE106" i="8" l="1"/>
  <c r="EE107" i="8" s="1"/>
  <c r="EE126" i="8" l="1"/>
  <c r="EF99" i="8" s="1"/>
  <c r="EE108" i="8"/>
  <c r="EF104" i="8" l="1"/>
  <c r="EF105" i="8" s="1"/>
  <c r="EF106" i="8" s="1"/>
  <c r="EF107" i="8" s="1"/>
  <c r="EF108" i="8" l="1"/>
  <c r="EF126" i="8"/>
  <c r="EG99" i="8" l="1"/>
  <c r="EG104" i="8" s="1"/>
  <c r="EG105" i="8" s="1"/>
  <c r="EG106" i="8" s="1"/>
  <c r="EG107" i="8" s="1"/>
  <c r="EG108" i="8" l="1"/>
  <c r="EG126" i="8"/>
  <c r="EH99" i="8" l="1"/>
  <c r="EH104" i="8" s="1"/>
  <c r="EH105" i="8" s="1"/>
  <c r="EH106" i="8" s="1"/>
  <c r="EH107" i="8" s="1"/>
  <c r="EH108" i="8" l="1"/>
  <c r="EH126" i="8"/>
  <c r="EI99" i="8" l="1"/>
  <c r="EI104" i="8" s="1"/>
  <c r="EI105" i="8" s="1"/>
  <c r="EI106" i="8" s="1"/>
  <c r="EI107" i="8" s="1"/>
  <c r="EI126" i="8" s="1"/>
  <c r="EJ99" i="8" l="1"/>
  <c r="EJ104" i="8" s="1"/>
  <c r="EJ105" i="8" s="1"/>
  <c r="EJ106" i="8" s="1"/>
  <c r="EJ107" i="8" s="1"/>
  <c r="EJ108" i="8" s="1"/>
  <c r="EI108" i="8"/>
  <c r="EJ126" i="8" l="1"/>
  <c r="EK99" i="8" l="1"/>
  <c r="EK104" i="8" s="1"/>
  <c r="EK105" i="8" s="1"/>
  <c r="EK106" i="8" s="1"/>
  <c r="EK107" i="8" s="1"/>
  <c r="EK108" i="8" l="1"/>
  <c r="EK126" i="8"/>
  <c r="EL99" i="8" l="1"/>
  <c r="EL104" i="8" s="1"/>
  <c r="EL105" i="8" s="1"/>
  <c r="EL106" i="8" s="1"/>
  <c r="EL107" i="8" s="1"/>
  <c r="EL108" i="8" s="1"/>
  <c r="EL126" i="8" l="1"/>
  <c r="EM99" i="8" l="1"/>
  <c r="EM104" i="8" s="1"/>
  <c r="EM105" i="8" s="1"/>
  <c r="EM106" i="8" s="1"/>
  <c r="EM107" i="8" s="1"/>
  <c r="EM108" i="8" s="1"/>
  <c r="EM126" i="8" l="1"/>
  <c r="EN99" i="8" l="1"/>
  <c r="EN104" i="8" s="1"/>
  <c r="EN105" i="8" s="1"/>
  <c r="EN106" i="8" l="1"/>
  <c r="EN107" i="8" s="1"/>
  <c r="EO107" i="8" l="1"/>
  <c r="EN126" i="8"/>
  <c r="EN108" i="8"/>
  <c r="EP107" i="8" l="1"/>
  <c r="EQ107" i="8" s="1"/>
  <c r="ER107" i="8" s="1"/>
  <c r="ES107" i="8" s="1"/>
  <c r="ET107" i="8" s="1"/>
  <c r="EU107" i="8" s="1"/>
  <c r="EV107" i="8" s="1"/>
  <c r="EW107" i="8" s="1"/>
  <c r="EX107" i="8" s="1"/>
  <c r="EY107" i="8" s="1"/>
  <c r="EZ107" i="8" s="1"/>
  <c r="FA107" i="8" s="1"/>
  <c r="FB107" i="8" s="1"/>
  <c r="FC107" i="8" s="1"/>
  <c r="FD107" i="8" s="1"/>
  <c r="FE107" i="8" s="1"/>
  <c r="FF107" i="8" s="1"/>
  <c r="FG107" i="8" s="1"/>
  <c r="FH107" i="8" s="1"/>
  <c r="FI107" i="8" s="1"/>
  <c r="FJ107" i="8" s="1"/>
  <c r="FK107" i="8" s="1"/>
  <c r="FL107" i="8" s="1"/>
  <c r="FM107" i="8" s="1"/>
  <c r="FN107" i="8" s="1"/>
  <c r="FO107" i="8" s="1"/>
  <c r="FP107" i="8" s="1"/>
  <c r="FQ107" i="8" s="1"/>
  <c r="FR107" i="8" s="1"/>
  <c r="FS107" i="8" s="1"/>
  <c r="FT107" i="8" s="1"/>
  <c r="FU107" i="8" s="1"/>
  <c r="FV107" i="8" s="1"/>
  <c r="FW107" i="8" s="1"/>
  <c r="FX107" i="8" s="1"/>
  <c r="FY107" i="8" s="1"/>
  <c r="FZ107" i="8" s="1"/>
  <c r="GA107" i="8" s="1"/>
  <c r="GB107" i="8" s="1"/>
  <c r="GC107" i="8" s="1"/>
  <c r="GD107" i="8" s="1"/>
  <c r="GE107" i="8" s="1"/>
  <c r="GF107" i="8" s="1"/>
  <c r="GG107" i="8" s="1"/>
  <c r="GH107" i="8" s="1"/>
  <c r="GI107" i="8" s="1"/>
  <c r="GJ107" i="8" s="1"/>
  <c r="GK107" i="8" s="1"/>
  <c r="GL107" i="8" s="1"/>
  <c r="GM107" i="8" s="1"/>
  <c r="GN107" i="8" s="1"/>
  <c r="GO107" i="8" s="1"/>
  <c r="GP107" i="8" s="1"/>
  <c r="GQ107" i="8" s="1"/>
  <c r="GR107" i="8" s="1"/>
  <c r="GS107" i="8" s="1"/>
  <c r="GT107" i="8" s="1"/>
  <c r="GU107" i="8" s="1"/>
  <c r="GV107" i="8" s="1"/>
  <c r="GW107" i="8" s="1"/>
  <c r="GX107" i="8" s="1"/>
  <c r="GY107" i="8" s="1"/>
  <c r="GZ107" i="8" s="1"/>
  <c r="HA107" i="8" s="1"/>
  <c r="HB107" i="8" s="1"/>
  <c r="HC107" i="8" s="1"/>
  <c r="HD107" i="8" s="1"/>
  <c r="HE107" i="8" s="1"/>
  <c r="HF107" i="8" s="1"/>
  <c r="HG107" i="8" s="1"/>
  <c r="HH107" i="8" l="1"/>
  <c r="DZ97" i="8"/>
  <c r="DZ105" i="8" s="1"/>
  <c r="DZ107" i="8" s="1"/>
  <c r="HI107" i="8" l="1"/>
  <c r="HJ107" i="8" s="1"/>
  <c r="HK107" i="8" s="1"/>
  <c r="HL107" i="8" s="1"/>
  <c r="HM107" i="8" s="1"/>
  <c r="HN107" i="8" s="1"/>
  <c r="HO107" i="8" s="1"/>
  <c r="HP107" i="8" s="1"/>
  <c r="HQ107" i="8" s="1"/>
  <c r="HR107" i="8" s="1"/>
  <c r="HS107" i="8" s="1"/>
  <c r="HT107" i="8" s="1"/>
  <c r="HU107" i="8" s="1"/>
  <c r="HV107" i="8" s="1"/>
  <c r="HW107" i="8" s="1"/>
  <c r="HX107" i="8" s="1"/>
  <c r="HY107" i="8" s="1"/>
  <c r="HZ107" i="8" s="1"/>
  <c r="IA107" i="8" s="1"/>
  <c r="IB107" i="8" s="1"/>
  <c r="IC107" i="8" s="1"/>
  <c r="ID107" i="8" s="1"/>
  <c r="IE107" i="8" s="1"/>
  <c r="IF107" i="8" s="1"/>
  <c r="IG107" i="8" s="1"/>
  <c r="IH107" i="8" s="1"/>
  <c r="II107" i="8" s="1"/>
  <c r="IJ107" i="8" s="1"/>
  <c r="IK107" i="8" s="1"/>
  <c r="IL107" i="8" s="1"/>
  <c r="IM107" i="8" s="1"/>
  <c r="IN107" i="8" s="1"/>
  <c r="IO107" i="8" s="1"/>
  <c r="IP107" i="8" s="1"/>
  <c r="IQ107" i="8" s="1"/>
  <c r="IR107" i="8" s="1"/>
  <c r="IS107" i="8" s="1"/>
  <c r="IT107" i="8" s="1"/>
  <c r="EQ114" i="8"/>
  <c r="EQ115" i="8" s="1"/>
  <c r="DZ10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MSMB - Andre</author>
  </authors>
  <commentList>
    <comment ref="E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Declines from 60% in '09 to 50% in '14. Revised in 12/2007.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tc={EA2654BB-4EA3-47B3-B6FC-17B457A550FF}</author>
    <author>tc={9AC6E709-089E-411C-99CB-CA664F38A07B}</author>
    <author>tc={E2196511-2B33-45B8-B252-29F03CA13909}</author>
    <author>tc={5F00E8E2-DB6B-4E10-97B7-BC967AF58539}</author>
    <author>Martin Shkreli</author>
    <author>tc={5FA60626-5639-4AE5-9365-A902F10010B3}</author>
    <author>MSMB</author>
    <author>MSMB - Andre</author>
    <author>tc={1DBC5D47-B262-4F0A-963C-13D294E7331F}</author>
    <author>tc={743FD384-0E35-44B2-981D-8EFF98B32E47}</author>
    <author>Lane Nussbaum</author>
    <author>Martin</author>
    <author>Bloomberg</author>
    <author xml:space="preserve"> </author>
    <author>mshkreli</author>
    <author>tc={A29B3FF7-0F38-41FD-8B90-13892A472691}</author>
    <author>James A. Kelly</author>
    <author>Authorized User</author>
    <author>RBC</author>
    <author>tc={C1BD413A-99FF-41DF-937A-88EF8D616602}</author>
    <author>tc={F4D29010-B63C-4B58-B2E6-142C51012576}</author>
    <author>tc={7821796D-9EB0-4DFB-8766-A9582AD4F077}</author>
    <author>tc={99E8A869-9A70-49E7-AF36-9A3825C38124}</author>
    <author>tc={140DB855-F5DD-4991-9A54-36A299C8D9FE}</author>
    <author>tc={D6D86380-783B-460C-A857-C52D55F18C37}</author>
    <author>tc={45860C4D-E168-4D30-9BA3-1D803A4D98B3}</author>
    <author>tc={32D27DA1-DA9E-4E87-BF5C-659185D7C779}</author>
    <author>tc={0E443A26-BD21-40B9-8851-30149E3C015B}</author>
    <author>tc={04E1602D-EC29-47E8-83D0-1DBBAB83CC34}</author>
    <author>tc={15AB8AE7-2286-40B1-B2EC-D76A0C71111A}</author>
    <author>tc={1FF6F84E-AC51-44C2-AAC6-2CA950AA2B5D}</author>
    <author>tc={556729A7-21BA-4BEB-B703-E9191657909A}</author>
    <author>tc={E98BEB81-4597-4FA8-8BF1-471D24C7D772}</author>
    <author>tc={E8436D29-76B9-4C1E-A41A-EC6F43F07E6E}</author>
    <author>waterg</author>
  </authors>
  <commentList>
    <comment ref="CS3" authorId="0" shapeId="0" xr:uid="{EA2654BB-4EA3-47B3-B6FC-17B457A550FF}">
      <text>
        <t>[Threaded comment]
Your version of Excel allows you to read this threaded comment; however, any edits to it will get removed if the file is opened in a newer version of Excel. Learn more: https://go.microsoft.com/fwlink/?linkid=870924
Comment:
    Growth in early stage indications</t>
      </text>
    </comment>
    <comment ref="DS4" authorId="1" shapeId="0" xr:uid="{9AC6E709-089E-411C-99CB-CA664F38A07B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12/16/14 approval for AZN</t>
      </text>
    </comment>
    <comment ref="ED4" authorId="2" shapeId="0" xr:uid="{E2196511-2B33-45B8-B252-29F03CA13909}">
      <text>
        <t>[Threaded comment]
Your version of Excel allows you to read this threaded comment; however, any edits to it will get removed if the file is opened in a newer version of Excel. Learn more: https://go.microsoft.com/fwlink/?linkid=870924
Comment:
    Litigation ongoing, may settle for 26-27?</t>
      </text>
    </comment>
    <comment ref="CS10" authorId="3" shapeId="0" xr:uid="{5F00E8E2-DB6B-4E10-97B7-BC967AF58539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China quarter, double-digit growth in almost every other country</t>
      </text>
    </comment>
    <comment ref="DM10" authorId="4" shapeId="0" xr:uid="{00000000-0006-0000-03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1.4-1.6 was suspended on Q2 call</t>
        </r>
      </text>
    </comment>
    <comment ref="EC10" authorId="5" shapeId="0" xr:uid="{5FA60626-5639-4AE5-9365-A902F10010B3}">
      <text>
        <t>[Threaded comment]
Your version of Excel allows you to read this threaded comment; however, any edits to it will get removed if the file is opened in a newer version of Excel. Learn more: https://go.microsoft.com/fwlink/?linkid=870924
Comment:
    2.0-3.0B China</t>
      </text>
    </comment>
    <comment ref="AM14" authorId="6" shapeId="0" xr:uid="{00000000-0006-0000-0300-00000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Inventory build benefit</t>
        </r>
      </text>
    </comment>
    <comment ref="AL19" authorId="7" shapeId="0" xr:uid="{00000000-0006-0000-0300-00000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Still 91% US</t>
        </r>
      </text>
    </comment>
    <comment ref="DN19" authorId="7" shapeId="0" xr:uid="{00000000-0006-0000-0300-00000D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exited year with 91% US</t>
        </r>
      </text>
    </comment>
    <comment ref="ED20" authorId="4" shapeId="0" xr:uid="{250CC160-02E8-432C-A7B8-88AE4769DE8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BR21" authorId="8" shapeId="0" xr:uid="{1DBC5D47-B262-4F0A-963C-13D294E73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11/08/2017</t>
      </text>
    </comment>
    <comment ref="AL26" authorId="6" shapeId="0" xr:uid="{00000000-0006-0000-03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635 total 3+3</t>
        </r>
      </text>
    </comment>
    <comment ref="ED26" authorId="4" shapeId="0" xr:uid="{C0F41FA4-EC30-4643-A7C2-18D98DC0DB35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CS35" authorId="9" shapeId="0" xr:uid="{743FD384-0E35-44B2-981D-8EFF98B32E4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in EU</t>
      </text>
    </comment>
    <comment ref="AL38" authorId="6" shapeId="0" xr:uid="{00000000-0006-0000-0300-00001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292 non-gaap 3+3</t>
        </r>
      </text>
    </comment>
    <comment ref="DG39" authorId="10" shapeId="0" xr:uid="{00000000-0006-0000-0300-00001300000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5443</t>
        </r>
      </text>
    </comment>
    <comment ref="DH39" authorId="10" shapeId="0" xr:uid="{00000000-0006-0000-0300-00001400000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5011</t>
        </r>
      </text>
    </comment>
    <comment ref="AL41" authorId="6" shapeId="0" xr:uid="{00000000-0006-0000-0300-00001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155 total 3+3 non-gaap</t>
        </r>
      </text>
    </comment>
    <comment ref="AM41" authorId="6" shapeId="0" xr:uid="{00000000-0006-0000-0300-00001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Up 9% ex-US!</t>
        </r>
      </text>
    </comment>
    <comment ref="DN41" authorId="6" shapeId="0" xr:uid="{00000000-0006-0000-0300-00001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30MS expired December 2009</t>
        </r>
      </text>
    </comment>
    <comment ref="AL43" authorId="6" shapeId="0" xr:uid="{00000000-0006-0000-0300-00001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216 total 3+3 non-gaap</t>
        </r>
      </text>
    </comment>
    <comment ref="AL45" authorId="6" shapeId="0" xr:uid="{00000000-0006-0000-0300-00001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149 non-gaap 3+3</t>
        </r>
      </text>
    </comment>
    <comment ref="AL49" authorId="6" shapeId="0" xr:uid="{00000000-0006-0000-0300-00000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135 non-gaap total 3+3</t>
        </r>
      </text>
    </comment>
    <comment ref="DM51" authorId="4" shapeId="0" xr:uid="{00000000-0006-0000-0300-00000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1.4-1.7 was suspended on Q2 call</t>
        </r>
      </text>
    </comment>
    <comment ref="AL54" authorId="6" shapeId="0" xr:uid="{00000000-0006-0000-03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614 total 3+3 non-gaap</t>
        </r>
      </text>
    </comment>
    <comment ref="AL55" authorId="6" shapeId="0" xr:uid="{00000000-0006-0000-0300-00000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577 3+3 total non-gaap</t>
        </r>
      </text>
    </comment>
    <comment ref="AL57" authorId="6" shapeId="0" xr:uid="{00000000-0006-0000-03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286 total 3+3 non-gaap</t>
        </r>
      </text>
    </comment>
    <comment ref="DN57" authorId="11" shapeId="0" xr:uid="{00000000-0006-0000-03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ANDA submitted 8/09</t>
        </r>
      </text>
    </comment>
    <comment ref="DP57" authorId="11" shapeId="0" xr:uid="{00000000-0006-0000-03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30-mo stay expires</t>
        </r>
      </text>
    </comment>
    <comment ref="AM58" authorId="6" shapeId="0" xr:uid="{00000000-0006-0000-03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 generics began</t>
        </r>
      </text>
    </comment>
    <comment ref="AN58" authorId="7" shapeId="0" xr:uid="{00000000-0006-0000-0300-00000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Cozaar US generics began in April</t>
        </r>
      </text>
    </comment>
    <comment ref="DM58" authorId="4" shapeId="0" xr:uid="{00000000-0006-0000-03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3.5-3.7 was suspended on Q2 call</t>
        </r>
      </text>
    </comment>
    <comment ref="AL60" authorId="6" shapeId="0" xr:uid="{00000000-0006-0000-0300-00001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60m non-GAAP 3+3</t>
        </r>
      </text>
    </comment>
    <comment ref="Z61" authorId="12" shapeId="0" xr:uid="{00000000-0006-0000-0300-00001A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generic 12/19</t>
        </r>
      </text>
    </comment>
    <comment ref="AA61" authorId="12" shapeId="0" xr:uid="{00000000-0006-0000-0300-00001B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80% of sales</t>
        </r>
      </text>
    </comment>
    <comment ref="AL62" authorId="6" shapeId="0" xr:uid="{00000000-0006-0000-0300-00001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 total non-GAAP 3+3</t>
        </r>
      </text>
    </comment>
    <comment ref="AL64" authorId="6" shapeId="0" xr:uid="{00000000-0006-0000-0300-00001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 non-gaap 3+3</t>
        </r>
      </text>
    </comment>
    <comment ref="DM66" authorId="4" shapeId="0" xr:uid="{00000000-0006-0000-0300-00001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4.4-4.6 was suspended on Q2 call</t>
        </r>
      </text>
    </comment>
    <comment ref="DN66" authorId="13" shapeId="0" xr:uid="{00000000-0006-0000-0300-00001F000000}">
      <text>
        <r>
          <rPr>
            <sz val="8"/>
            <color indexed="81"/>
            <rFont val="Tahoma"/>
            <family val="2"/>
          </rPr>
          <t>Citigroup 4.65</t>
        </r>
      </text>
    </comment>
    <comment ref="DO66" authorId="13" shapeId="0" xr:uid="{00000000-0006-0000-0300-000020000000}">
      <text>
        <r>
          <rPr>
            <sz val="8"/>
            <color indexed="81"/>
            <rFont val="Tahoma"/>
            <family val="2"/>
          </rPr>
          <t>Citigroup 5.02bn
10/09: -2% y/y in US (IMS)</t>
        </r>
      </text>
    </comment>
    <comment ref="DP66" authorId="13" shapeId="0" xr:uid="{00000000-0006-0000-0300-000021000000}">
      <text>
        <r>
          <rPr>
            <sz val="8"/>
            <color indexed="81"/>
            <rFont val="Tahoma"/>
            <family val="2"/>
          </rPr>
          <t>Citigroup 5.4bn</t>
        </r>
      </text>
    </comment>
    <comment ref="AL67" authorId="6" shapeId="0" xr:uid="{00000000-0006-0000-0300-00002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109 non-gaap 3+3</t>
        </r>
      </text>
    </comment>
    <comment ref="AL69" authorId="6" shapeId="0" xr:uid="{00000000-0006-0000-0300-00002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72 total non-gaap 3+3</t>
        </r>
      </text>
    </comment>
    <comment ref="AL70" authorId="6" shapeId="0" xr:uid="{00000000-0006-0000-0300-00002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70m non-gaap 3+3</t>
        </r>
      </text>
    </comment>
    <comment ref="AL71" authorId="6" shapeId="0" xr:uid="{00000000-0006-0000-0300-00002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56m non-gaap 3+3</t>
        </r>
      </text>
    </comment>
    <comment ref="AL72" authorId="6" shapeId="0" xr:uid="{00000000-0006-0000-0300-00002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58 total 3+3 non-gaap</t>
        </r>
      </text>
    </comment>
    <comment ref="AL73" authorId="6" shapeId="0" xr:uid="{00000000-0006-0000-0300-00002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total non-gaap 3+3</t>
        </r>
      </text>
    </comment>
    <comment ref="AL78" authorId="6" shapeId="0" xr:uid="{00000000-0006-0000-0300-00002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 non-gaap 3+3</t>
        </r>
      </text>
    </comment>
    <comment ref="DJ79" authorId="14" shapeId="0" xr:uid="{00000000-0006-0000-0300-00002B000000}">
      <text>
        <r>
          <rPr>
            <b/>
            <sz val="8"/>
            <color indexed="81"/>
            <rFont val="Tahoma"/>
            <family val="2"/>
          </rPr>
          <t>mshkreli:</t>
        </r>
        <r>
          <rPr>
            <sz val="8"/>
            <color indexed="81"/>
            <rFont val="Tahoma"/>
            <family val="2"/>
          </rPr>
          <t xml:space="preserve">
sold to guilford and then divested?</t>
        </r>
      </text>
    </comment>
    <comment ref="AL81" authorId="6" shapeId="0" xr:uid="{00000000-0006-0000-0300-00002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759 non-gaap 3+3</t>
        </r>
      </text>
    </comment>
    <comment ref="AL82" authorId="6" shapeId="0" xr:uid="{00000000-0006-0000-0300-00002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232 non-gaap 3+3</t>
        </r>
      </text>
    </comment>
    <comment ref="AL90" authorId="6" shapeId="0" xr:uid="{00000000-0006-0000-0300-00002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1186 other human health total non-gaap 3+3
759 animal health total non-gaap 3+3
420 other revenue total non-gaap 3+3</t>
        </r>
      </text>
    </comment>
    <comment ref="CC90" authorId="15" shapeId="0" xr:uid="{A29B3FF7-0F38-41FD-8B90-13892A47269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1,197</t>
      </text>
    </comment>
    <comment ref="AL91" authorId="7" shapeId="0" xr:uid="{00000000-0006-0000-0300-00003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11/3/09 SGP operations
published sales of 10.1bn.
FX +1% favorable.</t>
        </r>
      </text>
    </comment>
    <comment ref="AM91" authorId="7" shapeId="0" xr:uid="{00000000-0006-0000-0300-00003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35m hit from reform</t>
        </r>
      </text>
    </comment>
    <comment ref="DN91" authorId="7" shapeId="0" xr:uid="{00000000-0006-0000-0300-00002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FX -2% hit</t>
        </r>
      </text>
    </comment>
    <comment ref="DO91" authorId="7" shapeId="0" xr:uid="{00000000-0006-0000-0300-00003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170m hit from reform
Q1: 45.4-46.4bn</t>
        </r>
      </text>
    </comment>
    <comment ref="DR91" authorId="7" shapeId="0" xr:uid="{00000000-0006-0000-0300-00003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44.8bn</t>
        </r>
      </text>
    </comment>
    <comment ref="DS91" authorId="7" shapeId="0" xr:uid="{00000000-0006-0000-0300-000034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45.0bn</t>
        </r>
      </text>
    </comment>
    <comment ref="Q95" authorId="16" shapeId="0" xr:uid="{00000000-0006-0000-0300-000035000000}">
      <text>
        <r>
          <rPr>
            <b/>
            <sz val="8"/>
            <color indexed="81"/>
            <rFont val="Tahoma"/>
            <family val="2"/>
          </rPr>
          <t>James A. Kelly:</t>
        </r>
        <r>
          <rPr>
            <sz val="8"/>
            <color indexed="81"/>
            <rFont val="Tahoma"/>
            <family val="2"/>
          </rPr>
          <t xml:space="preserve">
Includes $35mm payment to DOV Pharma</t>
        </r>
      </text>
    </comment>
    <comment ref="AC95" authorId="12" shapeId="0" xr:uid="{00000000-0006-0000-0300-000036000000}">
      <text>
        <r>
          <rPr>
            <sz val="8"/>
            <color indexed="81"/>
            <rFont val="Tahoma"/>
            <family val="2"/>
          </rPr>
          <t>ex Novocardia</t>
        </r>
      </text>
    </comment>
    <comment ref="DO95" authorId="6" shapeId="0" xr:uid="{00000000-0006-0000-0300-00003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8.3-8.7</t>
        </r>
      </text>
    </comment>
    <comment ref="K103" authorId="17" shapeId="0" xr:uid="{00000000-0006-0000-0300-000038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$47.8 is Other net.
$90.4 is acquired R&amp;D from Banyu.</t>
        </r>
      </text>
    </comment>
    <comment ref="O103" authorId="17" shapeId="0" xr:uid="{00000000-0006-0000-0300-000039000000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317 rfom Management of Banyu investment portfolio (financial asset sales)</t>
        </r>
      </text>
    </comment>
    <comment ref="AE106" authorId="4" shapeId="0" xr:uid="{00000000-0006-0000-0300-00003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estimated</t>
        </r>
      </text>
    </comment>
    <comment ref="DO106" authorId="6" shapeId="0" xr:uid="{00000000-0006-0000-0300-00003B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22-24%</t>
        </r>
      </text>
    </comment>
    <comment ref="X108" authorId="12" shapeId="0" xr:uid="{00000000-0006-0000-0300-00003C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guidane 0.62-0.66</t>
        </r>
      </text>
    </comment>
    <comment ref="AL108" authorId="7" shapeId="0" xr:uid="{00000000-0006-0000-0300-00003D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0.79 published non-GAAP</t>
        </r>
      </text>
    </comment>
    <comment ref="DM108" authorId="18" shapeId="0" xr:uid="{00000000-0006-0000-0300-00003E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Q208: withdraws 3.28-3.38 guidance</t>
        </r>
      </text>
    </comment>
    <comment ref="DN108" authorId="7" shapeId="0" xr:uid="{00000000-0006-0000-0300-00003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3.25 non-gaap</t>
        </r>
      </text>
    </comment>
    <comment ref="DO108" authorId="11" shapeId="0" xr:uid="{00000000-0006-0000-0300-00004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Q1: Non-GAAP: 3.27-3.41
CS: 3.66
</t>
        </r>
      </text>
    </comment>
    <comment ref="DP108" authorId="11" shapeId="0" xr:uid="{00000000-0006-0000-0300-00004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3.64-3.76, withdrawn at Q410</t>
        </r>
      </text>
    </comment>
    <comment ref="DR108" authorId="7" shapeId="0" xr:uid="{00000000-0006-0000-0300-00004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HSD compound annual growth rate from 2009-2013
DB at 4.16</t>
        </r>
      </text>
    </comment>
    <comment ref="DS108" authorId="7" shapeId="0" xr:uid="{00000000-0006-0000-0300-00004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4.29 EPS</t>
        </r>
      </text>
    </comment>
    <comment ref="DM111" authorId="4" shapeId="0" xr:uid="{00000000-0006-0000-0300-00004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77.5-78.5 was suspended on Q2 call</t>
        </r>
      </text>
    </comment>
    <comment ref="DN111" authorId="12" shapeId="0" xr:uid="{00000000-0006-0000-0300-000047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77-78% guidance</t>
        </r>
      </text>
    </comment>
    <comment ref="CM121" authorId="19" shapeId="0" xr:uid="{C1BD413A-99FF-41DF-937A-88EF8D616602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Lagevrio</t>
      </text>
    </comment>
    <comment ref="CN121" authorId="20" shapeId="0" xr:uid="{F4D29010-B63C-4B58-B2E6-142C5101257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Lagevrio</t>
      </text>
    </comment>
    <comment ref="CO121" authorId="21" shapeId="0" xr:uid="{7821796D-9EB0-4DFB-8766-A9582AD4F077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Lagevrio</t>
      </text>
    </comment>
    <comment ref="CP121" authorId="22" shapeId="0" xr:uid="{99E8A869-9A70-49E7-AF36-9A3825C38124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Lagevrio</t>
      </text>
    </comment>
    <comment ref="CS122" authorId="23" shapeId="0" xr:uid="{140DB855-F5DD-4991-9A54-36A299C8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21% cc</t>
      </text>
    </comment>
    <comment ref="CT122" authorId="24" shapeId="0" xr:uid="{D6D86380-783B-460C-A857-C52D55F18C37}">
      <text>
        <t>[Threaded comment]
Your version of Excel allows you to read this threaded comment; however, any edits to it will get removed if the file is opened in a newer version of Excel. Learn more: https://go.microsoft.com/fwlink/?linkid=870924
Comment:
    +22% CC</t>
      </text>
    </comment>
    <comment ref="CY152" authorId="25" shapeId="0" xr:uid="{45860C4D-E168-4D30-9BA3-1D803A4D98B3}">
      <text>
        <t>[Threaded comment]
Your version of Excel allows you to read this threaded comment; however, any edits to it will get removed if the file is opened in a newer version of Excel. Learn more: https://go.microsoft.com/fwlink/?linkid=870924
Comment:
    Cidara</t>
      </text>
    </comment>
    <comment ref="CZ152" authorId="26" shapeId="0" xr:uid="{32D27DA1-DA9E-4E87-BF5C-659185D7C779}">
      <text>
        <t>[Threaded comment]
Your version of Excel allows you to read this threaded comment; however, any edits to it will get removed if the file is opened in a newer version of Excel. Learn more: https://go.microsoft.com/fwlink/?linkid=870924
Comment:
    Terns</t>
      </text>
    </comment>
    <comment ref="CM158" authorId="27" shapeId="0" xr:uid="{0E443A26-BD21-40B9-8851-30149E3C015B}">
      <text>
        <t>[Threaded comment]
Your version of Excel allows you to read this threaded comment; however, any edits to it will get removed if the file is opened in a newer version of Excel. Learn more: https://go.microsoft.com/fwlink/?linkid=870924
Comment:
    Imago</t>
      </text>
    </comment>
    <comment ref="CN158" authorId="28" shapeId="0" xr:uid="{04E1602D-EC29-47E8-83D0-1DBBAB83C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Prometheus</t>
      </text>
    </comment>
    <comment ref="CQ158" authorId="29" shapeId="0" xr:uid="{15AB8AE7-2286-40B1-B2EC-D76A0C71111A}">
      <text>
        <t>[Threaded comment]
Your version of Excel allows you to read this threaded comment; however, any edits to it will get removed if the file is opened in a newer version of Excel. Learn more: https://go.microsoft.com/fwlink/?linkid=870924
Comment:
    Harpoon</t>
      </text>
    </comment>
    <comment ref="CS158" authorId="30" shapeId="0" xr:uid="{1FF6F84E-AC51-44C2-AAC6-2CA950AA2B5D}">
      <text>
        <t>[Threaded comment]
Your version of Excel allows you to read this threaded comment; however, any edits to it will get removed if the file is opened in a newer version of Excel. Learn more: https://go.microsoft.com/fwlink/?linkid=870924
Comment:
    Eyebiotech
Elanco’s aqua
MK-1045</t>
      </text>
    </comment>
    <comment ref="CX158" authorId="31" shapeId="0" xr:uid="{556729A7-21BA-4BEB-B703-E9191657909A}">
      <text>
        <t>[Threaded comment]
Your version of Excel allows you to read this threaded comment; however, any edits to it will get removed if the file is opened in a newer version of Excel. Learn more: https://go.microsoft.com/fwlink/?linkid=870924
Comment:
    Verona</t>
      </text>
    </comment>
    <comment ref="CY158" authorId="32" shapeId="0" xr:uid="{E98BEB81-4597-4FA8-8BF1-471D24C7D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Cidara</t>
      </text>
    </comment>
    <comment ref="CZ158" authorId="33" shapeId="0" xr:uid="{E8436D29-76B9-4C1E-A41A-EC6F43F07E6E}">
      <text>
        <t>[Threaded comment]
Your version of Excel allows you to read this threaded comment; however, any edits to it will get removed if the file is opened in a newer version of Excel. Learn more: https://go.microsoft.com/fwlink/?linkid=870924
Comment:
    Terns</t>
      </text>
    </comment>
    <comment ref="AH172" authorId="6" shapeId="0" xr:uid="{00000000-0006-0000-0300-00004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6032 GAAP</t>
        </r>
      </text>
    </comment>
    <comment ref="AL172" authorId="6" shapeId="0" xr:uid="{00000000-0006-0000-0300-00004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10094 GAAP
12216 3+3 non-gaap</t>
        </r>
      </text>
    </comment>
    <comment ref="B189" authorId="34" shapeId="0" xr:uid="{00000000-0006-0000-0300-000048000000}">
      <text>
        <r>
          <rPr>
            <b/>
            <sz val="8"/>
            <color indexed="81"/>
            <rFont val="Tahoma"/>
            <family val="2"/>
          </rPr>
          <t xml:space="preserve">Estimate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0" authorId="34" shapeId="0" xr:uid="{00000000-0006-0000-0300-000049000000}">
      <text>
        <r>
          <rPr>
            <b/>
            <sz val="8"/>
            <color indexed="81"/>
            <rFont val="Tahoma"/>
            <family val="2"/>
          </rPr>
          <t xml:space="preserve">Estimate
</t>
        </r>
      </text>
    </comment>
    <comment ref="N192" authorId="34" shapeId="0" xr:uid="{00000000-0006-0000-0300-00004A000000}">
      <text>
        <r>
          <rPr>
            <b/>
            <sz val="8"/>
            <color indexed="81"/>
            <rFont val="Tahoma"/>
            <family val="2"/>
          </rPr>
          <t>waterg:</t>
        </r>
        <r>
          <rPr>
            <sz val="8"/>
            <color indexed="81"/>
            <rFont val="Tahoma"/>
            <family val="2"/>
          </rPr>
          <t xml:space="preserve">
This is an estimate</t>
        </r>
      </text>
    </comment>
  </commentList>
</comments>
</file>

<file path=xl/sharedStrings.xml><?xml version="1.0" encoding="utf-8"?>
<sst xmlns="http://schemas.openxmlformats.org/spreadsheetml/2006/main" count="1557" uniqueCount="1142">
  <si>
    <t>CINV</t>
  </si>
  <si>
    <t>Cancer</t>
  </si>
  <si>
    <t>Name</t>
  </si>
  <si>
    <t>Indication</t>
  </si>
  <si>
    <t>Rights</t>
  </si>
  <si>
    <t>Competition</t>
  </si>
  <si>
    <t>IP</t>
  </si>
  <si>
    <t>Phase</t>
  </si>
  <si>
    <t>Main</t>
  </si>
  <si>
    <t>Zocor</t>
  </si>
  <si>
    <t>Singulair</t>
  </si>
  <si>
    <t>Fosamax</t>
  </si>
  <si>
    <t>Type 2 Diabetes</t>
  </si>
  <si>
    <t>Gardasil</t>
  </si>
  <si>
    <t>HPV</t>
  </si>
  <si>
    <t>Osteoporosis</t>
  </si>
  <si>
    <t>Proquad</t>
  </si>
  <si>
    <t>MMR+chicken pox</t>
  </si>
  <si>
    <t>Rotateq</t>
  </si>
  <si>
    <t>MRK covers HPV 16, 18, 6 and 11</t>
  </si>
  <si>
    <t>GSK covers HPV 16 and 18 (cervical cancer)</t>
  </si>
  <si>
    <t>GSK using MPL which may result in longer duration of immunity.</t>
  </si>
  <si>
    <t>Dr. Mahmoud - head of MRK vaccine</t>
  </si>
  <si>
    <t>GSK vaccine meeting: 6/30/2005</t>
  </si>
  <si>
    <t>Mahmoud says FDA will require: pathology endpoint of reducing CIN2/3 lesions as well as infection rates.</t>
  </si>
  <si>
    <t>Morgan has datapoint that says FDA would require 7-month antibody titres relative to natural infection.</t>
  </si>
  <si>
    <t>Pricing is often thought to be near Prevnar</t>
  </si>
  <si>
    <t>However, MPL introduces uncertainty in the filing strategy.</t>
  </si>
  <si>
    <t>FUTURE II - quadravalent (Gardasil) 3-dose test with 4-year followup, n=11000</t>
  </si>
  <si>
    <t>Aliphatic acids</t>
  </si>
  <si>
    <t>phenylbutyrate</t>
  </si>
  <si>
    <t>penylacetate</t>
  </si>
  <si>
    <t>pivanex</t>
  </si>
  <si>
    <t>valproic acid</t>
  </si>
  <si>
    <t>cyclic peptides</t>
  </si>
  <si>
    <t>depsipeptide</t>
  </si>
  <si>
    <t>hydroximates</t>
  </si>
  <si>
    <t>saha</t>
  </si>
  <si>
    <t>pyroxamide</t>
  </si>
  <si>
    <t>cbha</t>
  </si>
  <si>
    <t>laq824</t>
  </si>
  <si>
    <t>lbh589a</t>
  </si>
  <si>
    <t>pxd-101</t>
  </si>
  <si>
    <t>benzamides</t>
  </si>
  <si>
    <t>ms-275</t>
  </si>
  <si>
    <t>ci-994</t>
  </si>
  <si>
    <t>histone deacetylase inhibitors</t>
  </si>
  <si>
    <t>SAHA IV - 2 hr infusion 2-15d - DLT: thrombocytopenia, neutropenia - T1/2 = 30 min - 1 PR in Hodgkins</t>
  </si>
  <si>
    <t>SAHA PO - qd/bid - DLT fatigue, N/V, dehydration - T1/2 ~ 2 hrs - 1 CR DLBCL, 5 PR</t>
  </si>
  <si>
    <t>HDAC is a TF with a subset of genes incl. p21. Upstream is SAHA which signals chromatin condensation and open chromatin/transcription</t>
  </si>
  <si>
    <t>blocking results in growth inhibition, apoptosis and differentation</t>
  </si>
  <si>
    <t>(pnas, nature sources)</t>
  </si>
  <si>
    <t>SAHA in relapsed/refractory CTCL, n=33</t>
  </si>
  <si>
    <t>3 different oral dosing schedules, 8 patients with benefit. 31% PR, 54% "evidence of benefit" at 400mg</t>
  </si>
  <si>
    <t>government purchases 57% of all vaccines</t>
  </si>
  <si>
    <t>2003</t>
  </si>
  <si>
    <t>2004</t>
  </si>
  <si>
    <t>2005E</t>
  </si>
  <si>
    <t>2006E</t>
  </si>
  <si>
    <t>2007E</t>
  </si>
  <si>
    <t>2008E</t>
  </si>
  <si>
    <t>2009E</t>
  </si>
  <si>
    <t>Operating Expenses</t>
  </si>
  <si>
    <t>Operating Income</t>
  </si>
  <si>
    <t>Interest Income</t>
  </si>
  <si>
    <t>Interest Expense</t>
  </si>
  <si>
    <t>Foreign Exchange</t>
  </si>
  <si>
    <t>Minority Interests</t>
  </si>
  <si>
    <t>Equity (Income)/Loss</t>
  </si>
  <si>
    <t xml:space="preserve">Merck/Schering-Plough JV </t>
  </si>
  <si>
    <t>Other, net</t>
  </si>
  <si>
    <t>Total Other Deductions</t>
  </si>
  <si>
    <t>Earnings Before Taxes</t>
  </si>
  <si>
    <t>Net Income</t>
  </si>
  <si>
    <t>Operating Margin</t>
  </si>
  <si>
    <t>EBT Margin</t>
  </si>
  <si>
    <t>Net Margin</t>
  </si>
  <si>
    <t>Tax Rate</t>
  </si>
  <si>
    <t>EBITDA</t>
  </si>
  <si>
    <t>Other</t>
  </si>
  <si>
    <t>Period End Shares</t>
  </si>
  <si>
    <t>Other Equity (Income)/Loss</t>
  </si>
  <si>
    <t>Other Income Statement data</t>
  </si>
  <si>
    <t>Depreciation and Amort. Quart.</t>
  </si>
  <si>
    <t>Depreciation</t>
  </si>
  <si>
    <t>Amortization</t>
  </si>
  <si>
    <t>Weighted Average Shares</t>
  </si>
  <si>
    <t>EPS Basic</t>
  </si>
  <si>
    <t>Capex</t>
  </si>
  <si>
    <t>One-time charges</t>
  </si>
  <si>
    <t xml:space="preserve">   Restructuring</t>
  </si>
  <si>
    <t xml:space="preserve">   Vioxx charges - COGS</t>
  </si>
  <si>
    <t xml:space="preserve">   Vioxx charges - SG&amp;A</t>
  </si>
  <si>
    <t xml:space="preserve">   Vioxx charges - Taxes</t>
  </si>
  <si>
    <t>SG&amp;A excluding charges</t>
  </si>
  <si>
    <t>Cost of Sales excluding charges</t>
  </si>
  <si>
    <t>Nexium</t>
  </si>
  <si>
    <t>Vioxx</t>
  </si>
  <si>
    <t>Prinivil/Prinzide</t>
  </si>
  <si>
    <t>Mevacor</t>
  </si>
  <si>
    <t>Aggrastat</t>
  </si>
  <si>
    <t>Maxalt</t>
  </si>
  <si>
    <t>Proscar</t>
  </si>
  <si>
    <t>Primaxin</t>
  </si>
  <si>
    <t>Pepcid</t>
  </si>
  <si>
    <t>Vytorin</t>
  </si>
  <si>
    <t>Cancidas</t>
  </si>
  <si>
    <t>Arcoxia</t>
  </si>
  <si>
    <t>LDL</t>
  </si>
  <si>
    <t>Niaspan 1g</t>
  </si>
  <si>
    <t>Niaspan 2g</t>
  </si>
  <si>
    <t>HDL</t>
  </si>
  <si>
    <t>Tg</t>
  </si>
  <si>
    <t>Tricor 145mg</t>
  </si>
  <si>
    <t>MK-524A</t>
  </si>
  <si>
    <t>20-25%</t>
  </si>
  <si>
    <t>25-30%</t>
  </si>
  <si>
    <t>Lipitor/CTEP</t>
  </si>
  <si>
    <t>41-60%</t>
  </si>
  <si>
    <t>53-66%</t>
  </si>
  <si>
    <t>18-31%</t>
  </si>
  <si>
    <t>58% of patients on niacin are already on a statin</t>
  </si>
  <si>
    <t>planning fixed combination with metformin. That will be filed in 2007 but will be twice daily</t>
  </si>
  <si>
    <t>MEDI</t>
  </si>
  <si>
    <t>MK-524B</t>
  </si>
  <si>
    <t>IV prodrug of Emend</t>
  </si>
  <si>
    <t>emend only had 47m in revs in 2004</t>
  </si>
  <si>
    <t>2% statins/fibrates</t>
  </si>
  <si>
    <t>Zostavax</t>
  </si>
  <si>
    <t>MMR+Varicella</t>
  </si>
  <si>
    <t>ProQuad</t>
  </si>
  <si>
    <t>MRK</t>
  </si>
  <si>
    <t>1 dose</t>
  </si>
  <si>
    <t>Meningococcal Conjugate</t>
  </si>
  <si>
    <t>Menactra</t>
  </si>
  <si>
    <t>SAN</t>
  </si>
  <si>
    <t>Tetanus, Diphtheria, Pertussis</t>
  </si>
  <si>
    <t>BOOSTRIX</t>
  </si>
  <si>
    <t>GSK</t>
  </si>
  <si>
    <t>Influenza</t>
  </si>
  <si>
    <t>FluMist</t>
  </si>
  <si>
    <t>19-20</t>
  </si>
  <si>
    <t>1-2 doses</t>
  </si>
  <si>
    <t>Pneumococcal</t>
  </si>
  <si>
    <t>Prevnar</t>
  </si>
  <si>
    <t>WYE</t>
  </si>
  <si>
    <t>4 doses</t>
  </si>
  <si>
    <t>Hep A/B</t>
  </si>
  <si>
    <t>Varivax</t>
  </si>
  <si>
    <t>2 doses</t>
  </si>
  <si>
    <t>Varicella</t>
  </si>
  <si>
    <t>Twinrix</t>
  </si>
  <si>
    <t>Hep B</t>
  </si>
  <si>
    <t>Recombivax</t>
  </si>
  <si>
    <t>adults over 60 in the pivotal</t>
  </si>
  <si>
    <t>Shingles</t>
  </si>
  <si>
    <t>150/course from csfb given tough disease and comp to varivax</t>
  </si>
  <si>
    <t>file in 2006 for CTCL. Data at ASCO</t>
  </si>
  <si>
    <t>confirmatory p2b study ongoing</t>
  </si>
  <si>
    <t>MK-634</t>
  </si>
  <si>
    <t>urinary incontinence</t>
  </si>
  <si>
    <t>MK-594</t>
  </si>
  <si>
    <t>Vasotec</t>
  </si>
  <si>
    <t>thymalidate synthase</t>
  </si>
  <si>
    <t>Vasotec/Vaseretic (EU only)</t>
  </si>
  <si>
    <t>MK-0524A</t>
  </si>
  <si>
    <t>2010E</t>
  </si>
  <si>
    <t>2011E</t>
  </si>
  <si>
    <t>100%?</t>
  </si>
  <si>
    <t>5/26/06 approval</t>
  </si>
  <si>
    <t>145-150 price</t>
  </si>
  <si>
    <t>ADA Abstracts</t>
  </si>
  <si>
    <t>556-P</t>
  </si>
  <si>
    <t>1995-PO</t>
  </si>
  <si>
    <t>24-week data showed PBO-subtracted 0.70% a1c decrease; (8% baseline)</t>
  </si>
  <si>
    <t>1996-PO</t>
  </si>
  <si>
    <t>24-week data showed PBO-subtracted 0.60% and 0.48% a1c decrease (8.1% baseline)</t>
  </si>
  <si>
    <t>24-week data showed PBO-subtracted 0.79% and 0.94% a1c decrease (8% baseline)</t>
  </si>
  <si>
    <t>Generic Name</t>
  </si>
  <si>
    <t>Brand Name</t>
  </si>
  <si>
    <t>Zolinza</t>
  </si>
  <si>
    <t>Vorinostat, suberoylanilide hydroxamic acid, SAHA</t>
  </si>
  <si>
    <t>HDAC</t>
  </si>
  <si>
    <t>MK-524A, MK-524B (fixed combo of 524A with Zocor)</t>
  </si>
  <si>
    <t>Timeline</t>
  </si>
  <si>
    <t>Class</t>
  </si>
  <si>
    <t>Feb 2010</t>
  </si>
  <si>
    <t>CTCL</t>
  </si>
  <si>
    <t>HDACs (histone deacetylase) pathway:</t>
  </si>
  <si>
    <t>other HDAC: p2 CI-994 (PFE), Pivanex (TTP), FK-228 (Gloucester), PXD-101 (CRGN/TopoTarget), LBH-589 (NVS), MS-275 (SHR), MGCD-0103 (MYG TO/PHRM)</t>
  </si>
  <si>
    <t>CTCL 1500/year - NHL</t>
  </si>
  <si>
    <t>p1 nsclc 56% PR, 22% SD in combo with carbo-tax. Also in p3 for mesothelioma, p2 for leukemia/lymphoma, breast, lung, prostate, renal, thyroid, melanoma, brain, H&amp;N</t>
  </si>
  <si>
    <t>Price</t>
  </si>
  <si>
    <t>Guidelines</t>
  </si>
  <si>
    <t xml:space="preserve">ACIP recommended females age 11-26 receive Gardasil. Also, added to VFC (vaccines for children) program. </t>
  </si>
  <si>
    <t>B of A</t>
  </si>
  <si>
    <t>Pricing</t>
  </si>
  <si>
    <t>VFC price $52/dose, 18% discount from list</t>
  </si>
  <si>
    <t>GlucoFi, Abmaxis - Q2 closing</t>
  </si>
  <si>
    <t>Q106</t>
  </si>
  <si>
    <t>Leerink notes 27% penetration at 6 months and 59% at 2 years. 43% of formulary managers note plans will cover Gardasil.</t>
  </si>
  <si>
    <t>Cowen notes 20% penetration at 12 months</t>
  </si>
  <si>
    <t>Q206</t>
  </si>
  <si>
    <t>$360/regimen - probably ~$300 realized</t>
  </si>
  <si>
    <t>Asthma, Allergic Rhinitis</t>
  </si>
  <si>
    <t>Admin</t>
  </si>
  <si>
    <t>Oral</t>
  </si>
  <si>
    <t>Mechanism</t>
  </si>
  <si>
    <t>HIV</t>
  </si>
  <si>
    <t xml:space="preserve">Integrase Inhibitor </t>
  </si>
  <si>
    <t>Clinical Trials</t>
  </si>
  <si>
    <t>p2 data showed 64-84% of patients on 518 and background therapy achieved HIV RNA &lt;400copies/mL</t>
  </si>
  <si>
    <t>p3 BENCHMRK-1 -2</t>
  </si>
  <si>
    <t>Phase II dose-ranging study</t>
  </si>
  <si>
    <t>data presented at Toronto 2006 - showed faster reduction than Sustiva</t>
  </si>
  <si>
    <t>MK-0518 + Viread or? Epivir shows 85-95% of patients had viral reduction &lt;50copies/ml vs Sustiva 92% with same agents</t>
  </si>
  <si>
    <t>Niacin</t>
  </si>
  <si>
    <t>Integrase</t>
  </si>
  <si>
    <t>Leukotriene</t>
  </si>
  <si>
    <t>Biphosphonate</t>
  </si>
  <si>
    <t>Vaccine</t>
  </si>
  <si>
    <t>Rotavirus</t>
  </si>
  <si>
    <t>MK-524A: fixed combo of niacin XR with inhibitor of niacin flush pathway (prostaglandin D2 blocker). DP-1 selective inhibitor.</t>
  </si>
  <si>
    <t>CETP</t>
  </si>
  <si>
    <t>$87,600/year. $60 per 100mg</t>
  </si>
  <si>
    <t>Market</t>
  </si>
  <si>
    <t>An indolent NHL with 1500 pts/year.</t>
  </si>
  <si>
    <t>$4.86 a day</t>
  </si>
  <si>
    <t>Dyslipidemia</t>
  </si>
  <si>
    <t>Obesity</t>
  </si>
  <si>
    <t>1% of statin patients are on niacin because of flushing. Patients still flush with -0524, just less.</t>
  </si>
  <si>
    <t>Phase II ERN+0524 vs ERN alone.</t>
  </si>
  <si>
    <t>n=272 vs 72 vs 68 placebo.</t>
  </si>
  <si>
    <t>10% had flushing days vs 35% for ERN alone and 1% for placebo. This decreased to 1%, 15% and 1% in week 8.</t>
  </si>
  <si>
    <t>CK (creatine kinase) elevation of 10x ULN was 2.6% vs 1.4% for ERN alone and 1.5% for placebo. This is a biomarker of muscle injury.</t>
  </si>
  <si>
    <t>Statin</t>
  </si>
  <si>
    <t>Approved</t>
  </si>
  <si>
    <t>Q405</t>
  </si>
  <si>
    <t>Q305</t>
  </si>
  <si>
    <t>Q205</t>
  </si>
  <si>
    <t>Q105</t>
  </si>
  <si>
    <t>Q404</t>
  </si>
  <si>
    <t>Q304</t>
  </si>
  <si>
    <t>Q204</t>
  </si>
  <si>
    <t>Q104</t>
  </si>
  <si>
    <t>Q403</t>
  </si>
  <si>
    <t>Q101</t>
  </si>
  <si>
    <t>Q201</t>
  </si>
  <si>
    <t>Q301</t>
  </si>
  <si>
    <t>Q401</t>
  </si>
  <si>
    <t>Q102</t>
  </si>
  <si>
    <t>Q202</t>
  </si>
  <si>
    <t>Q302</t>
  </si>
  <si>
    <t>Q402</t>
  </si>
  <si>
    <t>Q103</t>
  </si>
  <si>
    <t>Q203</t>
  </si>
  <si>
    <t>Q303</t>
  </si>
  <si>
    <t>US</t>
  </si>
  <si>
    <t>ExUS</t>
  </si>
  <si>
    <t>Stroke</t>
  </si>
  <si>
    <t>Fibromyalgia, Hip Fracture</t>
  </si>
  <si>
    <t>Osteoporosis, Oncology, Arthritis</t>
  </si>
  <si>
    <t>MK-533</t>
  </si>
  <si>
    <t>Q306</t>
  </si>
  <si>
    <t>Q406</t>
  </si>
  <si>
    <t>VX-680, MK-0457</t>
  </si>
  <si>
    <t>Aurora kinase inhibitor, JAK2 inhibitor (could have usage in myeloproliferative disorders)</t>
  </si>
  <si>
    <t>CML, Myeloproliferative disease</t>
  </si>
  <si>
    <t>Economics</t>
  </si>
  <si>
    <t>MRK, 15% royalty to VRTX?</t>
  </si>
  <si>
    <t>Administration</t>
  </si>
  <si>
    <t>IV</t>
  </si>
  <si>
    <t>Phase II pivotal study in CML</t>
  </si>
  <si>
    <t>n=270 with resistant CML, Ph+ ALL with BCR-ABL T315I mutation.</t>
  </si>
  <si>
    <t>Phase 1 hematologic cancers - ASH 2006</t>
  </si>
  <si>
    <t>n=44, 15 CML, 17 AML, 9 MPD, 4 ALL</t>
  </si>
  <si>
    <t xml:space="preserve">  CML patients all pretreated with Glivec and Tasigna/Sprycel</t>
  </si>
  <si>
    <t xml:space="preserve">    9 patients had T315I mutation. 8 had hematological and/or cytogenetic response. 6 patients without mutation did not respond.</t>
  </si>
  <si>
    <t xml:space="preserve">  2 patients with Ph+ ALL had responses </t>
  </si>
  <si>
    <t xml:space="preserve">  6/9 patients with MPD with V617F activating mutation in JAK2 had clinical responses</t>
  </si>
  <si>
    <t>4/5/2006: initiated p2 colorectal study</t>
  </si>
  <si>
    <t>Q2 2006: initiated p2 NSCLC study</t>
  </si>
  <si>
    <t>Phase I/II trial in MM?</t>
  </si>
  <si>
    <t>NRX</t>
  </si>
  <si>
    <t>TRX</t>
  </si>
  <si>
    <t>Januvia, Janumet, MK-0431/A</t>
  </si>
  <si>
    <t>Janumet (Januvia+metformin)</t>
  </si>
  <si>
    <t>etoricoxib</t>
  </si>
  <si>
    <t>COX-2 inhibitor</t>
  </si>
  <si>
    <t>Study hoped to evaluate the "real-world" efficacy of a COX-2 inhibitor including patients taking GI protective therapy.</t>
  </si>
  <si>
    <t>MEDAL was a pooled, pre-specified ITT analysis of 3 trials totaling n=34,701.</t>
  </si>
  <si>
    <t>Upper GI tox of Arcoxia vs diclofenac 150mg (traditional NSAID) in patients with OA and RA.</t>
  </si>
  <si>
    <t xml:space="preserve">  Some patients were taking PPIs or low-dose aspirin.</t>
  </si>
  <si>
    <t>Complicated events (perforation, obstruction, witnessed ulcer bleeding or significant bleeding) were also examined.</t>
  </si>
  <si>
    <t>Upper GI clinical events (bleeding, perforation, obstruction or ulcer) were examined.</t>
  </si>
  <si>
    <t>SS less common upper GI events with Arcoxia vs diclofenac. HR=0.69 (95% CI 0.57-0.83, p=0.0001).</t>
  </si>
  <si>
    <t>Less fewer uncomplicated GI events. HR=0.57, p&lt;0.0001.</t>
  </si>
  <si>
    <t>No change in complicated events. HR=0.91, p=0.561.</t>
  </si>
  <si>
    <t>PPIs were used for at least 75% of the study period by 40% of the patients.</t>
  </si>
  <si>
    <t>Low-dose aspiring was used for at least 75% of the study by 33% of the patients.</t>
  </si>
  <si>
    <t>98%, OSIP</t>
  </si>
  <si>
    <t>NSAIDs (aspirin, ibuprofen, etc), which increase the risk of upper GI events such as bleeding ulcers by 2-5x compared to no-NSAID therapy.</t>
  </si>
  <si>
    <t xml:space="preserve">  PPIs are commonly used concomitantly to reduce the incidence of GI events. Misoprostol is also used.</t>
  </si>
  <si>
    <t>Mean followup was 18 months.</t>
  </si>
  <si>
    <t>MEDAL Phase III Program - Lancet 2/10/2007 - Laine et al - Study completed in May 2006</t>
  </si>
  <si>
    <t>Reimbursement</t>
  </si>
  <si>
    <t>UK delay - 3/8/2007</t>
  </si>
  <si>
    <t>EU qw patent invalidated but restored 3/28/2007</t>
  </si>
  <si>
    <t>Papers</t>
  </si>
  <si>
    <t>Flogging Gardasil. Nature Biotechnology Volume 25, Number 3, Pg 261.</t>
  </si>
  <si>
    <t>Human papillomavirus (HPV) vaccine.</t>
  </si>
  <si>
    <t>Januvia (sitagliptin)</t>
  </si>
  <si>
    <t>sitagliptin</t>
  </si>
  <si>
    <t>Dosing</t>
  </si>
  <si>
    <t>qd dosing vs bid dosing for Galvus</t>
  </si>
  <si>
    <t>Fresh from the pipeline: sitagliptin. Drucker et al. Nature Reviews Drug Discovery, Volume 6, Feb 2007. 109.</t>
  </si>
  <si>
    <t>History</t>
  </si>
  <si>
    <t>Approved October 2006.</t>
  </si>
  <si>
    <t>Type 2 diabetes mellitus.</t>
  </si>
  <si>
    <t>DPP4 inhibitor. Dipeptidyl peptidase-4 inhibition potentiates endogenous peptides known as incretins.</t>
  </si>
  <si>
    <t xml:space="preserve">  Native GLP1 effectively lowers blood glucose but is rapidly degraded by DPP4. Byetta is DPP4-resistant.</t>
  </si>
  <si>
    <t xml:space="preserve">  DPP4 is a membrane-spanning cell-anchored protein expressed on many cell types. It also has a soluble form in circulation.</t>
  </si>
  <si>
    <t>Rx</t>
  </si>
  <si>
    <t>The biology of incretin mhormones. Cell Metab. 3,153-165(2006). Drucker, D.</t>
  </si>
  <si>
    <t>Therapeutic strategies based on glucagon-like peptide-1. Diabetes 53,2181-2189(2004). Deacon et al.</t>
  </si>
  <si>
    <t>Enhanced insulin secretion and improved glucose tolerance in mice lacking CD26. PNAS 97,6874-6879(2000). Marguet et al.</t>
  </si>
  <si>
    <t>Shares</t>
  </si>
  <si>
    <t>MC</t>
  </si>
  <si>
    <t>Cash</t>
  </si>
  <si>
    <t>Debt</t>
  </si>
  <si>
    <t>EV</t>
  </si>
  <si>
    <t>MK-0752</t>
  </si>
  <si>
    <t>NOTCH</t>
  </si>
  <si>
    <t>III</t>
  </si>
  <si>
    <t>Isentress, fka MK-0518</t>
  </si>
  <si>
    <t>ARB</t>
  </si>
  <si>
    <t>Hypertension</t>
  </si>
  <si>
    <t>Isentress (raltegravir)</t>
  </si>
  <si>
    <t>Niacin XR</t>
  </si>
  <si>
    <t>Cordaptive (MK-524A)</t>
  </si>
  <si>
    <t>Niacin XR/Zocor</t>
  </si>
  <si>
    <t>II</t>
  </si>
  <si>
    <t>odanacatib (MK-0882)</t>
  </si>
  <si>
    <t>Cathespin-K</t>
  </si>
  <si>
    <t>Cancidas (caspofungin)</t>
  </si>
  <si>
    <t>Antifungal</t>
  </si>
  <si>
    <t>Echinocandin</t>
  </si>
  <si>
    <t>Q107</t>
  </si>
  <si>
    <t>Q207</t>
  </si>
  <si>
    <t>Q307</t>
  </si>
  <si>
    <t>$9855 per annual cost.</t>
  </si>
  <si>
    <t>Hepatitis Vaccines</t>
  </si>
  <si>
    <t>Other Vaccines</t>
  </si>
  <si>
    <t>Cosopt/Trusopt</t>
  </si>
  <si>
    <t>Crixivan/Stocrin</t>
  </si>
  <si>
    <t>Emend</t>
  </si>
  <si>
    <t>Invanz</t>
  </si>
  <si>
    <t>Timoptic</t>
  </si>
  <si>
    <t>MK-7009</t>
  </si>
  <si>
    <t>Protease</t>
  </si>
  <si>
    <t>Hepatitis C</t>
  </si>
  <si>
    <t>MK-3281</t>
  </si>
  <si>
    <t>Polymerase</t>
  </si>
  <si>
    <t>taranabant</t>
  </si>
  <si>
    <t>100% owned by MRK.</t>
  </si>
  <si>
    <t>CB1 inverse agonist</t>
  </si>
  <si>
    <t>Safety</t>
  </si>
  <si>
    <t>Possibly better therapeutic index than Accomplia.</t>
  </si>
  <si>
    <t>MK-0364</t>
  </si>
  <si>
    <t>PN006 Phase II Obesity</t>
  </si>
  <si>
    <t>Approval</t>
  </si>
  <si>
    <t>US: October 2007, Europe: December 2007.</t>
  </si>
  <si>
    <t>Q407</t>
  </si>
  <si>
    <t>Q108</t>
  </si>
  <si>
    <t>Q208</t>
  </si>
  <si>
    <t>Q308</t>
  </si>
  <si>
    <t>Q408</t>
  </si>
  <si>
    <t>Gross Profit</t>
  </si>
  <si>
    <t>SG&amp;A</t>
  </si>
  <si>
    <t>R&amp;D</t>
  </si>
  <si>
    <t>Gross Margin</t>
  </si>
  <si>
    <t>EPS</t>
  </si>
  <si>
    <t>MK-0882</t>
  </si>
  <si>
    <t>7.4% discontinued due to flushing vs 12.4% for extended-release niacin, p=0.002.</t>
  </si>
  <si>
    <t>MK-0646</t>
  </si>
  <si>
    <t>mCRC</t>
  </si>
  <si>
    <t>IGF-1</t>
  </si>
  <si>
    <t>II/III</t>
  </si>
  <si>
    <t>ABT/AZN combo</t>
  </si>
  <si>
    <t>I</t>
  </si>
  <si>
    <t>Calcitonin (CGRP)</t>
  </si>
  <si>
    <t>MK-974, MK-0974</t>
  </si>
  <si>
    <t>Commentary</t>
  </si>
  <si>
    <t>GSK executive notes efficacy not on par with triptans.</t>
  </si>
  <si>
    <t>Migraines</t>
  </si>
  <si>
    <t>Comparable efficacy to Maxalt with no CV safety issues.</t>
  </si>
  <si>
    <t>GERD, Heartburn</t>
  </si>
  <si>
    <t>PPI</t>
  </si>
  <si>
    <t>Generic 2014</t>
  </si>
  <si>
    <t>27% US, AZN</t>
  </si>
  <si>
    <t>ACT NOW - ADA 2008</t>
  </si>
  <si>
    <t>supports earlier use of glucose control to delay onset of diabetes</t>
  </si>
  <si>
    <t>rolofylline</t>
  </si>
  <si>
    <t>MK-7418</t>
  </si>
  <si>
    <t>Heart Failure</t>
  </si>
  <si>
    <t>Adenosine A1 antagonist</t>
  </si>
  <si>
    <t>Phase III aHF n=300</t>
  </si>
  <si>
    <t>60-day outcomes of 19% death/hospitalization vs 33% for placebo.</t>
  </si>
  <si>
    <t>Phase III PROTECT-1, -2 - Data in Q4 2008</t>
  </si>
  <si>
    <t>Phase III - ACC 2008</t>
  </si>
  <si>
    <t>4mg showed 5% placebo-adjusted weight loss at 2 years.</t>
  </si>
  <si>
    <t>2mg showed 4%.</t>
  </si>
  <si>
    <t>4mg psychiatric AE 40% vs 28% for 2mg and 20% for placebo.</t>
  </si>
  <si>
    <t>MK-6213</t>
  </si>
  <si>
    <t>telcagepant</t>
  </si>
  <si>
    <t>PK</t>
  </si>
  <si>
    <t>Modified pill vs gel to delay launch.</t>
  </si>
  <si>
    <t>Tredaptive</t>
  </si>
  <si>
    <t>7/2007</t>
  </si>
  <si>
    <t>Phase III SEAS</t>
  </si>
  <si>
    <t>22T RRR in atherosclerotic events.</t>
  </si>
  <si>
    <t>19-26 age cohort penetration will be a function of creating adoption through OBGYN.</t>
  </si>
  <si>
    <t>Cervarix (GSK). Pap smear?</t>
  </si>
  <si>
    <t>MK-0140</t>
  </si>
  <si>
    <t>Ophthalmic</t>
  </si>
  <si>
    <t>DISCONTINUED</t>
  </si>
  <si>
    <t>MK-1775</t>
  </si>
  <si>
    <t>MK-2206</t>
  </si>
  <si>
    <t>MK-5108</t>
  </si>
  <si>
    <t>MK-4074</t>
  </si>
  <si>
    <t>Diabetes</t>
  </si>
  <si>
    <t>GH secretagogue</t>
  </si>
  <si>
    <t>odanacatib</t>
  </si>
  <si>
    <t>Phase III PMO in Low BMD patients</t>
  </si>
  <si>
    <t>ASMBR 2008 24-month results.</t>
  </si>
  <si>
    <t>Mat</t>
  </si>
  <si>
    <t>Dis</t>
  </si>
  <si>
    <t>NPV</t>
  </si>
  <si>
    <t>8/3/12 COM</t>
  </si>
  <si>
    <t>Singulair (8/3/2012)</t>
  </si>
  <si>
    <t>-</t>
  </si>
  <si>
    <t>montelukast</t>
  </si>
  <si>
    <t>100%, innovated by Merck.</t>
  </si>
  <si>
    <t>5,565,473 issued 10/15/1996. Unsaturated hydroxyalkylquinoline acids as leukotriene antagonists.</t>
  </si>
  <si>
    <t>Model</t>
  </si>
  <si>
    <t>Leukotriene antagonist.</t>
  </si>
  <si>
    <t>Injectable</t>
  </si>
  <si>
    <t>NRx</t>
  </si>
  <si>
    <t>TRx</t>
  </si>
  <si>
    <t>105 vs 70 cancer findings, p=0.01 and HR=1.67 cancer deaths.</t>
  </si>
  <si>
    <t>Migraine Headache</t>
  </si>
  <si>
    <t>Phase III vs Zomig - Will be presented at American Headache Society June 26 2008 - Published Lancet 2008</t>
  </si>
  <si>
    <t>Lancet editorial.</t>
  </si>
  <si>
    <t>Calcitonin-gene related peptide (CGRP) antagonist. Also inhibits vasodilation. CGRP binds to the trigeminal nerve.</t>
  </si>
  <si>
    <t>n=1380 with moderate-to-severe acute migraine attack.  150mg, 300mg vs 5mg Zomig vs placebo.</t>
  </si>
  <si>
    <t>Dry mouth, vomiting and fatigue &gt; placebo but low overall. 31% AE for 150mg, 37% for 300mg, 51% for 5mg and 32% for placebo.</t>
  </si>
  <si>
    <t>Triptans, which have cardiovascular side effects (activate vasoconstriction), dizziness, paraesthesia, throat tightness and chest discomfort. Olcegepant</t>
  </si>
  <si>
    <t>Phase II dose-ranging 25mg to 600mg</t>
  </si>
  <si>
    <t>300mg 2H endpoint vs Zomig was 0.83 (slightly inferior), wheras 2H-24H sustained relief endpoint was 1.18 (slightly superior).</t>
  </si>
  <si>
    <t xml:space="preserve">  26.9% pain free at 2H vs 31.3% for Zomig vs. 9.6% for placebo.</t>
  </si>
  <si>
    <t xml:space="preserve">  55.0% pain relief at 2H vs. 56.4% for Zomig vs. 27.7% for placebo.</t>
  </si>
  <si>
    <t xml:space="preserve">  20.2% pain freedom 2-24H vs. 18.2% for Zomig vs. 5.0% for placebo.</t>
  </si>
  <si>
    <t>Lancet paper.</t>
  </si>
  <si>
    <t>Q109</t>
  </si>
  <si>
    <t>MK2578</t>
  </si>
  <si>
    <t>Betrixaban</t>
  </si>
  <si>
    <t>Q209</t>
  </si>
  <si>
    <t>Q309</t>
  </si>
  <si>
    <t>Q409</t>
  </si>
  <si>
    <t>Zetia/Ezetrol</t>
  </si>
  <si>
    <t>Vytorin/Inegy</t>
  </si>
  <si>
    <t>Taxes</t>
  </si>
  <si>
    <t>2015/2016</t>
  </si>
  <si>
    <t>Zetia (2017)</t>
  </si>
  <si>
    <t>Vytorin (2017)</t>
  </si>
  <si>
    <t>Phase III</t>
  </si>
  <si>
    <t>140mg and 280mg more effective than placebo.</t>
  </si>
  <si>
    <t>3 patients had 3x liver enzyme elevation.</t>
  </si>
  <si>
    <t>Liver enzyme elevations - Only 3 in one phase 3 but cancelled backup program for liver enzyme problems.</t>
  </si>
  <si>
    <t>Approved for men age 9-26 for the prevention of genital warts caused by HPV. 10/16/2009.</t>
  </si>
  <si>
    <t>Cervarix filed in the EU in March 2006 and will file in the US in late 2006. Cervarix approved in the US 10/16/2009.</t>
  </si>
  <si>
    <t>Q110</t>
  </si>
  <si>
    <t>Q210</t>
  </si>
  <si>
    <t>Q310</t>
  </si>
  <si>
    <t>Q410</t>
  </si>
  <si>
    <t>Animal</t>
  </si>
  <si>
    <t>Consumer</t>
  </si>
  <si>
    <t>Elonva</t>
  </si>
  <si>
    <t>Zetia</t>
  </si>
  <si>
    <t>Lipitor</t>
  </si>
  <si>
    <t>Crestor</t>
  </si>
  <si>
    <t>Lovastatin</t>
  </si>
  <si>
    <t>Pravastatin</t>
  </si>
  <si>
    <t>Zocor+Simva</t>
  </si>
  <si>
    <t>Caduet</t>
  </si>
  <si>
    <t>Total</t>
  </si>
  <si>
    <t>Phase III "IMPROVE-IT" - results in 2012 or 2013? N=18000</t>
  </si>
  <si>
    <t>Vytorin vs Simvastatin. Still recruiting as of 11/09.</t>
  </si>
  <si>
    <t>565</t>
  </si>
  <si>
    <t>608</t>
  </si>
  <si>
    <t>564</t>
  </si>
  <si>
    <t>198</t>
  </si>
  <si>
    <t>266</t>
  </si>
  <si>
    <t>278</t>
  </si>
  <si>
    <t>164</t>
  </si>
  <si>
    <t>122</t>
  </si>
  <si>
    <t>131</t>
  </si>
  <si>
    <t>95</t>
  </si>
  <si>
    <t>Claritin RX</t>
  </si>
  <si>
    <t>557</t>
  </si>
  <si>
    <t>256</t>
  </si>
  <si>
    <t>321</t>
  </si>
  <si>
    <t>215</t>
  </si>
  <si>
    <t>226</t>
  </si>
  <si>
    <t>145</t>
  </si>
  <si>
    <t>129</t>
  </si>
  <si>
    <t>96</t>
  </si>
  <si>
    <t>518</t>
  </si>
  <si>
    <t>507</t>
  </si>
  <si>
    <t>247</t>
  </si>
  <si>
    <t>306</t>
  </si>
  <si>
    <t>216</t>
  </si>
  <si>
    <t>174</t>
  </si>
  <si>
    <t>115</t>
  </si>
  <si>
    <t>132</t>
  </si>
  <si>
    <t>491</t>
  </si>
  <si>
    <t>455</t>
  </si>
  <si>
    <t>2,119</t>
  </si>
  <si>
    <t>2,299</t>
  </si>
  <si>
    <t>242</t>
  </si>
  <si>
    <t>234</t>
  </si>
  <si>
    <t>236</t>
  </si>
  <si>
    <t>280</t>
  </si>
  <si>
    <t>307</t>
  </si>
  <si>
    <t>271</t>
  </si>
  <si>
    <t>225</t>
  </si>
  <si>
    <t>239</t>
  </si>
  <si>
    <t>160</t>
  </si>
  <si>
    <t>213</t>
  </si>
  <si>
    <t>127</t>
  </si>
  <si>
    <t>57</t>
  </si>
  <si>
    <t>110</t>
  </si>
  <si>
    <t>45</t>
  </si>
  <si>
    <t>99</t>
  </si>
  <si>
    <t>93</t>
  </si>
  <si>
    <t>128</t>
  </si>
  <si>
    <t>258</t>
  </si>
  <si>
    <t>273</t>
  </si>
  <si>
    <t>235</t>
  </si>
  <si>
    <t>176</t>
  </si>
  <si>
    <t>142</t>
  </si>
  <si>
    <t>118</t>
  </si>
  <si>
    <t>87</t>
  </si>
  <si>
    <t>251</t>
  </si>
  <si>
    <t>311</t>
  </si>
  <si>
    <t>229</t>
  </si>
  <si>
    <t>240</t>
  </si>
  <si>
    <t>162</t>
  </si>
  <si>
    <t>116</t>
  </si>
  <si>
    <t>111</t>
  </si>
  <si>
    <t>1,064</t>
  </si>
  <si>
    <t>1,002</t>
  </si>
  <si>
    <t>1,156</t>
  </si>
  <si>
    <t>1,159</t>
  </si>
  <si>
    <t>Isentress (2023)</t>
  </si>
  <si>
    <t>827</t>
  </si>
  <si>
    <t>914</t>
  </si>
  <si>
    <t>PEG-INTRON (Biologic)</t>
  </si>
  <si>
    <t>Nasonex (2017, sued)</t>
  </si>
  <si>
    <t>Temodar (2013/2014)</t>
  </si>
  <si>
    <t>Rheumatoid Arthritis</t>
  </si>
  <si>
    <t>TNF</t>
  </si>
  <si>
    <t>JNJ</t>
  </si>
  <si>
    <t>Antibody</t>
  </si>
  <si>
    <t>Thrombin Receptor</t>
  </si>
  <si>
    <t>ACS/MI</t>
  </si>
  <si>
    <t>MK-8669 (ridaforolimus)</t>
  </si>
  <si>
    <t>ARIA</t>
  </si>
  <si>
    <t>Sarcoma</t>
  </si>
  <si>
    <t>MTOR</t>
  </si>
  <si>
    <t>boceprevir</t>
  </si>
  <si>
    <t>Fertility</t>
  </si>
  <si>
    <t>EU only?</t>
  </si>
  <si>
    <t>Filed</t>
  </si>
  <si>
    <t>Integrilin</t>
  </si>
  <si>
    <t>Rebetol</t>
  </si>
  <si>
    <t>Proventil</t>
  </si>
  <si>
    <t>Remeron</t>
  </si>
  <si>
    <t>Subutex</t>
  </si>
  <si>
    <t>Caelyx</t>
  </si>
  <si>
    <t>Intron-A</t>
  </si>
  <si>
    <t>Pneumovax</t>
  </si>
  <si>
    <t>Lipitor+Zetia (0653C)</t>
  </si>
  <si>
    <t>narlaprevir</t>
  </si>
  <si>
    <t>Insomnia</t>
  </si>
  <si>
    <t>GSK's Rotarix -- does ACIP find them interchangeable? Rotarix covers 5 serotypes?</t>
  </si>
  <si>
    <t>Rotavirus vaccine, live, oral, pentavalent</t>
  </si>
  <si>
    <t>Prevention of rotavirus gastroenteritis.</t>
  </si>
  <si>
    <t>n=71,000 3 Phase III studies</t>
  </si>
  <si>
    <t>2.4% SAE vs 2.6% for placebo.</t>
  </si>
  <si>
    <t>Reduced severe gastroenteritis by 98%, hospitalizations by 96%.</t>
  </si>
  <si>
    <t>$60/dose X 3 doses X 4m US babies = $750m, ex-US opportunity should be just as big.</t>
  </si>
  <si>
    <t>Simponi (golimumab)</t>
  </si>
  <si>
    <t>Saphris</t>
  </si>
  <si>
    <t>Schizophrenia</t>
  </si>
  <si>
    <t>Atypical</t>
  </si>
  <si>
    <t>?</t>
  </si>
  <si>
    <t>Consensus</t>
  </si>
  <si>
    <t>3.30-3.40</t>
  </si>
  <si>
    <t>Cerazette</t>
  </si>
  <si>
    <t>Implanon</t>
  </si>
  <si>
    <t>Daxas EU</t>
  </si>
  <si>
    <t>Avelox (2011)</t>
  </si>
  <si>
    <t>621</t>
  </si>
  <si>
    <t>Remicade (biologic)</t>
  </si>
  <si>
    <t>Gardasil (vaccine)</t>
  </si>
  <si>
    <t>Viral Vaccines (vaccine)</t>
  </si>
  <si>
    <t>Follistim (biologic)</t>
  </si>
  <si>
    <t>Small Molecule</t>
  </si>
  <si>
    <t>Small Molecule % of sales</t>
  </si>
  <si>
    <t>49</t>
  </si>
  <si>
    <t>54</t>
  </si>
  <si>
    <t>50</t>
  </si>
  <si>
    <t>61</t>
  </si>
  <si>
    <t>41</t>
  </si>
  <si>
    <t>39</t>
  </si>
  <si>
    <t>37</t>
  </si>
  <si>
    <t>76</t>
  </si>
  <si>
    <t>384</t>
  </si>
  <si>
    <t>66</t>
  </si>
  <si>
    <t>109</t>
  </si>
  <si>
    <t>Clarinex (2010?)</t>
  </si>
  <si>
    <t>Propecia (2013)</t>
  </si>
  <si>
    <t>Asmanex (mometasone)</t>
  </si>
  <si>
    <t>Asthma</t>
  </si>
  <si>
    <t>Steroid</t>
  </si>
  <si>
    <t>2012-2018</t>
  </si>
  <si>
    <t>Asmanex (2012-2018)</t>
  </si>
  <si>
    <t>2017-2026.</t>
  </si>
  <si>
    <t>2026, 7326708: salt patent.</t>
  </si>
  <si>
    <t>2022, 6699871: COM patent issued 3/2/2004. Filed 7/5/2002.</t>
  </si>
  <si>
    <t>2017, 6303661: DPP4 method patent.</t>
  </si>
  <si>
    <t>Januvia (2022)</t>
  </si>
  <si>
    <t>Revenue Y/Y</t>
  </si>
  <si>
    <t>Januvia Y/Y</t>
  </si>
  <si>
    <t>ROIC</t>
  </si>
  <si>
    <t>Revenue Consensus/Actual</t>
  </si>
  <si>
    <t>Q111</t>
  </si>
  <si>
    <t>Q211</t>
  </si>
  <si>
    <t>Q311</t>
  </si>
  <si>
    <t>Q411</t>
  </si>
  <si>
    <t>Skin toxicity in rival. UTI imbalance.</t>
  </si>
  <si>
    <t>2024, IPXL</t>
  </si>
  <si>
    <t>vorapaxar</t>
  </si>
  <si>
    <t>fka TRA, fka SCH530348</t>
  </si>
  <si>
    <t>Phase III "TRACER" ACS - discontinued</t>
  </si>
  <si>
    <t>Phase III "TRA-2P"</t>
  </si>
  <si>
    <t>Modified due to tox.</t>
  </si>
  <si>
    <t>Janumet (2022)</t>
  </si>
  <si>
    <t>Remicade Y/Y</t>
  </si>
  <si>
    <t>Vytorin Y/Y</t>
  </si>
  <si>
    <t>Zetia Y/Y</t>
  </si>
  <si>
    <t>Janumet Y/Y</t>
  </si>
  <si>
    <t>Gardasil Y/Y</t>
  </si>
  <si>
    <t>Viral Vaccines Y/Y</t>
  </si>
  <si>
    <t>HPS2-THRIVE: 20,000 patient study to begin in 2006 - 6/7/2006 - Completed Enrollment 5/2010 outcome study. Expect 20% increase in HDL.</t>
  </si>
  <si>
    <t>laropiprant</t>
  </si>
  <si>
    <t>100%</t>
  </si>
  <si>
    <t>10/2008 - &gt;15k</t>
  </si>
  <si>
    <t>CRA</t>
  </si>
  <si>
    <t>2009 NDA filing, potentially Q1. File in 2011.</t>
  </si>
  <si>
    <t>Phase III fracture study</t>
  </si>
  <si>
    <t>Failures</t>
  </si>
  <si>
    <t>Orexin</t>
  </si>
  <si>
    <t>Dulera</t>
  </si>
  <si>
    <t>Bridion</t>
  </si>
  <si>
    <t>ANAC</t>
  </si>
  <si>
    <t>AVEO</t>
  </si>
  <si>
    <t>Simponi</t>
  </si>
  <si>
    <t>Noxafil</t>
  </si>
  <si>
    <t>Q313</t>
  </si>
  <si>
    <t>Q114</t>
  </si>
  <si>
    <t>Cordaptive</t>
  </si>
  <si>
    <t>Q112</t>
  </si>
  <si>
    <t>Q212</t>
  </si>
  <si>
    <t>Q312</t>
  </si>
  <si>
    <t>Q412</t>
  </si>
  <si>
    <t>Q113</t>
  </si>
  <si>
    <t>Q213</t>
  </si>
  <si>
    <t>Q413</t>
  </si>
  <si>
    <t>Q214</t>
  </si>
  <si>
    <t>Q314</t>
  </si>
  <si>
    <t>Q414</t>
  </si>
  <si>
    <t>Nuvaring (device)</t>
  </si>
  <si>
    <t>Victrelis</t>
  </si>
  <si>
    <t>PD-1</t>
  </si>
  <si>
    <t>Crixivan</t>
  </si>
  <si>
    <t>indinavir</t>
  </si>
  <si>
    <t>Protease Inhibitor</t>
  </si>
  <si>
    <t>Revenue</t>
  </si>
  <si>
    <t>800mg every 8 hours (TID) (6 400mg capsules per day)</t>
  </si>
  <si>
    <t>$2.50 per 400mg pill, or $5,475 annually.</t>
  </si>
  <si>
    <t>Kaletra, $6.78 per pill, or $9,903 annually.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</si>
  <si>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</si>
  <si>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</si>
  <si>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</si>
  <si>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</si>
  <si>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</si>
  <si>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</si>
  <si>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</si>
  <si>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</si>
  <si>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</si>
  <si>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</si>
  <si>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</si>
  <si>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</si>
  <si>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</si>
  <si>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</si>
  <si>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</si>
  <si>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</si>
  <si>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</si>
  <si>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</si>
  <si>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</si>
  <si>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</si>
  <si>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</si>
  <si>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</si>
  <si>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</si>
  <si>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</si>
  <si>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</si>
  <si>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</si>
  <si>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</si>
  <si>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</si>
  <si>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</si>
  <si>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</si>
  <si>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</si>
  <si>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</si>
  <si>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</si>
  <si>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</si>
  <si>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</si>
  <si>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</si>
  <si>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Lagevrio</t>
  </si>
  <si>
    <t>Keytruda</t>
  </si>
  <si>
    <t>Lynparza</t>
  </si>
  <si>
    <t>Lenvima</t>
  </si>
  <si>
    <t>Reblozyl</t>
  </si>
  <si>
    <t>Vaqta</t>
  </si>
  <si>
    <t>Prevymis</t>
  </si>
  <si>
    <t>Dificid</t>
  </si>
  <si>
    <t>Belsomra</t>
  </si>
  <si>
    <t>Adempas</t>
  </si>
  <si>
    <t>Adempas Alliance</t>
  </si>
  <si>
    <t>Zerbaxa</t>
  </si>
  <si>
    <t>Keytruda y/y</t>
  </si>
  <si>
    <t>Atozet</t>
  </si>
  <si>
    <t>Cubicin</t>
  </si>
  <si>
    <t>Zepatier</t>
  </si>
  <si>
    <t>Brand</t>
  </si>
  <si>
    <t>Generic</t>
  </si>
  <si>
    <t>Keytruda, fka MK-3475</t>
  </si>
  <si>
    <t>Keytruda (pembrolizumab)</t>
  </si>
  <si>
    <t>Melanoma, NSCLC</t>
  </si>
  <si>
    <t>MOA</t>
  </si>
  <si>
    <t>anacetrapib</t>
  </si>
  <si>
    <t>MK-859</t>
  </si>
  <si>
    <t>ibutamoren</t>
  </si>
  <si>
    <t>MK-677</t>
  </si>
  <si>
    <t>DPP4</t>
  </si>
  <si>
    <t>pembrolizumab</t>
  </si>
  <si>
    <t>Indications</t>
  </si>
  <si>
    <t>PD-1 mab</t>
  </si>
  <si>
    <t>MK-974</t>
  </si>
  <si>
    <t>Remicade (infliximab)</t>
  </si>
  <si>
    <t>Zolinza, fka SAHA</t>
  </si>
  <si>
    <t>vorinostat</t>
  </si>
  <si>
    <t>losartan</t>
  </si>
  <si>
    <t>Cozaar/Hyzaar</t>
  </si>
  <si>
    <t>corifollitropin alfa</t>
  </si>
  <si>
    <t>Zontivity (vorapaxar)</t>
  </si>
  <si>
    <t>Share</t>
  </si>
  <si>
    <t>COGS</t>
  </si>
  <si>
    <t>58</t>
  </si>
  <si>
    <t>189</t>
  </si>
  <si>
    <t>103</t>
  </si>
  <si>
    <t>47</t>
  </si>
  <si>
    <t>91</t>
  </si>
  <si>
    <t>82</t>
  </si>
  <si>
    <t>28</t>
  </si>
  <si>
    <t>68</t>
  </si>
  <si>
    <t>KEYNOTE-869</t>
  </si>
  <si>
    <t>Phase Ib/II "EV-103" Cohort K</t>
  </si>
  <si>
    <t>1L mUC cisplatin-ineligible</t>
  </si>
  <si>
    <t>n=76 with efortumab vedotin</t>
  </si>
  <si>
    <t>64.5% ORR vs. 45% ORR with EV alone</t>
  </si>
  <si>
    <t>CMO: Eliav Barr</t>
  </si>
  <si>
    <t>NCT03288545</t>
  </si>
  <si>
    <t>KEYNOTE-A39</t>
  </si>
  <si>
    <t>NCT04223856</t>
  </si>
  <si>
    <t>KEYNOTE-905</t>
  </si>
  <si>
    <t>NCT03924895</t>
  </si>
  <si>
    <t>EV-304</t>
  </si>
  <si>
    <t>EV-303</t>
  </si>
  <si>
    <t>EV-302</t>
  </si>
  <si>
    <t>KEYNOTE-B15</t>
  </si>
  <si>
    <t>NCT04700124</t>
  </si>
  <si>
    <t>9/12/22: KEYNOTE-869 results</t>
  </si>
  <si>
    <t>COVID-19</t>
  </si>
  <si>
    <t>NRTI?</t>
  </si>
  <si>
    <t>Assets</t>
  </si>
  <si>
    <t>AR</t>
  </si>
  <si>
    <t>Inventories</t>
  </si>
  <si>
    <t>OCA</t>
  </si>
  <si>
    <t>PP&amp;E</t>
  </si>
  <si>
    <t>Goodwill</t>
  </si>
  <si>
    <t>OA</t>
  </si>
  <si>
    <t>AP</t>
  </si>
  <si>
    <t>AL</t>
  </si>
  <si>
    <t>Dividends</t>
  </si>
  <si>
    <t>ONCL</t>
  </si>
  <si>
    <t>S/E</t>
  </si>
  <si>
    <t>L+SE</t>
  </si>
  <si>
    <t>Primaxin (cilastatin/imipenem)</t>
  </si>
  <si>
    <t>Antibiotic</t>
  </si>
  <si>
    <t>MK-0724 (ONO-2506)</t>
  </si>
  <si>
    <t>MK-0482</t>
  </si>
  <si>
    <t>Oncology</t>
  </si>
  <si>
    <t>ILT3 mab</t>
  </si>
  <si>
    <t>MK-1942</t>
  </si>
  <si>
    <t>MK-4280 (favezelimab)</t>
  </si>
  <si>
    <t>LAG3 mab</t>
  </si>
  <si>
    <t>PPAR</t>
  </si>
  <si>
    <t>Gardasil 9, fka V503</t>
  </si>
  <si>
    <t>TROP2 ADC</t>
  </si>
  <si>
    <t>SKB</t>
  </si>
  <si>
    <t>Hypercholesterolemia</t>
  </si>
  <si>
    <t>PCSK9 oral</t>
  </si>
  <si>
    <t>MK-2060</t>
  </si>
  <si>
    <t>FXI mab</t>
  </si>
  <si>
    <t>Lynparza (olaparib)</t>
  </si>
  <si>
    <t>PARP</t>
  </si>
  <si>
    <t>AZN</t>
  </si>
  <si>
    <t>Lenvima (lenvatinib)</t>
  </si>
  <si>
    <t>TKI</t>
  </si>
  <si>
    <t>4523 JP</t>
  </si>
  <si>
    <t>Bridion (sugammadex)</t>
  </si>
  <si>
    <t>Anesthesia Reversal</t>
  </si>
  <si>
    <t>Reblozyl (luspatercept)</t>
  </si>
  <si>
    <t>MDS</t>
  </si>
  <si>
    <t>BMY</t>
  </si>
  <si>
    <t>MK-5684/ODM-208</t>
  </si>
  <si>
    <t>CYP11 inhibitor</t>
  </si>
  <si>
    <t>ORNBV</t>
  </si>
  <si>
    <t>nemtabrutinib (fka MK-1026)</t>
  </si>
  <si>
    <t>BTK inhibitor</t>
  </si>
  <si>
    <t>HemOnc</t>
  </si>
  <si>
    <t>AKT</t>
  </si>
  <si>
    <t>WEE1</t>
  </si>
  <si>
    <t>ACC1</t>
  </si>
  <si>
    <t>VRTX?</t>
  </si>
  <si>
    <t>Aurora kinase</t>
  </si>
  <si>
    <t>zilovertamab vedotin (MK-2140/VLS-101)</t>
  </si>
  <si>
    <t>ROR1 ADC</t>
  </si>
  <si>
    <t>100% (VelosBio)</t>
  </si>
  <si>
    <t>MK-4830</t>
  </si>
  <si>
    <t>ILT4 mab</t>
  </si>
  <si>
    <t>quavonlimab (MK-1308)</t>
  </si>
  <si>
    <t>CTLA4</t>
  </si>
  <si>
    <t>MK-5475</t>
  </si>
  <si>
    <t>sGC</t>
  </si>
  <si>
    <t>PAH</t>
  </si>
  <si>
    <t>MK-3655</t>
  </si>
  <si>
    <t>NASH</t>
  </si>
  <si>
    <t>NGM</t>
  </si>
  <si>
    <t>FGFR</t>
  </si>
  <si>
    <t>CD27</t>
  </si>
  <si>
    <t>SNY partnership in the EU?</t>
  </si>
  <si>
    <t>MK-6024 (efinopegdutide)</t>
  </si>
  <si>
    <t>Hanmi</t>
  </si>
  <si>
    <t>GIP/GLP</t>
  </si>
  <si>
    <t>1/11/23: Completes Imago tender</t>
  </si>
  <si>
    <t>1/10/23: named JUST company</t>
  </si>
  <si>
    <t>1/5/23: Q4 earnings date</t>
  </si>
  <si>
    <t>Myelofibrosis</t>
  </si>
  <si>
    <t>LSD1 inhibitor</t>
  </si>
  <si>
    <t>1/3/23: investor conference</t>
  </si>
  <si>
    <t>12/22/22: investor conference</t>
  </si>
  <si>
    <t>12/22/22: licenses 7 ADCs from Kelun-Biotech for $175m</t>
  </si>
  <si>
    <t>Lynparza, fka AZD2281</t>
  </si>
  <si>
    <t>olaparib</t>
  </si>
  <si>
    <t>aOC, mCRPC, pancreatic, mBC</t>
  </si>
  <si>
    <t>LogP=1.9, MW=434, HBD=1, HBA=5, RB=4, TPSA=82. Capsule discontinued, Tablet replaced</t>
  </si>
  <si>
    <t>7151102 first patent doesn't correspond to structure, expired</t>
  </si>
  <si>
    <t>7449464 expires 2024</t>
  </si>
  <si>
    <t>8071579 expires 2027, MOU patent</t>
  </si>
  <si>
    <t>8143241 expires 2027, MOU patent</t>
  </si>
  <si>
    <t>8475842 expires 2029, formulation patent</t>
  </si>
  <si>
    <t>8859562 expires 2031, ridiculous claim</t>
  </si>
  <si>
    <t>Phase III SOLO-2 - NCT01874353</t>
  </si>
  <si>
    <t>Phase III POLO</t>
  </si>
  <si>
    <t>Phase III "SOLO-1" n=391 1L aOC BRCA+ in PR/CR - NEJM 2018, NCT01844986</t>
  </si>
  <si>
    <t>HR=0.30 TTP/OS</t>
  </si>
  <si>
    <t>Phase III "PROpel" 1L CRPC abiraterone+-olaparib - NEJM 2022, NCT03732820</t>
  </si>
  <si>
    <t>mibPFS HR=0.66, OS=0.86 (p=0.29 immature)</t>
  </si>
  <si>
    <t>24.8 months vs. 16.6 months mibPFS</t>
  </si>
  <si>
    <t>Padcev (enfortumab vedotin)</t>
  </si>
  <si>
    <t>Urothelial Cancer</t>
  </si>
  <si>
    <t>SGEN, 4503</t>
  </si>
  <si>
    <t>Padcev</t>
  </si>
  <si>
    <t>enfortumab vedotin</t>
  </si>
  <si>
    <t>Nectin-4 ADC</t>
  </si>
  <si>
    <t>Urothelial carcinoma</t>
  </si>
  <si>
    <t>Priority review for BLA</t>
  </si>
  <si>
    <t>12/21/22: Lynparza approved in EU for CRPC</t>
  </si>
  <si>
    <t>12/20/22: Padcev priority review for 1L UC</t>
  </si>
  <si>
    <t>Phase Ib/2 KEYNOTE-869/EV-103 1L UC - NCT03288545</t>
  </si>
  <si>
    <t>12/15/22: Lynparza CRPC PDUFA extended</t>
  </si>
  <si>
    <t>12/13/22: V940 results</t>
  </si>
  <si>
    <t>mRNA-4157/V940</t>
  </si>
  <si>
    <t>Melanoma</t>
  </si>
  <si>
    <t>MRNA</t>
  </si>
  <si>
    <t>MRK 50/50 global P&amp;L profit share</t>
  </si>
  <si>
    <t>personalized mRNA vaccine</t>
  </si>
  <si>
    <t>Phase IIb "KEYNOTE-942" n=157 adjuvant melanoma - NCT0389788</t>
  </si>
  <si>
    <t>RFS HR=0.56 p=0.0266 (one-sided!)</t>
  </si>
  <si>
    <t>CEO: Robert Davis</t>
  </si>
  <si>
    <t xml:space="preserve">  CC Y/Y</t>
  </si>
  <si>
    <t>56</t>
  </si>
  <si>
    <t>53</t>
  </si>
  <si>
    <t>138</t>
  </si>
  <si>
    <t>35</t>
  </si>
  <si>
    <t>29</t>
  </si>
  <si>
    <t>46</t>
  </si>
  <si>
    <t>27</t>
  </si>
  <si>
    <t>Welireg</t>
  </si>
  <si>
    <t>Vaxneuvance</t>
  </si>
  <si>
    <t>sotatercept</t>
  </si>
  <si>
    <t>lenvatinib</t>
  </si>
  <si>
    <t>differentiated thyroid cancer first indication</t>
  </si>
  <si>
    <t>VEGFR1/2/3 inhibitor</t>
  </si>
  <si>
    <t>7253286 - 2025 first expiry</t>
  </si>
  <si>
    <t>286 claim</t>
  </si>
  <si>
    <t>7612208 - 2026 expiry of crystal patent</t>
  </si>
  <si>
    <t>Lagevrio (molnupiravir)</t>
  </si>
  <si>
    <t>Welireg (belzutifan)</t>
  </si>
  <si>
    <t>N/A</t>
  </si>
  <si>
    <t>Net Cash</t>
  </si>
  <si>
    <t>Q124</t>
  </si>
  <si>
    <t>Q224</t>
  </si>
  <si>
    <t>Q324</t>
  </si>
  <si>
    <t>Q424</t>
  </si>
  <si>
    <t>Delstrigo</t>
  </si>
  <si>
    <t>Pifeltro</t>
  </si>
  <si>
    <t>Model NI</t>
  </si>
  <si>
    <t>Reported NI</t>
  </si>
  <si>
    <t>CFFO</t>
  </si>
  <si>
    <t>WC</t>
  </si>
  <si>
    <t>SBC</t>
  </si>
  <si>
    <t>DT</t>
  </si>
  <si>
    <t>Investment &amp; Acquisitions</t>
  </si>
  <si>
    <t>CFFI</t>
  </si>
  <si>
    <t>CapEx</t>
  </si>
  <si>
    <t>Investments</t>
  </si>
  <si>
    <t>Acquisitions</t>
  </si>
  <si>
    <t>CFFF</t>
  </si>
  <si>
    <t>ESOP</t>
  </si>
  <si>
    <t>Buybacks</t>
  </si>
  <si>
    <t>Debt Repayment</t>
  </si>
  <si>
    <t>FX</t>
  </si>
  <si>
    <t>3</t>
  </si>
  <si>
    <t>Gardasil (HPV Quadrivalent)</t>
  </si>
  <si>
    <t>Adempas (riociguat)</t>
  </si>
  <si>
    <t>Belsomra (suvorexant, fka MK-4305)</t>
  </si>
  <si>
    <t>Q125</t>
  </si>
  <si>
    <t>Q225</t>
  </si>
  <si>
    <t>Q325</t>
  </si>
  <si>
    <t>Q425</t>
  </si>
  <si>
    <t>Winrevair</t>
  </si>
  <si>
    <t>CIC</t>
  </si>
  <si>
    <t>Prometheus - 10.8B</t>
  </si>
  <si>
    <t>bomedemstat (fka MK-3543)</t>
  </si>
  <si>
    <t>MK-3475 (pembrolizumab + hyaluronidase)</t>
  </si>
  <si>
    <t>NSCLC</t>
  </si>
  <si>
    <t>HALO</t>
  </si>
  <si>
    <t>TIGIT</t>
  </si>
  <si>
    <t>CRPC</t>
  </si>
  <si>
    <t>RSV</t>
  </si>
  <si>
    <t>MK-1654 (clesrovimab)</t>
  </si>
  <si>
    <t>MK-7240/PRA023 (tulisokibart)</t>
  </si>
  <si>
    <t>UC</t>
  </si>
  <si>
    <t>TNF L1A</t>
  </si>
  <si>
    <t>LEAP-015</t>
  </si>
  <si>
    <t>Met ORR &amp; PFS, failed OS</t>
  </si>
  <si>
    <t>Global Clinical Development: Gregory Lubiniecki</t>
  </si>
  <si>
    <t>KEYNOTE-859</t>
  </si>
  <si>
    <t>KEYNOTE-811</t>
  </si>
  <si>
    <t>Phase III 1L HER-2-negative metastatic gastric/GEJ</t>
  </si>
  <si>
    <t>KEYNOTE-590</t>
  </si>
  <si>
    <t>Phase III metastatic esophageal/GEJ</t>
  </si>
  <si>
    <t>Phase III 1L HER2+ G/GEJ</t>
  </si>
  <si>
    <t>NCT04662710</t>
  </si>
  <si>
    <t>KEYNOTE-006</t>
  </si>
  <si>
    <t>KEYNOTE-054</t>
  </si>
  <si>
    <t>KEYNOTE-189</t>
  </si>
  <si>
    <t>KEYNOTE-407</t>
  </si>
  <si>
    <t>KEYNOTE-042</t>
  </si>
  <si>
    <t>KEYNOTE-010</t>
  </si>
  <si>
    <t>KEYNOTE-671</t>
  </si>
  <si>
    <t>KEYNOTE-091</t>
  </si>
  <si>
    <t>KEYNOTE-048</t>
  </si>
  <si>
    <t>KEYNOTE-012</t>
  </si>
  <si>
    <t>KEYNOTE-204</t>
  </si>
  <si>
    <t>cHL</t>
  </si>
  <si>
    <t>HNSCC</t>
  </si>
  <si>
    <t>melanoma</t>
  </si>
  <si>
    <t>KEYNOTE-170</t>
  </si>
  <si>
    <t>PMBCL</t>
  </si>
  <si>
    <t>KEYNOTE-087</t>
  </si>
  <si>
    <t>KEYNOTE-052</t>
  </si>
  <si>
    <t>urothelial carcinoma</t>
  </si>
  <si>
    <t>NSCLC, Melanoma, HCC, BTC, cervical, MCC, RCC, endometrial, cSCC, TNBC, urothelial, cHL, HNSCC, MPM</t>
  </si>
  <si>
    <t>KEYNOTE-051</t>
  </si>
  <si>
    <t>KEYNOTE-355</t>
  </si>
  <si>
    <t>TNBC</t>
  </si>
  <si>
    <t>KEYNOTE-522</t>
  </si>
  <si>
    <t>KEYNOTE-775</t>
  </si>
  <si>
    <t>endometrial</t>
  </si>
  <si>
    <t>KEYNOTE-868</t>
  </si>
  <si>
    <t>KEYNOTE-564</t>
  </si>
  <si>
    <t>RCC</t>
  </si>
  <si>
    <t>KEYNOTE-581</t>
  </si>
  <si>
    <t>KEYNOTE-426</t>
  </si>
  <si>
    <t>KEYNOTE-017</t>
  </si>
  <si>
    <t>MCC</t>
  </si>
  <si>
    <t>KEYNOTE-913</t>
  </si>
  <si>
    <t>KEYNOTE-966</t>
  </si>
  <si>
    <t>BTC</t>
  </si>
  <si>
    <t>KEYNOTE-394</t>
  </si>
  <si>
    <t>HCC</t>
  </si>
  <si>
    <t>KEYNOTE-158</t>
  </si>
  <si>
    <t>cervical</t>
  </si>
  <si>
    <t>KEYNOTE-826</t>
  </si>
  <si>
    <t>KEYNOTE-A18</t>
  </si>
  <si>
    <t>KEYNOTE-057</t>
  </si>
  <si>
    <t>NMIBC</t>
  </si>
  <si>
    <t>KEYNOTE-045</t>
  </si>
  <si>
    <t>2028, SB27 (Samsung), GME751 (Sandoz), mAbxience, ABP234 (Amgen)</t>
  </si>
  <si>
    <t>1/24/25: LEAP-015 in GEA fails OS</t>
  </si>
  <si>
    <t>1/16/25: Q4 earnings date.</t>
  </si>
  <si>
    <t>1/8/25: Gardasil expanded indication in China</t>
  </si>
  <si>
    <t>1/6/25: investor conference</t>
  </si>
  <si>
    <t>Regulatory</t>
  </si>
  <si>
    <t>Gardasil Quadrivalent (6, 11, 16, 18)</t>
  </si>
  <si>
    <t>China - NMPA approved males 9-26.</t>
  </si>
  <si>
    <t xml:space="preserve">  Genotype 16 and 18 of HPV are commonly associated with cervical cancer and anal cancer. Gardasil has 100% efficacy in protection infection against these two genotypes.</t>
  </si>
  <si>
    <t>Genotypes 6 and 11 cause genital warts.</t>
  </si>
  <si>
    <t>Genotypes 6, 11, 16 and 18 cause AIN (anal intraepithelial neoplasia)</t>
  </si>
  <si>
    <t>International: Joseph Romanelli</t>
  </si>
  <si>
    <t>US - FDA label has females 9-45, males 9-26??</t>
  </si>
  <si>
    <t>12/20/24: closes LM-299 licensing deal.</t>
  </si>
  <si>
    <t>Eyebiotech - 1.344B</t>
  </si>
  <si>
    <t>Elanco aqua business - 1.301B</t>
  </si>
  <si>
    <t>Harpoon - 0.746B</t>
  </si>
  <si>
    <t>MK-1045 - 0.7B</t>
  </si>
  <si>
    <t>Imago: 1.327B</t>
  </si>
  <si>
    <t>Winrevair (sotatercept)</t>
  </si>
  <si>
    <t>Capvaxive</t>
  </si>
  <si>
    <t>Pneumococcal Disease</t>
  </si>
  <si>
    <t>21-valent Vaccine</t>
  </si>
  <si>
    <t>MK-1045/CN201</t>
  </si>
  <si>
    <t>B-cell, autoimmune</t>
  </si>
  <si>
    <t>CD3xCD19</t>
  </si>
  <si>
    <t>Curon</t>
  </si>
  <si>
    <t>NDA 215383 approved 8/13/2021</t>
  </si>
  <si>
    <t>belzutifan</t>
  </si>
  <si>
    <t>Zhifei in China</t>
  </si>
  <si>
    <t>HIF2alpha inhibitor</t>
  </si>
  <si>
    <t>HIF-2alpha inhibitor</t>
  </si>
  <si>
    <t>von Hippel-Lindau</t>
  </si>
  <si>
    <t>von Hippel-Lindau (RCC, CNS hemangioblastoma, pNET)</t>
  </si>
  <si>
    <t>Phase II "MK-6482-004" n=61 VHL+ RCC</t>
  </si>
  <si>
    <t>49.2% RR, mDOR not reached at minimum follow up of 18 months</t>
  </si>
  <si>
    <t>83% pNET ORR, 62.5% for CNS hemangioblastoma</t>
  </si>
  <si>
    <t>BLA 761363 approved 3/26/2024</t>
  </si>
  <si>
    <t>Activin IIA</t>
  </si>
  <si>
    <t>IND 1/5/2018</t>
  </si>
  <si>
    <t>Activin receptor IIA-Fc. Activin-A is the natural ligand for this receptor.</t>
  </si>
  <si>
    <t>Phase II "SPECTRA" n=21</t>
  </si>
  <si>
    <t>Winrevair, fka MK-7962, A-011</t>
  </si>
  <si>
    <t>Phase II "PULSAR" n=106</t>
  </si>
  <si>
    <t>Phase III "STELLAR" n=323</t>
  </si>
  <si>
    <t>Phase III "SOTERIA" n=403</t>
  </si>
  <si>
    <t>sotatercept binds activin A, activin B, GDF11, BMP10 in pm range</t>
  </si>
  <si>
    <t>0.3mg, 0.7mg/kg</t>
  </si>
  <si>
    <t>hemoglobin increases</t>
  </si>
  <si>
    <t>6MW: 24.6 and 22.3</t>
  </si>
  <si>
    <t>PVR: -151 and -269</t>
  </si>
  <si>
    <t>Hgb: 1.2 and 1.5g/dL</t>
  </si>
  <si>
    <t>40.1 6MW vs. -1.4 for placebo</t>
  </si>
  <si>
    <t>Opsumit 2.2B, Uptravi 1.8B</t>
  </si>
  <si>
    <t>CFO: Caroline Litchfield</t>
  </si>
  <si>
    <t>AZN. Originally from KuDOS, acquired by AZN in 2006</t>
  </si>
  <si>
    <t>11633396</t>
  </si>
  <si>
    <t>Natco filed ANDA 218044 12/28/2022 (23-796 NJ district), 3:24-cv-10624-RK-TJB, consolidated under 3:23796</t>
  </si>
  <si>
    <t>Docket active as of 1/22/2025.</t>
  </si>
  <si>
    <t>Sandoz, Natco, Cipla generics</t>
  </si>
  <si>
    <t>PARP1 inhibitor. Also inhibits PARP2, PARP3</t>
  </si>
  <si>
    <t>NCT03918278</t>
  </si>
  <si>
    <t>12% ORR</t>
  </si>
  <si>
    <t>ABBV, NGM</t>
  </si>
  <si>
    <t>KEYMAKER-U01</t>
  </si>
  <si>
    <t>MK-0482-001 monotherapy and Keytruda</t>
  </si>
  <si>
    <t>MKT-0482-002 - CMML/AML</t>
  </si>
  <si>
    <t>n=11, 0% ORR</t>
  </si>
  <si>
    <t>combinaY}</t>
  </si>
  <si>
    <t>MK-5890 (boserolimab)</t>
  </si>
  <si>
    <t>MK-7684 (vibostolimab)</t>
  </si>
  <si>
    <t>TRD, Alzheimer's</t>
  </si>
  <si>
    <t>discontinued for liver toxicity</t>
  </si>
  <si>
    <t>MK-2400 (ifinatamab deruxtecan)</t>
  </si>
  <si>
    <t>B7-H3 ADC</t>
  </si>
  <si>
    <t>UCB</t>
  </si>
  <si>
    <t>MK-1084</t>
  </si>
  <si>
    <t>KRAS G12C</t>
  </si>
  <si>
    <t>Taiho</t>
  </si>
  <si>
    <t>MK-3000</t>
  </si>
  <si>
    <t>DME</t>
  </si>
  <si>
    <t>Wnt trispecific agonist</t>
  </si>
  <si>
    <t>MK-1022 (patritumab deruxtecan)</t>
  </si>
  <si>
    <t>HER3 ADC</t>
  </si>
  <si>
    <t>Daiichi</t>
  </si>
  <si>
    <t>MK-5905 (raludotatug deruxtecan)</t>
  </si>
  <si>
    <t>CDH6 ADC</t>
  </si>
  <si>
    <t>MK-2870/SKB264 (sacituzumab tirumotecan)</t>
  </si>
  <si>
    <t>97</t>
  </si>
  <si>
    <t>HS-10535</t>
  </si>
  <si>
    <t>GLP-1</t>
  </si>
  <si>
    <t>MK-0616 (enlicitide)</t>
  </si>
  <si>
    <t>Q126</t>
  </si>
  <si>
    <t>Q226</t>
  </si>
  <si>
    <t>Q326</t>
  </si>
  <si>
    <t>Q426</t>
  </si>
  <si>
    <t>Ohtuvayre</t>
  </si>
  <si>
    <t>Enflonsia</t>
  </si>
  <si>
    <t>Lipfendra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</si>
</sst>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.0_);_(&quot;$&quot;* \(#,##0.0\);_(&quot;$&quot;* &quot;-&quot;??_);_(@_)"/>
    <numFmt numFmtId="166" formatCode="_(* #,##0_);_(* \(#,##0\);_(* &quot;-&quot;??_);_(@_)"/>
    <numFmt numFmtId="167" formatCode="0.0%"/>
    <numFmt numFmtId="168" formatCode="0.0"/>
    <numFmt numFmtId="169" formatCode="0.0%\ ;\(0.0%\)"/>
    <numFmt numFmtId="170" formatCode="#,##0.0\ ;\(#,##0.0\)"/>
    <numFmt numFmtId="171" formatCode="#,##0;\(#,##0\)"/>
    <numFmt numFmtId="172" formatCode="_(* #,##0.000_);_(* \(#,##0.000\);_(* &quot;-&quot;??_);_(@_)"/>
    <numFmt numFmtId="173" formatCode="&quot;$&quot;#,##0.0\ \ \ ;\(&quot;$&quot;#,##0.0\)\ \ "/>
    <numFmt numFmtId="174" formatCode="#,##0.0\ \ \ ;\(#,##0.0\)\ \ "/>
    <numFmt numFmtId="175" formatCode="\¥#,##0.00_);\(\¥#,##0.00\)"/>
    <numFmt numFmtId="176" formatCode="0\A"/>
    <numFmt numFmtId="177" formatCode="_-* #,##0_-;\(#,##0\);_-* &quot;–&quot;_-;_-@_-"/>
    <numFmt numFmtId="178" formatCode="#,##0;\(#,##0\);\–;@"/>
    <numFmt numFmtId="179" formatCode="0.0&quot;  &quot;"/>
    <numFmt numFmtId="180" formatCode="#,##0.0_);\(#,##0.0\)"/>
    <numFmt numFmtId="181" formatCode="&quot;$&quot;_(#,##0.00_);&quot;$&quot;\(#,##0.00\)"/>
    <numFmt numFmtId="182" formatCode="#,##0.0_)\x;\(#,##0.0\)\x"/>
    <numFmt numFmtId="183" formatCode="#,##0.0_)_x;\(#,##0.0\)_x"/>
    <numFmt numFmtId="184" formatCode="0.0_)\%;\(0.0\)\%"/>
    <numFmt numFmtId="185" formatCode="#,##0.0_)_%;\(#,##0.0\)_%"/>
    <numFmt numFmtId="186" formatCode="_-&quot;$&quot;* #,##0.00_-;\-&quot;$&quot;* #,##0.00_-;_-&quot;$&quot;* &quot;-&quot;??_-;_-@_-"/>
    <numFmt numFmtId="187" formatCode="0.00_)"/>
  </numFmts>
  <fonts count="5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Helvetica 65"/>
    </font>
    <font>
      <sz val="7"/>
      <color indexed="8"/>
      <name val="Helvetica 45"/>
      <family val="2"/>
    </font>
    <font>
      <sz val="7"/>
      <color indexed="8"/>
      <name val="Helvetica 65"/>
      <family val="2"/>
    </font>
    <font>
      <sz val="6"/>
      <color indexed="8"/>
      <name val="Helvetica 65"/>
      <family val="2"/>
    </font>
    <font>
      <sz val="8"/>
      <name val="Arial"/>
      <family val="2"/>
    </font>
    <font>
      <sz val="9"/>
      <color indexed="9"/>
      <name val="Times New Roman"/>
      <family val="1"/>
    </font>
    <font>
      <b/>
      <sz val="24"/>
      <name val="Times New Roman"/>
      <family val="1"/>
    </font>
    <font>
      <sz val="8"/>
      <name val="Helv"/>
    </font>
    <font>
      <sz val="9"/>
      <color indexed="12"/>
      <name val="Times New Roman"/>
      <family val="1"/>
    </font>
    <font>
      <b/>
      <sz val="8.5"/>
      <color indexed="17"/>
      <name val="Arial"/>
      <family val="2"/>
    </font>
    <font>
      <sz val="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12"/>
      <name val="Arial"/>
      <family val="2"/>
    </font>
    <font>
      <sz val="10"/>
      <color indexed="10"/>
      <name val="Times New Roman"/>
      <family val="1"/>
    </font>
    <font>
      <sz val="10"/>
      <name val="MS Sans Serif"/>
      <family val="2"/>
    </font>
    <font>
      <b/>
      <sz val="14"/>
      <name val="Arial"/>
      <family val="2"/>
    </font>
    <font>
      <sz val="10"/>
      <name val="CG Times (WN)"/>
    </font>
    <font>
      <b/>
      <sz val="9"/>
      <color indexed="8"/>
      <name val="Helvetica 65"/>
      <family val="2"/>
    </font>
    <font>
      <sz val="9"/>
      <color indexed="8"/>
      <name val="Helvetica 45"/>
      <family val="2"/>
    </font>
    <font>
      <b/>
      <sz val="8"/>
      <color indexed="8"/>
      <name val="Helvetica 65"/>
    </font>
    <font>
      <sz val="8"/>
      <name val="Helvetica 65"/>
      <family val="2"/>
    </font>
    <font>
      <b/>
      <sz val="14"/>
      <name val="Times New Roman"/>
      <family val="1"/>
    </font>
    <font>
      <sz val="12"/>
      <name val="Helvetica"/>
      <family val="2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8.5"/>
      <color indexed="8"/>
      <name val="Arial"/>
      <family val="2"/>
    </font>
    <font>
      <b/>
      <sz val="8.5"/>
      <color indexed="17"/>
      <name val="Arial"/>
      <family val="2"/>
    </font>
    <font>
      <sz val="8"/>
      <color indexed="16"/>
      <name val="Helv"/>
    </font>
    <font>
      <b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lightGray">
        <fgColor indexed="22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170" fontId="6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39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71" fontId="7" fillId="3" borderId="0" applyNumberFormat="0" applyFont="0" applyBorder="0" applyAlignment="0">
      <alignment horizontal="right"/>
    </xf>
    <xf numFmtId="176" fontId="8" fillId="3" borderId="1" applyFont="0">
      <alignment horizontal="right"/>
    </xf>
    <xf numFmtId="0" fontId="2" fillId="0" borderId="0" applyNumberFormat="0" applyFill="0" applyBorder="0" applyAlignment="0" applyProtection="0"/>
    <xf numFmtId="0" fontId="9" fillId="0" borderId="0" applyNumberFormat="0" applyAlignment="0"/>
    <xf numFmtId="0" fontId="10" fillId="0" borderId="0" applyNumberFormat="0" applyAlignment="0"/>
    <xf numFmtId="0" fontId="11" fillId="0" borderId="0" applyNumberFormat="0" applyAlignment="0"/>
    <xf numFmtId="0" fontId="12" fillId="0" borderId="0" applyNumberFormat="0" applyAlignment="0"/>
    <xf numFmtId="0" fontId="13" fillId="0" borderId="2" applyNumberFormat="0" applyFill="0" applyAlignment="0" applyProtection="0"/>
    <xf numFmtId="0" fontId="14" fillId="0" borderId="0" applyNumberFormat="0" applyFill="0" applyBorder="0" applyAlignment="0"/>
    <xf numFmtId="2" fontId="2" fillId="4" borderId="0" applyNumberFormat="0" applyFont="0" applyBorder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>
      <alignment horizontal="right"/>
    </xf>
    <xf numFmtId="44" fontId="1" fillId="0" borderId="0" applyFont="0" applyFill="0" applyBorder="0" applyAlignment="0" applyProtection="0"/>
    <xf numFmtId="173" fontId="16" fillId="0" borderId="0"/>
    <xf numFmtId="0" fontId="17" fillId="0" borderId="3" applyNumberFormat="0" applyBorder="0"/>
    <xf numFmtId="179" fontId="2" fillId="5" borderId="3" applyNumberFormat="0" applyFont="0" applyBorder="0" applyAlignment="0" applyProtection="0">
      <alignment horizontal="right"/>
    </xf>
    <xf numFmtId="1" fontId="2" fillId="0" borderId="0" applyNumberFormat="0" applyBorder="0" applyAlignment="0" applyProtection="0"/>
    <xf numFmtId="177" fontId="18" fillId="0" borderId="0">
      <alignment vertical="center"/>
    </xf>
    <xf numFmtId="49" fontId="19" fillId="0" borderId="0">
      <alignment horizontal="right"/>
    </xf>
    <xf numFmtId="49" fontId="20" fillId="0" borderId="0">
      <alignment horizontal="right"/>
    </xf>
    <xf numFmtId="177" fontId="21" fillId="0" borderId="0">
      <alignment vertical="center"/>
    </xf>
    <xf numFmtId="0" fontId="22" fillId="0" borderId="0"/>
    <xf numFmtId="0" fontId="4" fillId="0" borderId="0" applyNumberFormat="0" applyFill="0" applyBorder="0" applyAlignment="0" applyProtection="0">
      <alignment vertical="top"/>
      <protection locked="0"/>
    </xf>
    <xf numFmtId="1" fontId="23" fillId="0" borderId="0" applyNumberFormat="0">
      <alignment horizontal="right"/>
    </xf>
    <xf numFmtId="0" fontId="24" fillId="6" borderId="0" applyNumberFormat="0" applyFont="0" applyBorder="0" applyAlignment="0" applyProtection="0"/>
    <xf numFmtId="0" fontId="25" fillId="0" borderId="0"/>
    <xf numFmtId="186" fontId="6" fillId="0" borderId="0"/>
    <xf numFmtId="2" fontId="24" fillId="0" borderId="0" applyBorder="0" applyProtection="0"/>
    <xf numFmtId="0" fontId="26" fillId="0" borderId="0"/>
    <xf numFmtId="174" fontId="16" fillId="0" borderId="0"/>
    <xf numFmtId="0" fontId="27" fillId="0" borderId="0" applyNumberFormat="0" applyAlignment="0"/>
    <xf numFmtId="0" fontId="28" fillId="0" borderId="0" applyNumberFormat="0" applyAlignment="0"/>
    <xf numFmtId="0" fontId="29" fillId="0" borderId="0" applyNumberFormat="0" applyAlignment="0"/>
    <xf numFmtId="0" fontId="30" fillId="0" borderId="0"/>
    <xf numFmtId="0" fontId="31" fillId="0" borderId="0" applyNumberFormat="0" applyFill="0" applyBorder="0">
      <alignment horizontal="left"/>
    </xf>
    <xf numFmtId="9" fontId="1" fillId="0" borderId="0" applyFont="0" applyFill="0" applyBorder="0" applyAlignment="0" applyProtection="0"/>
    <xf numFmtId="0" fontId="32" fillId="0" borderId="0"/>
    <xf numFmtId="168" fontId="24" fillId="2" borderId="4" applyNumberFormat="0" applyFont="0" applyBorder="0" applyAlignment="0" applyProtection="0">
      <alignment horizontal="center"/>
    </xf>
    <xf numFmtId="1" fontId="32" fillId="7" borderId="0" applyNumberFormat="0" applyFont="0" applyBorder="0" applyAlignment="0">
      <alignment horizontal="left"/>
    </xf>
    <xf numFmtId="0" fontId="12" fillId="0" borderId="0" applyNumberFormat="0" applyAlignment="0"/>
    <xf numFmtId="0" fontId="1" fillId="0" borderId="0" applyFont="0" applyFill="0" applyBorder="0" applyAlignment="0" applyProtection="0"/>
    <xf numFmtId="178" fontId="33" fillId="0" borderId="0" applyNumberFormat="0" applyFill="0" applyBorder="0" applyAlignment="0" applyProtection="0">
      <alignment horizontal="right" vertical="center" wrapText="1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protection locked="0"/>
    </xf>
    <xf numFmtId="0" fontId="36" fillId="0" borderId="3" applyNumberFormat="0" applyFill="0" applyProtection="0">
      <alignment horizontal="right"/>
    </xf>
    <xf numFmtId="0" fontId="36" fillId="0" borderId="5" applyNumberFormat="0" applyProtection="0">
      <alignment horizontal="right"/>
    </xf>
    <xf numFmtId="0" fontId="37" fillId="0" borderId="6" applyNumberFormat="0" applyFill="0" applyProtection="0"/>
    <xf numFmtId="0" fontId="38" fillId="0" borderId="0">
      <alignment vertical="center"/>
    </xf>
    <xf numFmtId="0" fontId="39" fillId="0" borderId="0">
      <alignment vertical="center"/>
    </xf>
    <xf numFmtId="0" fontId="21" fillId="0" borderId="0">
      <alignment vertical="center"/>
    </xf>
    <xf numFmtId="0" fontId="24" fillId="0" borderId="0" applyBorder="0"/>
    <xf numFmtId="170" fontId="40" fillId="0" borderId="0" applyNumberFormat="0"/>
    <xf numFmtId="187" fontId="6" fillId="0" borderId="0"/>
    <xf numFmtId="1" fontId="41" fillId="0" borderId="1" applyFill="0" applyProtection="0">
      <alignment horizontal="right"/>
    </xf>
    <xf numFmtId="175" fontId="13" fillId="0" borderId="0" applyFill="0" applyBorder="0" applyAlignment="0" applyProtection="0"/>
  </cellStyleXfs>
  <cellXfs count="135">
    <xf numFmtId="0" fontId="0" fillId="0" borderId="0" xfId="0"/>
    <xf numFmtId="0" fontId="0" fillId="8" borderId="0" xfId="0" applyFill="1"/>
    <xf numFmtId="0" fontId="0" fillId="8" borderId="0" xfId="0" applyFill="1" applyAlignment="1">
      <alignment horizontal="center"/>
    </xf>
    <xf numFmtId="0" fontId="4" fillId="8" borderId="0" xfId="31" applyFill="1" applyAlignment="1" applyProtection="1"/>
    <xf numFmtId="0" fontId="44" fillId="0" borderId="0" xfId="0" applyFont="1"/>
    <xf numFmtId="0" fontId="4" fillId="0" borderId="0" xfId="31" applyAlignment="1" applyProtection="1"/>
    <xf numFmtId="9" fontId="0" fillId="8" borderId="0" xfId="0" applyNumberFormat="1" applyFill="1" applyAlignment="1">
      <alignment horizontal="center"/>
    </xf>
    <xf numFmtId="0" fontId="3" fillId="0" borderId="0" xfId="19" applyNumberFormat="1" applyFont="1" applyFill="1" applyBorder="1" applyAlignment="1">
      <alignment horizontal="right"/>
    </xf>
    <xf numFmtId="0" fontId="3" fillId="0" borderId="0" xfId="37" applyFont="1"/>
    <xf numFmtId="43" fontId="3" fillId="0" borderId="0" xfId="19" applyFont="1" applyFill="1" applyBorder="1" applyAlignment="1">
      <alignment horizontal="right"/>
    </xf>
    <xf numFmtId="0" fontId="46" fillId="8" borderId="0" xfId="0" applyFont="1" applyFill="1"/>
    <xf numFmtId="0" fontId="5" fillId="8" borderId="0" xfId="0" applyFont="1" applyFill="1"/>
    <xf numFmtId="14" fontId="0" fillId="8" borderId="0" xfId="0" applyNumberFormat="1" applyFill="1"/>
    <xf numFmtId="3" fontId="0" fillId="8" borderId="0" xfId="0" applyNumberFormat="1" applyFill="1" applyAlignment="1">
      <alignment horizontal="center"/>
    </xf>
    <xf numFmtId="0" fontId="44" fillId="8" borderId="0" xfId="0" applyFont="1" applyFill="1"/>
    <xf numFmtId="0" fontId="0" fillId="8" borderId="0" xfId="0" applyFill="1" applyAlignment="1">
      <alignment horizontal="right"/>
    </xf>
    <xf numFmtId="0" fontId="46" fillId="0" borderId="0" xfId="0" applyFont="1"/>
    <xf numFmtId="0" fontId="3" fillId="8" borderId="0" xfId="0" applyFont="1" applyFill="1"/>
    <xf numFmtId="3" fontId="44" fillId="8" borderId="0" xfId="21" applyNumberFormat="1" applyFont="1" applyFill="1" applyBorder="1" applyAlignment="1">
      <alignment horizontal="center"/>
    </xf>
    <xf numFmtId="0" fontId="44" fillId="8" borderId="0" xfId="19" applyNumberFormat="1" applyFont="1" applyFill="1" applyBorder="1" applyAlignment="1">
      <alignment horizontal="center"/>
    </xf>
    <xf numFmtId="172" fontId="44" fillId="8" borderId="0" xfId="19" quotePrefix="1" applyNumberFormat="1" applyFont="1" applyFill="1" applyBorder="1" applyAlignment="1">
      <alignment horizontal="center"/>
    </xf>
    <xf numFmtId="43" fontId="44" fillId="8" borderId="0" xfId="19" quotePrefix="1" applyFont="1" applyFill="1" applyBorder="1" applyAlignment="1">
      <alignment horizontal="center"/>
    </xf>
    <xf numFmtId="43" fontId="44" fillId="8" borderId="0" xfId="19" applyFont="1" applyFill="1" applyBorder="1" applyAlignment="1">
      <alignment horizontal="center"/>
    </xf>
    <xf numFmtId="43" fontId="3" fillId="0" borderId="0" xfId="19" quotePrefix="1" applyFont="1" applyFill="1" applyBorder="1" applyAlignment="1">
      <alignment horizontal="right"/>
    </xf>
    <xf numFmtId="0" fontId="3" fillId="0" borderId="0" xfId="37" applyFont="1" applyAlignment="1">
      <alignment horizontal="right"/>
    </xf>
    <xf numFmtId="166" fontId="3" fillId="0" borderId="0" xfId="19" quotePrefix="1" applyNumberFormat="1" applyFont="1" applyFill="1" applyBorder="1" applyAlignment="1">
      <alignment horizontal="right"/>
    </xf>
    <xf numFmtId="3" fontId="3" fillId="0" borderId="0" xfId="21" applyNumberFormat="1" applyFont="1" applyFill="1" applyBorder="1" applyAlignment="1">
      <alignment horizontal="right"/>
    </xf>
    <xf numFmtId="4" fontId="3" fillId="0" borderId="0" xfId="19" applyNumberFormat="1" applyFont="1" applyFill="1" applyBorder="1" applyAlignment="1">
      <alignment horizontal="right"/>
    </xf>
    <xf numFmtId="3" fontId="3" fillId="0" borderId="0" xfId="37" applyNumberFormat="1" applyFont="1" applyAlignment="1">
      <alignment horizontal="right"/>
    </xf>
    <xf numFmtId="4" fontId="3" fillId="0" borderId="0" xfId="37" applyNumberFormat="1" applyFont="1" applyAlignment="1">
      <alignment horizontal="right"/>
    </xf>
    <xf numFmtId="0" fontId="44" fillId="0" borderId="0" xfId="0" applyFont="1" applyAlignment="1">
      <alignment horizontal="right"/>
    </xf>
    <xf numFmtId="37" fontId="3" fillId="0" borderId="0" xfId="19" applyNumberFormat="1" applyFont="1" applyFill="1" applyBorder="1" applyAlignment="1">
      <alignment horizontal="right"/>
    </xf>
    <xf numFmtId="4" fontId="3" fillId="0" borderId="0" xfId="21" applyNumberFormat="1" applyFont="1" applyFill="1" applyBorder="1" applyAlignment="1">
      <alignment horizontal="right"/>
    </xf>
    <xf numFmtId="44" fontId="3" fillId="0" borderId="0" xfId="37" applyNumberFormat="1" applyFont="1" applyAlignment="1">
      <alignment horizontal="right"/>
    </xf>
    <xf numFmtId="0" fontId="3" fillId="0" borderId="0" xfId="19" applyNumberFormat="1" applyFont="1" applyFill="1" applyBorder="1"/>
    <xf numFmtId="9" fontId="44" fillId="8" borderId="0" xfId="0" quotePrefix="1" applyNumberFormat="1" applyFont="1" applyFill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3" fontId="3" fillId="0" borderId="0" xfId="37" applyNumberFormat="1" applyFont="1"/>
    <xf numFmtId="3" fontId="3" fillId="0" borderId="0" xfId="19" applyNumberFormat="1" applyFont="1" applyFill="1" applyBorder="1" applyAlignment="1">
      <alignment horizontal="right"/>
    </xf>
    <xf numFmtId="3" fontId="49" fillId="0" borderId="0" xfId="37" applyNumberFormat="1" applyFont="1"/>
    <xf numFmtId="9" fontId="3" fillId="0" borderId="0" xfId="37" applyNumberFormat="1" applyFont="1" applyAlignment="1">
      <alignment horizontal="right"/>
    </xf>
    <xf numFmtId="169" fontId="3" fillId="0" borderId="0" xfId="37" applyNumberFormat="1" applyFont="1" applyAlignment="1">
      <alignment horizontal="right"/>
    </xf>
    <xf numFmtId="3" fontId="1" fillId="0" borderId="0" xfId="19" applyNumberFormat="1" applyFont="1" applyFill="1" applyBorder="1" applyAlignment="1"/>
    <xf numFmtId="0" fontId="1" fillId="0" borderId="0" xfId="19" applyNumberFormat="1" applyFont="1" applyFill="1" applyBorder="1" applyAlignment="1"/>
    <xf numFmtId="3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37" fontId="0" fillId="0" borderId="0" xfId="0" applyNumberFormat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0" xfId="0" applyNumberFormat="1"/>
    <xf numFmtId="0" fontId="4" fillId="0" borderId="9" xfId="31" applyFill="1" applyBorder="1" applyAlignment="1" applyProtection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4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44" fillId="0" borderId="10" xfId="0" applyFont="1" applyBorder="1" applyAlignment="1">
      <alignment horizontal="center"/>
    </xf>
    <xf numFmtId="0" fontId="44" fillId="0" borderId="9" xfId="0" applyFont="1" applyBorder="1"/>
    <xf numFmtId="9" fontId="44" fillId="0" borderId="0" xfId="0" applyNumberFormat="1" applyFont="1" applyAlignment="1">
      <alignment horizontal="center"/>
    </xf>
    <xf numFmtId="0" fontId="0" fillId="0" borderId="9" xfId="0" applyBorder="1"/>
    <xf numFmtId="17" fontId="0" fillId="0" borderId="0" xfId="0" applyNumberFormat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45" fillId="0" borderId="0" xfId="0" applyFont="1"/>
    <xf numFmtId="0" fontId="4" fillId="0" borderId="0" xfId="31" applyFill="1" applyAlignment="1" applyProtection="1"/>
    <xf numFmtId="0" fontId="0" fillId="0" borderId="0" xfId="0" applyAlignment="1">
      <alignment horizontal="right"/>
    </xf>
    <xf numFmtId="14" fontId="0" fillId="0" borderId="0" xfId="0" applyNumberFormat="1"/>
    <xf numFmtId="0" fontId="1" fillId="0" borderId="0" xfId="0" applyFont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31" applyFill="1" applyBorder="1" applyAlignment="1" applyProtection="1"/>
    <xf numFmtId="0" fontId="1" fillId="0" borderId="0" xfId="0" applyFont="1" applyAlignment="1">
      <alignment horizontal="left"/>
    </xf>
    <xf numFmtId="17" fontId="0" fillId="0" borderId="0" xfId="0" quotePrefix="1" applyNumberFormat="1" applyAlignment="1">
      <alignment horizontal="center"/>
    </xf>
    <xf numFmtId="0" fontId="4" fillId="0" borderId="0" xfId="31" applyNumberFormat="1" applyFill="1" applyBorder="1" applyAlignment="1" applyProtection="1"/>
    <xf numFmtId="0" fontId="1" fillId="0" borderId="0" xfId="37" applyFont="1"/>
    <xf numFmtId="0" fontId="1" fillId="0" borderId="0" xfId="37" applyFont="1" applyAlignment="1">
      <alignment horizontal="right"/>
    </xf>
    <xf numFmtId="165" fontId="1" fillId="0" borderId="0" xfId="37" applyNumberFormat="1" applyFont="1" applyAlignment="1">
      <alignment horizontal="right"/>
    </xf>
    <xf numFmtId="44" fontId="1" fillId="0" borderId="0" xfId="37" applyNumberFormat="1" applyFont="1" applyAlignment="1">
      <alignment horizontal="right"/>
    </xf>
    <xf numFmtId="3" fontId="1" fillId="0" borderId="0" xfId="37" applyNumberFormat="1" applyFont="1" applyAlignment="1">
      <alignment horizontal="right"/>
    </xf>
    <xf numFmtId="166" fontId="1" fillId="0" borderId="0" xfId="37" applyNumberFormat="1" applyFont="1" applyAlignment="1">
      <alignment horizontal="right"/>
    </xf>
    <xf numFmtId="43" fontId="1" fillId="0" borderId="0" xfId="19" applyFont="1" applyFill="1" applyBorder="1" applyAlignment="1">
      <alignment horizontal="center"/>
    </xf>
    <xf numFmtId="0" fontId="1" fillId="0" borderId="0" xfId="19" applyNumberFormat="1" applyFont="1" applyFill="1" applyBorder="1" applyAlignment="1">
      <alignment horizontal="right"/>
    </xf>
    <xf numFmtId="1" fontId="1" fillId="0" borderId="0" xfId="21" applyNumberFormat="1" applyFont="1" applyFill="1" applyBorder="1" applyAlignment="1">
      <alignment horizontal="right"/>
    </xf>
    <xf numFmtId="3" fontId="1" fillId="0" borderId="0" xfId="37" applyNumberFormat="1" applyFont="1"/>
    <xf numFmtId="3" fontId="1" fillId="0" borderId="0" xfId="19" applyNumberFormat="1" applyFont="1" applyFill="1" applyBorder="1" applyAlignment="1">
      <alignment horizontal="right"/>
    </xf>
    <xf numFmtId="3" fontId="1" fillId="0" borderId="0" xfId="21" applyNumberFormat="1" applyFont="1" applyFill="1" applyBorder="1" applyAlignment="1">
      <alignment horizontal="right"/>
    </xf>
    <xf numFmtId="3" fontId="1" fillId="0" borderId="0" xfId="0" applyNumberFormat="1" applyFont="1"/>
    <xf numFmtId="3" fontId="1" fillId="0" borderId="0" xfId="21" quotePrefix="1" applyNumberFormat="1" applyFont="1" applyFill="1" applyBorder="1" applyAlignment="1">
      <alignment horizontal="right"/>
    </xf>
    <xf numFmtId="3" fontId="1" fillId="0" borderId="0" xfId="21" applyNumberFormat="1" applyFont="1" applyFill="1" applyBorder="1" applyAlignment="1">
      <alignment horizontal="center"/>
    </xf>
    <xf numFmtId="166" fontId="1" fillId="0" borderId="0" xfId="19" applyNumberFormat="1" applyFont="1" applyFill="1" applyBorder="1" applyAlignment="1">
      <alignment horizontal="right"/>
    </xf>
    <xf numFmtId="0" fontId="1" fillId="0" borderId="0" xfId="37" quotePrefix="1" applyFont="1"/>
    <xf numFmtId="0" fontId="1" fillId="0" borderId="0" xfId="19" applyNumberFormat="1" applyFont="1" applyFill="1" applyBorder="1"/>
    <xf numFmtId="43" fontId="1" fillId="0" borderId="0" xfId="19" applyFont="1" applyFill="1" applyBorder="1" applyAlignment="1">
      <alignment horizontal="right"/>
    </xf>
    <xf numFmtId="9" fontId="1" fillId="0" borderId="0" xfId="37" applyNumberFormat="1" applyFont="1"/>
    <xf numFmtId="167" fontId="1" fillId="0" borderId="0" xfId="37" applyNumberFormat="1" applyFont="1"/>
    <xf numFmtId="167" fontId="1" fillId="0" borderId="0" xfId="19" applyNumberFormat="1" applyFont="1" applyFill="1" applyBorder="1"/>
    <xf numFmtId="167" fontId="1" fillId="0" borderId="0" xfId="44" applyNumberFormat="1" applyFont="1" applyFill="1" applyBorder="1" applyAlignment="1">
      <alignment horizontal="right"/>
    </xf>
    <xf numFmtId="167" fontId="1" fillId="0" borderId="0" xfId="21" applyNumberFormat="1" applyFont="1" applyFill="1" applyBorder="1" applyAlignment="1">
      <alignment horizontal="right"/>
    </xf>
    <xf numFmtId="167" fontId="1" fillId="0" borderId="0" xfId="0" applyNumberFormat="1" applyFont="1"/>
    <xf numFmtId="167" fontId="1" fillId="0" borderId="0" xfId="37" applyNumberFormat="1" applyFont="1" applyAlignment="1">
      <alignment horizontal="right"/>
    </xf>
    <xf numFmtId="4" fontId="1" fillId="0" borderId="0" xfId="37" applyNumberFormat="1" applyFont="1" applyAlignment="1">
      <alignment horizontal="right"/>
    </xf>
    <xf numFmtId="43" fontId="1" fillId="0" borderId="0" xfId="19" applyFont="1" applyFill="1" applyBorder="1"/>
    <xf numFmtId="169" fontId="1" fillId="0" borderId="0" xfId="37" applyNumberFormat="1" applyFont="1" applyAlignment="1">
      <alignment horizontal="right"/>
    </xf>
    <xf numFmtId="9" fontId="1" fillId="0" borderId="0" xfId="37" applyNumberFormat="1" applyFont="1" applyAlignment="1">
      <alignment horizontal="right"/>
    </xf>
    <xf numFmtId="3" fontId="1" fillId="0" borderId="0" xfId="19" applyNumberFormat="1" applyFont="1" applyFill="1" applyBorder="1"/>
    <xf numFmtId="3" fontId="1" fillId="0" borderId="0" xfId="0" applyNumberFormat="1" applyFont="1" applyAlignment="1">
      <alignment horizontal="right"/>
    </xf>
    <xf numFmtId="3" fontId="1" fillId="0" borderId="0" xfId="21" applyNumberFormat="1" applyFont="1" applyFill="1" applyBorder="1"/>
    <xf numFmtId="3" fontId="1" fillId="0" borderId="0" xfId="44" applyNumberFormat="1" applyFont="1" applyFill="1" applyBorder="1" applyAlignment="1">
      <alignment horizontal="right"/>
    </xf>
    <xf numFmtId="0" fontId="1" fillId="0" borderId="0" xfId="44" applyNumberFormat="1" applyFont="1" applyFill="1" applyBorder="1" applyAlignment="1">
      <alignment horizontal="right"/>
    </xf>
    <xf numFmtId="169" fontId="1" fillId="0" borderId="0" xfId="44" applyNumberFormat="1" applyFont="1" applyFill="1" applyBorder="1" applyAlignment="1">
      <alignment horizontal="right"/>
    </xf>
    <xf numFmtId="9" fontId="1" fillId="0" borderId="0" xfId="44" applyFont="1" applyFill="1" applyBorder="1" applyAlignment="1">
      <alignment horizontal="right"/>
    </xf>
    <xf numFmtId="14" fontId="44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45" fillId="0" borderId="0" xfId="0" applyFont="1" applyAlignment="1">
      <alignment horizontal="left"/>
    </xf>
    <xf numFmtId="0" fontId="1" fillId="0" borderId="11" xfId="0" applyFont="1" applyBorder="1"/>
    <xf numFmtId="0" fontId="1" fillId="0" borderId="6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4" fillId="0" borderId="9" xfId="31" applyBorder="1" applyAlignment="1" applyProtection="1"/>
    <xf numFmtId="0" fontId="50" fillId="0" borderId="0" xfId="0" applyFont="1"/>
    <xf numFmtId="1" fontId="1" fillId="0" borderId="0" xfId="37" applyNumberFormat="1" applyFont="1"/>
    <xf numFmtId="3" fontId="1" fillId="9" borderId="0" xfId="21" applyNumberFormat="1" applyFont="1" applyFill="1" applyBorder="1" applyAlignment="1">
      <alignment horizontal="right"/>
    </xf>
    <xf numFmtId="3" fontId="1" fillId="9" borderId="0" xfId="21" quotePrefix="1" applyNumberFormat="1" applyFont="1" applyFill="1" applyBorder="1" applyAlignment="1">
      <alignment horizontal="right"/>
    </xf>
    <xf numFmtId="0" fontId="1" fillId="0" borderId="0" xfId="0" quotePrefix="1" applyFont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0" xfId="0" quotePrefix="1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64">
    <cellStyle name="$" xfId="1" xr:uid="{00000000-0005-0000-0000-000000000000}"/>
    <cellStyle name="_Comma" xfId="2" xr:uid="{00000000-0005-0000-0000-000001000000}"/>
    <cellStyle name="_Currency" xfId="3" xr:uid="{00000000-0005-0000-0000-000002000000}"/>
    <cellStyle name="_CurrencySpace" xfId="4" xr:uid="{00000000-0005-0000-0000-000003000000}"/>
    <cellStyle name="_Multiple" xfId="5" xr:uid="{00000000-0005-0000-0000-000004000000}"/>
    <cellStyle name="_MultipleSpace" xfId="6" xr:uid="{00000000-0005-0000-0000-000005000000}"/>
    <cellStyle name="_Percent" xfId="7" xr:uid="{00000000-0005-0000-0000-000006000000}"/>
    <cellStyle name="_PercentSpace" xfId="8" xr:uid="{00000000-0005-0000-0000-000007000000}"/>
    <cellStyle name="Actual data" xfId="9" xr:uid="{00000000-0005-0000-0000-000008000000}"/>
    <cellStyle name="Actual year" xfId="10" xr:uid="{00000000-0005-0000-0000-000009000000}"/>
    <cellStyle name="Actuals Cells" xfId="11" xr:uid="{00000000-0005-0000-0000-00000A000000}"/>
    <cellStyle name="Adj L1" xfId="12" xr:uid="{00000000-0005-0000-0000-00000B000000}"/>
    <cellStyle name="Adj L2" xfId="13" xr:uid="{00000000-0005-0000-0000-00000C000000}"/>
    <cellStyle name="Adj L3" xfId="14" xr:uid="{00000000-0005-0000-0000-00000D000000}"/>
    <cellStyle name="Adj Space" xfId="15" xr:uid="{00000000-0005-0000-0000-00000E000000}"/>
    <cellStyle name="ArialNormal" xfId="16" xr:uid="{00000000-0005-0000-0000-00000F000000}"/>
    <cellStyle name="Blank" xfId="17" xr:uid="{00000000-0005-0000-0000-000010000000}"/>
    <cellStyle name="Calc Cells" xfId="18" xr:uid="{00000000-0005-0000-0000-000011000000}"/>
    <cellStyle name="Comma" xfId="19" builtinId="3"/>
    <cellStyle name="Company name" xfId="20" xr:uid="{00000000-0005-0000-0000-000013000000}"/>
    <cellStyle name="Currency" xfId="21" builtinId="4"/>
    <cellStyle name="Dollar" xfId="22" xr:uid="{00000000-0005-0000-0000-000015000000}"/>
    <cellStyle name="Download" xfId="23" xr:uid="{00000000-0005-0000-0000-000016000000}"/>
    <cellStyle name="External File Cells" xfId="24" xr:uid="{00000000-0005-0000-0000-000017000000}"/>
    <cellStyle name="Forecast Cells" xfId="25" xr:uid="{00000000-0005-0000-0000-000018000000}"/>
    <cellStyle name="G1_1999 figures" xfId="26" xr:uid="{00000000-0005-0000-0000-000019000000}"/>
    <cellStyle name="H_1998_col_head" xfId="27" xr:uid="{00000000-0005-0000-0000-00001A000000}"/>
    <cellStyle name="H_1999_col_head" xfId="28" xr:uid="{00000000-0005-0000-0000-00001B000000}"/>
    <cellStyle name="H1_1998 figures" xfId="29" xr:uid="{00000000-0005-0000-0000-00001C000000}"/>
    <cellStyle name="Heading1" xfId="30" xr:uid="{00000000-0005-0000-0000-00001D000000}"/>
    <cellStyle name="Hyperlink" xfId="31" builtinId="8"/>
    <cellStyle name="Input" xfId="32" builtinId="20" customBuiltin="1"/>
    <cellStyle name="Input Cells" xfId="33" xr:uid="{00000000-0005-0000-0000-000020000000}"/>
    <cellStyle name="Mainhead" xfId="34" xr:uid="{00000000-0005-0000-0000-000021000000}"/>
    <cellStyle name="multiple" xfId="35" xr:uid="{00000000-0005-0000-0000-000022000000}"/>
    <cellStyle name="Normal" xfId="0" builtinId="0"/>
    <cellStyle name="Normal Cells" xfId="36" xr:uid="{00000000-0005-0000-0000-000024000000}"/>
    <cellStyle name="Normal_mrk_is2" xfId="37" xr:uid="{00000000-0005-0000-0000-000025000000}"/>
    <cellStyle name="Number" xfId="38" xr:uid="{00000000-0005-0000-0000-000026000000}"/>
    <cellStyle name="Original L1" xfId="39" xr:uid="{00000000-0005-0000-0000-000027000000}"/>
    <cellStyle name="Original L2" xfId="40" xr:uid="{00000000-0005-0000-0000-000028000000}"/>
    <cellStyle name="Original L3" xfId="41" xr:uid="{00000000-0005-0000-0000-000029000000}"/>
    <cellStyle name="Original Space" xfId="42" xr:uid="{00000000-0005-0000-0000-00002A000000}"/>
    <cellStyle name="Page header" xfId="43" xr:uid="{00000000-0005-0000-0000-00002B000000}"/>
    <cellStyle name="Percent" xfId="44" builtinId="5"/>
    <cellStyle name="Price" xfId="45" xr:uid="{00000000-0005-0000-0000-00002D000000}"/>
    <cellStyle name="Reuters Cells" xfId="46" xr:uid="{00000000-0005-0000-0000-00002E000000}"/>
    <cellStyle name="ShadedCells_Database" xfId="47" xr:uid="{00000000-0005-0000-0000-00002F000000}"/>
    <cellStyle name="Space" xfId="48" xr:uid="{00000000-0005-0000-0000-000030000000}"/>
    <cellStyle name="Style 1" xfId="49" xr:uid="{00000000-0005-0000-0000-000031000000}"/>
    <cellStyle name="Style D green" xfId="50" xr:uid="{00000000-0005-0000-0000-000032000000}"/>
    <cellStyle name="Style E" xfId="51" xr:uid="{00000000-0005-0000-0000-000033000000}"/>
    <cellStyle name="Style H" xfId="52" xr:uid="{00000000-0005-0000-0000-000034000000}"/>
    <cellStyle name="Sub total" xfId="53" xr:uid="{00000000-0005-0000-0000-000035000000}"/>
    <cellStyle name="Table end" xfId="54" xr:uid="{00000000-0005-0000-0000-000036000000}"/>
    <cellStyle name="Table head" xfId="55" xr:uid="{00000000-0005-0000-0000-000037000000}"/>
    <cellStyle name="table text bold" xfId="56" xr:uid="{00000000-0005-0000-0000-000038000000}"/>
    <cellStyle name="table text bold green" xfId="57" xr:uid="{00000000-0005-0000-0000-000039000000}"/>
    <cellStyle name="table text light" xfId="58" xr:uid="{00000000-0005-0000-0000-00003A000000}"/>
    <cellStyle name="Titles" xfId="59" xr:uid="{00000000-0005-0000-0000-00003B000000}"/>
    <cellStyle name="Upload Only" xfId="60" xr:uid="{00000000-0005-0000-0000-00003C000000}"/>
    <cellStyle name="x" xfId="61" xr:uid="{00000000-0005-0000-0000-00003D000000}"/>
    <cellStyle name="Year" xfId="62" xr:uid="{00000000-0005-0000-0000-00003E000000}"/>
    <cellStyle name="yen" xfId="63" xr:uid="{00000000-0005-0000-0000-00003F000000}"/>
  </cellStyles>
  <dxfs count="0"/>
  <tableStyles count="1" defaultTableStyle="TableStyleMedium9" defaultPivotStyle="PivotStyleLight16">
    <tableStyle name="Invisible" pivot="0" table="0" count="0" xr9:uid="{8362A390-4732-4D01-899B-7DD71F958D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34528</xdr:colOff>
      <xdr:row>0</xdr:row>
      <xdr:rowOff>0</xdr:rowOff>
    </xdr:from>
    <xdr:to>
      <xdr:col>133</xdr:col>
      <xdr:colOff>34528</xdr:colOff>
      <xdr:row>133</xdr:row>
      <xdr:rowOff>5953</xdr:rowOff>
    </xdr:to>
    <xdr:sp macro="" textlink="">
      <xdr:nvSpPr>
        <xdr:cNvPr id="27912" name="Line 18">
          <a:extLst>
            <a:ext uri="{FF2B5EF4-FFF2-40B4-BE49-F238E27FC236}">
              <a16:creationId xmlns:a16="http://schemas.microsoft.com/office/drawing/2014/main" id="{8B383BE8-1649-8CA7-A587-E0A8BEF97340}"/>
            </a:ext>
          </a:extLst>
        </xdr:cNvPr>
        <xdr:cNvSpPr>
          <a:spLocks noChangeShapeType="1"/>
        </xdr:cNvSpPr>
      </xdr:nvSpPr>
      <xdr:spPr bwMode="auto">
        <a:xfrm flipH="1">
          <a:off x="61351716" y="0"/>
          <a:ext cx="0" cy="127694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39250</xdr:colOff>
      <xdr:row>0</xdr:row>
      <xdr:rowOff>0</xdr:rowOff>
    </xdr:from>
    <xdr:to>
      <xdr:col>104</xdr:col>
      <xdr:colOff>39250</xdr:colOff>
      <xdr:row>209</xdr:row>
      <xdr:rowOff>51594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490210-C131-CC38-AB9F-03F75C182598}"/>
            </a:ext>
          </a:extLst>
        </xdr:cNvPr>
        <xdr:cNvCxnSpPr/>
      </xdr:nvCxnSpPr>
      <xdr:spPr>
        <a:xfrm>
          <a:off x="51598152" y="0"/>
          <a:ext cx="0" cy="247918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215565</xdr:colOff>
      <xdr:row>6</xdr:row>
      <xdr:rowOff>41047</xdr:rowOff>
    </xdr:from>
    <xdr:to>
      <xdr:col>11</xdr:col>
      <xdr:colOff>382026</xdr:colOff>
      <xdr:row>18</xdr:row>
      <xdr:rowOff>85224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A248F-4E05-AD57-96A4-CE44CF14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3407" y="843152"/>
          <a:ext cx="3836093" cy="1969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596673</xdr:colOff>
      <xdr:row>7</xdr:row>
      <xdr:rowOff>75198</xdr:rowOff>
    </xdr:from>
    <xdr:to>
      <xdr:col>3</xdr:col>
      <xdr:colOff>271127</xdr:colOff>
      <xdr:row>10</xdr:row>
      <xdr:rowOff>120315</xdr:rowOff>
    </xdr:to>
    <xdr:pic>
      <xdr:nvPicPr>
        <xdr:cNvPr id="2" name="Picture 1" descr="Figure US07253286-20070807-C01204">
          <a:extLst>
            <a:ext uri="{FF2B5EF4-FFF2-40B4-BE49-F238E27FC236}">
              <a16:creationId xmlns:a16="http://schemas.microsoft.com/office/drawing/2014/main" id="{C9F01DA2-3082-DCF6-93D2-B88C5F90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555" y="1198145"/>
          <a:ext cx="1078138" cy="526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439615</xdr:colOff>
      <xdr:row>3</xdr:row>
      <xdr:rowOff>36634</xdr:rowOff>
    </xdr:from>
    <xdr:to>
      <xdr:col>17</xdr:col>
      <xdr:colOff>475480</xdr:colOff>
      <xdr:row>12</xdr:row>
      <xdr:rowOff>66087</xdr:rowOff>
    </xdr:to>
    <xdr:pic>
      <xdr:nvPicPr>
        <xdr:cNvPr id="2" name="Picture 1" descr="Olaparib - Wikipedia">
          <a:extLst>
            <a:ext uri="{FF2B5EF4-FFF2-40B4-BE49-F238E27FC236}">
              <a16:creationId xmlns:a16="http://schemas.microsoft.com/office/drawing/2014/main" id="{6EEFE893-972E-4290-AFD0-6ABF71D6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20211"/>
          <a:ext cx="3684672" cy="1480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608134</xdr:colOff>
      <xdr:row>25</xdr:row>
      <xdr:rowOff>0</xdr:rowOff>
    </xdr:from>
    <xdr:to>
      <xdr:col>19</xdr:col>
      <xdr:colOff>391626</xdr:colOff>
      <xdr:row>39</xdr:row>
      <xdr:rowOff>107012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B8C866-FAC3-47FE-8008-9A43A3E2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2788" y="3546231"/>
          <a:ext cx="3432300" cy="236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iresln01s/res1/Pharmaceuticals/TRACEM/EXCEL/ROCHE/Roche.xls" TargetMode="External"/><Relationship Id="rId1" Type="http://schemas.openxmlformats.org/officeDocument/2006/relationships/externalLinkPath" Target="/iresln01s/res1/Pharmaceuticals/TRACEM/EXCEL/ROCHE/Roch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.81/work/Oil/NEW_TEAM/Company%20models/BPA_ARCOwip.xls" TargetMode="External"/><Relationship Id="rId1" Type="http://schemas.openxmlformats.org/officeDocument/2006/relationships/externalLinkPath" Target="/192.168.1.81/work/Oil/NEW_TEAM/Company%20models/BPA_ARCOw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OCHE"/>
      <sheetName val="Valuation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gures"/>
      <sheetName val="projections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A593782-0C54-4957-8AFA-F9666DD85167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S3" dT="2025-01-28T04:13:18.09" personId="{8A593782-0C54-4957-8AFA-F9666DD85167}" id="{EA2654BB-4EA3-47B3-B6FC-17B457A550FF}">
    <text>Growth in early stage indications</text>
  </threadedComment>
  <threadedComment ref="DS4" dT="2025-01-29T17:47:56.09" personId="{8A593782-0C54-4957-8AFA-F9666DD85167}" id="{9AC6E709-089E-411C-99CB-CA664F38A07B}">
    <text>12/16/14 approval for AZN</text>
  </threadedComment>
  <threadedComment ref="ED4" dT="2025-01-29T17:46:21.96" personId="{8A593782-0C54-4957-8AFA-F9666DD85167}" id="{E2196511-2B33-45B8-B252-29F03CA13909}">
    <text>Litigation ongoing, may settle for 26-27?</text>
  </threadedComment>
  <threadedComment ref="CS10" dT="2025-01-28T01:29:47.56" personId="{8A593782-0C54-4957-8AFA-F9666DD85167}" id="{5F00E8E2-DB6B-4E10-97B7-BC967AF58539}">
    <text>Bad China quarter, double-digit growth in almost every other country</text>
  </threadedComment>
  <threadedComment ref="EC10" dT="2025-01-29T17:20:19.81" personId="{8A593782-0C54-4957-8AFA-F9666DD85167}" id="{5FA60626-5639-4AE5-9365-A902F10010B3}">
    <text>2.0-3.0B China</text>
  </threadedComment>
  <threadedComment ref="BR21" dT="2023-05-07T22:59:32.92" personId="{8A593782-0C54-4957-8AFA-F9666DD85167}" id="{1DBC5D47-B262-4F0A-963C-13D294E7331F}">
    <text>Approved 11/08/2017</text>
  </threadedComment>
  <threadedComment ref="CS35" dT="2025-01-28T01:26:59.31" personId="{8A593782-0C54-4957-8AFA-F9666DD85167}" id="{743FD384-0E35-44B2-981D-8EFF98B32E47}">
    <text>Approved in EU</text>
  </threadedComment>
  <threadedComment ref="CC90" dT="2022-09-13T11:07:18.69" personId="{8A593782-0C54-4957-8AFA-F9666DD85167}" id="{A29B3FF7-0F38-41FD-8B90-13892A472691}">
    <text>Was 1,197</text>
  </threadedComment>
  <threadedComment ref="CM121" dT="2024-05-31T01:27:59.35" personId="{8A593782-0C54-4957-8AFA-F9666DD85167}" id="{C1BD413A-99FF-41DF-937A-88EF8D616602}">
    <text>Excludes Lagevrio</text>
  </threadedComment>
  <threadedComment ref="CN121" dT="2024-05-31T01:27:59.35" personId="{8A593782-0C54-4957-8AFA-F9666DD85167}" id="{F4D29010-B63C-4B58-B2E6-142C51012576}">
    <text>Excludes Lagevrio</text>
  </threadedComment>
  <threadedComment ref="CO121" dT="2024-05-31T01:27:59.35" personId="{8A593782-0C54-4957-8AFA-F9666DD85167}" id="{7821796D-9EB0-4DFB-8766-A9582AD4F077}">
    <text>Excludes Lagevrio</text>
  </threadedComment>
  <threadedComment ref="CP121" dT="2024-05-31T01:27:59.35" personId="{8A593782-0C54-4957-8AFA-F9666DD85167}" id="{99E8A869-9A70-49E7-AF36-9A3825C38124}">
    <text>Excludes Lagevrio</text>
  </threadedComment>
  <threadedComment ref="CS122" dT="2025-01-28T01:26:21.09" personId="{8A593782-0C54-4957-8AFA-F9666DD85167}" id="{140DB855-F5DD-4991-9A54-36A299C8D9FE}">
    <text>21% cc</text>
  </threadedComment>
  <threadedComment ref="CT122" dT="2025-04-04T13:21:21.97" personId="{8A593782-0C54-4957-8AFA-F9666DD85167}" id="{D6D86380-783B-460C-A857-C52D55F18C37}">
    <text>+22% CC</text>
  </threadedComment>
  <threadedComment ref="CY152" dT="2026-08-09T23:17:41.62" personId="{8A593782-0C54-4957-8AFA-F9666DD85167}" id="{45860C4D-E168-4D30-9BA3-1D803A4D98B3}">
    <text>Cidara</text>
  </threadedComment>
  <threadedComment ref="CZ152" dT="2026-08-09T23:19:49.27" personId="{8A593782-0C54-4957-8AFA-F9666DD85167}" id="{32D27DA1-DA9E-4E87-BF5C-659185D7C779}">
    <text>Terns</text>
  </threadedComment>
  <threadedComment ref="CM158" dT="2026-08-09T22:42:47.72" personId="{8A593782-0C54-4957-8AFA-F9666DD85167}" id="{0E443A26-BD21-40B9-8851-30149E3C015B}">
    <text>Imago</text>
  </threadedComment>
  <threadedComment ref="CN158" dT="2026-08-09T22:42:41.06" personId="{8A593782-0C54-4957-8AFA-F9666DD85167}" id="{04E1602D-EC29-47E8-83D0-1DBBAB83CC34}">
    <text>Prometheus</text>
  </threadedComment>
  <threadedComment ref="CQ158" dT="2026-08-09T22:42:34.79" personId="{8A593782-0C54-4957-8AFA-F9666DD85167}" id="{15AB8AE7-2286-40B1-B2EC-D76A0C71111A}">
    <text>Harpoon</text>
  </threadedComment>
  <threadedComment ref="CS158" dT="2026-08-09T22:43:19.51" personId="{8A593782-0C54-4957-8AFA-F9666DD85167}" id="{1FF6F84E-AC51-44C2-AAC6-2CA950AA2B5D}">
    <text>Eyebiotech
Elanco’s aqua
MK-1045</text>
  </threadedComment>
  <threadedComment ref="CX158" dT="2026-08-09T22:42:25.61" personId="{8A593782-0C54-4957-8AFA-F9666DD85167}" id="{556729A7-21BA-4BEB-B703-E9191657909A}">
    <text>Verona</text>
  </threadedComment>
  <threadedComment ref="CY158" dT="2026-08-09T23:17:58.89" personId="{8A593782-0C54-4957-8AFA-F9666DD85167}" id="{E98BEB81-4597-4FA8-8BF1-471D24C7D772}">
    <text>Cidara</text>
  </threadedComment>
  <threadedComment ref="CZ158" dT="2026-08-09T23:20:33.14" personId="{8A593782-0C54-4957-8AFA-F9666DD85167}" id="{E8436D29-76B9-4C1E-A41A-EC6F43F07E6E}">
    <text>Terns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RK/CGRP%20Lancet%202008%20paper.pdf" TargetMode="External"/><Relationship Id="rId1" Type="http://schemas.openxmlformats.org/officeDocument/2006/relationships/hyperlink" Target="MRK/CGRP%20Lancet%202008%20editorial.pdf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6" sqref="B26"/>
    </sheetView>
  </sheetViews>
  <sheetFormatPr defaultColWidth="8.81640625" defaultRowHeight="12.5"/>
  <cols>
    <col min="1" max="1" width="5" bestFit="1" customWidth="1"/>
    <col min="2" max="2" width="13.81640625" customWidth="1"/>
    <col min="3" max="3" width="13.453125" customWidth="1"/>
    <col min="4" max="4" width="10.1796875" style="76" customWidth="1"/>
    <col min="5" max="5" width="17.1796875" customWidth="1"/>
  </cols>
  <sheetData>
    <row r="1" spans="1:11">
      <c r="A1" s="77" t="s">
        <v>8</v>
      </c>
    </row>
    <row r="2" spans="1:11">
      <c r="B2" s="73" t="s">
        <v>755</v>
      </c>
      <c r="C2" s="73" t="s">
        <v>756</v>
      </c>
      <c r="D2" s="78" t="s">
        <v>3</v>
      </c>
      <c r="E2" s="73" t="s">
        <v>760</v>
      </c>
      <c r="K2" t="s">
        <v>198</v>
      </c>
    </row>
    <row r="3" spans="1:11">
      <c r="C3" s="73" t="s">
        <v>580</v>
      </c>
      <c r="D3" s="78" t="s">
        <v>360</v>
      </c>
      <c r="E3" s="73" t="s">
        <v>359</v>
      </c>
    </row>
    <row r="4" spans="1:11">
      <c r="B4" s="73" t="s">
        <v>774</v>
      </c>
      <c r="C4" s="73" t="s">
        <v>773</v>
      </c>
      <c r="D4" s="48" t="s">
        <v>336</v>
      </c>
      <c r="E4" s="48" t="s">
        <v>335</v>
      </c>
      <c r="F4" s="55">
        <v>1</v>
      </c>
      <c r="G4" s="48">
        <v>1995</v>
      </c>
      <c r="H4" s="79" t="s">
        <v>186</v>
      </c>
    </row>
    <row r="5" spans="1:11">
      <c r="B5" s="73" t="s">
        <v>487</v>
      </c>
      <c r="C5" s="73" t="s">
        <v>775</v>
      </c>
      <c r="D5" s="57" t="s">
        <v>581</v>
      </c>
      <c r="E5" s="48"/>
      <c r="F5" s="57" t="s">
        <v>582</v>
      </c>
      <c r="G5" s="57" t="s">
        <v>583</v>
      </c>
      <c r="H5" s="57" t="s">
        <v>446</v>
      </c>
    </row>
    <row r="6" spans="1:11">
      <c r="B6" s="77" t="s">
        <v>11</v>
      </c>
      <c r="D6" s="48" t="s">
        <v>15</v>
      </c>
      <c r="E6" s="48" t="s">
        <v>219</v>
      </c>
      <c r="F6" s="55">
        <v>1</v>
      </c>
      <c r="G6" s="48">
        <v>2008</v>
      </c>
    </row>
    <row r="7" spans="1:11">
      <c r="B7" s="73" t="s">
        <v>757</v>
      </c>
    </row>
    <row r="8" spans="1:11">
      <c r="B8" s="64" t="s">
        <v>417</v>
      </c>
      <c r="C8" s="48" t="s">
        <v>228</v>
      </c>
      <c r="D8" s="48"/>
      <c r="E8" s="55"/>
      <c r="F8" s="57" t="s">
        <v>418</v>
      </c>
      <c r="G8" s="58" t="s">
        <v>206</v>
      </c>
      <c r="J8" s="49"/>
    </row>
    <row r="9" spans="1:11">
      <c r="B9" s="77" t="s">
        <v>470</v>
      </c>
      <c r="D9" s="48" t="s">
        <v>228</v>
      </c>
      <c r="E9" s="48" t="s">
        <v>235</v>
      </c>
      <c r="F9" s="55">
        <v>1</v>
      </c>
      <c r="G9" s="56">
        <v>38191</v>
      </c>
      <c r="H9" s="57" t="s">
        <v>652</v>
      </c>
    </row>
    <row r="10" spans="1:11">
      <c r="B10" s="4" t="s">
        <v>469</v>
      </c>
      <c r="D10" s="57" t="s">
        <v>228</v>
      </c>
      <c r="E10" s="48"/>
      <c r="F10" s="63">
        <v>1</v>
      </c>
      <c r="G10" s="56">
        <v>37554</v>
      </c>
      <c r="H10" s="57" t="s">
        <v>472</v>
      </c>
    </row>
    <row r="11" spans="1:11">
      <c r="B11" s="77" t="s">
        <v>771</v>
      </c>
      <c r="C11" s="73" t="s">
        <v>772</v>
      </c>
      <c r="D11" s="48" t="s">
        <v>187</v>
      </c>
      <c r="E11" s="48" t="s">
        <v>182</v>
      </c>
      <c r="F11" s="55">
        <v>1</v>
      </c>
      <c r="G11" s="57"/>
      <c r="H11" s="48"/>
      <c r="J11" s="49"/>
    </row>
    <row r="12" spans="1:11">
      <c r="B12" s="77" t="s">
        <v>10</v>
      </c>
      <c r="C12" s="73" t="s">
        <v>441</v>
      </c>
      <c r="D12" s="48" t="s">
        <v>204</v>
      </c>
      <c r="E12" s="48" t="s">
        <v>218</v>
      </c>
      <c r="F12" s="55">
        <v>1</v>
      </c>
      <c r="G12" s="48">
        <v>2002</v>
      </c>
      <c r="H12" s="48" t="s">
        <v>438</v>
      </c>
    </row>
    <row r="13" spans="1:11">
      <c r="B13" s="77" t="s">
        <v>128</v>
      </c>
      <c r="D13" s="48" t="s">
        <v>155</v>
      </c>
      <c r="E13" s="48" t="s">
        <v>220</v>
      </c>
      <c r="F13" s="55">
        <v>1</v>
      </c>
      <c r="G13" s="48"/>
      <c r="H13" s="48" t="s">
        <v>446</v>
      </c>
      <c r="J13" s="49"/>
    </row>
    <row r="14" spans="1:11">
      <c r="B14" s="64" t="s">
        <v>96</v>
      </c>
      <c r="C14" s="48" t="s">
        <v>396</v>
      </c>
      <c r="D14" s="48" t="s">
        <v>397</v>
      </c>
      <c r="E14" s="55" t="s">
        <v>399</v>
      </c>
      <c r="F14" s="48"/>
      <c r="G14" s="58" t="s">
        <v>398</v>
      </c>
      <c r="J14" s="49"/>
    </row>
    <row r="15" spans="1:11">
      <c r="B15" s="62" t="s">
        <v>603</v>
      </c>
      <c r="C15" s="57" t="s">
        <v>604</v>
      </c>
      <c r="D15" s="57" t="s">
        <v>605</v>
      </c>
      <c r="E15" s="63" t="s">
        <v>168</v>
      </c>
      <c r="F15" s="57" t="s">
        <v>606</v>
      </c>
      <c r="G15" s="58"/>
      <c r="J15" s="49"/>
    </row>
    <row r="16" spans="1:11">
      <c r="B16" s="62" t="s">
        <v>633</v>
      </c>
      <c r="C16" s="57" t="s">
        <v>634</v>
      </c>
      <c r="D16" s="57" t="s">
        <v>635</v>
      </c>
      <c r="E16" s="63">
        <v>1</v>
      </c>
      <c r="F16" s="57">
        <v>2005</v>
      </c>
      <c r="G16" s="61" t="s">
        <v>636</v>
      </c>
      <c r="J16" s="49"/>
    </row>
    <row r="17" spans="2:10">
      <c r="B17" s="74" t="s">
        <v>162</v>
      </c>
      <c r="C17" s="48"/>
      <c r="D17" s="48"/>
      <c r="E17" s="55"/>
      <c r="F17" s="48"/>
      <c r="G17" s="48"/>
      <c r="J17" s="49"/>
    </row>
    <row r="18" spans="2:10">
      <c r="B18" s="54" t="s">
        <v>776</v>
      </c>
      <c r="C18" s="57" t="s">
        <v>575</v>
      </c>
      <c r="D18" s="57" t="s">
        <v>574</v>
      </c>
      <c r="E18" s="55">
        <v>1</v>
      </c>
      <c r="F18" s="57" t="s">
        <v>333</v>
      </c>
      <c r="G18" s="61" t="s">
        <v>206</v>
      </c>
      <c r="J18" s="49"/>
    </row>
    <row r="19" spans="2:10">
      <c r="B19" s="64" t="s">
        <v>344</v>
      </c>
      <c r="C19" s="48" t="s">
        <v>345</v>
      </c>
      <c r="D19" s="48" t="s">
        <v>346</v>
      </c>
      <c r="E19" s="55">
        <v>1</v>
      </c>
      <c r="F19" s="48">
        <v>2001</v>
      </c>
      <c r="G19" s="57"/>
      <c r="J19" s="49"/>
    </row>
    <row r="20" spans="2:10">
      <c r="B20" s="77"/>
      <c r="C20" s="57"/>
      <c r="D20" s="57"/>
      <c r="E20" s="55"/>
      <c r="F20" s="57"/>
      <c r="G20" s="57"/>
      <c r="J20" s="49"/>
    </row>
    <row r="21" spans="2:10">
      <c r="B21" s="77"/>
      <c r="C21" s="57"/>
      <c r="D21" s="57"/>
      <c r="E21" s="55"/>
      <c r="F21" s="57"/>
      <c r="G21" s="57"/>
      <c r="J21" s="49"/>
    </row>
    <row r="22" spans="2:10">
      <c r="B22" s="77"/>
      <c r="C22" s="57"/>
      <c r="D22" s="57"/>
      <c r="E22" s="55"/>
      <c r="F22" s="57"/>
      <c r="G22" s="57"/>
      <c r="J22" s="49"/>
    </row>
    <row r="23" spans="2:10">
      <c r="B23" s="77"/>
      <c r="C23" s="57"/>
      <c r="D23" s="57"/>
      <c r="E23" s="55"/>
      <c r="F23" s="57"/>
      <c r="G23" s="57"/>
      <c r="J23" s="49"/>
    </row>
    <row r="24" spans="2:10">
      <c r="B24" s="77"/>
      <c r="C24" s="57"/>
      <c r="D24" s="57"/>
      <c r="E24" s="55"/>
      <c r="F24" s="57"/>
      <c r="G24" s="57"/>
      <c r="J24" s="49"/>
    </row>
    <row r="25" spans="2:10">
      <c r="B25" s="77"/>
      <c r="C25" s="57"/>
      <c r="D25" s="57"/>
      <c r="E25" s="55"/>
      <c r="F25" s="57"/>
      <c r="G25" s="57"/>
      <c r="J25" s="49"/>
    </row>
    <row r="26" spans="2:10">
      <c r="B26" s="77"/>
      <c r="C26" s="57"/>
      <c r="D26" s="57"/>
      <c r="E26" s="55"/>
      <c r="F26" s="57"/>
      <c r="G26" s="57"/>
      <c r="J26" s="49"/>
    </row>
    <row r="27" spans="2:10">
      <c r="B27" s="77"/>
      <c r="C27" s="57"/>
      <c r="D27" s="57"/>
      <c r="E27" s="55"/>
      <c r="F27" s="57"/>
      <c r="G27" s="57"/>
      <c r="J27" s="49"/>
    </row>
    <row r="28" spans="2:10">
      <c r="B28" s="77"/>
      <c r="C28" s="57"/>
      <c r="D28" s="57"/>
      <c r="E28" s="55"/>
      <c r="F28" s="57"/>
      <c r="G28" s="57"/>
      <c r="J28" s="49"/>
    </row>
    <row r="29" spans="2:10" ht="13">
      <c r="B29" s="16" t="s">
        <v>672</v>
      </c>
    </row>
    <row r="30" spans="2:10">
      <c r="B30" s="73" t="s">
        <v>358</v>
      </c>
      <c r="D30" s="78" t="s">
        <v>360</v>
      </c>
      <c r="E30" s="73" t="s">
        <v>359</v>
      </c>
    </row>
    <row r="31" spans="2:10">
      <c r="B31" s="73" t="s">
        <v>762</v>
      </c>
      <c r="C31" s="73" t="s">
        <v>761</v>
      </c>
      <c r="D31" s="78" t="s">
        <v>228</v>
      </c>
      <c r="E31" s="73" t="s">
        <v>223</v>
      </c>
    </row>
    <row r="32" spans="2:10">
      <c r="B32" s="4" t="s">
        <v>464</v>
      </c>
    </row>
    <row r="33" spans="2:11">
      <c r="B33" s="4" t="s">
        <v>465</v>
      </c>
    </row>
    <row r="34" spans="2:11">
      <c r="B34" s="4" t="s">
        <v>676</v>
      </c>
    </row>
    <row r="35" spans="2:11">
      <c r="B35" s="4" t="s">
        <v>677</v>
      </c>
    </row>
    <row r="36" spans="2:11">
      <c r="B36" s="4" t="s">
        <v>682</v>
      </c>
    </row>
    <row r="37" spans="2:11">
      <c r="B37" s="77" t="s">
        <v>339</v>
      </c>
      <c r="C37" t="s">
        <v>338</v>
      </c>
      <c r="D37" s="76" t="s">
        <v>216</v>
      </c>
      <c r="E37" s="55"/>
      <c r="G37" s="48" t="s">
        <v>333</v>
      </c>
      <c r="H37" s="48" t="s">
        <v>388</v>
      </c>
      <c r="I37" s="48" t="s">
        <v>206</v>
      </c>
      <c r="J37" s="4"/>
      <c r="K37" s="49"/>
    </row>
    <row r="38" spans="2:11">
      <c r="B38" s="77" t="s">
        <v>124</v>
      </c>
      <c r="C38" s="75" t="s">
        <v>340</v>
      </c>
      <c r="D38" s="76" t="s">
        <v>216</v>
      </c>
      <c r="E38" s="55"/>
      <c r="G38" s="48" t="s">
        <v>333</v>
      </c>
      <c r="H38" s="48"/>
      <c r="I38" s="48"/>
      <c r="K38" s="49"/>
    </row>
    <row r="39" spans="2:11">
      <c r="B39" s="73" t="s">
        <v>764</v>
      </c>
      <c r="C39" s="73" t="s">
        <v>763</v>
      </c>
      <c r="D39" s="76" t="s">
        <v>260</v>
      </c>
      <c r="E39" s="48" t="s">
        <v>431</v>
      </c>
      <c r="F39" s="55">
        <v>1</v>
      </c>
      <c r="G39" s="48" t="s">
        <v>333</v>
      </c>
    </row>
    <row r="40" spans="2:11">
      <c r="B40" s="77" t="s">
        <v>769</v>
      </c>
      <c r="C40" s="73" t="s">
        <v>414</v>
      </c>
      <c r="D40" s="76" t="s">
        <v>450</v>
      </c>
      <c r="E40" s="48" t="s">
        <v>390</v>
      </c>
      <c r="F40" s="55">
        <v>1</v>
      </c>
      <c r="G40" s="48" t="s">
        <v>333</v>
      </c>
      <c r="H40" s="48" t="s">
        <v>206</v>
      </c>
    </row>
    <row r="41" spans="2:11">
      <c r="B41" s="54" t="s">
        <v>342</v>
      </c>
      <c r="C41" s="48" t="s">
        <v>261</v>
      </c>
      <c r="D41" s="57" t="s">
        <v>343</v>
      </c>
      <c r="E41" s="57" t="s">
        <v>669</v>
      </c>
      <c r="F41" s="48" t="s">
        <v>333</v>
      </c>
      <c r="G41" s="58"/>
      <c r="J41" s="49"/>
    </row>
    <row r="42" spans="2:11">
      <c r="B42" s="62" t="s">
        <v>592</v>
      </c>
      <c r="C42" s="57" t="s">
        <v>228</v>
      </c>
      <c r="D42" s="57" t="s">
        <v>235</v>
      </c>
      <c r="E42" s="63">
        <v>1</v>
      </c>
      <c r="F42" s="57" t="s">
        <v>583</v>
      </c>
      <c r="G42" s="61"/>
      <c r="I42" s="4"/>
      <c r="J42" s="49"/>
    </row>
    <row r="43" spans="2:11">
      <c r="B43" s="62" t="s">
        <v>576</v>
      </c>
      <c r="C43" s="57" t="s">
        <v>578</v>
      </c>
      <c r="D43" s="57" t="s">
        <v>579</v>
      </c>
      <c r="E43" s="63" t="s">
        <v>577</v>
      </c>
      <c r="F43" s="48" t="s">
        <v>333</v>
      </c>
    </row>
    <row r="44" spans="2:11">
      <c r="B44" s="74" t="s">
        <v>821</v>
      </c>
      <c r="C44" s="48" t="s">
        <v>259</v>
      </c>
      <c r="D44" s="48"/>
      <c r="E44" s="48"/>
      <c r="F44" s="48" t="s">
        <v>341</v>
      </c>
      <c r="G44" s="58"/>
      <c r="I44" s="4"/>
      <c r="J44" s="49"/>
    </row>
    <row r="45" spans="2:11">
      <c r="B45" s="64" t="s">
        <v>384</v>
      </c>
      <c r="C45" s="48" t="s">
        <v>385</v>
      </c>
      <c r="D45" s="48" t="s">
        <v>386</v>
      </c>
      <c r="E45" s="55">
        <v>1</v>
      </c>
      <c r="F45" s="48" t="s">
        <v>387</v>
      </c>
    </row>
    <row r="46" spans="2:11">
      <c r="B46" s="62" t="s">
        <v>413</v>
      </c>
      <c r="C46" s="57" t="s">
        <v>228</v>
      </c>
    </row>
    <row r="47" spans="2:11">
      <c r="B47" t="s">
        <v>593</v>
      </c>
    </row>
    <row r="48" spans="2:11">
      <c r="B48" s="64" t="s">
        <v>262</v>
      </c>
      <c r="C48" s="48" t="s">
        <v>12</v>
      </c>
      <c r="D48" s="75" t="s">
        <v>828</v>
      </c>
      <c r="E48" s="48"/>
      <c r="F48" s="48" t="s">
        <v>341</v>
      </c>
    </row>
    <row r="49" spans="2:10">
      <c r="B49" s="74" t="s">
        <v>423</v>
      </c>
      <c r="C49" s="48" t="s">
        <v>424</v>
      </c>
      <c r="D49" s="48"/>
      <c r="E49" s="48"/>
      <c r="F49" s="48" t="s">
        <v>341</v>
      </c>
    </row>
    <row r="50" spans="2:10">
      <c r="B50" s="64" t="s">
        <v>331</v>
      </c>
      <c r="C50" s="48" t="s">
        <v>1</v>
      </c>
      <c r="D50" s="48" t="s">
        <v>332</v>
      </c>
      <c r="E50" s="55">
        <v>1</v>
      </c>
      <c r="F50" s="48" t="s">
        <v>389</v>
      </c>
    </row>
    <row r="51" spans="2:10">
      <c r="B51" s="64" t="s">
        <v>427</v>
      </c>
      <c r="C51" s="75" t="s">
        <v>823</v>
      </c>
      <c r="D51" s="75" t="s">
        <v>853</v>
      </c>
      <c r="E51" s="55"/>
      <c r="F51" s="48" t="s">
        <v>389</v>
      </c>
    </row>
    <row r="52" spans="2:10">
      <c r="B52" s="64" t="s">
        <v>426</v>
      </c>
      <c r="C52" s="48"/>
      <c r="D52" s="75" t="s">
        <v>854</v>
      </c>
      <c r="E52" s="55"/>
      <c r="F52" s="48" t="s">
        <v>389</v>
      </c>
    </row>
    <row r="53" spans="2:10">
      <c r="B53" s="64" t="s">
        <v>429</v>
      </c>
      <c r="C53" s="48" t="s">
        <v>430</v>
      </c>
      <c r="D53" s="75" t="s">
        <v>855</v>
      </c>
      <c r="E53" s="55"/>
      <c r="F53" s="48" t="s">
        <v>389</v>
      </c>
    </row>
    <row r="54" spans="2:10">
      <c r="B54" s="64" t="s">
        <v>428</v>
      </c>
      <c r="C54" s="48"/>
      <c r="D54" s="75" t="s">
        <v>857</v>
      </c>
      <c r="E54" s="119" t="s">
        <v>856</v>
      </c>
      <c r="F54" s="48" t="s">
        <v>389</v>
      </c>
    </row>
    <row r="55" spans="2:10">
      <c r="B55" s="64" t="s">
        <v>159</v>
      </c>
      <c r="C55" s="48" t="s">
        <v>160</v>
      </c>
    </row>
    <row r="56" spans="2:10">
      <c r="B56" s="64" t="s">
        <v>361</v>
      </c>
      <c r="C56" s="48" t="s">
        <v>360</v>
      </c>
      <c r="D56" s="48" t="s">
        <v>362</v>
      </c>
      <c r="E56" s="55">
        <v>1</v>
      </c>
    </row>
    <row r="57" spans="2:10">
      <c r="B57" s="66" t="s">
        <v>161</v>
      </c>
      <c r="C57" s="67" t="s">
        <v>160</v>
      </c>
    </row>
    <row r="58" spans="2:10">
      <c r="B58" s="64" t="s">
        <v>825</v>
      </c>
      <c r="C58" s="48" t="s">
        <v>1114</v>
      </c>
      <c r="J58" s="73" t="s">
        <v>1115</v>
      </c>
    </row>
  </sheetData>
  <hyperlinks>
    <hyperlink ref="B37" location="'524'!A1" display="MK-524A" xr:uid="{00000000-0004-0000-0000-000000000000}"/>
    <hyperlink ref="B38" location="'524'!A1" display="MK-524B" xr:uid="{00000000-0004-0000-0000-000001000000}"/>
    <hyperlink ref="A1" location="Main!A1" display="Main" xr:uid="{906BAA23-997E-4339-827F-58C0E4D40446}"/>
    <hyperlink ref="B40" location="telcagepant!A1" display="MK-974 (telcagepant)" xr:uid="{00000000-0004-0000-0200-00000A000000}"/>
    <hyperlink ref="B6" location="Fosamax!A1" display="Fosamax" xr:uid="{00000000-0004-0000-0200-000009000000}"/>
    <hyperlink ref="B9" location="Vytorin!A1" display="Vytorin" xr:uid="{00000000-0004-0000-0200-00000B000000}"/>
    <hyperlink ref="B11" location="Zolinza!A1" display="Zolinza (SAHA)" xr:uid="{00000000-0004-0000-0200-000001000000}"/>
    <hyperlink ref="B12" location="Singulair!A1" display="Singulair" xr:uid="{00000000-0004-0000-0200-000008000000}"/>
    <hyperlink ref="B13" location="Zostavax!A1" display="Zostavax" xr:uid="{00000000-0004-0000-0200-000003000000}"/>
    <hyperlink ref="B41" location="odanacatib!A1" display="odanacatib (MK-0882)" xr:uid="{00000000-0004-0000-0200-00000C000000}"/>
    <hyperlink ref="B18" location="vorapaxar!A1" display="vorapaxar" xr:uid="{00000000-0004-0000-02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7"/>
  <sheetViews>
    <sheetView zoomScale="115" zoomScaleNormal="115" workbookViewId="0">
      <selection activeCell="J2" sqref="J2"/>
    </sheetView>
  </sheetViews>
  <sheetFormatPr defaultColWidth="8.81640625" defaultRowHeight="12.5"/>
  <cols>
    <col min="1" max="1" width="2" customWidth="1"/>
    <col min="2" max="2" width="26.7265625" customWidth="1"/>
    <col min="3" max="3" width="30.453125" customWidth="1"/>
    <col min="4" max="4" width="16.453125" customWidth="1"/>
    <col min="5" max="5" width="12.7265625" style="48" customWidth="1"/>
    <col min="6" max="6" width="14.1796875" customWidth="1"/>
    <col min="7" max="7" width="13.81640625" customWidth="1"/>
    <col min="8" max="8" width="4.7265625" customWidth="1"/>
    <col min="9" max="9" width="8" customWidth="1"/>
    <col min="10" max="10" width="8.453125" style="49" customWidth="1"/>
    <col min="11" max="11" width="7.26953125" customWidth="1"/>
  </cols>
  <sheetData>
    <row r="1" spans="1:13" ht="11.25" customHeight="1">
      <c r="A1" s="4"/>
    </row>
    <row r="2" spans="1:13">
      <c r="B2" s="50" t="s">
        <v>2</v>
      </c>
      <c r="C2" s="51" t="s">
        <v>3</v>
      </c>
      <c r="D2" s="51" t="s">
        <v>185</v>
      </c>
      <c r="E2" s="51" t="s">
        <v>4</v>
      </c>
      <c r="F2" s="51" t="s">
        <v>236</v>
      </c>
      <c r="G2" s="52" t="s">
        <v>6</v>
      </c>
      <c r="I2" t="s">
        <v>192</v>
      </c>
      <c r="J2" s="53">
        <v>128.58000000000001</v>
      </c>
      <c r="M2" s="4"/>
    </row>
    <row r="3" spans="1:13">
      <c r="B3" s="54" t="s">
        <v>311</v>
      </c>
      <c r="C3" s="48" t="s">
        <v>12</v>
      </c>
      <c r="D3" s="75" t="s">
        <v>765</v>
      </c>
      <c r="E3" s="55">
        <v>1</v>
      </c>
      <c r="F3" s="56">
        <v>39006</v>
      </c>
      <c r="G3" s="58">
        <v>2022</v>
      </c>
      <c r="I3" t="s">
        <v>326</v>
      </c>
      <c r="J3" s="59">
        <v>2469.824415</v>
      </c>
      <c r="K3" s="60" t="s">
        <v>1136</v>
      </c>
    </row>
    <row r="4" spans="1:13">
      <c r="B4" s="54" t="s">
        <v>286</v>
      </c>
      <c r="C4" s="48" t="s">
        <v>12</v>
      </c>
      <c r="D4" s="75" t="s">
        <v>765</v>
      </c>
      <c r="E4" s="55" t="s">
        <v>300</v>
      </c>
      <c r="F4" s="118">
        <v>39171</v>
      </c>
      <c r="G4" s="58" t="s">
        <v>206</v>
      </c>
      <c r="I4" t="s">
        <v>327</v>
      </c>
      <c r="J4" s="37">
        <f>J2*J3</f>
        <v>317570.02328070003</v>
      </c>
    </row>
    <row r="5" spans="1:13">
      <c r="B5" s="54" t="s">
        <v>758</v>
      </c>
      <c r="C5" s="75" t="s">
        <v>759</v>
      </c>
      <c r="D5" s="57" t="s">
        <v>695</v>
      </c>
      <c r="E5" s="55">
        <v>1</v>
      </c>
      <c r="F5" s="118">
        <v>41886</v>
      </c>
      <c r="G5" s="61" t="s">
        <v>271</v>
      </c>
      <c r="I5" t="s">
        <v>328</v>
      </c>
      <c r="J5" s="37">
        <v>8363</v>
      </c>
      <c r="K5" s="60" t="s">
        <v>1136</v>
      </c>
    </row>
    <row r="6" spans="1:13">
      <c r="B6" s="74" t="s">
        <v>770</v>
      </c>
      <c r="C6" s="57" t="s">
        <v>570</v>
      </c>
      <c r="D6" s="57" t="s">
        <v>571</v>
      </c>
      <c r="E6" s="63" t="s">
        <v>572</v>
      </c>
      <c r="F6" s="56">
        <v>36031</v>
      </c>
      <c r="G6" s="61" t="s">
        <v>573</v>
      </c>
      <c r="I6" t="s">
        <v>329</v>
      </c>
      <c r="J6" s="37">
        <v>53906</v>
      </c>
      <c r="K6" s="60" t="s">
        <v>1136</v>
      </c>
    </row>
    <row r="7" spans="1:13">
      <c r="B7" s="62" t="s">
        <v>602</v>
      </c>
      <c r="C7" s="57" t="s">
        <v>570</v>
      </c>
      <c r="D7" s="57" t="s">
        <v>571</v>
      </c>
      <c r="E7" s="63" t="s">
        <v>572</v>
      </c>
      <c r="F7" s="118">
        <v>39927</v>
      </c>
      <c r="G7" s="130" t="s">
        <v>573</v>
      </c>
      <c r="I7" t="s">
        <v>330</v>
      </c>
      <c r="J7" s="37">
        <f>J4-J5+J6</f>
        <v>363113.02328070003</v>
      </c>
    </row>
    <row r="8" spans="1:13">
      <c r="B8" s="54" t="s">
        <v>18</v>
      </c>
      <c r="C8" s="48" t="s">
        <v>221</v>
      </c>
      <c r="D8" s="48" t="s">
        <v>220</v>
      </c>
      <c r="E8" s="55" t="s">
        <v>168</v>
      </c>
      <c r="F8" s="48">
        <v>2006</v>
      </c>
      <c r="G8" s="130" t="s">
        <v>942</v>
      </c>
    </row>
    <row r="9" spans="1:13">
      <c r="B9" s="54" t="s">
        <v>967</v>
      </c>
      <c r="C9" s="48" t="s">
        <v>14</v>
      </c>
      <c r="D9" s="48" t="s">
        <v>220</v>
      </c>
      <c r="E9" s="55" t="s">
        <v>123</v>
      </c>
      <c r="F9" s="65">
        <v>38869</v>
      </c>
      <c r="G9" s="58" t="s">
        <v>446</v>
      </c>
    </row>
    <row r="10" spans="1:13">
      <c r="B10" s="74" t="s">
        <v>819</v>
      </c>
      <c r="C10" s="75" t="s">
        <v>820</v>
      </c>
      <c r="D10" s="75" t="s">
        <v>820</v>
      </c>
      <c r="E10" s="119" t="s">
        <v>168</v>
      </c>
      <c r="F10" s="56">
        <v>31377</v>
      </c>
      <c r="G10" s="58"/>
      <c r="I10" t="s">
        <v>922</v>
      </c>
    </row>
    <row r="11" spans="1:13">
      <c r="B11" s="124" t="s">
        <v>836</v>
      </c>
      <c r="C11" s="75" t="s">
        <v>823</v>
      </c>
      <c r="D11" s="75" t="s">
        <v>837</v>
      </c>
      <c r="E11" s="119" t="s">
        <v>838</v>
      </c>
      <c r="F11" s="56">
        <v>41992</v>
      </c>
      <c r="G11" s="58">
        <v>2024</v>
      </c>
      <c r="I11" s="73" t="s">
        <v>1097</v>
      </c>
    </row>
    <row r="12" spans="1:13">
      <c r="B12" s="124" t="s">
        <v>839</v>
      </c>
      <c r="C12" s="75" t="s">
        <v>823</v>
      </c>
      <c r="D12" s="75" t="s">
        <v>840</v>
      </c>
      <c r="E12" s="119" t="s">
        <v>841</v>
      </c>
      <c r="F12" s="56">
        <v>42048</v>
      </c>
      <c r="G12" s="58">
        <v>2025</v>
      </c>
      <c r="I12" s="73" t="s">
        <v>792</v>
      </c>
    </row>
    <row r="13" spans="1:13">
      <c r="B13" s="74" t="s">
        <v>940</v>
      </c>
      <c r="C13" s="75" t="s">
        <v>804</v>
      </c>
      <c r="D13" s="75" t="s">
        <v>805</v>
      </c>
      <c r="E13" s="55">
        <v>1</v>
      </c>
      <c r="F13" s="48"/>
      <c r="G13" s="58"/>
      <c r="I13" s="73" t="s">
        <v>990</v>
      </c>
    </row>
    <row r="14" spans="1:13">
      <c r="B14" s="74" t="s">
        <v>842</v>
      </c>
      <c r="C14" s="75" t="s">
        <v>843</v>
      </c>
      <c r="D14" s="48"/>
      <c r="E14" s="55">
        <v>1</v>
      </c>
      <c r="F14" s="56">
        <v>42353</v>
      </c>
      <c r="G14" s="58">
        <v>2026</v>
      </c>
      <c r="I14" s="73" t="s">
        <v>1054</v>
      </c>
    </row>
    <row r="15" spans="1:13">
      <c r="B15" s="74" t="s">
        <v>844</v>
      </c>
      <c r="C15" s="75" t="s">
        <v>845</v>
      </c>
      <c r="D15" s="48"/>
      <c r="E15" s="119" t="s">
        <v>846</v>
      </c>
      <c r="F15" s="56">
        <v>43924</v>
      </c>
      <c r="G15" s="130" t="s">
        <v>942</v>
      </c>
    </row>
    <row r="16" spans="1:13">
      <c r="B16" s="124" t="s">
        <v>902</v>
      </c>
      <c r="C16" s="75" t="s">
        <v>903</v>
      </c>
      <c r="D16" s="75" t="s">
        <v>907</v>
      </c>
      <c r="E16" s="119" t="s">
        <v>904</v>
      </c>
      <c r="F16" s="56"/>
      <c r="G16" s="130" t="s">
        <v>942</v>
      </c>
    </row>
    <row r="17" spans="2:9">
      <c r="B17" s="74" t="s">
        <v>969</v>
      </c>
      <c r="C17" s="75" t="s">
        <v>594</v>
      </c>
      <c r="D17" s="75" t="s">
        <v>673</v>
      </c>
      <c r="E17" s="55">
        <v>1</v>
      </c>
      <c r="F17" s="48"/>
      <c r="G17" s="58"/>
    </row>
    <row r="18" spans="2:9">
      <c r="B18" s="124" t="s">
        <v>941</v>
      </c>
      <c r="C18" s="75" t="s">
        <v>1075</v>
      </c>
      <c r="D18" s="75" t="s">
        <v>1073</v>
      </c>
      <c r="E18" s="119" t="s">
        <v>168</v>
      </c>
      <c r="F18" s="56">
        <v>44421</v>
      </c>
      <c r="G18" s="58">
        <v>2035</v>
      </c>
    </row>
    <row r="19" spans="2:9">
      <c r="B19" s="74" t="s">
        <v>968</v>
      </c>
      <c r="C19" s="75"/>
      <c r="D19" s="75"/>
      <c r="E19" s="55"/>
      <c r="F19" s="56"/>
      <c r="G19" s="58"/>
    </row>
    <row r="20" spans="2:9">
      <c r="B20" s="74" t="s">
        <v>1063</v>
      </c>
      <c r="C20" s="75" t="s">
        <v>1064</v>
      </c>
      <c r="D20" s="75" t="s">
        <v>1065</v>
      </c>
      <c r="E20" s="55">
        <v>1</v>
      </c>
      <c r="F20" s="56"/>
      <c r="G20" s="58"/>
    </row>
    <row r="21" spans="2:9">
      <c r="B21" s="124" t="s">
        <v>1062</v>
      </c>
      <c r="C21" s="75" t="s">
        <v>867</v>
      </c>
      <c r="D21" s="75" t="s">
        <v>1081</v>
      </c>
      <c r="E21" s="55">
        <v>1</v>
      </c>
      <c r="F21" s="134">
        <v>45377</v>
      </c>
      <c r="G21" s="58"/>
      <c r="I21" s="4"/>
    </row>
    <row r="22" spans="2:9">
      <c r="B22" s="64" t="s">
        <v>16</v>
      </c>
      <c r="C22" s="48" t="s">
        <v>17</v>
      </c>
      <c r="D22" s="48" t="s">
        <v>220</v>
      </c>
      <c r="E22" s="55">
        <v>1</v>
      </c>
      <c r="F22" s="48"/>
      <c r="G22" s="130" t="s">
        <v>942</v>
      </c>
    </row>
    <row r="23" spans="2:9">
      <c r="B23" s="54" t="s">
        <v>337</v>
      </c>
      <c r="C23" s="48" t="s">
        <v>208</v>
      </c>
      <c r="D23" s="48" t="s">
        <v>217</v>
      </c>
      <c r="E23" s="55">
        <v>1</v>
      </c>
      <c r="F23" s="65">
        <v>39356</v>
      </c>
      <c r="G23" s="58"/>
    </row>
    <row r="24" spans="2:9">
      <c r="B24" s="50"/>
      <c r="C24" s="51"/>
      <c r="D24" s="51"/>
      <c r="E24" s="51"/>
      <c r="F24" s="51" t="s">
        <v>7</v>
      </c>
      <c r="G24" s="52" t="s">
        <v>205</v>
      </c>
    </row>
    <row r="25" spans="2:9">
      <c r="B25" s="74" t="s">
        <v>978</v>
      </c>
      <c r="C25" s="75" t="s">
        <v>979</v>
      </c>
      <c r="D25" s="75" t="s">
        <v>695</v>
      </c>
      <c r="E25" s="119" t="s">
        <v>980</v>
      </c>
      <c r="F25" s="48"/>
      <c r="G25" s="58"/>
    </row>
    <row r="26" spans="2:9">
      <c r="B26" s="74" t="s">
        <v>985</v>
      </c>
      <c r="C26" s="75" t="s">
        <v>986</v>
      </c>
      <c r="D26" s="75" t="s">
        <v>987</v>
      </c>
      <c r="E26" s="55"/>
      <c r="F26" s="48"/>
      <c r="G26" s="58"/>
    </row>
    <row r="27" spans="2:9">
      <c r="B27" s="74" t="s">
        <v>826</v>
      </c>
      <c r="C27" s="75" t="s">
        <v>823</v>
      </c>
      <c r="D27" s="75" t="s">
        <v>827</v>
      </c>
      <c r="E27" s="63">
        <v>1</v>
      </c>
      <c r="F27" s="75" t="s">
        <v>341</v>
      </c>
      <c r="G27" s="61"/>
    </row>
    <row r="28" spans="2:9">
      <c r="B28" s="74" t="s">
        <v>1130</v>
      </c>
      <c r="C28" s="75" t="s">
        <v>823</v>
      </c>
      <c r="D28" s="75" t="s">
        <v>830</v>
      </c>
      <c r="E28" s="75" t="s">
        <v>831</v>
      </c>
      <c r="F28" s="75" t="s">
        <v>341</v>
      </c>
      <c r="G28" s="58"/>
    </row>
    <row r="29" spans="2:9">
      <c r="B29" s="74" t="s">
        <v>1113</v>
      </c>
      <c r="C29" s="75" t="s">
        <v>823</v>
      </c>
      <c r="D29" s="75" t="s">
        <v>981</v>
      </c>
      <c r="E29" s="75"/>
      <c r="F29" s="75"/>
      <c r="G29" s="58"/>
    </row>
    <row r="30" spans="2:9">
      <c r="B30" s="74" t="s">
        <v>1125</v>
      </c>
      <c r="C30" s="75" t="s">
        <v>823</v>
      </c>
      <c r="D30" s="75" t="s">
        <v>1126</v>
      </c>
      <c r="E30" s="75" t="s">
        <v>1127</v>
      </c>
      <c r="F30" s="75" t="s">
        <v>341</v>
      </c>
      <c r="G30" s="58"/>
    </row>
    <row r="31" spans="2:9">
      <c r="B31" s="74" t="s">
        <v>1134</v>
      </c>
      <c r="C31" s="75" t="s">
        <v>832</v>
      </c>
      <c r="D31" s="75" t="s">
        <v>833</v>
      </c>
      <c r="E31" s="119" t="s">
        <v>1118</v>
      </c>
      <c r="F31" s="75" t="s">
        <v>333</v>
      </c>
      <c r="G31" s="58"/>
    </row>
    <row r="32" spans="2:9">
      <c r="B32" s="74" t="s">
        <v>834</v>
      </c>
      <c r="C32" s="75"/>
      <c r="D32" s="75" t="s">
        <v>835</v>
      </c>
      <c r="E32" s="119">
        <v>1</v>
      </c>
      <c r="F32" s="75" t="s">
        <v>341</v>
      </c>
      <c r="G32" s="58"/>
    </row>
    <row r="33" spans="2:9">
      <c r="B33" s="124" t="s">
        <v>915</v>
      </c>
      <c r="C33" s="75" t="s">
        <v>916</v>
      </c>
      <c r="D33" s="75" t="s">
        <v>220</v>
      </c>
      <c r="E33" s="119" t="s">
        <v>917</v>
      </c>
      <c r="F33" s="75" t="s">
        <v>341</v>
      </c>
      <c r="G33" s="58"/>
    </row>
    <row r="34" spans="2:9">
      <c r="B34" s="74" t="s">
        <v>847</v>
      </c>
      <c r="C34" s="75" t="s">
        <v>982</v>
      </c>
      <c r="D34" s="75" t="s">
        <v>848</v>
      </c>
      <c r="E34" s="119" t="s">
        <v>849</v>
      </c>
      <c r="F34" s="75" t="s">
        <v>341</v>
      </c>
      <c r="G34" s="58"/>
    </row>
    <row r="35" spans="2:9">
      <c r="B35" s="74" t="s">
        <v>850</v>
      </c>
      <c r="C35" s="75" t="s">
        <v>852</v>
      </c>
      <c r="D35" s="75" t="s">
        <v>851</v>
      </c>
      <c r="E35" s="119">
        <v>1</v>
      </c>
      <c r="F35" s="75" t="s">
        <v>341</v>
      </c>
      <c r="G35" s="58"/>
    </row>
    <row r="36" spans="2:9">
      <c r="B36" s="74" t="s">
        <v>858</v>
      </c>
      <c r="C36" s="75"/>
      <c r="D36" s="75" t="s">
        <v>859</v>
      </c>
      <c r="E36" s="119" t="s">
        <v>860</v>
      </c>
      <c r="F36" s="75" t="s">
        <v>341</v>
      </c>
      <c r="G36" s="58"/>
    </row>
    <row r="37" spans="2:9">
      <c r="B37" s="74" t="s">
        <v>861</v>
      </c>
      <c r="C37" s="75" t="s">
        <v>823</v>
      </c>
      <c r="D37" s="75" t="s">
        <v>862</v>
      </c>
      <c r="E37" s="119">
        <v>1</v>
      </c>
      <c r="F37" s="75" t="s">
        <v>341</v>
      </c>
      <c r="G37" s="58"/>
    </row>
    <row r="38" spans="2:9">
      <c r="B38" s="74" t="s">
        <v>863</v>
      </c>
      <c r="C38" s="75" t="s">
        <v>823</v>
      </c>
      <c r="D38" s="75" t="s">
        <v>864</v>
      </c>
      <c r="E38" s="119">
        <v>1</v>
      </c>
      <c r="F38" s="75" t="s">
        <v>341</v>
      </c>
      <c r="G38" s="58"/>
    </row>
    <row r="39" spans="2:9">
      <c r="B39" s="74" t="s">
        <v>865</v>
      </c>
      <c r="C39" s="75" t="s">
        <v>867</v>
      </c>
      <c r="D39" s="75" t="s">
        <v>866</v>
      </c>
      <c r="E39" s="119">
        <v>1</v>
      </c>
      <c r="F39" s="75" t="s">
        <v>341</v>
      </c>
      <c r="G39" s="58"/>
    </row>
    <row r="40" spans="2:9">
      <c r="B40" s="74" t="s">
        <v>1122</v>
      </c>
      <c r="C40" s="75" t="s">
        <v>1123</v>
      </c>
      <c r="D40" s="75" t="s">
        <v>1124</v>
      </c>
      <c r="E40" s="119">
        <v>1</v>
      </c>
      <c r="F40" s="75" t="s">
        <v>341</v>
      </c>
      <c r="G40" s="58"/>
    </row>
    <row r="41" spans="2:9">
      <c r="B41" s="74" t="s">
        <v>1119</v>
      </c>
      <c r="C41" s="75"/>
      <c r="D41" s="75" t="s">
        <v>1120</v>
      </c>
      <c r="E41" s="119" t="s">
        <v>1121</v>
      </c>
      <c r="F41" s="75" t="s">
        <v>341</v>
      </c>
      <c r="G41" s="58"/>
    </row>
    <row r="42" spans="2:9">
      <c r="B42" s="74" t="s">
        <v>1116</v>
      </c>
      <c r="C42" s="75" t="s">
        <v>823</v>
      </c>
      <c r="D42" s="75" t="s">
        <v>1117</v>
      </c>
      <c r="E42" s="119">
        <v>1</v>
      </c>
      <c r="F42" s="75" t="s">
        <v>341</v>
      </c>
      <c r="G42" s="58"/>
    </row>
    <row r="43" spans="2:9">
      <c r="B43" s="74" t="s">
        <v>868</v>
      </c>
      <c r="C43" s="75" t="s">
        <v>869</v>
      </c>
      <c r="D43" s="75" t="s">
        <v>871</v>
      </c>
      <c r="E43" s="119" t="s">
        <v>870</v>
      </c>
      <c r="F43" s="75" t="s">
        <v>341</v>
      </c>
      <c r="G43" s="58"/>
    </row>
    <row r="44" spans="2:9">
      <c r="B44" s="74" t="s">
        <v>984</v>
      </c>
      <c r="C44" s="75" t="s">
        <v>983</v>
      </c>
      <c r="D44" s="75"/>
      <c r="E44" s="119"/>
      <c r="F44" s="75" t="s">
        <v>333</v>
      </c>
      <c r="G44" s="58"/>
    </row>
    <row r="45" spans="2:9">
      <c r="B45" s="124" t="s">
        <v>822</v>
      </c>
      <c r="C45" s="75" t="s">
        <v>823</v>
      </c>
      <c r="D45" s="75" t="s">
        <v>824</v>
      </c>
      <c r="E45" s="55">
        <v>1</v>
      </c>
      <c r="F45" s="75" t="s">
        <v>341</v>
      </c>
      <c r="G45" s="58"/>
      <c r="I45" s="4"/>
    </row>
    <row r="46" spans="2:9">
      <c r="B46" s="74" t="s">
        <v>1066</v>
      </c>
      <c r="C46" s="75" t="s">
        <v>1067</v>
      </c>
      <c r="D46" s="75" t="s">
        <v>1068</v>
      </c>
      <c r="E46" s="119" t="s">
        <v>1069</v>
      </c>
      <c r="F46" s="75"/>
      <c r="G46" s="58"/>
    </row>
    <row r="47" spans="2:9">
      <c r="B47" s="74" t="s">
        <v>1128</v>
      </c>
      <c r="C47" s="75" t="s">
        <v>823</v>
      </c>
      <c r="D47" s="75" t="s">
        <v>1129</v>
      </c>
      <c r="E47" s="119" t="s">
        <v>1127</v>
      </c>
      <c r="F47" s="75" t="s">
        <v>341</v>
      </c>
      <c r="G47" s="58"/>
    </row>
    <row r="48" spans="2:9">
      <c r="B48" s="74" t="s">
        <v>1112</v>
      </c>
      <c r="C48" s="75" t="s">
        <v>823</v>
      </c>
      <c r="D48" s="75" t="s">
        <v>872</v>
      </c>
      <c r="E48" s="119">
        <v>1</v>
      </c>
      <c r="F48" s="75" t="s">
        <v>341</v>
      </c>
      <c r="G48" s="58"/>
    </row>
    <row r="49" spans="2:7">
      <c r="B49" s="74" t="s">
        <v>1132</v>
      </c>
      <c r="C49" s="75"/>
      <c r="D49" s="75" t="s">
        <v>1133</v>
      </c>
      <c r="E49" s="119">
        <v>1</v>
      </c>
      <c r="F49" s="75" t="s">
        <v>389</v>
      </c>
      <c r="G49" s="58"/>
    </row>
    <row r="50" spans="2:7">
      <c r="B50" s="74" t="s">
        <v>874</v>
      </c>
      <c r="C50" s="75" t="s">
        <v>869</v>
      </c>
      <c r="D50" s="75" t="s">
        <v>876</v>
      </c>
      <c r="E50" s="119" t="s">
        <v>875</v>
      </c>
      <c r="F50" s="75" t="s">
        <v>341</v>
      </c>
      <c r="G50" s="58"/>
    </row>
    <row r="51" spans="2:7">
      <c r="B51" s="121" t="s">
        <v>977</v>
      </c>
      <c r="C51" s="122" t="s">
        <v>880</v>
      </c>
      <c r="D51" s="122" t="s">
        <v>881</v>
      </c>
      <c r="E51" s="123">
        <v>1</v>
      </c>
      <c r="F51" s="122" t="s">
        <v>341</v>
      </c>
      <c r="G51" s="68"/>
    </row>
    <row r="53" spans="2:7" ht="13">
      <c r="E53" s="69"/>
    </row>
    <row r="54" spans="2:7" ht="13">
      <c r="B54" s="47"/>
      <c r="E54" s="69" t="s">
        <v>803</v>
      </c>
    </row>
    <row r="55" spans="2:7" ht="13">
      <c r="B55" s="47"/>
      <c r="E55" s="69" t="s">
        <v>914</v>
      </c>
    </row>
    <row r="56" spans="2:7" ht="13">
      <c r="B56" s="47"/>
      <c r="E56" s="120" t="s">
        <v>913</v>
      </c>
    </row>
    <row r="57" spans="2:7" ht="13">
      <c r="B57" s="47"/>
      <c r="E57" s="120" t="s">
        <v>911</v>
      </c>
    </row>
    <row r="58" spans="2:7" ht="13">
      <c r="B58" s="47"/>
      <c r="E58" s="69" t="s">
        <v>910</v>
      </c>
    </row>
    <row r="59" spans="2:7" ht="13">
      <c r="E59" s="69" t="s">
        <v>884</v>
      </c>
    </row>
    <row r="60" spans="2:7" ht="13">
      <c r="B60" s="4"/>
      <c r="E60" s="69" t="s">
        <v>883</v>
      </c>
    </row>
    <row r="61" spans="2:7" ht="13">
      <c r="E61" s="120" t="s">
        <v>882</v>
      </c>
    </row>
    <row r="62" spans="2:7" ht="13">
      <c r="E62" s="120" t="s">
        <v>879</v>
      </c>
    </row>
    <row r="63" spans="2:7" ht="13">
      <c r="E63" s="69" t="s">
        <v>878</v>
      </c>
    </row>
    <row r="64" spans="2:7" ht="13">
      <c r="E64" s="69" t="s">
        <v>877</v>
      </c>
    </row>
    <row r="65" spans="5:5" ht="13">
      <c r="E65" s="120" t="s">
        <v>1056</v>
      </c>
    </row>
    <row r="66" spans="5:5" ht="13">
      <c r="E66" s="120" t="s">
        <v>1047</v>
      </c>
    </row>
    <row r="67" spans="5:5" ht="13">
      <c r="E67" s="120" t="s">
        <v>1046</v>
      </c>
    </row>
    <row r="68" spans="5:5" ht="13">
      <c r="E68" s="120" t="s">
        <v>1045</v>
      </c>
    </row>
    <row r="69" spans="5:5" ht="13">
      <c r="E69" s="120" t="s">
        <v>1044</v>
      </c>
    </row>
    <row r="70" spans="5:5" ht="13">
      <c r="E70" s="120"/>
    </row>
    <row r="71" spans="5:5" ht="13">
      <c r="E71" s="120"/>
    </row>
    <row r="72" spans="5:5" ht="13">
      <c r="E72" s="69" t="s">
        <v>976</v>
      </c>
    </row>
    <row r="73" spans="5:5">
      <c r="E73" s="76" t="s">
        <v>1057</v>
      </c>
    </row>
    <row r="74" spans="5:5">
      <c r="E74" s="76" t="s">
        <v>1058</v>
      </c>
    </row>
    <row r="75" spans="5:5">
      <c r="E75" s="76" t="s">
        <v>1059</v>
      </c>
    </row>
    <row r="76" spans="5:5">
      <c r="E76" s="76" t="s">
        <v>1060</v>
      </c>
    </row>
    <row r="77" spans="5:5">
      <c r="E77" s="76" t="s">
        <v>1061</v>
      </c>
    </row>
  </sheetData>
  <phoneticPr fontId="2" type="noConversion"/>
  <hyperlinks>
    <hyperlink ref="B3" location="Januvia!A1" display="Januvia (sitagliptin, MK-431)" xr:uid="{00000000-0004-0000-0200-000000000000}"/>
    <hyperlink ref="B9" location="Gardasil!A1" display="Gardasil" xr:uid="{00000000-0004-0000-0200-000002000000}"/>
    <hyperlink ref="B8" location="Rotateq!A1" display="Rotateq" xr:uid="{00000000-0004-0000-0200-000004000000}"/>
    <hyperlink ref="B23" location="Isentress!A1" display="Isentress" xr:uid="{00000000-0004-0000-0200-000005000000}"/>
    <hyperlink ref="B4" location="Januvia!A1" display="MK-0431A (Januvia+metformin)" xr:uid="{00000000-0004-0000-0200-000006000000}"/>
    <hyperlink ref="B5" location="Keytruda!A1" display="Keytruda (pembrolizumab)" xr:uid="{433D8747-409A-417C-AD07-4E613C39AC97}"/>
    <hyperlink ref="B11" location="Lynparza!A1" display="Lynparza (olaparib)" xr:uid="{D84D036E-8C88-4B96-B572-5129CBFE5229}"/>
    <hyperlink ref="B16" location="Padcev!A1" display="Padcev (enfortumab vedotin)" xr:uid="{33EE860D-63D3-418E-B01B-057450F711AA}"/>
    <hyperlink ref="B33" location="'V940'!A1" display="mRNA-4157/V940" xr:uid="{65BBEC83-B707-4BA2-A718-31CE8CC7240A}"/>
    <hyperlink ref="B12" location="Lenvima!A1" display="Lenvima (lenvatinib)" xr:uid="{97BC3190-888D-4EC7-975B-02F7AC4A5C14}"/>
    <hyperlink ref="B18" location="Welireg!A1" display="Welireg (belzutifan)" xr:uid="{B8C6240B-F03B-4D20-A836-C34278C62617}"/>
    <hyperlink ref="B21" location="Winrevair!A1" display="Winrevair (sotatercept)" xr:uid="{7CFBA007-FE65-4565-87A0-6F339987F354}"/>
    <hyperlink ref="B45" location="'0482'!A1" display="MK-0482" xr:uid="{AC8556CC-C7C0-4339-A8C9-24EB8F832C2A}"/>
  </hyperlinks>
  <pageMargins left="0.75" right="0.75" top="1" bottom="1" header="0.5" footer="0.5"/>
  <pageSetup scale="58" orientation="landscape" horizontalDpi="4294967293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T245"/>
  <sheetViews>
    <sheetView showGridLines="0" tabSelected="1" zoomScale="130" zoomScaleNormal="130" workbookViewId="0">
      <pane xSplit="2" ySplit="2" topLeftCell="DB3" activePane="bottomRight" state="frozen"/>
      <selection pane="topRight"/>
      <selection pane="bottomLeft"/>
      <selection pane="bottomRight" activeCell="DB15" sqref="DB15"/>
    </sheetView>
  </sheetViews>
  <sheetFormatPr defaultColWidth="9.1796875" defaultRowHeight="12.75" customHeight="1"/>
  <cols>
    <col min="1" max="1" width="5" style="73" bestFit="1" customWidth="1"/>
    <col min="2" max="2" width="28.26953125" style="73" bestFit="1" customWidth="1"/>
    <col min="3" max="34" width="6.1796875" style="60" customWidth="1"/>
    <col min="35" max="38" width="6.81640625" style="60" customWidth="1"/>
    <col min="39" max="39" width="7.26953125" style="60" customWidth="1"/>
    <col min="40" max="43" width="7" style="60" customWidth="1"/>
    <col min="44" max="54" width="6.7265625" style="60" customWidth="1"/>
    <col min="55" max="70" width="7.453125" style="60" customWidth="1"/>
    <col min="71" max="74" width="7.1796875" style="60" customWidth="1"/>
    <col min="75" max="85" width="6.81640625" style="60" customWidth="1"/>
    <col min="86" max="86" width="7.26953125" style="60" customWidth="1"/>
    <col min="87" max="106" width="7.81640625" style="60" customWidth="1"/>
    <col min="107" max="108" width="6.453125" style="60" customWidth="1"/>
    <col min="109" max="109" width="4.26953125" style="73" customWidth="1"/>
    <col min="110" max="110" width="7.1796875" style="60" bestFit="1" customWidth="1" collapsed="1"/>
    <col min="111" max="111" width="7.453125" style="60" bestFit="1" customWidth="1" collapsed="1"/>
    <col min="112" max="112" width="9.453125" style="60" bestFit="1" customWidth="1"/>
    <col min="113" max="113" width="7.7265625" style="60" customWidth="1"/>
    <col min="114" max="114" width="7.453125" style="60" bestFit="1" customWidth="1"/>
    <col min="115" max="117" width="7.453125" style="60" customWidth="1"/>
    <col min="118" max="129" width="7.26953125" style="60" customWidth="1"/>
    <col min="130" max="134" width="7.7265625" style="60" customWidth="1"/>
    <col min="135" max="135" width="8.26953125" style="60" customWidth="1"/>
    <col min="136" max="136" width="8.26953125" style="73" customWidth="1"/>
    <col min="137" max="137" width="8.26953125" style="112" customWidth="1"/>
    <col min="138" max="144" width="8.26953125" style="73" customWidth="1"/>
    <col min="145" max="195" width="9.26953125" style="73" bestFit="1" customWidth="1"/>
    <col min="196" max="16384" width="9.1796875" style="73"/>
  </cols>
  <sheetData>
    <row r="1" spans="1:144" s="81" customFormat="1" ht="12.75" customHeight="1">
      <c r="A1" s="80" t="s">
        <v>8</v>
      </c>
      <c r="C1" s="82"/>
      <c r="D1" s="82"/>
      <c r="E1" s="82"/>
      <c r="F1" s="82"/>
      <c r="G1" s="83"/>
      <c r="H1" s="84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5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73"/>
      <c r="DF1" s="82"/>
      <c r="DG1" s="84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G1" s="85"/>
    </row>
    <row r="2" spans="1:144" s="81" customFormat="1" ht="12.75" customHeight="1">
      <c r="B2" s="87"/>
      <c r="C2" s="88" t="s">
        <v>246</v>
      </c>
      <c r="D2" s="88" t="s">
        <v>247</v>
      </c>
      <c r="E2" s="88" t="s">
        <v>248</v>
      </c>
      <c r="F2" s="88" t="s">
        <v>249</v>
      </c>
      <c r="G2" s="88" t="s">
        <v>250</v>
      </c>
      <c r="H2" s="88" t="s">
        <v>251</v>
      </c>
      <c r="I2" s="88" t="s">
        <v>252</v>
      </c>
      <c r="J2" s="88" t="s">
        <v>253</v>
      </c>
      <c r="K2" s="88" t="s">
        <v>254</v>
      </c>
      <c r="L2" s="88" t="s">
        <v>255</v>
      </c>
      <c r="M2" s="88" t="s">
        <v>256</v>
      </c>
      <c r="N2" s="88" t="s">
        <v>245</v>
      </c>
      <c r="O2" s="88" t="s">
        <v>244</v>
      </c>
      <c r="P2" s="88" t="s">
        <v>243</v>
      </c>
      <c r="Q2" s="88" t="s">
        <v>242</v>
      </c>
      <c r="R2" s="88" t="s">
        <v>241</v>
      </c>
      <c r="S2" s="88" t="s">
        <v>240</v>
      </c>
      <c r="T2" s="88" t="s">
        <v>239</v>
      </c>
      <c r="U2" s="88" t="s">
        <v>238</v>
      </c>
      <c r="V2" s="88" t="s">
        <v>237</v>
      </c>
      <c r="W2" s="88" t="s">
        <v>199</v>
      </c>
      <c r="X2" s="88" t="s">
        <v>202</v>
      </c>
      <c r="Y2" s="88" t="s">
        <v>263</v>
      </c>
      <c r="Z2" s="88" t="s">
        <v>264</v>
      </c>
      <c r="AA2" s="88" t="s">
        <v>347</v>
      </c>
      <c r="AB2" s="88" t="s">
        <v>348</v>
      </c>
      <c r="AC2" s="88" t="s">
        <v>349</v>
      </c>
      <c r="AD2" s="88" t="s">
        <v>372</v>
      </c>
      <c r="AE2" s="88" t="s">
        <v>373</v>
      </c>
      <c r="AF2" s="88" t="s">
        <v>374</v>
      </c>
      <c r="AG2" s="88" t="s">
        <v>375</v>
      </c>
      <c r="AH2" s="88" t="s">
        <v>376</v>
      </c>
      <c r="AI2" s="88" t="s">
        <v>463</v>
      </c>
      <c r="AJ2" s="88" t="s">
        <v>466</v>
      </c>
      <c r="AK2" s="88" t="s">
        <v>467</v>
      </c>
      <c r="AL2" s="88" t="s">
        <v>468</v>
      </c>
      <c r="AM2" s="88" t="s">
        <v>481</v>
      </c>
      <c r="AN2" s="88" t="s">
        <v>482</v>
      </c>
      <c r="AO2" s="88" t="s">
        <v>483</v>
      </c>
      <c r="AP2" s="88" t="s">
        <v>484</v>
      </c>
      <c r="AQ2" s="88" t="s">
        <v>647</v>
      </c>
      <c r="AR2" s="88" t="s">
        <v>648</v>
      </c>
      <c r="AS2" s="88" t="s">
        <v>649</v>
      </c>
      <c r="AT2" s="88" t="s">
        <v>650</v>
      </c>
      <c r="AU2" s="88" t="s">
        <v>683</v>
      </c>
      <c r="AV2" s="88" t="s">
        <v>684</v>
      </c>
      <c r="AW2" s="88" t="s">
        <v>685</v>
      </c>
      <c r="AX2" s="88" t="s">
        <v>686</v>
      </c>
      <c r="AY2" s="88" t="s">
        <v>687</v>
      </c>
      <c r="AZ2" s="88" t="s">
        <v>688</v>
      </c>
      <c r="BA2" s="88" t="s">
        <v>680</v>
      </c>
      <c r="BB2" s="88" t="s">
        <v>689</v>
      </c>
      <c r="BC2" s="88" t="s">
        <v>681</v>
      </c>
      <c r="BD2" s="88" t="s">
        <v>690</v>
      </c>
      <c r="BE2" s="88" t="s">
        <v>691</v>
      </c>
      <c r="BF2" s="88" t="s">
        <v>692</v>
      </c>
      <c r="BG2" s="88" t="s">
        <v>703</v>
      </c>
      <c r="BH2" s="88" t="s">
        <v>704</v>
      </c>
      <c r="BI2" s="88" t="s">
        <v>705</v>
      </c>
      <c r="BJ2" s="88" t="s">
        <v>706</v>
      </c>
      <c r="BK2" s="88" t="s">
        <v>707</v>
      </c>
      <c r="BL2" s="88" t="s">
        <v>708</v>
      </c>
      <c r="BM2" s="88" t="s">
        <v>709</v>
      </c>
      <c r="BN2" s="88" t="s">
        <v>710</v>
      </c>
      <c r="BO2" s="88" t="s">
        <v>711</v>
      </c>
      <c r="BP2" s="88" t="s">
        <v>712</v>
      </c>
      <c r="BQ2" s="88" t="s">
        <v>713</v>
      </c>
      <c r="BR2" s="88" t="s">
        <v>714</v>
      </c>
      <c r="BS2" s="88" t="s">
        <v>715</v>
      </c>
      <c r="BT2" s="88" t="s">
        <v>716</v>
      </c>
      <c r="BU2" s="88" t="s">
        <v>717</v>
      </c>
      <c r="BV2" s="88" t="s">
        <v>718</v>
      </c>
      <c r="BW2" s="88" t="s">
        <v>719</v>
      </c>
      <c r="BX2" s="88" t="s">
        <v>720</v>
      </c>
      <c r="BY2" s="88" t="s">
        <v>721</v>
      </c>
      <c r="BZ2" s="88" t="s">
        <v>722</v>
      </c>
      <c r="CA2" s="88" t="s">
        <v>723</v>
      </c>
      <c r="CB2" s="88" t="s">
        <v>724</v>
      </c>
      <c r="CC2" s="88" t="s">
        <v>725</v>
      </c>
      <c r="CD2" s="88" t="s">
        <v>726</v>
      </c>
      <c r="CE2" s="88" t="s">
        <v>727</v>
      </c>
      <c r="CF2" s="88" t="s">
        <v>728</v>
      </c>
      <c r="CG2" s="88" t="s">
        <v>729</v>
      </c>
      <c r="CH2" s="88" t="s">
        <v>730</v>
      </c>
      <c r="CI2" s="88" t="s">
        <v>731</v>
      </c>
      <c r="CJ2" s="88" t="s">
        <v>732</v>
      </c>
      <c r="CK2" s="88" t="s">
        <v>733</v>
      </c>
      <c r="CL2" s="88" t="s">
        <v>734</v>
      </c>
      <c r="CM2" s="88" t="s">
        <v>735</v>
      </c>
      <c r="CN2" s="88" t="s">
        <v>736</v>
      </c>
      <c r="CO2" s="88" t="s">
        <v>737</v>
      </c>
      <c r="CP2" s="88" t="s">
        <v>738</v>
      </c>
      <c r="CQ2" s="88" t="s">
        <v>944</v>
      </c>
      <c r="CR2" s="88" t="s">
        <v>945</v>
      </c>
      <c r="CS2" s="88" t="s">
        <v>946</v>
      </c>
      <c r="CT2" s="88" t="s">
        <v>947</v>
      </c>
      <c r="CU2" s="88" t="s">
        <v>970</v>
      </c>
      <c r="CV2" s="88" t="s">
        <v>971</v>
      </c>
      <c r="CW2" s="88" t="s">
        <v>972</v>
      </c>
      <c r="CX2" s="88" t="s">
        <v>973</v>
      </c>
      <c r="CY2" s="88" t="s">
        <v>1135</v>
      </c>
      <c r="CZ2" s="88" t="s">
        <v>1136</v>
      </c>
      <c r="DA2" s="88" t="s">
        <v>1137</v>
      </c>
      <c r="DB2" s="88" t="s">
        <v>1138</v>
      </c>
      <c r="DC2" s="88"/>
      <c r="DD2" s="88"/>
      <c r="DE2" s="88"/>
      <c r="DF2" s="89">
        <f t="shared" ref="DF2:DK2" si="0">DG2-1</f>
        <v>2001</v>
      </c>
      <c r="DG2" s="89">
        <f t="shared" si="0"/>
        <v>2002</v>
      </c>
      <c r="DH2" s="89">
        <f t="shared" si="0"/>
        <v>2003</v>
      </c>
      <c r="DI2" s="89">
        <f t="shared" si="0"/>
        <v>2004</v>
      </c>
      <c r="DJ2" s="89">
        <f t="shared" si="0"/>
        <v>2005</v>
      </c>
      <c r="DK2" s="89">
        <f t="shared" si="0"/>
        <v>2006</v>
      </c>
      <c r="DL2" s="89">
        <f>DM2-1</f>
        <v>2007</v>
      </c>
      <c r="DM2" s="89">
        <v>2008</v>
      </c>
      <c r="DN2" s="89">
        <f t="shared" ref="DN2:DS2" si="1">DM2+1</f>
        <v>2009</v>
      </c>
      <c r="DO2" s="89">
        <f t="shared" si="1"/>
        <v>2010</v>
      </c>
      <c r="DP2" s="89">
        <f t="shared" si="1"/>
        <v>2011</v>
      </c>
      <c r="DQ2" s="89">
        <f t="shared" si="1"/>
        <v>2012</v>
      </c>
      <c r="DR2" s="89">
        <f t="shared" si="1"/>
        <v>2013</v>
      </c>
      <c r="DS2" s="89">
        <f t="shared" si="1"/>
        <v>2014</v>
      </c>
      <c r="DT2" s="89">
        <f>DS2+1</f>
        <v>2015</v>
      </c>
      <c r="DU2" s="89">
        <f>DT2+1</f>
        <v>2016</v>
      </c>
      <c r="DV2" s="89">
        <f>DU2+1</f>
        <v>2017</v>
      </c>
      <c r="DW2" s="89">
        <f>DV2+1</f>
        <v>2018</v>
      </c>
      <c r="DX2" s="89">
        <f t="shared" ref="DX2:EE2" si="2">DW2+1</f>
        <v>2019</v>
      </c>
      <c r="DY2" s="89">
        <f t="shared" si="2"/>
        <v>2020</v>
      </c>
      <c r="DZ2" s="89">
        <f t="shared" si="2"/>
        <v>2021</v>
      </c>
      <c r="EA2" s="89">
        <f t="shared" si="2"/>
        <v>2022</v>
      </c>
      <c r="EB2" s="89">
        <f t="shared" si="2"/>
        <v>2023</v>
      </c>
      <c r="EC2" s="89">
        <f t="shared" si="2"/>
        <v>2024</v>
      </c>
      <c r="ED2" s="89">
        <f t="shared" si="2"/>
        <v>2025</v>
      </c>
      <c r="EE2" s="89">
        <f t="shared" si="2"/>
        <v>2026</v>
      </c>
      <c r="EF2" s="126">
        <f>EE2+1</f>
        <v>2027</v>
      </c>
      <c r="EG2" s="126">
        <f t="shared" ref="EG2:EI2" si="3">EF2+1</f>
        <v>2028</v>
      </c>
      <c r="EH2" s="126">
        <f t="shared" si="3"/>
        <v>2029</v>
      </c>
      <c r="EI2" s="126">
        <f t="shared" si="3"/>
        <v>2030</v>
      </c>
      <c r="EJ2" s="126">
        <f>EI2+1</f>
        <v>2031</v>
      </c>
      <c r="EK2" s="126">
        <f t="shared" ref="EK2:EN2" si="4">EJ2+1</f>
        <v>2032</v>
      </c>
      <c r="EL2" s="126">
        <f t="shared" si="4"/>
        <v>2033</v>
      </c>
      <c r="EM2" s="126">
        <f t="shared" si="4"/>
        <v>2034</v>
      </c>
      <c r="EN2" s="126">
        <f t="shared" si="4"/>
        <v>2035</v>
      </c>
    </row>
    <row r="3" spans="1:144" s="90" customFormat="1" ht="12.75" customHeight="1">
      <c r="B3" s="44" t="s">
        <v>740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>
        <v>4</v>
      </c>
      <c r="BF3" s="91">
        <v>50</v>
      </c>
      <c r="BG3" s="91">
        <v>83</v>
      </c>
      <c r="BH3" s="91">
        <v>110</v>
      </c>
      <c r="BI3" s="91">
        <v>159</v>
      </c>
      <c r="BJ3" s="91">
        <v>214</v>
      </c>
      <c r="BK3" s="91">
        <v>249</v>
      </c>
      <c r="BL3" s="91">
        <v>314</v>
      </c>
      <c r="BM3" s="91">
        <v>356</v>
      </c>
      <c r="BN3" s="91">
        <v>483</v>
      </c>
      <c r="BO3" s="91">
        <v>584</v>
      </c>
      <c r="BP3" s="91">
        <v>881</v>
      </c>
      <c r="BQ3" s="91">
        <v>1047</v>
      </c>
      <c r="BR3" s="91">
        <v>1297</v>
      </c>
      <c r="BS3" s="91">
        <v>1464</v>
      </c>
      <c r="BT3" s="91">
        <v>1667</v>
      </c>
      <c r="BU3" s="91">
        <v>1889</v>
      </c>
      <c r="BV3" s="91">
        <v>2151</v>
      </c>
      <c r="BW3" s="91">
        <v>2269</v>
      </c>
      <c r="BX3" s="91">
        <v>2634</v>
      </c>
      <c r="BY3" s="91">
        <v>3070</v>
      </c>
      <c r="BZ3" s="91">
        <v>3111</v>
      </c>
      <c r="CA3" s="91">
        <v>3284</v>
      </c>
      <c r="CB3" s="91">
        <v>3388</v>
      </c>
      <c r="CC3" s="91">
        <v>3715</v>
      </c>
      <c r="CD3" s="91">
        <v>3993</v>
      </c>
      <c r="CE3" s="91">
        <v>3899</v>
      </c>
      <c r="CF3" s="91">
        <v>4176</v>
      </c>
      <c r="CG3" s="91">
        <v>4534</v>
      </c>
      <c r="CH3" s="91">
        <v>4577</v>
      </c>
      <c r="CI3" s="91">
        <v>4809</v>
      </c>
      <c r="CJ3" s="91">
        <v>5252</v>
      </c>
      <c r="CK3" s="91">
        <v>5426</v>
      </c>
      <c r="CL3" s="91">
        <v>5450</v>
      </c>
      <c r="CM3" s="91">
        <v>5795</v>
      </c>
      <c r="CN3" s="91">
        <v>6271</v>
      </c>
      <c r="CO3" s="91">
        <v>6338</v>
      </c>
      <c r="CP3" s="91">
        <v>6608</v>
      </c>
      <c r="CQ3" s="91">
        <v>6947</v>
      </c>
      <c r="CR3" s="91">
        <v>7270</v>
      </c>
      <c r="CS3" s="91">
        <v>7429</v>
      </c>
      <c r="CT3" s="91">
        <v>7836</v>
      </c>
      <c r="CU3" s="91">
        <v>7205</v>
      </c>
      <c r="CV3" s="91">
        <v>7956</v>
      </c>
      <c r="CW3" s="91">
        <v>8142</v>
      </c>
      <c r="CX3" s="91">
        <f>8337+35</f>
        <v>8372</v>
      </c>
      <c r="CY3" s="91">
        <f>7906+128</f>
        <v>8034</v>
      </c>
      <c r="CZ3" s="91">
        <f>7904+463</f>
        <v>8367</v>
      </c>
      <c r="DA3" s="91">
        <f>+CW3*1.03</f>
        <v>8386.26</v>
      </c>
      <c r="DB3" s="91">
        <f>+CX3*1.03</f>
        <v>8623.16</v>
      </c>
      <c r="DC3" s="91"/>
      <c r="DD3" s="91"/>
      <c r="DE3" s="91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>
        <f>SUM(BC3:BF3)</f>
        <v>54</v>
      </c>
      <c r="DT3" s="92">
        <f>SUM(BG3:BJ3)</f>
        <v>566</v>
      </c>
      <c r="DU3" s="92">
        <f>SUM(BK3:BN3)</f>
        <v>1402</v>
      </c>
      <c r="DV3" s="92">
        <f>SUM(BO3:BR3)</f>
        <v>3809</v>
      </c>
      <c r="DW3" s="92">
        <f>SUM(BS3:BV3)</f>
        <v>7171</v>
      </c>
      <c r="DX3" s="92">
        <f t="shared" ref="DX3:DX5" si="5">SUM(BW3:BZ3)</f>
        <v>11084</v>
      </c>
      <c r="DY3" s="92">
        <f t="shared" ref="DY3:DY5" si="6">SUM(CA3:CD3)</f>
        <v>14380</v>
      </c>
      <c r="DZ3" s="92">
        <f t="shared" ref="DZ3:DZ9" si="7">SUM(CE3:CH3)</f>
        <v>17186</v>
      </c>
      <c r="EA3" s="92">
        <f t="shared" ref="EA3:EA9" si="8">SUM(CI3:CL3)</f>
        <v>20937</v>
      </c>
      <c r="EB3" s="92">
        <f t="shared" ref="EB3:EB34" si="9">SUM(CM3:CP3)</f>
        <v>25012</v>
      </c>
      <c r="EC3" s="92">
        <f t="shared" ref="EC3:EC14" si="10">SUM(CQ3:CT3)</f>
        <v>29482</v>
      </c>
      <c r="ED3" s="92">
        <f>SUM(CU3:CX3)</f>
        <v>31675</v>
      </c>
      <c r="EE3" s="92">
        <f>ED3*1.05</f>
        <v>33258.75</v>
      </c>
      <c r="EF3" s="92">
        <f>EE3*1.05</f>
        <v>34921.6875</v>
      </c>
      <c r="EG3" s="92">
        <f>EF3*0.8</f>
        <v>27937.350000000002</v>
      </c>
      <c r="EH3" s="92">
        <f>EG3*0.7</f>
        <v>19556.145</v>
      </c>
      <c r="EI3" s="92">
        <f>EH3*0.6</f>
        <v>11733.687</v>
      </c>
      <c r="EJ3" s="90">
        <f>EI3*0.7</f>
        <v>8213.580899999999</v>
      </c>
      <c r="EK3" s="90">
        <f>EJ3*0.7</f>
        <v>5749.5066299999989</v>
      </c>
      <c r="EL3" s="90">
        <f t="shared" ref="EL3:EN3" si="11">EK3*0.6</f>
        <v>3449.7039779999991</v>
      </c>
      <c r="EM3" s="90">
        <f t="shared" si="11"/>
        <v>2069.8223867999995</v>
      </c>
      <c r="EN3" s="90">
        <f t="shared" si="11"/>
        <v>1241.8934320799997</v>
      </c>
    </row>
    <row r="4" spans="1:144" s="90" customFormat="1" ht="12.75" customHeight="1">
      <c r="B4" s="44" t="s">
        <v>741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>
        <v>5</v>
      </c>
      <c r="BR4" s="91">
        <v>16</v>
      </c>
      <c r="BS4" s="91">
        <v>33</v>
      </c>
      <c r="BT4" s="91">
        <v>44</v>
      </c>
      <c r="BU4" s="91">
        <v>49</v>
      </c>
      <c r="BV4" s="91">
        <v>62</v>
      </c>
      <c r="BW4" s="91">
        <v>79</v>
      </c>
      <c r="BX4" s="91">
        <v>111</v>
      </c>
      <c r="BY4" s="91">
        <v>123</v>
      </c>
      <c r="BZ4" s="91">
        <v>132</v>
      </c>
      <c r="CA4" s="91">
        <v>145</v>
      </c>
      <c r="CB4" s="91">
        <v>178</v>
      </c>
      <c r="CC4" s="91">
        <v>196</v>
      </c>
      <c r="CD4" s="91">
        <v>206</v>
      </c>
      <c r="CE4" s="91">
        <v>228</v>
      </c>
      <c r="CF4" s="91">
        <v>248</v>
      </c>
      <c r="CG4" s="91">
        <v>246</v>
      </c>
      <c r="CH4" s="91">
        <v>268</v>
      </c>
      <c r="CI4" s="91">
        <v>266</v>
      </c>
      <c r="CJ4" s="91">
        <v>275</v>
      </c>
      <c r="CK4" s="91">
        <v>284</v>
      </c>
      <c r="CL4" s="91">
        <v>292</v>
      </c>
      <c r="CM4" s="91">
        <v>275</v>
      </c>
      <c r="CN4" s="91">
        <v>310</v>
      </c>
      <c r="CO4" s="91">
        <v>299</v>
      </c>
      <c r="CP4" s="91">
        <v>315</v>
      </c>
      <c r="CQ4" s="91">
        <v>292</v>
      </c>
      <c r="CR4" s="91">
        <v>317</v>
      </c>
      <c r="CS4" s="91">
        <v>337</v>
      </c>
      <c r="CT4" s="91">
        <v>365</v>
      </c>
      <c r="CU4" s="91">
        <v>312</v>
      </c>
      <c r="CV4" s="91">
        <v>370</v>
      </c>
      <c r="CW4" s="91">
        <v>379</v>
      </c>
      <c r="CX4" s="91">
        <v>389</v>
      </c>
      <c r="CY4" s="91">
        <v>341</v>
      </c>
      <c r="CZ4" s="91">
        <v>365</v>
      </c>
      <c r="DA4" s="91">
        <f>+CW4</f>
        <v>379</v>
      </c>
      <c r="DB4" s="91">
        <f>+CX4</f>
        <v>389</v>
      </c>
      <c r="DC4" s="91"/>
      <c r="DD4" s="91"/>
      <c r="DE4" s="91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>
        <f t="shared" ref="DV4:DV66" si="12">SUM(BO4:BR4)</f>
        <v>21</v>
      </c>
      <c r="DW4" s="92">
        <f t="shared" ref="DW4:DW66" si="13">SUM(BS4:BV4)</f>
        <v>188</v>
      </c>
      <c r="DX4" s="92">
        <f t="shared" si="5"/>
        <v>445</v>
      </c>
      <c r="DY4" s="92">
        <f t="shared" si="6"/>
        <v>725</v>
      </c>
      <c r="DZ4" s="92">
        <f t="shared" si="7"/>
        <v>990</v>
      </c>
      <c r="EA4" s="92">
        <f t="shared" si="8"/>
        <v>1117</v>
      </c>
      <c r="EB4" s="92">
        <f>SUM(CM4:CP4)</f>
        <v>1199</v>
      </c>
      <c r="EC4" s="92">
        <f t="shared" si="10"/>
        <v>1311</v>
      </c>
      <c r="ED4" s="92">
        <f>SUM(CU4:CX4)</f>
        <v>1450</v>
      </c>
      <c r="EE4" s="92">
        <f t="shared" ref="EE4:EN4" si="14">ED4*0.5</f>
        <v>725</v>
      </c>
      <c r="EF4" s="92">
        <f t="shared" si="14"/>
        <v>362.5</v>
      </c>
      <c r="EG4" s="92">
        <f t="shared" si="14"/>
        <v>181.25</v>
      </c>
      <c r="EH4" s="92">
        <f t="shared" si="14"/>
        <v>90.625</v>
      </c>
      <c r="EI4" s="92">
        <f t="shared" si="14"/>
        <v>45.3125</v>
      </c>
      <c r="EJ4" s="92">
        <f t="shared" si="14"/>
        <v>22.65625</v>
      </c>
      <c r="EK4" s="92">
        <f t="shared" si="14"/>
        <v>11.328125</v>
      </c>
      <c r="EL4" s="92">
        <f t="shared" si="14"/>
        <v>5.6640625</v>
      </c>
      <c r="EM4" s="92">
        <f t="shared" si="14"/>
        <v>2.83203125</v>
      </c>
      <c r="EN4" s="92">
        <f t="shared" si="14"/>
        <v>1.416015625</v>
      </c>
    </row>
    <row r="5" spans="1:144" s="90" customFormat="1" ht="12.75" customHeight="1">
      <c r="B5" s="44" t="s">
        <v>742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>
        <v>35</v>
      </c>
      <c r="BU5" s="91">
        <v>43</v>
      </c>
      <c r="BV5" s="91">
        <v>71</v>
      </c>
      <c r="BW5" s="91">
        <v>74</v>
      </c>
      <c r="BX5" s="91">
        <v>97</v>
      </c>
      <c r="BY5" s="91">
        <v>109</v>
      </c>
      <c r="BZ5" s="91">
        <v>124</v>
      </c>
      <c r="CA5" s="91">
        <v>128</v>
      </c>
      <c r="CB5" s="91">
        <v>151</v>
      </c>
      <c r="CC5" s="91">
        <v>142</v>
      </c>
      <c r="CD5" s="91">
        <v>158</v>
      </c>
      <c r="CE5" s="91">
        <v>130</v>
      </c>
      <c r="CF5" s="91">
        <v>181</v>
      </c>
      <c r="CG5" s="91">
        <v>188</v>
      </c>
      <c r="CH5" s="91">
        <v>206</v>
      </c>
      <c r="CI5" s="91">
        <v>227</v>
      </c>
      <c r="CJ5" s="91">
        <v>231</v>
      </c>
      <c r="CK5" s="91">
        <v>202</v>
      </c>
      <c r="CL5" s="91">
        <v>216</v>
      </c>
      <c r="CM5" s="91">
        <v>232</v>
      </c>
      <c r="CN5" s="91">
        <v>242</v>
      </c>
      <c r="CO5" s="91">
        <v>260</v>
      </c>
      <c r="CP5" s="91">
        <v>226</v>
      </c>
      <c r="CQ5" s="91">
        <v>255</v>
      </c>
      <c r="CR5" s="91">
        <v>249</v>
      </c>
      <c r="CS5" s="91">
        <v>251</v>
      </c>
      <c r="CT5" s="91">
        <v>255</v>
      </c>
      <c r="CU5" s="91">
        <v>258</v>
      </c>
      <c r="CV5" s="91">
        <v>265</v>
      </c>
      <c r="CW5" s="91">
        <v>258</v>
      </c>
      <c r="CX5" s="91">
        <v>272</v>
      </c>
      <c r="CY5" s="91">
        <v>256</v>
      </c>
      <c r="CZ5" s="91">
        <v>283</v>
      </c>
      <c r="DA5" s="91">
        <f t="shared" ref="DA5:DB5" si="15">+CW5</f>
        <v>258</v>
      </c>
      <c r="DB5" s="91">
        <f t="shared" si="15"/>
        <v>272</v>
      </c>
      <c r="DC5" s="91"/>
      <c r="DD5" s="91"/>
      <c r="DE5" s="91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>
        <f t="shared" si="13"/>
        <v>149</v>
      </c>
      <c r="DX5" s="92">
        <f t="shared" si="5"/>
        <v>404</v>
      </c>
      <c r="DY5" s="92">
        <f t="shared" si="6"/>
        <v>579</v>
      </c>
      <c r="DZ5" s="92">
        <f t="shared" si="7"/>
        <v>705</v>
      </c>
      <c r="EA5" s="92">
        <f t="shared" si="8"/>
        <v>876</v>
      </c>
      <c r="EB5" s="92">
        <f t="shared" si="9"/>
        <v>960</v>
      </c>
      <c r="EC5" s="92">
        <f t="shared" si="10"/>
        <v>1010</v>
      </c>
      <c r="ED5" s="92">
        <f t="shared" ref="ED5:ED35" si="16">SUM(CU5:CX5)</f>
        <v>1053</v>
      </c>
      <c r="EE5" s="92">
        <f>ED5*0.5</f>
        <v>526.5</v>
      </c>
      <c r="EF5" s="92">
        <f t="shared" ref="EF5:EN5" si="17">EE5*0.5</f>
        <v>263.25</v>
      </c>
      <c r="EG5" s="92">
        <f t="shared" si="17"/>
        <v>131.625</v>
      </c>
      <c r="EH5" s="92">
        <f t="shared" si="17"/>
        <v>65.8125</v>
      </c>
      <c r="EI5" s="92">
        <f t="shared" si="17"/>
        <v>32.90625</v>
      </c>
      <c r="EJ5" s="92">
        <f t="shared" si="17"/>
        <v>16.453125</v>
      </c>
      <c r="EK5" s="92">
        <f t="shared" si="17"/>
        <v>8.2265625</v>
      </c>
      <c r="EL5" s="92">
        <f t="shared" si="17"/>
        <v>4.11328125</v>
      </c>
      <c r="EM5" s="92">
        <f t="shared" si="17"/>
        <v>2.056640625</v>
      </c>
      <c r="EN5" s="92">
        <f t="shared" si="17"/>
        <v>1.0283203125</v>
      </c>
    </row>
    <row r="6" spans="1:144" s="90" customFormat="1" ht="12.75" customHeight="1">
      <c r="B6" s="44" t="s">
        <v>743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>
        <v>17</v>
      </c>
      <c r="CI6" s="91">
        <v>52</v>
      </c>
      <c r="CJ6" s="91">
        <v>33</v>
      </c>
      <c r="CK6" s="91">
        <v>39</v>
      </c>
      <c r="CL6" s="91">
        <v>41</v>
      </c>
      <c r="CM6" s="91">
        <v>43</v>
      </c>
      <c r="CN6" s="91">
        <v>47</v>
      </c>
      <c r="CO6" s="91">
        <v>52</v>
      </c>
      <c r="CP6" s="91">
        <v>70</v>
      </c>
      <c r="CQ6" s="91">
        <v>71</v>
      </c>
      <c r="CR6" s="91">
        <v>90</v>
      </c>
      <c r="CS6" s="91">
        <v>100</v>
      </c>
      <c r="CT6" s="91">
        <v>110</v>
      </c>
      <c r="CU6" s="91">
        <v>119</v>
      </c>
      <c r="CV6" s="91">
        <v>107</v>
      </c>
      <c r="CW6" s="91">
        <v>136</v>
      </c>
      <c r="CX6" s="91">
        <v>164</v>
      </c>
      <c r="CY6" s="91">
        <v>148</v>
      </c>
      <c r="CZ6" s="91">
        <v>122</v>
      </c>
      <c r="DA6" s="91">
        <f>+CW6+5</f>
        <v>141</v>
      </c>
      <c r="DB6" s="91">
        <f>+CX6+5</f>
        <v>169</v>
      </c>
      <c r="DC6" s="91"/>
      <c r="DD6" s="91"/>
      <c r="DE6" s="91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>
        <f t="shared" si="7"/>
        <v>17</v>
      </c>
      <c r="EA6" s="92">
        <f t="shared" si="8"/>
        <v>165</v>
      </c>
      <c r="EB6" s="92">
        <f t="shared" si="9"/>
        <v>212</v>
      </c>
      <c r="EC6" s="92">
        <f t="shared" si="10"/>
        <v>371</v>
      </c>
      <c r="ED6" s="92">
        <f t="shared" si="16"/>
        <v>526</v>
      </c>
      <c r="EE6" s="92">
        <f>ED6*1.3</f>
        <v>683.80000000000007</v>
      </c>
      <c r="EF6" s="92">
        <f>EE6*1.3</f>
        <v>888.94000000000017</v>
      </c>
      <c r="EG6" s="85">
        <f>EF6*1.05</f>
        <v>933.38700000000017</v>
      </c>
      <c r="EH6" s="85">
        <f t="shared" ref="EH6:EN6" si="18">EG6*1.05</f>
        <v>980.05635000000018</v>
      </c>
      <c r="EI6" s="85">
        <f t="shared" si="18"/>
        <v>1029.0591675000003</v>
      </c>
      <c r="EJ6" s="85">
        <f t="shared" si="18"/>
        <v>1080.5121258750003</v>
      </c>
      <c r="EK6" s="85">
        <f t="shared" si="18"/>
        <v>1134.5377321687504</v>
      </c>
      <c r="EL6" s="85">
        <f t="shared" si="18"/>
        <v>1191.2646187771879</v>
      </c>
      <c r="EM6" s="85">
        <f t="shared" si="18"/>
        <v>1250.8278497160475</v>
      </c>
      <c r="EN6" s="85">
        <f t="shared" si="18"/>
        <v>1313.3692422018498</v>
      </c>
    </row>
    <row r="7" spans="1:144" s="90" customFormat="1" ht="12.75" customHeight="1">
      <c r="B7" s="44" t="s">
        <v>931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>
        <v>18</v>
      </c>
      <c r="CJ7" s="91">
        <v>27</v>
      </c>
      <c r="CK7" s="91">
        <v>38</v>
      </c>
      <c r="CL7" s="91">
        <v>40</v>
      </c>
      <c r="CM7" s="91">
        <v>42</v>
      </c>
      <c r="CN7" s="91">
        <v>50</v>
      </c>
      <c r="CO7" s="91">
        <v>54</v>
      </c>
      <c r="CP7" s="91">
        <v>72</v>
      </c>
      <c r="CQ7" s="91">
        <v>85</v>
      </c>
      <c r="CR7" s="91">
        <v>126</v>
      </c>
      <c r="CS7" s="91">
        <v>139</v>
      </c>
      <c r="CT7" s="91">
        <v>160</v>
      </c>
      <c r="CU7" s="91">
        <v>137</v>
      </c>
      <c r="CV7" s="91">
        <v>162</v>
      </c>
      <c r="CW7" s="91">
        <v>196</v>
      </c>
      <c r="CX7" s="91">
        <v>220</v>
      </c>
      <c r="CY7" s="91">
        <v>199</v>
      </c>
      <c r="CZ7" s="91">
        <v>271</v>
      </c>
      <c r="DA7" s="91">
        <f>+CW7+25</f>
        <v>221</v>
      </c>
      <c r="DB7" s="91">
        <f>+CX7+25</f>
        <v>245</v>
      </c>
      <c r="DC7" s="91"/>
      <c r="DD7" s="91"/>
      <c r="DE7" s="91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>
        <f t="shared" si="8"/>
        <v>123</v>
      </c>
      <c r="EB7" s="92">
        <f t="shared" si="9"/>
        <v>218</v>
      </c>
      <c r="EC7" s="92">
        <f t="shared" si="10"/>
        <v>510</v>
      </c>
      <c r="ED7" s="92">
        <f t="shared" si="16"/>
        <v>715</v>
      </c>
      <c r="EE7" s="92">
        <f>ED7*1.03</f>
        <v>736.45</v>
      </c>
      <c r="EF7" s="92">
        <f t="shared" ref="EF7:EL7" si="19">EE7*1.03</f>
        <v>758.54350000000011</v>
      </c>
      <c r="EG7" s="92">
        <f t="shared" si="19"/>
        <v>781.29980500000011</v>
      </c>
      <c r="EH7" s="92">
        <f t="shared" si="19"/>
        <v>804.73879915000009</v>
      </c>
      <c r="EI7" s="92">
        <f t="shared" si="19"/>
        <v>828.88096312450011</v>
      </c>
      <c r="EJ7" s="92">
        <f t="shared" si="19"/>
        <v>853.74739201823513</v>
      </c>
      <c r="EK7" s="92">
        <f t="shared" si="19"/>
        <v>879.35981377878215</v>
      </c>
      <c r="EL7" s="92">
        <f t="shared" si="19"/>
        <v>905.7406081921456</v>
      </c>
      <c r="EM7" s="90">
        <f>EL7*0.5</f>
        <v>452.8703040960728</v>
      </c>
      <c r="EN7" s="90">
        <f>EM7*0.5</f>
        <v>226.4351520480364</v>
      </c>
    </row>
    <row r="8" spans="1:144" s="90" customFormat="1" ht="12.75" customHeight="1">
      <c r="B8" s="44" t="s">
        <v>1139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>
        <v>178</v>
      </c>
      <c r="CY8" s="91">
        <v>131</v>
      </c>
      <c r="CZ8" s="91">
        <v>204</v>
      </c>
      <c r="DA8" s="91">
        <f>+CZ8+5</f>
        <v>209</v>
      </c>
      <c r="DB8" s="91">
        <f>+DA8+5</f>
        <v>214</v>
      </c>
      <c r="DC8" s="91"/>
      <c r="DD8" s="91"/>
      <c r="DE8" s="91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</row>
    <row r="9" spans="1:144" s="39" customFormat="1" ht="12.75" customHeight="1">
      <c r="B9" s="44" t="s">
        <v>739</v>
      </c>
      <c r="C9" s="40"/>
      <c r="D9" s="40"/>
      <c r="E9" s="40"/>
      <c r="F9" s="40"/>
      <c r="G9" s="40"/>
      <c r="H9" s="40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1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>
        <v>952</v>
      </c>
      <c r="CI9" s="92">
        <v>3247</v>
      </c>
      <c r="CJ9" s="92">
        <v>1177</v>
      </c>
      <c r="CK9" s="92">
        <v>436</v>
      </c>
      <c r="CL9" s="92">
        <v>825</v>
      </c>
      <c r="CM9" s="92">
        <v>392</v>
      </c>
      <c r="CN9" s="92">
        <v>203</v>
      </c>
      <c r="CO9" s="92">
        <v>640</v>
      </c>
      <c r="CP9" s="92">
        <v>193</v>
      </c>
      <c r="CQ9" s="92">
        <v>350</v>
      </c>
      <c r="CR9" s="92">
        <v>110</v>
      </c>
      <c r="CS9" s="92">
        <v>383</v>
      </c>
      <c r="CT9" s="92">
        <v>121</v>
      </c>
      <c r="CU9" s="92">
        <v>102</v>
      </c>
      <c r="CV9" s="92">
        <v>83</v>
      </c>
      <c r="CW9" s="92">
        <v>138</v>
      </c>
      <c r="CX9" s="92">
        <v>57</v>
      </c>
      <c r="CY9" s="92">
        <v>28</v>
      </c>
      <c r="CZ9" s="92">
        <v>5</v>
      </c>
      <c r="DA9" s="92">
        <v>1</v>
      </c>
      <c r="DB9" s="92">
        <v>1</v>
      </c>
      <c r="DC9" s="92"/>
      <c r="DD9" s="92"/>
      <c r="DE9" s="93"/>
      <c r="DF9" s="40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>
        <f t="shared" si="7"/>
        <v>952</v>
      </c>
      <c r="EA9" s="92">
        <f t="shared" si="8"/>
        <v>5685</v>
      </c>
      <c r="EB9" s="92">
        <f t="shared" si="9"/>
        <v>1428</v>
      </c>
      <c r="EC9" s="92">
        <f t="shared" si="10"/>
        <v>964</v>
      </c>
      <c r="ED9" s="92">
        <f t="shared" si="16"/>
        <v>380</v>
      </c>
      <c r="EE9" s="92">
        <f t="shared" ref="EE9:EN9" si="20">ED9*0.5</f>
        <v>190</v>
      </c>
      <c r="EF9" s="92">
        <f t="shared" si="20"/>
        <v>95</v>
      </c>
      <c r="EG9" s="92">
        <f t="shared" si="20"/>
        <v>47.5</v>
      </c>
      <c r="EH9" s="92">
        <f t="shared" si="20"/>
        <v>23.75</v>
      </c>
      <c r="EI9" s="92">
        <f t="shared" si="20"/>
        <v>11.875</v>
      </c>
      <c r="EJ9" s="92">
        <f t="shared" si="20"/>
        <v>5.9375</v>
      </c>
      <c r="EK9" s="92">
        <f t="shared" si="20"/>
        <v>2.96875</v>
      </c>
      <c r="EL9" s="92">
        <f t="shared" si="20"/>
        <v>1.484375</v>
      </c>
      <c r="EM9" s="92">
        <f t="shared" si="20"/>
        <v>0.7421875</v>
      </c>
      <c r="EN9" s="92">
        <f t="shared" si="20"/>
        <v>0.37109375</v>
      </c>
    </row>
    <row r="10" spans="1:144" s="39" customFormat="1" ht="12.75" customHeight="1">
      <c r="B10" s="44" t="s">
        <v>615</v>
      </c>
      <c r="C10" s="40"/>
      <c r="D10" s="40"/>
      <c r="E10" s="40"/>
      <c r="F10" s="40"/>
      <c r="G10" s="40"/>
      <c r="H10" s="40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>
        <v>10</v>
      </c>
      <c r="Y10" s="92">
        <v>70</v>
      </c>
      <c r="Z10" s="92">
        <v>155</v>
      </c>
      <c r="AA10" s="92">
        <v>365</v>
      </c>
      <c r="AB10" s="92">
        <v>358</v>
      </c>
      <c r="AC10" s="91">
        <v>418</v>
      </c>
      <c r="AD10" s="92">
        <v>450</v>
      </c>
      <c r="AE10" s="92">
        <v>390</v>
      </c>
      <c r="AF10" s="92">
        <v>326</v>
      </c>
      <c r="AG10" s="92">
        <v>401</v>
      </c>
      <c r="AH10" s="92">
        <f>AG10+10</f>
        <v>411</v>
      </c>
      <c r="AI10" s="127">
        <v>262</v>
      </c>
      <c r="AJ10" s="92">
        <v>268</v>
      </c>
      <c r="AK10" s="92">
        <v>311</v>
      </c>
      <c r="AL10" s="92">
        <v>277</v>
      </c>
      <c r="AM10" s="92">
        <v>233</v>
      </c>
      <c r="AN10" s="92">
        <v>219</v>
      </c>
      <c r="AO10" s="92">
        <v>316</v>
      </c>
      <c r="AP10" s="92">
        <v>221</v>
      </c>
      <c r="AQ10" s="92">
        <v>214</v>
      </c>
      <c r="AR10" s="92">
        <v>277</v>
      </c>
      <c r="AS10" s="92">
        <v>445</v>
      </c>
      <c r="AT10" s="92">
        <v>274</v>
      </c>
      <c r="AU10" s="92">
        <v>284</v>
      </c>
      <c r="AV10" s="92">
        <v>324</v>
      </c>
      <c r="AW10" s="92">
        <v>581</v>
      </c>
      <c r="AX10" s="92">
        <v>442</v>
      </c>
      <c r="AY10" s="92">
        <v>390</v>
      </c>
      <c r="AZ10" s="92">
        <v>383</v>
      </c>
      <c r="BA10" s="92">
        <v>665</v>
      </c>
      <c r="BB10" s="92">
        <v>394</v>
      </c>
      <c r="BC10" s="92">
        <v>383</v>
      </c>
      <c r="BD10" s="92">
        <v>409</v>
      </c>
      <c r="BE10" s="92">
        <v>590</v>
      </c>
      <c r="BF10" s="92">
        <v>356</v>
      </c>
      <c r="BG10" s="92">
        <v>359</v>
      </c>
      <c r="BH10" s="92">
        <v>427</v>
      </c>
      <c r="BI10" s="92">
        <v>625</v>
      </c>
      <c r="BJ10" s="92">
        <v>497</v>
      </c>
      <c r="BK10" s="92">
        <v>378</v>
      </c>
      <c r="BL10" s="92">
        <v>393</v>
      </c>
      <c r="BM10" s="92">
        <v>860</v>
      </c>
      <c r="BN10" s="92">
        <v>542</v>
      </c>
      <c r="BO10" s="92">
        <v>532</v>
      </c>
      <c r="BP10" s="92">
        <v>469</v>
      </c>
      <c r="BQ10" s="92">
        <v>675</v>
      </c>
      <c r="BR10" s="92">
        <v>633</v>
      </c>
      <c r="BS10" s="92">
        <v>660</v>
      </c>
      <c r="BT10" s="92">
        <v>608</v>
      </c>
      <c r="BU10" s="92">
        <v>1048</v>
      </c>
      <c r="BV10" s="92">
        <v>835</v>
      </c>
      <c r="BW10" s="92">
        <v>838</v>
      </c>
      <c r="BX10" s="92">
        <v>886</v>
      </c>
      <c r="BY10" s="92">
        <v>1320</v>
      </c>
      <c r="BZ10" s="92">
        <v>693</v>
      </c>
      <c r="CA10" s="92">
        <v>1097</v>
      </c>
      <c r="CB10" s="92">
        <v>656</v>
      </c>
      <c r="CC10" s="92">
        <v>1187</v>
      </c>
      <c r="CD10" s="92">
        <v>998</v>
      </c>
      <c r="CE10" s="92">
        <v>917</v>
      </c>
      <c r="CF10" s="92">
        <v>1234</v>
      </c>
      <c r="CG10" s="92">
        <v>1993</v>
      </c>
      <c r="CH10" s="92">
        <v>1528</v>
      </c>
      <c r="CI10" s="92">
        <v>1460</v>
      </c>
      <c r="CJ10" s="92">
        <v>1674</v>
      </c>
      <c r="CK10" s="92">
        <v>2294</v>
      </c>
      <c r="CL10" s="92">
        <v>1470</v>
      </c>
      <c r="CM10" s="92">
        <v>1972</v>
      </c>
      <c r="CN10" s="92">
        <v>2458</v>
      </c>
      <c r="CO10" s="92">
        <v>2585</v>
      </c>
      <c r="CP10" s="92">
        <v>1871</v>
      </c>
      <c r="CQ10" s="92">
        <v>2249</v>
      </c>
      <c r="CR10" s="92">
        <v>2478</v>
      </c>
      <c r="CS10" s="92">
        <v>2306</v>
      </c>
      <c r="CT10" s="92">
        <v>1550</v>
      </c>
      <c r="CU10" s="92">
        <v>1327</v>
      </c>
      <c r="CV10" s="92">
        <v>1126</v>
      </c>
      <c r="CW10" s="92">
        <v>1749</v>
      </c>
      <c r="CX10" s="92">
        <v>1031</v>
      </c>
      <c r="CY10" s="92">
        <v>1069</v>
      </c>
      <c r="CZ10" s="92">
        <v>1169</v>
      </c>
      <c r="DA10" s="92">
        <f>+CZ10+25</f>
        <v>1194</v>
      </c>
      <c r="DB10" s="92">
        <f>+DA10+25</f>
        <v>1219</v>
      </c>
      <c r="DC10" s="92"/>
      <c r="DD10" s="92"/>
      <c r="DE10" s="93"/>
      <c r="DF10" s="40" t="s">
        <v>440</v>
      </c>
      <c r="DG10" s="92" t="s">
        <v>440</v>
      </c>
      <c r="DH10" s="92" t="s">
        <v>440</v>
      </c>
      <c r="DI10" s="92">
        <f>SUM(O10:R10)</f>
        <v>0</v>
      </c>
      <c r="DJ10" s="92">
        <f>SUM(S10:V10)</f>
        <v>0</v>
      </c>
      <c r="DK10" s="92">
        <f>SUM(W10:Z10)</f>
        <v>235</v>
      </c>
      <c r="DL10" s="92">
        <f>SUM(AA10:AD10)</f>
        <v>1591</v>
      </c>
      <c r="DM10" s="92">
        <f>SUM(AE10:AH10)</f>
        <v>1528</v>
      </c>
      <c r="DN10" s="92">
        <f>SUM(AI10:AL10)</f>
        <v>1118</v>
      </c>
      <c r="DO10" s="92">
        <f>SUM(AM10:AP10)</f>
        <v>989</v>
      </c>
      <c r="DP10" s="92">
        <f t="shared" ref="DP10:DP16" si="21">SUM(AQ10:AT10)</f>
        <v>1210</v>
      </c>
      <c r="DQ10" s="92">
        <f t="shared" ref="DQ10:DQ74" si="22">SUM(AU10:AX10)</f>
        <v>1631</v>
      </c>
      <c r="DR10" s="92">
        <f t="shared" ref="DR10:DR27" si="23">SUM(AY10:BB10)</f>
        <v>1832</v>
      </c>
      <c r="DS10" s="92">
        <f t="shared" ref="DS10:DS27" si="24">SUM(BC10:BF10)</f>
        <v>1738</v>
      </c>
      <c r="DT10" s="92">
        <f t="shared" ref="DT10:DT66" si="25">SUM(BG10:BJ10)</f>
        <v>1908</v>
      </c>
      <c r="DU10" s="92">
        <f t="shared" ref="DU10:DU66" si="26">SUM(BK10:BN10)</f>
        <v>2173</v>
      </c>
      <c r="DV10" s="92">
        <f t="shared" si="12"/>
        <v>2309</v>
      </c>
      <c r="DW10" s="92">
        <f t="shared" si="13"/>
        <v>3151</v>
      </c>
      <c r="DX10" s="92">
        <f>SUM(BW10:BZ10)</f>
        <v>3737</v>
      </c>
      <c r="DY10" s="92">
        <f>SUM(CA10:CD10)</f>
        <v>3938</v>
      </c>
      <c r="DZ10" s="92">
        <f>SUM(CE10:CH10)</f>
        <v>5672</v>
      </c>
      <c r="EA10" s="92">
        <f>SUM(CI10:CL10)</f>
        <v>6898</v>
      </c>
      <c r="EB10" s="92">
        <f t="shared" si="9"/>
        <v>8886</v>
      </c>
      <c r="EC10" s="92">
        <f t="shared" si="10"/>
        <v>8583</v>
      </c>
      <c r="ED10" s="92">
        <f t="shared" si="16"/>
        <v>5233</v>
      </c>
      <c r="EE10" s="92">
        <f>ED10*1.05</f>
        <v>5494.6500000000005</v>
      </c>
      <c r="EF10" s="92">
        <f>EE10*1.05</f>
        <v>5769.3825000000006</v>
      </c>
      <c r="EG10" s="92">
        <f>EF10*1.05</f>
        <v>6057.8516250000011</v>
      </c>
      <c r="EH10" s="92">
        <f>EG10*1.05</f>
        <v>6360.7442062500013</v>
      </c>
      <c r="EI10" s="92">
        <f>EH10*1.03</f>
        <v>6551.5665324375013</v>
      </c>
      <c r="EJ10" s="92">
        <f>EI10*1.03</f>
        <v>6748.1135284106267</v>
      </c>
      <c r="EK10" s="92">
        <f>EJ10*1.03</f>
        <v>6950.556934262946</v>
      </c>
      <c r="EL10" s="92">
        <f>EK10*1.03</f>
        <v>7159.0736422908349</v>
      </c>
      <c r="EM10" s="92">
        <f t="shared" ref="EM10:EN10" si="27">EL10*1.01</f>
        <v>7230.6643787137436</v>
      </c>
      <c r="EN10" s="92">
        <f t="shared" si="27"/>
        <v>7302.9710225008812</v>
      </c>
    </row>
    <row r="11" spans="1:144" s="39" customFormat="1" ht="12.75" customHeight="1">
      <c r="B11" s="44" t="s">
        <v>642</v>
      </c>
      <c r="C11" s="40"/>
      <c r="D11" s="40"/>
      <c r="E11" s="40"/>
      <c r="F11" s="40"/>
      <c r="G11" s="40"/>
      <c r="H11" s="40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>
        <v>42</v>
      </c>
      <c r="AA11" s="92">
        <v>87</v>
      </c>
      <c r="AB11" s="92">
        <v>144</v>
      </c>
      <c r="AC11" s="91">
        <v>185</v>
      </c>
      <c r="AD11" s="92">
        <v>200</v>
      </c>
      <c r="AE11" s="92">
        <v>272</v>
      </c>
      <c r="AF11" s="92">
        <v>334</v>
      </c>
      <c r="AG11" s="92">
        <v>379</v>
      </c>
      <c r="AH11" s="92"/>
      <c r="AI11" s="127">
        <v>411</v>
      </c>
      <c r="AJ11" s="92">
        <v>462</v>
      </c>
      <c r="AK11" s="92">
        <v>491</v>
      </c>
      <c r="AL11" s="92">
        <v>558</v>
      </c>
      <c r="AM11" s="92">
        <v>511</v>
      </c>
      <c r="AN11" s="92">
        <v>600</v>
      </c>
      <c r="AO11" s="92">
        <v>600</v>
      </c>
      <c r="AP11" s="92">
        <v>675</v>
      </c>
      <c r="AQ11" s="92">
        <v>739</v>
      </c>
      <c r="AR11" s="92">
        <v>779</v>
      </c>
      <c r="AS11" s="92">
        <v>846</v>
      </c>
      <c r="AT11" s="92">
        <v>960</v>
      </c>
      <c r="AU11" s="92">
        <v>919</v>
      </c>
      <c r="AV11" s="92">
        <v>1058</v>
      </c>
      <c r="AW11" s="92">
        <v>975</v>
      </c>
      <c r="AX11" s="92">
        <v>1134</v>
      </c>
      <c r="AY11" s="92">
        <v>884</v>
      </c>
      <c r="AZ11" s="92">
        <v>1072</v>
      </c>
      <c r="BA11" s="92">
        <v>927</v>
      </c>
      <c r="BB11" s="92">
        <v>1121</v>
      </c>
      <c r="BC11" s="92">
        <v>858</v>
      </c>
      <c r="BD11" s="92">
        <v>1058</v>
      </c>
      <c r="BE11" s="92">
        <v>933</v>
      </c>
      <c r="BF11" s="92">
        <v>1082</v>
      </c>
      <c r="BG11" s="92">
        <v>884</v>
      </c>
      <c r="BH11" s="92">
        <v>1044</v>
      </c>
      <c r="BI11" s="92">
        <v>1014</v>
      </c>
      <c r="BJ11" s="92">
        <v>921</v>
      </c>
      <c r="BK11" s="92">
        <v>906</v>
      </c>
      <c r="BL11" s="92">
        <v>1064</v>
      </c>
      <c r="BM11" s="92">
        <v>1006</v>
      </c>
      <c r="BN11" s="92">
        <v>932</v>
      </c>
      <c r="BO11" s="92">
        <v>839</v>
      </c>
      <c r="BP11" s="92">
        <v>948</v>
      </c>
      <c r="BQ11" s="92">
        <v>1012</v>
      </c>
      <c r="BR11" s="92">
        <v>938</v>
      </c>
      <c r="BS11" s="92">
        <v>880</v>
      </c>
      <c r="BT11" s="92">
        <v>949</v>
      </c>
      <c r="BU11" s="92">
        <v>927</v>
      </c>
      <c r="BV11" s="92">
        <v>930</v>
      </c>
      <c r="BW11" s="92">
        <v>824</v>
      </c>
      <c r="BX11" s="92">
        <v>908</v>
      </c>
      <c r="BY11" s="92">
        <v>807</v>
      </c>
      <c r="BZ11" s="92">
        <v>943</v>
      </c>
      <c r="CA11" s="92">
        <v>774</v>
      </c>
      <c r="CB11" s="92">
        <v>854</v>
      </c>
      <c r="CC11" s="92">
        <v>821</v>
      </c>
      <c r="CD11" s="92">
        <v>857</v>
      </c>
      <c r="CE11" s="92">
        <v>809</v>
      </c>
      <c r="CF11" s="92">
        <v>784</v>
      </c>
      <c r="CG11" s="92">
        <v>852</v>
      </c>
      <c r="CH11" s="92">
        <v>878</v>
      </c>
      <c r="CI11" s="92">
        <v>779</v>
      </c>
      <c r="CJ11" s="92">
        <v>756</v>
      </c>
      <c r="CK11" s="92">
        <v>717</v>
      </c>
      <c r="CL11" s="92">
        <v>561</v>
      </c>
      <c r="CM11" s="92">
        <v>551</v>
      </c>
      <c r="CN11" s="92">
        <v>511</v>
      </c>
      <c r="CO11" s="92">
        <v>581</v>
      </c>
      <c r="CP11" s="92">
        <v>547</v>
      </c>
      <c r="CQ11" s="92">
        <v>419</v>
      </c>
      <c r="CR11" s="92">
        <v>405</v>
      </c>
      <c r="CS11" s="92">
        <v>278</v>
      </c>
      <c r="CT11" s="92">
        <v>232</v>
      </c>
      <c r="CU11" s="92">
        <v>549</v>
      </c>
      <c r="CV11" s="92">
        <v>372</v>
      </c>
      <c r="CW11" s="92">
        <v>382</v>
      </c>
      <c r="CX11" s="92">
        <v>302</v>
      </c>
      <c r="CY11" s="92">
        <v>367</v>
      </c>
      <c r="CZ11" s="92">
        <v>258</v>
      </c>
      <c r="DA11" s="92">
        <f>+CZ11-5</f>
        <v>253</v>
      </c>
      <c r="DB11" s="92">
        <f t="shared" ref="DB11:DB12" si="28">+DA11-5</f>
        <v>248</v>
      </c>
      <c r="DC11" s="92"/>
      <c r="DD11" s="92"/>
      <c r="DE11" s="93"/>
      <c r="DF11" s="40" t="s">
        <v>440</v>
      </c>
      <c r="DG11" s="92" t="s">
        <v>440</v>
      </c>
      <c r="DH11" s="92" t="s">
        <v>440</v>
      </c>
      <c r="DI11" s="92">
        <f>SUM(O11:R11)</f>
        <v>0</v>
      </c>
      <c r="DJ11" s="92">
        <f>SUM(S11:V11)</f>
        <v>0</v>
      </c>
      <c r="DK11" s="92">
        <f>SUM(W11:Z11)</f>
        <v>42</v>
      </c>
      <c r="DL11" s="92">
        <f>SUM(AA11:AD11)</f>
        <v>616</v>
      </c>
      <c r="DM11" s="92">
        <f>SUM(AE11:AH11)</f>
        <v>985</v>
      </c>
      <c r="DN11" s="92">
        <f>SUM(AI11:AL11)</f>
        <v>1922</v>
      </c>
      <c r="DO11" s="92">
        <f t="shared" ref="DO11:DO19" si="29">SUM(AM11:AP11)</f>
        <v>2386</v>
      </c>
      <c r="DP11" s="92">
        <f t="shared" si="21"/>
        <v>3324</v>
      </c>
      <c r="DQ11" s="92">
        <f t="shared" si="22"/>
        <v>4086</v>
      </c>
      <c r="DR11" s="92">
        <f t="shared" si="23"/>
        <v>4004</v>
      </c>
      <c r="DS11" s="92">
        <f t="shared" si="24"/>
        <v>3931</v>
      </c>
      <c r="DT11" s="92">
        <f t="shared" si="25"/>
        <v>3863</v>
      </c>
      <c r="DU11" s="92">
        <f t="shared" si="26"/>
        <v>3908</v>
      </c>
      <c r="DV11" s="92">
        <f t="shared" si="12"/>
        <v>3737</v>
      </c>
      <c r="DW11" s="92">
        <f t="shared" si="13"/>
        <v>3686</v>
      </c>
      <c r="DX11" s="92">
        <f t="shared" ref="DX11:DX23" si="30">SUM(BW11:BZ11)</f>
        <v>3482</v>
      </c>
      <c r="DY11" s="92">
        <f t="shared" ref="DY11:DY23" si="31">SUM(CA11:CD11)</f>
        <v>3306</v>
      </c>
      <c r="DZ11" s="92">
        <f t="shared" ref="DZ11:DZ23" si="32">SUM(CE11:CH11)</f>
        <v>3323</v>
      </c>
      <c r="EA11" s="92">
        <f t="shared" ref="EA11:EA23" si="33">SUM(CI11:CL11)</f>
        <v>2813</v>
      </c>
      <c r="EB11" s="92">
        <f t="shared" si="9"/>
        <v>2190</v>
      </c>
      <c r="EC11" s="92">
        <f t="shared" si="10"/>
        <v>1334</v>
      </c>
      <c r="ED11" s="92">
        <f t="shared" si="16"/>
        <v>1605</v>
      </c>
      <c r="EE11" s="92">
        <f>+ED11*0.8</f>
        <v>1284</v>
      </c>
      <c r="EF11" s="90">
        <f>EE11*0.2</f>
        <v>256.8</v>
      </c>
      <c r="EG11" s="90">
        <f t="shared" ref="EG11:EN11" si="34">EF11*0.2</f>
        <v>51.360000000000007</v>
      </c>
      <c r="EH11" s="90">
        <f t="shared" si="34"/>
        <v>10.272000000000002</v>
      </c>
      <c r="EI11" s="90">
        <f t="shared" si="34"/>
        <v>2.0544000000000007</v>
      </c>
      <c r="EJ11" s="90">
        <f t="shared" si="34"/>
        <v>0.41088000000000013</v>
      </c>
      <c r="EK11" s="90">
        <f t="shared" si="34"/>
        <v>8.2176000000000027E-2</v>
      </c>
      <c r="EL11" s="90">
        <f t="shared" si="34"/>
        <v>1.6435200000000007E-2</v>
      </c>
      <c r="EM11" s="90">
        <f t="shared" si="34"/>
        <v>3.2870400000000015E-3</v>
      </c>
      <c r="EN11" s="90">
        <f t="shared" si="34"/>
        <v>6.5740800000000038E-4</v>
      </c>
    </row>
    <row r="12" spans="1:144" s="39" customFormat="1" ht="12.75" customHeight="1">
      <c r="B12" s="44" t="s">
        <v>658</v>
      </c>
      <c r="C12" s="40"/>
      <c r="D12" s="40"/>
      <c r="E12" s="40"/>
      <c r="F12" s="40"/>
      <c r="G12" s="40"/>
      <c r="H12" s="40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>
        <v>24</v>
      </c>
      <c r="AC12" s="91">
        <v>19</v>
      </c>
      <c r="AD12" s="92">
        <v>30</v>
      </c>
      <c r="AE12" s="92">
        <v>58</v>
      </c>
      <c r="AF12" s="92">
        <v>72</v>
      </c>
      <c r="AG12" s="92">
        <v>101</v>
      </c>
      <c r="AH12" s="92"/>
      <c r="AI12" s="127">
        <v>128</v>
      </c>
      <c r="AJ12" s="92">
        <v>155</v>
      </c>
      <c r="AK12" s="92">
        <v>173</v>
      </c>
      <c r="AL12" s="92">
        <v>202</v>
      </c>
      <c r="AM12" s="92">
        <v>201</v>
      </c>
      <c r="AN12" s="92">
        <v>218</v>
      </c>
      <c r="AO12" s="92">
        <v>247</v>
      </c>
      <c r="AP12" s="92">
        <v>288</v>
      </c>
      <c r="AQ12" s="92">
        <v>305</v>
      </c>
      <c r="AR12" s="92">
        <v>321</v>
      </c>
      <c r="AS12" s="92">
        <v>350</v>
      </c>
      <c r="AT12" s="92">
        <v>386</v>
      </c>
      <c r="AU12" s="92">
        <v>392</v>
      </c>
      <c r="AV12" s="92">
        <v>411</v>
      </c>
      <c r="AW12" s="92">
        <v>405</v>
      </c>
      <c r="AX12" s="92">
        <v>452</v>
      </c>
      <c r="AY12" s="92">
        <v>409</v>
      </c>
      <c r="AZ12" s="92">
        <v>474</v>
      </c>
      <c r="BA12" s="92">
        <v>442</v>
      </c>
      <c r="BB12" s="92">
        <v>503</v>
      </c>
      <c r="BC12" s="92">
        <v>476</v>
      </c>
      <c r="BD12" s="92">
        <v>519</v>
      </c>
      <c r="BE12" s="92">
        <v>505</v>
      </c>
      <c r="BF12" s="92">
        <v>570</v>
      </c>
      <c r="BG12" s="92">
        <v>509</v>
      </c>
      <c r="BH12" s="92">
        <v>554</v>
      </c>
      <c r="BI12" s="92">
        <v>562</v>
      </c>
      <c r="BJ12" s="92">
        <v>526</v>
      </c>
      <c r="BK12" s="92">
        <v>506</v>
      </c>
      <c r="BL12" s="92">
        <v>569</v>
      </c>
      <c r="BM12" s="92">
        <v>548</v>
      </c>
      <c r="BN12" s="92">
        <v>577</v>
      </c>
      <c r="BO12" s="92">
        <v>496</v>
      </c>
      <c r="BP12" s="92">
        <v>563</v>
      </c>
      <c r="BQ12" s="92">
        <v>513</v>
      </c>
      <c r="BR12" s="92">
        <v>586</v>
      </c>
      <c r="BS12" s="92">
        <v>544</v>
      </c>
      <c r="BT12" s="92">
        <v>585</v>
      </c>
      <c r="BU12" s="92">
        <v>563</v>
      </c>
      <c r="BV12" s="92">
        <v>535</v>
      </c>
      <c r="BW12" s="92">
        <v>530</v>
      </c>
      <c r="BX12" s="92">
        <v>533</v>
      </c>
      <c r="BY12" s="92">
        <v>503</v>
      </c>
      <c r="BZ12" s="92">
        <v>475</v>
      </c>
      <c r="CA12" s="92">
        <v>503</v>
      </c>
      <c r="CB12" s="92">
        <v>490</v>
      </c>
      <c r="CC12" s="92">
        <v>506</v>
      </c>
      <c r="CD12" s="92">
        <v>472</v>
      </c>
      <c r="CE12" s="92">
        <v>486</v>
      </c>
      <c r="CF12" s="92">
        <v>477</v>
      </c>
      <c r="CG12" s="92">
        <v>487</v>
      </c>
      <c r="CH12" s="92">
        <v>514</v>
      </c>
      <c r="CI12" s="92">
        <v>454</v>
      </c>
      <c r="CJ12" s="92">
        <v>476</v>
      </c>
      <c r="CK12" s="92">
        <v>417</v>
      </c>
      <c r="CL12" s="92">
        <v>353</v>
      </c>
      <c r="CM12" s="92">
        <v>329</v>
      </c>
      <c r="CN12" s="92">
        <v>354</v>
      </c>
      <c r="CO12" s="92">
        <v>255</v>
      </c>
      <c r="CP12" s="92">
        <v>240</v>
      </c>
      <c r="CQ12" s="92">
        <v>251</v>
      </c>
      <c r="CR12" s="92">
        <v>224</v>
      </c>
      <c r="CS12" s="92">
        <v>204</v>
      </c>
      <c r="CT12" s="92">
        <v>255</v>
      </c>
      <c r="CU12" s="92">
        <v>247</v>
      </c>
      <c r="CV12" s="92">
        <v>251</v>
      </c>
      <c r="CW12" s="92">
        <v>243</v>
      </c>
      <c r="CX12" s="92">
        <v>199</v>
      </c>
      <c r="CY12" s="92">
        <v>207</v>
      </c>
      <c r="CZ12" s="92">
        <v>171</v>
      </c>
      <c r="DA12" s="92">
        <f t="shared" ref="DA12" si="35">+CZ12-5</f>
        <v>166</v>
      </c>
      <c r="DB12" s="92">
        <f t="shared" si="28"/>
        <v>161</v>
      </c>
      <c r="DC12" s="92"/>
      <c r="DD12" s="92"/>
      <c r="DE12" s="93"/>
      <c r="DF12" s="40" t="s">
        <v>440</v>
      </c>
      <c r="DG12" s="92" t="s">
        <v>440</v>
      </c>
      <c r="DH12" s="92" t="s">
        <v>440</v>
      </c>
      <c r="DI12" s="92" t="s">
        <v>440</v>
      </c>
      <c r="DJ12" s="92" t="s">
        <v>440</v>
      </c>
      <c r="DK12" s="92">
        <v>0</v>
      </c>
      <c r="DL12" s="92">
        <f>SUM(AA12:AD12)</f>
        <v>73</v>
      </c>
      <c r="DM12" s="92">
        <f>SUM(AE12:AH12)</f>
        <v>231</v>
      </c>
      <c r="DN12" s="92">
        <f>SUM(AI12:AL12)</f>
        <v>658</v>
      </c>
      <c r="DO12" s="92">
        <f t="shared" si="29"/>
        <v>954</v>
      </c>
      <c r="DP12" s="92">
        <f t="shared" si="21"/>
        <v>1362</v>
      </c>
      <c r="DQ12" s="92">
        <f t="shared" si="22"/>
        <v>1660</v>
      </c>
      <c r="DR12" s="92">
        <f t="shared" si="23"/>
        <v>1828</v>
      </c>
      <c r="DS12" s="92">
        <f t="shared" si="24"/>
        <v>2070</v>
      </c>
      <c r="DT12" s="92">
        <f t="shared" si="25"/>
        <v>2151</v>
      </c>
      <c r="DU12" s="92">
        <f t="shared" si="26"/>
        <v>2200</v>
      </c>
      <c r="DV12" s="92">
        <f t="shared" si="12"/>
        <v>2158</v>
      </c>
      <c r="DW12" s="92">
        <f t="shared" si="13"/>
        <v>2227</v>
      </c>
      <c r="DX12" s="92">
        <f t="shared" si="30"/>
        <v>2041</v>
      </c>
      <c r="DY12" s="92">
        <f t="shared" si="31"/>
        <v>1971</v>
      </c>
      <c r="DZ12" s="92">
        <f t="shared" si="32"/>
        <v>1964</v>
      </c>
      <c r="EA12" s="92">
        <f t="shared" si="33"/>
        <v>1700</v>
      </c>
      <c r="EB12" s="92">
        <f t="shared" si="9"/>
        <v>1178</v>
      </c>
      <c r="EC12" s="92">
        <f t="shared" si="10"/>
        <v>934</v>
      </c>
      <c r="ED12" s="92">
        <f t="shared" si="16"/>
        <v>940</v>
      </c>
      <c r="EE12" s="92">
        <f>+ED12*0.5</f>
        <v>470</v>
      </c>
      <c r="EF12" s="90">
        <f t="shared" ref="EF12:EN12" si="36">EE12*0.2</f>
        <v>94</v>
      </c>
      <c r="EG12" s="90">
        <f t="shared" si="36"/>
        <v>18.8</v>
      </c>
      <c r="EH12" s="90">
        <f t="shared" si="36"/>
        <v>3.7600000000000002</v>
      </c>
      <c r="EI12" s="90">
        <f t="shared" si="36"/>
        <v>0.75200000000000011</v>
      </c>
      <c r="EJ12" s="90">
        <f t="shared" si="36"/>
        <v>0.15040000000000003</v>
      </c>
      <c r="EK12" s="90">
        <f t="shared" si="36"/>
        <v>3.008000000000001E-2</v>
      </c>
      <c r="EL12" s="90">
        <f t="shared" si="36"/>
        <v>6.0160000000000022E-3</v>
      </c>
      <c r="EM12" s="90">
        <f t="shared" si="36"/>
        <v>1.2032000000000006E-3</v>
      </c>
      <c r="EN12" s="90">
        <f t="shared" si="36"/>
        <v>2.4064000000000014E-4</v>
      </c>
    </row>
    <row r="13" spans="1:144" s="39" customFormat="1" ht="12.75" customHeight="1">
      <c r="B13" s="44" t="s">
        <v>1141</v>
      </c>
      <c r="C13" s="40"/>
      <c r="D13" s="40"/>
      <c r="E13" s="40"/>
      <c r="F13" s="40"/>
      <c r="G13" s="40"/>
      <c r="H13" s="40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1"/>
      <c r="AD13" s="92"/>
      <c r="AE13" s="92"/>
      <c r="AF13" s="92"/>
      <c r="AG13" s="92"/>
      <c r="AH13" s="92"/>
      <c r="AI13" s="127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3"/>
      <c r="DF13" s="40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0">
        <v>500</v>
      </c>
      <c r="EG13" s="90">
        <v>1000</v>
      </c>
      <c r="EH13" s="90">
        <v>1250</v>
      </c>
      <c r="EI13" s="90">
        <v>1500</v>
      </c>
      <c r="EJ13" s="90">
        <f>+EI13*1.01</f>
        <v>1515</v>
      </c>
      <c r="EK13" s="90">
        <f t="shared" ref="EK13:EN13" si="37">+EJ13*1.01</f>
        <v>1530.15</v>
      </c>
      <c r="EL13" s="90">
        <f t="shared" si="37"/>
        <v>1545.4515000000001</v>
      </c>
      <c r="EM13" s="90">
        <f t="shared" si="37"/>
        <v>1560.9060150000003</v>
      </c>
      <c r="EN13" s="90">
        <f t="shared" si="37"/>
        <v>1576.5150751500003</v>
      </c>
    </row>
    <row r="14" spans="1:144" s="39" customFormat="1" ht="12.75" customHeight="1">
      <c r="B14" s="44" t="s">
        <v>616</v>
      </c>
      <c r="C14" s="40"/>
      <c r="D14" s="40"/>
      <c r="E14" s="40"/>
      <c r="F14" s="40"/>
      <c r="G14" s="40"/>
      <c r="H14" s="40"/>
      <c r="I14" s="92"/>
      <c r="J14" s="92"/>
      <c r="K14" s="92"/>
      <c r="L14" s="92"/>
      <c r="M14" s="92"/>
      <c r="N14" s="92"/>
      <c r="O14" s="92">
        <v>117</v>
      </c>
      <c r="P14" s="92">
        <v>135</v>
      </c>
      <c r="Q14" s="92">
        <v>167</v>
      </c>
      <c r="R14" s="92">
        <v>135</v>
      </c>
      <c r="S14" s="92">
        <v>133</v>
      </c>
      <c r="T14" s="92">
        <v>144</v>
      </c>
      <c r="U14" s="92">
        <v>186</v>
      </c>
      <c r="V14" s="92">
        <v>134</v>
      </c>
      <c r="W14" s="92">
        <v>161</v>
      </c>
      <c r="X14" s="92">
        <f>223-X10-X19-X48</f>
        <v>181</v>
      </c>
      <c r="Y14" s="92">
        <f>390-Y10-Y19-Y48</f>
        <v>248</v>
      </c>
      <c r="Z14" s="92">
        <f>482-Z10-Z19-Z48</f>
        <v>231</v>
      </c>
      <c r="AA14" s="92">
        <v>246</v>
      </c>
      <c r="AB14" s="92">
        <v>344</v>
      </c>
      <c r="AC14" s="91">
        <v>428</v>
      </c>
      <c r="AD14" s="92">
        <f>AC14</f>
        <v>428</v>
      </c>
      <c r="AE14" s="92">
        <v>226</v>
      </c>
      <c r="AF14" s="92">
        <v>318</v>
      </c>
      <c r="AG14" s="92">
        <v>430</v>
      </c>
      <c r="AH14" s="92">
        <f>AG14</f>
        <v>430</v>
      </c>
      <c r="AI14" s="127">
        <v>252</v>
      </c>
      <c r="AJ14" s="92">
        <v>322</v>
      </c>
      <c r="AK14" s="92">
        <v>462</v>
      </c>
      <c r="AL14" s="92">
        <v>333</v>
      </c>
      <c r="AM14" s="92">
        <v>319</v>
      </c>
      <c r="AN14" s="92">
        <v>340</v>
      </c>
      <c r="AO14" s="92">
        <v>434</v>
      </c>
      <c r="AP14" s="92">
        <v>285</v>
      </c>
      <c r="AQ14" s="92">
        <v>244</v>
      </c>
      <c r="AR14" s="92">
        <v>291</v>
      </c>
      <c r="AS14" s="92">
        <v>391</v>
      </c>
      <c r="AT14" s="92">
        <v>276</v>
      </c>
      <c r="AU14" s="92">
        <v>255</v>
      </c>
      <c r="AV14" s="92">
        <v>316</v>
      </c>
      <c r="AW14" s="92">
        <v>396</v>
      </c>
      <c r="AX14" s="92">
        <v>306</v>
      </c>
      <c r="AY14" s="92">
        <v>272</v>
      </c>
      <c r="AZ14" s="92">
        <v>339</v>
      </c>
      <c r="BA14" s="92">
        <v>421</v>
      </c>
      <c r="BB14" s="92">
        <v>273</v>
      </c>
      <c r="BC14" s="92">
        <v>280</v>
      </c>
      <c r="BD14" s="92">
        <v>326</v>
      </c>
      <c r="BE14" s="92">
        <v>421</v>
      </c>
      <c r="BF14" s="92">
        <v>366</v>
      </c>
      <c r="BG14" s="92">
        <v>348</v>
      </c>
      <c r="BH14" s="92">
        <v>358</v>
      </c>
      <c r="BI14" s="92">
        <v>390</v>
      </c>
      <c r="BJ14" s="92">
        <v>409</v>
      </c>
      <c r="BK14" s="92">
        <v>357</v>
      </c>
      <c r="BL14" s="92">
        <v>383</v>
      </c>
      <c r="BM14" s="92">
        <v>496</v>
      </c>
      <c r="BN14" s="92">
        <v>405</v>
      </c>
      <c r="BO14" s="92">
        <v>355</v>
      </c>
      <c r="BP14" s="92">
        <v>399</v>
      </c>
      <c r="BQ14" s="92">
        <v>519</v>
      </c>
      <c r="BR14" s="92">
        <v>403</v>
      </c>
      <c r="BS14" s="92">
        <v>392</v>
      </c>
      <c r="BT14" s="92">
        <v>426</v>
      </c>
      <c r="BU14" s="92">
        <v>525</v>
      </c>
      <c r="BV14" s="92">
        <v>455</v>
      </c>
      <c r="BW14" s="92">
        <v>496</v>
      </c>
      <c r="BX14" s="92">
        <v>675</v>
      </c>
      <c r="BY14" s="92">
        <v>623</v>
      </c>
      <c r="BZ14" s="92">
        <v>481</v>
      </c>
      <c r="CA14" s="92">
        <v>435</v>
      </c>
      <c r="CB14" s="92">
        <v>378</v>
      </c>
      <c r="CC14" s="92">
        <v>576</v>
      </c>
      <c r="CD14" s="92">
        <v>488</v>
      </c>
      <c r="CE14" s="92">
        <v>449</v>
      </c>
      <c r="CF14" s="92">
        <v>516</v>
      </c>
      <c r="CG14" s="92">
        <v>661</v>
      </c>
      <c r="CH14" s="92">
        <v>509</v>
      </c>
      <c r="CI14" s="92">
        <v>470</v>
      </c>
      <c r="CJ14" s="92">
        <v>578</v>
      </c>
      <c r="CK14" s="92">
        <v>668</v>
      </c>
      <c r="CL14" s="92">
        <v>526</v>
      </c>
      <c r="CM14" s="92">
        <v>528</v>
      </c>
      <c r="CN14" s="92">
        <v>582</v>
      </c>
      <c r="CO14" s="92">
        <v>713</v>
      </c>
      <c r="CP14" s="92">
        <v>545</v>
      </c>
      <c r="CQ14" s="92">
        <v>570</v>
      </c>
      <c r="CR14" s="92">
        <v>617</v>
      </c>
      <c r="CS14" s="92">
        <v>703</v>
      </c>
      <c r="CT14" s="92">
        <v>594</v>
      </c>
      <c r="CU14" s="92">
        <v>539</v>
      </c>
      <c r="CV14" s="92">
        <v>609</v>
      </c>
      <c r="CW14" s="92">
        <v>684</v>
      </c>
      <c r="CX14" s="92">
        <v>619</v>
      </c>
      <c r="CY14" s="92">
        <v>538</v>
      </c>
      <c r="CZ14" s="92">
        <v>592</v>
      </c>
      <c r="DA14" s="92">
        <f t="shared" ref="DA14:DA16" si="38">+CW14</f>
        <v>684</v>
      </c>
      <c r="DB14" s="92">
        <f t="shared" ref="DB14:DB16" si="39">+CX14</f>
        <v>619</v>
      </c>
      <c r="DC14" s="92"/>
      <c r="DD14" s="92"/>
      <c r="DE14" s="46"/>
      <c r="DF14" s="40" t="s">
        <v>440</v>
      </c>
      <c r="DG14" s="92" t="s">
        <v>440</v>
      </c>
      <c r="DH14" s="92">
        <v>534</v>
      </c>
      <c r="DI14" s="92">
        <f>SUM(O14:R14)</f>
        <v>554</v>
      </c>
      <c r="DJ14" s="92">
        <f>SUM(S14:V14)</f>
        <v>597</v>
      </c>
      <c r="DK14" s="92">
        <f>SUM(W14:Z14)</f>
        <v>821</v>
      </c>
      <c r="DL14" s="92">
        <f>SUM(AA14:AD14)</f>
        <v>1446</v>
      </c>
      <c r="DM14" s="92">
        <f>SUM(AE14:AH14)</f>
        <v>1404</v>
      </c>
      <c r="DN14" s="92">
        <f>SUM(AI14:AL14)</f>
        <v>1369</v>
      </c>
      <c r="DO14" s="92">
        <f>SUM(AM14:AP14)</f>
        <v>1378</v>
      </c>
      <c r="DP14" s="92">
        <f t="shared" si="21"/>
        <v>1202</v>
      </c>
      <c r="DQ14" s="92">
        <f t="shared" si="22"/>
        <v>1273</v>
      </c>
      <c r="DR14" s="92">
        <f t="shared" si="23"/>
        <v>1305</v>
      </c>
      <c r="DS14" s="92">
        <f t="shared" si="24"/>
        <v>1393</v>
      </c>
      <c r="DT14" s="92">
        <f t="shared" si="25"/>
        <v>1505</v>
      </c>
      <c r="DU14" s="92">
        <f t="shared" si="26"/>
        <v>1641</v>
      </c>
      <c r="DV14" s="92">
        <f t="shared" si="12"/>
        <v>1676</v>
      </c>
      <c r="DW14" s="92">
        <f t="shared" si="13"/>
        <v>1798</v>
      </c>
      <c r="DX14" s="92">
        <f t="shared" si="30"/>
        <v>2275</v>
      </c>
      <c r="DY14" s="92">
        <f t="shared" si="31"/>
        <v>1877</v>
      </c>
      <c r="DZ14" s="92">
        <f t="shared" si="32"/>
        <v>2135</v>
      </c>
      <c r="EA14" s="92">
        <f t="shared" si="33"/>
        <v>2242</v>
      </c>
      <c r="EB14" s="92">
        <f t="shared" si="9"/>
        <v>2368</v>
      </c>
      <c r="EC14" s="92">
        <f t="shared" si="10"/>
        <v>2484</v>
      </c>
      <c r="ED14" s="92">
        <f t="shared" si="16"/>
        <v>2451</v>
      </c>
      <c r="EE14" s="92">
        <f t="shared" ref="EE14" si="40">ED14*0.99</f>
        <v>2426.4899999999998</v>
      </c>
      <c r="EF14" s="92">
        <f t="shared" ref="EF14" si="41">EE14*0.99</f>
        <v>2402.2250999999997</v>
      </c>
      <c r="EG14" s="92">
        <f t="shared" ref="EG14" si="42">EF14*0.99</f>
        <v>2378.2028489999998</v>
      </c>
      <c r="EH14" s="92">
        <f t="shared" ref="EH14" si="43">EG14*0.99</f>
        <v>2354.4208205099999</v>
      </c>
      <c r="EI14" s="92">
        <f t="shared" ref="EI14" si="44">EH14*0.99</f>
        <v>2330.8766123048999</v>
      </c>
      <c r="EJ14" s="92">
        <f t="shared" ref="EJ14" si="45">EI14*0.99</f>
        <v>2307.5678461818511</v>
      </c>
      <c r="EK14" s="92">
        <f t="shared" ref="EK14" si="46">EJ14*0.99</f>
        <v>2284.4921677200327</v>
      </c>
      <c r="EL14" s="92">
        <f t="shared" ref="EL14" si="47">EK14*0.99</f>
        <v>2261.6472460428322</v>
      </c>
      <c r="EM14" s="92">
        <f t="shared" ref="EM14" si="48">EL14*0.99</f>
        <v>2239.030773582404</v>
      </c>
      <c r="EN14" s="92">
        <f t="shared" ref="EN14" si="49">EM14*0.99</f>
        <v>2216.6404658465799</v>
      </c>
    </row>
    <row r="15" spans="1:144" s="8" customFormat="1" ht="12.75" customHeight="1">
      <c r="B15" s="45" t="s">
        <v>675</v>
      </c>
      <c r="C15" s="9"/>
      <c r="D15" s="9"/>
      <c r="E15" s="9"/>
      <c r="F15" s="9"/>
      <c r="G15" s="7"/>
      <c r="H15" s="7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4"/>
      <c r="AJ15" s="92"/>
      <c r="AK15" s="92"/>
      <c r="AL15" s="92"/>
      <c r="AM15" s="92"/>
      <c r="AN15" s="92"/>
      <c r="AO15" s="92"/>
      <c r="AP15" s="92"/>
      <c r="AQ15" s="92">
        <v>41</v>
      </c>
      <c r="AR15" s="92">
        <v>47</v>
      </c>
      <c r="AS15" s="92">
        <v>52</v>
      </c>
      <c r="AT15" s="92">
        <v>60</v>
      </c>
      <c r="AU15" s="92">
        <v>58</v>
      </c>
      <c r="AV15" s="92">
        <v>60</v>
      </c>
      <c r="AW15" s="92">
        <v>68</v>
      </c>
      <c r="AX15" s="92">
        <v>75</v>
      </c>
      <c r="AY15" s="92">
        <v>63</v>
      </c>
      <c r="AZ15" s="92">
        <v>69</v>
      </c>
      <c r="BA15" s="92">
        <v>75</v>
      </c>
      <c r="BB15" s="92">
        <v>82</v>
      </c>
      <c r="BC15" s="92">
        <v>73</v>
      </c>
      <c r="BD15" s="92">
        <v>82</v>
      </c>
      <c r="BE15" s="92">
        <v>90</v>
      </c>
      <c r="BF15" s="92">
        <v>95</v>
      </c>
      <c r="BG15" s="92">
        <v>85</v>
      </c>
      <c r="BH15" s="92">
        <v>87</v>
      </c>
      <c r="BI15" s="92">
        <v>89</v>
      </c>
      <c r="BJ15" s="92">
        <v>92</v>
      </c>
      <c r="BK15" s="92">
        <v>90</v>
      </c>
      <c r="BL15" s="92">
        <v>113</v>
      </c>
      <c r="BM15" s="92">
        <v>139</v>
      </c>
      <c r="BN15" s="92">
        <v>139</v>
      </c>
      <c r="BO15" s="92">
        <v>148</v>
      </c>
      <c r="BP15" s="92">
        <v>163</v>
      </c>
      <c r="BQ15" s="92">
        <v>185</v>
      </c>
      <c r="BR15" s="92">
        <v>209</v>
      </c>
      <c r="BS15" s="92">
        <v>204</v>
      </c>
      <c r="BT15" s="92">
        <v>240</v>
      </c>
      <c r="BU15" s="92">
        <v>217</v>
      </c>
      <c r="BV15" s="92">
        <v>256</v>
      </c>
      <c r="BW15" s="92">
        <v>255</v>
      </c>
      <c r="BX15" s="92">
        <v>278</v>
      </c>
      <c r="BY15" s="92">
        <v>284</v>
      </c>
      <c r="BZ15" s="92">
        <v>313</v>
      </c>
      <c r="CA15" s="92">
        <v>299</v>
      </c>
      <c r="CB15" s="92">
        <v>224</v>
      </c>
      <c r="CC15" s="92">
        <v>320</v>
      </c>
      <c r="CD15" s="92">
        <v>355</v>
      </c>
      <c r="CE15" s="92">
        <v>340</v>
      </c>
      <c r="CF15" s="92">
        <v>387</v>
      </c>
      <c r="CG15" s="92">
        <v>369</v>
      </c>
      <c r="CH15" s="92">
        <v>436</v>
      </c>
      <c r="CI15" s="92">
        <v>395</v>
      </c>
      <c r="CJ15" s="92">
        <v>426</v>
      </c>
      <c r="CK15" s="92">
        <v>423</v>
      </c>
      <c r="CL15" s="92">
        <v>441</v>
      </c>
      <c r="CM15" s="92">
        <v>487</v>
      </c>
      <c r="CN15" s="92">
        <v>502</v>
      </c>
      <c r="CO15" s="92">
        <v>424</v>
      </c>
      <c r="CP15" s="92">
        <v>429</v>
      </c>
      <c r="CQ15" s="92">
        <v>440</v>
      </c>
      <c r="CR15" s="92">
        <v>455</v>
      </c>
      <c r="CS15" s="92">
        <v>420</v>
      </c>
      <c r="CT15" s="92">
        <v>449</v>
      </c>
      <c r="CU15" s="92">
        <v>441</v>
      </c>
      <c r="CV15" s="92">
        <v>461</v>
      </c>
      <c r="CW15" s="92">
        <v>439</v>
      </c>
      <c r="CX15" s="92">
        <v>499</v>
      </c>
      <c r="CY15" s="92">
        <v>472</v>
      </c>
      <c r="CZ15" s="92">
        <v>497</v>
      </c>
      <c r="DA15" s="92">
        <f>+CW15+5</f>
        <v>444</v>
      </c>
      <c r="DB15" s="92">
        <f>+CX15+5</f>
        <v>504</v>
      </c>
      <c r="DC15" s="92"/>
      <c r="DD15" s="92"/>
      <c r="DE15" s="47"/>
      <c r="DF15" s="9"/>
      <c r="DG15" s="92"/>
      <c r="DH15" s="92"/>
      <c r="DI15" s="92"/>
      <c r="DJ15" s="92"/>
      <c r="DK15" s="92"/>
      <c r="DL15" s="92"/>
      <c r="DM15" s="92"/>
      <c r="DN15" s="92"/>
      <c r="DO15" s="92"/>
      <c r="DP15" s="92">
        <f t="shared" si="21"/>
        <v>200</v>
      </c>
      <c r="DQ15" s="92">
        <f t="shared" si="22"/>
        <v>261</v>
      </c>
      <c r="DR15" s="92">
        <f t="shared" si="23"/>
        <v>289</v>
      </c>
      <c r="DS15" s="92">
        <f t="shared" si="24"/>
        <v>340</v>
      </c>
      <c r="DT15" s="92">
        <f t="shared" si="25"/>
        <v>353</v>
      </c>
      <c r="DU15" s="92">
        <f t="shared" si="26"/>
        <v>481</v>
      </c>
      <c r="DV15" s="92">
        <f t="shared" si="12"/>
        <v>705</v>
      </c>
      <c r="DW15" s="92">
        <f t="shared" si="13"/>
        <v>917</v>
      </c>
      <c r="DX15" s="92">
        <f t="shared" si="30"/>
        <v>1130</v>
      </c>
      <c r="DY15" s="92">
        <f t="shared" si="31"/>
        <v>1198</v>
      </c>
      <c r="DZ15" s="92">
        <f t="shared" si="32"/>
        <v>1532</v>
      </c>
      <c r="EA15" s="92">
        <f t="shared" si="33"/>
        <v>1685</v>
      </c>
      <c r="EB15" s="92">
        <f t="shared" si="9"/>
        <v>1842</v>
      </c>
      <c r="EC15" s="92">
        <f>EB15*1.02</f>
        <v>1878.8400000000001</v>
      </c>
      <c r="ED15" s="92">
        <f t="shared" si="16"/>
        <v>1840</v>
      </c>
      <c r="EE15" s="92">
        <f>ED15*0.5</f>
        <v>920</v>
      </c>
      <c r="EF15" s="92">
        <f>EE15*0.5</f>
        <v>460</v>
      </c>
      <c r="EG15" s="92">
        <f t="shared" ref="EG15:EN15" si="50">EF15*0.5</f>
        <v>230</v>
      </c>
      <c r="EH15" s="92">
        <f t="shared" si="50"/>
        <v>115</v>
      </c>
      <c r="EI15" s="92">
        <f t="shared" si="50"/>
        <v>57.5</v>
      </c>
      <c r="EJ15" s="92">
        <f t="shared" si="50"/>
        <v>28.75</v>
      </c>
      <c r="EK15" s="92">
        <f t="shared" si="50"/>
        <v>14.375</v>
      </c>
      <c r="EL15" s="92">
        <f t="shared" si="50"/>
        <v>7.1875</v>
      </c>
      <c r="EM15" s="92">
        <f t="shared" si="50"/>
        <v>3.59375</v>
      </c>
      <c r="EN15" s="92">
        <f t="shared" si="50"/>
        <v>1.796875</v>
      </c>
    </row>
    <row r="16" spans="1:144" s="39" customFormat="1" ht="12.75" customHeight="1">
      <c r="B16" s="44" t="s">
        <v>564</v>
      </c>
      <c r="C16" s="40"/>
      <c r="D16" s="40"/>
      <c r="E16" s="40"/>
      <c r="F16" s="40"/>
      <c r="G16" s="40"/>
      <c r="H16" s="40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 t="s">
        <v>440</v>
      </c>
      <c r="AB16" s="92" t="s">
        <v>440</v>
      </c>
      <c r="AC16" s="92" t="s">
        <v>440</v>
      </c>
      <c r="AD16" s="92" t="s">
        <v>440</v>
      </c>
      <c r="AE16" s="92">
        <v>47</v>
      </c>
      <c r="AF16" s="92">
        <v>77</v>
      </c>
      <c r="AG16" s="92">
        <v>107</v>
      </c>
      <c r="AH16" s="92">
        <f>AG16+10</f>
        <v>117</v>
      </c>
      <c r="AI16" s="127">
        <v>148</v>
      </c>
      <c r="AJ16" s="92">
        <v>172</v>
      </c>
      <c r="AK16" s="92">
        <v>197</v>
      </c>
      <c r="AL16" s="92">
        <v>234</v>
      </c>
      <c r="AM16" s="92">
        <v>232</v>
      </c>
      <c r="AN16" s="92">
        <v>267</v>
      </c>
      <c r="AO16" s="92">
        <v>278</v>
      </c>
      <c r="AP16" s="92">
        <v>313</v>
      </c>
      <c r="AQ16" s="92">
        <v>292</v>
      </c>
      <c r="AR16" s="92">
        <v>337</v>
      </c>
      <c r="AS16" s="92">
        <v>343</v>
      </c>
      <c r="AT16" s="92">
        <v>387</v>
      </c>
      <c r="AU16" s="92">
        <v>337</v>
      </c>
      <c r="AV16" s="92">
        <v>398</v>
      </c>
      <c r="AW16" s="92">
        <v>399</v>
      </c>
      <c r="AX16" s="92">
        <v>381</v>
      </c>
      <c r="AY16" s="92">
        <v>362</v>
      </c>
      <c r="AZ16" s="92">
        <v>412</v>
      </c>
      <c r="BA16" s="92">
        <v>427</v>
      </c>
      <c r="BB16" s="92">
        <v>442</v>
      </c>
      <c r="BC16" s="92">
        <v>390</v>
      </c>
      <c r="BD16" s="92">
        <v>453</v>
      </c>
      <c r="BE16" s="92">
        <v>412</v>
      </c>
      <c r="BF16" s="92">
        <v>418</v>
      </c>
      <c r="BG16" s="92">
        <v>385</v>
      </c>
      <c r="BH16" s="92">
        <v>375</v>
      </c>
      <c r="BI16" s="92">
        <v>377</v>
      </c>
      <c r="BJ16" s="92">
        <v>374</v>
      </c>
      <c r="BK16" s="92">
        <v>340</v>
      </c>
      <c r="BL16" s="92">
        <v>338</v>
      </c>
      <c r="BM16" s="92">
        <v>372</v>
      </c>
      <c r="BN16" s="92">
        <v>337</v>
      </c>
      <c r="BO16" s="92">
        <v>305</v>
      </c>
      <c r="BP16" s="92">
        <v>282</v>
      </c>
      <c r="BQ16" s="92">
        <v>310</v>
      </c>
      <c r="BR16" s="92">
        <v>308</v>
      </c>
      <c r="BS16" s="92">
        <v>281</v>
      </c>
      <c r="BT16" s="92">
        <v>305</v>
      </c>
      <c r="BU16" s="92">
        <v>275</v>
      </c>
      <c r="BV16" s="92">
        <v>280</v>
      </c>
      <c r="BW16" s="92">
        <v>255</v>
      </c>
      <c r="BX16" s="92">
        <v>247</v>
      </c>
      <c r="BY16" s="92">
        <v>250</v>
      </c>
      <c r="BZ16" s="92">
        <v>223</v>
      </c>
      <c r="CA16" s="92">
        <v>245</v>
      </c>
      <c r="CB16" s="92">
        <v>196</v>
      </c>
      <c r="CC16" s="92">
        <v>205</v>
      </c>
      <c r="CD16" s="92">
        <v>211</v>
      </c>
      <c r="CE16" s="92">
        <v>209</v>
      </c>
      <c r="CF16" s="92">
        <v>192</v>
      </c>
      <c r="CG16" s="92">
        <v>189</v>
      </c>
      <c r="CH16" s="92">
        <v>178</v>
      </c>
      <c r="CI16" s="92">
        <v>158</v>
      </c>
      <c r="CJ16" s="92">
        <v>147</v>
      </c>
      <c r="CK16" s="92">
        <v>161</v>
      </c>
      <c r="CL16" s="92">
        <v>167</v>
      </c>
      <c r="CM16" s="92">
        <v>123</v>
      </c>
      <c r="CN16" s="92">
        <v>136</v>
      </c>
      <c r="CO16" s="92">
        <v>119</v>
      </c>
      <c r="CP16" s="92">
        <v>105</v>
      </c>
      <c r="CQ16" s="92">
        <v>111</v>
      </c>
      <c r="CR16" s="92">
        <v>89</v>
      </c>
      <c r="CS16" s="92">
        <v>102</v>
      </c>
      <c r="CT16" s="92">
        <v>92</v>
      </c>
      <c r="CU16" s="92">
        <v>90</v>
      </c>
      <c r="CV16" s="92">
        <v>86</v>
      </c>
      <c r="CW16" s="92">
        <v>82</v>
      </c>
      <c r="CX16" s="92">
        <v>67</v>
      </c>
      <c r="CY16" s="92">
        <v>59</v>
      </c>
      <c r="CZ16" s="92">
        <v>60</v>
      </c>
      <c r="DA16" s="92">
        <f t="shared" si="38"/>
        <v>82</v>
      </c>
      <c r="DB16" s="92">
        <f t="shared" si="39"/>
        <v>67</v>
      </c>
      <c r="DC16" s="92"/>
      <c r="DD16" s="92"/>
      <c r="DE16" s="46"/>
      <c r="DF16" s="40" t="s">
        <v>440</v>
      </c>
      <c r="DG16" s="92" t="s">
        <v>440</v>
      </c>
      <c r="DH16" s="92" t="s">
        <v>440</v>
      </c>
      <c r="DI16" s="92" t="s">
        <v>440</v>
      </c>
      <c r="DJ16" s="92" t="s">
        <v>440</v>
      </c>
      <c r="DK16" s="92" t="s">
        <v>440</v>
      </c>
      <c r="DL16" s="92" t="s">
        <v>440</v>
      </c>
      <c r="DM16" s="92">
        <f>SUM(AE16:AH16)</f>
        <v>348</v>
      </c>
      <c r="DN16" s="92">
        <f>SUM(AI16:AL16)</f>
        <v>751</v>
      </c>
      <c r="DO16" s="92">
        <f t="shared" si="29"/>
        <v>1090</v>
      </c>
      <c r="DP16" s="92">
        <f t="shared" si="21"/>
        <v>1359</v>
      </c>
      <c r="DQ16" s="92">
        <f t="shared" si="22"/>
        <v>1515</v>
      </c>
      <c r="DR16" s="92">
        <f t="shared" si="23"/>
        <v>1643</v>
      </c>
      <c r="DS16" s="92">
        <f t="shared" si="24"/>
        <v>1673</v>
      </c>
      <c r="DT16" s="92">
        <f t="shared" si="25"/>
        <v>1511</v>
      </c>
      <c r="DU16" s="92">
        <f t="shared" si="26"/>
        <v>1387</v>
      </c>
      <c r="DV16" s="92">
        <f t="shared" si="12"/>
        <v>1205</v>
      </c>
      <c r="DW16" s="92">
        <f t="shared" si="13"/>
        <v>1141</v>
      </c>
      <c r="DX16" s="92">
        <f t="shared" si="30"/>
        <v>975</v>
      </c>
      <c r="DY16" s="92">
        <f t="shared" si="31"/>
        <v>857</v>
      </c>
      <c r="DZ16" s="92">
        <f t="shared" si="32"/>
        <v>768</v>
      </c>
      <c r="EA16" s="92">
        <f t="shared" si="33"/>
        <v>633</v>
      </c>
      <c r="EB16" s="92">
        <f t="shared" si="9"/>
        <v>483</v>
      </c>
      <c r="EC16" s="92">
        <f t="shared" ref="EC16:EE16" si="51">+EB16*0.5</f>
        <v>241.5</v>
      </c>
      <c r="ED16" s="92">
        <f t="shared" si="16"/>
        <v>325</v>
      </c>
      <c r="EE16" s="92">
        <f t="shared" si="51"/>
        <v>162.5</v>
      </c>
      <c r="EF16" s="92">
        <f t="shared" ref="EF16" si="52">+EE16*0.5</f>
        <v>81.25</v>
      </c>
      <c r="EG16" s="92">
        <f t="shared" ref="EG16" si="53">+EF16*0.5</f>
        <v>40.625</v>
      </c>
      <c r="EH16" s="92">
        <f t="shared" ref="EH16" si="54">+EG16*0.5</f>
        <v>20.3125</v>
      </c>
      <c r="EI16" s="92">
        <f t="shared" ref="EI16" si="55">+EH16*0.5</f>
        <v>10.15625</v>
      </c>
      <c r="EJ16" s="92">
        <f t="shared" ref="EJ16" si="56">+EI16*0.5</f>
        <v>5.078125</v>
      </c>
      <c r="EK16" s="92">
        <f t="shared" ref="EK16" si="57">+EJ16*0.5</f>
        <v>2.5390625</v>
      </c>
      <c r="EL16" s="92">
        <f t="shared" ref="EL16" si="58">+EK16*0.5</f>
        <v>1.26953125</v>
      </c>
      <c r="EM16" s="92">
        <f t="shared" ref="EM16" si="59">+EL16*0.5</f>
        <v>0.634765625</v>
      </c>
      <c r="EN16" s="92">
        <f t="shared" ref="EN16" si="60">+EM16*0.5</f>
        <v>0.3173828125</v>
      </c>
    </row>
    <row r="17" spans="2:144" s="39" customFormat="1" ht="12.75" customHeight="1">
      <c r="B17" s="44" t="s">
        <v>747</v>
      </c>
      <c r="C17" s="40"/>
      <c r="D17" s="40"/>
      <c r="E17" s="40"/>
      <c r="F17" s="40"/>
      <c r="G17" s="40"/>
      <c r="H17" s="40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>
        <v>42</v>
      </c>
      <c r="BP17" s="92">
        <v>52</v>
      </c>
      <c r="BQ17" s="92">
        <v>56</v>
      </c>
      <c r="BR17" s="92">
        <v>60</v>
      </c>
      <c r="BS17" s="92">
        <v>54</v>
      </c>
      <c r="BT17" s="92">
        <v>71</v>
      </c>
      <c r="BU17" s="92">
        <v>66</v>
      </c>
      <c r="BV17" s="92">
        <v>69</v>
      </c>
      <c r="BW17" s="92">
        <v>67</v>
      </c>
      <c r="BX17" s="92">
        <v>76</v>
      </c>
      <c r="BY17" s="92">
        <v>80</v>
      </c>
      <c r="BZ17" s="92">
        <v>83</v>
      </c>
      <c r="CA17" s="92">
        <v>79</v>
      </c>
      <c r="CB17" s="92">
        <v>84</v>
      </c>
      <c r="CC17" s="92">
        <v>81</v>
      </c>
      <c r="CD17" s="92">
        <v>83</v>
      </c>
      <c r="CE17" s="92">
        <v>79</v>
      </c>
      <c r="CF17" s="92">
        <v>78</v>
      </c>
      <c r="CG17" s="92">
        <v>81</v>
      </c>
      <c r="CH17" s="92">
        <v>80</v>
      </c>
      <c r="CI17" s="92">
        <v>69</v>
      </c>
      <c r="CJ17" s="92">
        <v>69</v>
      </c>
      <c r="CK17" s="92">
        <v>62</v>
      </c>
      <c r="CL17" s="92">
        <v>59</v>
      </c>
      <c r="CM17" s="92">
        <v>56</v>
      </c>
      <c r="CN17" s="92">
        <v>63</v>
      </c>
      <c r="CO17" s="92">
        <v>58</v>
      </c>
      <c r="CP17" s="92">
        <v>54</v>
      </c>
      <c r="CQ17" s="92">
        <v>46</v>
      </c>
      <c r="CR17" s="92">
        <v>53</v>
      </c>
      <c r="CS17" s="92">
        <v>78</v>
      </c>
      <c r="CT17" s="92">
        <v>45</v>
      </c>
      <c r="CU17" s="92">
        <v>50</v>
      </c>
      <c r="CV17" s="92">
        <v>40</v>
      </c>
      <c r="CW17" s="92">
        <v>47</v>
      </c>
      <c r="CX17" s="92">
        <v>49</v>
      </c>
      <c r="CY17" s="92"/>
      <c r="CZ17" s="92"/>
      <c r="DA17" s="92"/>
      <c r="DB17" s="92"/>
      <c r="DC17" s="92"/>
      <c r="DD17" s="92"/>
      <c r="DE17" s="46"/>
      <c r="DF17" s="40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>
        <f t="shared" si="12"/>
        <v>210</v>
      </c>
      <c r="DW17" s="92">
        <f t="shared" si="13"/>
        <v>260</v>
      </c>
      <c r="DX17" s="92">
        <f t="shared" si="30"/>
        <v>306</v>
      </c>
      <c r="DY17" s="92">
        <f t="shared" si="31"/>
        <v>327</v>
      </c>
      <c r="DZ17" s="92">
        <f t="shared" si="32"/>
        <v>318</v>
      </c>
      <c r="EA17" s="92">
        <f t="shared" si="33"/>
        <v>259</v>
      </c>
      <c r="EB17" s="92">
        <f t="shared" si="9"/>
        <v>231</v>
      </c>
      <c r="EC17" s="92">
        <f>EB17*0.9</f>
        <v>207.9</v>
      </c>
      <c r="ED17" s="92">
        <f t="shared" si="16"/>
        <v>186</v>
      </c>
      <c r="EE17" s="92">
        <f t="shared" ref="EE17:EI17" si="61">ED17*0.9</f>
        <v>167.4</v>
      </c>
      <c r="EF17" s="92">
        <f t="shared" si="61"/>
        <v>150.66</v>
      </c>
      <c r="EG17" s="92">
        <f t="shared" si="61"/>
        <v>135.59399999999999</v>
      </c>
      <c r="EH17" s="92">
        <f t="shared" si="61"/>
        <v>122.0346</v>
      </c>
      <c r="EI17" s="92">
        <f t="shared" si="61"/>
        <v>109.83114</v>
      </c>
      <c r="EJ17" s="92">
        <f t="shared" ref="EJ17:EN17" si="62">EI17*0.9</f>
        <v>98.848026000000004</v>
      </c>
      <c r="EK17" s="92">
        <f t="shared" si="62"/>
        <v>88.963223400000004</v>
      </c>
      <c r="EL17" s="92">
        <f t="shared" si="62"/>
        <v>80.066901060000006</v>
      </c>
      <c r="EM17" s="92">
        <f t="shared" si="62"/>
        <v>72.060210954000013</v>
      </c>
      <c r="EN17" s="92">
        <f t="shared" si="62"/>
        <v>64.854189858600009</v>
      </c>
    </row>
    <row r="18" spans="2:144" s="39" customFormat="1" ht="12.75" customHeight="1">
      <c r="B18" s="44" t="s">
        <v>932</v>
      </c>
      <c r="C18" s="40"/>
      <c r="D18" s="40"/>
      <c r="E18" s="40"/>
      <c r="F18" s="40"/>
      <c r="G18" s="40"/>
      <c r="H18" s="40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>
        <v>5</v>
      </c>
      <c r="CJ18" s="92">
        <v>12</v>
      </c>
      <c r="CK18" s="92">
        <v>16</v>
      </c>
      <c r="CL18" s="92">
        <v>138</v>
      </c>
      <c r="CM18" s="92">
        <v>106</v>
      </c>
      <c r="CN18" s="92">
        <v>168</v>
      </c>
      <c r="CO18" s="92">
        <v>214</v>
      </c>
      <c r="CP18" s="92">
        <v>176</v>
      </c>
      <c r="CQ18" s="92">
        <v>219</v>
      </c>
      <c r="CR18" s="92">
        <v>189</v>
      </c>
      <c r="CS18" s="92">
        <v>239</v>
      </c>
      <c r="CT18" s="92">
        <v>161</v>
      </c>
      <c r="CU18" s="92">
        <v>230</v>
      </c>
      <c r="CV18" s="92">
        <v>229</v>
      </c>
      <c r="CW18" s="92">
        <v>226</v>
      </c>
      <c r="CX18" s="92">
        <v>140</v>
      </c>
      <c r="CY18" s="92">
        <v>202</v>
      </c>
      <c r="CZ18" s="92">
        <v>148</v>
      </c>
      <c r="DA18" s="92">
        <f t="shared" ref="DA18" si="63">+CW18</f>
        <v>226</v>
      </c>
      <c r="DB18" s="92">
        <f t="shared" ref="DB18:DB19" si="64">+CX18</f>
        <v>140</v>
      </c>
      <c r="DC18" s="92"/>
      <c r="DD18" s="92"/>
      <c r="DE18" s="46"/>
      <c r="DF18" s="40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4" t="s">
        <v>966</v>
      </c>
      <c r="EA18" s="92">
        <f t="shared" si="33"/>
        <v>171</v>
      </c>
      <c r="EB18" s="92">
        <f t="shared" si="9"/>
        <v>664</v>
      </c>
      <c r="EC18" s="92">
        <f>EB18*1.3</f>
        <v>863.2</v>
      </c>
      <c r="ED18" s="92">
        <f t="shared" si="16"/>
        <v>825</v>
      </c>
      <c r="EE18" s="92">
        <f>ED18*1.15</f>
        <v>948.74999999999989</v>
      </c>
      <c r="EF18" s="90">
        <f>EE18*1.1</f>
        <v>1043.625</v>
      </c>
      <c r="EG18" s="85">
        <f>EF18*1.03</f>
        <v>1074.9337499999999</v>
      </c>
      <c r="EH18" s="85">
        <f t="shared" ref="EH18:EN18" si="65">EG18*1.03</f>
        <v>1107.1817624999999</v>
      </c>
      <c r="EI18" s="85">
        <f t="shared" si="65"/>
        <v>1140.3972153749999</v>
      </c>
      <c r="EJ18" s="85">
        <f t="shared" si="65"/>
        <v>1174.6091318362498</v>
      </c>
      <c r="EK18" s="85">
        <f t="shared" si="65"/>
        <v>1209.8474057913375</v>
      </c>
      <c r="EL18" s="85">
        <f t="shared" si="65"/>
        <v>1246.1428279650777</v>
      </c>
      <c r="EM18" s="85">
        <f t="shared" si="65"/>
        <v>1283.5271128040301</v>
      </c>
      <c r="EN18" s="85">
        <f t="shared" si="65"/>
        <v>1322.0329261881511</v>
      </c>
    </row>
    <row r="19" spans="2:144" s="39" customFormat="1" ht="12.75" customHeight="1">
      <c r="B19" s="44" t="s">
        <v>18</v>
      </c>
      <c r="C19" s="40"/>
      <c r="D19" s="40"/>
      <c r="E19" s="40"/>
      <c r="F19" s="40"/>
      <c r="G19" s="40"/>
      <c r="H19" s="40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>
        <v>31</v>
      </c>
      <c r="Y19" s="92">
        <v>62</v>
      </c>
      <c r="Z19" s="92">
        <v>69</v>
      </c>
      <c r="AA19" s="92">
        <v>85</v>
      </c>
      <c r="AB19" s="92">
        <v>119</v>
      </c>
      <c r="AC19" s="91">
        <v>171</v>
      </c>
      <c r="AD19" s="92">
        <v>190</v>
      </c>
      <c r="AE19" s="92">
        <v>190</v>
      </c>
      <c r="AF19" s="92">
        <v>178</v>
      </c>
      <c r="AG19" s="92">
        <v>134</v>
      </c>
      <c r="AH19" s="92">
        <f>AG19+10</f>
        <v>144</v>
      </c>
      <c r="AI19" s="127">
        <v>134</v>
      </c>
      <c r="AJ19" s="92">
        <v>126</v>
      </c>
      <c r="AK19" s="92">
        <v>127</v>
      </c>
      <c r="AL19" s="92">
        <f>123+12</f>
        <v>135</v>
      </c>
      <c r="AM19" s="92">
        <v>93</v>
      </c>
      <c r="AN19" s="92">
        <v>139</v>
      </c>
      <c r="AO19" s="92">
        <v>119</v>
      </c>
      <c r="AP19" s="92">
        <v>169</v>
      </c>
      <c r="AQ19" s="92">
        <v>125</v>
      </c>
      <c r="AR19" s="92">
        <v>148</v>
      </c>
      <c r="AS19" s="92">
        <v>184</v>
      </c>
      <c r="AT19" s="92">
        <v>195</v>
      </c>
      <c r="AU19" s="92">
        <v>142</v>
      </c>
      <c r="AV19" s="92">
        <v>142</v>
      </c>
      <c r="AW19" s="92">
        <v>150</v>
      </c>
      <c r="AX19" s="92">
        <v>168</v>
      </c>
      <c r="AY19" s="92">
        <v>162</v>
      </c>
      <c r="AZ19" s="92">
        <v>144</v>
      </c>
      <c r="BA19" s="92">
        <v>201</v>
      </c>
      <c r="BB19" s="92">
        <v>129</v>
      </c>
      <c r="BC19" s="92">
        <v>169</v>
      </c>
      <c r="BD19" s="92">
        <v>147</v>
      </c>
      <c r="BE19" s="92">
        <v>174</v>
      </c>
      <c r="BF19" s="92">
        <v>169</v>
      </c>
      <c r="BG19" s="92">
        <v>192</v>
      </c>
      <c r="BH19" s="92">
        <v>89</v>
      </c>
      <c r="BI19" s="92">
        <v>160</v>
      </c>
      <c r="BJ19" s="92">
        <v>169</v>
      </c>
      <c r="BK19" s="92">
        <v>188</v>
      </c>
      <c r="BL19" s="92">
        <v>130</v>
      </c>
      <c r="BM19" s="92">
        <v>171</v>
      </c>
      <c r="BN19" s="92">
        <v>162</v>
      </c>
      <c r="BO19" s="92">
        <v>224</v>
      </c>
      <c r="BP19" s="92">
        <v>123</v>
      </c>
      <c r="BQ19" s="92">
        <v>179</v>
      </c>
      <c r="BR19" s="92">
        <v>160</v>
      </c>
      <c r="BS19" s="92">
        <v>193</v>
      </c>
      <c r="BT19" s="92">
        <v>156</v>
      </c>
      <c r="BU19" s="92">
        <v>191</v>
      </c>
      <c r="BV19" s="92">
        <v>188</v>
      </c>
      <c r="BW19" s="92">
        <v>211</v>
      </c>
      <c r="BX19" s="92">
        <v>172</v>
      </c>
      <c r="BY19" s="92">
        <v>180</v>
      </c>
      <c r="BZ19" s="92">
        <v>227</v>
      </c>
      <c r="CA19" s="92">
        <v>222</v>
      </c>
      <c r="CB19" s="92">
        <v>168</v>
      </c>
      <c r="CC19" s="92">
        <v>210</v>
      </c>
      <c r="CD19" s="92">
        <v>196</v>
      </c>
      <c r="CE19" s="92">
        <v>158</v>
      </c>
      <c r="CF19" s="92">
        <v>208</v>
      </c>
      <c r="CG19" s="92">
        <v>227</v>
      </c>
      <c r="CH19" s="92">
        <v>213</v>
      </c>
      <c r="CI19" s="92">
        <v>216</v>
      </c>
      <c r="CJ19" s="92">
        <v>173</v>
      </c>
      <c r="CK19" s="92">
        <v>256</v>
      </c>
      <c r="CL19" s="92">
        <v>139</v>
      </c>
      <c r="CM19" s="92">
        <v>297</v>
      </c>
      <c r="CN19" s="92">
        <v>131</v>
      </c>
      <c r="CO19" s="92">
        <v>156</v>
      </c>
      <c r="CP19" s="92">
        <v>185</v>
      </c>
      <c r="CQ19" s="92">
        <v>216</v>
      </c>
      <c r="CR19" s="92">
        <v>163</v>
      </c>
      <c r="CS19" s="92">
        <v>193</v>
      </c>
      <c r="CT19" s="92">
        <v>139</v>
      </c>
      <c r="CU19" s="92">
        <v>228</v>
      </c>
      <c r="CV19" s="92">
        <v>121</v>
      </c>
      <c r="CW19" s="92">
        <v>204</v>
      </c>
      <c r="CX19" s="92">
        <v>119</v>
      </c>
      <c r="CY19" s="92">
        <v>206</v>
      </c>
      <c r="CZ19" s="92">
        <v>134</v>
      </c>
      <c r="DA19" s="92">
        <f>+CW19</f>
        <v>204</v>
      </c>
      <c r="DB19" s="92">
        <f t="shared" si="64"/>
        <v>119</v>
      </c>
      <c r="DC19" s="92"/>
      <c r="DD19" s="92"/>
      <c r="DE19" s="46"/>
      <c r="DF19" s="40" t="s">
        <v>440</v>
      </c>
      <c r="DG19" s="92" t="s">
        <v>440</v>
      </c>
      <c r="DH19" s="92" t="s">
        <v>440</v>
      </c>
      <c r="DI19" s="92">
        <f>SUM(O19:R19)</f>
        <v>0</v>
      </c>
      <c r="DJ19" s="92">
        <f>SUM(S19:V19)</f>
        <v>0</v>
      </c>
      <c r="DK19" s="92">
        <f>SUM(W19:Z19)</f>
        <v>162</v>
      </c>
      <c r="DL19" s="92">
        <f>SUM(AA19:AD19)</f>
        <v>565</v>
      </c>
      <c r="DM19" s="92">
        <f>SUM(AE19:AH19)</f>
        <v>646</v>
      </c>
      <c r="DN19" s="92">
        <f>SUM(AI19:AL19)</f>
        <v>522</v>
      </c>
      <c r="DO19" s="92">
        <f t="shared" si="29"/>
        <v>520</v>
      </c>
      <c r="DP19" s="92">
        <f t="shared" ref="DP19:DP90" si="66">SUM(AQ19:AT19)</f>
        <v>652</v>
      </c>
      <c r="DQ19" s="92">
        <f t="shared" si="22"/>
        <v>602</v>
      </c>
      <c r="DR19" s="92">
        <f t="shared" si="23"/>
        <v>636</v>
      </c>
      <c r="DS19" s="92">
        <f t="shared" si="24"/>
        <v>659</v>
      </c>
      <c r="DT19" s="92">
        <f t="shared" si="25"/>
        <v>610</v>
      </c>
      <c r="DU19" s="92">
        <f t="shared" si="26"/>
        <v>651</v>
      </c>
      <c r="DV19" s="92">
        <f t="shared" si="12"/>
        <v>686</v>
      </c>
      <c r="DW19" s="92">
        <f t="shared" si="13"/>
        <v>728</v>
      </c>
      <c r="DX19" s="92">
        <f t="shared" si="30"/>
        <v>790</v>
      </c>
      <c r="DY19" s="92">
        <f t="shared" si="31"/>
        <v>796</v>
      </c>
      <c r="DZ19" s="92">
        <f t="shared" si="32"/>
        <v>806</v>
      </c>
      <c r="EA19" s="92">
        <f t="shared" si="33"/>
        <v>784</v>
      </c>
      <c r="EB19" s="92">
        <f t="shared" si="9"/>
        <v>769</v>
      </c>
      <c r="EC19" s="92">
        <f>EB19*1.02</f>
        <v>784.38</v>
      </c>
      <c r="ED19" s="92">
        <f t="shared" si="16"/>
        <v>672</v>
      </c>
      <c r="EE19" s="92">
        <f>ED19*1.02</f>
        <v>685.44</v>
      </c>
      <c r="EF19" s="92">
        <f t="shared" ref="EF19:EN19" si="67">EE19*1.02</f>
        <v>699.14880000000005</v>
      </c>
      <c r="EG19" s="92">
        <f t="shared" si="67"/>
        <v>713.13177600000006</v>
      </c>
      <c r="EH19" s="92">
        <f t="shared" si="67"/>
        <v>727.39441152000006</v>
      </c>
      <c r="EI19" s="92">
        <f t="shared" si="67"/>
        <v>741.94229975040003</v>
      </c>
      <c r="EJ19" s="92">
        <f t="shared" si="67"/>
        <v>756.78114574540803</v>
      </c>
      <c r="EK19" s="92">
        <f t="shared" si="67"/>
        <v>771.91676866031617</v>
      </c>
      <c r="EL19" s="92">
        <f t="shared" si="67"/>
        <v>787.35510403352248</v>
      </c>
      <c r="EM19" s="92">
        <f t="shared" si="67"/>
        <v>803.102206114193</v>
      </c>
      <c r="EN19" s="92">
        <f t="shared" si="67"/>
        <v>819.16425023647685</v>
      </c>
    </row>
    <row r="20" spans="2:144" s="39" customFormat="1" ht="12.75" customHeight="1">
      <c r="B20" s="44" t="s">
        <v>678</v>
      </c>
      <c r="C20" s="40"/>
      <c r="D20" s="40"/>
      <c r="E20" s="40"/>
      <c r="F20" s="40"/>
      <c r="G20" s="40"/>
      <c r="H20" s="40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1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>
        <v>54</v>
      </c>
      <c r="AR20" s="92">
        <v>75</v>
      </c>
      <c r="AS20" s="92">
        <v>74</v>
      </c>
      <c r="AT20" s="92">
        <v>61</v>
      </c>
      <c r="AU20" s="92">
        <v>74</v>
      </c>
      <c r="AV20" s="92">
        <v>76</v>
      </c>
      <c r="AW20" s="92">
        <v>86</v>
      </c>
      <c r="AX20" s="92">
        <v>95</v>
      </c>
      <c r="AY20" s="92">
        <v>108</v>
      </c>
      <c r="AZ20" s="92">
        <v>120</v>
      </c>
      <c r="BA20" s="92">
        <v>126</v>
      </c>
      <c r="BB20" s="92">
        <v>146</v>
      </c>
      <c r="BC20" s="92">
        <v>157</v>
      </c>
      <c r="BD20" s="92">
        <v>174</v>
      </c>
      <c r="BE20" s="92">
        <v>170</v>
      </c>
      <c r="BF20" s="92">
        <v>188</v>
      </c>
      <c r="BG20" s="92">
        <v>158</v>
      </c>
      <c r="BH20" s="92">
        <v>169</v>
      </c>
      <c r="BI20" s="92">
        <v>178</v>
      </c>
      <c r="BJ20" s="92">
        <v>185</v>
      </c>
      <c r="BK20" s="92">
        <v>188</v>
      </c>
      <c r="BL20" s="92">
        <v>199</v>
      </c>
      <c r="BM20" s="92">
        <v>193</v>
      </c>
      <c r="BN20" s="92">
        <v>186</v>
      </c>
      <c r="BO20" s="92">
        <v>184</v>
      </c>
      <c r="BP20" s="92">
        <v>199</v>
      </c>
      <c r="BQ20" s="92">
        <v>219</v>
      </c>
      <c r="BR20" s="92">
        <v>217</v>
      </c>
      <c r="BS20" s="92">
        <v>231</v>
      </c>
      <c r="BT20" s="92">
        <v>233</v>
      </c>
      <c r="BU20" s="92">
        <v>210</v>
      </c>
      <c r="BV20" s="92">
        <v>220</v>
      </c>
      <c r="BW20" s="92">
        <v>208</v>
      </c>
      <c r="BX20" s="92">
        <v>214</v>
      </c>
      <c r="BY20" s="92">
        <v>203</v>
      </c>
      <c r="BZ20" s="92">
        <v>205</v>
      </c>
      <c r="CA20" s="92">
        <v>215</v>
      </c>
      <c r="CB20" s="92">
        <v>191</v>
      </c>
      <c r="CC20" s="92">
        <v>209</v>
      </c>
      <c r="CD20" s="92">
        <v>223</v>
      </c>
      <c r="CE20" s="92">
        <v>214</v>
      </c>
      <c r="CF20" s="92">
        <v>202</v>
      </c>
      <c r="CG20" s="92">
        <v>203</v>
      </c>
      <c r="CH20" s="92">
        <v>206</v>
      </c>
      <c r="CI20" s="92">
        <v>186</v>
      </c>
      <c r="CJ20" s="92">
        <v>181</v>
      </c>
      <c r="CK20" s="92">
        <v>173</v>
      </c>
      <c r="CL20" s="92">
        <v>166</v>
      </c>
      <c r="CM20" s="92">
        <v>180</v>
      </c>
      <c r="CN20" s="92">
        <v>180</v>
      </c>
      <c r="CO20" s="92">
        <v>179</v>
      </c>
      <c r="CP20" s="92">
        <v>171</v>
      </c>
      <c r="CQ20" s="92">
        <v>184</v>
      </c>
      <c r="CR20" s="92">
        <v>172</v>
      </c>
      <c r="CS20" s="92">
        <v>189</v>
      </c>
      <c r="CT20" s="92">
        <v>0</v>
      </c>
      <c r="CU20" s="92">
        <v>0</v>
      </c>
      <c r="CV20" s="92">
        <v>0</v>
      </c>
      <c r="CW20" s="92"/>
      <c r="CX20" s="92"/>
      <c r="CY20" s="92"/>
      <c r="CZ20" s="92"/>
      <c r="DA20" s="92"/>
      <c r="DB20" s="92"/>
      <c r="DC20" s="92"/>
      <c r="DD20" s="92"/>
      <c r="DE20" s="46"/>
      <c r="DF20" s="40"/>
      <c r="DG20" s="91"/>
      <c r="DH20" s="92"/>
      <c r="DI20" s="92"/>
      <c r="DJ20" s="92"/>
      <c r="DK20" s="92"/>
      <c r="DL20" s="92"/>
      <c r="DM20" s="92"/>
      <c r="DN20" s="92"/>
      <c r="DO20" s="92"/>
      <c r="DP20" s="92">
        <f t="shared" si="66"/>
        <v>264</v>
      </c>
      <c r="DQ20" s="92">
        <f t="shared" si="22"/>
        <v>331</v>
      </c>
      <c r="DR20" s="92">
        <f t="shared" si="23"/>
        <v>500</v>
      </c>
      <c r="DS20" s="92">
        <f t="shared" si="24"/>
        <v>689</v>
      </c>
      <c r="DT20" s="92">
        <f t="shared" si="25"/>
        <v>690</v>
      </c>
      <c r="DU20" s="92">
        <f t="shared" si="26"/>
        <v>766</v>
      </c>
      <c r="DV20" s="92">
        <f t="shared" si="12"/>
        <v>819</v>
      </c>
      <c r="DW20" s="92">
        <f t="shared" si="13"/>
        <v>894</v>
      </c>
      <c r="DX20" s="92">
        <f t="shared" si="30"/>
        <v>830</v>
      </c>
      <c r="DY20" s="92">
        <f t="shared" si="31"/>
        <v>838</v>
      </c>
      <c r="DZ20" s="92">
        <f t="shared" si="32"/>
        <v>825</v>
      </c>
      <c r="EA20" s="92">
        <f t="shared" si="33"/>
        <v>706</v>
      </c>
      <c r="EB20" s="92">
        <f t="shared" si="9"/>
        <v>710</v>
      </c>
      <c r="EC20" s="92">
        <f>EB20*0.9</f>
        <v>639</v>
      </c>
      <c r="ED20" s="92"/>
      <c r="EE20" s="92"/>
      <c r="EF20" s="92"/>
      <c r="EG20" s="92"/>
      <c r="EH20" s="92"/>
      <c r="EI20" s="92"/>
      <c r="EJ20" s="92"/>
      <c r="EK20" s="92"/>
      <c r="EL20" s="92"/>
      <c r="EM20" s="92"/>
      <c r="EN20" s="92"/>
    </row>
    <row r="21" spans="2:144" s="39" customFormat="1" ht="12.75" customHeight="1">
      <c r="B21" s="44" t="s">
        <v>745</v>
      </c>
      <c r="C21" s="40"/>
      <c r="D21" s="40"/>
      <c r="E21" s="40"/>
      <c r="F21" s="40"/>
      <c r="G21" s="40"/>
      <c r="H21" s="40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1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>
        <v>32</v>
      </c>
      <c r="BX21" s="92">
        <v>38</v>
      </c>
      <c r="BY21" s="92">
        <v>45</v>
      </c>
      <c r="BZ21" s="92">
        <v>50</v>
      </c>
      <c r="CA21" s="92">
        <v>60</v>
      </c>
      <c r="CB21" s="92">
        <v>63</v>
      </c>
      <c r="CC21" s="92">
        <v>77</v>
      </c>
      <c r="CD21" s="92">
        <v>80</v>
      </c>
      <c r="CE21" s="92">
        <v>82</v>
      </c>
      <c r="CF21" s="92">
        <v>93</v>
      </c>
      <c r="CG21" s="92">
        <v>96</v>
      </c>
      <c r="CH21" s="92">
        <v>100</v>
      </c>
      <c r="CI21" s="92">
        <v>94</v>
      </c>
      <c r="CJ21" s="92">
        <v>103</v>
      </c>
      <c r="CK21" s="92">
        <v>114</v>
      </c>
      <c r="CL21" s="92">
        <v>118</v>
      </c>
      <c r="CM21" s="92">
        <v>129</v>
      </c>
      <c r="CN21" s="92">
        <v>143</v>
      </c>
      <c r="CO21" s="92">
        <v>157</v>
      </c>
      <c r="CP21" s="92">
        <v>175</v>
      </c>
      <c r="CQ21" s="92">
        <v>174</v>
      </c>
      <c r="CR21" s="92">
        <v>188</v>
      </c>
      <c r="CS21" s="92">
        <v>208</v>
      </c>
      <c r="CT21" s="92">
        <v>215</v>
      </c>
      <c r="CU21" s="92">
        <v>208</v>
      </c>
      <c r="CV21" s="92">
        <v>228</v>
      </c>
      <c r="CW21" s="92">
        <v>266</v>
      </c>
      <c r="CX21" s="92">
        <v>275</v>
      </c>
      <c r="CY21" s="92">
        <v>272</v>
      </c>
      <c r="CZ21" s="92">
        <v>295</v>
      </c>
      <c r="DA21" s="92">
        <f>+CZ21+15</f>
        <v>310</v>
      </c>
      <c r="DB21" s="92">
        <f>+DA21+15</f>
        <v>325</v>
      </c>
      <c r="DC21" s="92"/>
      <c r="DD21" s="92"/>
      <c r="DE21" s="46"/>
      <c r="DF21" s="40"/>
      <c r="DG21" s="91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>
        <f t="shared" si="30"/>
        <v>165</v>
      </c>
      <c r="DY21" s="92">
        <f t="shared" si="31"/>
        <v>280</v>
      </c>
      <c r="DZ21" s="92">
        <f t="shared" si="32"/>
        <v>371</v>
      </c>
      <c r="EA21" s="92">
        <f t="shared" si="33"/>
        <v>429</v>
      </c>
      <c r="EB21" s="92">
        <f t="shared" si="9"/>
        <v>604</v>
      </c>
      <c r="EC21" s="92">
        <f t="shared" ref="EC21:EN21" si="68">EB21*0.9</f>
        <v>543.6</v>
      </c>
      <c r="ED21" s="92">
        <f t="shared" si="16"/>
        <v>977</v>
      </c>
      <c r="EE21" s="92">
        <f t="shared" si="68"/>
        <v>879.30000000000007</v>
      </c>
      <c r="EF21" s="92">
        <f t="shared" si="68"/>
        <v>791.37000000000012</v>
      </c>
      <c r="EG21" s="92">
        <f t="shared" si="68"/>
        <v>712.23300000000017</v>
      </c>
      <c r="EH21" s="92">
        <f t="shared" si="68"/>
        <v>641.00970000000018</v>
      </c>
      <c r="EI21" s="92">
        <f t="shared" si="68"/>
        <v>576.90873000000022</v>
      </c>
      <c r="EJ21" s="92">
        <f t="shared" si="68"/>
        <v>519.21785700000021</v>
      </c>
      <c r="EK21" s="92">
        <f t="shared" si="68"/>
        <v>467.29607130000022</v>
      </c>
      <c r="EL21" s="92">
        <f t="shared" si="68"/>
        <v>420.56646417000019</v>
      </c>
      <c r="EM21" s="92">
        <f t="shared" si="68"/>
        <v>378.50981775300016</v>
      </c>
      <c r="EN21" s="92">
        <f t="shared" si="68"/>
        <v>340.65883597770016</v>
      </c>
    </row>
    <row r="22" spans="2:144" s="8" customFormat="1" ht="12.75" customHeight="1">
      <c r="B22" s="45" t="s">
        <v>746</v>
      </c>
      <c r="C22" s="9"/>
      <c r="D22" s="9"/>
      <c r="E22" s="9"/>
      <c r="F22" s="9"/>
      <c r="G22" s="7"/>
      <c r="H22" s="7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1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2"/>
      <c r="CC22" s="92"/>
      <c r="CD22" s="92"/>
      <c r="CE22" s="92">
        <v>27</v>
      </c>
      <c r="CF22" s="92">
        <v>34</v>
      </c>
      <c r="CG22" s="92">
        <v>54</v>
      </c>
      <c r="CH22" s="92">
        <v>60</v>
      </c>
      <c r="CI22" s="92">
        <v>52</v>
      </c>
      <c r="CJ22" s="92">
        <v>66</v>
      </c>
      <c r="CK22" s="92">
        <v>77</v>
      </c>
      <c r="CL22" s="92">
        <v>67</v>
      </c>
      <c r="CM22" s="92">
        <v>65</v>
      </c>
      <c r="CN22" s="92">
        <v>76</v>
      </c>
      <c r="CO22" s="92">
        <v>74</v>
      </c>
      <c r="CP22" s="92">
        <v>87</v>
      </c>
      <c r="CQ22" s="92">
        <v>73</v>
      </c>
      <c r="CR22" s="92">
        <v>92</v>
      </c>
      <c r="CS22" s="92">
        <v>96</v>
      </c>
      <c r="CT22" s="92">
        <v>79</v>
      </c>
      <c r="CU22" s="92">
        <v>83</v>
      </c>
      <c r="CV22" s="92">
        <v>96</v>
      </c>
      <c r="CW22" s="92">
        <v>43</v>
      </c>
      <c r="CX22" s="92">
        <v>25</v>
      </c>
      <c r="CY22" s="92">
        <v>34</v>
      </c>
      <c r="CZ22" s="92">
        <v>22</v>
      </c>
      <c r="DA22" s="92">
        <f t="shared" ref="DA22:DA23" si="69">+CW22</f>
        <v>43</v>
      </c>
      <c r="DB22" s="92">
        <f t="shared" ref="DB22:DB23" si="70">+CX22</f>
        <v>25</v>
      </c>
      <c r="DC22" s="92"/>
      <c r="DD22" s="92"/>
      <c r="DE22" s="47"/>
      <c r="DF22" s="9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92">
        <f t="shared" si="32"/>
        <v>175</v>
      </c>
      <c r="EA22" s="92">
        <f t="shared" si="33"/>
        <v>262</v>
      </c>
      <c r="EB22" s="92">
        <f t="shared" si="9"/>
        <v>302</v>
      </c>
      <c r="EC22" s="92">
        <f t="shared" ref="EC22:EI22" si="71">EB22*0.9</f>
        <v>271.8</v>
      </c>
      <c r="ED22" s="92">
        <f t="shared" si="16"/>
        <v>247</v>
      </c>
      <c r="EE22" s="92">
        <f t="shared" si="71"/>
        <v>222.3</v>
      </c>
      <c r="EF22" s="92">
        <f t="shared" si="71"/>
        <v>200.07000000000002</v>
      </c>
      <c r="EG22" s="92">
        <f t="shared" si="71"/>
        <v>180.06300000000002</v>
      </c>
      <c r="EH22" s="92">
        <f t="shared" si="71"/>
        <v>162.05670000000001</v>
      </c>
      <c r="EI22" s="92">
        <f t="shared" si="71"/>
        <v>145.85103000000001</v>
      </c>
      <c r="EJ22" s="92">
        <f t="shared" ref="EJ22:EN22" si="72">EI22*0.9</f>
        <v>131.265927</v>
      </c>
      <c r="EK22" s="92">
        <f t="shared" si="72"/>
        <v>118.1393343</v>
      </c>
      <c r="EL22" s="92">
        <f t="shared" si="72"/>
        <v>106.32540087000001</v>
      </c>
      <c r="EM22" s="92">
        <f t="shared" si="72"/>
        <v>95.692860783000015</v>
      </c>
      <c r="EN22" s="92">
        <f t="shared" si="72"/>
        <v>86.123574704700019</v>
      </c>
    </row>
    <row r="23" spans="2:144" s="8" customFormat="1" ht="12.75" customHeight="1">
      <c r="B23" s="45" t="s">
        <v>750</v>
      </c>
      <c r="C23" s="9"/>
      <c r="D23" s="9"/>
      <c r="E23" s="9"/>
      <c r="F23" s="9"/>
      <c r="G23" s="7"/>
      <c r="H23" s="7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1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>
        <v>26</v>
      </c>
      <c r="BX23" s="92">
        <v>27</v>
      </c>
      <c r="BY23" s="92">
        <v>35</v>
      </c>
      <c r="BZ23" s="92">
        <v>32</v>
      </c>
      <c r="CA23" s="92">
        <v>37</v>
      </c>
      <c r="CB23" s="92">
        <v>32</v>
      </c>
      <c r="CC23" s="92">
        <v>43</v>
      </c>
      <c r="CD23" s="92">
        <v>19</v>
      </c>
      <c r="CE23" s="92">
        <v>-8</v>
      </c>
      <c r="CF23" s="92">
        <v>-1</v>
      </c>
      <c r="CG23" s="92">
        <v>-2</v>
      </c>
      <c r="CH23" s="92">
        <v>10</v>
      </c>
      <c r="CI23" s="92">
        <v>30</v>
      </c>
      <c r="CJ23" s="92">
        <v>46</v>
      </c>
      <c r="CK23" s="92">
        <v>43</v>
      </c>
      <c r="CL23" s="92">
        <v>49</v>
      </c>
      <c r="CM23" s="92">
        <v>50</v>
      </c>
      <c r="CN23" s="92">
        <v>54</v>
      </c>
      <c r="CO23" s="92">
        <v>53</v>
      </c>
      <c r="CP23" s="92">
        <v>61</v>
      </c>
      <c r="CQ23" s="92">
        <v>56</v>
      </c>
      <c r="CR23" s="92">
        <v>62</v>
      </c>
      <c r="CS23" s="92">
        <v>64</v>
      </c>
      <c r="CT23" s="92">
        <v>70</v>
      </c>
      <c r="CU23" s="92">
        <v>70</v>
      </c>
      <c r="CV23" s="92">
        <v>74</v>
      </c>
      <c r="CW23" s="92">
        <v>81</v>
      </c>
      <c r="CX23" s="92">
        <v>87</v>
      </c>
      <c r="CY23" s="92">
        <v>82</v>
      </c>
      <c r="CZ23" s="92">
        <v>77</v>
      </c>
      <c r="DA23" s="92">
        <f t="shared" si="69"/>
        <v>81</v>
      </c>
      <c r="DB23" s="92">
        <f t="shared" si="70"/>
        <v>87</v>
      </c>
      <c r="DC23" s="92"/>
      <c r="DD23" s="92"/>
      <c r="DE23" s="47"/>
      <c r="DF23" s="9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>
        <f t="shared" si="30"/>
        <v>120</v>
      </c>
      <c r="DY23" s="92">
        <f t="shared" si="31"/>
        <v>131</v>
      </c>
      <c r="DZ23" s="92">
        <f t="shared" si="32"/>
        <v>-1</v>
      </c>
      <c r="EA23" s="92">
        <f t="shared" si="33"/>
        <v>168</v>
      </c>
      <c r="EB23" s="92">
        <f t="shared" si="9"/>
        <v>218</v>
      </c>
      <c r="EC23" s="92">
        <f>EB23*0.9</f>
        <v>196.20000000000002</v>
      </c>
      <c r="ED23" s="92">
        <f t="shared" si="16"/>
        <v>312</v>
      </c>
      <c r="EE23" s="92">
        <f t="shared" ref="EE23:EI23" si="73">ED23*0.9</f>
        <v>280.8</v>
      </c>
      <c r="EF23" s="92">
        <f t="shared" si="73"/>
        <v>252.72000000000003</v>
      </c>
      <c r="EG23" s="92">
        <f t="shared" si="73"/>
        <v>227.44800000000004</v>
      </c>
      <c r="EH23" s="92">
        <f t="shared" si="73"/>
        <v>204.70320000000004</v>
      </c>
      <c r="EI23" s="92">
        <f t="shared" si="73"/>
        <v>184.23288000000005</v>
      </c>
      <c r="EJ23" s="92">
        <f t="shared" ref="EJ23:EN23" si="74">EI23*0.9</f>
        <v>165.80959200000004</v>
      </c>
      <c r="EK23" s="92">
        <f t="shared" si="74"/>
        <v>149.22863280000004</v>
      </c>
      <c r="EL23" s="92">
        <f t="shared" si="74"/>
        <v>134.30576952000004</v>
      </c>
      <c r="EM23" s="92">
        <f t="shared" si="74"/>
        <v>120.87519256800005</v>
      </c>
      <c r="EN23" s="92">
        <f t="shared" si="74"/>
        <v>108.78767331120004</v>
      </c>
    </row>
    <row r="24" spans="2:144" s="8" customFormat="1" ht="12.75" customHeight="1">
      <c r="B24" s="45" t="s">
        <v>1063</v>
      </c>
      <c r="C24" s="9"/>
      <c r="D24" s="9"/>
      <c r="E24" s="9"/>
      <c r="F24" s="9"/>
      <c r="G24" s="7"/>
      <c r="H24" s="7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1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4" t="s">
        <v>782</v>
      </c>
      <c r="CS24" s="94" t="s">
        <v>622</v>
      </c>
      <c r="CT24" s="94" t="s">
        <v>1131</v>
      </c>
      <c r="CU24" s="92">
        <v>107</v>
      </c>
      <c r="CV24" s="92">
        <v>129</v>
      </c>
      <c r="CW24" s="92">
        <v>244</v>
      </c>
      <c r="CX24" s="92">
        <v>279</v>
      </c>
      <c r="CY24" s="92">
        <v>142</v>
      </c>
      <c r="CZ24" s="92">
        <v>184</v>
      </c>
      <c r="DA24" s="92">
        <f>+CW24</f>
        <v>244</v>
      </c>
      <c r="DB24" s="92">
        <f>+CX24</f>
        <v>279</v>
      </c>
      <c r="DC24" s="92"/>
      <c r="DD24" s="92"/>
      <c r="DE24" s="47"/>
      <c r="DF24" s="9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  <c r="EC24" s="92"/>
      <c r="ED24" s="92">
        <f t="shared" si="16"/>
        <v>759</v>
      </c>
      <c r="EE24" s="92">
        <f>+ED24*1.01</f>
        <v>766.59</v>
      </c>
      <c r="EF24" s="92">
        <f t="shared" ref="EF24:EN24" si="75">+EE24*1.01</f>
        <v>774.2559</v>
      </c>
      <c r="EG24" s="92">
        <f t="shared" si="75"/>
        <v>781.99845900000003</v>
      </c>
      <c r="EH24" s="92">
        <f t="shared" si="75"/>
        <v>789.81844359000002</v>
      </c>
      <c r="EI24" s="92">
        <f t="shared" si="75"/>
        <v>797.71662802590004</v>
      </c>
      <c r="EJ24" s="92">
        <f t="shared" si="75"/>
        <v>805.69379430615902</v>
      </c>
      <c r="EK24" s="92">
        <f t="shared" si="75"/>
        <v>813.75073224922062</v>
      </c>
      <c r="EL24" s="92">
        <f t="shared" si="75"/>
        <v>821.8882395717128</v>
      </c>
      <c r="EM24" s="92">
        <f t="shared" si="75"/>
        <v>830.10712196742998</v>
      </c>
      <c r="EN24" s="92">
        <f t="shared" si="75"/>
        <v>838.4081931871043</v>
      </c>
    </row>
    <row r="25" spans="2:144" s="8" customFormat="1" ht="12.75" customHeight="1">
      <c r="B25" s="45" t="s">
        <v>1140</v>
      </c>
      <c r="C25" s="9"/>
      <c r="D25" s="9"/>
      <c r="E25" s="9"/>
      <c r="F25" s="9"/>
      <c r="G25" s="7"/>
      <c r="H25" s="7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1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4"/>
      <c r="CS25" s="94"/>
      <c r="CT25" s="94"/>
      <c r="CU25" s="92"/>
      <c r="CV25" s="92"/>
      <c r="CW25" s="92">
        <v>79</v>
      </c>
      <c r="CX25" s="92">
        <v>21</v>
      </c>
      <c r="CY25" s="92">
        <v>1</v>
      </c>
      <c r="CZ25" s="92">
        <v>2</v>
      </c>
      <c r="DA25" s="92">
        <f>+CW25</f>
        <v>79</v>
      </c>
      <c r="DB25" s="92">
        <f>+CX25</f>
        <v>21</v>
      </c>
      <c r="DC25" s="92"/>
      <c r="DD25" s="92"/>
      <c r="DE25" s="47"/>
      <c r="DF25" s="9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</row>
    <row r="26" spans="2:144" s="39" customFormat="1" ht="12.75" customHeight="1">
      <c r="B26" s="44" t="s">
        <v>614</v>
      </c>
      <c r="C26" s="40"/>
      <c r="D26" s="40"/>
      <c r="E26" s="40"/>
      <c r="F26" s="40"/>
      <c r="G26" s="40"/>
      <c r="H26" s="40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1"/>
      <c r="AD26" s="94" t="s">
        <v>526</v>
      </c>
      <c r="AE26" s="94" t="s">
        <v>518</v>
      </c>
      <c r="AF26" s="94" t="s">
        <v>509</v>
      </c>
      <c r="AG26" s="94" t="s">
        <v>500</v>
      </c>
      <c r="AH26" s="94" t="s">
        <v>525</v>
      </c>
      <c r="AI26" s="128" t="s">
        <v>517</v>
      </c>
      <c r="AJ26" s="94" t="s">
        <v>498</v>
      </c>
      <c r="AK26" s="94" t="s">
        <v>499</v>
      </c>
      <c r="AL26" s="92">
        <v>431</v>
      </c>
      <c r="AM26" s="92">
        <v>674</v>
      </c>
      <c r="AN26" s="92">
        <v>669</v>
      </c>
      <c r="AO26" s="92">
        <v>661</v>
      </c>
      <c r="AP26" s="92">
        <v>710</v>
      </c>
      <c r="AQ26" s="92">
        <v>753</v>
      </c>
      <c r="AR26" s="92">
        <v>842</v>
      </c>
      <c r="AS26" s="92">
        <v>561</v>
      </c>
      <c r="AT26" s="92">
        <v>511</v>
      </c>
      <c r="AU26" s="92">
        <v>519</v>
      </c>
      <c r="AV26" s="92">
        <v>518</v>
      </c>
      <c r="AW26" s="92">
        <v>490</v>
      </c>
      <c r="AX26" s="92">
        <v>549</v>
      </c>
      <c r="AY26" s="92">
        <v>549</v>
      </c>
      <c r="AZ26" s="92">
        <v>527</v>
      </c>
      <c r="BA26" s="92">
        <v>574</v>
      </c>
      <c r="BB26" s="92">
        <v>620</v>
      </c>
      <c r="BC26" s="92">
        <v>604</v>
      </c>
      <c r="BD26" s="92">
        <v>607</v>
      </c>
      <c r="BE26" s="92">
        <v>604</v>
      </c>
      <c r="BF26" s="92">
        <v>557</v>
      </c>
      <c r="BG26" s="92">
        <v>501</v>
      </c>
      <c r="BH26" s="92">
        <v>455</v>
      </c>
      <c r="BI26" s="92">
        <v>442</v>
      </c>
      <c r="BJ26" s="92">
        <v>396</v>
      </c>
      <c r="BK26" s="92">
        <v>349</v>
      </c>
      <c r="BL26" s="92">
        <v>339</v>
      </c>
      <c r="BM26" s="92">
        <v>311</v>
      </c>
      <c r="BN26" s="92">
        <v>269</v>
      </c>
      <c r="BO26" s="92">
        <v>229</v>
      </c>
      <c r="BP26" s="92">
        <v>208</v>
      </c>
      <c r="BQ26" s="92">
        <v>214</v>
      </c>
      <c r="BR26" s="92">
        <v>186</v>
      </c>
      <c r="BS26" s="92">
        <v>167</v>
      </c>
      <c r="BT26" s="92">
        <v>157</v>
      </c>
      <c r="BU26" s="92">
        <v>135</v>
      </c>
      <c r="BV26" s="92">
        <v>123</v>
      </c>
      <c r="BW26" s="92">
        <v>123</v>
      </c>
      <c r="BX26" s="92">
        <v>98</v>
      </c>
      <c r="BY26" s="92">
        <v>101</v>
      </c>
      <c r="BZ26" s="92">
        <v>89</v>
      </c>
      <c r="CA26" s="92">
        <v>88</v>
      </c>
      <c r="CB26" s="92">
        <v>73</v>
      </c>
      <c r="CC26" s="92">
        <v>82</v>
      </c>
      <c r="CD26" s="92">
        <v>88</v>
      </c>
      <c r="CE26" s="92">
        <v>85</v>
      </c>
      <c r="CF26" s="92">
        <v>75</v>
      </c>
      <c r="CG26" s="92">
        <v>73</v>
      </c>
      <c r="CH26" s="92">
        <v>67</v>
      </c>
      <c r="CI26" s="92">
        <v>61</v>
      </c>
      <c r="CJ26" s="92">
        <v>53</v>
      </c>
      <c r="CK26" s="92">
        <v>49</v>
      </c>
      <c r="CL26" s="92">
        <v>44</v>
      </c>
      <c r="CM26" s="92">
        <v>51</v>
      </c>
      <c r="CN26" s="92">
        <v>48</v>
      </c>
      <c r="CO26" s="92">
        <v>45</v>
      </c>
      <c r="CP26" s="92">
        <v>43</v>
      </c>
      <c r="CQ26" s="92">
        <v>39</v>
      </c>
      <c r="CR26" s="92">
        <v>35</v>
      </c>
      <c r="CS26" s="92">
        <v>41</v>
      </c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3"/>
      <c r="DF26" s="40"/>
      <c r="DG26" s="92"/>
      <c r="DH26" s="92"/>
      <c r="DI26" s="92"/>
      <c r="DJ26" s="92"/>
      <c r="DK26" s="92"/>
      <c r="DL26" s="92"/>
      <c r="DM26" s="94" t="s">
        <v>527</v>
      </c>
      <c r="DN26" s="94" t="s">
        <v>528</v>
      </c>
      <c r="DO26" s="92">
        <f>SUM(AM26:AP26)</f>
        <v>2714</v>
      </c>
      <c r="DP26" s="92">
        <f>SUM(AQ26:AT26)</f>
        <v>2667</v>
      </c>
      <c r="DQ26" s="92">
        <f>SUM(AU26:AX26)</f>
        <v>2076</v>
      </c>
      <c r="DR26" s="92">
        <f>SUM(AY26:BB26)</f>
        <v>2270</v>
      </c>
      <c r="DS26" s="92">
        <f>SUM(BC26:BF26)</f>
        <v>2372</v>
      </c>
      <c r="DT26" s="92">
        <f>SUM(BG26:BJ26)</f>
        <v>1794</v>
      </c>
      <c r="DU26" s="92">
        <f>SUM(BK26:BN26)</f>
        <v>1268</v>
      </c>
      <c r="DV26" s="92">
        <f>SUM(BO26:BR26)</f>
        <v>837</v>
      </c>
      <c r="DW26" s="92">
        <f>SUM(BS26:BV26)</f>
        <v>582</v>
      </c>
      <c r="DX26" s="92">
        <f>SUM(BW26:BZ26)</f>
        <v>411</v>
      </c>
      <c r="DY26" s="92">
        <f>SUM(CA26:CD26)</f>
        <v>331</v>
      </c>
      <c r="DZ26" s="92">
        <f>SUM(CE26:CH26)</f>
        <v>300</v>
      </c>
      <c r="EA26" s="92">
        <f>SUM(CI26:CL26)</f>
        <v>207</v>
      </c>
      <c r="EB26" s="92">
        <f t="shared" si="9"/>
        <v>187</v>
      </c>
      <c r="EC26" s="92">
        <f t="shared" ref="EC26" si="76">EB26*0.9</f>
        <v>168.3</v>
      </c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</row>
    <row r="27" spans="2:144" s="8" customFormat="1" ht="12.75" customHeight="1">
      <c r="B27" s="45" t="s">
        <v>591</v>
      </c>
      <c r="C27" s="9"/>
      <c r="D27" s="9"/>
      <c r="E27" s="9"/>
      <c r="F27" s="9"/>
      <c r="G27" s="7"/>
      <c r="H27" s="7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1"/>
      <c r="AD27" s="92"/>
      <c r="AE27" s="92"/>
      <c r="AF27" s="92"/>
      <c r="AG27" s="92"/>
      <c r="AH27" s="92"/>
      <c r="AI27" s="128" t="s">
        <v>624</v>
      </c>
      <c r="AJ27" s="92">
        <v>47</v>
      </c>
      <c r="AK27" s="92">
        <v>130</v>
      </c>
      <c r="AL27" s="92">
        <v>128</v>
      </c>
      <c r="AM27" s="92">
        <v>51</v>
      </c>
      <c r="AN27" s="92">
        <v>59</v>
      </c>
      <c r="AO27" s="92">
        <v>110</v>
      </c>
      <c r="AP27" s="92">
        <v>156</v>
      </c>
      <c r="AQ27" s="92">
        <v>79</v>
      </c>
      <c r="AR27" s="92">
        <v>64</v>
      </c>
      <c r="AS27" s="92">
        <v>133</v>
      </c>
      <c r="AT27" s="92">
        <v>222</v>
      </c>
      <c r="AU27" s="92">
        <v>112</v>
      </c>
      <c r="AV27" s="92">
        <v>101</v>
      </c>
      <c r="AW27" s="92">
        <v>160</v>
      </c>
      <c r="AX27" s="92">
        <v>208</v>
      </c>
      <c r="AY27" s="92">
        <v>111</v>
      </c>
      <c r="AZ27" s="92">
        <v>108</v>
      </c>
      <c r="BA27" s="92">
        <v>193</v>
      </c>
      <c r="BB27" s="92">
        <v>241</v>
      </c>
      <c r="BC27" s="92">
        <v>101</v>
      </c>
      <c r="BD27" s="92">
        <v>102</v>
      </c>
      <c r="BE27" s="92">
        <v>197</v>
      </c>
      <c r="BF27" s="92">
        <v>346</v>
      </c>
      <c r="BG27" s="92">
        <v>110</v>
      </c>
      <c r="BH27" s="92">
        <v>106</v>
      </c>
      <c r="BI27" s="92">
        <v>138</v>
      </c>
      <c r="BJ27" s="92">
        <v>188</v>
      </c>
      <c r="BK27" s="92">
        <v>107</v>
      </c>
      <c r="BL27" s="92">
        <v>120</v>
      </c>
      <c r="BM27" s="92">
        <v>175</v>
      </c>
      <c r="BN27" s="92">
        <v>238</v>
      </c>
      <c r="BO27" s="92">
        <v>163</v>
      </c>
      <c r="BP27" s="92">
        <v>166</v>
      </c>
      <c r="BQ27" s="92">
        <v>229</v>
      </c>
      <c r="BR27" s="92">
        <v>263</v>
      </c>
      <c r="BS27" s="92">
        <v>179</v>
      </c>
      <c r="BT27" s="92">
        <v>193</v>
      </c>
      <c r="BU27" s="92">
        <v>214</v>
      </c>
      <c r="BV27" s="92">
        <v>322</v>
      </c>
      <c r="BW27" s="92">
        <v>185</v>
      </c>
      <c r="BX27" s="92">
        <v>170</v>
      </c>
      <c r="BY27" s="92">
        <v>237</v>
      </c>
      <c r="BZ27" s="92">
        <v>334</v>
      </c>
      <c r="CA27" s="92">
        <v>256</v>
      </c>
      <c r="CB27" s="92">
        <v>117</v>
      </c>
      <c r="CC27" s="92">
        <v>375</v>
      </c>
      <c r="CD27" s="92">
        <v>339</v>
      </c>
      <c r="CE27" s="92">
        <v>171</v>
      </c>
      <c r="CF27" s="92">
        <v>152</v>
      </c>
      <c r="CG27" s="92">
        <v>277</v>
      </c>
      <c r="CH27" s="92">
        <v>292</v>
      </c>
      <c r="CI27" s="92">
        <v>173</v>
      </c>
      <c r="CJ27" s="92">
        <v>153</v>
      </c>
      <c r="CK27" s="92">
        <v>131</v>
      </c>
      <c r="CL27" s="92">
        <v>145</v>
      </c>
      <c r="CM27" s="92">
        <v>96</v>
      </c>
      <c r="CN27" s="92">
        <v>92</v>
      </c>
      <c r="CO27" s="92">
        <v>140</v>
      </c>
      <c r="CP27" s="92">
        <v>85</v>
      </c>
      <c r="CQ27" s="92">
        <v>61</v>
      </c>
      <c r="CR27" s="92">
        <v>59</v>
      </c>
      <c r="CS27" s="92">
        <v>68</v>
      </c>
      <c r="CT27" s="92">
        <v>74</v>
      </c>
      <c r="CU27" s="92">
        <v>41</v>
      </c>
      <c r="CV27" s="92">
        <v>38</v>
      </c>
      <c r="CW27" s="92">
        <v>45</v>
      </c>
      <c r="CX27" s="92">
        <v>42</v>
      </c>
      <c r="CY27" s="92"/>
      <c r="CZ27" s="92"/>
      <c r="DA27" s="92"/>
      <c r="DB27" s="92"/>
      <c r="DC27" s="92"/>
      <c r="DD27" s="92"/>
      <c r="DE27" s="47"/>
      <c r="DF27" s="9"/>
      <c r="DG27" s="92"/>
      <c r="DH27" s="92"/>
      <c r="DI27" s="92"/>
      <c r="DJ27" s="92"/>
      <c r="DK27" s="92"/>
      <c r="DL27" s="92"/>
      <c r="DM27" s="92"/>
      <c r="DN27" s="92"/>
      <c r="DO27" s="92">
        <f>SUM(AM27:AP27)</f>
        <v>376</v>
      </c>
      <c r="DP27" s="92">
        <f t="shared" si="66"/>
        <v>498</v>
      </c>
      <c r="DQ27" s="92">
        <f t="shared" si="22"/>
        <v>581</v>
      </c>
      <c r="DR27" s="92">
        <f t="shared" si="23"/>
        <v>653</v>
      </c>
      <c r="DS27" s="92">
        <f t="shared" si="24"/>
        <v>746</v>
      </c>
      <c r="DT27" s="92">
        <f t="shared" si="25"/>
        <v>542</v>
      </c>
      <c r="DU27" s="92">
        <f t="shared" si="26"/>
        <v>640</v>
      </c>
      <c r="DV27" s="92">
        <f t="shared" si="12"/>
        <v>821</v>
      </c>
      <c r="DW27" s="92">
        <f t="shared" si="13"/>
        <v>908</v>
      </c>
      <c r="DX27" s="92">
        <f t="shared" ref="DX27:DX90" si="77">SUM(BW27:BZ27)</f>
        <v>926</v>
      </c>
      <c r="DY27" s="92">
        <f t="shared" ref="DY27:DY90" si="78">SUM(CA27:CD27)</f>
        <v>1087</v>
      </c>
      <c r="DZ27" s="92">
        <f t="shared" ref="DZ27:DZ90" si="79">SUM(CE27:CH27)</f>
        <v>892</v>
      </c>
      <c r="EA27" s="92">
        <f t="shared" ref="EA27:EA81" si="80">SUM(CI27:CL27)</f>
        <v>602</v>
      </c>
      <c r="EB27" s="92">
        <f t="shared" si="9"/>
        <v>413</v>
      </c>
      <c r="EC27" s="92">
        <f>EB27*0.95</f>
        <v>392.34999999999997</v>
      </c>
      <c r="ED27" s="92">
        <f t="shared" si="16"/>
        <v>166</v>
      </c>
      <c r="EE27" s="92">
        <f t="shared" ref="EE27:EN27" si="81">ED27*0.95</f>
        <v>157.69999999999999</v>
      </c>
      <c r="EF27" s="92">
        <f t="shared" si="81"/>
        <v>149.81499999999997</v>
      </c>
      <c r="EG27" s="92">
        <f t="shared" si="81"/>
        <v>142.32424999999998</v>
      </c>
      <c r="EH27" s="92">
        <f t="shared" si="81"/>
        <v>135.20803749999996</v>
      </c>
      <c r="EI27" s="92">
        <f t="shared" si="81"/>
        <v>128.44763562499995</v>
      </c>
      <c r="EJ27" s="92">
        <f t="shared" si="81"/>
        <v>122.02525384374994</v>
      </c>
      <c r="EK27" s="92">
        <f t="shared" si="81"/>
        <v>115.92399115156243</v>
      </c>
      <c r="EL27" s="92">
        <f t="shared" si="81"/>
        <v>110.12779159398431</v>
      </c>
      <c r="EM27" s="92">
        <f t="shared" si="81"/>
        <v>104.6214020142851</v>
      </c>
      <c r="EN27" s="92">
        <f t="shared" si="81"/>
        <v>99.390331913570833</v>
      </c>
    </row>
    <row r="28" spans="2:144" s="8" customFormat="1" ht="12.75" customHeight="1">
      <c r="B28" s="45" t="s">
        <v>744</v>
      </c>
      <c r="C28" s="9"/>
      <c r="D28" s="9"/>
      <c r="E28" s="9"/>
      <c r="F28" s="9"/>
      <c r="G28" s="7"/>
      <c r="H28" s="7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1"/>
      <c r="AD28" s="92"/>
      <c r="AE28" s="92"/>
      <c r="AF28" s="92"/>
      <c r="AG28" s="92"/>
      <c r="AH28" s="92"/>
      <c r="AI28" s="94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>
        <v>47</v>
      </c>
      <c r="BX28" s="92">
        <v>58</v>
      </c>
      <c r="BY28" s="92">
        <v>62</v>
      </c>
      <c r="BZ28" s="92">
        <v>71</v>
      </c>
      <c r="CA28" s="92">
        <v>60</v>
      </c>
      <c r="CB28" s="92">
        <v>28</v>
      </c>
      <c r="CC28" s="92">
        <v>51</v>
      </c>
      <c r="CD28" s="92">
        <v>31</v>
      </c>
      <c r="CE28" s="92">
        <v>34</v>
      </c>
      <c r="CF28" s="92">
        <v>56</v>
      </c>
      <c r="CG28" s="92">
        <v>48</v>
      </c>
      <c r="CH28" s="92">
        <v>41</v>
      </c>
      <c r="CI28" s="92">
        <v>36</v>
      </c>
      <c r="CJ28" s="92">
        <v>35</v>
      </c>
      <c r="CK28" s="92">
        <v>64</v>
      </c>
      <c r="CL28" s="92">
        <v>39</v>
      </c>
      <c r="CM28" s="92">
        <v>40</v>
      </c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47"/>
      <c r="DF28" s="9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>
        <f t="shared" si="77"/>
        <v>238</v>
      </c>
      <c r="DY28" s="92">
        <f t="shared" si="78"/>
        <v>170</v>
      </c>
      <c r="DZ28" s="92">
        <f t="shared" si="79"/>
        <v>179</v>
      </c>
      <c r="EA28" s="92">
        <f t="shared" si="80"/>
        <v>174</v>
      </c>
      <c r="EB28" s="92">
        <f t="shared" si="9"/>
        <v>40</v>
      </c>
      <c r="EC28" s="92">
        <f t="shared" ref="EC28" si="82">EB28*0.95</f>
        <v>38</v>
      </c>
      <c r="ED28" s="92"/>
      <c r="EE28" s="92"/>
      <c r="EF28" s="92"/>
      <c r="EG28" s="92"/>
      <c r="EH28" s="92"/>
      <c r="EI28" s="92"/>
      <c r="EJ28" s="92"/>
      <c r="EK28" s="92"/>
      <c r="EL28" s="92"/>
      <c r="EM28" s="92"/>
      <c r="EN28" s="92"/>
    </row>
    <row r="29" spans="2:144" s="8" customFormat="1" ht="12.75" customHeight="1">
      <c r="B29" s="45" t="s">
        <v>103</v>
      </c>
      <c r="C29" s="9"/>
      <c r="D29" s="9"/>
      <c r="E29" s="9"/>
      <c r="F29" s="9"/>
      <c r="G29" s="7"/>
      <c r="H29" s="7"/>
      <c r="I29" s="92"/>
      <c r="J29" s="92"/>
      <c r="K29" s="92"/>
      <c r="L29" s="92"/>
      <c r="M29" s="92"/>
      <c r="N29" s="92"/>
      <c r="O29" s="92">
        <v>150</v>
      </c>
      <c r="P29" s="92">
        <v>153</v>
      </c>
      <c r="Q29" s="92">
        <v>162</v>
      </c>
      <c r="R29" s="92">
        <v>176</v>
      </c>
      <c r="S29" s="92">
        <v>185</v>
      </c>
      <c r="T29" s="92">
        <v>181</v>
      </c>
      <c r="U29" s="92">
        <v>182</v>
      </c>
      <c r="V29" s="92">
        <v>191</v>
      </c>
      <c r="W29" s="92">
        <v>170</v>
      </c>
      <c r="X29" s="92">
        <v>172</v>
      </c>
      <c r="Y29" s="92">
        <v>182</v>
      </c>
      <c r="Z29" s="92">
        <v>181</v>
      </c>
      <c r="AA29" s="92">
        <v>197</v>
      </c>
      <c r="AB29" s="92">
        <v>186</v>
      </c>
      <c r="AC29" s="91">
        <v>186</v>
      </c>
      <c r="AD29" s="92">
        <f>AC29</f>
        <v>186</v>
      </c>
      <c r="AE29" s="92">
        <v>203</v>
      </c>
      <c r="AF29" s="92">
        <v>201</v>
      </c>
      <c r="AG29" s="92">
        <v>188</v>
      </c>
      <c r="AH29" s="92">
        <f>AG29</f>
        <v>188</v>
      </c>
      <c r="AI29" s="127">
        <v>165</v>
      </c>
      <c r="AJ29" s="92">
        <v>160</v>
      </c>
      <c r="AK29" s="92">
        <v>168</v>
      </c>
      <c r="AL29" s="92">
        <v>196</v>
      </c>
      <c r="AM29" s="92">
        <v>159</v>
      </c>
      <c r="AN29" s="92">
        <v>158</v>
      </c>
      <c r="AO29" s="92">
        <v>135</v>
      </c>
      <c r="AP29" s="92">
        <v>158</v>
      </c>
      <c r="AQ29" s="92">
        <v>136</v>
      </c>
      <c r="AR29" s="92">
        <v>136</v>
      </c>
      <c r="AS29" s="92">
        <v>124</v>
      </c>
      <c r="AT29" s="92">
        <v>119</v>
      </c>
      <c r="AU29" s="92">
        <v>88</v>
      </c>
      <c r="AV29" s="92">
        <v>104</v>
      </c>
      <c r="AW29" s="92">
        <v>109</v>
      </c>
      <c r="AX29" s="92">
        <v>83</v>
      </c>
      <c r="AY29" s="92">
        <v>84</v>
      </c>
      <c r="AZ29" s="92">
        <v>85</v>
      </c>
      <c r="BA29" s="92">
        <v>88</v>
      </c>
      <c r="BB29" s="92">
        <v>79</v>
      </c>
      <c r="BC29" s="92">
        <v>71</v>
      </c>
      <c r="BD29" s="92">
        <v>81</v>
      </c>
      <c r="BE29" s="92">
        <v>91</v>
      </c>
      <c r="BF29" s="92">
        <v>86</v>
      </c>
      <c r="BG29" s="92">
        <v>65</v>
      </c>
      <c r="BH29" s="92">
        <v>88</v>
      </c>
      <c r="BI29" s="92">
        <v>75</v>
      </c>
      <c r="BJ29" s="92">
        <v>86</v>
      </c>
      <c r="BK29" s="92">
        <v>73</v>
      </c>
      <c r="BL29" s="92">
        <v>81</v>
      </c>
      <c r="BM29" s="92">
        <v>77</v>
      </c>
      <c r="BN29" s="92">
        <v>66</v>
      </c>
      <c r="BO29" s="92">
        <v>62</v>
      </c>
      <c r="BP29" s="92">
        <v>71</v>
      </c>
      <c r="BQ29" s="92">
        <v>73</v>
      </c>
      <c r="BR29" s="92">
        <v>74</v>
      </c>
      <c r="BS29" s="92">
        <v>72</v>
      </c>
      <c r="BT29" s="92">
        <v>68</v>
      </c>
      <c r="BU29" s="92">
        <v>72</v>
      </c>
      <c r="BV29" s="92">
        <v>53</v>
      </c>
      <c r="BW29" s="92">
        <v>59</v>
      </c>
      <c r="BX29" s="92">
        <v>71</v>
      </c>
      <c r="BY29" s="92">
        <v>77</v>
      </c>
      <c r="BZ29" s="92">
        <v>67</v>
      </c>
      <c r="CA29" s="92">
        <v>51</v>
      </c>
      <c r="CB29" s="92">
        <v>64</v>
      </c>
      <c r="CC29" s="92">
        <v>74</v>
      </c>
      <c r="CD29" s="92">
        <v>62</v>
      </c>
      <c r="CE29" s="92">
        <v>65</v>
      </c>
      <c r="CF29" s="92">
        <v>60</v>
      </c>
      <c r="CG29" s="92">
        <v>70</v>
      </c>
      <c r="CH29" s="92">
        <v>65</v>
      </c>
      <c r="CI29" s="92">
        <v>58</v>
      </c>
      <c r="CJ29" s="92">
        <v>64</v>
      </c>
      <c r="CK29" s="92">
        <v>63</v>
      </c>
      <c r="CL29" s="92">
        <v>54</v>
      </c>
      <c r="CM29" s="92">
        <v>80</v>
      </c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47"/>
      <c r="DF29" s="9" t="s">
        <v>440</v>
      </c>
      <c r="DG29" s="92" t="s">
        <v>440</v>
      </c>
      <c r="DH29" s="92">
        <v>629</v>
      </c>
      <c r="DI29" s="92">
        <f>SUM(O29:R29)</f>
        <v>641</v>
      </c>
      <c r="DJ29" s="92">
        <f>SUM(S29:V29)</f>
        <v>739</v>
      </c>
      <c r="DK29" s="92">
        <f>SUM(W29:Z29)</f>
        <v>705</v>
      </c>
      <c r="DL29" s="92">
        <f>SUM(AA29:AD29)</f>
        <v>755</v>
      </c>
      <c r="DM29" s="92">
        <f>SUM(AE29:AH29)</f>
        <v>780</v>
      </c>
      <c r="DN29" s="92">
        <f>SUM(AI29:AL29)</f>
        <v>689</v>
      </c>
      <c r="DO29" s="92">
        <f>SUM(AM29:AP29)</f>
        <v>610</v>
      </c>
      <c r="DP29" s="92">
        <f t="shared" si="66"/>
        <v>515</v>
      </c>
      <c r="DQ29" s="92">
        <f t="shared" si="22"/>
        <v>384</v>
      </c>
      <c r="DR29" s="92">
        <f t="shared" ref="DR29:DR32" si="83">SUM(AY29:BB29)</f>
        <v>336</v>
      </c>
      <c r="DS29" s="92">
        <f t="shared" ref="DS29:DS32" si="84">SUM(BC29:BF29)</f>
        <v>329</v>
      </c>
      <c r="DT29" s="92">
        <f t="shared" si="25"/>
        <v>314</v>
      </c>
      <c r="DU29" s="92">
        <f t="shared" si="26"/>
        <v>297</v>
      </c>
      <c r="DV29" s="92">
        <f t="shared" si="12"/>
        <v>280</v>
      </c>
      <c r="DW29" s="92">
        <f t="shared" si="13"/>
        <v>265</v>
      </c>
      <c r="DX29" s="92">
        <f t="shared" si="77"/>
        <v>274</v>
      </c>
      <c r="DY29" s="92">
        <f t="shared" si="78"/>
        <v>251</v>
      </c>
      <c r="DZ29" s="92">
        <f t="shared" si="79"/>
        <v>260</v>
      </c>
      <c r="EA29" s="92">
        <f t="shared" si="80"/>
        <v>239</v>
      </c>
      <c r="EB29" s="92">
        <f t="shared" si="9"/>
        <v>80</v>
      </c>
      <c r="EC29" s="92">
        <f t="shared" ref="EC29" si="85">EB29*0.95</f>
        <v>76</v>
      </c>
      <c r="ED29" s="92"/>
      <c r="EE29" s="92"/>
      <c r="EF29" s="92"/>
      <c r="EG29" s="92"/>
      <c r="EH29" s="92"/>
      <c r="EI29" s="92"/>
      <c r="EJ29" s="92"/>
      <c r="EK29" s="92"/>
      <c r="EL29" s="92"/>
      <c r="EM29" s="92"/>
      <c r="EN29" s="92"/>
    </row>
    <row r="30" spans="2:144" s="8" customFormat="1" ht="12.75" customHeight="1">
      <c r="B30" s="45" t="s">
        <v>749</v>
      </c>
      <c r="C30" s="9"/>
      <c r="D30" s="9"/>
      <c r="E30" s="9"/>
      <c r="F30" s="9"/>
      <c r="G30" s="7"/>
      <c r="H30" s="7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1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>
        <v>42</v>
      </c>
      <c r="BX30" s="92">
        <v>51</v>
      </c>
      <c r="BY30" s="92">
        <v>50</v>
      </c>
      <c r="BZ30" s="92">
        <v>60</v>
      </c>
      <c r="CA30" s="92">
        <v>53</v>
      </c>
      <c r="CB30" s="92">
        <v>79</v>
      </c>
      <c r="CC30" s="92">
        <v>83</v>
      </c>
      <c r="CD30" s="92">
        <v>65</v>
      </c>
      <c r="CE30" s="92">
        <v>74</v>
      </c>
      <c r="CF30" s="92">
        <v>74</v>
      </c>
      <c r="CG30" s="92">
        <v>100</v>
      </c>
      <c r="CH30" s="92">
        <v>94</v>
      </c>
      <c r="CI30" s="92">
        <v>72</v>
      </c>
      <c r="CJ30" s="92">
        <v>98</v>
      </c>
      <c r="CK30" s="92">
        <v>88</v>
      </c>
      <c r="CL30" s="92">
        <v>82</v>
      </c>
      <c r="CM30" s="92">
        <v>99</v>
      </c>
      <c r="CN30" s="92">
        <v>68</v>
      </c>
      <c r="CO30" s="92">
        <v>92</v>
      </c>
      <c r="CP30" s="92">
        <v>108</v>
      </c>
      <c r="CQ30" s="92">
        <v>98</v>
      </c>
      <c r="CR30" s="92">
        <v>106</v>
      </c>
      <c r="CS30" s="92">
        <v>102</v>
      </c>
      <c r="CT30" s="92">
        <v>109</v>
      </c>
      <c r="CU30" s="92">
        <v>106</v>
      </c>
      <c r="CV30" s="92">
        <v>123</v>
      </c>
      <c r="CW30" s="92">
        <v>112</v>
      </c>
      <c r="CX30" s="92">
        <v>129</v>
      </c>
      <c r="CY30" s="92">
        <v>109</v>
      </c>
      <c r="CZ30" s="92">
        <v>126</v>
      </c>
      <c r="DA30" s="92">
        <f t="shared" ref="DA30:DB30" si="86">+CZ30</f>
        <v>126</v>
      </c>
      <c r="DB30" s="92">
        <f t="shared" si="86"/>
        <v>126</v>
      </c>
      <c r="DC30" s="92"/>
      <c r="DD30" s="92"/>
      <c r="DE30" s="47"/>
      <c r="DF30" s="9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>
        <f t="shared" si="77"/>
        <v>203</v>
      </c>
      <c r="DY30" s="92">
        <f t="shared" si="78"/>
        <v>280</v>
      </c>
      <c r="DZ30" s="92">
        <f t="shared" si="79"/>
        <v>342</v>
      </c>
      <c r="EA30" s="92">
        <f t="shared" si="80"/>
        <v>340</v>
      </c>
      <c r="EB30" s="92">
        <f t="shared" si="9"/>
        <v>367</v>
      </c>
      <c r="EC30" s="92">
        <f t="shared" ref="EC30:EN30" si="87">EB30*0.95</f>
        <v>348.65</v>
      </c>
      <c r="ED30" s="92">
        <f t="shared" si="16"/>
        <v>470</v>
      </c>
      <c r="EE30" s="92">
        <f t="shared" si="87"/>
        <v>446.5</v>
      </c>
      <c r="EF30" s="92">
        <f t="shared" si="87"/>
        <v>424.17499999999995</v>
      </c>
      <c r="EG30" s="92">
        <f t="shared" si="87"/>
        <v>402.96624999999995</v>
      </c>
      <c r="EH30" s="92">
        <f t="shared" si="87"/>
        <v>382.81793749999991</v>
      </c>
      <c r="EI30" s="92">
        <f t="shared" si="87"/>
        <v>363.6770406249999</v>
      </c>
      <c r="EJ30" s="92">
        <f t="shared" si="87"/>
        <v>345.49318859374989</v>
      </c>
      <c r="EK30" s="92">
        <f t="shared" si="87"/>
        <v>328.21852916406237</v>
      </c>
      <c r="EL30" s="92">
        <f t="shared" si="87"/>
        <v>311.80760270585927</v>
      </c>
      <c r="EM30" s="92">
        <f t="shared" si="87"/>
        <v>296.21722257056626</v>
      </c>
      <c r="EN30" s="92">
        <f t="shared" si="87"/>
        <v>281.40636144203796</v>
      </c>
    </row>
    <row r="31" spans="2:144" s="8" customFormat="1" ht="12.75" customHeight="1">
      <c r="B31" s="45" t="s">
        <v>748</v>
      </c>
      <c r="C31" s="9"/>
      <c r="D31" s="9"/>
      <c r="E31" s="9"/>
      <c r="F31" s="9"/>
      <c r="G31" s="7"/>
      <c r="H31" s="7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1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>
        <v>84</v>
      </c>
      <c r="BP31" s="92">
        <v>67</v>
      </c>
      <c r="BQ31" s="92">
        <v>70</v>
      </c>
      <c r="BR31" s="92">
        <v>79</v>
      </c>
      <c r="BS31" s="92">
        <v>68</v>
      </c>
      <c r="BT31" s="92">
        <v>75</v>
      </c>
      <c r="BU31" s="92">
        <v>94</v>
      </c>
      <c r="BV31" s="92">
        <v>91</v>
      </c>
      <c r="BW31" s="92">
        <v>48</v>
      </c>
      <c r="BX31" s="92">
        <v>53</v>
      </c>
      <c r="BY31" s="92">
        <v>57</v>
      </c>
      <c r="BZ31" s="92">
        <v>57</v>
      </c>
      <c r="CA31" s="92">
        <v>56</v>
      </c>
      <c r="CB31" s="92">
        <v>57</v>
      </c>
      <c r="CC31" s="92">
        <v>55</v>
      </c>
      <c r="CD31" s="92">
        <v>53</v>
      </c>
      <c r="CE31" s="92">
        <v>55</v>
      </c>
      <c r="CF31" s="92">
        <v>74</v>
      </c>
      <c r="CG31" s="92">
        <v>59</v>
      </c>
      <c r="CH31" s="92">
        <v>63</v>
      </c>
      <c r="CI31" s="92">
        <v>61</v>
      </c>
      <c r="CJ31" s="92">
        <v>63</v>
      </c>
      <c r="CK31" s="92">
        <v>57</v>
      </c>
      <c r="CL31" s="92">
        <v>57</v>
      </c>
      <c r="CM31" s="92">
        <v>59</v>
      </c>
      <c r="CN31" s="92">
        <v>65</v>
      </c>
      <c r="CO31" s="92">
        <v>65</v>
      </c>
      <c r="CP31" s="92">
        <v>66</v>
      </c>
      <c r="CQ31" s="92">
        <v>70</v>
      </c>
      <c r="CR31" s="92">
        <v>72</v>
      </c>
      <c r="CS31" s="92">
        <v>72</v>
      </c>
      <c r="CT31" s="92">
        <v>73</v>
      </c>
      <c r="CU31" s="92">
        <v>68</v>
      </c>
      <c r="CV31" s="92">
        <v>80</v>
      </c>
      <c r="CW31" s="92">
        <v>82</v>
      </c>
      <c r="CX31" s="92">
        <v>83</v>
      </c>
      <c r="CY31" s="92">
        <v>78</v>
      </c>
      <c r="CZ31" s="92">
        <v>78</v>
      </c>
      <c r="DA31" s="92">
        <f>+CZ31</f>
        <v>78</v>
      </c>
      <c r="DB31" s="92">
        <f>+DA31</f>
        <v>78</v>
      </c>
      <c r="DC31" s="92"/>
      <c r="DD31" s="92"/>
      <c r="DE31" s="47"/>
      <c r="DF31" s="9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>
        <f t="shared" si="12"/>
        <v>300</v>
      </c>
      <c r="DW31" s="92">
        <f t="shared" si="13"/>
        <v>328</v>
      </c>
      <c r="DX31" s="92">
        <f t="shared" si="77"/>
        <v>215</v>
      </c>
      <c r="DY31" s="92">
        <f t="shared" si="78"/>
        <v>221</v>
      </c>
      <c r="DZ31" s="92">
        <f t="shared" si="79"/>
        <v>251</v>
      </c>
      <c r="EA31" s="92">
        <f t="shared" si="80"/>
        <v>238</v>
      </c>
      <c r="EB31" s="92">
        <f t="shared" si="9"/>
        <v>255</v>
      </c>
      <c r="EC31" s="92">
        <f t="shared" ref="EC31:EN31" si="88">EB31*0.95</f>
        <v>242.25</v>
      </c>
      <c r="ED31" s="92">
        <f t="shared" si="16"/>
        <v>313</v>
      </c>
      <c r="EE31" s="92">
        <f t="shared" si="88"/>
        <v>297.34999999999997</v>
      </c>
      <c r="EF31" s="92">
        <f t="shared" si="88"/>
        <v>282.48249999999996</v>
      </c>
      <c r="EG31" s="92">
        <f t="shared" si="88"/>
        <v>268.35837499999997</v>
      </c>
      <c r="EH31" s="92">
        <f t="shared" si="88"/>
        <v>254.94045624999995</v>
      </c>
      <c r="EI31" s="92">
        <f t="shared" si="88"/>
        <v>242.19343343749995</v>
      </c>
      <c r="EJ31" s="92">
        <f t="shared" si="88"/>
        <v>230.08376176562493</v>
      </c>
      <c r="EK31" s="92">
        <f t="shared" si="88"/>
        <v>218.57957367734366</v>
      </c>
      <c r="EL31" s="92">
        <f t="shared" si="88"/>
        <v>207.65059499347646</v>
      </c>
      <c r="EM31" s="92">
        <f t="shared" si="88"/>
        <v>197.26806524380262</v>
      </c>
      <c r="EN31" s="92">
        <f t="shared" si="88"/>
        <v>187.40466198161249</v>
      </c>
    </row>
    <row r="32" spans="2:144" s="8" customFormat="1" ht="12.75" customHeight="1">
      <c r="B32" s="45" t="s">
        <v>679</v>
      </c>
      <c r="C32" s="9"/>
      <c r="D32" s="9"/>
      <c r="E32" s="9"/>
      <c r="F32" s="9"/>
      <c r="G32" s="7"/>
      <c r="H32" s="7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1"/>
      <c r="AD32" s="92"/>
      <c r="AE32" s="92"/>
      <c r="AF32" s="92"/>
      <c r="AG32" s="92"/>
      <c r="AH32" s="92"/>
      <c r="AI32" s="94"/>
      <c r="AJ32" s="92"/>
      <c r="AK32" s="92"/>
      <c r="AL32" s="92"/>
      <c r="AM32" s="92"/>
      <c r="AN32" s="92"/>
      <c r="AO32" s="92"/>
      <c r="AP32" s="92"/>
      <c r="AQ32" s="92">
        <v>55</v>
      </c>
      <c r="AR32" s="92">
        <v>56</v>
      </c>
      <c r="AS32" s="92">
        <v>61</v>
      </c>
      <c r="AT32" s="92">
        <v>59</v>
      </c>
      <c r="AU32" s="92">
        <v>59</v>
      </c>
      <c r="AV32" s="92">
        <v>66</v>
      </c>
      <c r="AW32" s="92">
        <v>66</v>
      </c>
      <c r="AX32" s="92">
        <v>68</v>
      </c>
      <c r="AY32" s="92">
        <v>65</v>
      </c>
      <c r="AZ32" s="92">
        <v>71</v>
      </c>
      <c r="BA32" s="92">
        <v>75</v>
      </c>
      <c r="BB32" s="92">
        <v>98</v>
      </c>
      <c r="BC32" s="92">
        <v>74</v>
      </c>
      <c r="BD32" s="92">
        <v>98</v>
      </c>
      <c r="BE32" s="92">
        <v>107</v>
      </c>
      <c r="BF32" s="92">
        <v>122</v>
      </c>
      <c r="BG32" s="92">
        <v>111</v>
      </c>
      <c r="BH32" s="92">
        <v>117</v>
      </c>
      <c r="BI32" s="92">
        <v>132</v>
      </c>
      <c r="BJ32" s="92">
        <v>128</v>
      </c>
      <c r="BK32" s="92">
        <v>145</v>
      </c>
      <c r="BL32" s="92">
        <v>143</v>
      </c>
      <c r="BM32" s="92">
        <v>147</v>
      </c>
      <c r="BN32" s="92">
        <v>161</v>
      </c>
      <c r="BO32" s="92">
        <v>141</v>
      </c>
      <c r="BP32" s="92">
        <v>155</v>
      </c>
      <c r="BQ32" s="92">
        <v>162</v>
      </c>
      <c r="BR32" s="92">
        <v>179</v>
      </c>
      <c r="BS32" s="92">
        <v>176</v>
      </c>
      <c r="BT32" s="92">
        <v>188</v>
      </c>
      <c r="BU32" s="92">
        <v>188</v>
      </c>
      <c r="BV32" s="92">
        <v>191</v>
      </c>
      <c r="BW32" s="92">
        <v>190</v>
      </c>
      <c r="BX32" s="92">
        <v>193</v>
      </c>
      <c r="BY32" s="92">
        <v>177</v>
      </c>
      <c r="BZ32" s="92">
        <v>103</v>
      </c>
      <c r="CA32" s="92">
        <v>94</v>
      </c>
      <c r="CB32" s="92">
        <v>73</v>
      </c>
      <c r="CC32" s="92">
        <v>79</v>
      </c>
      <c r="CD32" s="92">
        <v>82</v>
      </c>
      <c r="CE32" s="92">
        <v>67</v>
      </c>
      <c r="CF32" s="92">
        <v>66</v>
      </c>
      <c r="CG32" s="92">
        <v>64</v>
      </c>
      <c r="CH32" s="92">
        <v>62</v>
      </c>
      <c r="CI32" s="92">
        <v>57</v>
      </c>
      <c r="CJ32" s="92">
        <v>60</v>
      </c>
      <c r="CK32" s="92">
        <v>62</v>
      </c>
      <c r="CL32" s="92">
        <v>58</v>
      </c>
      <c r="CM32" s="92">
        <v>60</v>
      </c>
      <c r="CN32" s="92">
        <v>55</v>
      </c>
      <c r="CO32" s="92">
        <v>51</v>
      </c>
      <c r="CP32" s="92">
        <v>46</v>
      </c>
      <c r="CQ32" s="92">
        <v>56</v>
      </c>
      <c r="CR32" s="92">
        <v>45</v>
      </c>
      <c r="CS32" s="92">
        <v>41</v>
      </c>
      <c r="CT32" s="92">
        <v>36</v>
      </c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47"/>
      <c r="DF32" s="9"/>
      <c r="DG32" s="96"/>
      <c r="DH32" s="92"/>
      <c r="DI32" s="92"/>
      <c r="DJ32" s="92"/>
      <c r="DK32" s="92"/>
      <c r="DL32" s="92"/>
      <c r="DM32" s="92"/>
      <c r="DN32" s="92"/>
      <c r="DO32" s="92"/>
      <c r="DP32" s="92">
        <f t="shared" si="66"/>
        <v>231</v>
      </c>
      <c r="DQ32" s="92">
        <f t="shared" si="22"/>
        <v>259</v>
      </c>
      <c r="DR32" s="92">
        <f t="shared" si="83"/>
        <v>309</v>
      </c>
      <c r="DS32" s="92">
        <f t="shared" si="84"/>
        <v>401</v>
      </c>
      <c r="DT32" s="92">
        <f t="shared" si="25"/>
        <v>488</v>
      </c>
      <c r="DU32" s="92">
        <f t="shared" si="26"/>
        <v>596</v>
      </c>
      <c r="DV32" s="92">
        <f t="shared" si="12"/>
        <v>637</v>
      </c>
      <c r="DW32" s="92">
        <f t="shared" si="13"/>
        <v>743</v>
      </c>
      <c r="DX32" s="92">
        <f t="shared" si="77"/>
        <v>663</v>
      </c>
      <c r="DY32" s="92">
        <f t="shared" si="78"/>
        <v>328</v>
      </c>
      <c r="DZ32" s="92">
        <f t="shared" si="79"/>
        <v>259</v>
      </c>
      <c r="EA32" s="92">
        <f t="shared" si="80"/>
        <v>237</v>
      </c>
      <c r="EB32" s="92">
        <f t="shared" si="9"/>
        <v>212</v>
      </c>
      <c r="EC32" s="92">
        <f>EB32*0.9</f>
        <v>190.8</v>
      </c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</row>
    <row r="33" spans="2:144" s="8" customFormat="1" ht="12.75" customHeight="1">
      <c r="B33" s="45" t="s">
        <v>948</v>
      </c>
      <c r="C33" s="9"/>
      <c r="D33" s="9"/>
      <c r="E33" s="9"/>
      <c r="F33" s="9"/>
      <c r="G33" s="7"/>
      <c r="H33" s="7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1"/>
      <c r="AD33" s="92"/>
      <c r="AE33" s="92"/>
      <c r="AF33" s="92"/>
      <c r="AG33" s="92"/>
      <c r="AH33" s="92"/>
      <c r="AI33" s="94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>
        <v>44</v>
      </c>
      <c r="CN33" s="92">
        <v>50</v>
      </c>
      <c r="CO33" s="92">
        <v>54</v>
      </c>
      <c r="CP33" s="92">
        <v>54</v>
      </c>
      <c r="CQ33" s="92">
        <v>56</v>
      </c>
      <c r="CR33" s="92">
        <v>60</v>
      </c>
      <c r="CS33" s="92">
        <v>65</v>
      </c>
      <c r="CT33" s="92">
        <v>69</v>
      </c>
      <c r="CU33" s="92">
        <v>67</v>
      </c>
      <c r="CV33" s="92">
        <v>83</v>
      </c>
      <c r="CW33" s="92">
        <v>77</v>
      </c>
      <c r="CX33" s="92">
        <v>79</v>
      </c>
      <c r="CY33" s="92">
        <v>75</v>
      </c>
      <c r="CZ33" s="92">
        <v>101</v>
      </c>
      <c r="DA33" s="92">
        <f>+CZ33+5</f>
        <v>106</v>
      </c>
      <c r="DB33" s="92">
        <f>+DA33+5</f>
        <v>111</v>
      </c>
      <c r="DC33" s="92"/>
      <c r="DD33" s="92"/>
      <c r="DE33" s="47"/>
      <c r="DF33" s="9"/>
      <c r="DG33" s="96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>
        <f t="shared" si="9"/>
        <v>202</v>
      </c>
      <c r="EC33" s="92">
        <f>EB33*0.9</f>
        <v>181.8</v>
      </c>
      <c r="ED33" s="92">
        <f t="shared" si="16"/>
        <v>306</v>
      </c>
      <c r="EE33" s="92">
        <f t="shared" ref="EE33:EN33" si="89">ED33*0.9</f>
        <v>275.40000000000003</v>
      </c>
      <c r="EF33" s="92">
        <f t="shared" si="89"/>
        <v>247.86000000000004</v>
      </c>
      <c r="EG33" s="92">
        <f t="shared" si="89"/>
        <v>223.07400000000004</v>
      </c>
      <c r="EH33" s="92">
        <f t="shared" si="89"/>
        <v>200.76660000000004</v>
      </c>
      <c r="EI33" s="92">
        <f t="shared" si="89"/>
        <v>180.68994000000004</v>
      </c>
      <c r="EJ33" s="92">
        <f t="shared" si="89"/>
        <v>162.62094600000003</v>
      </c>
      <c r="EK33" s="92">
        <f t="shared" si="89"/>
        <v>146.35885140000002</v>
      </c>
      <c r="EL33" s="92">
        <f t="shared" si="89"/>
        <v>131.72296626000002</v>
      </c>
      <c r="EM33" s="92">
        <f t="shared" si="89"/>
        <v>118.55066963400002</v>
      </c>
      <c r="EN33" s="92">
        <f t="shared" si="89"/>
        <v>106.69560267060001</v>
      </c>
    </row>
    <row r="34" spans="2:144" s="8" customFormat="1" ht="12.75" customHeight="1">
      <c r="B34" s="45" t="s">
        <v>949</v>
      </c>
      <c r="C34" s="9"/>
      <c r="D34" s="9"/>
      <c r="E34" s="9"/>
      <c r="F34" s="9"/>
      <c r="G34" s="7"/>
      <c r="H34" s="7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1"/>
      <c r="AD34" s="92"/>
      <c r="AE34" s="92"/>
      <c r="AF34" s="92"/>
      <c r="AG34" s="92"/>
      <c r="AH34" s="92"/>
      <c r="AI34" s="94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>
        <v>34</v>
      </c>
      <c r="CN34" s="92">
        <v>38</v>
      </c>
      <c r="CO34" s="92">
        <v>37</v>
      </c>
      <c r="CP34" s="92">
        <v>33</v>
      </c>
      <c r="CQ34" s="92">
        <v>42</v>
      </c>
      <c r="CR34" s="92">
        <v>39</v>
      </c>
      <c r="CS34" s="92">
        <v>42</v>
      </c>
      <c r="CT34" s="92">
        <v>40</v>
      </c>
      <c r="CU34" s="92">
        <v>45</v>
      </c>
      <c r="CV34" s="92">
        <v>41</v>
      </c>
      <c r="CW34" s="92">
        <v>43</v>
      </c>
      <c r="CX34" s="92">
        <v>42</v>
      </c>
      <c r="CY34" s="92"/>
      <c r="CZ34" s="92"/>
      <c r="DA34" s="92"/>
      <c r="DB34" s="92"/>
      <c r="DC34" s="92"/>
      <c r="DD34" s="92"/>
      <c r="DE34" s="47"/>
      <c r="DF34" s="9"/>
      <c r="DG34" s="96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>
        <f t="shared" si="9"/>
        <v>142</v>
      </c>
      <c r="EC34" s="92"/>
      <c r="ED34" s="92">
        <f t="shared" si="16"/>
        <v>171</v>
      </c>
      <c r="EE34" s="92">
        <f t="shared" ref="EE34" si="90">ED34*0.9</f>
        <v>153.9</v>
      </c>
      <c r="EF34" s="92">
        <f t="shared" ref="EF34" si="91">EE34*0.9</f>
        <v>138.51000000000002</v>
      </c>
      <c r="EG34" s="92">
        <f t="shared" ref="EG34" si="92">EF34*0.9</f>
        <v>124.65900000000002</v>
      </c>
      <c r="EH34" s="92">
        <f t="shared" ref="EH34" si="93">EG34*0.9</f>
        <v>112.19310000000002</v>
      </c>
      <c r="EI34" s="92">
        <f t="shared" ref="EI34" si="94">EH34*0.9</f>
        <v>100.97379000000002</v>
      </c>
      <c r="EJ34" s="92">
        <f t="shared" ref="EJ34" si="95">EI34*0.9</f>
        <v>90.876411000000019</v>
      </c>
      <c r="EK34" s="92">
        <f t="shared" ref="EK34" si="96">EJ34*0.9</f>
        <v>81.78876990000002</v>
      </c>
      <c r="EL34" s="92">
        <f t="shared" ref="EL34" si="97">EK34*0.9</f>
        <v>73.609892910000013</v>
      </c>
      <c r="EM34" s="92">
        <f t="shared" ref="EM34" si="98">EL34*0.9</f>
        <v>66.248903619000018</v>
      </c>
      <c r="EN34" s="92">
        <f t="shared" ref="EN34" si="99">EM34*0.9</f>
        <v>59.624013257100017</v>
      </c>
    </row>
    <row r="35" spans="2:144" s="8" customFormat="1" ht="12.75" customHeight="1">
      <c r="B35" s="45" t="s">
        <v>974</v>
      </c>
      <c r="C35" s="9"/>
      <c r="D35" s="9"/>
      <c r="E35" s="9"/>
      <c r="F35" s="9"/>
      <c r="G35" s="7"/>
      <c r="H35" s="7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1"/>
      <c r="AD35" s="92"/>
      <c r="AE35" s="92"/>
      <c r="AF35" s="92"/>
      <c r="AG35" s="92"/>
      <c r="AH35" s="92"/>
      <c r="AI35" s="94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>
        <v>70</v>
      </c>
      <c r="CS35" s="92">
        <v>149</v>
      </c>
      <c r="CT35" s="92">
        <v>200</v>
      </c>
      <c r="CU35" s="92">
        <v>280</v>
      </c>
      <c r="CV35" s="92">
        <v>336</v>
      </c>
      <c r="CW35" s="92">
        <v>360</v>
      </c>
      <c r="CX35" s="92">
        <v>467</v>
      </c>
      <c r="CY35" s="92">
        <v>525</v>
      </c>
      <c r="CZ35" s="92">
        <v>588</v>
      </c>
      <c r="DA35" s="92">
        <f>+CZ35+25</f>
        <v>613</v>
      </c>
      <c r="DB35" s="92">
        <f>+DA35+25</f>
        <v>638</v>
      </c>
      <c r="DC35" s="92"/>
      <c r="DD35" s="92"/>
      <c r="DE35" s="47"/>
      <c r="DF35" s="9"/>
      <c r="DG35" s="96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>
        <v>50</v>
      </c>
      <c r="EC35" s="92">
        <f t="shared" ref="EC35" si="100">SUM(CQ35:CT35)</f>
        <v>419</v>
      </c>
      <c r="ED35" s="92">
        <f t="shared" si="16"/>
        <v>1443</v>
      </c>
      <c r="EE35" s="92">
        <f>+ED35*1.4</f>
        <v>2020.1999999999998</v>
      </c>
      <c r="EF35" s="90">
        <f>+EE35*1.3</f>
        <v>2626.2599999999998</v>
      </c>
      <c r="EG35" s="85">
        <f>EF35*1.2</f>
        <v>3151.5119999999997</v>
      </c>
      <c r="EH35" s="85">
        <f>EG35*1.2</f>
        <v>3781.8143999999993</v>
      </c>
      <c r="EI35" s="85">
        <f t="shared" ref="EI35:EN35" si="101">EH35*1.01</f>
        <v>3819.6325439999991</v>
      </c>
      <c r="EJ35" s="85">
        <f t="shared" si="101"/>
        <v>3857.8288694399994</v>
      </c>
      <c r="EK35" s="85">
        <f t="shared" si="101"/>
        <v>3896.4071581343992</v>
      </c>
      <c r="EL35" s="85">
        <f t="shared" si="101"/>
        <v>3935.3712297157431</v>
      </c>
      <c r="EM35" s="85">
        <f t="shared" si="101"/>
        <v>3974.7249420129006</v>
      </c>
      <c r="EN35" s="85">
        <f t="shared" si="101"/>
        <v>4014.4721914330298</v>
      </c>
    </row>
    <row r="36" spans="2:144" s="8" customFormat="1" ht="3.75" customHeight="1">
      <c r="B36" s="45" t="s">
        <v>353</v>
      </c>
      <c r="C36" s="9"/>
      <c r="D36" s="9"/>
      <c r="E36" s="9"/>
      <c r="F36" s="9"/>
      <c r="G36" s="7"/>
      <c r="H36" s="7"/>
      <c r="I36" s="92"/>
      <c r="J36" s="92"/>
      <c r="K36" s="92"/>
      <c r="L36" s="92"/>
      <c r="M36" s="92"/>
      <c r="N36" s="92"/>
      <c r="O36" s="92">
        <v>131</v>
      </c>
      <c r="P36" s="92">
        <v>133</v>
      </c>
      <c r="Q36" s="92">
        <v>138</v>
      </c>
      <c r="R36" s="92">
        <v>157</v>
      </c>
      <c r="S36" s="92">
        <v>140</v>
      </c>
      <c r="T36" s="92">
        <v>153</v>
      </c>
      <c r="U36" s="92">
        <v>156</v>
      </c>
      <c r="V36" s="92">
        <v>167</v>
      </c>
      <c r="W36" s="92">
        <v>152</v>
      </c>
      <c r="X36" s="92">
        <v>175</v>
      </c>
      <c r="Y36" s="92">
        <v>191</v>
      </c>
      <c r="Z36" s="92">
        <v>179</v>
      </c>
      <c r="AA36" s="92">
        <v>186</v>
      </c>
      <c r="AB36" s="92">
        <v>192</v>
      </c>
      <c r="AC36" s="91">
        <v>197</v>
      </c>
      <c r="AD36" s="92">
        <f>AC36</f>
        <v>197</v>
      </c>
      <c r="AE36" s="92">
        <v>201</v>
      </c>
      <c r="AF36" s="92">
        <v>217</v>
      </c>
      <c r="AG36" s="92">
        <v>209</v>
      </c>
      <c r="AH36" s="92">
        <f>AG36</f>
        <v>209</v>
      </c>
      <c r="AI36" s="127">
        <v>121</v>
      </c>
      <c r="AJ36" s="92">
        <v>125</v>
      </c>
      <c r="AK36" s="92">
        <v>123</v>
      </c>
      <c r="AL36" s="92">
        <v>134</v>
      </c>
      <c r="AM36" s="92">
        <v>115</v>
      </c>
      <c r="AN36" s="92">
        <v>123</v>
      </c>
      <c r="AO36" s="92">
        <v>114</v>
      </c>
      <c r="AP36" s="92">
        <v>131</v>
      </c>
      <c r="AQ36" s="92">
        <v>114</v>
      </c>
      <c r="AR36" s="92">
        <v>122</v>
      </c>
      <c r="AS36" s="92">
        <v>124</v>
      </c>
      <c r="AT36" s="92">
        <v>117</v>
      </c>
      <c r="AU36" s="92">
        <v>124</v>
      </c>
      <c r="AV36" s="92">
        <v>105</v>
      </c>
      <c r="AW36" s="92">
        <v>102</v>
      </c>
      <c r="AX36" s="92">
        <v>113</v>
      </c>
      <c r="AY36" s="92">
        <v>105</v>
      </c>
      <c r="AZ36" s="92">
        <v>103</v>
      </c>
      <c r="BA36" s="92">
        <v>104</v>
      </c>
      <c r="BB36" s="92">
        <v>103</v>
      </c>
      <c r="BC36" s="92">
        <v>99</v>
      </c>
      <c r="BD36" s="92">
        <v>100</v>
      </c>
      <c r="BE36" s="92">
        <v>34</v>
      </c>
      <c r="BF36" s="92">
        <v>25</v>
      </c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47"/>
      <c r="DF36" s="9" t="s">
        <v>440</v>
      </c>
      <c r="DG36" s="92" t="s">
        <v>440</v>
      </c>
      <c r="DH36" s="92">
        <v>484</v>
      </c>
      <c r="DI36" s="92">
        <f>SUM(O36:R36)</f>
        <v>559</v>
      </c>
      <c r="DJ36" s="92">
        <f>SUM(S36:V36)</f>
        <v>616</v>
      </c>
      <c r="DK36" s="92">
        <f>SUM(W36:Z36)</f>
        <v>697</v>
      </c>
      <c r="DL36" s="92">
        <f>SUM(AA36:AD36)</f>
        <v>772</v>
      </c>
      <c r="DM36" s="92">
        <f>SUM(AE36:AH36)</f>
        <v>836</v>
      </c>
      <c r="DN36" s="92">
        <f>SUM(AI36:AL36)</f>
        <v>503</v>
      </c>
      <c r="DO36" s="92">
        <f>SUM(AM36:AP36)</f>
        <v>483</v>
      </c>
      <c r="DP36" s="92">
        <f>SUM(AQ36:AT36)</f>
        <v>477</v>
      </c>
      <c r="DQ36" s="92">
        <f>SUM(AU36:AX36)</f>
        <v>444</v>
      </c>
      <c r="DR36" s="92">
        <f>SUM(AY36:BB36)</f>
        <v>415</v>
      </c>
      <c r="DS36" s="92">
        <f>SUM(BC36:BF36)</f>
        <v>258</v>
      </c>
      <c r="DT36" s="92"/>
      <c r="DU36" s="92"/>
      <c r="DV36" s="92"/>
      <c r="DW36" s="92"/>
      <c r="DX36" s="92"/>
      <c r="DY36" s="92"/>
      <c r="DZ36" s="92"/>
      <c r="EA36" s="92"/>
      <c r="EB36" s="92"/>
      <c r="EC36" s="92"/>
      <c r="ED36" s="92"/>
      <c r="EE36" s="92"/>
      <c r="EG36" s="28"/>
    </row>
    <row r="37" spans="2:144" s="8" customFormat="1" ht="3.75" customHeight="1">
      <c r="B37" s="45" t="s">
        <v>754</v>
      </c>
      <c r="C37" s="9"/>
      <c r="D37" s="9"/>
      <c r="E37" s="9"/>
      <c r="F37" s="9"/>
      <c r="G37" s="7"/>
      <c r="H37" s="7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1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>
        <v>50</v>
      </c>
      <c r="BL37" s="92">
        <v>112</v>
      </c>
      <c r="BM37" s="92">
        <v>164</v>
      </c>
      <c r="BN37" s="92">
        <v>229</v>
      </c>
      <c r="BO37" s="92">
        <v>378</v>
      </c>
      <c r="BP37" s="92">
        <v>517</v>
      </c>
      <c r="BQ37" s="92">
        <v>468</v>
      </c>
      <c r="BR37" s="92">
        <v>296</v>
      </c>
      <c r="BS37" s="92">
        <v>131</v>
      </c>
      <c r="BT37" s="92">
        <v>113</v>
      </c>
      <c r="BU37" s="92">
        <v>104</v>
      </c>
      <c r="BV37" s="92">
        <v>108</v>
      </c>
      <c r="BW37" s="92">
        <v>114</v>
      </c>
      <c r="BX37" s="92">
        <v>108</v>
      </c>
      <c r="BY37" s="92">
        <v>83</v>
      </c>
      <c r="BZ37" s="92">
        <v>66</v>
      </c>
      <c r="CA37" s="92">
        <v>55</v>
      </c>
      <c r="CB37" s="92">
        <v>39</v>
      </c>
      <c r="CC37" s="94" t="s">
        <v>785</v>
      </c>
      <c r="CD37" s="92">
        <v>45</v>
      </c>
      <c r="CE37" s="92">
        <v>0</v>
      </c>
      <c r="CF37" s="92">
        <v>0</v>
      </c>
      <c r="CG37" s="92">
        <v>0</v>
      </c>
      <c r="CH37" s="92">
        <v>0</v>
      </c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47"/>
      <c r="DF37" s="9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>
        <f>SUM(BK37:BN37)</f>
        <v>555</v>
      </c>
      <c r="DV37" s="92">
        <f>SUM(BO37:BR37)</f>
        <v>1659</v>
      </c>
      <c r="DW37" s="92">
        <f>SUM(BS37:BV37)</f>
        <v>456</v>
      </c>
      <c r="DX37" s="92">
        <f>SUM(BW37:BZ37)</f>
        <v>371</v>
      </c>
      <c r="DY37" s="92">
        <f>SUM(CA37:CD37)</f>
        <v>139</v>
      </c>
      <c r="DZ37" s="92"/>
      <c r="EA37" s="92"/>
      <c r="EB37" s="92"/>
      <c r="EC37" s="92"/>
      <c r="ED37" s="92"/>
      <c r="EE37" s="92"/>
      <c r="EG37" s="28"/>
    </row>
    <row r="38" spans="2:144" s="8" customFormat="1" ht="0.75" customHeight="1">
      <c r="B38" s="45" t="s">
        <v>569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4" t="s">
        <v>530</v>
      </c>
      <c r="AE38" s="94" t="s">
        <v>531</v>
      </c>
      <c r="AF38" s="94" t="s">
        <v>553</v>
      </c>
      <c r="AG38" s="94" t="s">
        <v>547</v>
      </c>
      <c r="AH38" s="94" t="s">
        <v>529</v>
      </c>
      <c r="AI38" s="128" t="s">
        <v>519</v>
      </c>
      <c r="AJ38" s="94" t="s">
        <v>510</v>
      </c>
      <c r="AK38" s="94" t="s">
        <v>503</v>
      </c>
      <c r="AL38" s="92">
        <v>188</v>
      </c>
      <c r="AM38" s="92">
        <v>274</v>
      </c>
      <c r="AN38" s="92">
        <v>271</v>
      </c>
      <c r="AO38" s="92">
        <v>254</v>
      </c>
      <c r="AP38" s="92">
        <v>266</v>
      </c>
      <c r="AQ38" s="92">
        <v>248</v>
      </c>
      <c r="AR38" s="92">
        <v>234</v>
      </c>
      <c r="AS38" s="92">
        <v>223</v>
      </c>
      <c r="AT38" s="92">
        <v>230</v>
      </c>
      <c r="AU38" s="92">
        <v>237</v>
      </c>
      <c r="AV38" s="92">
        <v>225</v>
      </c>
      <c r="AW38" s="92">
        <v>227</v>
      </c>
      <c r="AX38" s="92">
        <v>229</v>
      </c>
      <c r="AY38" s="92">
        <v>216</v>
      </c>
      <c r="AZ38" s="92">
        <v>219</v>
      </c>
      <c r="BA38" s="92">
        <v>162</v>
      </c>
      <c r="BB38" s="92">
        <v>111</v>
      </c>
      <c r="BC38" s="92">
        <v>83</v>
      </c>
      <c r="BD38" s="92">
        <v>93</v>
      </c>
      <c r="BE38" s="92">
        <v>88</v>
      </c>
      <c r="BF38" s="92">
        <v>86</v>
      </c>
      <c r="BG38" s="92">
        <v>74</v>
      </c>
      <c r="BH38" s="92">
        <v>80</v>
      </c>
      <c r="BI38" s="92">
        <v>83</v>
      </c>
      <c r="BJ38" s="92">
        <v>75</v>
      </c>
      <c r="BK38" s="92">
        <v>66</v>
      </c>
      <c r="BL38" s="92">
        <v>73</v>
      </c>
      <c r="BM38" s="92">
        <v>78</v>
      </c>
      <c r="BN38" s="92">
        <v>67</v>
      </c>
      <c r="BO38" s="92">
        <v>66</v>
      </c>
      <c r="BP38" s="92">
        <v>65</v>
      </c>
      <c r="BQ38" s="92">
        <v>68</v>
      </c>
      <c r="BR38" s="92">
        <v>73</v>
      </c>
      <c r="BS38" s="92">
        <v>57</v>
      </c>
      <c r="BT38" s="92">
        <v>56</v>
      </c>
      <c r="BU38" s="92">
        <v>46</v>
      </c>
      <c r="BV38" s="92">
        <v>56</v>
      </c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47"/>
      <c r="DF38" s="92"/>
      <c r="DG38" s="92"/>
      <c r="DH38" s="92"/>
      <c r="DI38" s="92"/>
      <c r="DJ38" s="92"/>
      <c r="DK38" s="92"/>
      <c r="DL38" s="92"/>
      <c r="DM38" s="94" t="s">
        <v>561</v>
      </c>
      <c r="DN38" s="94" t="s">
        <v>560</v>
      </c>
      <c r="DO38" s="92">
        <f>SUM(AM38:AP38)</f>
        <v>1065</v>
      </c>
      <c r="DP38" s="92">
        <f t="shared" ref="DP38:DP43" si="102">SUM(AQ38:AT38)</f>
        <v>935</v>
      </c>
      <c r="DQ38" s="92">
        <f t="shared" ref="DQ38:DQ43" si="103">SUM(AU38:AX38)</f>
        <v>918</v>
      </c>
      <c r="DR38" s="92">
        <f t="shared" ref="DR38:DR43" si="104">SUM(AY38:BB38)</f>
        <v>708</v>
      </c>
      <c r="DS38" s="92">
        <f t="shared" ref="DS38:DS43" si="105">SUM(BC38:BF38)</f>
        <v>350</v>
      </c>
      <c r="DT38" s="92">
        <f>SUM(BG38:BJ38)</f>
        <v>312</v>
      </c>
      <c r="DU38" s="92">
        <f>SUM(BK38:BN38)</f>
        <v>284</v>
      </c>
      <c r="DV38" s="92">
        <f>SUM(BO38:BR38)</f>
        <v>272</v>
      </c>
      <c r="DW38" s="92">
        <f>SUM(BS38:BV38)</f>
        <v>215</v>
      </c>
      <c r="DX38" s="92"/>
      <c r="DY38" s="92"/>
      <c r="DZ38" s="92"/>
      <c r="EA38" s="92"/>
      <c r="EB38" s="92"/>
      <c r="EC38" s="92"/>
      <c r="ED38" s="92"/>
      <c r="EE38" s="92"/>
      <c r="EG38" s="28"/>
    </row>
    <row r="39" spans="2:144" s="8" customFormat="1" ht="0.75" customHeight="1">
      <c r="B39" s="45" t="s">
        <v>9</v>
      </c>
      <c r="C39" s="92">
        <v>1106.9466</v>
      </c>
      <c r="D39" s="92">
        <v>1106.9449999999999</v>
      </c>
      <c r="E39" s="92">
        <v>1348.01179</v>
      </c>
      <c r="F39" s="92">
        <v>1559.5255999999999</v>
      </c>
      <c r="G39" s="92">
        <v>1105</v>
      </c>
      <c r="H39" s="92">
        <v>1175</v>
      </c>
      <c r="I39" s="92">
        <v>1440</v>
      </c>
      <c r="J39" s="92">
        <v>1723</v>
      </c>
      <c r="K39" s="92">
        <v>1175</v>
      </c>
      <c r="L39" s="92">
        <v>1218</v>
      </c>
      <c r="M39" s="92">
        <v>1404.75</v>
      </c>
      <c r="N39" s="92">
        <v>1213.74</v>
      </c>
      <c r="O39" s="92">
        <v>1296</v>
      </c>
      <c r="P39" s="92">
        <v>1370</v>
      </c>
      <c r="Q39" s="92">
        <v>1221</v>
      </c>
      <c r="R39" s="92">
        <v>1311</v>
      </c>
      <c r="S39" s="92">
        <v>1106</v>
      </c>
      <c r="T39" s="92">
        <v>1151</v>
      </c>
      <c r="U39" s="92">
        <v>1050</v>
      </c>
      <c r="V39" s="92">
        <v>1074</v>
      </c>
      <c r="W39" s="92">
        <v>1063</v>
      </c>
      <c r="X39" s="92">
        <v>990</v>
      </c>
      <c r="Y39" s="92">
        <v>371</v>
      </c>
      <c r="Z39" s="92">
        <v>379</v>
      </c>
      <c r="AA39" s="92">
        <v>258</v>
      </c>
      <c r="AB39" s="92">
        <v>178</v>
      </c>
      <c r="AC39" s="92">
        <v>218</v>
      </c>
      <c r="AD39" s="92">
        <v>195</v>
      </c>
      <c r="AE39" s="92">
        <v>179</v>
      </c>
      <c r="AF39" s="92">
        <v>177</v>
      </c>
      <c r="AG39" s="92">
        <v>157</v>
      </c>
      <c r="AH39" s="92">
        <f>AG39*0.8</f>
        <v>125.60000000000001</v>
      </c>
      <c r="AI39" s="127">
        <v>137</v>
      </c>
      <c r="AJ39" s="92">
        <v>141</v>
      </c>
      <c r="AK39" s="92">
        <v>141</v>
      </c>
      <c r="AL39" s="92">
        <v>139</v>
      </c>
      <c r="AM39" s="92">
        <v>116</v>
      </c>
      <c r="AN39" s="92">
        <v>117</v>
      </c>
      <c r="AO39" s="92">
        <v>114</v>
      </c>
      <c r="AP39" s="92">
        <v>121</v>
      </c>
      <c r="AQ39" s="92">
        <v>127</v>
      </c>
      <c r="AR39" s="92">
        <v>107</v>
      </c>
      <c r="AS39" s="92">
        <v>110</v>
      </c>
      <c r="AT39" s="92">
        <v>111</v>
      </c>
      <c r="AU39" s="92">
        <v>103</v>
      </c>
      <c r="AV39" s="92">
        <v>96</v>
      </c>
      <c r="AW39" s="92">
        <v>86</v>
      </c>
      <c r="AX39" s="92">
        <v>98</v>
      </c>
      <c r="AY39" s="92">
        <v>82</v>
      </c>
      <c r="AZ39" s="92">
        <v>74</v>
      </c>
      <c r="BA39" s="92">
        <v>65</v>
      </c>
      <c r="BB39" s="92">
        <v>79</v>
      </c>
      <c r="BC39" s="92">
        <v>64</v>
      </c>
      <c r="BD39" s="92">
        <v>69</v>
      </c>
      <c r="BE39" s="92">
        <v>61</v>
      </c>
      <c r="BF39" s="92">
        <v>64</v>
      </c>
      <c r="BG39" s="92">
        <v>49</v>
      </c>
      <c r="BH39" s="92">
        <v>63</v>
      </c>
      <c r="BI39" s="92">
        <v>56</v>
      </c>
      <c r="BJ39" s="92">
        <v>49</v>
      </c>
      <c r="BK39" s="92">
        <v>46</v>
      </c>
      <c r="BL39" s="92">
        <v>50</v>
      </c>
      <c r="BM39" s="92">
        <v>54</v>
      </c>
      <c r="BN39" s="92">
        <v>37</v>
      </c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95"/>
      <c r="DF39" s="92">
        <v>5121</v>
      </c>
      <c r="DG39" s="92"/>
      <c r="DH39" s="92"/>
      <c r="DI39" s="92">
        <f>SUM(O39:R39)</f>
        <v>5198</v>
      </c>
      <c r="DJ39" s="92">
        <f>SUM(S39:V39)</f>
        <v>4381</v>
      </c>
      <c r="DK39" s="92">
        <f>SUM(W39:Z39)</f>
        <v>2803</v>
      </c>
      <c r="DL39" s="92">
        <f>SUM(AA39:AD39)</f>
        <v>849</v>
      </c>
      <c r="DM39" s="92">
        <f>SUM(AE39:AH39)</f>
        <v>638.6</v>
      </c>
      <c r="DN39" s="92">
        <f>SUM(AI39:AL39)</f>
        <v>558</v>
      </c>
      <c r="DO39" s="92">
        <f>SUM(AM39:AP39)</f>
        <v>468</v>
      </c>
      <c r="DP39" s="92">
        <f t="shared" si="102"/>
        <v>455</v>
      </c>
      <c r="DQ39" s="92">
        <f t="shared" si="103"/>
        <v>383</v>
      </c>
      <c r="DR39" s="92">
        <f t="shared" si="104"/>
        <v>300</v>
      </c>
      <c r="DS39" s="92">
        <f t="shared" si="105"/>
        <v>258</v>
      </c>
      <c r="DT39" s="92">
        <f>SUM(BG39:BJ39)</f>
        <v>217</v>
      </c>
      <c r="DU39" s="92">
        <f>SUM(BK39:BN39)</f>
        <v>187</v>
      </c>
      <c r="DV39" s="92"/>
      <c r="DW39" s="92"/>
      <c r="DX39" s="92"/>
      <c r="DY39" s="92"/>
      <c r="DZ39" s="92"/>
      <c r="EA39" s="92"/>
      <c r="EB39" s="92"/>
      <c r="EC39" s="92"/>
      <c r="ED39" s="92"/>
      <c r="EE39" s="92"/>
      <c r="EG39" s="28"/>
      <c r="EJ39" s="97"/>
    </row>
    <row r="40" spans="2:144" s="8" customFormat="1" ht="0.75" customHeight="1">
      <c r="B40" s="45" t="s">
        <v>694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>
        <v>1</v>
      </c>
      <c r="AR40" s="92">
        <v>21</v>
      </c>
      <c r="AS40" s="92">
        <v>31</v>
      </c>
      <c r="AT40" s="92">
        <v>87</v>
      </c>
      <c r="AU40" s="92">
        <v>111</v>
      </c>
      <c r="AV40" s="92">
        <v>126</v>
      </c>
      <c r="AW40" s="92">
        <v>149</v>
      </c>
      <c r="AX40" s="92">
        <v>115</v>
      </c>
      <c r="AY40" s="92">
        <v>110</v>
      </c>
      <c r="AZ40" s="92">
        <v>116</v>
      </c>
      <c r="BA40" s="92">
        <v>121</v>
      </c>
      <c r="BB40" s="92">
        <v>81</v>
      </c>
      <c r="BC40" s="92">
        <v>59</v>
      </c>
      <c r="BD40" s="92">
        <v>46</v>
      </c>
      <c r="BE40" s="92">
        <v>27</v>
      </c>
      <c r="BF40" s="92">
        <v>21</v>
      </c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5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>
        <f t="shared" si="102"/>
        <v>140</v>
      </c>
      <c r="DQ40" s="92">
        <f t="shared" si="103"/>
        <v>501</v>
      </c>
      <c r="DR40" s="92">
        <f t="shared" si="104"/>
        <v>428</v>
      </c>
      <c r="DS40" s="92">
        <f t="shared" si="105"/>
        <v>153</v>
      </c>
      <c r="DT40" s="92"/>
      <c r="DU40" s="92"/>
      <c r="DV40" s="92"/>
      <c r="DW40" s="92"/>
      <c r="DX40" s="92"/>
      <c r="DY40" s="92"/>
      <c r="DZ40" s="92"/>
      <c r="EA40" s="92"/>
      <c r="EB40" s="92"/>
      <c r="EC40" s="92"/>
      <c r="ED40" s="92"/>
      <c r="EE40" s="92"/>
      <c r="EG40" s="28"/>
      <c r="EJ40" s="97"/>
    </row>
    <row r="41" spans="2:144" s="8" customFormat="1" ht="0.75" customHeight="1">
      <c r="B41" s="45" t="s">
        <v>631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4" t="s">
        <v>522</v>
      </c>
      <c r="AE41" s="94" t="s">
        <v>538</v>
      </c>
      <c r="AF41" s="94" t="s">
        <v>556</v>
      </c>
      <c r="AG41" s="94" t="s">
        <v>549</v>
      </c>
      <c r="AH41" s="94" t="s">
        <v>537</v>
      </c>
      <c r="AI41" s="128" t="s">
        <v>522</v>
      </c>
      <c r="AJ41" s="94" t="s">
        <v>513</v>
      </c>
      <c r="AK41" s="94" t="s">
        <v>504</v>
      </c>
      <c r="AL41" s="92">
        <v>101</v>
      </c>
      <c r="AM41" s="92">
        <f>49+125</f>
        <v>174</v>
      </c>
      <c r="AN41" s="92">
        <v>202</v>
      </c>
      <c r="AO41" s="92">
        <v>137</v>
      </c>
      <c r="AP41" s="92">
        <v>146</v>
      </c>
      <c r="AQ41" s="92">
        <v>155</v>
      </c>
      <c r="AR41" s="92">
        <v>209</v>
      </c>
      <c r="AS41" s="92">
        <v>128</v>
      </c>
      <c r="AT41" s="92">
        <v>129</v>
      </c>
      <c r="AU41" s="92">
        <v>134</v>
      </c>
      <c r="AV41" s="92">
        <v>140</v>
      </c>
      <c r="AW41" s="92">
        <v>64</v>
      </c>
      <c r="AX41" s="92">
        <v>56</v>
      </c>
      <c r="AY41" s="92">
        <v>61</v>
      </c>
      <c r="AZ41" s="92">
        <v>64</v>
      </c>
      <c r="BA41" s="92">
        <v>54</v>
      </c>
      <c r="BB41" s="92">
        <v>55</v>
      </c>
      <c r="BC41" s="92">
        <v>62</v>
      </c>
      <c r="BD41" s="92">
        <v>69</v>
      </c>
      <c r="BE41" s="92">
        <v>49</v>
      </c>
      <c r="BF41" s="92">
        <v>52</v>
      </c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47"/>
      <c r="DF41" s="92"/>
      <c r="DG41" s="92"/>
      <c r="DH41" s="92"/>
      <c r="DI41" s="92"/>
      <c r="DJ41" s="92"/>
      <c r="DK41" s="92"/>
      <c r="DL41" s="92"/>
      <c r="DM41" s="92"/>
      <c r="DN41" s="92"/>
      <c r="DO41" s="92">
        <f>SUM(AM41:AP41)</f>
        <v>659</v>
      </c>
      <c r="DP41" s="92">
        <f t="shared" si="102"/>
        <v>621</v>
      </c>
      <c r="DQ41" s="92">
        <f t="shared" si="103"/>
        <v>394</v>
      </c>
      <c r="DR41" s="92">
        <f t="shared" si="104"/>
        <v>234</v>
      </c>
      <c r="DS41" s="92">
        <f t="shared" si="105"/>
        <v>232</v>
      </c>
      <c r="DT41" s="92"/>
      <c r="DU41" s="92"/>
      <c r="DV41" s="92"/>
      <c r="DW41" s="92"/>
      <c r="DX41" s="92"/>
      <c r="DY41" s="92"/>
      <c r="DZ41" s="92"/>
      <c r="EA41" s="92"/>
      <c r="EB41" s="92"/>
      <c r="EC41" s="92"/>
      <c r="ED41" s="92"/>
      <c r="EE41" s="92"/>
      <c r="EG41" s="28"/>
      <c r="EJ41" s="81"/>
    </row>
    <row r="42" spans="2:144" s="39" customFormat="1" ht="0.75" customHeight="1">
      <c r="B42" s="44" t="s">
        <v>106</v>
      </c>
      <c r="C42" s="40"/>
      <c r="D42" s="40"/>
      <c r="E42" s="40"/>
      <c r="F42" s="40"/>
      <c r="G42" s="40"/>
      <c r="H42" s="40"/>
      <c r="I42" s="92"/>
      <c r="J42" s="92"/>
      <c r="K42" s="92"/>
      <c r="L42" s="92"/>
      <c r="M42" s="92"/>
      <c r="N42" s="92"/>
      <c r="O42" s="92">
        <v>88</v>
      </c>
      <c r="P42" s="92">
        <v>101</v>
      </c>
      <c r="Q42" s="92">
        <v>109</v>
      </c>
      <c r="R42" s="92">
        <v>132</v>
      </c>
      <c r="S42" s="92">
        <v>130</v>
      </c>
      <c r="T42" s="92">
        <v>140</v>
      </c>
      <c r="U42" s="92">
        <v>142</v>
      </c>
      <c r="V42" s="92">
        <v>157</v>
      </c>
      <c r="W42" s="92">
        <v>146</v>
      </c>
      <c r="X42" s="92">
        <v>124</v>
      </c>
      <c r="Y42" s="92">
        <v>127</v>
      </c>
      <c r="Z42" s="92">
        <v>133</v>
      </c>
      <c r="AA42" s="92">
        <v>134</v>
      </c>
      <c r="AB42" s="92">
        <v>123</v>
      </c>
      <c r="AC42" s="91">
        <v>135</v>
      </c>
      <c r="AD42" s="92">
        <f>AC42</f>
        <v>135</v>
      </c>
      <c r="AE42" s="92">
        <v>149</v>
      </c>
      <c r="AF42" s="92">
        <v>161</v>
      </c>
      <c r="AG42" s="92">
        <v>148</v>
      </c>
      <c r="AH42" s="92">
        <f>AG42</f>
        <v>148</v>
      </c>
      <c r="AI42" s="127">
        <v>139</v>
      </c>
      <c r="AJ42" s="92">
        <v>149</v>
      </c>
      <c r="AK42" s="92">
        <v>155</v>
      </c>
      <c r="AL42" s="92">
        <v>175</v>
      </c>
      <c r="AM42" s="92">
        <v>153</v>
      </c>
      <c r="AN42" s="92">
        <v>150</v>
      </c>
      <c r="AO42" s="92">
        <v>135</v>
      </c>
      <c r="AP42" s="92">
        <v>174</v>
      </c>
      <c r="AQ42" s="92">
        <v>158</v>
      </c>
      <c r="AR42" s="92">
        <v>168</v>
      </c>
      <c r="AS42" s="92">
        <v>150</v>
      </c>
      <c r="AT42" s="92">
        <v>164</v>
      </c>
      <c r="AU42" s="92">
        <v>145</v>
      </c>
      <c r="AV42" s="92">
        <v>166</v>
      </c>
      <c r="AW42" s="92">
        <v>163</v>
      </c>
      <c r="AX42" s="92">
        <v>145</v>
      </c>
      <c r="AY42" s="92">
        <v>162</v>
      </c>
      <c r="AZ42" s="92">
        <v>163</v>
      </c>
      <c r="BA42" s="92">
        <v>151</v>
      </c>
      <c r="BB42" s="92">
        <v>183</v>
      </c>
      <c r="BC42" s="92">
        <v>166</v>
      </c>
      <c r="BD42" s="92">
        <v>156</v>
      </c>
      <c r="BE42" s="92">
        <v>183</v>
      </c>
      <c r="BF42" s="92">
        <v>175</v>
      </c>
      <c r="BG42" s="92">
        <v>163</v>
      </c>
      <c r="BH42" s="92">
        <v>134</v>
      </c>
      <c r="BI42" s="92">
        <v>139</v>
      </c>
      <c r="BJ42" s="92">
        <v>137</v>
      </c>
      <c r="BK42" s="92">
        <v>133</v>
      </c>
      <c r="BL42" s="92">
        <v>131</v>
      </c>
      <c r="BM42" s="92">
        <v>142</v>
      </c>
      <c r="BN42" s="92">
        <v>152</v>
      </c>
      <c r="BO42" s="92">
        <v>121</v>
      </c>
      <c r="BP42" s="92">
        <v>112</v>
      </c>
      <c r="BQ42" s="92">
        <v>94</v>
      </c>
      <c r="BR42" s="92">
        <v>95</v>
      </c>
      <c r="BS42" s="92">
        <v>91</v>
      </c>
      <c r="BT42" s="92">
        <v>87</v>
      </c>
      <c r="BU42" s="92">
        <v>79</v>
      </c>
      <c r="BV42" s="92">
        <v>69</v>
      </c>
      <c r="BW42" s="92">
        <v>61</v>
      </c>
      <c r="BX42" s="92">
        <v>67</v>
      </c>
      <c r="BY42" s="92">
        <v>62</v>
      </c>
      <c r="BZ42" s="92">
        <v>58</v>
      </c>
      <c r="CA42" s="92">
        <v>55</v>
      </c>
      <c r="CB42" s="92">
        <v>43</v>
      </c>
      <c r="CC42" s="92">
        <v>50</v>
      </c>
      <c r="CD42" s="92">
        <v>65</v>
      </c>
      <c r="CE42" s="92">
        <v>57</v>
      </c>
      <c r="CF42" s="92">
        <v>54</v>
      </c>
      <c r="CG42" s="92">
        <v>56</v>
      </c>
      <c r="CH42" s="92">
        <v>45</v>
      </c>
      <c r="CI42" s="92">
        <v>53</v>
      </c>
      <c r="CJ42" s="92">
        <v>42</v>
      </c>
      <c r="CK42" s="92">
        <v>43</v>
      </c>
      <c r="CL42" s="92">
        <v>36</v>
      </c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46"/>
      <c r="DF42" s="40" t="s">
        <v>440</v>
      </c>
      <c r="DG42" s="92" t="s">
        <v>440</v>
      </c>
      <c r="DH42" s="92">
        <v>276</v>
      </c>
      <c r="DI42" s="92">
        <f>SUM(O42:R42)</f>
        <v>430</v>
      </c>
      <c r="DJ42" s="92">
        <f>SUM(S42:V42)</f>
        <v>569</v>
      </c>
      <c r="DK42" s="92">
        <f>SUM(W42:Z42)</f>
        <v>530</v>
      </c>
      <c r="DL42" s="92">
        <f>SUM(AA42:AD42)</f>
        <v>527</v>
      </c>
      <c r="DM42" s="92">
        <f>SUM(AE42:AH42)</f>
        <v>606</v>
      </c>
      <c r="DN42" s="92">
        <f>SUM(AI42:AL42)</f>
        <v>618</v>
      </c>
      <c r="DO42" s="92">
        <f>SUM(AM42:AP42)</f>
        <v>612</v>
      </c>
      <c r="DP42" s="92">
        <f t="shared" si="102"/>
        <v>640</v>
      </c>
      <c r="DQ42" s="92">
        <f t="shared" si="103"/>
        <v>619</v>
      </c>
      <c r="DR42" s="92">
        <f t="shared" si="104"/>
        <v>659</v>
      </c>
      <c r="DS42" s="92">
        <f t="shared" si="105"/>
        <v>680</v>
      </c>
      <c r="DT42" s="92">
        <f>SUM(BG42:BJ42)</f>
        <v>573</v>
      </c>
      <c r="DU42" s="92">
        <f>SUM(BK42:BN42)</f>
        <v>558</v>
      </c>
      <c r="DV42" s="92">
        <f>SUM(BO42:BR42)</f>
        <v>422</v>
      </c>
      <c r="DW42" s="92">
        <f>SUM(BS42:BV42)</f>
        <v>326</v>
      </c>
      <c r="DX42" s="92">
        <f>SUM(BW42:BZ42)</f>
        <v>248</v>
      </c>
      <c r="DY42" s="92">
        <f>SUM(CA42:CD42)</f>
        <v>213</v>
      </c>
      <c r="DZ42" s="92">
        <f>SUM(CE42:CH42)</f>
        <v>212</v>
      </c>
      <c r="EA42" s="92">
        <f>SUM(CI42:CL42)</f>
        <v>174</v>
      </c>
      <c r="EB42" s="92"/>
      <c r="EC42" s="92"/>
      <c r="ED42" s="92"/>
      <c r="EE42" s="92"/>
      <c r="EG42" s="28"/>
    </row>
    <row r="43" spans="2:144" s="8" customFormat="1" ht="0.75" customHeight="1">
      <c r="B43" s="45" t="s">
        <v>567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4" t="s">
        <v>536</v>
      </c>
      <c r="AE43" s="94" t="s">
        <v>535</v>
      </c>
      <c r="AF43" s="94" t="s">
        <v>555</v>
      </c>
      <c r="AG43" s="94" t="s">
        <v>548</v>
      </c>
      <c r="AH43" s="94" t="s">
        <v>535</v>
      </c>
      <c r="AI43" s="128" t="s">
        <v>521</v>
      </c>
      <c r="AJ43" s="94" t="s">
        <v>512</v>
      </c>
      <c r="AK43" s="94" t="s">
        <v>501</v>
      </c>
      <c r="AL43" s="92">
        <v>216</v>
      </c>
      <c r="AM43" s="92">
        <v>186</v>
      </c>
      <c r="AN43" s="92">
        <v>185</v>
      </c>
      <c r="AO43" s="92">
        <v>168</v>
      </c>
      <c r="AP43" s="92">
        <v>198</v>
      </c>
      <c r="AQ43" s="92">
        <v>166</v>
      </c>
      <c r="AR43" s="92">
        <v>154</v>
      </c>
      <c r="AS43" s="92">
        <v>163</v>
      </c>
      <c r="AT43" s="92">
        <v>175</v>
      </c>
      <c r="AU43" s="92">
        <v>162</v>
      </c>
      <c r="AV43" s="92">
        <v>183</v>
      </c>
      <c r="AW43" s="92">
        <v>165</v>
      </c>
      <c r="AX43" s="92">
        <v>143</v>
      </c>
      <c r="AY43" s="92">
        <v>126</v>
      </c>
      <c r="AZ43" s="92">
        <v>142</v>
      </c>
      <c r="BA43" s="92">
        <v>104</v>
      </c>
      <c r="BB43" s="92">
        <v>124</v>
      </c>
      <c r="BC43" s="92">
        <v>112</v>
      </c>
      <c r="BD43" s="92">
        <v>103</v>
      </c>
      <c r="BE43" s="92">
        <v>84</v>
      </c>
      <c r="BF43" s="92">
        <v>81</v>
      </c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47"/>
      <c r="DF43" s="92"/>
      <c r="DG43" s="92"/>
      <c r="DH43" s="92"/>
      <c r="DI43" s="92"/>
      <c r="DJ43" s="92"/>
      <c r="DK43" s="92"/>
      <c r="DL43" s="92"/>
      <c r="DM43" s="94" t="s">
        <v>566</v>
      </c>
      <c r="DN43" s="94" t="s">
        <v>565</v>
      </c>
      <c r="DO43" s="92">
        <f t="shared" ref="DO43:DO46" si="106">SUM(AM43:AP43)</f>
        <v>737</v>
      </c>
      <c r="DP43" s="92">
        <f t="shared" si="102"/>
        <v>658</v>
      </c>
      <c r="DQ43" s="92">
        <f t="shared" si="103"/>
        <v>653</v>
      </c>
      <c r="DR43" s="92">
        <f t="shared" si="104"/>
        <v>496</v>
      </c>
      <c r="DS43" s="92">
        <f t="shared" si="105"/>
        <v>380</v>
      </c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G43" s="28"/>
      <c r="EJ43" s="81"/>
    </row>
    <row r="44" spans="2:144" s="8" customFormat="1" ht="0.75" customHeight="1">
      <c r="B44" s="45" t="s">
        <v>753</v>
      </c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4"/>
      <c r="AE44" s="94"/>
      <c r="AF44" s="94"/>
      <c r="AG44" s="94"/>
      <c r="AH44" s="94"/>
      <c r="AI44" s="94"/>
      <c r="AJ44" s="94"/>
      <c r="AK44" s="94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>
        <v>187</v>
      </c>
      <c r="BH44" s="92">
        <v>293</v>
      </c>
      <c r="BI44" s="92">
        <v>325</v>
      </c>
      <c r="BJ44" s="92">
        <v>322</v>
      </c>
      <c r="BK44" s="92">
        <v>292</v>
      </c>
      <c r="BL44" s="92">
        <v>357</v>
      </c>
      <c r="BM44" s="92">
        <v>320</v>
      </c>
      <c r="BN44" s="92">
        <v>119</v>
      </c>
      <c r="BO44" s="92">
        <v>96</v>
      </c>
      <c r="BP44" s="92">
        <v>103</v>
      </c>
      <c r="BQ44" s="92">
        <v>91</v>
      </c>
      <c r="BR44" s="92">
        <v>92</v>
      </c>
      <c r="BS44" s="92">
        <v>98</v>
      </c>
      <c r="BT44" s="92">
        <v>94</v>
      </c>
      <c r="BU44" s="92">
        <v>95</v>
      </c>
      <c r="BV44" s="92">
        <v>80</v>
      </c>
      <c r="BW44" s="92">
        <v>88</v>
      </c>
      <c r="BX44" s="92">
        <v>67</v>
      </c>
      <c r="BY44" s="92">
        <v>52</v>
      </c>
      <c r="BZ44" s="92">
        <v>50</v>
      </c>
      <c r="CA44" s="92">
        <v>46</v>
      </c>
      <c r="CB44" s="92">
        <v>32</v>
      </c>
      <c r="CC44" s="94" t="s">
        <v>625</v>
      </c>
      <c r="CD44" s="92">
        <v>36</v>
      </c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47"/>
      <c r="DF44" s="92"/>
      <c r="DG44" s="92"/>
      <c r="DH44" s="92"/>
      <c r="DI44" s="92"/>
      <c r="DJ44" s="92"/>
      <c r="DK44" s="92"/>
      <c r="DL44" s="92"/>
      <c r="DM44" s="94"/>
      <c r="DN44" s="94"/>
      <c r="DO44" s="92"/>
      <c r="DP44" s="92"/>
      <c r="DQ44" s="92"/>
      <c r="DR44" s="92"/>
      <c r="DS44" s="92"/>
      <c r="DT44" s="92">
        <f t="shared" ref="DT44:DT55" si="107">SUM(BG44:BJ44)</f>
        <v>1127</v>
      </c>
      <c r="DU44" s="92">
        <f t="shared" ref="DU44:DU55" si="108">SUM(BK44:BN44)</f>
        <v>1088</v>
      </c>
      <c r="DV44" s="92">
        <f t="shared" ref="DV44:DV58" si="109">SUM(BO44:BR44)</f>
        <v>382</v>
      </c>
      <c r="DW44" s="92">
        <f t="shared" ref="DW44:DW58" si="110">SUM(BS44:BV44)</f>
        <v>367</v>
      </c>
      <c r="DX44" s="92">
        <f>SUM(BW44:BZ44)</f>
        <v>257</v>
      </c>
      <c r="DY44" s="92">
        <f>SUM(CA44:CD44)</f>
        <v>114</v>
      </c>
      <c r="DZ44" s="92"/>
      <c r="EA44" s="92"/>
      <c r="EB44" s="92"/>
      <c r="EC44" s="92"/>
      <c r="ED44" s="92"/>
      <c r="EE44" s="92"/>
      <c r="EG44" s="28"/>
      <c r="EJ44" s="81"/>
    </row>
    <row r="45" spans="2:144" s="8" customFormat="1" ht="0.75" customHeight="1">
      <c r="B45" s="45" t="s">
        <v>617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4" t="s">
        <v>540</v>
      </c>
      <c r="AE45" s="94" t="s">
        <v>514</v>
      </c>
      <c r="AF45" s="94" t="s">
        <v>557</v>
      </c>
      <c r="AG45" s="94" t="s">
        <v>550</v>
      </c>
      <c r="AH45" s="94" t="s">
        <v>539</v>
      </c>
      <c r="AI45" s="128" t="s">
        <v>506</v>
      </c>
      <c r="AJ45" s="94" t="s">
        <v>514</v>
      </c>
      <c r="AK45" s="94" t="s">
        <v>505</v>
      </c>
      <c r="AL45" s="92">
        <v>96</v>
      </c>
      <c r="AM45" s="92">
        <v>134</v>
      </c>
      <c r="AN45" s="92">
        <v>137</v>
      </c>
      <c r="AO45" s="92">
        <v>119</v>
      </c>
      <c r="AP45" s="92">
        <v>138</v>
      </c>
      <c r="AQ45" s="92">
        <v>133</v>
      </c>
      <c r="AR45" s="92">
        <v>143</v>
      </c>
      <c r="AS45" s="92">
        <v>129</v>
      </c>
      <c r="AT45" s="92">
        <v>126</v>
      </c>
      <c r="AU45" s="92">
        <v>116</v>
      </c>
      <c r="AV45" s="92">
        <v>125</v>
      </c>
      <c r="AW45" s="92">
        <v>111</v>
      </c>
      <c r="AX45" s="92">
        <v>116</v>
      </c>
      <c r="AY45" s="92">
        <v>122</v>
      </c>
      <c r="AZ45" s="92">
        <v>134</v>
      </c>
      <c r="BA45" s="92">
        <v>124</v>
      </c>
      <c r="BB45" s="92">
        <v>101</v>
      </c>
      <c r="BC45" s="92">
        <v>110</v>
      </c>
      <c r="BD45" s="92">
        <v>102</v>
      </c>
      <c r="BE45" s="92">
        <v>97</v>
      </c>
      <c r="BF45" s="92">
        <v>102</v>
      </c>
      <c r="BG45" s="92">
        <v>82</v>
      </c>
      <c r="BH45" s="92">
        <v>111</v>
      </c>
      <c r="BI45" s="92">
        <v>95</v>
      </c>
      <c r="BJ45" s="92">
        <v>95</v>
      </c>
      <c r="BK45" s="92">
        <v>94</v>
      </c>
      <c r="BL45" s="92">
        <v>73</v>
      </c>
      <c r="BM45" s="92">
        <v>101</v>
      </c>
      <c r="BN45" s="92">
        <v>87</v>
      </c>
      <c r="BO45" s="92">
        <v>81</v>
      </c>
      <c r="BP45" s="92">
        <v>79</v>
      </c>
      <c r="BQ45" s="92">
        <v>72</v>
      </c>
      <c r="BR45" s="92">
        <v>66</v>
      </c>
      <c r="BS45" s="92">
        <v>67</v>
      </c>
      <c r="BT45" s="92">
        <v>70</v>
      </c>
      <c r="BU45" s="92">
        <v>60</v>
      </c>
      <c r="BV45" s="92">
        <v>70</v>
      </c>
      <c r="BW45" s="92">
        <v>57</v>
      </c>
      <c r="BX45" s="92">
        <v>63</v>
      </c>
      <c r="BY45" s="92">
        <v>62</v>
      </c>
      <c r="BZ45" s="92">
        <v>58</v>
      </c>
      <c r="CA45" s="92">
        <v>41</v>
      </c>
      <c r="CB45" s="92">
        <v>44</v>
      </c>
      <c r="CC45" s="94" t="s">
        <v>622</v>
      </c>
      <c r="CD45" s="92">
        <v>57</v>
      </c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47"/>
      <c r="DF45" s="92"/>
      <c r="DG45" s="92"/>
      <c r="DH45" s="92"/>
      <c r="DI45" s="92"/>
      <c r="DJ45" s="92"/>
      <c r="DK45" s="92"/>
      <c r="DL45" s="92"/>
      <c r="DM45" s="92"/>
      <c r="DN45" s="92"/>
      <c r="DO45" s="92">
        <f t="shared" si="106"/>
        <v>528</v>
      </c>
      <c r="DP45" s="92">
        <f t="shared" ref="DP45:DP55" si="111">SUM(AQ45:AT45)</f>
        <v>531</v>
      </c>
      <c r="DQ45" s="92">
        <f t="shared" ref="DQ45:DQ55" si="112">SUM(AU45:AX45)</f>
        <v>468</v>
      </c>
      <c r="DR45" s="92">
        <f t="shared" ref="DR45:DR55" si="113">SUM(AY45:BB45)</f>
        <v>481</v>
      </c>
      <c r="DS45" s="92">
        <f t="shared" ref="DS45:DS55" si="114">SUM(BC45:BF45)</f>
        <v>411</v>
      </c>
      <c r="DT45" s="92">
        <f t="shared" si="107"/>
        <v>383</v>
      </c>
      <c r="DU45" s="92">
        <f t="shared" si="108"/>
        <v>355</v>
      </c>
      <c r="DV45" s="92">
        <f t="shared" si="109"/>
        <v>298</v>
      </c>
      <c r="DW45" s="92">
        <f t="shared" si="110"/>
        <v>267</v>
      </c>
      <c r="DX45" s="92">
        <f>SUM(BW45:BZ45)</f>
        <v>240</v>
      </c>
      <c r="DY45" s="92">
        <f>SUM(CA45:CD45)</f>
        <v>142</v>
      </c>
      <c r="DZ45" s="92"/>
      <c r="EA45" s="92"/>
      <c r="EB45" s="92"/>
      <c r="EC45" s="92"/>
      <c r="ED45" s="92"/>
      <c r="EE45" s="92"/>
      <c r="EG45" s="28"/>
    </row>
    <row r="46" spans="2:144" s="8" customFormat="1" ht="0.75" customHeight="1">
      <c r="B46" s="45" t="s">
        <v>610</v>
      </c>
      <c r="C46" s="9"/>
      <c r="D46" s="9"/>
      <c r="E46" s="9"/>
      <c r="F46" s="9"/>
      <c r="G46" s="7"/>
      <c r="H46" s="7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128" t="s">
        <v>626</v>
      </c>
      <c r="AJ46" s="92">
        <v>43</v>
      </c>
      <c r="AK46" s="92">
        <v>45</v>
      </c>
      <c r="AL46" s="92">
        <v>53</v>
      </c>
      <c r="AM46" s="92">
        <v>51</v>
      </c>
      <c r="AN46" s="92">
        <v>51</v>
      </c>
      <c r="AO46" s="92">
        <v>64</v>
      </c>
      <c r="AP46" s="92">
        <v>71</v>
      </c>
      <c r="AQ46" s="92">
        <v>60</v>
      </c>
      <c r="AR46" s="92">
        <v>81</v>
      </c>
      <c r="AS46" s="92">
        <v>80</v>
      </c>
      <c r="AT46" s="92">
        <v>74</v>
      </c>
      <c r="AU46" s="92">
        <v>76</v>
      </c>
      <c r="AV46" s="92">
        <v>85</v>
      </c>
      <c r="AW46" s="92">
        <v>93</v>
      </c>
      <c r="AX46" s="92">
        <v>94</v>
      </c>
      <c r="AY46" s="92">
        <v>84</v>
      </c>
      <c r="AZ46" s="92">
        <v>102</v>
      </c>
      <c r="BA46" s="92">
        <v>96</v>
      </c>
      <c r="BB46" s="92">
        <v>120</v>
      </c>
      <c r="BC46" s="92">
        <v>102</v>
      </c>
      <c r="BD46" s="92">
        <v>119</v>
      </c>
      <c r="BE46" s="92">
        <v>158</v>
      </c>
      <c r="BF46" s="92">
        <v>123</v>
      </c>
      <c r="BG46" s="92">
        <v>137</v>
      </c>
      <c r="BH46" s="92">
        <v>124</v>
      </c>
      <c r="BI46" s="92">
        <v>176</v>
      </c>
      <c r="BJ46" s="92">
        <v>151</v>
      </c>
      <c r="BK46" s="92">
        <v>134</v>
      </c>
      <c r="BL46" s="92">
        <v>164</v>
      </c>
      <c r="BM46" s="92">
        <v>148</v>
      </c>
      <c r="BN46" s="92">
        <v>160</v>
      </c>
      <c r="BO46" s="92">
        <v>170</v>
      </c>
      <c r="BP46" s="92">
        <v>178</v>
      </c>
      <c r="BQ46" s="92">
        <v>155</v>
      </c>
      <c r="BR46" s="92">
        <v>183</v>
      </c>
      <c r="BS46" s="92">
        <v>174</v>
      </c>
      <c r="BT46" s="92">
        <v>174</v>
      </c>
      <c r="BU46" s="92">
        <v>186</v>
      </c>
      <c r="BV46" s="92">
        <v>169</v>
      </c>
      <c r="BW46" s="92">
        <v>199</v>
      </c>
      <c r="BX46" s="92">
        <v>183</v>
      </c>
      <c r="BY46" s="92">
        <v>199</v>
      </c>
      <c r="BZ46" s="92">
        <v>206</v>
      </c>
      <c r="CA46" s="92">
        <v>195</v>
      </c>
      <c r="CB46" s="92">
        <v>132</v>
      </c>
      <c r="CC46" s="94" t="s">
        <v>780</v>
      </c>
      <c r="CD46" s="92">
        <v>165</v>
      </c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47"/>
      <c r="DF46" s="9"/>
      <c r="DG46" s="92"/>
      <c r="DH46" s="92"/>
      <c r="DI46" s="92"/>
      <c r="DJ46" s="92"/>
      <c r="DK46" s="92"/>
      <c r="DL46" s="92"/>
      <c r="DM46" s="92"/>
      <c r="DN46" s="92"/>
      <c r="DO46" s="92">
        <f t="shared" si="106"/>
        <v>237</v>
      </c>
      <c r="DP46" s="92">
        <f t="shared" si="111"/>
        <v>295</v>
      </c>
      <c r="DQ46" s="92">
        <f t="shared" si="112"/>
        <v>348</v>
      </c>
      <c r="DR46" s="92">
        <f t="shared" si="113"/>
        <v>402</v>
      </c>
      <c r="DS46" s="92">
        <f t="shared" si="114"/>
        <v>502</v>
      </c>
      <c r="DT46" s="92">
        <f t="shared" si="107"/>
        <v>588</v>
      </c>
      <c r="DU46" s="92">
        <f t="shared" si="108"/>
        <v>606</v>
      </c>
      <c r="DV46" s="92">
        <f t="shared" si="109"/>
        <v>686</v>
      </c>
      <c r="DW46" s="92">
        <f t="shared" si="110"/>
        <v>703</v>
      </c>
      <c r="DX46" s="92">
        <f>SUM(BW46:BZ46)</f>
        <v>787</v>
      </c>
      <c r="DY46" s="92">
        <f>SUM(CA46:CD46)</f>
        <v>492</v>
      </c>
      <c r="DZ46" s="92"/>
      <c r="EA46" s="92"/>
      <c r="EB46" s="92"/>
      <c r="EC46" s="92"/>
      <c r="ED46" s="92"/>
      <c r="EE46" s="92"/>
      <c r="EG46" s="28"/>
    </row>
    <row r="47" spans="2:144" s="8" customFormat="1" ht="0.75" customHeight="1">
      <c r="B47" s="45" t="s">
        <v>674</v>
      </c>
      <c r="C47" s="9"/>
      <c r="D47" s="9"/>
      <c r="E47" s="9"/>
      <c r="F47" s="9"/>
      <c r="G47" s="7"/>
      <c r="H47" s="7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1"/>
      <c r="AD47" s="92"/>
      <c r="AE47" s="92"/>
      <c r="AF47" s="92"/>
      <c r="AG47" s="92"/>
      <c r="AH47" s="92"/>
      <c r="AI47" s="94"/>
      <c r="AJ47" s="92"/>
      <c r="AK47" s="92"/>
      <c r="AL47" s="92"/>
      <c r="AM47" s="92"/>
      <c r="AN47" s="92"/>
      <c r="AO47" s="92"/>
      <c r="AP47" s="92"/>
      <c r="AQ47" s="92">
        <v>13</v>
      </c>
      <c r="AR47" s="92">
        <v>25</v>
      </c>
      <c r="AS47" s="92">
        <v>22</v>
      </c>
      <c r="AT47" s="92">
        <v>37</v>
      </c>
      <c r="AU47" s="92">
        <v>39</v>
      </c>
      <c r="AV47" s="92">
        <v>50</v>
      </c>
      <c r="AW47" s="92">
        <v>52</v>
      </c>
      <c r="AX47" s="92">
        <v>67</v>
      </c>
      <c r="AY47" s="92">
        <v>68</v>
      </c>
      <c r="AZ47" s="92">
        <v>79</v>
      </c>
      <c r="BA47" s="92">
        <v>82</v>
      </c>
      <c r="BB47" s="92">
        <v>95</v>
      </c>
      <c r="BC47" s="92">
        <v>102</v>
      </c>
      <c r="BD47" s="92">
        <v>103</v>
      </c>
      <c r="BE47" s="92">
        <v>124</v>
      </c>
      <c r="BF47" s="92">
        <v>132</v>
      </c>
      <c r="BG47" s="92">
        <v>130</v>
      </c>
      <c r="BH47" s="92">
        <v>120</v>
      </c>
      <c r="BI47" s="92">
        <v>133</v>
      </c>
      <c r="BJ47" s="92">
        <v>153</v>
      </c>
      <c r="BK47" s="92">
        <v>113</v>
      </c>
      <c r="BL47" s="92">
        <v>121</v>
      </c>
      <c r="BM47" s="92">
        <v>97</v>
      </c>
      <c r="BN47" s="92">
        <v>105</v>
      </c>
      <c r="BO47" s="92">
        <v>82</v>
      </c>
      <c r="BP47" s="92">
        <v>69</v>
      </c>
      <c r="BQ47" s="92">
        <v>59</v>
      </c>
      <c r="BR47" s="92">
        <v>77</v>
      </c>
      <c r="BS47" s="92">
        <v>57</v>
      </c>
      <c r="BT47" s="92">
        <v>42</v>
      </c>
      <c r="BU47" s="92">
        <v>50</v>
      </c>
      <c r="BV47" s="92">
        <v>65</v>
      </c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47"/>
      <c r="DF47" s="9"/>
      <c r="DG47" s="96"/>
      <c r="DH47" s="92"/>
      <c r="DI47" s="92"/>
      <c r="DJ47" s="92"/>
      <c r="DK47" s="92"/>
      <c r="DL47" s="92"/>
      <c r="DM47" s="92"/>
      <c r="DN47" s="92"/>
      <c r="DO47" s="92"/>
      <c r="DP47" s="92">
        <f t="shared" si="111"/>
        <v>97</v>
      </c>
      <c r="DQ47" s="92">
        <f t="shared" si="112"/>
        <v>208</v>
      </c>
      <c r="DR47" s="92">
        <f t="shared" si="113"/>
        <v>324</v>
      </c>
      <c r="DS47" s="92">
        <f t="shared" si="114"/>
        <v>461</v>
      </c>
      <c r="DT47" s="92">
        <f t="shared" si="107"/>
        <v>536</v>
      </c>
      <c r="DU47" s="92">
        <f t="shared" si="108"/>
        <v>436</v>
      </c>
      <c r="DV47" s="92">
        <f t="shared" si="109"/>
        <v>287</v>
      </c>
      <c r="DW47" s="92">
        <f t="shared" si="110"/>
        <v>214</v>
      </c>
      <c r="DX47" s="92"/>
      <c r="DY47" s="92"/>
      <c r="DZ47" s="92"/>
      <c r="EA47" s="92"/>
      <c r="EB47" s="92"/>
      <c r="EC47" s="92"/>
      <c r="ED47" s="92"/>
      <c r="EE47" s="92"/>
      <c r="EG47" s="28"/>
    </row>
    <row r="48" spans="2:144" s="8" customFormat="1" ht="0.75" customHeight="1">
      <c r="B48" s="45" t="s">
        <v>128</v>
      </c>
      <c r="C48" s="9"/>
      <c r="D48" s="9"/>
      <c r="E48" s="9"/>
      <c r="F48" s="9"/>
      <c r="G48" s="7"/>
      <c r="H48" s="7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>
        <v>1</v>
      </c>
      <c r="Y48" s="92">
        <v>10</v>
      </c>
      <c r="Z48" s="92">
        <v>27</v>
      </c>
      <c r="AA48" s="92">
        <v>43</v>
      </c>
      <c r="AB48" s="92">
        <v>47</v>
      </c>
      <c r="AC48" s="91">
        <v>61</v>
      </c>
      <c r="AD48" s="92">
        <v>80</v>
      </c>
      <c r="AE48" s="92">
        <v>74</v>
      </c>
      <c r="AF48" s="92">
        <v>66</v>
      </c>
      <c r="AG48" s="92">
        <v>11</v>
      </c>
      <c r="AH48" s="92">
        <v>162</v>
      </c>
      <c r="AI48" s="127">
        <v>75</v>
      </c>
      <c r="AJ48" s="92">
        <v>42</v>
      </c>
      <c r="AK48" s="92">
        <v>84</v>
      </c>
      <c r="AL48" s="92">
        <v>76</v>
      </c>
      <c r="AM48" s="92">
        <v>95</v>
      </c>
      <c r="AN48" s="92">
        <v>18</v>
      </c>
      <c r="AO48" s="92">
        <v>23</v>
      </c>
      <c r="AP48" s="92">
        <v>107</v>
      </c>
      <c r="AQ48" s="92">
        <v>24</v>
      </c>
      <c r="AR48" s="92">
        <v>122</v>
      </c>
      <c r="AS48" s="92">
        <v>108</v>
      </c>
      <c r="AT48" s="92">
        <v>78</v>
      </c>
      <c r="AU48" s="92">
        <v>76</v>
      </c>
      <c r="AV48" s="92">
        <v>148</v>
      </c>
      <c r="AW48" s="92">
        <v>202</v>
      </c>
      <c r="AX48" s="92">
        <v>225</v>
      </c>
      <c r="AY48" s="92">
        <v>168</v>
      </c>
      <c r="AZ48" s="92">
        <v>141</v>
      </c>
      <c r="BA48" s="92">
        <v>185</v>
      </c>
      <c r="BB48" s="92">
        <v>264</v>
      </c>
      <c r="BC48" s="92">
        <v>142</v>
      </c>
      <c r="BD48" s="92">
        <v>156</v>
      </c>
      <c r="BE48" s="92">
        <v>181</v>
      </c>
      <c r="BF48" s="92">
        <v>285</v>
      </c>
      <c r="BG48" s="92">
        <v>175</v>
      </c>
      <c r="BH48" s="92">
        <v>149</v>
      </c>
      <c r="BI48" s="92">
        <v>179</v>
      </c>
      <c r="BJ48" s="92">
        <v>246</v>
      </c>
      <c r="BK48" s="92">
        <v>125</v>
      </c>
      <c r="BL48" s="92">
        <v>149</v>
      </c>
      <c r="BM48" s="92">
        <v>190</v>
      </c>
      <c r="BN48" s="92">
        <v>221</v>
      </c>
      <c r="BO48" s="92">
        <v>154</v>
      </c>
      <c r="BP48" s="92">
        <v>160</v>
      </c>
      <c r="BQ48" s="92">
        <v>234</v>
      </c>
      <c r="BR48" s="92">
        <v>121</v>
      </c>
      <c r="BS48" s="92">
        <v>65</v>
      </c>
      <c r="BT48" s="92">
        <v>44</v>
      </c>
      <c r="BU48" s="92">
        <v>54</v>
      </c>
      <c r="BV48" s="92">
        <v>54</v>
      </c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47"/>
      <c r="DF48" s="9" t="s">
        <v>440</v>
      </c>
      <c r="DG48" s="92" t="s">
        <v>440</v>
      </c>
      <c r="DH48" s="92" t="s">
        <v>440</v>
      </c>
      <c r="DI48" s="92">
        <f>SUM(O48:R48)</f>
        <v>0</v>
      </c>
      <c r="DJ48" s="92">
        <f>SUM(S48:V48)</f>
        <v>0</v>
      </c>
      <c r="DK48" s="92">
        <f>SUM(W48:Z48)</f>
        <v>38</v>
      </c>
      <c r="DL48" s="92">
        <f>SUM(AA48:AD48)</f>
        <v>231</v>
      </c>
      <c r="DM48" s="92">
        <f>SUM(AE48:AH48)</f>
        <v>313</v>
      </c>
      <c r="DN48" s="92">
        <f>SUM(AI48:AL48)</f>
        <v>277</v>
      </c>
      <c r="DO48" s="92">
        <f t="shared" ref="DO48:DO55" si="115">SUM(AM48:AP48)</f>
        <v>243</v>
      </c>
      <c r="DP48" s="92">
        <f t="shared" si="111"/>
        <v>332</v>
      </c>
      <c r="DQ48" s="92">
        <f t="shared" si="112"/>
        <v>651</v>
      </c>
      <c r="DR48" s="92">
        <f t="shared" si="113"/>
        <v>758</v>
      </c>
      <c r="DS48" s="92">
        <f t="shared" si="114"/>
        <v>764</v>
      </c>
      <c r="DT48" s="92">
        <f t="shared" si="107"/>
        <v>749</v>
      </c>
      <c r="DU48" s="92">
        <f t="shared" si="108"/>
        <v>685</v>
      </c>
      <c r="DV48" s="92">
        <f t="shared" si="109"/>
        <v>669</v>
      </c>
      <c r="DW48" s="92">
        <f t="shared" si="110"/>
        <v>217</v>
      </c>
      <c r="DX48" s="92"/>
      <c r="DY48" s="92"/>
      <c r="DZ48" s="92"/>
      <c r="EA48" s="92"/>
      <c r="EB48" s="92"/>
      <c r="EC48" s="92"/>
      <c r="ED48" s="92"/>
      <c r="EE48" s="92"/>
      <c r="EG48" s="28"/>
    </row>
    <row r="49" spans="2:140" s="39" customFormat="1" ht="0.75" customHeight="1">
      <c r="B49" s="44" t="s">
        <v>693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4" t="s">
        <v>542</v>
      </c>
      <c r="AE49" s="94" t="s">
        <v>516</v>
      </c>
      <c r="AF49" s="94" t="s">
        <v>558</v>
      </c>
      <c r="AG49" s="94" t="s">
        <v>551</v>
      </c>
      <c r="AH49" s="94" t="s">
        <v>541</v>
      </c>
      <c r="AI49" s="128" t="s">
        <v>523</v>
      </c>
      <c r="AJ49" s="94" t="s">
        <v>515</v>
      </c>
      <c r="AK49" s="94" t="s">
        <v>506</v>
      </c>
      <c r="AL49" s="92">
        <v>88</v>
      </c>
      <c r="AM49" s="92">
        <v>135</v>
      </c>
      <c r="AN49" s="92">
        <v>145</v>
      </c>
      <c r="AO49" s="92">
        <v>134</v>
      </c>
      <c r="AP49" s="92">
        <v>145</v>
      </c>
      <c r="AQ49" s="92">
        <v>142</v>
      </c>
      <c r="AR49" s="92">
        <v>154</v>
      </c>
      <c r="AS49" s="92">
        <v>159</v>
      </c>
      <c r="AT49" s="92">
        <v>168</v>
      </c>
      <c r="AU49" s="92">
        <v>146</v>
      </c>
      <c r="AV49" s="92">
        <v>157</v>
      </c>
      <c r="AW49" s="92">
        <v>156</v>
      </c>
      <c r="AX49" s="92">
        <v>164</v>
      </c>
      <c r="AY49" s="92">
        <v>151</v>
      </c>
      <c r="AZ49" s="92">
        <v>171</v>
      </c>
      <c r="BA49" s="92">
        <v>170</v>
      </c>
      <c r="BB49" s="92">
        <v>193</v>
      </c>
      <c r="BC49" s="92">
        <v>168</v>
      </c>
      <c r="BD49" s="92">
        <v>178</v>
      </c>
      <c r="BE49" s="92">
        <v>186</v>
      </c>
      <c r="BF49" s="92">
        <v>191</v>
      </c>
      <c r="BG49" s="92">
        <v>166</v>
      </c>
      <c r="BH49" s="92">
        <v>182</v>
      </c>
      <c r="BI49" s="92">
        <v>190</v>
      </c>
      <c r="BJ49" s="92">
        <v>193</v>
      </c>
      <c r="BK49" s="92">
        <v>175</v>
      </c>
      <c r="BL49" s="92">
        <v>200</v>
      </c>
      <c r="BM49" s="92">
        <v>195</v>
      </c>
      <c r="BN49" s="92">
        <v>207</v>
      </c>
      <c r="BO49" s="92">
        <v>160</v>
      </c>
      <c r="BP49" s="92">
        <v>199</v>
      </c>
      <c r="BQ49" s="92">
        <v>214</v>
      </c>
      <c r="BR49" s="92">
        <v>188</v>
      </c>
      <c r="BS49" s="92">
        <v>216</v>
      </c>
      <c r="BT49" s="92">
        <v>236</v>
      </c>
      <c r="BU49" s="92">
        <v>234</v>
      </c>
      <c r="BV49" s="92">
        <v>216</v>
      </c>
      <c r="BW49" s="92">
        <v>219</v>
      </c>
      <c r="BX49" s="92">
        <v>240</v>
      </c>
      <c r="BY49" s="92">
        <v>241</v>
      </c>
      <c r="BZ49" s="92">
        <v>179</v>
      </c>
      <c r="CA49" s="92">
        <v>63</v>
      </c>
      <c r="CB49" s="92">
        <v>63</v>
      </c>
      <c r="CC49" s="94" t="s">
        <v>779</v>
      </c>
      <c r="CD49" s="92">
        <v>53</v>
      </c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46"/>
      <c r="DF49" s="92"/>
      <c r="DG49" s="92"/>
      <c r="DH49" s="92"/>
      <c r="DI49" s="92"/>
      <c r="DJ49" s="92"/>
      <c r="DK49" s="92"/>
      <c r="DL49" s="92"/>
      <c r="DM49" s="92"/>
      <c r="DN49" s="92"/>
      <c r="DO49" s="92">
        <f t="shared" si="115"/>
        <v>559</v>
      </c>
      <c r="DP49" s="92">
        <f t="shared" si="111"/>
        <v>623</v>
      </c>
      <c r="DQ49" s="92">
        <f t="shared" si="112"/>
        <v>623</v>
      </c>
      <c r="DR49" s="92">
        <f t="shared" si="113"/>
        <v>685</v>
      </c>
      <c r="DS49" s="92">
        <f t="shared" si="114"/>
        <v>723</v>
      </c>
      <c r="DT49" s="92">
        <f t="shared" si="107"/>
        <v>731</v>
      </c>
      <c r="DU49" s="92">
        <f t="shared" si="108"/>
        <v>777</v>
      </c>
      <c r="DV49" s="92">
        <f t="shared" si="109"/>
        <v>761</v>
      </c>
      <c r="DW49" s="92">
        <f t="shared" si="110"/>
        <v>902</v>
      </c>
      <c r="DX49" s="92">
        <f>SUM(BW49:BZ49)</f>
        <v>879</v>
      </c>
      <c r="DY49" s="92">
        <f>SUM(CA49:CD49)</f>
        <v>179</v>
      </c>
      <c r="DZ49" s="92"/>
      <c r="EA49" s="92"/>
      <c r="EB49" s="92"/>
      <c r="EC49" s="92"/>
      <c r="ED49" s="92"/>
      <c r="EE49" s="92"/>
      <c r="EG49" s="28"/>
    </row>
    <row r="50" spans="2:140" s="8" customFormat="1" ht="0.75" customHeight="1">
      <c r="B50" s="45" t="s">
        <v>107</v>
      </c>
      <c r="C50" s="9"/>
      <c r="D50" s="9"/>
      <c r="E50" s="9"/>
      <c r="F50" s="9"/>
      <c r="G50" s="7"/>
      <c r="H50" s="7"/>
      <c r="I50" s="92"/>
      <c r="J50" s="92"/>
      <c r="K50" s="92"/>
      <c r="L50" s="92"/>
      <c r="M50" s="92"/>
      <c r="N50" s="92"/>
      <c r="O50" s="92">
        <v>30</v>
      </c>
      <c r="P50" s="92">
        <v>62</v>
      </c>
      <c r="Q50" s="92">
        <v>61</v>
      </c>
      <c r="R50" s="92">
        <v>77</v>
      </c>
      <c r="S50" s="92">
        <v>57</v>
      </c>
      <c r="T50" s="92">
        <v>50</v>
      </c>
      <c r="U50" s="92">
        <v>56</v>
      </c>
      <c r="V50" s="92">
        <v>55</v>
      </c>
      <c r="W50" s="92">
        <v>59</v>
      </c>
      <c r="X50" s="92">
        <v>66</v>
      </c>
      <c r="Y50" s="92">
        <v>66</v>
      </c>
      <c r="Z50" s="92">
        <v>74</v>
      </c>
      <c r="AA50" s="92">
        <v>79</v>
      </c>
      <c r="AB50" s="92">
        <v>89</v>
      </c>
      <c r="AC50" s="91">
        <v>76</v>
      </c>
      <c r="AD50" s="92">
        <f>AC50</f>
        <v>76</v>
      </c>
      <c r="AE50" s="92">
        <v>93</v>
      </c>
      <c r="AF50" s="92">
        <v>104</v>
      </c>
      <c r="AG50" s="92">
        <v>97</v>
      </c>
      <c r="AH50" s="92">
        <f>AG50-1</f>
        <v>96</v>
      </c>
      <c r="AI50" s="127">
        <v>81</v>
      </c>
      <c r="AJ50" s="92">
        <v>88</v>
      </c>
      <c r="AK50" s="92">
        <v>90</v>
      </c>
      <c r="AL50" s="92">
        <v>98</v>
      </c>
      <c r="AM50" s="92">
        <v>95</v>
      </c>
      <c r="AN50" s="92">
        <v>95</v>
      </c>
      <c r="AO50" s="92">
        <v>94</v>
      </c>
      <c r="AP50" s="92">
        <v>115</v>
      </c>
      <c r="AQ50" s="92">
        <v>114</v>
      </c>
      <c r="AR50" s="92">
        <v>100</v>
      </c>
      <c r="AS50" s="92">
        <v>108</v>
      </c>
      <c r="AT50" s="92">
        <v>110</v>
      </c>
      <c r="AU50" s="92">
        <v>112</v>
      </c>
      <c r="AV50" s="92">
        <v>117</v>
      </c>
      <c r="AW50" s="92">
        <v>109</v>
      </c>
      <c r="AX50" s="92">
        <v>115</v>
      </c>
      <c r="AY50" s="92">
        <v>121</v>
      </c>
      <c r="AZ50" s="92">
        <v>121</v>
      </c>
      <c r="BA50" s="92">
        <v>112</v>
      </c>
      <c r="BB50" s="92">
        <v>131</v>
      </c>
      <c r="BC50" s="92">
        <v>128</v>
      </c>
      <c r="BD50" s="92">
        <v>141</v>
      </c>
      <c r="BE50" s="92">
        <v>132</v>
      </c>
      <c r="BF50" s="92">
        <v>118</v>
      </c>
      <c r="BG50" s="92">
        <v>123</v>
      </c>
      <c r="BH50" s="92">
        <v>115</v>
      </c>
      <c r="BI50" s="92">
        <v>123</v>
      </c>
      <c r="BJ50" s="92">
        <v>110</v>
      </c>
      <c r="BK50" s="92">
        <v>111</v>
      </c>
      <c r="BL50" s="92">
        <v>117</v>
      </c>
      <c r="BM50" s="92">
        <v>114</v>
      </c>
      <c r="BN50" s="92">
        <v>108</v>
      </c>
      <c r="BO50" s="92">
        <v>103</v>
      </c>
      <c r="BP50" s="92">
        <v>89</v>
      </c>
      <c r="BQ50" s="92">
        <v>80</v>
      </c>
      <c r="BR50" s="92">
        <v>91</v>
      </c>
      <c r="BS50" s="92">
        <v>83</v>
      </c>
      <c r="BT50" s="92">
        <v>84</v>
      </c>
      <c r="BU50" s="92">
        <v>83</v>
      </c>
      <c r="BV50" s="92">
        <v>86</v>
      </c>
      <c r="BW50" s="92">
        <v>75</v>
      </c>
      <c r="BX50" s="92">
        <v>75</v>
      </c>
      <c r="BY50" s="92">
        <v>72</v>
      </c>
      <c r="BZ50" s="92">
        <v>67</v>
      </c>
      <c r="CA50" s="92">
        <v>70</v>
      </c>
      <c r="CB50" s="92">
        <v>65</v>
      </c>
      <c r="CC50" s="94" t="s">
        <v>786</v>
      </c>
      <c r="CD50" s="92">
        <v>54</v>
      </c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47"/>
      <c r="DF50" s="9" t="s">
        <v>440</v>
      </c>
      <c r="DG50" s="92" t="s">
        <v>440</v>
      </c>
      <c r="DH50" s="92">
        <v>70</v>
      </c>
      <c r="DI50" s="92">
        <f t="shared" ref="DI50:DI55" si="116">SUM(O50:R50)</f>
        <v>230</v>
      </c>
      <c r="DJ50" s="92">
        <f t="shared" ref="DJ50:DJ55" si="117">SUM(S50:V50)</f>
        <v>218</v>
      </c>
      <c r="DK50" s="92">
        <f t="shared" ref="DK50:DK55" si="118">SUM(W50:Z50)</f>
        <v>265</v>
      </c>
      <c r="DL50" s="92">
        <f t="shared" ref="DL50:DL55" si="119">SUM(AA50:AD50)</f>
        <v>320</v>
      </c>
      <c r="DM50" s="92">
        <f t="shared" ref="DM50:DM55" si="120">SUM(AE50:AH50)</f>
        <v>390</v>
      </c>
      <c r="DN50" s="92">
        <f t="shared" ref="DN50:DN55" si="121">SUM(AI50:AL50)</f>
        <v>357</v>
      </c>
      <c r="DO50" s="92">
        <f t="shared" si="115"/>
        <v>399</v>
      </c>
      <c r="DP50" s="92">
        <f t="shared" si="111"/>
        <v>432</v>
      </c>
      <c r="DQ50" s="92">
        <f t="shared" si="112"/>
        <v>453</v>
      </c>
      <c r="DR50" s="92">
        <f t="shared" si="113"/>
        <v>485</v>
      </c>
      <c r="DS50" s="92">
        <f t="shared" si="114"/>
        <v>519</v>
      </c>
      <c r="DT50" s="92">
        <f t="shared" si="107"/>
        <v>471</v>
      </c>
      <c r="DU50" s="92">
        <f t="shared" si="108"/>
        <v>450</v>
      </c>
      <c r="DV50" s="92">
        <f t="shared" si="109"/>
        <v>363</v>
      </c>
      <c r="DW50" s="92">
        <f t="shared" si="110"/>
        <v>336</v>
      </c>
      <c r="DX50" s="92">
        <f>SUM(BW50:BZ50)</f>
        <v>289</v>
      </c>
      <c r="DY50" s="92">
        <f>SUM(CA50:CD50)</f>
        <v>189</v>
      </c>
      <c r="DZ50" s="92"/>
      <c r="EA50" s="92"/>
      <c r="EB50" s="92"/>
      <c r="EC50" s="92"/>
      <c r="ED50" s="92"/>
      <c r="EE50" s="92"/>
      <c r="EG50" s="28"/>
      <c r="EJ50" s="81"/>
    </row>
    <row r="51" spans="2:140" s="8" customFormat="1" ht="0.75" customHeight="1">
      <c r="B51" s="45" t="s">
        <v>11</v>
      </c>
      <c r="C51" s="92">
        <v>394.74103000000002</v>
      </c>
      <c r="D51" s="92">
        <v>394.74152000000004</v>
      </c>
      <c r="E51" s="92">
        <v>419.24689999999998</v>
      </c>
      <c r="F51" s="92">
        <v>441.19976359338057</v>
      </c>
      <c r="G51" s="92">
        <v>515</v>
      </c>
      <c r="H51" s="92">
        <v>586</v>
      </c>
      <c r="I51" s="92">
        <v>451</v>
      </c>
      <c r="J51" s="92">
        <v>691</v>
      </c>
      <c r="K51" s="92">
        <v>795</v>
      </c>
      <c r="L51" s="92">
        <v>544</v>
      </c>
      <c r="M51" s="92">
        <v>687.25</v>
      </c>
      <c r="N51" s="92">
        <v>650.25</v>
      </c>
      <c r="O51" s="92">
        <v>759</v>
      </c>
      <c r="P51" s="92">
        <v>792</v>
      </c>
      <c r="Q51" s="92">
        <v>778</v>
      </c>
      <c r="R51" s="92">
        <v>831</v>
      </c>
      <c r="S51" s="92">
        <v>772</v>
      </c>
      <c r="T51" s="92">
        <v>853</v>
      </c>
      <c r="U51" s="92">
        <v>777</v>
      </c>
      <c r="V51" s="92">
        <v>789</v>
      </c>
      <c r="W51" s="92">
        <v>754</v>
      </c>
      <c r="X51" s="92">
        <v>821</v>
      </c>
      <c r="Y51" s="92">
        <v>771</v>
      </c>
      <c r="Z51" s="92">
        <v>789</v>
      </c>
      <c r="AA51" s="92">
        <v>742</v>
      </c>
      <c r="AB51" s="92">
        <v>786</v>
      </c>
      <c r="AC51" s="92">
        <v>725</v>
      </c>
      <c r="AD51" s="92">
        <v>730</v>
      </c>
      <c r="AE51" s="92">
        <v>470</v>
      </c>
      <c r="AF51" s="92">
        <v>411</v>
      </c>
      <c r="AG51" s="92">
        <v>354</v>
      </c>
      <c r="AH51" s="92">
        <f>AG51-40</f>
        <v>314</v>
      </c>
      <c r="AI51" s="127">
        <v>261</v>
      </c>
      <c r="AJ51" s="92">
        <v>277</v>
      </c>
      <c r="AK51" s="92">
        <v>276</v>
      </c>
      <c r="AL51" s="92">
        <v>285</v>
      </c>
      <c r="AM51" s="92">
        <f>25+205</f>
        <v>230</v>
      </c>
      <c r="AN51" s="92">
        <v>241</v>
      </c>
      <c r="AO51" s="92">
        <v>220</v>
      </c>
      <c r="AP51" s="92">
        <v>234</v>
      </c>
      <c r="AQ51" s="92">
        <v>208</v>
      </c>
      <c r="AR51" s="92">
        <v>221</v>
      </c>
      <c r="AS51" s="92">
        <v>215</v>
      </c>
      <c r="AT51" s="92">
        <v>211</v>
      </c>
      <c r="AU51" s="92">
        <v>184</v>
      </c>
      <c r="AV51" s="92">
        <v>186</v>
      </c>
      <c r="AW51" s="92">
        <v>152</v>
      </c>
      <c r="AX51" s="92">
        <v>154</v>
      </c>
      <c r="AY51" s="92">
        <v>137</v>
      </c>
      <c r="AZ51" s="92">
        <v>144</v>
      </c>
      <c r="BA51" s="92">
        <v>140</v>
      </c>
      <c r="BB51" s="92">
        <v>139</v>
      </c>
      <c r="BC51" s="92">
        <v>123</v>
      </c>
      <c r="BD51" s="92">
        <v>121</v>
      </c>
      <c r="BE51" s="92">
        <v>114</v>
      </c>
      <c r="BF51" s="92">
        <v>112</v>
      </c>
      <c r="BG51" s="92">
        <v>94</v>
      </c>
      <c r="BH51" s="92">
        <v>96</v>
      </c>
      <c r="BI51" s="92">
        <v>86</v>
      </c>
      <c r="BJ51" s="92">
        <v>82</v>
      </c>
      <c r="BK51" s="92">
        <v>75</v>
      </c>
      <c r="BL51" s="92">
        <v>73</v>
      </c>
      <c r="BM51" s="92">
        <v>68</v>
      </c>
      <c r="BN51" s="92">
        <v>68</v>
      </c>
      <c r="BO51" s="92">
        <v>61</v>
      </c>
      <c r="BP51" s="92">
        <v>66</v>
      </c>
      <c r="BQ51" s="92">
        <v>53</v>
      </c>
      <c r="BR51" s="92">
        <v>62</v>
      </c>
      <c r="BS51" s="92">
        <v>55</v>
      </c>
      <c r="BT51" s="92">
        <v>59</v>
      </c>
      <c r="BU51" s="92">
        <v>45</v>
      </c>
      <c r="BV51" s="92">
        <v>50</v>
      </c>
      <c r="BW51" s="92">
        <v>0</v>
      </c>
      <c r="BX51" s="92">
        <v>0</v>
      </c>
      <c r="BY51" s="92">
        <v>0</v>
      </c>
      <c r="BZ51" s="92">
        <v>0</v>
      </c>
      <c r="CA51" s="92">
        <v>0</v>
      </c>
      <c r="CB51" s="92">
        <v>0</v>
      </c>
      <c r="CC51" s="92">
        <v>0</v>
      </c>
      <c r="CD51" s="92">
        <v>0</v>
      </c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47"/>
      <c r="DF51" s="92">
        <v>1649.9299223235394</v>
      </c>
      <c r="DG51" s="92">
        <v>2250</v>
      </c>
      <c r="DH51" s="92">
        <v>2677</v>
      </c>
      <c r="DI51" s="92">
        <f t="shared" si="116"/>
        <v>3160</v>
      </c>
      <c r="DJ51" s="92">
        <f t="shared" si="117"/>
        <v>3191</v>
      </c>
      <c r="DK51" s="92">
        <f t="shared" si="118"/>
        <v>3135</v>
      </c>
      <c r="DL51" s="92">
        <f t="shared" si="119"/>
        <v>2983</v>
      </c>
      <c r="DM51" s="92">
        <f t="shared" si="120"/>
        <v>1549</v>
      </c>
      <c r="DN51" s="92">
        <f t="shared" si="121"/>
        <v>1099</v>
      </c>
      <c r="DO51" s="92">
        <f t="shared" si="115"/>
        <v>925</v>
      </c>
      <c r="DP51" s="92">
        <f t="shared" si="111"/>
        <v>855</v>
      </c>
      <c r="DQ51" s="92">
        <f t="shared" si="112"/>
        <v>676</v>
      </c>
      <c r="DR51" s="92">
        <f t="shared" si="113"/>
        <v>560</v>
      </c>
      <c r="DS51" s="92">
        <f t="shared" si="114"/>
        <v>470</v>
      </c>
      <c r="DT51" s="92">
        <f t="shared" si="107"/>
        <v>358</v>
      </c>
      <c r="DU51" s="92">
        <f t="shared" si="108"/>
        <v>284</v>
      </c>
      <c r="DV51" s="92">
        <f t="shared" si="109"/>
        <v>242</v>
      </c>
      <c r="DW51" s="92">
        <f t="shared" si="110"/>
        <v>209</v>
      </c>
      <c r="DX51" s="92"/>
      <c r="DY51" s="92"/>
      <c r="DZ51" s="92"/>
      <c r="EA51" s="92"/>
      <c r="EB51" s="92"/>
      <c r="EC51" s="92"/>
      <c r="ED51" s="92"/>
      <c r="EE51" s="92"/>
      <c r="EG51" s="28"/>
    </row>
    <row r="52" spans="2:140" s="8" customFormat="1" ht="0.75" customHeight="1">
      <c r="B52" s="45" t="s">
        <v>355</v>
      </c>
      <c r="C52" s="9"/>
      <c r="D52" s="9"/>
      <c r="E52" s="9"/>
      <c r="F52" s="9"/>
      <c r="G52" s="7"/>
      <c r="H52" s="7"/>
      <c r="I52" s="92"/>
      <c r="J52" s="92"/>
      <c r="K52" s="92"/>
      <c r="L52" s="92"/>
      <c r="M52" s="92"/>
      <c r="N52" s="92"/>
      <c r="O52" s="92">
        <v>6</v>
      </c>
      <c r="P52" s="92">
        <v>9</v>
      </c>
      <c r="Q52" s="92">
        <v>14</v>
      </c>
      <c r="R52" s="92">
        <v>18</v>
      </c>
      <c r="S52" s="92">
        <v>17</v>
      </c>
      <c r="T52" s="92">
        <v>19</v>
      </c>
      <c r="U52" s="92">
        <v>22</v>
      </c>
      <c r="V52" s="92">
        <v>28</v>
      </c>
      <c r="W52" s="92">
        <v>23</v>
      </c>
      <c r="X52" s="92">
        <v>32</v>
      </c>
      <c r="Y52" s="92">
        <v>41</v>
      </c>
      <c r="Z52" s="92">
        <v>36</v>
      </c>
      <c r="AA52" s="92">
        <v>48</v>
      </c>
      <c r="AB52" s="92">
        <v>47</v>
      </c>
      <c r="AC52" s="91">
        <v>49</v>
      </c>
      <c r="AD52" s="92">
        <f>AC52</f>
        <v>49</v>
      </c>
      <c r="AE52" s="92">
        <v>60</v>
      </c>
      <c r="AF52" s="92">
        <v>65</v>
      </c>
      <c r="AG52" s="92">
        <v>68</v>
      </c>
      <c r="AH52" s="92">
        <f>AG52+1</f>
        <v>69</v>
      </c>
      <c r="AI52" s="127">
        <v>69</v>
      </c>
      <c r="AJ52" s="92">
        <v>77</v>
      </c>
      <c r="AK52" s="92">
        <v>82</v>
      </c>
      <c r="AL52" s="92">
        <v>89</v>
      </c>
      <c r="AM52" s="92">
        <v>82</v>
      </c>
      <c r="AN52" s="92">
        <v>93</v>
      </c>
      <c r="AO52" s="92">
        <v>91</v>
      </c>
      <c r="AP52" s="92">
        <v>110</v>
      </c>
      <c r="AQ52" s="92">
        <v>87</v>
      </c>
      <c r="AR52" s="92">
        <v>120</v>
      </c>
      <c r="AS52" s="92">
        <v>98</v>
      </c>
      <c r="AT52" s="92">
        <v>114</v>
      </c>
      <c r="AU52" s="92">
        <v>102</v>
      </c>
      <c r="AV52" s="92">
        <v>145</v>
      </c>
      <c r="AW52" s="92">
        <v>111</v>
      </c>
      <c r="AX52" s="92">
        <v>131</v>
      </c>
      <c r="AY52" s="92">
        <v>116</v>
      </c>
      <c r="AZ52" s="92">
        <v>135</v>
      </c>
      <c r="BA52" s="92">
        <v>123</v>
      </c>
      <c r="BB52" s="92">
        <v>134</v>
      </c>
      <c r="BC52" s="92">
        <v>122</v>
      </c>
      <c r="BD52" s="92">
        <v>144</v>
      </c>
      <c r="BE52" s="92">
        <v>136</v>
      </c>
      <c r="BF52" s="92">
        <v>151</v>
      </c>
      <c r="BG52" s="92">
        <v>122</v>
      </c>
      <c r="BH52" s="92">
        <v>134</v>
      </c>
      <c r="BI52" s="92">
        <v>141</v>
      </c>
      <c r="BJ52" s="92">
        <v>139</v>
      </c>
      <c r="BK52" s="92">
        <v>126</v>
      </c>
      <c r="BL52" s="92">
        <v>143</v>
      </c>
      <c r="BM52" s="92">
        <v>137</v>
      </c>
      <c r="BN52" s="92">
        <v>144</v>
      </c>
      <c r="BO52" s="92">
        <v>133</v>
      </c>
      <c r="BP52" s="92">
        <v>143</v>
      </c>
      <c r="BQ52" s="92">
        <v>137</v>
      </c>
      <c r="BR52" s="92">
        <v>143</v>
      </c>
      <c r="BS52" s="92">
        <v>125</v>
      </c>
      <c r="BT52" s="92">
        <v>148</v>
      </c>
      <c r="BU52" s="92">
        <v>123</v>
      </c>
      <c r="BV52" s="92">
        <v>126</v>
      </c>
      <c r="BW52" s="92">
        <v>117</v>
      </c>
      <c r="BX52" s="92">
        <v>121</v>
      </c>
      <c r="BY52" s="92">
        <v>98</v>
      </c>
      <c r="BZ52" s="92">
        <v>53</v>
      </c>
      <c r="CA52" s="92">
        <v>43</v>
      </c>
      <c r="CB52" s="92">
        <v>33</v>
      </c>
      <c r="CC52" s="94" t="s">
        <v>625</v>
      </c>
      <c r="CD52" s="92">
        <v>31</v>
      </c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47"/>
      <c r="DF52" s="9" t="s">
        <v>440</v>
      </c>
      <c r="DG52" s="92" t="s">
        <v>440</v>
      </c>
      <c r="DH52" s="92">
        <v>27</v>
      </c>
      <c r="DI52" s="92">
        <f t="shared" si="116"/>
        <v>47</v>
      </c>
      <c r="DJ52" s="92">
        <f t="shared" si="117"/>
        <v>86</v>
      </c>
      <c r="DK52" s="92">
        <f t="shared" si="118"/>
        <v>132</v>
      </c>
      <c r="DL52" s="92">
        <f t="shared" si="119"/>
        <v>193</v>
      </c>
      <c r="DM52" s="92">
        <f t="shared" si="120"/>
        <v>262</v>
      </c>
      <c r="DN52" s="92">
        <f t="shared" si="121"/>
        <v>317</v>
      </c>
      <c r="DO52" s="92">
        <f t="shared" si="115"/>
        <v>376</v>
      </c>
      <c r="DP52" s="92">
        <f t="shared" si="111"/>
        <v>419</v>
      </c>
      <c r="DQ52" s="92">
        <f t="shared" si="112"/>
        <v>489</v>
      </c>
      <c r="DR52" s="92">
        <f t="shared" si="113"/>
        <v>508</v>
      </c>
      <c r="DS52" s="92">
        <f t="shared" si="114"/>
        <v>553</v>
      </c>
      <c r="DT52" s="92">
        <f t="shared" si="107"/>
        <v>536</v>
      </c>
      <c r="DU52" s="92">
        <f t="shared" si="108"/>
        <v>550</v>
      </c>
      <c r="DV52" s="92">
        <f t="shared" si="109"/>
        <v>556</v>
      </c>
      <c r="DW52" s="92">
        <f t="shared" si="110"/>
        <v>522</v>
      </c>
      <c r="DX52" s="92">
        <f t="shared" ref="DX52:DX58" si="122">SUM(BW52:BZ52)</f>
        <v>389</v>
      </c>
      <c r="DY52" s="92">
        <f t="shared" ref="DY52:DY58" si="123">SUM(CA52:CD52)</f>
        <v>107</v>
      </c>
      <c r="DZ52" s="92"/>
      <c r="EA52" s="92"/>
      <c r="EB52" s="92"/>
      <c r="EC52" s="92"/>
      <c r="ED52" s="92"/>
      <c r="EE52" s="92"/>
      <c r="EG52" s="28"/>
    </row>
    <row r="53" spans="2:140" s="8" customFormat="1" ht="0.75" customHeight="1">
      <c r="B53" s="45" t="s">
        <v>356</v>
      </c>
      <c r="C53" s="9"/>
      <c r="D53" s="9"/>
      <c r="E53" s="9"/>
      <c r="F53" s="9"/>
      <c r="G53" s="7"/>
      <c r="H53" s="7"/>
      <c r="I53" s="92"/>
      <c r="J53" s="92"/>
      <c r="K53" s="92"/>
      <c r="L53" s="92"/>
      <c r="M53" s="92"/>
      <c r="N53" s="92"/>
      <c r="O53" s="92">
        <v>12</v>
      </c>
      <c r="P53" s="92">
        <v>16</v>
      </c>
      <c r="Q53" s="92">
        <v>16</v>
      </c>
      <c r="R53" s="92">
        <v>19</v>
      </c>
      <c r="S53" s="92">
        <v>20</v>
      </c>
      <c r="T53" s="92">
        <v>22</v>
      </c>
      <c r="U53" s="92">
        <v>25</v>
      </c>
      <c r="V53" s="92">
        <v>27</v>
      </c>
      <c r="W53" s="92">
        <v>28</v>
      </c>
      <c r="X53" s="92">
        <v>34</v>
      </c>
      <c r="Y53" s="92">
        <v>37</v>
      </c>
      <c r="Z53" s="92">
        <v>41</v>
      </c>
      <c r="AA53" s="92">
        <v>42</v>
      </c>
      <c r="AB53" s="92">
        <v>46</v>
      </c>
      <c r="AC53" s="91">
        <v>50</v>
      </c>
      <c r="AD53" s="92">
        <f>AC53</f>
        <v>50</v>
      </c>
      <c r="AE53" s="92">
        <v>55</v>
      </c>
      <c r="AF53" s="92">
        <v>71</v>
      </c>
      <c r="AG53" s="92">
        <v>71</v>
      </c>
      <c r="AH53" s="92">
        <f>AG53</f>
        <v>71</v>
      </c>
      <c r="AI53" s="127">
        <v>62</v>
      </c>
      <c r="AJ53" s="92">
        <v>71</v>
      </c>
      <c r="AK53" s="92">
        <v>73</v>
      </c>
      <c r="AL53" s="92">
        <v>88</v>
      </c>
      <c r="AM53" s="92">
        <v>75</v>
      </c>
      <c r="AN53" s="92">
        <v>83</v>
      </c>
      <c r="AO53" s="92">
        <v>91</v>
      </c>
      <c r="AP53" s="92">
        <v>113</v>
      </c>
      <c r="AQ53" s="92">
        <v>87</v>
      </c>
      <c r="AR53" s="92">
        <v>103</v>
      </c>
      <c r="AS53" s="92">
        <v>107</v>
      </c>
      <c r="AT53" s="92">
        <v>110</v>
      </c>
      <c r="AU53" s="92">
        <v>101</v>
      </c>
      <c r="AV53" s="92">
        <v>110</v>
      </c>
      <c r="AW53" s="92">
        <v>118</v>
      </c>
      <c r="AX53" s="92">
        <v>116</v>
      </c>
      <c r="AY53" s="92">
        <v>110</v>
      </c>
      <c r="AZ53" s="92">
        <v>120</v>
      </c>
      <c r="BA53" s="92">
        <v>130</v>
      </c>
      <c r="BB53" s="92">
        <v>128</v>
      </c>
      <c r="BC53" s="92">
        <v>114</v>
      </c>
      <c r="BD53" s="92">
        <v>134</v>
      </c>
      <c r="BE53" s="92">
        <v>141</v>
      </c>
      <c r="BF53" s="92">
        <v>139</v>
      </c>
      <c r="BG53" s="92">
        <v>132</v>
      </c>
      <c r="BH53" s="92">
        <v>139</v>
      </c>
      <c r="BI53" s="92">
        <v>153</v>
      </c>
      <c r="BJ53" s="92">
        <v>144</v>
      </c>
      <c r="BK53" s="92">
        <v>114</v>
      </c>
      <c r="BL53" s="92">
        <v>143</v>
      </c>
      <c r="BM53" s="92">
        <v>152</v>
      </c>
      <c r="BN53" s="92">
        <v>152</v>
      </c>
      <c r="BO53" s="92">
        <v>136</v>
      </c>
      <c r="BP53" s="92">
        <v>150</v>
      </c>
      <c r="BQ53" s="92">
        <v>159</v>
      </c>
      <c r="BR53" s="92">
        <v>157</v>
      </c>
      <c r="BS53" s="92">
        <v>151</v>
      </c>
      <c r="BT53" s="92">
        <v>149</v>
      </c>
      <c r="BU53" s="92">
        <v>137</v>
      </c>
      <c r="BV53" s="92">
        <v>59</v>
      </c>
      <c r="BW53" s="92">
        <v>72</v>
      </c>
      <c r="BX53" s="92">
        <v>78</v>
      </c>
      <c r="BY53" s="92">
        <v>57</v>
      </c>
      <c r="BZ53" s="92">
        <v>57</v>
      </c>
      <c r="CA53" s="92">
        <v>64</v>
      </c>
      <c r="CB53" s="92">
        <v>43</v>
      </c>
      <c r="CC53" s="92">
        <v>51</v>
      </c>
      <c r="CD53" s="92">
        <v>53</v>
      </c>
      <c r="CE53" s="92">
        <v>57</v>
      </c>
      <c r="CF53" s="92">
        <v>48</v>
      </c>
      <c r="CG53" s="92">
        <v>53</v>
      </c>
      <c r="CH53" s="92">
        <v>45</v>
      </c>
      <c r="CI53" s="92">
        <v>52</v>
      </c>
      <c r="CJ53" s="92">
        <v>46</v>
      </c>
      <c r="CK53" s="92">
        <v>50</v>
      </c>
      <c r="CL53" s="92">
        <v>40</v>
      </c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47"/>
      <c r="DF53" s="9" t="s">
        <v>440</v>
      </c>
      <c r="DG53" s="92" t="s">
        <v>440</v>
      </c>
      <c r="DH53" s="92">
        <v>37</v>
      </c>
      <c r="DI53" s="92">
        <f t="shared" si="116"/>
        <v>63</v>
      </c>
      <c r="DJ53" s="92">
        <f t="shared" si="117"/>
        <v>94</v>
      </c>
      <c r="DK53" s="92">
        <f t="shared" si="118"/>
        <v>140</v>
      </c>
      <c r="DL53" s="92">
        <f t="shared" si="119"/>
        <v>188</v>
      </c>
      <c r="DM53" s="92">
        <f t="shared" si="120"/>
        <v>268</v>
      </c>
      <c r="DN53" s="92">
        <f t="shared" si="121"/>
        <v>294</v>
      </c>
      <c r="DO53" s="92">
        <f t="shared" si="115"/>
        <v>362</v>
      </c>
      <c r="DP53" s="92">
        <f t="shared" si="111"/>
        <v>407</v>
      </c>
      <c r="DQ53" s="92">
        <f t="shared" si="112"/>
        <v>445</v>
      </c>
      <c r="DR53" s="92">
        <f t="shared" si="113"/>
        <v>488</v>
      </c>
      <c r="DS53" s="92">
        <f t="shared" si="114"/>
        <v>528</v>
      </c>
      <c r="DT53" s="92">
        <f t="shared" si="107"/>
        <v>568</v>
      </c>
      <c r="DU53" s="92">
        <f t="shared" si="108"/>
        <v>561</v>
      </c>
      <c r="DV53" s="92">
        <f t="shared" si="109"/>
        <v>602</v>
      </c>
      <c r="DW53" s="92">
        <f t="shared" si="110"/>
        <v>496</v>
      </c>
      <c r="DX53" s="92">
        <f t="shared" si="122"/>
        <v>264</v>
      </c>
      <c r="DY53" s="92">
        <f t="shared" si="123"/>
        <v>211</v>
      </c>
      <c r="DZ53" s="92">
        <f>SUM(CE53:CH53)</f>
        <v>203</v>
      </c>
      <c r="EA53" s="92">
        <f>SUM(CI53:CL53)</f>
        <v>188</v>
      </c>
      <c r="EB53" s="92"/>
      <c r="EC53" s="92"/>
      <c r="ED53" s="92"/>
      <c r="EE53" s="92"/>
      <c r="EG53" s="28"/>
    </row>
    <row r="54" spans="2:140" s="39" customFormat="1" ht="0.75" customHeight="1">
      <c r="B54" s="44" t="s">
        <v>473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>
        <v>190</v>
      </c>
      <c r="P54" s="92">
        <v>242</v>
      </c>
      <c r="Q54" s="92">
        <v>293</v>
      </c>
      <c r="R54" s="92">
        <v>328</v>
      </c>
      <c r="S54" s="92">
        <v>332</v>
      </c>
      <c r="T54" s="92">
        <v>314</v>
      </c>
      <c r="U54" s="92">
        <v>356</v>
      </c>
      <c r="V54" s="92">
        <v>391</v>
      </c>
      <c r="W54" s="92">
        <v>414.8</v>
      </c>
      <c r="X54" s="92">
        <v>476</v>
      </c>
      <c r="Y54" s="92">
        <v>501.9</v>
      </c>
      <c r="Z54" s="92">
        <v>536.1</v>
      </c>
      <c r="AA54" s="92">
        <v>544</v>
      </c>
      <c r="AB54" s="92">
        <v>577.5</v>
      </c>
      <c r="AC54" s="92">
        <v>607</v>
      </c>
      <c r="AD54" s="92">
        <v>610</v>
      </c>
      <c r="AE54" s="92">
        <v>581.70000000000005</v>
      </c>
      <c r="AF54" s="92">
        <v>560.4</v>
      </c>
      <c r="AG54" s="92">
        <v>534.29999999999995</v>
      </c>
      <c r="AH54" s="92"/>
      <c r="AI54" s="127">
        <v>510</v>
      </c>
      <c r="AJ54" s="92">
        <v>556</v>
      </c>
      <c r="AK54" s="92">
        <v>563</v>
      </c>
      <c r="AL54" s="92">
        <v>614</v>
      </c>
      <c r="AM54" s="92">
        <f>281+253</f>
        <v>534</v>
      </c>
      <c r="AN54" s="92">
        <v>564</v>
      </c>
      <c r="AO54" s="92">
        <v>571</v>
      </c>
      <c r="AP54" s="92">
        <v>629</v>
      </c>
      <c r="AQ54" s="92">
        <v>582</v>
      </c>
      <c r="AR54" s="92">
        <v>592</v>
      </c>
      <c r="AS54" s="92">
        <v>614</v>
      </c>
      <c r="AT54" s="92">
        <v>640</v>
      </c>
      <c r="AU54" s="92">
        <v>614</v>
      </c>
      <c r="AV54" s="92">
        <v>632</v>
      </c>
      <c r="AW54" s="92">
        <v>645</v>
      </c>
      <c r="AX54" s="92">
        <v>676</v>
      </c>
      <c r="AY54" s="92">
        <v>629</v>
      </c>
      <c r="AZ54" s="92">
        <v>650</v>
      </c>
      <c r="BA54" s="92">
        <v>662</v>
      </c>
      <c r="BB54" s="92">
        <v>716</v>
      </c>
      <c r="BC54" s="92">
        <v>611</v>
      </c>
      <c r="BD54" s="92">
        <v>717</v>
      </c>
      <c r="BE54" s="92">
        <v>660</v>
      </c>
      <c r="BF54" s="92">
        <v>662</v>
      </c>
      <c r="BG54" s="92">
        <v>568</v>
      </c>
      <c r="BH54" s="92">
        <v>635</v>
      </c>
      <c r="BI54" s="92">
        <v>633</v>
      </c>
      <c r="BJ54" s="92">
        <v>691</v>
      </c>
      <c r="BK54" s="92">
        <v>612</v>
      </c>
      <c r="BL54" s="92">
        <v>702</v>
      </c>
      <c r="BM54" s="92">
        <v>671</v>
      </c>
      <c r="BN54" s="92">
        <v>575</v>
      </c>
      <c r="BO54" s="92">
        <v>334</v>
      </c>
      <c r="BP54" s="92">
        <v>367</v>
      </c>
      <c r="BQ54" s="92">
        <v>320</v>
      </c>
      <c r="BR54" s="92">
        <v>323</v>
      </c>
      <c r="BS54" s="92">
        <v>305</v>
      </c>
      <c r="BT54" s="92">
        <v>226</v>
      </c>
      <c r="BU54" s="92">
        <v>165</v>
      </c>
      <c r="BV54" s="92">
        <v>162</v>
      </c>
      <c r="BW54" s="92">
        <v>140</v>
      </c>
      <c r="BX54" s="92">
        <v>156</v>
      </c>
      <c r="BY54" s="92">
        <v>147</v>
      </c>
      <c r="BZ54" s="92">
        <v>146</v>
      </c>
      <c r="CA54" s="92">
        <v>145</v>
      </c>
      <c r="CB54" s="92">
        <v>137</v>
      </c>
      <c r="CC54" s="94" t="s">
        <v>781</v>
      </c>
      <c r="CD54" s="92">
        <v>98</v>
      </c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46"/>
      <c r="DF54" s="92" t="s">
        <v>440</v>
      </c>
      <c r="DG54" s="92">
        <v>25</v>
      </c>
      <c r="DH54" s="92">
        <v>469</v>
      </c>
      <c r="DI54" s="92">
        <f t="shared" si="116"/>
        <v>1053</v>
      </c>
      <c r="DJ54" s="92">
        <f t="shared" si="117"/>
        <v>1393</v>
      </c>
      <c r="DK54" s="92">
        <f t="shared" si="118"/>
        <v>1928.7999999999997</v>
      </c>
      <c r="DL54" s="92">
        <f t="shared" si="119"/>
        <v>2338.5</v>
      </c>
      <c r="DM54" s="92">
        <f t="shared" si="120"/>
        <v>1676.3999999999999</v>
      </c>
      <c r="DN54" s="92">
        <f t="shared" si="121"/>
        <v>2243</v>
      </c>
      <c r="DO54" s="92">
        <f t="shared" si="115"/>
        <v>2298</v>
      </c>
      <c r="DP54" s="92">
        <f t="shared" si="111"/>
        <v>2428</v>
      </c>
      <c r="DQ54" s="92">
        <f t="shared" si="112"/>
        <v>2567</v>
      </c>
      <c r="DR54" s="92">
        <f t="shared" si="113"/>
        <v>2657</v>
      </c>
      <c r="DS54" s="92">
        <f t="shared" si="114"/>
        <v>2650</v>
      </c>
      <c r="DT54" s="92">
        <f t="shared" si="107"/>
        <v>2527</v>
      </c>
      <c r="DU54" s="92">
        <f t="shared" si="108"/>
        <v>2560</v>
      </c>
      <c r="DV54" s="92">
        <f t="shared" si="109"/>
        <v>1344</v>
      </c>
      <c r="DW54" s="92">
        <f t="shared" si="110"/>
        <v>858</v>
      </c>
      <c r="DX54" s="92">
        <f t="shared" si="122"/>
        <v>589</v>
      </c>
      <c r="DY54" s="92">
        <f t="shared" si="123"/>
        <v>380</v>
      </c>
      <c r="DZ54" s="92"/>
      <c r="EA54" s="92"/>
      <c r="EB54" s="92"/>
      <c r="EC54" s="92"/>
      <c r="ED54" s="92"/>
      <c r="EE54" s="92"/>
      <c r="EG54" s="85"/>
    </row>
    <row r="55" spans="2:140" s="39" customFormat="1" ht="0.75" customHeight="1">
      <c r="B55" s="44" t="s">
        <v>474</v>
      </c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>
        <v>0</v>
      </c>
      <c r="P55" s="92">
        <v>5</v>
      </c>
      <c r="Q55" s="92">
        <v>52</v>
      </c>
      <c r="R55" s="92">
        <v>76</v>
      </c>
      <c r="S55" s="92">
        <v>179</v>
      </c>
      <c r="T55" s="92">
        <v>193</v>
      </c>
      <c r="U55" s="92">
        <v>274</v>
      </c>
      <c r="V55" s="92">
        <v>355</v>
      </c>
      <c r="W55" s="92">
        <v>378.4</v>
      </c>
      <c r="X55" s="92">
        <v>497.4</v>
      </c>
      <c r="Y55" s="92">
        <v>526.6</v>
      </c>
      <c r="Z55" s="92">
        <v>552.9</v>
      </c>
      <c r="AA55" s="92">
        <v>623.79999999999995</v>
      </c>
      <c r="AB55" s="92">
        <v>686.4</v>
      </c>
      <c r="AC55" s="92">
        <v>693</v>
      </c>
      <c r="AD55" s="92">
        <v>600</v>
      </c>
      <c r="AE55" s="92">
        <v>651.20000000000005</v>
      </c>
      <c r="AF55" s="92">
        <v>592.1</v>
      </c>
      <c r="AG55" s="92">
        <v>567.20000000000005</v>
      </c>
      <c r="AH55" s="92">
        <f>AG55+10</f>
        <v>577.20000000000005</v>
      </c>
      <c r="AI55" s="127">
        <v>477</v>
      </c>
      <c r="AJ55" s="92">
        <v>532</v>
      </c>
      <c r="AK55" s="92">
        <v>525</v>
      </c>
      <c r="AL55" s="92">
        <v>577</v>
      </c>
      <c r="AM55" s="92">
        <v>477</v>
      </c>
      <c r="AN55" s="92">
        <v>490</v>
      </c>
      <c r="AO55" s="92">
        <v>485</v>
      </c>
      <c r="AP55" s="92">
        <v>562</v>
      </c>
      <c r="AQ55" s="92">
        <v>480</v>
      </c>
      <c r="AR55" s="92">
        <v>459</v>
      </c>
      <c r="AS55" s="92">
        <v>469</v>
      </c>
      <c r="AT55" s="92">
        <v>475</v>
      </c>
      <c r="AU55" s="92">
        <v>444</v>
      </c>
      <c r="AV55" s="92">
        <v>445</v>
      </c>
      <c r="AW55" s="92">
        <v>423</v>
      </c>
      <c r="AX55" s="92">
        <v>435</v>
      </c>
      <c r="AY55" s="92">
        <v>394</v>
      </c>
      <c r="AZ55" s="92">
        <v>417</v>
      </c>
      <c r="BA55" s="92">
        <v>396</v>
      </c>
      <c r="BB55" s="92">
        <v>436</v>
      </c>
      <c r="BC55" s="92">
        <v>361</v>
      </c>
      <c r="BD55" s="92">
        <v>417</v>
      </c>
      <c r="BE55" s="92">
        <v>369</v>
      </c>
      <c r="BF55" s="92">
        <v>370</v>
      </c>
      <c r="BG55" s="92">
        <v>320</v>
      </c>
      <c r="BH55" s="92">
        <v>320</v>
      </c>
      <c r="BI55" s="92">
        <v>302</v>
      </c>
      <c r="BJ55" s="92">
        <v>308</v>
      </c>
      <c r="BK55" s="92">
        <v>277</v>
      </c>
      <c r="BL55" s="92">
        <v>293</v>
      </c>
      <c r="BM55" s="92">
        <v>273</v>
      </c>
      <c r="BN55" s="92">
        <v>299</v>
      </c>
      <c r="BO55" s="92">
        <v>241</v>
      </c>
      <c r="BP55" s="92">
        <v>182</v>
      </c>
      <c r="BQ55" s="92">
        <v>142</v>
      </c>
      <c r="BR55" s="92">
        <v>186</v>
      </c>
      <c r="BS55" s="92">
        <v>167</v>
      </c>
      <c r="BT55" s="92">
        <v>155</v>
      </c>
      <c r="BU55" s="92">
        <v>92</v>
      </c>
      <c r="BV55" s="92">
        <v>83</v>
      </c>
      <c r="BW55" s="92">
        <v>97</v>
      </c>
      <c r="BX55" s="92">
        <v>76</v>
      </c>
      <c r="BY55" s="92">
        <v>57</v>
      </c>
      <c r="BZ55" s="92">
        <v>54</v>
      </c>
      <c r="CA55" s="92">
        <v>53</v>
      </c>
      <c r="CB55" s="92">
        <v>39</v>
      </c>
      <c r="CC55" s="94" t="s">
        <v>782</v>
      </c>
      <c r="CD55" s="92">
        <v>43</v>
      </c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46"/>
      <c r="DF55" s="92" t="s">
        <v>440</v>
      </c>
      <c r="DG55" s="92" t="s">
        <v>440</v>
      </c>
      <c r="DH55" s="92" t="s">
        <v>440</v>
      </c>
      <c r="DI55" s="92">
        <f t="shared" si="116"/>
        <v>133</v>
      </c>
      <c r="DJ55" s="92">
        <f t="shared" si="117"/>
        <v>1001</v>
      </c>
      <c r="DK55" s="92">
        <f t="shared" si="118"/>
        <v>1955.3000000000002</v>
      </c>
      <c r="DL55" s="92">
        <f t="shared" si="119"/>
        <v>2603.1999999999998</v>
      </c>
      <c r="DM55" s="92">
        <f t="shared" si="120"/>
        <v>2387.7000000000003</v>
      </c>
      <c r="DN55" s="92">
        <f t="shared" si="121"/>
        <v>2111</v>
      </c>
      <c r="DO55" s="92">
        <f t="shared" si="115"/>
        <v>2014</v>
      </c>
      <c r="DP55" s="92">
        <f t="shared" si="111"/>
        <v>1883</v>
      </c>
      <c r="DQ55" s="92">
        <f t="shared" si="112"/>
        <v>1747</v>
      </c>
      <c r="DR55" s="92">
        <f t="shared" si="113"/>
        <v>1643</v>
      </c>
      <c r="DS55" s="92">
        <f t="shared" si="114"/>
        <v>1517</v>
      </c>
      <c r="DT55" s="92">
        <f t="shared" si="107"/>
        <v>1250</v>
      </c>
      <c r="DU55" s="92">
        <f t="shared" si="108"/>
        <v>1142</v>
      </c>
      <c r="DV55" s="92">
        <f t="shared" si="109"/>
        <v>751</v>
      </c>
      <c r="DW55" s="92">
        <f t="shared" si="110"/>
        <v>497</v>
      </c>
      <c r="DX55" s="92">
        <f t="shared" si="122"/>
        <v>284</v>
      </c>
      <c r="DY55" s="92">
        <f t="shared" si="123"/>
        <v>135</v>
      </c>
      <c r="DZ55" s="92"/>
      <c r="EA55" s="92"/>
      <c r="EB55" s="92"/>
      <c r="EC55" s="92"/>
      <c r="ED55" s="92"/>
      <c r="EE55" s="92"/>
      <c r="EG55" s="85"/>
    </row>
    <row r="56" spans="2:140" s="39" customFormat="1" ht="0.75" customHeight="1">
      <c r="B56" s="44" t="s">
        <v>752</v>
      </c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>
        <v>49</v>
      </c>
      <c r="BP56" s="92">
        <v>63</v>
      </c>
      <c r="BQ56" s="92">
        <v>59</v>
      </c>
      <c r="BR56" s="92">
        <v>54</v>
      </c>
      <c r="BS56" s="92">
        <v>73</v>
      </c>
      <c r="BT56" s="92">
        <v>101</v>
      </c>
      <c r="BU56" s="92">
        <v>84</v>
      </c>
      <c r="BV56" s="92">
        <v>89</v>
      </c>
      <c r="BW56" s="92">
        <v>94</v>
      </c>
      <c r="BX56" s="92">
        <v>92</v>
      </c>
      <c r="BY56" s="92">
        <v>97</v>
      </c>
      <c r="BZ56" s="92">
        <v>108</v>
      </c>
      <c r="CA56" s="92">
        <v>122</v>
      </c>
      <c r="CB56" s="92">
        <v>115</v>
      </c>
      <c r="CC56" s="94" t="s">
        <v>559</v>
      </c>
      <c r="CD56" s="92">
        <v>105</v>
      </c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46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>
        <f t="shared" si="109"/>
        <v>225</v>
      </c>
      <c r="DW56" s="92">
        <f t="shared" si="110"/>
        <v>347</v>
      </c>
      <c r="DX56" s="92">
        <f t="shared" si="122"/>
        <v>391</v>
      </c>
      <c r="DY56" s="92">
        <f t="shared" si="123"/>
        <v>342</v>
      </c>
      <c r="DZ56" s="92"/>
      <c r="EA56" s="92"/>
      <c r="EB56" s="92"/>
      <c r="EC56" s="92"/>
      <c r="ED56" s="92"/>
      <c r="EE56" s="92"/>
      <c r="EG56" s="85"/>
    </row>
    <row r="57" spans="2:140" s="39" customFormat="1" ht="0.75" customHeight="1">
      <c r="B57" s="44" t="s">
        <v>568</v>
      </c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4" t="s">
        <v>534</v>
      </c>
      <c r="AE57" s="94" t="s">
        <v>533</v>
      </c>
      <c r="AF57" s="94" t="s">
        <v>554</v>
      </c>
      <c r="AG57" s="94" t="s">
        <v>546</v>
      </c>
      <c r="AH57" s="94" t="s">
        <v>532</v>
      </c>
      <c r="AI57" s="128" t="s">
        <v>520</v>
      </c>
      <c r="AJ57" s="94" t="s">
        <v>511</v>
      </c>
      <c r="AK57" s="94" t="s">
        <v>502</v>
      </c>
      <c r="AL57" s="92">
        <v>165</v>
      </c>
      <c r="AM57" s="92">
        <f>155+164</f>
        <v>319</v>
      </c>
      <c r="AN57" s="92">
        <v>338</v>
      </c>
      <c r="AO57" s="92">
        <v>259</v>
      </c>
      <c r="AP57" s="92">
        <v>303</v>
      </c>
      <c r="AQ57" s="92">
        <v>373</v>
      </c>
      <c r="AR57" s="92">
        <v>323</v>
      </c>
      <c r="AS57" s="92">
        <v>266</v>
      </c>
      <c r="AT57" s="92">
        <v>325</v>
      </c>
      <c r="AU57" s="92">
        <v>375</v>
      </c>
      <c r="AV57" s="92">
        <v>293</v>
      </c>
      <c r="AW57" s="92">
        <v>292</v>
      </c>
      <c r="AX57" s="92">
        <v>308</v>
      </c>
      <c r="AY57" s="92">
        <v>385</v>
      </c>
      <c r="AZ57" s="92">
        <v>325</v>
      </c>
      <c r="BA57" s="92">
        <v>297</v>
      </c>
      <c r="BB57" s="92">
        <v>327</v>
      </c>
      <c r="BC57" s="92">
        <v>312</v>
      </c>
      <c r="BD57" s="92">
        <v>258</v>
      </c>
      <c r="BE57" s="92">
        <v>261</v>
      </c>
      <c r="BF57" s="92">
        <v>268</v>
      </c>
      <c r="BG57" s="92">
        <v>289</v>
      </c>
      <c r="BH57" s="92">
        <v>215</v>
      </c>
      <c r="BI57" s="92">
        <v>121</v>
      </c>
      <c r="BJ57" s="92">
        <v>231</v>
      </c>
      <c r="BK57" s="92">
        <v>229</v>
      </c>
      <c r="BL57" s="92">
        <v>101</v>
      </c>
      <c r="BM57" s="92">
        <v>94</v>
      </c>
      <c r="BN57" s="92">
        <v>112</v>
      </c>
      <c r="BO57" s="92">
        <v>139</v>
      </c>
      <c r="BP57" s="92">
        <v>85</v>
      </c>
      <c r="BQ57" s="92">
        <v>42</v>
      </c>
      <c r="BR57" s="92">
        <v>120</v>
      </c>
      <c r="BS57" s="92">
        <v>122</v>
      </c>
      <c r="BT57" s="92">
        <v>81</v>
      </c>
      <c r="BU57" s="92">
        <v>71</v>
      </c>
      <c r="BV57" s="92">
        <v>102</v>
      </c>
      <c r="BW57" s="92">
        <v>96</v>
      </c>
      <c r="BX57" s="92">
        <v>72</v>
      </c>
      <c r="BY57" s="92">
        <v>58</v>
      </c>
      <c r="BZ57" s="92">
        <v>67</v>
      </c>
      <c r="CA57" s="92">
        <v>71</v>
      </c>
      <c r="CB57" s="92">
        <v>49</v>
      </c>
      <c r="CC57" s="94" t="s">
        <v>624</v>
      </c>
      <c r="CD57" s="92">
        <v>57</v>
      </c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46"/>
      <c r="DF57" s="92"/>
      <c r="DG57" s="92"/>
      <c r="DH57" s="92"/>
      <c r="DI57" s="92"/>
      <c r="DJ57" s="92"/>
      <c r="DK57" s="92"/>
      <c r="DL57" s="92"/>
      <c r="DM57" s="94" t="s">
        <v>562</v>
      </c>
      <c r="DN57" s="94" t="s">
        <v>563</v>
      </c>
      <c r="DO57" s="92">
        <f>SUM(AM57:AP57)</f>
        <v>1219</v>
      </c>
      <c r="DP57" s="92">
        <f>DO57</f>
        <v>1219</v>
      </c>
      <c r="DQ57" s="92">
        <f>SUM(AU57:AX57)</f>
        <v>1268</v>
      </c>
      <c r="DR57" s="92">
        <f>SUM(AY57:BB57)</f>
        <v>1334</v>
      </c>
      <c r="DS57" s="92">
        <f>SUM(BC57:BF57)</f>
        <v>1099</v>
      </c>
      <c r="DT57" s="92">
        <f>SUM(BG57:BJ57)</f>
        <v>856</v>
      </c>
      <c r="DU57" s="92">
        <f>SUM(BK57:BN57)</f>
        <v>536</v>
      </c>
      <c r="DV57" s="92">
        <f t="shared" si="109"/>
        <v>386</v>
      </c>
      <c r="DW57" s="92">
        <f t="shared" si="110"/>
        <v>376</v>
      </c>
      <c r="DX57" s="92">
        <f t="shared" si="122"/>
        <v>293</v>
      </c>
      <c r="DY57" s="92">
        <f t="shared" si="123"/>
        <v>177</v>
      </c>
      <c r="DZ57" s="92"/>
      <c r="EA57" s="92"/>
      <c r="EB57" s="92"/>
      <c r="EC57" s="92"/>
      <c r="ED57" s="92"/>
      <c r="EE57" s="92"/>
      <c r="EG57" s="28"/>
      <c r="EJ57" s="41"/>
    </row>
    <row r="58" spans="2:140" s="39" customFormat="1" ht="0.75" customHeight="1">
      <c r="B58" s="44" t="s">
        <v>774</v>
      </c>
      <c r="C58" s="92">
        <v>430.71800000000002</v>
      </c>
      <c r="D58" s="92">
        <v>430.71800000000002</v>
      </c>
      <c r="E58" s="92">
        <v>508.7876</v>
      </c>
      <c r="F58" s="92">
        <v>454.80281608529947</v>
      </c>
      <c r="G58" s="92">
        <v>422</v>
      </c>
      <c r="H58" s="92">
        <v>525</v>
      </c>
      <c r="I58" s="92">
        <v>549</v>
      </c>
      <c r="J58" s="92">
        <v>681</v>
      </c>
      <c r="K58" s="92">
        <v>633</v>
      </c>
      <c r="L58" s="92">
        <v>541</v>
      </c>
      <c r="M58" s="92">
        <v>622</v>
      </c>
      <c r="N58" s="92">
        <v>690</v>
      </c>
      <c r="O58" s="92">
        <v>629</v>
      </c>
      <c r="P58" s="92">
        <v>725</v>
      </c>
      <c r="Q58" s="92">
        <v>706</v>
      </c>
      <c r="R58" s="92">
        <v>764</v>
      </c>
      <c r="S58" s="92">
        <v>719</v>
      </c>
      <c r="T58" s="92">
        <v>785</v>
      </c>
      <c r="U58" s="92">
        <v>751</v>
      </c>
      <c r="V58" s="92">
        <v>782</v>
      </c>
      <c r="W58" s="92">
        <v>701</v>
      </c>
      <c r="X58" s="92">
        <v>784</v>
      </c>
      <c r="Y58" s="92">
        <v>813</v>
      </c>
      <c r="Z58" s="92">
        <v>865</v>
      </c>
      <c r="AA58" s="92">
        <v>798</v>
      </c>
      <c r="AB58" s="92">
        <v>847</v>
      </c>
      <c r="AC58" s="92">
        <v>814</v>
      </c>
      <c r="AD58" s="92">
        <v>800</v>
      </c>
      <c r="AE58" s="92">
        <v>847</v>
      </c>
      <c r="AF58" s="92">
        <v>941</v>
      </c>
      <c r="AG58" s="92">
        <v>888</v>
      </c>
      <c r="AH58" s="92">
        <f>+AG58+5</f>
        <v>893</v>
      </c>
      <c r="AI58" s="127">
        <v>839</v>
      </c>
      <c r="AJ58" s="92">
        <v>906</v>
      </c>
      <c r="AK58" s="92">
        <v>861</v>
      </c>
      <c r="AL58" s="92">
        <v>955</v>
      </c>
      <c r="AM58" s="92">
        <v>782</v>
      </c>
      <c r="AN58" s="92">
        <v>485</v>
      </c>
      <c r="AO58" s="92">
        <v>423</v>
      </c>
      <c r="AP58" s="92">
        <v>415</v>
      </c>
      <c r="AQ58" s="92">
        <v>426</v>
      </c>
      <c r="AR58" s="92">
        <v>406</v>
      </c>
      <c r="AS58" s="92">
        <v>404</v>
      </c>
      <c r="AT58" s="92">
        <v>427</v>
      </c>
      <c r="AU58" s="92">
        <v>336</v>
      </c>
      <c r="AV58" s="92">
        <v>337</v>
      </c>
      <c r="AW58" s="92">
        <v>295</v>
      </c>
      <c r="AX58" s="92">
        <v>315</v>
      </c>
      <c r="AY58" s="92">
        <v>267</v>
      </c>
      <c r="AZ58" s="92">
        <v>255</v>
      </c>
      <c r="BA58" s="92">
        <v>238</v>
      </c>
      <c r="BB58" s="92">
        <v>246</v>
      </c>
      <c r="BC58" s="92">
        <v>205</v>
      </c>
      <c r="BD58" s="92">
        <v>214</v>
      </c>
      <c r="BE58" s="92">
        <v>195</v>
      </c>
      <c r="BF58" s="92">
        <v>192</v>
      </c>
      <c r="BG58" s="92">
        <v>185</v>
      </c>
      <c r="BH58" s="92">
        <v>189</v>
      </c>
      <c r="BI58" s="92">
        <v>150</v>
      </c>
      <c r="BJ58" s="92">
        <v>143</v>
      </c>
      <c r="BK58" s="92">
        <v>126</v>
      </c>
      <c r="BL58" s="92">
        <v>132</v>
      </c>
      <c r="BM58" s="92">
        <v>131</v>
      </c>
      <c r="BN58" s="92">
        <v>121</v>
      </c>
      <c r="BO58" s="92">
        <v>112</v>
      </c>
      <c r="BP58" s="92">
        <v>119</v>
      </c>
      <c r="BQ58" s="92">
        <v>128</v>
      </c>
      <c r="BR58" s="92">
        <v>125</v>
      </c>
      <c r="BS58" s="92">
        <v>120</v>
      </c>
      <c r="BT58" s="92">
        <v>125</v>
      </c>
      <c r="BU58" s="92">
        <v>103</v>
      </c>
      <c r="BV58" s="92">
        <v>105</v>
      </c>
      <c r="BW58" s="92">
        <v>103</v>
      </c>
      <c r="BX58" s="92">
        <v>109</v>
      </c>
      <c r="BY58" s="92">
        <v>116</v>
      </c>
      <c r="BZ58" s="92">
        <v>113</v>
      </c>
      <c r="CA58" s="92">
        <v>102</v>
      </c>
      <c r="CB58" s="92">
        <v>98</v>
      </c>
      <c r="CC58" s="94" t="s">
        <v>783</v>
      </c>
      <c r="CD58" s="92">
        <v>94</v>
      </c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46"/>
      <c r="DF58" s="92">
        <v>1825</v>
      </c>
      <c r="DG58" s="92">
        <v>2190</v>
      </c>
      <c r="DH58" s="92">
        <v>2486</v>
      </c>
      <c r="DI58" s="92">
        <f>SUM(O58:R58)</f>
        <v>2824</v>
      </c>
      <c r="DJ58" s="92">
        <f>SUM(S58:V58)</f>
        <v>3037</v>
      </c>
      <c r="DK58" s="92">
        <f>SUM(W58:Z58)</f>
        <v>3163</v>
      </c>
      <c r="DL58" s="92">
        <f>SUM(AA58:AD58)</f>
        <v>3259</v>
      </c>
      <c r="DM58" s="92">
        <f>SUM(AE58:AH58)</f>
        <v>3569</v>
      </c>
      <c r="DN58" s="92">
        <f>SUM(AI58:AL58)</f>
        <v>3561</v>
      </c>
      <c r="DO58" s="92">
        <f>SUM(AM58:AP58)</f>
        <v>2105</v>
      </c>
      <c r="DP58" s="92">
        <f>SUM(AQ58:AT58)</f>
        <v>1663</v>
      </c>
      <c r="DQ58" s="92">
        <f>SUM(AU58:AX58)</f>
        <v>1283</v>
      </c>
      <c r="DR58" s="92">
        <f>SUM(AY58:BB58)</f>
        <v>1006</v>
      </c>
      <c r="DS58" s="92">
        <f>SUM(BC58:BF58)</f>
        <v>806</v>
      </c>
      <c r="DT58" s="92">
        <f>SUM(BG58:BJ58)</f>
        <v>667</v>
      </c>
      <c r="DU58" s="92">
        <f>SUM(BK58:BN58)</f>
        <v>510</v>
      </c>
      <c r="DV58" s="92">
        <f t="shared" si="109"/>
        <v>484</v>
      </c>
      <c r="DW58" s="92">
        <f t="shared" si="110"/>
        <v>453</v>
      </c>
      <c r="DX58" s="92">
        <f t="shared" si="122"/>
        <v>441</v>
      </c>
      <c r="DY58" s="92">
        <f t="shared" si="123"/>
        <v>294</v>
      </c>
      <c r="DZ58" s="92"/>
      <c r="EA58" s="92"/>
      <c r="EB58" s="92"/>
      <c r="EC58" s="92"/>
      <c r="ED58" s="92"/>
      <c r="EE58" s="92"/>
      <c r="EF58" s="95"/>
      <c r="EG58" s="92"/>
      <c r="EH58" s="95"/>
      <c r="EI58" s="95"/>
      <c r="EJ58" s="90"/>
    </row>
    <row r="59" spans="2:140" s="8" customFormat="1" ht="0.75" customHeight="1">
      <c r="B59" s="45" t="s">
        <v>632</v>
      </c>
      <c r="C59" s="9"/>
      <c r="D59" s="9"/>
      <c r="E59" s="9"/>
      <c r="F59" s="9"/>
      <c r="G59" s="7"/>
      <c r="H59" s="7"/>
      <c r="I59" s="92"/>
      <c r="J59" s="92"/>
      <c r="K59" s="92"/>
      <c r="L59" s="92"/>
      <c r="M59" s="92"/>
      <c r="N59" s="92"/>
      <c r="O59" s="92">
        <v>63</v>
      </c>
      <c r="P59" s="92">
        <v>65</v>
      </c>
      <c r="Q59" s="92">
        <v>67</v>
      </c>
      <c r="R59" s="92">
        <v>76</v>
      </c>
      <c r="S59" s="92">
        <v>70</v>
      </c>
      <c r="T59" s="92">
        <v>69</v>
      </c>
      <c r="U59" s="92">
        <v>67</v>
      </c>
      <c r="V59" s="92">
        <v>86</v>
      </c>
      <c r="W59" s="92">
        <v>75</v>
      </c>
      <c r="X59" s="92">
        <v>85</v>
      </c>
      <c r="Y59" s="92">
        <v>89</v>
      </c>
      <c r="Z59" s="92">
        <v>103</v>
      </c>
      <c r="AA59" s="92">
        <v>95</v>
      </c>
      <c r="AB59" s="92">
        <v>98</v>
      </c>
      <c r="AC59" s="91">
        <v>99</v>
      </c>
      <c r="AD59" s="92">
        <f>AC59</f>
        <v>99</v>
      </c>
      <c r="AE59" s="92">
        <v>105</v>
      </c>
      <c r="AF59" s="92">
        <v>108</v>
      </c>
      <c r="AG59" s="92">
        <v>108</v>
      </c>
      <c r="AH59" s="92">
        <f>AG59</f>
        <v>108</v>
      </c>
      <c r="AI59" s="127">
        <v>103</v>
      </c>
      <c r="AJ59" s="92">
        <v>106</v>
      </c>
      <c r="AK59" s="92">
        <v>109</v>
      </c>
      <c r="AL59" s="92">
        <v>123</v>
      </c>
      <c r="AM59" s="92">
        <f>35+64</f>
        <v>99</v>
      </c>
      <c r="AN59" s="92">
        <v>113</v>
      </c>
      <c r="AO59" s="92">
        <v>109</v>
      </c>
      <c r="AP59" s="92">
        <v>124</v>
      </c>
      <c r="AQ59" s="92">
        <v>106</v>
      </c>
      <c r="AR59" s="92">
        <v>112</v>
      </c>
      <c r="AS59" s="92">
        <v>112</v>
      </c>
      <c r="AT59" s="92">
        <v>117</v>
      </c>
      <c r="AU59" s="92">
        <v>108</v>
      </c>
      <c r="AV59" s="92">
        <v>100</v>
      </c>
      <c r="AW59" s="92">
        <v>104</v>
      </c>
      <c r="AX59" s="92">
        <v>112</v>
      </c>
      <c r="AY59" s="92">
        <v>68</v>
      </c>
      <c r="AZ59" s="92">
        <v>67</v>
      </c>
      <c r="BA59" s="92">
        <v>71</v>
      </c>
      <c r="BB59" s="92">
        <v>77</v>
      </c>
      <c r="BC59" s="92">
        <v>74</v>
      </c>
      <c r="BD59" s="92">
        <v>58</v>
      </c>
      <c r="BE59" s="92">
        <v>66</v>
      </c>
      <c r="BF59" s="92">
        <v>67</v>
      </c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47"/>
      <c r="DF59" s="9" t="s">
        <v>440</v>
      </c>
      <c r="DG59" s="92" t="s">
        <v>440</v>
      </c>
      <c r="DH59" s="92">
        <v>239</v>
      </c>
      <c r="DI59" s="92">
        <f>SUM(O59:R59)</f>
        <v>271</v>
      </c>
      <c r="DJ59" s="92">
        <f>SUM(S59:V59)</f>
        <v>292</v>
      </c>
      <c r="DK59" s="92">
        <f>SUM(W59:Z59)</f>
        <v>352</v>
      </c>
      <c r="DL59" s="92">
        <f>SUM(AA59:AD59)</f>
        <v>391</v>
      </c>
      <c r="DM59" s="92">
        <f>SUM(AE59:AH59)</f>
        <v>429</v>
      </c>
      <c r="DN59" s="92">
        <f>SUM(AI59:AL59)</f>
        <v>441</v>
      </c>
      <c r="DO59" s="92">
        <f>SUM(AM59:AP59)</f>
        <v>445</v>
      </c>
      <c r="DP59" s="92">
        <f t="shared" si="66"/>
        <v>447</v>
      </c>
      <c r="DQ59" s="92">
        <f t="shared" si="22"/>
        <v>424</v>
      </c>
      <c r="DR59" s="92">
        <f t="shared" ref="DR59:DR60" si="124">SUM(AY59:BB59)</f>
        <v>283</v>
      </c>
      <c r="DS59" s="92">
        <f t="shared" ref="DS59:DS60" si="125">SUM(BC59:BF59)</f>
        <v>265</v>
      </c>
      <c r="DT59" s="92"/>
      <c r="DU59" s="92"/>
      <c r="DV59" s="92"/>
      <c r="DW59" s="92"/>
      <c r="DX59" s="92"/>
      <c r="DY59" s="92"/>
      <c r="DZ59" s="92"/>
      <c r="EA59" s="92"/>
      <c r="EB59" s="92"/>
      <c r="EC59" s="92"/>
      <c r="ED59" s="92"/>
      <c r="EE59" s="92"/>
      <c r="EG59" s="28"/>
      <c r="EJ59" s="97"/>
    </row>
    <row r="60" spans="2:140" s="8" customFormat="1" ht="0.75" customHeight="1">
      <c r="B60" s="45" t="s">
        <v>587</v>
      </c>
      <c r="C60" s="9"/>
      <c r="D60" s="9"/>
      <c r="E60" s="9"/>
      <c r="F60" s="9"/>
      <c r="G60" s="7"/>
      <c r="H60" s="7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128" t="s">
        <v>622</v>
      </c>
      <c r="AJ60" s="92">
        <v>50</v>
      </c>
      <c r="AK60" s="92">
        <v>74</v>
      </c>
      <c r="AL60" s="92">
        <v>38</v>
      </c>
      <c r="AM60" s="92">
        <v>51</v>
      </c>
      <c r="AN60" s="92">
        <v>59</v>
      </c>
      <c r="AO60" s="92">
        <v>50</v>
      </c>
      <c r="AP60" s="92">
        <v>62</v>
      </c>
      <c r="AQ60" s="92">
        <v>60</v>
      </c>
      <c r="AR60" s="92">
        <v>57</v>
      </c>
      <c r="AS60" s="92">
        <v>65</v>
      </c>
      <c r="AT60" s="92">
        <v>59</v>
      </c>
      <c r="AU60" s="92">
        <v>57</v>
      </c>
      <c r="AV60" s="92">
        <v>66</v>
      </c>
      <c r="AW60" s="92">
        <v>52</v>
      </c>
      <c r="AX60" s="92">
        <v>57</v>
      </c>
      <c r="AY60" s="92">
        <v>52</v>
      </c>
      <c r="AZ60" s="92">
        <v>53</v>
      </c>
      <c r="BA60" s="92">
        <v>44</v>
      </c>
      <c r="BB60" s="92">
        <v>56</v>
      </c>
      <c r="BC60" s="92">
        <v>50</v>
      </c>
      <c r="BD60" s="92">
        <v>40</v>
      </c>
      <c r="BE60" s="92">
        <v>47</v>
      </c>
      <c r="BF60" s="92">
        <v>56</v>
      </c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47"/>
      <c r="DF60" s="9"/>
      <c r="DG60" s="92"/>
      <c r="DH60" s="92"/>
      <c r="DI60" s="92"/>
      <c r="DJ60" s="92"/>
      <c r="DK60" s="92"/>
      <c r="DL60" s="92"/>
      <c r="DM60" s="92"/>
      <c r="DN60" s="92"/>
      <c r="DO60" s="92">
        <f t="shared" ref="DO60:DO73" si="126">SUM(AM60:AP60)</f>
        <v>222</v>
      </c>
      <c r="DP60" s="92">
        <f t="shared" si="66"/>
        <v>241</v>
      </c>
      <c r="DQ60" s="92">
        <f t="shared" si="22"/>
        <v>232</v>
      </c>
      <c r="DR60" s="92">
        <f t="shared" si="124"/>
        <v>205</v>
      </c>
      <c r="DS60" s="92">
        <f t="shared" si="125"/>
        <v>193</v>
      </c>
      <c r="DT60" s="92"/>
      <c r="DU60" s="92"/>
      <c r="DV60" s="92"/>
      <c r="DW60" s="92"/>
      <c r="DX60" s="92"/>
      <c r="DY60" s="92"/>
      <c r="DZ60" s="92"/>
      <c r="EA60" s="92"/>
      <c r="EB60" s="92"/>
      <c r="EC60" s="92"/>
      <c r="ED60" s="92"/>
      <c r="EE60" s="92"/>
      <c r="EG60" s="28"/>
    </row>
    <row r="61" spans="2:140" s="8" customFormat="1" ht="0.75" customHeight="1">
      <c r="B61" s="45" t="s">
        <v>102</v>
      </c>
      <c r="C61" s="9"/>
      <c r="D61" s="9"/>
      <c r="E61" s="9"/>
      <c r="F61" s="9"/>
      <c r="G61" s="7"/>
      <c r="H61" s="7"/>
      <c r="I61" s="92"/>
      <c r="J61" s="92"/>
      <c r="K61" s="92"/>
      <c r="L61" s="92"/>
      <c r="M61" s="92"/>
      <c r="N61" s="92"/>
      <c r="O61" s="92">
        <v>175</v>
      </c>
      <c r="P61" s="92">
        <v>185</v>
      </c>
      <c r="Q61" s="92">
        <v>180</v>
      </c>
      <c r="R61" s="92">
        <v>194</v>
      </c>
      <c r="S61" s="92">
        <v>175</v>
      </c>
      <c r="T61" s="92">
        <v>188</v>
      </c>
      <c r="U61" s="92">
        <v>186</v>
      </c>
      <c r="V61" s="92">
        <v>192</v>
      </c>
      <c r="W61" s="92">
        <v>188</v>
      </c>
      <c r="X61" s="92">
        <v>183</v>
      </c>
      <c r="Y61" s="92">
        <v>127</v>
      </c>
      <c r="Z61" s="92">
        <v>120</v>
      </c>
      <c r="AA61" s="92">
        <v>125</v>
      </c>
      <c r="AB61" s="92">
        <v>113</v>
      </c>
      <c r="AC61" s="91">
        <v>90</v>
      </c>
      <c r="AD61" s="92">
        <f>AC61</f>
        <v>90</v>
      </c>
      <c r="AE61" s="92">
        <v>85</v>
      </c>
      <c r="AF61" s="92">
        <v>86</v>
      </c>
      <c r="AG61" s="92">
        <v>81</v>
      </c>
      <c r="AH61" s="92">
        <f>AG61-2</f>
        <v>79</v>
      </c>
      <c r="AI61" s="127">
        <v>72</v>
      </c>
      <c r="AJ61" s="92">
        <v>79</v>
      </c>
      <c r="AK61" s="92">
        <v>67</v>
      </c>
      <c r="AL61" s="92">
        <v>72</v>
      </c>
      <c r="AM61" s="92">
        <v>58</v>
      </c>
      <c r="AN61" s="92">
        <v>56</v>
      </c>
      <c r="AO61" s="92">
        <v>58</v>
      </c>
      <c r="AP61" s="92">
        <v>44</v>
      </c>
      <c r="AQ61" s="92">
        <v>60</v>
      </c>
      <c r="AR61" s="92">
        <v>53</v>
      </c>
      <c r="AS61" s="92">
        <v>58</v>
      </c>
      <c r="AT61" s="92">
        <v>52</v>
      </c>
      <c r="AU61" s="92">
        <v>51</v>
      </c>
      <c r="AV61" s="92">
        <v>55</v>
      </c>
      <c r="AW61" s="92">
        <v>55</v>
      </c>
      <c r="AX61" s="92">
        <v>56</v>
      </c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47"/>
      <c r="DF61" s="9" t="s">
        <v>440</v>
      </c>
      <c r="DG61" s="96" t="s">
        <v>440</v>
      </c>
      <c r="DH61" s="92">
        <v>606</v>
      </c>
      <c r="DI61" s="92">
        <f>SUM(O61:R61)</f>
        <v>734</v>
      </c>
      <c r="DJ61" s="92">
        <f>SUM(S61:V61)</f>
        <v>741</v>
      </c>
      <c r="DK61" s="92">
        <f>SUM(W61:Z61)</f>
        <v>618</v>
      </c>
      <c r="DL61" s="92">
        <f>SUM(AA61:AD61)</f>
        <v>418</v>
      </c>
      <c r="DM61" s="92">
        <f>SUM(AE61:AH61)</f>
        <v>331</v>
      </c>
      <c r="DN61" s="92">
        <f>SUM(AI61:AL61)</f>
        <v>290</v>
      </c>
      <c r="DO61" s="92">
        <f t="shared" si="126"/>
        <v>216</v>
      </c>
      <c r="DP61" s="92">
        <f t="shared" si="66"/>
        <v>223</v>
      </c>
      <c r="DQ61" s="92">
        <f t="shared" si="22"/>
        <v>217</v>
      </c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G61" s="28"/>
    </row>
    <row r="62" spans="2:140" s="8" customFormat="1" ht="0.75" customHeight="1">
      <c r="B62" s="45" t="s">
        <v>612</v>
      </c>
      <c r="C62" s="9"/>
      <c r="D62" s="9"/>
      <c r="E62" s="9"/>
      <c r="F62" s="9"/>
      <c r="G62" s="7"/>
      <c r="H62" s="7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1"/>
      <c r="AD62" s="92"/>
      <c r="AE62" s="92"/>
      <c r="AF62" s="92"/>
      <c r="AG62" s="92"/>
      <c r="AH62" s="92"/>
      <c r="AI62" s="128" t="s">
        <v>630</v>
      </c>
      <c r="AJ62" s="92">
        <v>71</v>
      </c>
      <c r="AK62" s="92">
        <v>70</v>
      </c>
      <c r="AL62" s="92">
        <v>118</v>
      </c>
      <c r="AM62" s="92">
        <v>106</v>
      </c>
      <c r="AN62" s="92">
        <v>59</v>
      </c>
      <c r="AO62" s="92">
        <v>59</v>
      </c>
      <c r="AP62" s="92">
        <v>92</v>
      </c>
      <c r="AQ62" s="92">
        <v>106</v>
      </c>
      <c r="AR62" s="92">
        <v>61</v>
      </c>
      <c r="AS62" s="92">
        <v>59</v>
      </c>
      <c r="AT62" s="92">
        <v>95</v>
      </c>
      <c r="AU62" s="92">
        <v>73</v>
      </c>
      <c r="AV62" s="92">
        <v>44</v>
      </c>
      <c r="AW62" s="92">
        <v>30</v>
      </c>
      <c r="AX62" s="92">
        <v>55</v>
      </c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47"/>
      <c r="DF62" s="9"/>
      <c r="DG62" s="92"/>
      <c r="DH62" s="92"/>
      <c r="DI62" s="92"/>
      <c r="DJ62" s="92"/>
      <c r="DK62" s="92"/>
      <c r="DL62" s="92"/>
      <c r="DM62" s="92"/>
      <c r="DN62" s="92"/>
      <c r="DO62" s="92">
        <f t="shared" si="126"/>
        <v>316</v>
      </c>
      <c r="DP62" s="92">
        <f t="shared" si="66"/>
        <v>321</v>
      </c>
      <c r="DQ62" s="92">
        <f t="shared" si="22"/>
        <v>202</v>
      </c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G62" s="28"/>
    </row>
    <row r="63" spans="2:140" s="8" customFormat="1" ht="0.75" customHeight="1">
      <c r="B63" s="45" t="s">
        <v>354</v>
      </c>
      <c r="C63" s="9"/>
      <c r="D63" s="9"/>
      <c r="E63" s="9"/>
      <c r="F63" s="9"/>
      <c r="G63" s="7"/>
      <c r="H63" s="7"/>
      <c r="I63" s="92"/>
      <c r="J63" s="92"/>
      <c r="K63" s="92"/>
      <c r="L63" s="92"/>
      <c r="M63" s="92"/>
      <c r="N63" s="92"/>
      <c r="O63" s="92">
        <v>64</v>
      </c>
      <c r="P63" s="92">
        <v>64</v>
      </c>
      <c r="Q63" s="92">
        <v>65</v>
      </c>
      <c r="R63" s="92">
        <v>62</v>
      </c>
      <c r="S63" s="92">
        <v>79</v>
      </c>
      <c r="T63" s="92">
        <v>89</v>
      </c>
      <c r="U63" s="92">
        <v>91</v>
      </c>
      <c r="V63" s="92">
        <v>90</v>
      </c>
      <c r="W63" s="92">
        <v>82</v>
      </c>
      <c r="X63" s="92">
        <v>74</v>
      </c>
      <c r="Y63" s="92">
        <v>83</v>
      </c>
      <c r="Z63" s="92">
        <v>89</v>
      </c>
      <c r="AA63" s="92">
        <v>82</v>
      </c>
      <c r="AB63" s="92">
        <v>75</v>
      </c>
      <c r="AC63" s="91">
        <v>72</v>
      </c>
      <c r="AD63" s="92">
        <f>AC63</f>
        <v>72</v>
      </c>
      <c r="AE63" s="92">
        <v>75</v>
      </c>
      <c r="AF63" s="92">
        <v>79</v>
      </c>
      <c r="AG63" s="92">
        <v>69</v>
      </c>
      <c r="AH63" s="92">
        <f>AG63-1</f>
        <v>68</v>
      </c>
      <c r="AI63" s="127">
        <v>49</v>
      </c>
      <c r="AJ63" s="92">
        <v>56</v>
      </c>
      <c r="AK63" s="92">
        <v>49</v>
      </c>
      <c r="AL63" s="92">
        <v>52</v>
      </c>
      <c r="AM63" s="92">
        <v>52</v>
      </c>
      <c r="AN63" s="92">
        <v>48</v>
      </c>
      <c r="AO63" s="92">
        <v>49</v>
      </c>
      <c r="AP63" s="92">
        <v>58</v>
      </c>
      <c r="AQ63" s="92">
        <v>45</v>
      </c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47"/>
      <c r="DF63" s="9" t="s">
        <v>440</v>
      </c>
      <c r="DG63" s="92" t="s">
        <v>440</v>
      </c>
      <c r="DH63" s="92">
        <v>291</v>
      </c>
      <c r="DI63" s="92">
        <f>SUM(O63:R63)</f>
        <v>255</v>
      </c>
      <c r="DJ63" s="92">
        <f>SUM(S63:V63)</f>
        <v>349</v>
      </c>
      <c r="DK63" s="92">
        <f>SUM(W63:Z63)</f>
        <v>328</v>
      </c>
      <c r="DL63" s="92">
        <f>SUM(AA63:AD63)</f>
        <v>301</v>
      </c>
      <c r="DM63" s="92">
        <f>SUM(AE63:AH63)</f>
        <v>291</v>
      </c>
      <c r="DN63" s="92">
        <f>SUM(AI63:AL63)</f>
        <v>206</v>
      </c>
      <c r="DO63" s="92">
        <f t="shared" si="126"/>
        <v>207</v>
      </c>
      <c r="DP63" s="92">
        <f t="shared" si="66"/>
        <v>45</v>
      </c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G63" s="28"/>
    </row>
    <row r="64" spans="2:140" s="8" customFormat="1" ht="0.75" customHeight="1">
      <c r="B64" s="45" t="s">
        <v>585</v>
      </c>
      <c r="C64" s="9"/>
      <c r="D64" s="9"/>
      <c r="E64" s="9"/>
      <c r="F64" s="9"/>
      <c r="G64" s="7"/>
      <c r="H64" s="7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1"/>
      <c r="AD64" s="92"/>
      <c r="AE64" s="92"/>
      <c r="AF64" s="92"/>
      <c r="AG64" s="92"/>
      <c r="AH64" s="92"/>
      <c r="AI64" s="128" t="s">
        <v>629</v>
      </c>
      <c r="AJ64" s="92">
        <v>67</v>
      </c>
      <c r="AK64" s="92">
        <v>64</v>
      </c>
      <c r="AL64" s="92">
        <v>57</v>
      </c>
      <c r="AM64" s="92">
        <v>56</v>
      </c>
      <c r="AN64" s="92">
        <v>55</v>
      </c>
      <c r="AO64" s="92">
        <v>55</v>
      </c>
      <c r="AP64" s="92">
        <v>54</v>
      </c>
      <c r="AQ64" s="92">
        <v>53</v>
      </c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47"/>
      <c r="DF64" s="9"/>
      <c r="DG64" s="92"/>
      <c r="DH64" s="92"/>
      <c r="DI64" s="92"/>
      <c r="DJ64" s="92"/>
      <c r="DK64" s="92"/>
      <c r="DL64" s="92"/>
      <c r="DM64" s="92"/>
      <c r="DN64" s="92"/>
      <c r="DO64" s="92">
        <f t="shared" si="126"/>
        <v>220</v>
      </c>
      <c r="DP64" s="92">
        <f t="shared" si="66"/>
        <v>53</v>
      </c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G64" s="28"/>
    </row>
    <row r="65" spans="2:140" s="8" customFormat="1" ht="0.75" customHeight="1">
      <c r="B65" s="45" t="s">
        <v>101</v>
      </c>
      <c r="C65" s="9"/>
      <c r="D65" s="9"/>
      <c r="E65" s="9"/>
      <c r="F65" s="9"/>
      <c r="G65" s="7"/>
      <c r="H65" s="7"/>
      <c r="I65" s="92"/>
      <c r="J65" s="92"/>
      <c r="K65" s="92"/>
      <c r="L65" s="92"/>
      <c r="M65" s="92"/>
      <c r="N65" s="92"/>
      <c r="O65" s="92">
        <v>56</v>
      </c>
      <c r="P65" s="92">
        <v>79</v>
      </c>
      <c r="Q65" s="92">
        <v>84</v>
      </c>
      <c r="R65" s="92">
        <v>91</v>
      </c>
      <c r="S65" s="92">
        <v>78</v>
      </c>
      <c r="T65" s="92">
        <v>84</v>
      </c>
      <c r="U65" s="92">
        <v>92</v>
      </c>
      <c r="V65" s="92">
        <v>94</v>
      </c>
      <c r="W65" s="92">
        <v>93</v>
      </c>
      <c r="X65" s="92">
        <v>97</v>
      </c>
      <c r="Y65" s="92">
        <v>105</v>
      </c>
      <c r="Z65" s="92">
        <v>111</v>
      </c>
      <c r="AA65" s="92">
        <v>107</v>
      </c>
      <c r="AB65" s="92">
        <v>109</v>
      </c>
      <c r="AC65" s="91">
        <v>125</v>
      </c>
      <c r="AD65" s="92">
        <f>AC65</f>
        <v>125</v>
      </c>
      <c r="AE65" s="92">
        <v>122</v>
      </c>
      <c r="AF65" s="92">
        <v>130</v>
      </c>
      <c r="AG65" s="92">
        <v>136</v>
      </c>
      <c r="AH65" s="92">
        <f>AG65</f>
        <v>136</v>
      </c>
      <c r="AI65" s="127">
        <v>133</v>
      </c>
      <c r="AJ65" s="92">
        <v>141</v>
      </c>
      <c r="AK65" s="92">
        <v>144</v>
      </c>
      <c r="AL65" s="92">
        <v>156</v>
      </c>
      <c r="AM65" s="92">
        <v>135</v>
      </c>
      <c r="AN65" s="92">
        <v>133</v>
      </c>
      <c r="AO65" s="92">
        <v>133</v>
      </c>
      <c r="AP65" s="92">
        <v>149</v>
      </c>
      <c r="AQ65" s="92">
        <v>173</v>
      </c>
      <c r="AR65" s="92">
        <v>131</v>
      </c>
      <c r="AS65" s="92">
        <v>156</v>
      </c>
      <c r="AT65" s="92">
        <v>178</v>
      </c>
      <c r="AU65" s="92">
        <v>156</v>
      </c>
      <c r="AV65" s="92">
        <v>154</v>
      </c>
      <c r="AW65" s="92">
        <v>166</v>
      </c>
      <c r="AX65" s="92">
        <v>165</v>
      </c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  <c r="CW65" s="92"/>
      <c r="CX65" s="92"/>
      <c r="CY65" s="92"/>
      <c r="CZ65" s="92"/>
      <c r="DA65" s="92"/>
      <c r="DB65" s="92"/>
      <c r="DC65" s="92"/>
      <c r="DD65" s="92"/>
      <c r="DE65" s="47"/>
      <c r="DF65" s="9" t="s">
        <v>440</v>
      </c>
      <c r="DG65" s="92" t="s">
        <v>440</v>
      </c>
      <c r="DH65" s="92">
        <v>324</v>
      </c>
      <c r="DI65" s="92">
        <f>SUM(O65:R65)</f>
        <v>310</v>
      </c>
      <c r="DJ65" s="92">
        <f>SUM(S65:V65)</f>
        <v>348</v>
      </c>
      <c r="DK65" s="92">
        <f>SUM(W65:Z65)</f>
        <v>406</v>
      </c>
      <c r="DL65" s="92">
        <f>SUM(AA65:AD65)</f>
        <v>466</v>
      </c>
      <c r="DM65" s="92">
        <f>SUM(AE65:AH65)</f>
        <v>524</v>
      </c>
      <c r="DN65" s="92">
        <f>SUM(AI65:AL65)</f>
        <v>574</v>
      </c>
      <c r="DO65" s="92">
        <f t="shared" si="126"/>
        <v>550</v>
      </c>
      <c r="DP65" s="92">
        <f t="shared" si="66"/>
        <v>638</v>
      </c>
      <c r="DQ65" s="92">
        <f t="shared" si="22"/>
        <v>641</v>
      </c>
      <c r="DR65" s="92"/>
      <c r="DS65" s="92"/>
      <c r="DT65" s="92"/>
      <c r="DU65" s="92"/>
      <c r="DV65" s="92"/>
      <c r="DW65" s="92"/>
      <c r="DX65" s="92"/>
      <c r="DY65" s="92"/>
      <c r="DZ65" s="92"/>
      <c r="EA65" s="92"/>
      <c r="EB65" s="92"/>
      <c r="EC65" s="92"/>
      <c r="ED65" s="92"/>
      <c r="EE65" s="92"/>
      <c r="EG65" s="28"/>
    </row>
    <row r="66" spans="2:140" s="8" customFormat="1" ht="0.75" customHeight="1">
      <c r="B66" s="45" t="s">
        <v>439</v>
      </c>
      <c r="C66" s="92">
        <v>315.91790000000003</v>
      </c>
      <c r="D66" s="92">
        <v>315.91802000000001</v>
      </c>
      <c r="E66" s="92">
        <v>315.00424999999996</v>
      </c>
      <c r="F66" s="92">
        <v>324.61241835208943</v>
      </c>
      <c r="G66" s="92">
        <v>417</v>
      </c>
      <c r="H66" s="92">
        <v>222</v>
      </c>
      <c r="I66" s="92">
        <v>342</v>
      </c>
      <c r="J66" s="92">
        <v>508</v>
      </c>
      <c r="K66" s="92">
        <v>464</v>
      </c>
      <c r="L66" s="92">
        <v>422</v>
      </c>
      <c r="M66" s="92">
        <v>615.75</v>
      </c>
      <c r="N66" s="92">
        <v>507.74</v>
      </c>
      <c r="O66" s="92">
        <v>623</v>
      </c>
      <c r="P66" s="92">
        <v>643</v>
      </c>
      <c r="Q66" s="92">
        <v>626</v>
      </c>
      <c r="R66" s="92">
        <v>731</v>
      </c>
      <c r="S66" s="92">
        <v>735</v>
      </c>
      <c r="T66" s="92">
        <v>730</v>
      </c>
      <c r="U66" s="92">
        <v>692</v>
      </c>
      <c r="V66" s="92">
        <v>819</v>
      </c>
      <c r="W66" s="92">
        <v>801</v>
      </c>
      <c r="X66" s="92">
        <v>950</v>
      </c>
      <c r="Y66" s="92">
        <v>868</v>
      </c>
      <c r="Z66" s="92">
        <v>960</v>
      </c>
      <c r="AA66" s="92">
        <v>1002</v>
      </c>
      <c r="AB66" s="92">
        <v>1092</v>
      </c>
      <c r="AC66" s="92">
        <v>1018</v>
      </c>
      <c r="AD66" s="92">
        <v>1020</v>
      </c>
      <c r="AE66" s="92">
        <v>1104</v>
      </c>
      <c r="AF66" s="92">
        <v>1082</v>
      </c>
      <c r="AG66" s="92">
        <v>1029</v>
      </c>
      <c r="AH66" s="92">
        <v>1060</v>
      </c>
      <c r="AI66" s="127">
        <v>1057</v>
      </c>
      <c r="AJ66" s="92">
        <v>1257</v>
      </c>
      <c r="AK66" s="92">
        <v>1085</v>
      </c>
      <c r="AL66" s="92">
        <v>1260</v>
      </c>
      <c r="AM66" s="92">
        <f>728+437</f>
        <v>1165</v>
      </c>
      <c r="AN66" s="92">
        <v>1258</v>
      </c>
      <c r="AO66" s="92">
        <v>1215</v>
      </c>
      <c r="AP66" s="92">
        <v>1349</v>
      </c>
      <c r="AQ66" s="92">
        <v>1328</v>
      </c>
      <c r="AR66" s="92">
        <v>1354</v>
      </c>
      <c r="AS66" s="92">
        <v>1336</v>
      </c>
      <c r="AT66" s="92">
        <v>1461</v>
      </c>
      <c r="AU66" s="92">
        <v>1340</v>
      </c>
      <c r="AV66" s="92">
        <v>1431</v>
      </c>
      <c r="AW66" s="92">
        <v>602</v>
      </c>
      <c r="AX66" s="92">
        <v>480</v>
      </c>
      <c r="AY66" s="92">
        <v>337</v>
      </c>
      <c r="AZ66" s="92">
        <v>281</v>
      </c>
      <c r="BA66" s="92">
        <v>280</v>
      </c>
      <c r="BB66" s="92">
        <v>298</v>
      </c>
      <c r="BC66" s="92">
        <v>271</v>
      </c>
      <c r="BD66" s="92">
        <v>284</v>
      </c>
      <c r="BE66" s="92">
        <v>218</v>
      </c>
      <c r="BF66" s="92">
        <v>319</v>
      </c>
      <c r="BG66" s="92">
        <v>245</v>
      </c>
      <c r="BH66" s="92">
        <v>212</v>
      </c>
      <c r="BI66" s="92">
        <v>201</v>
      </c>
      <c r="BJ66" s="92">
        <v>273</v>
      </c>
      <c r="BK66" s="92">
        <v>237</v>
      </c>
      <c r="BL66" s="92">
        <v>229</v>
      </c>
      <c r="BM66" s="92">
        <v>239</v>
      </c>
      <c r="BN66" s="92">
        <v>210</v>
      </c>
      <c r="BO66" s="92">
        <v>186</v>
      </c>
      <c r="BP66" s="92">
        <v>203</v>
      </c>
      <c r="BQ66" s="92">
        <v>161</v>
      </c>
      <c r="BR66" s="92">
        <v>182</v>
      </c>
      <c r="BS66" s="92">
        <v>175</v>
      </c>
      <c r="BT66" s="92">
        <v>185</v>
      </c>
      <c r="BU66" s="92">
        <v>161</v>
      </c>
      <c r="BV66" s="92">
        <v>187</v>
      </c>
      <c r="BW66" s="92">
        <v>191</v>
      </c>
      <c r="BX66" s="92">
        <v>160</v>
      </c>
      <c r="BY66" s="92">
        <v>152</v>
      </c>
      <c r="BZ66" s="92">
        <v>195</v>
      </c>
      <c r="CA66" s="92">
        <v>155</v>
      </c>
      <c r="CB66" s="92">
        <v>100</v>
      </c>
      <c r="CC66" s="94" t="s">
        <v>784</v>
      </c>
      <c r="CD66" s="92">
        <v>124</v>
      </c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  <c r="CV66" s="92"/>
      <c r="CW66" s="92"/>
      <c r="CX66" s="92"/>
      <c r="CY66" s="92"/>
      <c r="CZ66" s="92"/>
      <c r="DA66" s="92"/>
      <c r="DB66" s="92"/>
      <c r="DC66" s="92"/>
      <c r="DD66" s="92"/>
      <c r="DE66" s="47"/>
      <c r="DF66" s="92">
        <v>1271</v>
      </c>
      <c r="DG66" s="92">
        <v>1505</v>
      </c>
      <c r="DH66" s="92">
        <v>2025</v>
      </c>
      <c r="DI66" s="92">
        <f>SUM(O66:R66)</f>
        <v>2623</v>
      </c>
      <c r="DJ66" s="92">
        <f>SUM(S66:V66)</f>
        <v>2976</v>
      </c>
      <c r="DK66" s="92">
        <f>SUM(W66:Z66)</f>
        <v>3579</v>
      </c>
      <c r="DL66" s="92">
        <f>SUM(AA66:AD66)</f>
        <v>4132</v>
      </c>
      <c r="DM66" s="92">
        <f>SUM(AE66:AH66)</f>
        <v>4275</v>
      </c>
      <c r="DN66" s="92">
        <f>SUM(AI66:AL66)</f>
        <v>4659</v>
      </c>
      <c r="DO66" s="92">
        <f t="shared" si="126"/>
        <v>4987</v>
      </c>
      <c r="DP66" s="92">
        <f>SUM(AQ66:AT66)</f>
        <v>5479</v>
      </c>
      <c r="DQ66" s="92">
        <f t="shared" si="22"/>
        <v>3853</v>
      </c>
      <c r="DR66" s="92">
        <f t="shared" ref="DR66" si="127">SUM(AY66:BB66)</f>
        <v>1196</v>
      </c>
      <c r="DS66" s="92">
        <f t="shared" ref="DS66" si="128">SUM(BC66:BF66)</f>
        <v>1092</v>
      </c>
      <c r="DT66" s="92">
        <f t="shared" si="25"/>
        <v>931</v>
      </c>
      <c r="DU66" s="92">
        <f t="shared" si="26"/>
        <v>915</v>
      </c>
      <c r="DV66" s="92">
        <f t="shared" si="12"/>
        <v>732</v>
      </c>
      <c r="DW66" s="92">
        <f t="shared" si="13"/>
        <v>708</v>
      </c>
      <c r="DX66" s="92">
        <f t="shared" si="77"/>
        <v>698</v>
      </c>
      <c r="DY66" s="92">
        <f t="shared" si="78"/>
        <v>379</v>
      </c>
      <c r="DZ66" s="92"/>
      <c r="EA66" s="92"/>
      <c r="EB66" s="92"/>
      <c r="EC66" s="92"/>
      <c r="ED66" s="92"/>
      <c r="EE66" s="92"/>
      <c r="EG66" s="85"/>
      <c r="EJ66" s="81"/>
    </row>
    <row r="67" spans="2:140" s="8" customFormat="1" ht="0.75" customHeight="1">
      <c r="B67" s="45" t="s">
        <v>508</v>
      </c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4" t="s">
        <v>544</v>
      </c>
      <c r="AE67" s="94" t="s">
        <v>545</v>
      </c>
      <c r="AF67" s="94" t="s">
        <v>559</v>
      </c>
      <c r="AG67" s="94" t="s">
        <v>552</v>
      </c>
      <c r="AH67" s="94" t="s">
        <v>543</v>
      </c>
      <c r="AI67" s="128" t="s">
        <v>524</v>
      </c>
      <c r="AJ67" s="94" t="s">
        <v>516</v>
      </c>
      <c r="AK67" s="94" t="s">
        <v>507</v>
      </c>
      <c r="AL67" s="92">
        <v>71</v>
      </c>
      <c r="AM67" s="92">
        <v>124</v>
      </c>
      <c r="AN67" s="92">
        <v>93</v>
      </c>
      <c r="AO67" s="92">
        <v>81</v>
      </c>
      <c r="AP67" s="92">
        <v>122</v>
      </c>
      <c r="AQ67" s="92">
        <v>120</v>
      </c>
      <c r="AR67" s="92">
        <v>65</v>
      </c>
      <c r="AS67" s="92">
        <v>55</v>
      </c>
      <c r="AT67" s="92">
        <v>74</v>
      </c>
      <c r="AU67" s="92">
        <v>87</v>
      </c>
      <c r="AV67" s="92">
        <v>48</v>
      </c>
      <c r="AW67" s="92">
        <v>47</v>
      </c>
      <c r="AX67" s="92">
        <v>63</v>
      </c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  <c r="CW67" s="92"/>
      <c r="CX67" s="92"/>
      <c r="CY67" s="92"/>
      <c r="CZ67" s="92"/>
      <c r="DA67" s="92"/>
      <c r="DB67" s="92"/>
      <c r="DC67" s="92"/>
      <c r="DD67" s="92"/>
      <c r="DE67" s="47"/>
      <c r="DF67" s="92"/>
      <c r="DG67" s="92"/>
      <c r="DH67" s="92"/>
      <c r="DI67" s="92"/>
      <c r="DJ67" s="92"/>
      <c r="DK67" s="92"/>
      <c r="DL67" s="92"/>
      <c r="DM67" s="92"/>
      <c r="DN67" s="92"/>
      <c r="DO67" s="92">
        <f t="shared" si="126"/>
        <v>420</v>
      </c>
      <c r="DP67" s="92">
        <f t="shared" si="66"/>
        <v>314</v>
      </c>
      <c r="DQ67" s="92">
        <f t="shared" si="22"/>
        <v>245</v>
      </c>
      <c r="DR67" s="92"/>
      <c r="DS67" s="92"/>
      <c r="DT67" s="92"/>
      <c r="DU67" s="92"/>
      <c r="DV67" s="92"/>
      <c r="DW67" s="92"/>
      <c r="DX67" s="92"/>
      <c r="DY67" s="92"/>
      <c r="DZ67" s="92"/>
      <c r="EA67" s="92"/>
      <c r="EB67" s="92"/>
      <c r="EC67" s="92"/>
      <c r="ED67" s="92"/>
      <c r="EE67" s="92"/>
      <c r="EG67" s="28"/>
    </row>
    <row r="68" spans="2:140" s="8" customFormat="1" ht="0.75" customHeight="1">
      <c r="B68" s="45" t="s">
        <v>164</v>
      </c>
      <c r="C68" s="9"/>
      <c r="D68" s="9"/>
      <c r="E68" s="9"/>
      <c r="F68" s="9"/>
      <c r="G68" s="7"/>
      <c r="H68" s="7"/>
      <c r="I68" s="92"/>
      <c r="J68" s="92"/>
      <c r="K68" s="92"/>
      <c r="L68" s="92"/>
      <c r="M68" s="92"/>
      <c r="N68" s="92"/>
      <c r="O68" s="92">
        <v>173</v>
      </c>
      <c r="P68" s="92">
        <v>195</v>
      </c>
      <c r="Q68" s="92">
        <v>170</v>
      </c>
      <c r="R68" s="92">
        <v>182</v>
      </c>
      <c r="S68" s="92">
        <v>158</v>
      </c>
      <c r="T68" s="92">
        <v>164</v>
      </c>
      <c r="U68" s="92">
        <v>149</v>
      </c>
      <c r="V68" s="92">
        <v>152</v>
      </c>
      <c r="W68" s="92">
        <v>136</v>
      </c>
      <c r="X68" s="92">
        <v>140</v>
      </c>
      <c r="Y68" s="92">
        <v>134</v>
      </c>
      <c r="Z68" s="92">
        <v>136</v>
      </c>
      <c r="AA68" s="92">
        <v>122</v>
      </c>
      <c r="AB68" s="92">
        <v>127</v>
      </c>
      <c r="AC68" s="92">
        <v>119</v>
      </c>
      <c r="AD68" s="92">
        <f>AC68</f>
        <v>119</v>
      </c>
      <c r="AE68" s="92">
        <v>96</v>
      </c>
      <c r="AF68" s="92">
        <v>94</v>
      </c>
      <c r="AG68" s="92">
        <v>82</v>
      </c>
      <c r="AH68" s="92">
        <f>AG68-2</f>
        <v>80</v>
      </c>
      <c r="AI68" s="127">
        <v>77</v>
      </c>
      <c r="AJ68" s="92">
        <v>76</v>
      </c>
      <c r="AK68" s="92">
        <v>73</v>
      </c>
      <c r="AL68" s="92">
        <v>85</v>
      </c>
      <c r="AM68" s="92">
        <v>59</v>
      </c>
      <c r="AN68" s="92">
        <v>63</v>
      </c>
      <c r="AO68" s="92">
        <v>69</v>
      </c>
      <c r="AP68" s="92">
        <v>64</v>
      </c>
      <c r="AQ68" s="92">
        <v>57</v>
      </c>
      <c r="AR68" s="92">
        <v>59</v>
      </c>
      <c r="AS68" s="92">
        <v>57</v>
      </c>
      <c r="AT68" s="92">
        <v>58</v>
      </c>
      <c r="AU68" s="92">
        <v>53</v>
      </c>
      <c r="AV68" s="92">
        <v>49</v>
      </c>
      <c r="AW68" s="92">
        <v>42</v>
      </c>
      <c r="AX68" s="92">
        <v>48</v>
      </c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  <c r="CV68" s="92"/>
      <c r="CW68" s="92"/>
      <c r="CX68" s="92"/>
      <c r="CY68" s="92"/>
      <c r="CZ68" s="92"/>
      <c r="DA68" s="92"/>
      <c r="DB68" s="92"/>
      <c r="DC68" s="92"/>
      <c r="DD68" s="92"/>
      <c r="DE68" s="47"/>
      <c r="DF68" s="9" t="s">
        <v>440</v>
      </c>
      <c r="DG68" s="92" t="s">
        <v>440</v>
      </c>
      <c r="DH68" s="92">
        <v>765</v>
      </c>
      <c r="DI68" s="92">
        <f>SUM(O68:R68)</f>
        <v>720</v>
      </c>
      <c r="DJ68" s="92">
        <f>SUM(S68:V68)</f>
        <v>623</v>
      </c>
      <c r="DK68" s="92">
        <f>SUM(W68:Z68)</f>
        <v>546</v>
      </c>
      <c r="DL68" s="92">
        <f>SUM(AA68:AD68)</f>
        <v>487</v>
      </c>
      <c r="DM68" s="92">
        <f>SUM(AE68:AH68)</f>
        <v>352</v>
      </c>
      <c r="DN68" s="92">
        <f>SUM(AI68:AL68)</f>
        <v>311</v>
      </c>
      <c r="DO68" s="92">
        <f t="shared" si="126"/>
        <v>255</v>
      </c>
      <c r="DP68" s="92">
        <f t="shared" si="66"/>
        <v>231</v>
      </c>
      <c r="DQ68" s="92">
        <f t="shared" si="22"/>
        <v>192</v>
      </c>
      <c r="DR68" s="92"/>
      <c r="DS68" s="92"/>
      <c r="DT68" s="92"/>
      <c r="DU68" s="92"/>
      <c r="DV68" s="92"/>
      <c r="DW68" s="92"/>
      <c r="DX68" s="92"/>
      <c r="DY68" s="92"/>
      <c r="DZ68" s="92"/>
      <c r="EA68" s="92"/>
      <c r="EB68" s="92"/>
      <c r="EC68" s="92"/>
      <c r="ED68" s="92"/>
      <c r="EE68" s="92"/>
      <c r="EG68" s="28"/>
    </row>
    <row r="69" spans="2:140" s="8" customFormat="1" ht="0.75" customHeight="1">
      <c r="B69" s="45" t="s">
        <v>584</v>
      </c>
      <c r="C69" s="9"/>
      <c r="D69" s="9"/>
      <c r="E69" s="9"/>
      <c r="F69" s="9"/>
      <c r="G69" s="7"/>
      <c r="H69" s="7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128" t="s">
        <v>627</v>
      </c>
      <c r="AJ69" s="92">
        <v>73</v>
      </c>
      <c r="AK69" s="92">
        <v>74</v>
      </c>
      <c r="AL69" s="92">
        <v>46</v>
      </c>
      <c r="AM69" s="92">
        <v>70</v>
      </c>
      <c r="AN69" s="92">
        <v>70</v>
      </c>
      <c r="AO69" s="92">
        <v>63</v>
      </c>
      <c r="AP69" s="92">
        <v>63</v>
      </c>
      <c r="AQ69" s="92">
        <v>64</v>
      </c>
      <c r="AR69" s="92">
        <v>56</v>
      </c>
      <c r="AS69" s="92">
        <v>53</v>
      </c>
      <c r="AT69" s="92">
        <v>57</v>
      </c>
      <c r="AU69" s="92">
        <v>53</v>
      </c>
      <c r="AV69" s="92">
        <v>60</v>
      </c>
      <c r="AW69" s="92">
        <v>48</v>
      </c>
      <c r="AX69" s="92">
        <v>51</v>
      </c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  <c r="CW69" s="92"/>
      <c r="CX69" s="92"/>
      <c r="CY69" s="92"/>
      <c r="CZ69" s="92"/>
      <c r="DA69" s="92"/>
      <c r="DB69" s="92"/>
      <c r="DC69" s="92"/>
      <c r="DD69" s="92"/>
      <c r="DE69" s="47"/>
      <c r="DF69" s="9"/>
      <c r="DG69" s="92"/>
      <c r="DH69" s="92"/>
      <c r="DI69" s="92"/>
      <c r="DJ69" s="92"/>
      <c r="DK69" s="92"/>
      <c r="DL69" s="92"/>
      <c r="DM69" s="92"/>
      <c r="DN69" s="92"/>
      <c r="DO69" s="92">
        <f t="shared" si="126"/>
        <v>266</v>
      </c>
      <c r="DP69" s="92">
        <f t="shared" si="66"/>
        <v>230</v>
      </c>
      <c r="DQ69" s="92">
        <f t="shared" si="22"/>
        <v>212</v>
      </c>
      <c r="DR69" s="92"/>
      <c r="DS69" s="92"/>
      <c r="DT69" s="92"/>
      <c r="DU69" s="92"/>
      <c r="DV69" s="92"/>
      <c r="DW69" s="92"/>
      <c r="DX69" s="92"/>
      <c r="DY69" s="92"/>
      <c r="DZ69" s="92"/>
      <c r="EA69" s="92"/>
      <c r="EB69" s="92"/>
      <c r="EC69" s="92"/>
      <c r="ED69" s="92"/>
      <c r="EE69" s="92"/>
      <c r="EG69" s="28"/>
    </row>
    <row r="70" spans="2:140" s="8" customFormat="1" ht="0.75" customHeight="1">
      <c r="B70" s="45" t="s">
        <v>589</v>
      </c>
      <c r="C70" s="9"/>
      <c r="D70" s="9"/>
      <c r="E70" s="9"/>
      <c r="F70" s="9"/>
      <c r="G70" s="7"/>
      <c r="H70" s="7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128" t="s">
        <v>623</v>
      </c>
      <c r="AJ70" s="92">
        <v>68</v>
      </c>
      <c r="AK70" s="92">
        <v>67</v>
      </c>
      <c r="AL70" s="92">
        <v>47</v>
      </c>
      <c r="AM70" s="92">
        <v>74</v>
      </c>
      <c r="AN70" s="92">
        <v>66</v>
      </c>
      <c r="AO70" s="92">
        <v>70</v>
      </c>
      <c r="AP70" s="92">
        <v>75</v>
      </c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  <c r="CV70" s="92"/>
      <c r="CW70" s="92"/>
      <c r="CX70" s="92"/>
      <c r="CY70" s="92"/>
      <c r="CZ70" s="92"/>
      <c r="DA70" s="92"/>
      <c r="DB70" s="92"/>
      <c r="DC70" s="92"/>
      <c r="DD70" s="92"/>
      <c r="DE70" s="47"/>
      <c r="DF70" s="9"/>
      <c r="DG70" s="92"/>
      <c r="DH70" s="92"/>
      <c r="DI70" s="92"/>
      <c r="DJ70" s="92"/>
      <c r="DK70" s="92"/>
      <c r="DL70" s="92"/>
      <c r="DM70" s="92"/>
      <c r="DN70" s="92"/>
      <c r="DO70" s="92">
        <f t="shared" si="126"/>
        <v>285</v>
      </c>
      <c r="DP70" s="92"/>
      <c r="DQ70" s="92"/>
      <c r="DR70" s="92"/>
      <c r="DS70" s="92"/>
      <c r="DT70" s="92"/>
      <c r="DU70" s="92"/>
      <c r="DV70" s="92"/>
      <c r="DW70" s="92"/>
      <c r="DX70" s="92"/>
      <c r="DY70" s="92"/>
      <c r="DZ70" s="92"/>
      <c r="EA70" s="92"/>
      <c r="EB70" s="92"/>
      <c r="EC70" s="92"/>
      <c r="ED70" s="92"/>
      <c r="EE70" s="92"/>
      <c r="EG70" s="28"/>
    </row>
    <row r="71" spans="2:140" s="8" customFormat="1" ht="0.75" customHeight="1">
      <c r="B71" s="45" t="s">
        <v>588</v>
      </c>
      <c r="C71" s="9"/>
      <c r="D71" s="9"/>
      <c r="E71" s="9"/>
      <c r="F71" s="9"/>
      <c r="G71" s="7"/>
      <c r="H71" s="7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128" t="s">
        <v>622</v>
      </c>
      <c r="AJ71" s="92">
        <v>52</v>
      </c>
      <c r="AK71" s="92">
        <v>53</v>
      </c>
      <c r="AL71" s="92">
        <v>36</v>
      </c>
      <c r="AM71" s="92">
        <v>52</v>
      </c>
      <c r="AN71" s="92">
        <v>51</v>
      </c>
      <c r="AO71" s="92">
        <v>7</v>
      </c>
      <c r="AP71" s="92">
        <v>1</v>
      </c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  <c r="CW71" s="92"/>
      <c r="CX71" s="92"/>
      <c r="CY71" s="92"/>
      <c r="CZ71" s="92"/>
      <c r="DA71" s="92"/>
      <c r="DB71" s="92"/>
      <c r="DC71" s="92"/>
      <c r="DD71" s="92"/>
      <c r="DE71" s="47"/>
      <c r="DF71" s="9"/>
      <c r="DG71" s="92"/>
      <c r="DH71" s="92"/>
      <c r="DI71" s="92"/>
      <c r="DJ71" s="92"/>
      <c r="DK71" s="92"/>
      <c r="DL71" s="92"/>
      <c r="DM71" s="92"/>
      <c r="DN71" s="92"/>
      <c r="DO71" s="92">
        <f t="shared" si="126"/>
        <v>111</v>
      </c>
      <c r="DP71" s="92"/>
      <c r="DQ71" s="92"/>
      <c r="DR71" s="92"/>
      <c r="DS71" s="92"/>
      <c r="DT71" s="92"/>
      <c r="DU71" s="92"/>
      <c r="DV71" s="92"/>
      <c r="DW71" s="92"/>
      <c r="DX71" s="92"/>
      <c r="DY71" s="92"/>
      <c r="DZ71" s="92"/>
      <c r="EA71" s="92"/>
      <c r="EB71" s="92"/>
      <c r="EC71" s="92"/>
      <c r="ED71" s="92"/>
      <c r="EE71" s="92"/>
      <c r="EG71" s="28"/>
    </row>
    <row r="72" spans="2:140" s="8" customFormat="1" ht="0.75" customHeight="1">
      <c r="B72" s="45" t="s">
        <v>637</v>
      </c>
      <c r="C72" s="9"/>
      <c r="D72" s="9"/>
      <c r="E72" s="9"/>
      <c r="F72" s="9"/>
      <c r="G72" s="7"/>
      <c r="H72" s="7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128" t="s">
        <v>620</v>
      </c>
      <c r="AJ72" s="92">
        <v>54</v>
      </c>
      <c r="AK72" s="92">
        <v>53</v>
      </c>
      <c r="AL72" s="92">
        <v>58</v>
      </c>
      <c r="AM72" s="92">
        <f>49+2</f>
        <v>51</v>
      </c>
      <c r="AN72" s="92">
        <v>56</v>
      </c>
      <c r="AO72" s="92">
        <v>48</v>
      </c>
      <c r="AP72" s="92">
        <v>53</v>
      </c>
      <c r="AQ72" s="92">
        <v>60</v>
      </c>
      <c r="AR72" s="92">
        <v>47</v>
      </c>
      <c r="AS72" s="92">
        <v>42</v>
      </c>
      <c r="AT72" s="92">
        <v>57</v>
      </c>
      <c r="AU72" s="92">
        <v>48</v>
      </c>
      <c r="AV72" s="92">
        <v>51</v>
      </c>
      <c r="AW72" s="92">
        <v>42</v>
      </c>
      <c r="AX72" s="92">
        <v>44</v>
      </c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47"/>
      <c r="DF72" s="9"/>
      <c r="DG72" s="92"/>
      <c r="DH72" s="92"/>
      <c r="DI72" s="92"/>
      <c r="DJ72" s="92"/>
      <c r="DK72" s="92"/>
      <c r="DL72" s="92"/>
      <c r="DM72" s="92"/>
      <c r="DN72" s="92"/>
      <c r="DO72" s="92">
        <f t="shared" si="126"/>
        <v>208</v>
      </c>
      <c r="DP72" s="92">
        <f t="shared" si="66"/>
        <v>206</v>
      </c>
      <c r="DQ72" s="92">
        <f t="shared" si="22"/>
        <v>185</v>
      </c>
      <c r="DR72" s="92"/>
      <c r="DS72" s="92"/>
      <c r="DT72" s="92"/>
      <c r="DU72" s="92"/>
      <c r="DV72" s="92"/>
      <c r="DW72" s="92"/>
      <c r="DX72" s="92"/>
      <c r="DY72" s="92"/>
      <c r="DZ72" s="92"/>
      <c r="EA72" s="92"/>
      <c r="EB72" s="92"/>
      <c r="EC72" s="92"/>
      <c r="ED72" s="92"/>
      <c r="EE72" s="92"/>
      <c r="EG72" s="28"/>
      <c r="EJ72" s="81"/>
    </row>
    <row r="73" spans="2:140" s="8" customFormat="1" ht="0.75" customHeight="1">
      <c r="B73" s="45" t="s">
        <v>590</v>
      </c>
      <c r="C73" s="9"/>
      <c r="D73" s="9"/>
      <c r="E73" s="9"/>
      <c r="F73" s="9"/>
      <c r="G73" s="7"/>
      <c r="H73" s="7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128" t="s">
        <v>621</v>
      </c>
      <c r="AJ73" s="92">
        <v>67</v>
      </c>
      <c r="AK73" s="92">
        <v>56</v>
      </c>
      <c r="AL73" s="92">
        <v>38</v>
      </c>
      <c r="AM73" s="92">
        <v>54</v>
      </c>
      <c r="AN73" s="92">
        <v>51</v>
      </c>
      <c r="AO73" s="92">
        <v>50</v>
      </c>
      <c r="AP73" s="92">
        <v>54</v>
      </c>
      <c r="AQ73" s="92">
        <v>49</v>
      </c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47"/>
      <c r="DF73" s="9"/>
      <c r="DG73" s="92"/>
      <c r="DH73" s="92"/>
      <c r="DI73" s="92"/>
      <c r="DJ73" s="92"/>
      <c r="DK73" s="92"/>
      <c r="DL73" s="92"/>
      <c r="DM73" s="92"/>
      <c r="DN73" s="92"/>
      <c r="DO73" s="92">
        <f t="shared" si="126"/>
        <v>209</v>
      </c>
      <c r="DP73" s="92">
        <f t="shared" si="66"/>
        <v>49</v>
      </c>
      <c r="DQ73" s="92"/>
      <c r="DR73" s="92"/>
      <c r="DS73" s="92"/>
      <c r="DT73" s="92"/>
      <c r="DU73" s="92"/>
      <c r="DV73" s="92"/>
      <c r="DW73" s="92"/>
      <c r="DX73" s="92"/>
      <c r="DY73" s="92"/>
      <c r="DZ73" s="92"/>
      <c r="EA73" s="92"/>
      <c r="EB73" s="92"/>
      <c r="EC73" s="92"/>
      <c r="ED73" s="92"/>
      <c r="EE73" s="92"/>
      <c r="EG73" s="28"/>
    </row>
    <row r="74" spans="2:140" s="8" customFormat="1" ht="0.75" customHeight="1">
      <c r="B74" s="45" t="s">
        <v>609</v>
      </c>
      <c r="C74" s="9"/>
      <c r="D74" s="9"/>
      <c r="E74" s="9"/>
      <c r="F74" s="9"/>
      <c r="G74" s="7"/>
      <c r="H74" s="7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128" t="s">
        <v>625</v>
      </c>
      <c r="AJ74" s="92">
        <v>46</v>
      </c>
      <c r="AK74" s="92">
        <v>49</v>
      </c>
      <c r="AL74" s="92">
        <v>53</v>
      </c>
      <c r="AM74" s="92">
        <v>55</v>
      </c>
      <c r="AN74" s="92">
        <v>49</v>
      </c>
      <c r="AO74" s="92">
        <v>56</v>
      </c>
      <c r="AP74" s="92">
        <v>49</v>
      </c>
      <c r="AQ74" s="92">
        <v>59</v>
      </c>
      <c r="AR74" s="92">
        <v>66</v>
      </c>
      <c r="AS74" s="92">
        <v>74</v>
      </c>
      <c r="AT74" s="92">
        <v>69</v>
      </c>
      <c r="AU74" s="92">
        <v>67</v>
      </c>
      <c r="AV74" s="92">
        <v>72</v>
      </c>
      <c r="AW74" s="92">
        <v>64</v>
      </c>
      <c r="AX74" s="92">
        <v>68</v>
      </c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47"/>
      <c r="DF74" s="9"/>
      <c r="DG74" s="92"/>
      <c r="DH74" s="92"/>
      <c r="DI74" s="92"/>
      <c r="DJ74" s="92"/>
      <c r="DK74" s="92"/>
      <c r="DL74" s="92"/>
      <c r="DM74" s="92"/>
      <c r="DN74" s="92"/>
      <c r="DO74" s="92">
        <f>SUM(AM74:AQ74)</f>
        <v>268</v>
      </c>
      <c r="DP74" s="92">
        <f t="shared" si="66"/>
        <v>268</v>
      </c>
      <c r="DQ74" s="92">
        <f t="shared" si="22"/>
        <v>271</v>
      </c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2"/>
      <c r="ED74" s="92"/>
      <c r="EE74" s="92"/>
      <c r="EG74" s="28"/>
    </row>
    <row r="75" spans="2:140" s="8" customFormat="1" ht="0.75" customHeight="1">
      <c r="B75" s="45" t="s">
        <v>352</v>
      </c>
      <c r="C75" s="9"/>
      <c r="D75" s="9"/>
      <c r="E75" s="9"/>
      <c r="F75" s="9"/>
      <c r="G75" s="7"/>
      <c r="H75" s="7"/>
      <c r="I75" s="92"/>
      <c r="J75" s="92"/>
      <c r="K75" s="92"/>
      <c r="L75" s="92"/>
      <c r="M75" s="92"/>
      <c r="N75" s="92"/>
      <c r="O75" s="92">
        <v>52</v>
      </c>
      <c r="P75" s="92">
        <v>46</v>
      </c>
      <c r="Q75" s="92">
        <v>82</v>
      </c>
      <c r="R75" s="92">
        <v>104</v>
      </c>
      <c r="S75" s="92">
        <v>55</v>
      </c>
      <c r="T75" s="92">
        <v>57</v>
      </c>
      <c r="U75" s="92">
        <v>88</v>
      </c>
      <c r="V75" s="92">
        <v>111</v>
      </c>
      <c r="W75" s="92">
        <v>56</v>
      </c>
      <c r="X75" s="92">
        <v>67</v>
      </c>
      <c r="Y75" s="92">
        <v>97</v>
      </c>
      <c r="Z75" s="92">
        <v>134</v>
      </c>
      <c r="AA75" s="92">
        <v>92</v>
      </c>
      <c r="AB75" s="92">
        <v>96</v>
      </c>
      <c r="AC75" s="91">
        <v>97</v>
      </c>
      <c r="AD75" s="92">
        <f>AC75</f>
        <v>97</v>
      </c>
      <c r="AE75" s="92">
        <v>73</v>
      </c>
      <c r="AF75" s="92">
        <v>69</v>
      </c>
      <c r="AG75" s="92">
        <v>81</v>
      </c>
      <c r="AH75" s="92">
        <f>AG75</f>
        <v>81</v>
      </c>
      <c r="AI75" s="94" t="s">
        <v>924</v>
      </c>
      <c r="AJ75" s="94" t="s">
        <v>925</v>
      </c>
      <c r="AK75" s="94" t="s">
        <v>926</v>
      </c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47"/>
      <c r="DF75" s="9" t="s">
        <v>440</v>
      </c>
      <c r="DG75" s="92" t="s">
        <v>440</v>
      </c>
      <c r="DH75" s="92">
        <v>281</v>
      </c>
      <c r="DI75" s="92">
        <f>SUM(O75:R75)</f>
        <v>284</v>
      </c>
      <c r="DJ75" s="92">
        <f>SUM(S75:V75)</f>
        <v>311</v>
      </c>
      <c r="DK75" s="92">
        <f>SUM(W75:Z75)</f>
        <v>354</v>
      </c>
      <c r="DL75" s="92">
        <f>SUM(AA75:AD75)</f>
        <v>382</v>
      </c>
      <c r="DM75" s="92">
        <f>SUM(AE75:AH75)</f>
        <v>304</v>
      </c>
      <c r="DN75" s="92">
        <f>SUM(AI75:AL75)</f>
        <v>0</v>
      </c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2"/>
      <c r="ED75" s="92"/>
      <c r="EE75" s="92"/>
      <c r="EG75" s="28"/>
    </row>
    <row r="76" spans="2:140" s="8" customFormat="1" ht="0.75" customHeight="1">
      <c r="B76" s="45" t="s">
        <v>351</v>
      </c>
      <c r="C76" s="9"/>
      <c r="D76" s="9"/>
      <c r="E76" s="9"/>
      <c r="F76" s="9"/>
      <c r="G76" s="7"/>
      <c r="H76" s="7"/>
      <c r="I76" s="92"/>
      <c r="J76" s="92"/>
      <c r="K76" s="92"/>
      <c r="L76" s="92"/>
      <c r="M76" s="92"/>
      <c r="N76" s="92"/>
      <c r="O76" s="92">
        <v>60</v>
      </c>
      <c r="P76" s="92">
        <v>43</v>
      </c>
      <c r="Q76" s="92">
        <v>48</v>
      </c>
      <c r="R76" s="92">
        <v>47</v>
      </c>
      <c r="S76" s="92">
        <v>36</v>
      </c>
      <c r="T76" s="92">
        <v>46</v>
      </c>
      <c r="U76" s="92">
        <v>65</v>
      </c>
      <c r="V76" s="92">
        <v>48</v>
      </c>
      <c r="W76" s="92">
        <v>54</v>
      </c>
      <c r="X76" s="92">
        <v>59</v>
      </c>
      <c r="Y76" s="92">
        <v>69</v>
      </c>
      <c r="Z76" s="92">
        <v>67</v>
      </c>
      <c r="AA76" s="92">
        <v>72</v>
      </c>
      <c r="AB76" s="92">
        <v>80</v>
      </c>
      <c r="AC76" s="91">
        <v>68</v>
      </c>
      <c r="AD76" s="92">
        <f>AC76</f>
        <v>68</v>
      </c>
      <c r="AE76" s="92">
        <v>34</v>
      </c>
      <c r="AF76" s="92">
        <v>38</v>
      </c>
      <c r="AG76" s="92">
        <v>36</v>
      </c>
      <c r="AH76" s="92">
        <f>AG76</f>
        <v>36</v>
      </c>
      <c r="AI76" s="94" t="s">
        <v>927</v>
      </c>
      <c r="AJ76" s="94" t="s">
        <v>928</v>
      </c>
      <c r="AK76" s="94" t="s">
        <v>929</v>
      </c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47"/>
      <c r="DF76" s="9" t="s">
        <v>440</v>
      </c>
      <c r="DG76" s="92" t="s">
        <v>440</v>
      </c>
      <c r="DH76" s="92">
        <v>241</v>
      </c>
      <c r="DI76" s="92">
        <f>SUM(O76:R76)</f>
        <v>198</v>
      </c>
      <c r="DJ76" s="92">
        <f>SUM(S76:V76)</f>
        <v>195</v>
      </c>
      <c r="DK76" s="92">
        <f>SUM(W76:Z76)</f>
        <v>249</v>
      </c>
      <c r="DL76" s="92">
        <f>SUM(AA76:AD76)</f>
        <v>288</v>
      </c>
      <c r="DM76" s="92">
        <f>SUM(AE76:AH76)</f>
        <v>144</v>
      </c>
      <c r="DN76" s="92">
        <f>SUM(AI76:AL76)</f>
        <v>0</v>
      </c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G76" s="28"/>
    </row>
    <row r="77" spans="2:140" s="8" customFormat="1" ht="0.75" customHeight="1">
      <c r="B77" s="45" t="s">
        <v>357</v>
      </c>
      <c r="C77" s="9"/>
      <c r="D77" s="9"/>
      <c r="E77" s="9"/>
      <c r="F77" s="9"/>
      <c r="G77" s="7"/>
      <c r="H77" s="7"/>
      <c r="I77" s="92"/>
      <c r="J77" s="92"/>
      <c r="K77" s="92"/>
      <c r="L77" s="92"/>
      <c r="M77" s="92"/>
      <c r="N77" s="92"/>
      <c r="O77" s="92">
        <v>37</v>
      </c>
      <c r="P77" s="92">
        <v>39</v>
      </c>
      <c r="Q77" s="92">
        <v>38</v>
      </c>
      <c r="R77" s="92">
        <v>43</v>
      </c>
      <c r="S77" s="92">
        <v>32</v>
      </c>
      <c r="T77" s="92">
        <v>37</v>
      </c>
      <c r="U77" s="92">
        <v>35</v>
      </c>
      <c r="V77" s="92">
        <v>35</v>
      </c>
      <c r="W77" s="92">
        <v>30</v>
      </c>
      <c r="X77" s="92">
        <v>33</v>
      </c>
      <c r="Y77" s="92">
        <v>31</v>
      </c>
      <c r="Z77" s="92">
        <v>33</v>
      </c>
      <c r="AA77" s="92">
        <v>29</v>
      </c>
      <c r="AB77" s="92">
        <v>31</v>
      </c>
      <c r="AC77" s="91">
        <v>28</v>
      </c>
      <c r="AD77" s="92">
        <f>AC77</f>
        <v>28</v>
      </c>
      <c r="AE77" s="92">
        <v>29</v>
      </c>
      <c r="AF77" s="92">
        <v>32</v>
      </c>
      <c r="AG77" s="92">
        <v>30</v>
      </c>
      <c r="AH77" s="92">
        <f>AG77</f>
        <v>30</v>
      </c>
      <c r="AI77" s="94" t="s">
        <v>785</v>
      </c>
      <c r="AJ77" s="94" t="s">
        <v>930</v>
      </c>
      <c r="AK77" s="94" t="s">
        <v>785</v>
      </c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/>
      <c r="DB77" s="92"/>
      <c r="DC77" s="92"/>
      <c r="DD77" s="92"/>
      <c r="DE77" s="47"/>
      <c r="DF77" s="9" t="s">
        <v>440</v>
      </c>
      <c r="DG77" s="96" t="s">
        <v>440</v>
      </c>
      <c r="DH77" s="92">
        <v>160</v>
      </c>
      <c r="DI77" s="92">
        <f>SUM(O77:R77)</f>
        <v>157</v>
      </c>
      <c r="DJ77" s="92">
        <f>SUM(S77:V77)</f>
        <v>139</v>
      </c>
      <c r="DK77" s="92">
        <f>SUM(W77:Z77)</f>
        <v>127</v>
      </c>
      <c r="DL77" s="92">
        <f>SUM(AA77:AD77)</f>
        <v>116</v>
      </c>
      <c r="DM77" s="92">
        <f>SUM(AE77:AH77)</f>
        <v>121</v>
      </c>
      <c r="DN77" s="92">
        <f>SUM(AI77:AL77)</f>
        <v>0</v>
      </c>
      <c r="DO77" s="92"/>
      <c r="DP77" s="92"/>
      <c r="DQ77" s="92"/>
      <c r="DR77" s="92"/>
      <c r="DS77" s="92"/>
      <c r="DT77" s="92"/>
      <c r="DU77" s="92"/>
      <c r="DV77" s="92"/>
      <c r="DW77" s="92"/>
      <c r="DX77" s="92"/>
      <c r="DY77" s="92"/>
      <c r="DZ77" s="92"/>
      <c r="EA77" s="92"/>
      <c r="EB77" s="92"/>
      <c r="EC77" s="92"/>
      <c r="ED77" s="92"/>
      <c r="EE77" s="92"/>
      <c r="EG77" s="28"/>
    </row>
    <row r="78" spans="2:140" s="8" customFormat="1" ht="0.75" customHeight="1">
      <c r="B78" s="45" t="s">
        <v>586</v>
      </c>
      <c r="C78" s="9"/>
      <c r="D78" s="9"/>
      <c r="E78" s="9"/>
      <c r="F78" s="9"/>
      <c r="G78" s="7"/>
      <c r="H78" s="7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1"/>
      <c r="AD78" s="92"/>
      <c r="AE78" s="92"/>
      <c r="AF78" s="92"/>
      <c r="AG78" s="92"/>
      <c r="AH78" s="92"/>
      <c r="AI78" s="128" t="s">
        <v>621</v>
      </c>
      <c r="AJ78" s="92">
        <v>56</v>
      </c>
      <c r="AK78" s="92">
        <v>59</v>
      </c>
      <c r="AL78" s="92">
        <v>56</v>
      </c>
      <c r="AM78" s="92">
        <v>57</v>
      </c>
      <c r="AN78" s="92">
        <v>55</v>
      </c>
      <c r="AO78" s="92">
        <v>43</v>
      </c>
      <c r="AP78" s="92">
        <v>55</v>
      </c>
      <c r="AQ78" s="92">
        <v>42</v>
      </c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47"/>
      <c r="DF78" s="9"/>
      <c r="DG78" s="96"/>
      <c r="DH78" s="92"/>
      <c r="DI78" s="92"/>
      <c r="DJ78" s="92"/>
      <c r="DK78" s="92"/>
      <c r="DL78" s="92"/>
      <c r="DM78" s="92"/>
      <c r="DN78" s="92"/>
      <c r="DO78" s="92">
        <f>SUM(AM78:AP78)</f>
        <v>210</v>
      </c>
      <c r="DP78" s="92">
        <f t="shared" si="66"/>
        <v>42</v>
      </c>
      <c r="DQ78" s="92"/>
      <c r="DR78" s="92"/>
      <c r="DS78" s="92"/>
      <c r="DT78" s="92"/>
      <c r="DU78" s="92"/>
      <c r="DV78" s="92"/>
      <c r="DW78" s="92"/>
      <c r="DX78" s="92"/>
      <c r="DY78" s="92"/>
      <c r="DZ78" s="92"/>
      <c r="EA78" s="92"/>
      <c r="EB78" s="92"/>
      <c r="EC78" s="92"/>
      <c r="ED78" s="92"/>
      <c r="EE78" s="92"/>
      <c r="EG78" s="28"/>
    </row>
    <row r="79" spans="2:140" s="8" customFormat="1" ht="0.75" customHeight="1">
      <c r="B79" s="45" t="s">
        <v>100</v>
      </c>
      <c r="C79" s="9"/>
      <c r="D79" s="9"/>
      <c r="E79" s="9"/>
      <c r="F79" s="9"/>
      <c r="G79" s="7"/>
      <c r="H79" s="7"/>
      <c r="I79" s="92"/>
      <c r="J79" s="92"/>
      <c r="K79" s="92"/>
      <c r="L79" s="92"/>
      <c r="M79" s="92"/>
      <c r="N79" s="92"/>
      <c r="O79" s="92">
        <v>22</v>
      </c>
      <c r="P79" s="92">
        <v>21</v>
      </c>
      <c r="Q79" s="92">
        <v>19</v>
      </c>
      <c r="R79" s="92">
        <v>22</v>
      </c>
      <c r="S79" s="92">
        <v>23</v>
      </c>
      <c r="T79" s="92">
        <v>23</v>
      </c>
      <c r="U79" s="92">
        <v>21</v>
      </c>
      <c r="V79" s="92">
        <v>21</v>
      </c>
      <c r="W79" s="92">
        <v>22</v>
      </c>
      <c r="X79" s="92">
        <v>23</v>
      </c>
      <c r="Y79" s="92">
        <v>22</v>
      </c>
      <c r="Z79" s="92">
        <v>19</v>
      </c>
      <c r="AA79" s="92">
        <v>24</v>
      </c>
      <c r="AB79" s="92">
        <v>20</v>
      </c>
      <c r="AC79" s="92">
        <v>21</v>
      </c>
      <c r="AD79" s="92">
        <f>AC79</f>
        <v>21</v>
      </c>
      <c r="AE79" s="92" t="s">
        <v>440</v>
      </c>
      <c r="AF79" s="92" t="s">
        <v>440</v>
      </c>
      <c r="AG79" s="92" t="s">
        <v>440</v>
      </c>
      <c r="AH79" s="92" t="s">
        <v>440</v>
      </c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47"/>
      <c r="DF79" s="9" t="s">
        <v>440</v>
      </c>
      <c r="DG79" s="92">
        <v>115</v>
      </c>
      <c r="DH79" s="92">
        <v>96</v>
      </c>
      <c r="DI79" s="92">
        <f>SUM(O79:R79)</f>
        <v>84</v>
      </c>
      <c r="DJ79" s="92">
        <f>SUM(S79:V79)</f>
        <v>88</v>
      </c>
      <c r="DK79" s="92">
        <f>SUM(W79:Z79)</f>
        <v>86</v>
      </c>
      <c r="DL79" s="92">
        <f>SUM(AA79:AD79)</f>
        <v>86</v>
      </c>
      <c r="DM79" s="92">
        <f>SUM(AE79:AH79)</f>
        <v>0</v>
      </c>
      <c r="DN79" s="92">
        <f>SUM(AI79:AL79)</f>
        <v>0</v>
      </c>
      <c r="DO79" s="92"/>
      <c r="DP79" s="92"/>
      <c r="DQ79" s="92"/>
      <c r="DR79" s="92"/>
      <c r="DS79" s="92"/>
      <c r="DT79" s="92"/>
      <c r="DU79" s="92"/>
      <c r="DV79" s="92"/>
      <c r="DW79" s="92"/>
      <c r="DX79" s="92"/>
      <c r="DY79" s="92"/>
      <c r="DZ79" s="92"/>
      <c r="EA79" s="92"/>
      <c r="EB79" s="92"/>
      <c r="EC79" s="92"/>
      <c r="ED79" s="92"/>
      <c r="EE79" s="92"/>
      <c r="EG79" s="28"/>
    </row>
    <row r="80" spans="2:140" s="8" customFormat="1" ht="0.75" customHeight="1">
      <c r="B80" s="45" t="s">
        <v>180</v>
      </c>
      <c r="C80" s="9"/>
      <c r="D80" s="9"/>
      <c r="E80" s="9"/>
      <c r="F80" s="9"/>
      <c r="G80" s="7"/>
      <c r="H80" s="7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>
        <v>1</v>
      </c>
      <c r="AA80" s="92">
        <v>2</v>
      </c>
      <c r="AB80" s="92">
        <v>3</v>
      </c>
      <c r="AC80" s="92">
        <v>3</v>
      </c>
      <c r="AD80" s="92">
        <f>AC80</f>
        <v>3</v>
      </c>
      <c r="AE80" s="92">
        <v>4</v>
      </c>
      <c r="AF80" s="92">
        <v>3</v>
      </c>
      <c r="AG80" s="92">
        <v>4</v>
      </c>
      <c r="AH80" s="92">
        <f>AG80</f>
        <v>4</v>
      </c>
      <c r="AI80" s="92">
        <v>5</v>
      </c>
      <c r="AJ80" s="92">
        <v>4</v>
      </c>
      <c r="AK80" s="92">
        <v>5</v>
      </c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92"/>
      <c r="CX80" s="92"/>
      <c r="CY80" s="92"/>
      <c r="CZ80" s="92"/>
      <c r="DA80" s="92"/>
      <c r="DB80" s="92"/>
      <c r="DC80" s="92"/>
      <c r="DD80" s="92"/>
      <c r="DE80" s="47"/>
      <c r="DF80" s="9" t="s">
        <v>440</v>
      </c>
      <c r="DG80" s="92" t="s">
        <v>440</v>
      </c>
      <c r="DH80" s="92" t="s">
        <v>440</v>
      </c>
      <c r="DI80" s="92" t="s">
        <v>440</v>
      </c>
      <c r="DJ80" s="92">
        <f>SUM(S80:V80)</f>
        <v>0</v>
      </c>
      <c r="DK80" s="92">
        <f>SUM(W80:Z80)</f>
        <v>1</v>
      </c>
      <c r="DL80" s="92">
        <f>SUM(AA80:AD80)</f>
        <v>11</v>
      </c>
      <c r="DM80" s="92">
        <f>SUM(AE80:AH80)</f>
        <v>15</v>
      </c>
      <c r="DN80" s="92">
        <f>SUM(AI80:AL80)</f>
        <v>14</v>
      </c>
      <c r="DO80" s="92"/>
      <c r="DP80" s="92"/>
      <c r="DQ80" s="92"/>
      <c r="DR80" s="92"/>
      <c r="DS80" s="92"/>
      <c r="DT80" s="92"/>
      <c r="DU80" s="92"/>
      <c r="DV80" s="92"/>
      <c r="DW80" s="92"/>
      <c r="DX80" s="92"/>
      <c r="DY80" s="92"/>
      <c r="DZ80" s="92"/>
      <c r="EA80" s="92"/>
      <c r="EB80" s="92"/>
      <c r="EC80" s="92"/>
      <c r="ED80" s="92"/>
      <c r="EE80" s="92"/>
      <c r="EG80" s="28"/>
    </row>
    <row r="81" spans="2:144" s="8" customFormat="1" ht="12.75" customHeight="1">
      <c r="B81" s="45" t="s">
        <v>485</v>
      </c>
      <c r="C81" s="9"/>
      <c r="D81" s="9"/>
      <c r="E81" s="9"/>
      <c r="F81" s="9"/>
      <c r="G81" s="7"/>
      <c r="H81" s="7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>
        <v>759</v>
      </c>
      <c r="AG81" s="92"/>
      <c r="AH81" s="92"/>
      <c r="AI81" s="128" t="s">
        <v>613</v>
      </c>
      <c r="AJ81" s="94">
        <v>672</v>
      </c>
      <c r="AK81" s="92">
        <v>664</v>
      </c>
      <c r="AL81" s="92">
        <v>759</v>
      </c>
      <c r="AM81" s="92">
        <v>709</v>
      </c>
      <c r="AN81" s="92">
        <v>731</v>
      </c>
      <c r="AO81" s="92">
        <v>687</v>
      </c>
      <c r="AP81" s="92">
        <v>815</v>
      </c>
      <c r="AQ81" s="92">
        <v>758</v>
      </c>
      <c r="AR81" s="92">
        <v>802</v>
      </c>
      <c r="AS81" s="92">
        <v>826</v>
      </c>
      <c r="AT81" s="92">
        <v>868</v>
      </c>
      <c r="AU81" s="92">
        <v>821</v>
      </c>
      <c r="AV81" s="92">
        <v>865</v>
      </c>
      <c r="AW81" s="92">
        <v>815</v>
      </c>
      <c r="AX81" s="92">
        <v>898</v>
      </c>
      <c r="AY81" s="92">
        <v>840</v>
      </c>
      <c r="AZ81" s="92">
        <v>851</v>
      </c>
      <c r="BA81" s="92">
        <v>800</v>
      </c>
      <c r="BB81" s="92">
        <v>871</v>
      </c>
      <c r="BC81" s="92">
        <v>813</v>
      </c>
      <c r="BD81" s="92">
        <v>872</v>
      </c>
      <c r="BE81" s="92">
        <v>885</v>
      </c>
      <c r="BF81" s="92">
        <v>885</v>
      </c>
      <c r="BG81" s="92">
        <v>831</v>
      </c>
      <c r="BH81" s="92">
        <v>842</v>
      </c>
      <c r="BI81" s="92">
        <v>827</v>
      </c>
      <c r="BJ81" s="92">
        <v>832</v>
      </c>
      <c r="BK81" s="92">
        <v>829</v>
      </c>
      <c r="BL81" s="92">
        <v>900</v>
      </c>
      <c r="BM81" s="92">
        <v>865</v>
      </c>
      <c r="BN81" s="92">
        <v>884</v>
      </c>
      <c r="BO81" s="92">
        <v>939</v>
      </c>
      <c r="BP81" s="92">
        <v>955</v>
      </c>
      <c r="BQ81" s="92">
        <v>1000</v>
      </c>
      <c r="BR81" s="92">
        <v>981</v>
      </c>
      <c r="BS81" s="92">
        <v>1065</v>
      </c>
      <c r="BT81" s="92">
        <v>1090</v>
      </c>
      <c r="BU81" s="92">
        <v>1021</v>
      </c>
      <c r="BV81" s="92">
        <v>1036</v>
      </c>
      <c r="BW81" s="92">
        <v>1025</v>
      </c>
      <c r="BX81" s="92">
        <v>1124</v>
      </c>
      <c r="BY81" s="92">
        <v>1122</v>
      </c>
      <c r="BZ81" s="92">
        <v>1122</v>
      </c>
      <c r="CA81" s="92">
        <v>1214</v>
      </c>
      <c r="CB81" s="92">
        <v>1101</v>
      </c>
      <c r="CC81" s="92">
        <v>1220</v>
      </c>
      <c r="CD81" s="92">
        <v>1168</v>
      </c>
      <c r="CE81" s="92">
        <v>1418</v>
      </c>
      <c r="CF81" s="92">
        <v>1472</v>
      </c>
      <c r="CG81" s="92">
        <v>1417</v>
      </c>
      <c r="CH81" s="92">
        <v>1261</v>
      </c>
      <c r="CI81" s="92">
        <v>1482</v>
      </c>
      <c r="CJ81" s="92">
        <v>1467</v>
      </c>
      <c r="CK81" s="92">
        <v>1371</v>
      </c>
      <c r="CL81" s="92">
        <v>1230</v>
      </c>
      <c r="CM81" s="92">
        <v>1491</v>
      </c>
      <c r="CN81" s="92">
        <v>1456</v>
      </c>
      <c r="CO81" s="92">
        <v>1400</v>
      </c>
      <c r="CP81" s="92">
        <v>1278</v>
      </c>
      <c r="CQ81" s="92">
        <v>1511</v>
      </c>
      <c r="CR81" s="92">
        <v>1482</v>
      </c>
      <c r="CS81" s="92">
        <v>1487</v>
      </c>
      <c r="CT81" s="92">
        <v>1397</v>
      </c>
      <c r="CU81" s="92">
        <v>1588</v>
      </c>
      <c r="CV81" s="92">
        <v>1646</v>
      </c>
      <c r="CW81" s="92">
        <v>1615</v>
      </c>
      <c r="CX81" s="92">
        <v>1505</v>
      </c>
      <c r="CY81" s="92">
        <v>1791</v>
      </c>
      <c r="CZ81" s="92">
        <v>1775</v>
      </c>
      <c r="DA81" s="92">
        <f>+CW81*1.05</f>
        <v>1695.75</v>
      </c>
      <c r="DB81" s="92">
        <f>+CX81*1.05</f>
        <v>1580.25</v>
      </c>
      <c r="DC81" s="92"/>
      <c r="DD81" s="92"/>
      <c r="DE81" s="47"/>
      <c r="DF81" s="9"/>
      <c r="DG81" s="92"/>
      <c r="DH81" s="92"/>
      <c r="DI81" s="92"/>
      <c r="DJ81" s="92"/>
      <c r="DK81" s="92"/>
      <c r="DL81" s="92"/>
      <c r="DM81" s="92"/>
      <c r="DN81" s="92"/>
      <c r="DO81" s="92">
        <f>SUM(AM81:AP81)</f>
        <v>2942</v>
      </c>
      <c r="DP81" s="92">
        <f t="shared" si="66"/>
        <v>3254</v>
      </c>
      <c r="DQ81" s="92">
        <f t="shared" ref="DQ81:DQ90" si="129">SUM(AU81:AX81)</f>
        <v>3399</v>
      </c>
      <c r="DR81" s="92">
        <f t="shared" ref="DR81:DR90" si="130">SUM(AY81:BB81)</f>
        <v>3362</v>
      </c>
      <c r="DS81" s="92">
        <f t="shared" ref="DS81:DS90" si="131">SUM(BC81:BF81)</f>
        <v>3455</v>
      </c>
      <c r="DT81" s="92">
        <f t="shared" ref="DT81:DT90" si="132">SUM(BG81:BJ81)</f>
        <v>3332</v>
      </c>
      <c r="DU81" s="92">
        <f t="shared" ref="DU81:DU90" si="133">SUM(BK81:BN81)</f>
        <v>3478</v>
      </c>
      <c r="DV81" s="92">
        <f t="shared" ref="DV81:DV90" si="134">SUM(BO81:BR81)</f>
        <v>3875</v>
      </c>
      <c r="DW81" s="92">
        <f t="shared" ref="DW81:DW90" si="135">SUM(BS81:BV81)</f>
        <v>4212</v>
      </c>
      <c r="DX81" s="92">
        <f t="shared" si="77"/>
        <v>4393</v>
      </c>
      <c r="DY81" s="92">
        <f t="shared" si="78"/>
        <v>4703</v>
      </c>
      <c r="DZ81" s="92">
        <f t="shared" si="79"/>
        <v>5568</v>
      </c>
      <c r="EA81" s="92">
        <f t="shared" si="80"/>
        <v>5550</v>
      </c>
      <c r="EB81" s="92">
        <f t="shared" ref="EB81" si="136">SUM(CM81:CP81)</f>
        <v>5625</v>
      </c>
      <c r="EC81" s="92">
        <f t="shared" ref="EC81" si="137">SUM(CQ81:CT81)</f>
        <v>5877</v>
      </c>
      <c r="ED81" s="92">
        <f t="shared" ref="ED81" si="138">SUM(CU81:CX81)</f>
        <v>6354</v>
      </c>
      <c r="EE81" s="92">
        <f t="shared" ref="EE81" si="139">ED81*1.02</f>
        <v>6481.08</v>
      </c>
      <c r="EF81" s="92">
        <f t="shared" ref="EF81" si="140">EE81*1.02</f>
        <v>6610.7016000000003</v>
      </c>
      <c r="EG81" s="92">
        <f t="shared" ref="EG81" si="141">EF81*1.02</f>
        <v>6742.9156320000002</v>
      </c>
      <c r="EH81" s="92">
        <f t="shared" ref="EH81" si="142">EG81*1.02</f>
        <v>6877.7739446400001</v>
      </c>
      <c r="EI81" s="92">
        <f t="shared" ref="EI81" si="143">EH81*1.02</f>
        <v>7015.3294235328003</v>
      </c>
      <c r="EJ81" s="92">
        <f t="shared" ref="EJ81" si="144">EI81*1.02</f>
        <v>7155.636012003456</v>
      </c>
      <c r="EK81" s="92">
        <f t="shared" ref="EK81" si="145">EJ81*1.02</f>
        <v>7298.7487322435254</v>
      </c>
      <c r="EL81" s="92">
        <f t="shared" ref="EL81" si="146">EK81*1.02</f>
        <v>7444.723706888396</v>
      </c>
      <c r="EM81" s="92">
        <f t="shared" ref="EM81" si="147">EL81*1.02</f>
        <v>7593.6181810261642</v>
      </c>
      <c r="EN81" s="92">
        <f t="shared" ref="EN81" si="148">EM81*1.02</f>
        <v>7745.4905446466873</v>
      </c>
    </row>
    <row r="82" spans="2:144" s="8" customFormat="1" ht="4.5" customHeight="1">
      <c r="B82" s="45" t="s">
        <v>486</v>
      </c>
      <c r="C82" s="9"/>
      <c r="D82" s="9"/>
      <c r="E82" s="9"/>
      <c r="F82" s="9"/>
      <c r="G82" s="7"/>
      <c r="H82" s="7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128" t="s">
        <v>628</v>
      </c>
      <c r="AJ82" s="92">
        <v>381</v>
      </c>
      <c r="AK82" s="92">
        <v>283</v>
      </c>
      <c r="AL82" s="92">
        <v>232</v>
      </c>
      <c r="AM82" s="92">
        <v>379</v>
      </c>
      <c r="AN82" s="92">
        <v>422</v>
      </c>
      <c r="AO82" s="92">
        <v>291</v>
      </c>
      <c r="AP82" s="92">
        <v>251</v>
      </c>
      <c r="AQ82" s="92">
        <v>517</v>
      </c>
      <c r="AR82" s="92">
        <v>541</v>
      </c>
      <c r="AS82" s="92">
        <v>421</v>
      </c>
      <c r="AT82" s="92">
        <v>361</v>
      </c>
      <c r="AU82" s="92">
        <v>554</v>
      </c>
      <c r="AV82" s="92">
        <v>552</v>
      </c>
      <c r="AW82" s="92">
        <v>451</v>
      </c>
      <c r="AX82" s="92">
        <v>395</v>
      </c>
      <c r="AY82" s="92">
        <v>571</v>
      </c>
      <c r="AZ82" s="92">
        <v>490</v>
      </c>
      <c r="BA82" s="92">
        <v>443</v>
      </c>
      <c r="BB82" s="92">
        <v>390</v>
      </c>
      <c r="BC82" s="92">
        <v>546</v>
      </c>
      <c r="BD82" s="92">
        <v>583</v>
      </c>
      <c r="BE82" s="92">
        <v>401</v>
      </c>
      <c r="BF82" s="92">
        <v>16</v>
      </c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  <c r="CV82" s="92"/>
      <c r="CW82" s="92"/>
      <c r="CX82" s="92"/>
      <c r="CY82" s="92"/>
      <c r="CZ82" s="92"/>
      <c r="DA82" s="92"/>
      <c r="DB82" s="92"/>
      <c r="DC82" s="92"/>
      <c r="DD82" s="92"/>
      <c r="DE82" s="47"/>
      <c r="DF82" s="9"/>
      <c r="DG82" s="92"/>
      <c r="DH82" s="92"/>
      <c r="DI82" s="92"/>
      <c r="DJ82" s="92"/>
      <c r="DK82" s="92"/>
      <c r="DL82" s="92"/>
      <c r="DM82" s="92"/>
      <c r="DN82" s="92"/>
      <c r="DO82" s="92">
        <f>SUM(AM82:AP82)</f>
        <v>1343</v>
      </c>
      <c r="DP82" s="92">
        <f t="shared" si="66"/>
        <v>1840</v>
      </c>
      <c r="DQ82" s="92">
        <f t="shared" si="129"/>
        <v>1952</v>
      </c>
      <c r="DR82" s="92">
        <f t="shared" si="130"/>
        <v>1894</v>
      </c>
      <c r="DS82" s="92">
        <f t="shared" si="131"/>
        <v>1546</v>
      </c>
      <c r="DT82" s="92"/>
      <c r="DU82" s="92"/>
      <c r="DV82" s="92"/>
      <c r="DW82" s="92"/>
      <c r="DX82" s="92"/>
      <c r="DY82" s="92"/>
      <c r="DZ82" s="92"/>
      <c r="EA82" s="92"/>
      <c r="EB82" s="92"/>
      <c r="EC82" s="92"/>
      <c r="ED82" s="92"/>
      <c r="EE82" s="92"/>
      <c r="EG82" s="28"/>
    </row>
    <row r="83" spans="2:144" s="8" customFormat="1" ht="3.75" customHeight="1">
      <c r="B83" s="45" t="s">
        <v>98</v>
      </c>
      <c r="C83" s="9"/>
      <c r="D83" s="9"/>
      <c r="E83" s="9"/>
      <c r="F83" s="9"/>
      <c r="G83" s="7"/>
      <c r="H83" s="7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92"/>
      <c r="Z83" s="31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92"/>
      <c r="CX83" s="92"/>
      <c r="CY83" s="92"/>
      <c r="CZ83" s="92"/>
      <c r="DA83" s="92"/>
      <c r="DB83" s="92"/>
      <c r="DC83" s="92"/>
      <c r="DD83" s="92"/>
      <c r="DE83" s="47"/>
      <c r="DF83" s="23"/>
      <c r="DG83" s="92">
        <v>480</v>
      </c>
      <c r="DH83" s="92">
        <v>115</v>
      </c>
      <c r="DI83" s="92">
        <v>47</v>
      </c>
      <c r="DJ83" s="92"/>
      <c r="DK83" s="92"/>
      <c r="DL83" s="92"/>
      <c r="DM83" s="92"/>
      <c r="DN83" s="92"/>
      <c r="DO83" s="92"/>
      <c r="DP83" s="92"/>
      <c r="DQ83" s="92"/>
      <c r="DR83" s="92"/>
      <c r="DS83" s="92"/>
      <c r="DT83" s="92"/>
      <c r="DU83" s="92"/>
      <c r="DV83" s="92"/>
      <c r="DW83" s="92"/>
      <c r="DX83" s="92"/>
      <c r="DY83" s="92"/>
      <c r="DZ83" s="92"/>
      <c r="EA83" s="92"/>
      <c r="EB83" s="82"/>
      <c r="EC83" s="82"/>
      <c r="ED83" s="82"/>
      <c r="EE83" s="82"/>
      <c r="EG83" s="28"/>
    </row>
    <row r="84" spans="2:144" s="8" customFormat="1" ht="3.75" customHeight="1">
      <c r="B84" s="45" t="s">
        <v>611</v>
      </c>
      <c r="C84" s="9"/>
      <c r="D84" s="9"/>
      <c r="E84" s="9"/>
      <c r="F84" s="9"/>
      <c r="G84" s="7"/>
      <c r="H84" s="7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92"/>
      <c r="Z84" s="31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  <c r="CV84" s="92"/>
      <c r="CW84" s="92"/>
      <c r="CX84" s="92"/>
      <c r="CY84" s="92"/>
      <c r="CZ84" s="92"/>
      <c r="DA84" s="92"/>
      <c r="DB84" s="92"/>
      <c r="DC84" s="92"/>
      <c r="DD84" s="92"/>
      <c r="DE84" s="47"/>
      <c r="DF84" s="23"/>
      <c r="DG84" s="92"/>
      <c r="DH84" s="92"/>
      <c r="DI84" s="92"/>
      <c r="DJ84" s="92"/>
      <c r="DK84" s="92"/>
      <c r="DL84" s="92"/>
      <c r="DM84" s="92"/>
      <c r="DN84" s="92"/>
      <c r="DO84" s="92"/>
      <c r="DP84" s="92"/>
      <c r="DQ84" s="92"/>
      <c r="DR84" s="92"/>
      <c r="DS84" s="92"/>
      <c r="DT84" s="92"/>
      <c r="DU84" s="92"/>
      <c r="DV84" s="92"/>
      <c r="DW84" s="92"/>
      <c r="DX84" s="92"/>
      <c r="DY84" s="92"/>
      <c r="DZ84" s="92"/>
      <c r="EA84" s="92"/>
      <c r="EB84" s="82"/>
      <c r="EC84" s="82"/>
      <c r="ED84" s="82"/>
      <c r="EE84" s="82"/>
      <c r="EG84" s="28"/>
    </row>
    <row r="85" spans="2:144" s="8" customFormat="1" ht="3.75" customHeight="1">
      <c r="B85" s="45" t="s">
        <v>104</v>
      </c>
      <c r="C85" s="9"/>
      <c r="D85" s="9"/>
      <c r="E85" s="9"/>
      <c r="F85" s="9"/>
      <c r="G85" s="7"/>
      <c r="H85" s="7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92"/>
      <c r="Z85" s="31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  <c r="CA85" s="92"/>
      <c r="CB85" s="92"/>
      <c r="CC85" s="92"/>
      <c r="CD85" s="92"/>
      <c r="CE85" s="92"/>
      <c r="CF85" s="92"/>
      <c r="CG85" s="92"/>
      <c r="CH85" s="92"/>
      <c r="CI85" s="92"/>
      <c r="CJ85" s="92"/>
      <c r="CK85" s="92"/>
      <c r="CL85" s="92"/>
      <c r="CM85" s="92"/>
      <c r="CN85" s="92"/>
      <c r="CO85" s="92"/>
      <c r="CP85" s="92"/>
      <c r="CQ85" s="92"/>
      <c r="CR85" s="92"/>
      <c r="CS85" s="92"/>
      <c r="CT85" s="92"/>
      <c r="CU85" s="92"/>
      <c r="CV85" s="92"/>
      <c r="CW85" s="92"/>
      <c r="CX85" s="92"/>
      <c r="CY85" s="92"/>
      <c r="CZ85" s="92"/>
      <c r="DA85" s="92"/>
      <c r="DB85" s="92"/>
      <c r="DC85" s="92"/>
      <c r="DD85" s="92"/>
      <c r="DE85" s="47"/>
      <c r="DF85" s="23"/>
      <c r="DG85" s="92">
        <v>55</v>
      </c>
      <c r="DH85" s="92">
        <v>37</v>
      </c>
      <c r="DI85" s="92"/>
      <c r="DJ85" s="92"/>
      <c r="DK85" s="92"/>
      <c r="DL85" s="92"/>
      <c r="DM85" s="92"/>
      <c r="DN85" s="92"/>
      <c r="DO85" s="92"/>
      <c r="DP85" s="92"/>
      <c r="DQ85" s="92"/>
      <c r="DR85" s="92"/>
      <c r="DS85" s="92"/>
      <c r="DT85" s="92"/>
      <c r="DU85" s="92"/>
      <c r="DV85" s="92"/>
      <c r="DW85" s="92"/>
      <c r="DX85" s="92"/>
      <c r="DY85" s="92"/>
      <c r="DZ85" s="92"/>
      <c r="EA85" s="92"/>
      <c r="EB85" s="24"/>
      <c r="EC85" s="24"/>
      <c r="ED85" s="24"/>
      <c r="EE85" s="24"/>
      <c r="EG85" s="28"/>
    </row>
    <row r="86" spans="2:144" s="8" customFormat="1" ht="3.75" customHeight="1">
      <c r="B86" s="45" t="s">
        <v>99</v>
      </c>
      <c r="C86" s="9"/>
      <c r="D86" s="9"/>
      <c r="E86" s="9"/>
      <c r="F86" s="9"/>
      <c r="G86" s="7"/>
      <c r="H86" s="7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92"/>
      <c r="Z86" s="31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  <c r="CW86" s="92"/>
      <c r="CX86" s="92"/>
      <c r="CY86" s="92"/>
      <c r="CZ86" s="92"/>
      <c r="DA86" s="92"/>
      <c r="DB86" s="92"/>
      <c r="DC86" s="92"/>
      <c r="DD86" s="92"/>
      <c r="DE86" s="47"/>
      <c r="DF86" s="23"/>
      <c r="DG86" s="92">
        <v>110</v>
      </c>
      <c r="DH86" s="92">
        <v>56</v>
      </c>
      <c r="DI86" s="92"/>
      <c r="DJ86" s="92"/>
      <c r="DK86" s="92"/>
      <c r="DL86" s="92"/>
      <c r="DM86" s="92"/>
      <c r="DN86" s="92"/>
      <c r="DO86" s="92"/>
      <c r="DP86" s="92"/>
      <c r="DQ86" s="92"/>
      <c r="DR86" s="92"/>
      <c r="DS86" s="92"/>
      <c r="DT86" s="92"/>
      <c r="DU86" s="92"/>
      <c r="DV86" s="92"/>
      <c r="DW86" s="92"/>
      <c r="DX86" s="92"/>
      <c r="DY86" s="92"/>
      <c r="DZ86" s="92"/>
      <c r="EA86" s="92"/>
      <c r="EB86" s="24"/>
      <c r="EC86" s="24"/>
      <c r="ED86" s="24"/>
      <c r="EE86" s="24"/>
      <c r="EG86" s="28"/>
    </row>
    <row r="87" spans="2:144" s="8" customFormat="1" ht="3.75" customHeight="1">
      <c r="B87" s="45" t="s">
        <v>97</v>
      </c>
      <c r="C87" s="92">
        <v>554.31479999999999</v>
      </c>
      <c r="D87" s="92">
        <v>554.31549999999993</v>
      </c>
      <c r="E87" s="92">
        <v>731.20980000000009</v>
      </c>
      <c r="F87" s="92">
        <v>510.72115509097432</v>
      </c>
      <c r="G87" s="92">
        <v>598</v>
      </c>
      <c r="H87" s="92">
        <v>788</v>
      </c>
      <c r="I87" s="92">
        <v>756</v>
      </c>
      <c r="J87" s="92">
        <v>386</v>
      </c>
      <c r="K87" s="92">
        <v>521</v>
      </c>
      <c r="L87" s="92">
        <v>814</v>
      </c>
      <c r="M87" s="92">
        <v>529.25</v>
      </c>
      <c r="N87" s="92">
        <v>754.25</v>
      </c>
      <c r="O87" s="92">
        <v>661</v>
      </c>
      <c r="P87" s="92">
        <v>653</v>
      </c>
      <c r="Q87" s="92">
        <v>175</v>
      </c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  <c r="CC87" s="92"/>
      <c r="CD87" s="92"/>
      <c r="CE87" s="92"/>
      <c r="CF87" s="92"/>
      <c r="CG87" s="92"/>
      <c r="CH87" s="92"/>
      <c r="CI87" s="92"/>
      <c r="CJ87" s="92"/>
      <c r="CK87" s="92"/>
      <c r="CL87" s="92"/>
      <c r="CM87" s="92"/>
      <c r="CN87" s="92"/>
      <c r="CO87" s="92"/>
      <c r="CP87" s="92"/>
      <c r="CQ87" s="92"/>
      <c r="CR87" s="92"/>
      <c r="CS87" s="92"/>
      <c r="CT87" s="92"/>
      <c r="CU87" s="92"/>
      <c r="CV87" s="92"/>
      <c r="CW87" s="92"/>
      <c r="CX87" s="92"/>
      <c r="CY87" s="92"/>
      <c r="CZ87" s="92"/>
      <c r="DA87" s="92"/>
      <c r="DB87" s="92"/>
      <c r="DC87" s="92"/>
      <c r="DD87" s="92"/>
      <c r="DE87" s="47"/>
      <c r="DF87" s="92">
        <v>2350.5626944231763</v>
      </c>
      <c r="DG87" s="92">
        <v>2530</v>
      </c>
      <c r="DH87" s="92">
        <v>2569</v>
      </c>
      <c r="DI87" s="92">
        <f>SUM(O87:R87)</f>
        <v>1489</v>
      </c>
      <c r="DJ87" s="92"/>
      <c r="DK87" s="92"/>
      <c r="DL87" s="92"/>
      <c r="DM87" s="92"/>
      <c r="DN87" s="92"/>
      <c r="DO87" s="92"/>
      <c r="DP87" s="92"/>
      <c r="DQ87" s="92"/>
      <c r="DR87" s="92"/>
      <c r="DS87" s="92"/>
      <c r="DT87" s="92"/>
      <c r="DU87" s="92"/>
      <c r="DV87" s="92"/>
      <c r="DW87" s="92"/>
      <c r="DX87" s="92"/>
      <c r="DY87" s="92"/>
      <c r="DZ87" s="92"/>
      <c r="EA87" s="92"/>
      <c r="EB87" s="24"/>
      <c r="EC87" s="24"/>
      <c r="ED87" s="24"/>
      <c r="EE87" s="24"/>
      <c r="EG87" s="28"/>
    </row>
    <row r="88" spans="2:144" s="8" customFormat="1" ht="3.75" customHeight="1">
      <c r="B88" s="45" t="s">
        <v>165</v>
      </c>
      <c r="C88" s="24"/>
      <c r="D88" s="24"/>
      <c r="E88" s="24"/>
      <c r="F88" s="24"/>
      <c r="G88" s="24"/>
      <c r="H88" s="2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2"/>
      <c r="Z88" s="9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92"/>
      <c r="CW88" s="92"/>
      <c r="CX88" s="92"/>
      <c r="CY88" s="92"/>
      <c r="CZ88" s="92"/>
      <c r="DA88" s="92"/>
      <c r="DB88" s="92"/>
      <c r="DC88" s="92"/>
      <c r="DD88" s="92"/>
      <c r="DE88" s="47"/>
      <c r="DF88" s="25"/>
      <c r="DG88" s="92"/>
      <c r="DH88" s="92"/>
      <c r="DI88" s="92"/>
      <c r="DJ88" s="92"/>
      <c r="DK88" s="92"/>
      <c r="DL88" s="92"/>
      <c r="DM88" s="92"/>
      <c r="DN88" s="92"/>
      <c r="DO88" s="92"/>
      <c r="DP88" s="92"/>
      <c r="DQ88" s="92"/>
      <c r="DR88" s="92"/>
      <c r="DS88" s="92"/>
      <c r="DT88" s="92"/>
      <c r="DU88" s="92"/>
      <c r="DV88" s="92"/>
      <c r="DW88" s="92"/>
      <c r="DX88" s="92"/>
      <c r="DY88" s="92"/>
      <c r="DZ88" s="92"/>
      <c r="EA88" s="92"/>
      <c r="EB88" s="92"/>
      <c r="EC88" s="92"/>
      <c r="ED88" s="92"/>
      <c r="EE88" s="92"/>
      <c r="EG88" s="28"/>
    </row>
    <row r="89" spans="2:144" s="8" customFormat="1" ht="12.75" customHeight="1">
      <c r="B89" s="45" t="s">
        <v>487</v>
      </c>
      <c r="C89" s="24"/>
      <c r="D89" s="24"/>
      <c r="E89" s="24"/>
      <c r="F89" s="24"/>
      <c r="G89" s="24"/>
      <c r="H89" s="2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2"/>
      <c r="Z89" s="9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  <c r="CA89" s="92"/>
      <c r="CB89" s="92"/>
      <c r="CC89" s="92"/>
      <c r="CD89" s="92"/>
      <c r="CE89" s="92"/>
      <c r="CF89" s="92"/>
      <c r="CG89" s="92"/>
      <c r="CH89" s="92"/>
      <c r="CI89" s="92"/>
      <c r="CJ89" s="92"/>
      <c r="CK89" s="92"/>
      <c r="CL89" s="92"/>
      <c r="CM89" s="92"/>
      <c r="CN89" s="92"/>
      <c r="CO89" s="92"/>
      <c r="CP89" s="92"/>
      <c r="CQ89" s="92"/>
      <c r="CR89" s="92"/>
      <c r="CS89" s="92"/>
      <c r="CT89" s="92"/>
      <c r="CU89" s="92"/>
      <c r="CV89" s="92"/>
      <c r="CW89" s="92"/>
      <c r="CX89" s="92"/>
      <c r="CY89" s="92"/>
      <c r="CZ89" s="92"/>
      <c r="DA89" s="92"/>
      <c r="DB89" s="92"/>
      <c r="DC89" s="92"/>
      <c r="DD89" s="92"/>
      <c r="DE89" s="47"/>
      <c r="DF89" s="25"/>
      <c r="DG89" s="92"/>
      <c r="DH89" s="92"/>
      <c r="DI89" s="92"/>
      <c r="DJ89" s="92"/>
      <c r="DK89" s="92"/>
      <c r="DL89" s="92"/>
      <c r="DM89" s="92"/>
      <c r="DN89" s="92"/>
      <c r="DO89" s="92"/>
      <c r="DP89" s="92"/>
      <c r="DQ89" s="92"/>
      <c r="DR89" s="92"/>
      <c r="DS89" s="92"/>
      <c r="DT89" s="92"/>
      <c r="DU89" s="92"/>
      <c r="DV89" s="92"/>
      <c r="DW89" s="92"/>
      <c r="DX89" s="92"/>
      <c r="DY89" s="92"/>
      <c r="DZ89" s="92"/>
      <c r="EA89" s="92"/>
      <c r="EB89" s="92"/>
      <c r="EC89" s="92"/>
      <c r="ED89" s="92"/>
      <c r="EE89" s="92"/>
      <c r="EG89" s="28"/>
    </row>
    <row r="90" spans="2:144" s="8" customFormat="1" ht="12.75" customHeight="1">
      <c r="B90" s="45" t="s">
        <v>79</v>
      </c>
      <c r="C90" s="24"/>
      <c r="D90" s="24"/>
      <c r="E90" s="24"/>
      <c r="F90" s="24"/>
      <c r="G90" s="24"/>
      <c r="H90" s="24"/>
      <c r="I90" s="92"/>
      <c r="J90" s="92"/>
      <c r="K90" s="92"/>
      <c r="L90" s="92"/>
      <c r="M90" s="92"/>
      <c r="N90" s="92"/>
      <c r="O90" s="92">
        <f>5631-SUM(O16:O51,O10:O87)</f>
        <v>-2217</v>
      </c>
      <c r="P90" s="92">
        <f>6022-SUM(P16:P51,P10:P87)</f>
        <v>-2365</v>
      </c>
      <c r="Q90" s="92">
        <f>5538-SUM(Q16:Q51,Q10:Q87)</f>
        <v>-2202</v>
      </c>
      <c r="R90" s="92">
        <f>5748-SUM(R16:R51,R10:R86)</f>
        <v>-2512</v>
      </c>
      <c r="S90" s="92">
        <f>5362-SUM(S16:S51,S10:S86)</f>
        <v>-2259</v>
      </c>
      <c r="T90" s="92">
        <f>5468-SUM(T16:T51,T10:T86)</f>
        <v>-2552</v>
      </c>
      <c r="U90" s="92">
        <f>5416-SUM(U16:U51,U10:U86)</f>
        <v>-2410</v>
      </c>
      <c r="V90" s="92">
        <f>5766-SUM(V16:V51,V10:V86)</f>
        <v>-2465</v>
      </c>
      <c r="W90" s="92">
        <f>5410-SUM(W16:W51,W10:W86)</f>
        <v>-2521.1999999999998</v>
      </c>
      <c r="X90" s="92">
        <f>5772-SUM(X16:X51,X10:X86)</f>
        <v>-2713.3999999999996</v>
      </c>
      <c r="Y90" s="92">
        <f>5410-SUM((Y10:Y80,Y16:Y58))</f>
        <v>-3932</v>
      </c>
      <c r="Z90" s="92">
        <f>6044-SUM((Z11:Z80,Z16:Z58))</f>
        <v>-3726</v>
      </c>
      <c r="AA90" s="92">
        <f>5769-SUM((AA11:AA80,AA16:AA58))</f>
        <v>-3875.5999999999985</v>
      </c>
      <c r="AB90" s="92">
        <f>6111-SUM((AB11:AB80,AB16:AB58))</f>
        <v>-4092.7999999999993</v>
      </c>
      <c r="AC90" s="92">
        <f>6074-SUM((AC11:AC80,AC16:AC58))</f>
        <v>-4262</v>
      </c>
      <c r="AD90" s="92"/>
      <c r="AE90" s="92">
        <f>5822-SUM((AE11:AE80,AE16:AE58))</f>
        <v>-4062.8000000000011</v>
      </c>
      <c r="AF90" s="92">
        <f>6052-SUM((AF11:AF80,AF16:AF58))</f>
        <v>-4036</v>
      </c>
      <c r="AG90" s="92">
        <f>5944-SUM((AG11:AG80,AG16:AG58))</f>
        <v>-3689</v>
      </c>
      <c r="AH90" s="92">
        <f>6032-SUM((AH11:AH80,AH16:AH58))</f>
        <v>-2307.6000000000004</v>
      </c>
      <c r="AI90" s="127">
        <f>443+945</f>
        <v>1388</v>
      </c>
      <c r="AJ90" s="92"/>
      <c r="AK90" s="92"/>
      <c r="AL90" s="92">
        <f>781+379-1</f>
        <v>1159</v>
      </c>
      <c r="AM90" s="92">
        <f>975+542</f>
        <v>1517</v>
      </c>
      <c r="AN90" s="92">
        <f>417+986</f>
        <v>1403</v>
      </c>
      <c r="AO90" s="92">
        <f>1049+487</f>
        <v>1536</v>
      </c>
      <c r="AP90" s="92">
        <f>1160+447</f>
        <v>1607</v>
      </c>
      <c r="AQ90" s="92">
        <f>486+892-AQ78-AQ73-AQ64-AQ63</f>
        <v>1189</v>
      </c>
      <c r="AR90" s="92">
        <f>448+1064</f>
        <v>1512</v>
      </c>
      <c r="AS90" s="92">
        <f>1015+421</f>
        <v>1436</v>
      </c>
      <c r="AT90" s="92">
        <f>1064+310</f>
        <v>1374</v>
      </c>
      <c r="AU90" s="92">
        <f>274+1013</f>
        <v>1287</v>
      </c>
      <c r="AV90" s="92">
        <f>985+333</f>
        <v>1318</v>
      </c>
      <c r="AW90" s="92">
        <f>1023+347</f>
        <v>1370</v>
      </c>
      <c r="AX90" s="92">
        <f>1113+360</f>
        <v>1473</v>
      </c>
      <c r="AY90" s="92">
        <f>1361+369</f>
        <v>1730</v>
      </c>
      <c r="AZ90" s="92">
        <f>1430+359</f>
        <v>1789</v>
      </c>
      <c r="BA90" s="92">
        <f>1350+314</f>
        <v>1664</v>
      </c>
      <c r="BB90" s="92">
        <f>1435+298</f>
        <v>1733</v>
      </c>
      <c r="BC90" s="92">
        <f>1175+454</f>
        <v>1629</v>
      </c>
      <c r="BD90" s="92">
        <f>1209+392</f>
        <v>1601</v>
      </c>
      <c r="BE90" s="92">
        <f>1225+137</f>
        <v>1362</v>
      </c>
      <c r="BF90" s="92">
        <f>1174+211</f>
        <v>1385</v>
      </c>
      <c r="BG90" s="92">
        <f>1235+328</f>
        <v>1563</v>
      </c>
      <c r="BH90" s="92">
        <f>1274+379</f>
        <v>1653</v>
      </c>
      <c r="BI90" s="92">
        <f>1298+321</f>
        <v>1619</v>
      </c>
      <c r="BJ90" s="92">
        <f>1300+356</f>
        <v>1656</v>
      </c>
      <c r="BK90" s="92">
        <f>1093+379</f>
        <v>1472</v>
      </c>
      <c r="BL90" s="92">
        <f>1151+244</f>
        <v>1395</v>
      </c>
      <c r="BM90" s="92">
        <f>1224+228</f>
        <v>1452</v>
      </c>
      <c r="BN90" s="92">
        <f>1234+327</f>
        <v>1561</v>
      </c>
      <c r="BO90" s="92">
        <f>995+310</f>
        <v>1305</v>
      </c>
      <c r="BP90" s="92">
        <f>1064+216</f>
        <v>1280</v>
      </c>
      <c r="BQ90" s="92">
        <f>952+169</f>
        <v>1121</v>
      </c>
      <c r="BR90" s="92">
        <f>1048+162</f>
        <v>1210</v>
      </c>
      <c r="BS90" s="92">
        <f>989+53</f>
        <v>1042</v>
      </c>
      <c r="BT90" s="92">
        <f>1053+93</f>
        <v>1146</v>
      </c>
      <c r="BU90" s="92">
        <f>980+115</f>
        <v>1095</v>
      </c>
      <c r="BV90" s="92">
        <f>1062+132</f>
        <v>1194</v>
      </c>
      <c r="BW90" s="92">
        <f>1082+128</f>
        <v>1210</v>
      </c>
      <c r="BX90" s="92">
        <f>1203+176</f>
        <v>1379</v>
      </c>
      <c r="BY90" s="92">
        <f>1149+180</f>
        <v>1329</v>
      </c>
      <c r="BZ90" s="92">
        <f>1183+213</f>
        <v>1396</v>
      </c>
      <c r="CA90" s="92">
        <f>1194+188</f>
        <v>1382</v>
      </c>
      <c r="CB90" s="92">
        <f>1103+92</f>
        <v>1195</v>
      </c>
      <c r="CC90" s="92">
        <f>-5+526</f>
        <v>521</v>
      </c>
      <c r="CD90" s="92">
        <f>1228-21</f>
        <v>1207</v>
      </c>
      <c r="CE90" s="92">
        <f>554-29</f>
        <v>525</v>
      </c>
      <c r="CF90" s="92">
        <f>512-50</f>
        <v>462</v>
      </c>
      <c r="CG90" s="92">
        <f>518+241</f>
        <v>759</v>
      </c>
      <c r="CH90" s="92">
        <f>533+221</f>
        <v>754</v>
      </c>
      <c r="CI90" s="92">
        <f>520+312-CI7-CI18</f>
        <v>809</v>
      </c>
      <c r="CJ90" s="92">
        <f>370+479-CJ7-CJ18</f>
        <v>810</v>
      </c>
      <c r="CK90" s="92">
        <f>625+564-CK7-CK18</f>
        <v>1135</v>
      </c>
      <c r="CL90" s="92">
        <f>420+685-CL7-CL18</f>
        <v>927</v>
      </c>
      <c r="CM90" s="92">
        <f>275+584-CM33-CM34</f>
        <v>781</v>
      </c>
      <c r="CN90" s="92">
        <f>122+560</f>
        <v>682</v>
      </c>
      <c r="CO90" s="92">
        <f>299+568</f>
        <v>867</v>
      </c>
      <c r="CP90" s="92">
        <f>211+576</f>
        <v>787</v>
      </c>
      <c r="CQ90" s="92">
        <f>258+576</f>
        <v>834</v>
      </c>
      <c r="CR90" s="92">
        <f>573+222</f>
        <v>795</v>
      </c>
      <c r="CS90" s="92">
        <f>227+644</f>
        <v>871</v>
      </c>
      <c r="CT90" s="92">
        <f>713+185</f>
        <v>898</v>
      </c>
      <c r="CU90" s="92">
        <f>303+729</f>
        <v>1032</v>
      </c>
      <c r="CV90" s="92">
        <f>110+584</f>
        <v>694</v>
      </c>
      <c r="CW90" s="92">
        <f>953+50</f>
        <v>1003</v>
      </c>
      <c r="CX90" s="92">
        <f>658+52-CX25</f>
        <v>689</v>
      </c>
      <c r="CY90" s="92">
        <f>774+146</f>
        <v>920</v>
      </c>
      <c r="CZ90" s="92">
        <f>641+72</f>
        <v>713</v>
      </c>
      <c r="DA90" s="92">
        <f>+CZ90</f>
        <v>713</v>
      </c>
      <c r="DB90" s="92">
        <f>+DA90</f>
        <v>713</v>
      </c>
      <c r="DC90" s="92"/>
      <c r="DD90" s="92"/>
      <c r="DE90" s="47"/>
      <c r="DF90" s="25"/>
      <c r="DG90" s="92"/>
      <c r="DH90" s="92"/>
      <c r="DI90" s="92">
        <f>SUM(O90:R90)</f>
        <v>-9296</v>
      </c>
      <c r="DJ90" s="92">
        <f>SUM(S90:V90)</f>
        <v>-9686</v>
      </c>
      <c r="DK90" s="92">
        <f>SUM(W90:Z90)</f>
        <v>-12892.599999999999</v>
      </c>
      <c r="DL90" s="92">
        <f>SUM(AA90:AD90)</f>
        <v>-12230.399999999998</v>
      </c>
      <c r="DM90" s="92">
        <f>SUM(AE90:AH90)</f>
        <v>-14095.400000000001</v>
      </c>
      <c r="DN90" s="92">
        <f>SUM(AI90:AL90)</f>
        <v>2547</v>
      </c>
      <c r="DO90" s="92">
        <f>SUM(AM90:AP90)</f>
        <v>6063</v>
      </c>
      <c r="DP90" s="92">
        <f t="shared" si="66"/>
        <v>5511</v>
      </c>
      <c r="DQ90" s="92">
        <f t="shared" si="129"/>
        <v>5448</v>
      </c>
      <c r="DR90" s="92">
        <f t="shared" si="130"/>
        <v>6916</v>
      </c>
      <c r="DS90" s="92">
        <f t="shared" si="131"/>
        <v>5977</v>
      </c>
      <c r="DT90" s="92">
        <f t="shared" si="132"/>
        <v>6491</v>
      </c>
      <c r="DU90" s="92">
        <f t="shared" si="133"/>
        <v>5880</v>
      </c>
      <c r="DV90" s="92">
        <f t="shared" si="134"/>
        <v>4916</v>
      </c>
      <c r="DW90" s="92">
        <f t="shared" si="135"/>
        <v>4477</v>
      </c>
      <c r="DX90" s="92">
        <f t="shared" si="77"/>
        <v>5314</v>
      </c>
      <c r="DY90" s="92">
        <f t="shared" si="78"/>
        <v>4305</v>
      </c>
      <c r="DZ90" s="92">
        <f t="shared" si="79"/>
        <v>2500</v>
      </c>
      <c r="EA90" s="92">
        <f>SUM(CI90:CL90)</f>
        <v>3681</v>
      </c>
      <c r="EB90" s="92">
        <f>SUM(CM90:CP90)</f>
        <v>3117</v>
      </c>
      <c r="EC90" s="92">
        <f t="shared" ref="EC90:EE90" si="149">EB90*0.9</f>
        <v>2805.3</v>
      </c>
      <c r="ED90" s="92">
        <f t="shared" si="149"/>
        <v>2524.7700000000004</v>
      </c>
      <c r="EE90" s="92">
        <f t="shared" si="149"/>
        <v>2272.2930000000006</v>
      </c>
      <c r="EF90" s="92">
        <f t="shared" ref="EF90" si="150">EE90*0.9</f>
        <v>2045.0637000000006</v>
      </c>
      <c r="EG90" s="92">
        <f t="shared" ref="EG90" si="151">EF90*0.9</f>
        <v>1840.5573300000005</v>
      </c>
      <c r="EH90" s="92">
        <f t="shared" ref="EH90" si="152">EG90*0.9</f>
        <v>1656.5015970000006</v>
      </c>
      <c r="EI90" s="92">
        <f t="shared" ref="EI90" si="153">EH90*0.9</f>
        <v>1490.8514373000005</v>
      </c>
      <c r="EJ90" s="92">
        <f t="shared" ref="EJ90" si="154">EI90*0.9</f>
        <v>1341.7662935700005</v>
      </c>
      <c r="EK90" s="92">
        <f t="shared" ref="EK90" si="155">EJ90*0.9</f>
        <v>1207.5896642130006</v>
      </c>
      <c r="EL90" s="92">
        <f t="shared" ref="EL90" si="156">EK90*0.9</f>
        <v>1086.8306977917005</v>
      </c>
      <c r="EM90" s="92">
        <f t="shared" ref="EM90" si="157">EL90*0.9</f>
        <v>978.14762801253039</v>
      </c>
      <c r="EN90" s="92">
        <f t="shared" ref="EN90" si="158">EM90*0.9</f>
        <v>880.33286521127741</v>
      </c>
    </row>
    <row r="91" spans="2:144" s="39" customFormat="1" ht="12.75" customHeight="1">
      <c r="B91" s="34" t="s">
        <v>699</v>
      </c>
      <c r="C91" s="26">
        <v>4895.8</v>
      </c>
      <c r="D91" s="26">
        <v>5287.8</v>
      </c>
      <c r="E91" s="26">
        <v>5443.7</v>
      </c>
      <c r="F91" s="26">
        <v>5571.6</v>
      </c>
      <c r="G91" s="26"/>
      <c r="H91" s="26"/>
      <c r="I91" s="26"/>
      <c r="J91" s="26"/>
      <c r="K91" s="26"/>
      <c r="L91" s="26"/>
      <c r="M91" s="26"/>
      <c r="N91" s="26"/>
      <c r="O91" s="26">
        <f t="shared" ref="O91:AH91" si="159">SUM(O16:O88)+O90</f>
        <v>3060</v>
      </c>
      <c r="P91" s="26">
        <f t="shared" si="159"/>
        <v>3276</v>
      </c>
      <c r="Q91" s="26">
        <f t="shared" si="159"/>
        <v>2902</v>
      </c>
      <c r="R91" s="26">
        <f t="shared" si="159"/>
        <v>2929</v>
      </c>
      <c r="S91" s="26">
        <f t="shared" si="159"/>
        <v>2839</v>
      </c>
      <c r="T91" s="26">
        <f t="shared" si="159"/>
        <v>2796</v>
      </c>
      <c r="U91" s="26">
        <f t="shared" si="159"/>
        <v>2867</v>
      </c>
      <c r="V91" s="26">
        <f t="shared" si="159"/>
        <v>3199</v>
      </c>
      <c r="W91" s="26">
        <f t="shared" si="159"/>
        <v>2905.0000000000009</v>
      </c>
      <c r="X91" s="26">
        <f t="shared" si="159"/>
        <v>3201</v>
      </c>
      <c r="Y91" s="26">
        <f t="shared" si="159"/>
        <v>1392.5</v>
      </c>
      <c r="Z91" s="26">
        <f t="shared" si="159"/>
        <v>1909</v>
      </c>
      <c r="AA91" s="26">
        <f t="shared" si="159"/>
        <v>1656.2000000000016</v>
      </c>
      <c r="AB91" s="26">
        <f t="shared" si="159"/>
        <v>1675.1000000000004</v>
      </c>
      <c r="AC91" s="26">
        <f t="shared" si="159"/>
        <v>1460</v>
      </c>
      <c r="AD91" s="26">
        <f t="shared" si="159"/>
        <v>5640</v>
      </c>
      <c r="AE91" s="26">
        <f t="shared" si="159"/>
        <v>1465.0999999999985</v>
      </c>
      <c r="AF91" s="26">
        <f t="shared" si="159"/>
        <v>2265.5</v>
      </c>
      <c r="AG91" s="26">
        <f t="shared" si="159"/>
        <v>1500.5</v>
      </c>
      <c r="AH91" s="26">
        <f t="shared" si="159"/>
        <v>2488.1999999999998</v>
      </c>
      <c r="AI91" s="26">
        <f t="shared" ref="AI91:BN91" si="160">SUM(AI3:AI90)</f>
        <v>7155</v>
      </c>
      <c r="AJ91" s="26">
        <f t="shared" si="160"/>
        <v>8095</v>
      </c>
      <c r="AK91" s="26">
        <f t="shared" si="160"/>
        <v>8175</v>
      </c>
      <c r="AL91" s="26">
        <f t="shared" si="160"/>
        <v>11147</v>
      </c>
      <c r="AM91" s="26">
        <f t="shared" si="160"/>
        <v>11423</v>
      </c>
      <c r="AN91" s="39">
        <f t="shared" si="160"/>
        <v>11348</v>
      </c>
      <c r="AO91" s="39">
        <f t="shared" si="160"/>
        <v>11125</v>
      </c>
      <c r="AP91" s="39">
        <f t="shared" si="160"/>
        <v>12094</v>
      </c>
      <c r="AQ91" s="39">
        <f t="shared" si="160"/>
        <v>11581</v>
      </c>
      <c r="AR91" s="39">
        <f t="shared" si="160"/>
        <v>12153</v>
      </c>
      <c r="AS91" s="39">
        <f t="shared" si="160"/>
        <v>12022</v>
      </c>
      <c r="AT91" s="39">
        <f t="shared" si="160"/>
        <v>12298</v>
      </c>
      <c r="AU91" s="39">
        <f t="shared" si="160"/>
        <v>11731</v>
      </c>
      <c r="AV91" s="39">
        <f t="shared" si="160"/>
        <v>12310</v>
      </c>
      <c r="AW91" s="39">
        <f t="shared" si="160"/>
        <v>11488</v>
      </c>
      <c r="AX91" s="39">
        <f t="shared" si="160"/>
        <v>11741</v>
      </c>
      <c r="AY91" s="39">
        <f t="shared" si="160"/>
        <v>10671</v>
      </c>
      <c r="AZ91" s="39">
        <f t="shared" si="160"/>
        <v>11010</v>
      </c>
      <c r="BA91" s="39">
        <f t="shared" si="160"/>
        <v>11032</v>
      </c>
      <c r="BB91" s="39">
        <f t="shared" si="160"/>
        <v>11319</v>
      </c>
      <c r="BC91" s="39">
        <f t="shared" si="160"/>
        <v>10264</v>
      </c>
      <c r="BD91" s="39">
        <f t="shared" si="160"/>
        <v>10934</v>
      </c>
      <c r="BE91" s="39">
        <f t="shared" si="160"/>
        <v>10557</v>
      </c>
      <c r="BF91" s="39">
        <f t="shared" si="160"/>
        <v>10482</v>
      </c>
      <c r="BG91" s="39">
        <f t="shared" si="160"/>
        <v>9425</v>
      </c>
      <c r="BH91" s="39">
        <f t="shared" si="160"/>
        <v>9785</v>
      </c>
      <c r="BI91" s="39">
        <f t="shared" si="160"/>
        <v>10073</v>
      </c>
      <c r="BJ91" s="39">
        <f t="shared" si="160"/>
        <v>10215</v>
      </c>
      <c r="BK91" s="39">
        <f t="shared" si="160"/>
        <v>9312</v>
      </c>
      <c r="BL91" s="39">
        <f t="shared" si="160"/>
        <v>9844</v>
      </c>
      <c r="BM91" s="39">
        <f t="shared" si="160"/>
        <v>10536</v>
      </c>
      <c r="BN91" s="39">
        <f t="shared" si="160"/>
        <v>10115</v>
      </c>
      <c r="BO91" s="39">
        <f t="shared" ref="BO91:CT91" si="161">SUM(BO3:BO90)</f>
        <v>9434</v>
      </c>
      <c r="BP91" s="39">
        <f t="shared" si="161"/>
        <v>9930</v>
      </c>
      <c r="BQ91" s="39">
        <f t="shared" si="161"/>
        <v>10325</v>
      </c>
      <c r="BR91" s="39">
        <f t="shared" si="161"/>
        <v>10433</v>
      </c>
      <c r="BS91" s="39">
        <f t="shared" si="161"/>
        <v>10037</v>
      </c>
      <c r="BT91" s="39">
        <f t="shared" si="161"/>
        <v>10465</v>
      </c>
      <c r="BU91" s="39">
        <f t="shared" si="161"/>
        <v>10794</v>
      </c>
      <c r="BV91" s="39">
        <f t="shared" si="161"/>
        <v>10998</v>
      </c>
      <c r="BW91" s="39">
        <f t="shared" si="161"/>
        <v>10816</v>
      </c>
      <c r="BX91" s="39">
        <f t="shared" si="161"/>
        <v>11760</v>
      </c>
      <c r="BY91" s="39">
        <f t="shared" si="161"/>
        <v>12397</v>
      </c>
      <c r="BZ91" s="39">
        <f t="shared" si="161"/>
        <v>11868</v>
      </c>
      <c r="CA91" s="39">
        <f t="shared" si="161"/>
        <v>12057</v>
      </c>
      <c r="CB91" s="39">
        <f t="shared" si="161"/>
        <v>10872</v>
      </c>
      <c r="CC91" s="39">
        <f t="shared" si="161"/>
        <v>10929</v>
      </c>
      <c r="CD91" s="39">
        <f t="shared" si="161"/>
        <v>12514</v>
      </c>
      <c r="CE91" s="39">
        <f t="shared" si="161"/>
        <v>10627</v>
      </c>
      <c r="CF91" s="39">
        <f t="shared" si="161"/>
        <v>11402</v>
      </c>
      <c r="CG91" s="39">
        <f t="shared" si="161"/>
        <v>13154</v>
      </c>
      <c r="CH91" s="39">
        <f t="shared" si="161"/>
        <v>13521</v>
      </c>
      <c r="CI91" s="39">
        <f t="shared" si="161"/>
        <v>15901</v>
      </c>
      <c r="CJ91" s="39">
        <f t="shared" si="161"/>
        <v>14593</v>
      </c>
      <c r="CK91" s="39">
        <f t="shared" si="161"/>
        <v>14959</v>
      </c>
      <c r="CL91" s="39">
        <f t="shared" si="161"/>
        <v>13830</v>
      </c>
      <c r="CM91" s="39">
        <f t="shared" si="161"/>
        <v>14487</v>
      </c>
      <c r="CN91" s="39">
        <f t="shared" si="161"/>
        <v>15035</v>
      </c>
      <c r="CO91" s="39">
        <f t="shared" si="161"/>
        <v>15962</v>
      </c>
      <c r="CP91" s="39">
        <f t="shared" si="161"/>
        <v>14630</v>
      </c>
      <c r="CQ91" s="39">
        <f t="shared" si="161"/>
        <v>15775</v>
      </c>
      <c r="CR91" s="39">
        <f t="shared" si="161"/>
        <v>16112</v>
      </c>
      <c r="CS91" s="39">
        <f t="shared" si="161"/>
        <v>16657</v>
      </c>
      <c r="CT91" s="39">
        <f t="shared" si="161"/>
        <v>15624</v>
      </c>
      <c r="CU91" s="39">
        <f t="shared" ref="CU91:DB91" si="162">SUM(CU3:CU90)</f>
        <v>15529</v>
      </c>
      <c r="CV91" s="39">
        <f t="shared" si="162"/>
        <v>15806</v>
      </c>
      <c r="CW91" s="39">
        <f t="shared" si="162"/>
        <v>17355</v>
      </c>
      <c r="CX91" s="39">
        <f t="shared" si="162"/>
        <v>16400</v>
      </c>
      <c r="CY91" s="39">
        <f>SUM(CY3:CY90)</f>
        <v>16286</v>
      </c>
      <c r="CZ91" s="39">
        <f t="shared" si="162"/>
        <v>16607</v>
      </c>
      <c r="DA91" s="39">
        <f t="shared" si="162"/>
        <v>16937.010000000002</v>
      </c>
      <c r="DB91" s="39">
        <f t="shared" si="162"/>
        <v>16973.41</v>
      </c>
      <c r="DE91" s="46"/>
      <c r="DF91" s="26">
        <f>SUM(C91:F91)+0.1</f>
        <v>21199</v>
      </c>
      <c r="DG91" s="26">
        <f>SUM(G91:J91)</f>
        <v>0</v>
      </c>
      <c r="DH91" s="26">
        <f>SUM(K91:N91)</f>
        <v>0</v>
      </c>
      <c r="DI91" s="26">
        <f>SUM(DI16:DI88)+DI90</f>
        <v>12214</v>
      </c>
      <c r="DJ91" s="26">
        <f>SUM(DJ16:DJ88)+DJ90</f>
        <v>11701</v>
      </c>
      <c r="DK91" s="26">
        <f>SUM(DK16:DK88)+DK90</f>
        <v>9407.5</v>
      </c>
      <c r="DL91" s="26">
        <f>SUM(DL16:DL88)+DL90</f>
        <v>10431.300000000003</v>
      </c>
      <c r="DM91" s="26">
        <f>SUM(DM16:DM88)+DM90</f>
        <v>6960.2999999999993</v>
      </c>
      <c r="DN91" s="26">
        <f>SUM(DN3:DN89)+DN90</f>
        <v>28009</v>
      </c>
      <c r="DO91" s="26">
        <f t="shared" ref="DO91:EN91" si="163">SUM(DO3:DO90)</f>
        <v>46049</v>
      </c>
      <c r="DP91" s="26">
        <f t="shared" si="163"/>
        <v>47986</v>
      </c>
      <c r="DQ91" s="26">
        <f t="shared" si="163"/>
        <v>47270</v>
      </c>
      <c r="DR91" s="26">
        <f t="shared" si="163"/>
        <v>44032</v>
      </c>
      <c r="DS91" s="26">
        <f t="shared" si="163"/>
        <v>42237</v>
      </c>
      <c r="DT91" s="26">
        <f t="shared" si="163"/>
        <v>39498</v>
      </c>
      <c r="DU91" s="26">
        <f t="shared" si="163"/>
        <v>39807</v>
      </c>
      <c r="DV91" s="26">
        <f t="shared" si="163"/>
        <v>40122</v>
      </c>
      <c r="DW91" s="26">
        <f t="shared" si="163"/>
        <v>42294</v>
      </c>
      <c r="DX91" s="26">
        <f t="shared" si="163"/>
        <v>46841</v>
      </c>
      <c r="DY91" s="26">
        <f t="shared" si="163"/>
        <v>46372</v>
      </c>
      <c r="DZ91" s="26">
        <f t="shared" si="163"/>
        <v>48704</v>
      </c>
      <c r="EA91" s="26">
        <f t="shared" si="163"/>
        <v>59283</v>
      </c>
      <c r="EB91" s="26">
        <f t="shared" si="163"/>
        <v>60164</v>
      </c>
      <c r="EC91" s="26">
        <f t="shared" si="163"/>
        <v>63348.87</v>
      </c>
      <c r="ED91" s="26">
        <f t="shared" si="163"/>
        <v>63918.770000000004</v>
      </c>
      <c r="EE91" s="26">
        <f t="shared" si="163"/>
        <v>62933.143000000004</v>
      </c>
      <c r="EF91" s="26">
        <f t="shared" si="163"/>
        <v>63290.296100000021</v>
      </c>
      <c r="EG91" s="26">
        <f t="shared" si="163"/>
        <v>56511.020101000009</v>
      </c>
      <c r="EH91" s="26">
        <f t="shared" si="163"/>
        <v>48791.852066409992</v>
      </c>
      <c r="EI91" s="26">
        <f t="shared" si="163"/>
        <v>41173.301843038505</v>
      </c>
      <c r="EJ91" s="26">
        <f t="shared" si="163"/>
        <v>37756.514282590106</v>
      </c>
      <c r="EK91" s="26">
        <f t="shared" si="163"/>
        <v>35480.910472315278</v>
      </c>
      <c r="EL91" s="26">
        <f t="shared" si="163"/>
        <v>33431.117984552468</v>
      </c>
      <c r="EM91" s="26">
        <f t="shared" si="163"/>
        <v>31727.257110225179</v>
      </c>
      <c r="EN91" s="26">
        <f t="shared" si="163"/>
        <v>30837.601191395192</v>
      </c>
    </row>
    <row r="92" spans="2:144" s="90" customFormat="1" ht="12.75" customHeight="1">
      <c r="B92" s="98" t="s">
        <v>778</v>
      </c>
      <c r="C92" s="91">
        <v>862.8</v>
      </c>
      <c r="D92" s="91">
        <v>886</v>
      </c>
      <c r="E92" s="91">
        <v>917.3</v>
      </c>
      <c r="F92" s="91">
        <v>958.7</v>
      </c>
      <c r="G92" s="92">
        <v>864.2</v>
      </c>
      <c r="H92" s="92">
        <f>942.1</f>
        <v>942.1</v>
      </c>
      <c r="I92" s="92">
        <f>973.2</f>
        <v>973.2</v>
      </c>
      <c r="J92" s="92">
        <f>1125.7</f>
        <v>1125.7</v>
      </c>
      <c r="K92" s="92">
        <f>1046.8</f>
        <v>1046.8</v>
      </c>
      <c r="L92" s="92">
        <f>988.5</f>
        <v>988.5</v>
      </c>
      <c r="M92" s="92">
        <v>1083.4000000000001</v>
      </c>
      <c r="N92" s="92">
        <v>1228.3</v>
      </c>
      <c r="O92" s="92">
        <f>1115.8+32</f>
        <v>1147.8</v>
      </c>
      <c r="P92" s="92">
        <f>1131.3+32.9</f>
        <v>1164.2</v>
      </c>
      <c r="Q92" s="92">
        <v>1364.2</v>
      </c>
      <c r="R92" s="92">
        <v>1283.5999999999999</v>
      </c>
      <c r="S92" s="92">
        <v>1271.4000000000001</v>
      </c>
      <c r="T92" s="92">
        <v>1160.5999999999999</v>
      </c>
      <c r="U92" s="92">
        <v>1238.8</v>
      </c>
      <c r="V92" s="92">
        <f>1478.8-177</f>
        <v>1301.8</v>
      </c>
      <c r="W92" s="92">
        <f>1342.7-205</f>
        <v>1137.7</v>
      </c>
      <c r="X92" s="92">
        <f>1445.2-167.5</f>
        <v>1277.7</v>
      </c>
      <c r="Y92" s="92">
        <v>1544.1</v>
      </c>
      <c r="Z92" s="92">
        <f>1669.1-164.3</f>
        <v>1504.8</v>
      </c>
      <c r="AA92" s="92">
        <v>1525.8</v>
      </c>
      <c r="AB92" s="92">
        <v>1552.3</v>
      </c>
      <c r="AC92" s="92">
        <v>1517.7</v>
      </c>
      <c r="AD92" s="92"/>
      <c r="AE92" s="92">
        <f>1238.1-14.9</f>
        <v>1223.1999999999998</v>
      </c>
      <c r="AF92" s="92">
        <v>1396.5</v>
      </c>
      <c r="AG92" s="92">
        <v>1477.9</v>
      </c>
      <c r="AH92" s="92">
        <v>1470</v>
      </c>
      <c r="AI92" s="92">
        <f>1333.8-22</f>
        <v>1311.8</v>
      </c>
      <c r="AJ92" s="92">
        <f>1353.9-47</f>
        <v>1306.9000000000001</v>
      </c>
      <c r="AK92" s="92">
        <v>1430.3</v>
      </c>
      <c r="AL92" s="92">
        <v>2595.8000000000002</v>
      </c>
      <c r="AM92" s="92">
        <v>2811.7</v>
      </c>
      <c r="AN92" s="92">
        <v>2662.5</v>
      </c>
      <c r="AO92" s="92">
        <v>2796.2</v>
      </c>
      <c r="AP92" s="92">
        <v>3129</v>
      </c>
      <c r="AQ92" s="92">
        <v>2690</v>
      </c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>
        <v>2572</v>
      </c>
      <c r="CD92" s="92">
        <v>2739</v>
      </c>
      <c r="CE92" s="92">
        <v>2487</v>
      </c>
      <c r="CF92" s="92">
        <v>2684</v>
      </c>
      <c r="CG92" s="92">
        <v>3056</v>
      </c>
      <c r="CH92" s="92">
        <v>3411</v>
      </c>
      <c r="CI92" s="92">
        <v>4654</v>
      </c>
      <c r="CJ92" s="92">
        <v>3698</v>
      </c>
      <c r="CK92" s="92">
        <v>3434</v>
      </c>
      <c r="CL92" s="92">
        <v>3361</v>
      </c>
      <c r="CM92" s="92">
        <v>3352</v>
      </c>
      <c r="CN92" s="92">
        <v>3525</v>
      </c>
      <c r="CO92" s="92">
        <v>3679</v>
      </c>
      <c r="CP92" s="92">
        <v>3340</v>
      </c>
      <c r="CQ92" s="92">
        <v>2961</v>
      </c>
      <c r="CR92" s="92">
        <v>3073</v>
      </c>
      <c r="CS92" s="92">
        <v>3249</v>
      </c>
      <c r="CT92" s="92">
        <v>3006</v>
      </c>
      <c r="CU92" s="92">
        <v>2763</v>
      </c>
      <c r="CV92" s="92">
        <v>2816</v>
      </c>
      <c r="CW92" s="92">
        <v>3124</v>
      </c>
      <c r="CX92" s="92">
        <v>3324</v>
      </c>
      <c r="CY92" s="92">
        <v>2944</v>
      </c>
      <c r="CZ92" s="92">
        <v>3144</v>
      </c>
      <c r="DA92" s="92">
        <f>+DA91*0.2</f>
        <v>3387.4020000000005</v>
      </c>
      <c r="DB92" s="92">
        <f>+DB91*0.2</f>
        <v>3394.6820000000002</v>
      </c>
      <c r="DC92" s="92"/>
      <c r="DD92" s="92"/>
      <c r="DE92" s="93"/>
      <c r="DF92" s="92">
        <f>SUM(C92:F92)</f>
        <v>3624.8</v>
      </c>
      <c r="DG92" s="91">
        <f>SUM(G92:J92)+1.9</f>
        <v>3907.1</v>
      </c>
      <c r="DH92" s="92">
        <f>SUM(K92:N92)</f>
        <v>4347</v>
      </c>
      <c r="DI92" s="92">
        <f>SUM(O92:R92)</f>
        <v>4959.7999999999993</v>
      </c>
      <c r="DJ92" s="92">
        <f>SUM(S92:V92)</f>
        <v>4972.6000000000004</v>
      </c>
      <c r="DK92" s="92">
        <f>SUM(W92:Z92)</f>
        <v>5464.3</v>
      </c>
      <c r="DL92" s="92">
        <f>SUM(AA92:AD92)</f>
        <v>4595.8</v>
      </c>
      <c r="DM92" s="92">
        <f>SUM(AE92:AH92)</f>
        <v>5567.6</v>
      </c>
      <c r="DN92" s="92"/>
      <c r="DO92" s="92"/>
      <c r="DP92" s="92">
        <f t="shared" ref="DP92:EE92" si="164">DP91-DP93</f>
        <v>12044.485999999997</v>
      </c>
      <c r="DQ92" s="92">
        <f t="shared" si="164"/>
        <v>47270</v>
      </c>
      <c r="DR92" s="92">
        <f t="shared" si="164"/>
        <v>44032</v>
      </c>
      <c r="DS92" s="92">
        <f t="shared" si="164"/>
        <v>42237</v>
      </c>
      <c r="DT92" s="92">
        <f t="shared" si="164"/>
        <v>39498</v>
      </c>
      <c r="DU92" s="92">
        <f t="shared" si="164"/>
        <v>39807</v>
      </c>
      <c r="DV92" s="92">
        <f t="shared" si="164"/>
        <v>40122</v>
      </c>
      <c r="DW92" s="92">
        <f t="shared" si="164"/>
        <v>42294</v>
      </c>
      <c r="DX92" s="92">
        <f t="shared" si="164"/>
        <v>46841</v>
      </c>
      <c r="DY92" s="92">
        <f t="shared" si="164"/>
        <v>46372</v>
      </c>
      <c r="DZ92" s="92">
        <f t="shared" ref="DZ92" si="165">SUM(CE92:CH92)</f>
        <v>11638</v>
      </c>
      <c r="EA92" s="92">
        <f>SUM(CI92:CL92)</f>
        <v>15147</v>
      </c>
      <c r="EB92" s="92">
        <f>SUM(CM92:CP92)</f>
        <v>13896</v>
      </c>
      <c r="EC92" s="90">
        <f t="shared" si="164"/>
        <v>12669.773999999998</v>
      </c>
      <c r="ED92" s="90">
        <f t="shared" si="164"/>
        <v>12783.754000000001</v>
      </c>
      <c r="EE92" s="90">
        <f t="shared" si="164"/>
        <v>12586.628599999996</v>
      </c>
      <c r="EF92" s="90">
        <f>EF91-EF93</f>
        <v>12658.059220000003</v>
      </c>
      <c r="EG92" s="90">
        <f t="shared" ref="EG92:EN92" si="166">EG91-EG93</f>
        <v>11302.204020199999</v>
      </c>
      <c r="EH92" s="90">
        <f t="shared" si="166"/>
        <v>9758.3704132819985</v>
      </c>
      <c r="EI92" s="90">
        <f t="shared" si="166"/>
        <v>8234.6603686076996</v>
      </c>
      <c r="EJ92" s="90">
        <f t="shared" si="166"/>
        <v>7551.3028565180211</v>
      </c>
      <c r="EK92" s="90">
        <f t="shared" si="166"/>
        <v>7096.1820944630526</v>
      </c>
      <c r="EL92" s="90">
        <f t="shared" si="166"/>
        <v>6686.2235969104913</v>
      </c>
      <c r="EM92" s="90">
        <f t="shared" si="166"/>
        <v>6345.4514220450328</v>
      </c>
      <c r="EN92" s="90">
        <f t="shared" si="166"/>
        <v>6167.5202382790376</v>
      </c>
    </row>
    <row r="93" spans="2:144" s="90" customFormat="1" ht="12.75" customHeight="1">
      <c r="B93" s="98" t="s">
        <v>377</v>
      </c>
      <c r="C93" s="91"/>
      <c r="D93" s="91"/>
      <c r="E93" s="91"/>
      <c r="F93" s="91"/>
      <c r="G93" s="92"/>
      <c r="H93" s="92"/>
      <c r="I93" s="92"/>
      <c r="J93" s="92"/>
      <c r="K93" s="92"/>
      <c r="L93" s="92"/>
      <c r="M93" s="92"/>
      <c r="N93" s="92"/>
      <c r="O93" s="92" t="e">
        <f>#REF!-O92</f>
        <v>#REF!</v>
      </c>
      <c r="P93" s="92" t="e">
        <f>#REF!-P92</f>
        <v>#REF!</v>
      </c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>
        <f>+AL91-AL92</f>
        <v>8551.2000000000007</v>
      </c>
      <c r="AM93" s="92">
        <f>AM91-AM92</f>
        <v>8611.2999999999993</v>
      </c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  <c r="CC93" s="92">
        <f t="shared" ref="CC93:CJ93" si="167">+CC91-CC92</f>
        <v>8357</v>
      </c>
      <c r="CD93" s="92">
        <f t="shared" si="167"/>
        <v>9775</v>
      </c>
      <c r="CE93" s="92">
        <f t="shared" si="167"/>
        <v>8140</v>
      </c>
      <c r="CF93" s="92">
        <f t="shared" si="167"/>
        <v>8718</v>
      </c>
      <c r="CG93" s="92">
        <f t="shared" si="167"/>
        <v>10098</v>
      </c>
      <c r="CH93" s="92">
        <f t="shared" si="167"/>
        <v>10110</v>
      </c>
      <c r="CI93" s="92">
        <f t="shared" si="167"/>
        <v>11247</v>
      </c>
      <c r="CJ93" s="92">
        <f t="shared" si="167"/>
        <v>10895</v>
      </c>
      <c r="CK93" s="92">
        <f>+CK91-CK92</f>
        <v>11525</v>
      </c>
      <c r="CL93" s="92">
        <f>+CL91-CL92</f>
        <v>10469</v>
      </c>
      <c r="CM93" s="92">
        <f>CM91-CM92</f>
        <v>11135</v>
      </c>
      <c r="CN93" s="92">
        <f t="shared" ref="CN93:CS93" si="168">+CN91-CN92</f>
        <v>11510</v>
      </c>
      <c r="CO93" s="92">
        <f t="shared" si="168"/>
        <v>12283</v>
      </c>
      <c r="CP93" s="92">
        <f t="shared" si="168"/>
        <v>11290</v>
      </c>
      <c r="CQ93" s="92">
        <f t="shared" si="168"/>
        <v>12814</v>
      </c>
      <c r="CR93" s="92">
        <f t="shared" si="168"/>
        <v>13039</v>
      </c>
      <c r="CS93" s="92">
        <f t="shared" si="168"/>
        <v>13408</v>
      </c>
      <c r="CT93" s="92">
        <f>+CT91-CT92</f>
        <v>12618</v>
      </c>
      <c r="CU93" s="92">
        <f>+CU91-CU92</f>
        <v>12766</v>
      </c>
      <c r="CV93" s="92">
        <f>+CV91-CV92</f>
        <v>12990</v>
      </c>
      <c r="CW93" s="92">
        <f>+CW91-CW92</f>
        <v>14231</v>
      </c>
      <c r="CX93" s="92">
        <f t="shared" ref="CX93:DB93" si="169">+CX91-CX92</f>
        <v>13076</v>
      </c>
      <c r="CY93" s="92">
        <f t="shared" si="169"/>
        <v>13342</v>
      </c>
      <c r="CZ93" s="92">
        <f>+CZ91-CZ92</f>
        <v>13463</v>
      </c>
      <c r="DA93" s="92">
        <f t="shared" si="169"/>
        <v>13549.608000000002</v>
      </c>
      <c r="DB93" s="92">
        <f t="shared" si="169"/>
        <v>13578.727999999999</v>
      </c>
      <c r="DC93" s="92"/>
      <c r="DD93" s="92"/>
      <c r="DE93" s="93"/>
      <c r="DF93" s="92">
        <f>+DF91-DF92</f>
        <v>17574.2</v>
      </c>
      <c r="DG93" s="92"/>
      <c r="DH93" s="92"/>
      <c r="DI93" s="92"/>
      <c r="DJ93" s="92"/>
      <c r="DK93" s="92"/>
      <c r="DL93" s="92"/>
      <c r="DM93" s="92"/>
      <c r="DN93" s="92"/>
      <c r="DO93" s="92"/>
      <c r="DP93" s="92">
        <f t="shared" ref="DP93:DY93" si="170">DP91*DP111</f>
        <v>35941.514000000003</v>
      </c>
      <c r="DQ93" s="92">
        <f t="shared" si="170"/>
        <v>0</v>
      </c>
      <c r="DR93" s="92">
        <f t="shared" si="170"/>
        <v>0</v>
      </c>
      <c r="DS93" s="92">
        <f t="shared" si="170"/>
        <v>0</v>
      </c>
      <c r="DT93" s="92">
        <f t="shared" si="170"/>
        <v>0</v>
      </c>
      <c r="DU93" s="92">
        <f t="shared" si="170"/>
        <v>0</v>
      </c>
      <c r="DV93" s="92">
        <f t="shared" si="170"/>
        <v>0</v>
      </c>
      <c r="DW93" s="92">
        <f t="shared" si="170"/>
        <v>0</v>
      </c>
      <c r="DX93" s="92">
        <f t="shared" si="170"/>
        <v>0</v>
      </c>
      <c r="DY93" s="92">
        <f t="shared" si="170"/>
        <v>0</v>
      </c>
      <c r="DZ93" s="92">
        <f>DZ91-DZ92</f>
        <v>37066</v>
      </c>
      <c r="EA93" s="92">
        <f>EA91-EA92</f>
        <v>44136</v>
      </c>
      <c r="EB93" s="92">
        <f>EB91-EB92</f>
        <v>46268</v>
      </c>
      <c r="EC93" s="90">
        <f t="shared" ref="EC93:EE93" si="171">EC91*0.8</f>
        <v>50679.096000000005</v>
      </c>
      <c r="ED93" s="90">
        <f t="shared" si="171"/>
        <v>51135.016000000003</v>
      </c>
      <c r="EE93" s="90">
        <f t="shared" si="171"/>
        <v>50346.514400000007</v>
      </c>
      <c r="EF93" s="90">
        <f>EF91*0.8</f>
        <v>50632.236880000019</v>
      </c>
      <c r="EG93" s="90">
        <f t="shared" ref="EG93:EN93" si="172">EG91*0.8</f>
        <v>45208.81608080001</v>
      </c>
      <c r="EH93" s="90">
        <f t="shared" si="172"/>
        <v>39033.481653127994</v>
      </c>
      <c r="EI93" s="90">
        <f t="shared" si="172"/>
        <v>32938.641474430806</v>
      </c>
      <c r="EJ93" s="90">
        <f t="shared" si="172"/>
        <v>30205.211426072085</v>
      </c>
      <c r="EK93" s="90">
        <f t="shared" si="172"/>
        <v>28384.728377852225</v>
      </c>
      <c r="EL93" s="90">
        <f t="shared" si="172"/>
        <v>26744.894387641976</v>
      </c>
      <c r="EM93" s="90">
        <f t="shared" si="172"/>
        <v>25381.805688180146</v>
      </c>
      <c r="EN93" s="90">
        <f t="shared" si="172"/>
        <v>24670.080953116154</v>
      </c>
    </row>
    <row r="94" spans="2:144" s="90" customFormat="1" ht="12.75" customHeight="1">
      <c r="B94" s="98" t="s">
        <v>378</v>
      </c>
      <c r="C94" s="91">
        <v>1362.53</v>
      </c>
      <c r="D94" s="91">
        <v>1478.33</v>
      </c>
      <c r="E94" s="91">
        <v>1438.64</v>
      </c>
      <c r="F94" s="91">
        <v>1421.1</v>
      </c>
      <c r="G94" s="91">
        <v>1343.3</v>
      </c>
      <c r="H94" s="91">
        <v>1362.9</v>
      </c>
      <c r="I94" s="91">
        <f>1317.6+90</f>
        <v>1407.6</v>
      </c>
      <c r="J94" s="91">
        <v>1538.4</v>
      </c>
      <c r="K94" s="91">
        <v>1547.3</v>
      </c>
      <c r="L94" s="91">
        <v>1589.9</v>
      </c>
      <c r="M94" s="91">
        <v>1463.6</v>
      </c>
      <c r="N94" s="91">
        <v>1794.1</v>
      </c>
      <c r="O94" s="91">
        <f>1611.4-34</f>
        <v>1577.4</v>
      </c>
      <c r="P94" s="91">
        <f>1616.2-21</f>
        <v>1595.2</v>
      </c>
      <c r="Q94" s="91">
        <v>1752.9</v>
      </c>
      <c r="R94" s="91">
        <f>2365.8-604</f>
        <v>1761.8000000000002</v>
      </c>
      <c r="S94" s="91">
        <v>1613.3</v>
      </c>
      <c r="T94" s="91">
        <v>1755.3</v>
      </c>
      <c r="U94" s="91">
        <f>1741.2-80</f>
        <v>1661.2</v>
      </c>
      <c r="V94" s="91">
        <f>2139-295</f>
        <v>1844</v>
      </c>
      <c r="W94" s="91">
        <v>1715</v>
      </c>
      <c r="X94" s="91">
        <v>1734</v>
      </c>
      <c r="Y94" s="91">
        <v>2370.6</v>
      </c>
      <c r="Z94" s="91">
        <f>2345.8-75-48</f>
        <v>2222.8000000000002</v>
      </c>
      <c r="AA94" s="92">
        <v>1802</v>
      </c>
      <c r="AB94" s="91">
        <v>2083.6999999999998</v>
      </c>
      <c r="AC94" s="91">
        <v>1951.4</v>
      </c>
      <c r="AD94" s="91"/>
      <c r="AE94" s="91">
        <f>1854.4-40</f>
        <v>1814.4</v>
      </c>
      <c r="AF94" s="91">
        <v>1930.2</v>
      </c>
      <c r="AG94" s="91">
        <v>1730.3</v>
      </c>
      <c r="AH94" s="91">
        <v>1862.1</v>
      </c>
      <c r="AI94" s="91">
        <f>1632.9-7</f>
        <v>1625.9</v>
      </c>
      <c r="AJ94" s="91">
        <f>1729.5-44-25</f>
        <v>1660.5</v>
      </c>
      <c r="AK94" s="91">
        <v>1725.5</v>
      </c>
      <c r="AL94" s="91">
        <v>3190.2</v>
      </c>
      <c r="AM94" s="91">
        <v>3166.7</v>
      </c>
      <c r="AN94" s="91">
        <v>3127.9</v>
      </c>
      <c r="AO94" s="91">
        <v>3023.7</v>
      </c>
      <c r="AP94" s="91">
        <v>3406</v>
      </c>
      <c r="AQ94" s="91">
        <v>3083</v>
      </c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>
        <v>2020</v>
      </c>
      <c r="CD94" s="91">
        <v>2567</v>
      </c>
      <c r="CE94" s="91">
        <v>2174</v>
      </c>
      <c r="CF94" s="91">
        <v>2254</v>
      </c>
      <c r="CG94" s="91">
        <v>2270</v>
      </c>
      <c r="CH94" s="91">
        <v>2594</v>
      </c>
      <c r="CI94" s="91">
        <v>2252</v>
      </c>
      <c r="CJ94" s="91">
        <v>2420</v>
      </c>
      <c r="CK94" s="91">
        <v>2472</v>
      </c>
      <c r="CL94" s="91">
        <v>2628</v>
      </c>
      <c r="CM94" s="91">
        <v>2458</v>
      </c>
      <c r="CN94" s="91">
        <v>2625</v>
      </c>
      <c r="CO94" s="91">
        <v>2462</v>
      </c>
      <c r="CP94" s="91">
        <v>2751</v>
      </c>
      <c r="CQ94" s="91">
        <v>2457</v>
      </c>
      <c r="CR94" s="91">
        <v>2684</v>
      </c>
      <c r="CS94" s="91">
        <v>2657</v>
      </c>
      <c r="CT94" s="91">
        <v>2819</v>
      </c>
      <c r="CU94" s="91">
        <v>2529</v>
      </c>
      <c r="CV94" s="91">
        <v>2633</v>
      </c>
      <c r="CW94" s="91">
        <v>2599</v>
      </c>
      <c r="CX94" s="91">
        <v>2848</v>
      </c>
      <c r="CY94" s="91">
        <v>2668</v>
      </c>
      <c r="CZ94" s="91">
        <v>2887</v>
      </c>
      <c r="DA94" s="91">
        <f>+CW94</f>
        <v>2599</v>
      </c>
      <c r="DB94" s="91">
        <f t="shared" ref="DB94:DB95" si="173">+CX94</f>
        <v>2848</v>
      </c>
      <c r="DC94" s="91"/>
      <c r="DD94" s="91"/>
      <c r="DE94" s="93"/>
      <c r="DF94" s="91">
        <f>SUM(C94:F94)</f>
        <v>5700.6</v>
      </c>
      <c r="DG94" s="91">
        <f>SUM(G94:J94)</f>
        <v>5652.1999999999989</v>
      </c>
      <c r="DH94" s="91">
        <f>SUM(K94:N94)</f>
        <v>6394.9</v>
      </c>
      <c r="DI94" s="91">
        <f>SUM(O94:R94)</f>
        <v>6687.3</v>
      </c>
      <c r="DJ94" s="91">
        <f>SUM(S94:V94)</f>
        <v>6873.8</v>
      </c>
      <c r="DK94" s="91">
        <f>SUM(W94:Z94)</f>
        <v>8042.4000000000005</v>
      </c>
      <c r="DL94" s="91">
        <f>SUM(AA94:AD94)</f>
        <v>5837.1</v>
      </c>
      <c r="DM94" s="91">
        <f>SUM(AE94:AH94)</f>
        <v>7337</v>
      </c>
      <c r="DN94" s="91">
        <f>SUM(AI94:AL94)</f>
        <v>8202.0999999999985</v>
      </c>
      <c r="DO94" s="92">
        <f>SUM(AM94:AP94)</f>
        <v>12724.3</v>
      </c>
      <c r="DP94" s="91">
        <f t="shared" ref="DP94:DX94" si="174">DP91*DP112</f>
        <v>13292.122000000001</v>
      </c>
      <c r="DQ94" s="91">
        <f t="shared" si="174"/>
        <v>12999.250000000002</v>
      </c>
      <c r="DR94" s="91">
        <f t="shared" si="174"/>
        <v>11976.704000000002</v>
      </c>
      <c r="DS94" s="91">
        <f t="shared" si="174"/>
        <v>11403.990000000002</v>
      </c>
      <c r="DT94" s="91">
        <f t="shared" si="174"/>
        <v>10664.460000000001</v>
      </c>
      <c r="DU94" s="91">
        <f t="shared" si="174"/>
        <v>10747.890000000001</v>
      </c>
      <c r="DV94" s="91">
        <f t="shared" si="174"/>
        <v>10832.94</v>
      </c>
      <c r="DW94" s="91">
        <f t="shared" si="174"/>
        <v>11419.380000000001</v>
      </c>
      <c r="DX94" s="91">
        <f t="shared" si="174"/>
        <v>12647.070000000002</v>
      </c>
      <c r="DY94" s="91">
        <f t="shared" ref="DY94:EE94" si="175">+DX94</f>
        <v>12647.070000000002</v>
      </c>
      <c r="DZ94" s="92">
        <f t="shared" ref="DZ94:DZ95" si="176">SUM(CE94:CH94)</f>
        <v>9292</v>
      </c>
      <c r="EA94" s="92">
        <f>SUM(CI94:CL94)</f>
        <v>9772</v>
      </c>
      <c r="EB94" s="92">
        <f>SUM(CM94:CP94)</f>
        <v>10296</v>
      </c>
      <c r="EC94" s="91">
        <f t="shared" si="175"/>
        <v>10296</v>
      </c>
      <c r="ED94" s="91">
        <f t="shared" si="175"/>
        <v>10296</v>
      </c>
      <c r="EE94" s="91">
        <f t="shared" si="175"/>
        <v>10296</v>
      </c>
      <c r="EF94" s="90">
        <f>EF91*0.25</f>
        <v>15822.574025000005</v>
      </c>
      <c r="EG94" s="90">
        <f t="shared" ref="EG94:EN94" si="177">EG91*0.25</f>
        <v>14127.755025250002</v>
      </c>
      <c r="EH94" s="90">
        <f t="shared" si="177"/>
        <v>12197.963016602498</v>
      </c>
      <c r="EI94" s="90">
        <f t="shared" si="177"/>
        <v>10293.325460759626</v>
      </c>
      <c r="EJ94" s="90">
        <f t="shared" si="177"/>
        <v>9439.1285706475264</v>
      </c>
      <c r="EK94" s="90">
        <f t="shared" si="177"/>
        <v>8870.2276180788194</v>
      </c>
      <c r="EL94" s="90">
        <f t="shared" si="177"/>
        <v>8357.7794961381169</v>
      </c>
      <c r="EM94" s="90">
        <f t="shared" si="177"/>
        <v>7931.8142775562947</v>
      </c>
      <c r="EN94" s="90">
        <f t="shared" si="177"/>
        <v>7709.4002978487979</v>
      </c>
    </row>
    <row r="95" spans="2:144" s="81" customFormat="1" ht="12.75" customHeight="1">
      <c r="B95" s="98" t="s">
        <v>379</v>
      </c>
      <c r="C95" s="91">
        <v>547.4</v>
      </c>
      <c r="D95" s="91">
        <v>602.4</v>
      </c>
      <c r="E95" s="91">
        <v>590.29999999999995</v>
      </c>
      <c r="F95" s="91">
        <v>716.4</v>
      </c>
      <c r="G95" s="91">
        <v>530.29999999999995</v>
      </c>
      <c r="H95" s="91">
        <v>631.20000000000005</v>
      </c>
      <c r="I95" s="91">
        <v>676.9</v>
      </c>
      <c r="J95" s="91">
        <v>838.8</v>
      </c>
      <c r="K95" s="91">
        <v>720.3</v>
      </c>
      <c r="L95" s="91">
        <v>786.4</v>
      </c>
      <c r="M95" s="91">
        <v>776.5</v>
      </c>
      <c r="N95" s="91">
        <v>894.9</v>
      </c>
      <c r="O95" s="91">
        <f>996.3-125</f>
        <v>871.3</v>
      </c>
      <c r="P95" s="91">
        <f>986-120</f>
        <v>866</v>
      </c>
      <c r="Q95" s="91">
        <f>919.3-35</f>
        <v>884.3</v>
      </c>
      <c r="R95" s="91">
        <v>1108.5999999999999</v>
      </c>
      <c r="S95" s="91">
        <v>846.6</v>
      </c>
      <c r="T95" s="91">
        <v>946.8</v>
      </c>
      <c r="U95" s="91">
        <v>942.6</v>
      </c>
      <c r="V95" s="91">
        <f>1112-19</f>
        <v>1093</v>
      </c>
      <c r="W95" s="91">
        <f>942-55</f>
        <v>887</v>
      </c>
      <c r="X95" s="91">
        <f>1173-296.3</f>
        <v>876.7</v>
      </c>
      <c r="Y95" s="91">
        <v>945.4</v>
      </c>
      <c r="Z95" s="91">
        <f>1722.9-466.2</f>
        <v>1256.7</v>
      </c>
      <c r="AA95" s="92">
        <v>1030</v>
      </c>
      <c r="AB95" s="91">
        <v>1030.5</v>
      </c>
      <c r="AC95" s="91">
        <f>1440.5-325.1</f>
        <v>1115.4000000000001</v>
      </c>
      <c r="AD95" s="91"/>
      <c r="AE95" s="91">
        <v>1078.3</v>
      </c>
      <c r="AF95" s="91">
        <v>1169.3</v>
      </c>
      <c r="AG95" s="91">
        <v>1171.0999999999999</v>
      </c>
      <c r="AH95" s="91">
        <v>1386.6</v>
      </c>
      <c r="AI95" s="91">
        <f>1224.2-88</f>
        <v>1136.2</v>
      </c>
      <c r="AJ95" s="91">
        <f>1395.3-108</f>
        <v>1287.3</v>
      </c>
      <c r="AK95" s="91">
        <v>1254</v>
      </c>
      <c r="AL95" s="91">
        <v>1984</v>
      </c>
      <c r="AM95" s="91">
        <v>1993.8</v>
      </c>
      <c r="AN95" s="91">
        <v>2007.2</v>
      </c>
      <c r="AO95" s="91">
        <v>1944.1</v>
      </c>
      <c r="AP95" s="91">
        <v>2177</v>
      </c>
      <c r="AQ95" s="91">
        <v>1811</v>
      </c>
      <c r="AR95" s="91">
        <f>AN95</f>
        <v>2007.2</v>
      </c>
      <c r="AS95" s="91">
        <f>AO95</f>
        <v>1944.1</v>
      </c>
      <c r="AT95" s="91">
        <f>AP95</f>
        <v>2177</v>
      </c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>
        <v>2229</v>
      </c>
      <c r="CD95" s="91">
        <v>2595</v>
      </c>
      <c r="CE95" s="91">
        <v>2387</v>
      </c>
      <c r="CF95" s="91">
        <v>4299</v>
      </c>
      <c r="CG95" s="91">
        <v>2476</v>
      </c>
      <c r="CH95" s="91">
        <v>2681</v>
      </c>
      <c r="CI95" s="91">
        <v>2547</v>
      </c>
      <c r="CJ95" s="91">
        <v>2764</v>
      </c>
      <c r="CK95" s="91">
        <v>3496</v>
      </c>
      <c r="CL95" s="91">
        <v>3035</v>
      </c>
      <c r="CM95" s="91">
        <v>4266</v>
      </c>
      <c r="CN95" s="91">
        <f>13311-10200</f>
        <v>3111</v>
      </c>
      <c r="CO95" s="91">
        <v>3297</v>
      </c>
      <c r="CP95" s="91">
        <f>8838-5500</f>
        <v>3338</v>
      </c>
      <c r="CQ95" s="91">
        <v>3974</v>
      </c>
      <c r="CR95" s="91">
        <v>3480</v>
      </c>
      <c r="CS95" s="91">
        <v>5838</v>
      </c>
      <c r="CT95" s="91">
        <v>4574</v>
      </c>
      <c r="CU95" s="91">
        <v>3614</v>
      </c>
      <c r="CV95" s="91">
        <v>3992</v>
      </c>
      <c r="CW95" s="91">
        <v>3997</v>
      </c>
      <c r="CX95" s="91">
        <v>3992</v>
      </c>
      <c r="CY95" s="91">
        <f>12558-9000</f>
        <v>3558</v>
      </c>
      <c r="CZ95" s="91">
        <f>9736-5700</f>
        <v>4036</v>
      </c>
      <c r="DA95" s="91">
        <f t="shared" ref="DA95" si="178">+CW95</f>
        <v>3997</v>
      </c>
      <c r="DB95" s="91">
        <f t="shared" si="173"/>
        <v>3992</v>
      </c>
      <c r="DC95" s="91"/>
      <c r="DD95" s="91"/>
      <c r="DE95" s="73"/>
      <c r="DF95" s="91">
        <f>SUM(C95:F95)-0.1</f>
        <v>2456.4</v>
      </c>
      <c r="DG95" s="91">
        <f>SUM(G95:J95)</f>
        <v>2677.2</v>
      </c>
      <c r="DH95" s="91">
        <f>SUM(K95:N95)</f>
        <v>3178.1</v>
      </c>
      <c r="DI95" s="91">
        <f>SUM(O95:R95)</f>
        <v>3730.2</v>
      </c>
      <c r="DJ95" s="91">
        <f>SUM(S95:V95)</f>
        <v>3829</v>
      </c>
      <c r="DK95" s="91">
        <f>SUM(W95:Z95)</f>
        <v>3965.8</v>
      </c>
      <c r="DL95" s="91">
        <f>SUM(AA95:AD95)</f>
        <v>3175.9</v>
      </c>
      <c r="DM95" s="91">
        <f>SUM(AE95:AH95)</f>
        <v>4805.2999999999993</v>
      </c>
      <c r="DN95" s="91">
        <f>SUM(AI95:AL95)</f>
        <v>5661.5</v>
      </c>
      <c r="DO95" s="91">
        <f>SUM(AM95:AP95)</f>
        <v>8122.1</v>
      </c>
      <c r="DP95" s="91">
        <f>SUM(AQ95:AT95)</f>
        <v>7939.2999999999993</v>
      </c>
      <c r="DQ95" s="91"/>
      <c r="DR95" s="91"/>
      <c r="DS95" s="91"/>
      <c r="DT95" s="91"/>
      <c r="DU95" s="91"/>
      <c r="DV95" s="91"/>
      <c r="DW95" s="91"/>
      <c r="DX95" s="91"/>
      <c r="DY95" s="91"/>
      <c r="DZ95" s="92">
        <f t="shared" si="176"/>
        <v>11843</v>
      </c>
      <c r="EA95" s="92">
        <f>SUM(CI95:CL95)</f>
        <v>11842</v>
      </c>
      <c r="EB95" s="92">
        <f>SUM(CM95:CP95)</f>
        <v>14012</v>
      </c>
      <c r="EC95" s="91">
        <f>SUM(CQ95:CT95)</f>
        <v>17866</v>
      </c>
      <c r="ED95" s="91"/>
      <c r="EE95" s="91"/>
      <c r="EG95" s="85"/>
    </row>
    <row r="96" spans="2:144" s="90" customFormat="1" ht="12.75" customHeight="1">
      <c r="B96" s="98" t="s">
        <v>62</v>
      </c>
      <c r="C96" s="91">
        <f t="shared" ref="C96:N96" si="179">SUM(C92:C95)</f>
        <v>2772.73</v>
      </c>
      <c r="D96" s="91">
        <f t="shared" si="179"/>
        <v>2966.73</v>
      </c>
      <c r="E96" s="91">
        <f t="shared" si="179"/>
        <v>2946.24</v>
      </c>
      <c r="F96" s="91">
        <f t="shared" si="179"/>
        <v>3096.2000000000003</v>
      </c>
      <c r="G96" s="91">
        <f t="shared" si="179"/>
        <v>2737.8</v>
      </c>
      <c r="H96" s="91">
        <f t="shared" si="179"/>
        <v>2936.2</v>
      </c>
      <c r="I96" s="91">
        <f t="shared" si="179"/>
        <v>3057.7000000000003</v>
      </c>
      <c r="J96" s="91">
        <f t="shared" si="179"/>
        <v>3502.9000000000005</v>
      </c>
      <c r="K96" s="92">
        <f t="shared" si="179"/>
        <v>3314.3999999999996</v>
      </c>
      <c r="L96" s="92">
        <f t="shared" si="179"/>
        <v>3364.8</v>
      </c>
      <c r="M96" s="92">
        <f t="shared" si="179"/>
        <v>3323.5</v>
      </c>
      <c r="N96" s="92">
        <f t="shared" si="179"/>
        <v>3917.2999999999997</v>
      </c>
      <c r="O96" s="92">
        <f t="shared" ref="O96:AH96" si="180">O95+O94</f>
        <v>2448.6999999999998</v>
      </c>
      <c r="P96" s="92">
        <f t="shared" si="180"/>
        <v>2461.1999999999998</v>
      </c>
      <c r="Q96" s="92">
        <f t="shared" si="180"/>
        <v>2637.2</v>
      </c>
      <c r="R96" s="92">
        <f t="shared" si="180"/>
        <v>2870.4</v>
      </c>
      <c r="S96" s="92">
        <f t="shared" si="180"/>
        <v>2459.9</v>
      </c>
      <c r="T96" s="92">
        <f t="shared" si="180"/>
        <v>2702.1</v>
      </c>
      <c r="U96" s="92">
        <f t="shared" si="180"/>
        <v>2603.8000000000002</v>
      </c>
      <c r="V96" s="92">
        <f t="shared" si="180"/>
        <v>2937</v>
      </c>
      <c r="W96" s="92">
        <f t="shared" si="180"/>
        <v>2602</v>
      </c>
      <c r="X96" s="92">
        <f t="shared" si="180"/>
        <v>2610.6999999999998</v>
      </c>
      <c r="Y96" s="92">
        <f t="shared" si="180"/>
        <v>3316</v>
      </c>
      <c r="Z96" s="92">
        <f t="shared" si="180"/>
        <v>3479.5</v>
      </c>
      <c r="AA96" s="92">
        <f t="shared" si="180"/>
        <v>2832</v>
      </c>
      <c r="AB96" s="92">
        <f t="shared" si="180"/>
        <v>3114.2</v>
      </c>
      <c r="AC96" s="92">
        <f t="shared" si="180"/>
        <v>3066.8</v>
      </c>
      <c r="AD96" s="92"/>
      <c r="AE96" s="92">
        <f>AE95+AE94</f>
        <v>2892.7</v>
      </c>
      <c r="AF96" s="92">
        <f t="shared" si="180"/>
        <v>3099.5</v>
      </c>
      <c r="AG96" s="92">
        <f>AG95+AG94</f>
        <v>2901.3999999999996</v>
      </c>
      <c r="AH96" s="92">
        <f t="shared" si="180"/>
        <v>3248.7</v>
      </c>
      <c r="AI96" s="92">
        <f t="shared" ref="AI96:AN96" si="181">AI95+AI94</f>
        <v>2762.1000000000004</v>
      </c>
      <c r="AJ96" s="92">
        <f t="shared" si="181"/>
        <v>2947.8</v>
      </c>
      <c r="AK96" s="92">
        <f t="shared" si="181"/>
        <v>2979.5</v>
      </c>
      <c r="AL96" s="92">
        <f>AL95+AL94</f>
        <v>5174.2</v>
      </c>
      <c r="AM96" s="92">
        <f t="shared" si="181"/>
        <v>5160.5</v>
      </c>
      <c r="AN96" s="92">
        <f t="shared" si="181"/>
        <v>5135.1000000000004</v>
      </c>
      <c r="AO96" s="92">
        <f>AO95+AO94</f>
        <v>4967.7999999999993</v>
      </c>
      <c r="AP96" s="92">
        <f>AP95+AP94</f>
        <v>5583</v>
      </c>
      <c r="AQ96" s="92">
        <f>AQ95+AQ94</f>
        <v>4894</v>
      </c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>
        <f>+CC94+CC95</f>
        <v>4249</v>
      </c>
      <c r="CD96" s="92">
        <f>+CD94+CD95</f>
        <v>5162</v>
      </c>
      <c r="CE96" s="92">
        <f>+CE94+CE95</f>
        <v>4561</v>
      </c>
      <c r="CF96" s="92">
        <f>+CF94+CF95</f>
        <v>6553</v>
      </c>
      <c r="CG96" s="92">
        <f t="shared" ref="CG96" si="182">+CG94+CG95</f>
        <v>4746</v>
      </c>
      <c r="CH96" s="92">
        <f>+CH94+CH95</f>
        <v>5275</v>
      </c>
      <c r="CI96" s="92">
        <f>+CI94+CI95</f>
        <v>4799</v>
      </c>
      <c r="CJ96" s="92">
        <f>+CJ94+CJ95</f>
        <v>5184</v>
      </c>
      <c r="CK96" s="92">
        <f t="shared" ref="CK96:CQ96" si="183">+CK94+CK95</f>
        <v>5968</v>
      </c>
      <c r="CL96" s="92">
        <f t="shared" si="183"/>
        <v>5663</v>
      </c>
      <c r="CM96" s="92">
        <f>+CM94+CM95</f>
        <v>6724</v>
      </c>
      <c r="CN96" s="92">
        <f t="shared" si="183"/>
        <v>5736</v>
      </c>
      <c r="CO96" s="92">
        <f t="shared" si="183"/>
        <v>5759</v>
      </c>
      <c r="CP96" s="92">
        <f t="shared" si="183"/>
        <v>6089</v>
      </c>
      <c r="CQ96" s="92">
        <f t="shared" si="183"/>
        <v>6431</v>
      </c>
      <c r="CR96" s="92">
        <f t="shared" ref="CR96:CV96" si="184">+CR94+CR95</f>
        <v>6164</v>
      </c>
      <c r="CS96" s="92">
        <f t="shared" si="184"/>
        <v>8495</v>
      </c>
      <c r="CT96" s="92">
        <f t="shared" si="184"/>
        <v>7393</v>
      </c>
      <c r="CU96" s="92">
        <f t="shared" si="184"/>
        <v>6143</v>
      </c>
      <c r="CV96" s="92">
        <f t="shared" si="184"/>
        <v>6625</v>
      </c>
      <c r="CW96" s="92">
        <f t="shared" ref="CW96:DB96" si="185">+CW94+CW95</f>
        <v>6596</v>
      </c>
      <c r="CX96" s="92">
        <f t="shared" si="185"/>
        <v>6840</v>
      </c>
      <c r="CY96" s="92">
        <f t="shared" si="185"/>
        <v>6226</v>
      </c>
      <c r="CZ96" s="92">
        <f t="shared" si="185"/>
        <v>6923</v>
      </c>
      <c r="DA96" s="92">
        <f t="shared" si="185"/>
        <v>6596</v>
      </c>
      <c r="DB96" s="92">
        <f t="shared" si="185"/>
        <v>6840</v>
      </c>
      <c r="DC96" s="92"/>
      <c r="DD96" s="92"/>
      <c r="DE96" s="93"/>
      <c r="DF96" s="92">
        <f t="shared" ref="DF96:DN96" si="186">DF95+DF94</f>
        <v>8157</v>
      </c>
      <c r="DG96" s="92">
        <f t="shared" si="186"/>
        <v>8329.3999999999978</v>
      </c>
      <c r="DH96" s="92">
        <f t="shared" si="186"/>
        <v>9573</v>
      </c>
      <c r="DI96" s="92">
        <f t="shared" si="186"/>
        <v>10417.5</v>
      </c>
      <c r="DJ96" s="92">
        <f t="shared" si="186"/>
        <v>10702.8</v>
      </c>
      <c r="DK96" s="92">
        <f t="shared" si="186"/>
        <v>12008.2</v>
      </c>
      <c r="DL96" s="92">
        <f t="shared" si="186"/>
        <v>9013</v>
      </c>
      <c r="DM96" s="92">
        <f t="shared" si="186"/>
        <v>12142.3</v>
      </c>
      <c r="DN96" s="92">
        <f t="shared" si="186"/>
        <v>13863.599999999999</v>
      </c>
      <c r="DO96" s="92">
        <f>DO95+DO94</f>
        <v>20846.400000000001</v>
      </c>
      <c r="DP96" s="92">
        <f>DP95+DP94</f>
        <v>21231.421999999999</v>
      </c>
      <c r="DQ96" s="92">
        <f t="shared" ref="DQ96:DX96" si="187">DQ95+DQ94</f>
        <v>12999.250000000002</v>
      </c>
      <c r="DR96" s="92">
        <f t="shared" si="187"/>
        <v>11976.704000000002</v>
      </c>
      <c r="DS96" s="92">
        <f t="shared" si="187"/>
        <v>11403.990000000002</v>
      </c>
      <c r="DT96" s="92">
        <f t="shared" si="187"/>
        <v>10664.460000000001</v>
      </c>
      <c r="DU96" s="92">
        <f t="shared" si="187"/>
        <v>10747.890000000001</v>
      </c>
      <c r="DV96" s="92">
        <f t="shared" si="187"/>
        <v>10832.94</v>
      </c>
      <c r="DW96" s="92">
        <f t="shared" si="187"/>
        <v>11419.380000000001</v>
      </c>
      <c r="DX96" s="92">
        <f t="shared" si="187"/>
        <v>12647.070000000002</v>
      </c>
      <c r="DY96" s="92">
        <f t="shared" ref="DY96:EE96" si="188">DY95+DY94</f>
        <v>12647.070000000002</v>
      </c>
      <c r="DZ96" s="92">
        <f t="shared" si="188"/>
        <v>21135</v>
      </c>
      <c r="EA96" s="92">
        <f>EA95+EA94</f>
        <v>21614</v>
      </c>
      <c r="EB96" s="92">
        <f>EB95+EB94</f>
        <v>24308</v>
      </c>
      <c r="EC96" s="92">
        <f t="shared" si="188"/>
        <v>28162</v>
      </c>
      <c r="ED96" s="92">
        <f t="shared" si="188"/>
        <v>10296</v>
      </c>
      <c r="EE96" s="92">
        <f t="shared" si="188"/>
        <v>10296</v>
      </c>
      <c r="EF96" s="92">
        <f t="shared" ref="EF96:EN96" si="189">EF95+EF94</f>
        <v>15822.574025000005</v>
      </c>
      <c r="EG96" s="92">
        <f t="shared" si="189"/>
        <v>14127.755025250002</v>
      </c>
      <c r="EH96" s="92">
        <f t="shared" si="189"/>
        <v>12197.963016602498</v>
      </c>
      <c r="EI96" s="92">
        <f t="shared" si="189"/>
        <v>10293.325460759626</v>
      </c>
      <c r="EJ96" s="92">
        <f t="shared" si="189"/>
        <v>9439.1285706475264</v>
      </c>
      <c r="EK96" s="92">
        <f t="shared" si="189"/>
        <v>8870.2276180788194</v>
      </c>
      <c r="EL96" s="92">
        <f t="shared" si="189"/>
        <v>8357.7794961381169</v>
      </c>
      <c r="EM96" s="92">
        <f t="shared" si="189"/>
        <v>7931.8142775562947</v>
      </c>
      <c r="EN96" s="92">
        <f t="shared" si="189"/>
        <v>7709.4002978487979</v>
      </c>
    </row>
    <row r="97" spans="2:254" s="90" customFormat="1" ht="12.75" customHeight="1">
      <c r="B97" s="98" t="s">
        <v>63</v>
      </c>
      <c r="C97" s="91">
        <f t="shared" ref="C97:N97" si="190">C91-C96</f>
        <v>2123.0700000000002</v>
      </c>
      <c r="D97" s="91">
        <f t="shared" si="190"/>
        <v>2321.0700000000002</v>
      </c>
      <c r="E97" s="91">
        <f t="shared" si="190"/>
        <v>2497.46</v>
      </c>
      <c r="F97" s="91">
        <f t="shared" si="190"/>
        <v>2475.4</v>
      </c>
      <c r="G97" s="91">
        <f t="shared" si="190"/>
        <v>-2737.8</v>
      </c>
      <c r="H97" s="91">
        <f t="shared" si="190"/>
        <v>-2936.2</v>
      </c>
      <c r="I97" s="91">
        <f t="shared" si="190"/>
        <v>-3057.7000000000003</v>
      </c>
      <c r="J97" s="91">
        <f t="shared" si="190"/>
        <v>-3502.9000000000005</v>
      </c>
      <c r="K97" s="91">
        <f t="shared" si="190"/>
        <v>-3314.3999999999996</v>
      </c>
      <c r="L97" s="91">
        <f t="shared" si="190"/>
        <v>-3364.8</v>
      </c>
      <c r="M97" s="91">
        <f t="shared" si="190"/>
        <v>-3323.5</v>
      </c>
      <c r="N97" s="91">
        <f t="shared" si="190"/>
        <v>-3917.2999999999997</v>
      </c>
      <c r="O97" s="91" t="e">
        <f t="shared" ref="O97:AH97" si="191">O93-O96</f>
        <v>#REF!</v>
      </c>
      <c r="P97" s="91" t="e">
        <f t="shared" si="191"/>
        <v>#REF!</v>
      </c>
      <c r="Q97" s="91">
        <f t="shared" si="191"/>
        <v>-2637.2</v>
      </c>
      <c r="R97" s="91">
        <f t="shared" si="191"/>
        <v>-2870.4</v>
      </c>
      <c r="S97" s="91">
        <f t="shared" si="191"/>
        <v>-2459.9</v>
      </c>
      <c r="T97" s="91">
        <f t="shared" si="191"/>
        <v>-2702.1</v>
      </c>
      <c r="U97" s="91">
        <f t="shared" si="191"/>
        <v>-2603.8000000000002</v>
      </c>
      <c r="V97" s="91">
        <f t="shared" si="191"/>
        <v>-2937</v>
      </c>
      <c r="W97" s="91">
        <f t="shared" si="191"/>
        <v>-2602</v>
      </c>
      <c r="X97" s="91">
        <f t="shared" si="191"/>
        <v>-2610.6999999999998</v>
      </c>
      <c r="Y97" s="91">
        <f t="shared" si="191"/>
        <v>-3316</v>
      </c>
      <c r="Z97" s="91">
        <f t="shared" si="191"/>
        <v>-3479.5</v>
      </c>
      <c r="AA97" s="91">
        <f t="shared" si="191"/>
        <v>-2832</v>
      </c>
      <c r="AB97" s="91">
        <f t="shared" si="191"/>
        <v>-3114.2</v>
      </c>
      <c r="AC97" s="92">
        <f t="shared" si="191"/>
        <v>-3066.8</v>
      </c>
      <c r="AD97" s="92"/>
      <c r="AE97" s="92">
        <f>AE93-AE96</f>
        <v>-2892.7</v>
      </c>
      <c r="AF97" s="92">
        <f t="shared" si="191"/>
        <v>-3099.5</v>
      </c>
      <c r="AG97" s="92">
        <f>AG93-AG96</f>
        <v>-2901.3999999999996</v>
      </c>
      <c r="AH97" s="92">
        <f t="shared" si="191"/>
        <v>-3248.7</v>
      </c>
      <c r="AI97" s="92">
        <f t="shared" ref="AI97:AN97" si="192">AI93-AI96</f>
        <v>-2762.1000000000004</v>
      </c>
      <c r="AJ97" s="92">
        <f t="shared" si="192"/>
        <v>-2947.8</v>
      </c>
      <c r="AK97" s="92">
        <f t="shared" si="192"/>
        <v>-2979.5</v>
      </c>
      <c r="AL97" s="92">
        <f t="shared" si="192"/>
        <v>3377.0000000000009</v>
      </c>
      <c r="AM97" s="92">
        <f t="shared" si="192"/>
        <v>3450.7999999999993</v>
      </c>
      <c r="AN97" s="92">
        <f t="shared" si="192"/>
        <v>-5135.1000000000004</v>
      </c>
      <c r="AO97" s="92">
        <f>AO93-AO96</f>
        <v>-4967.7999999999993</v>
      </c>
      <c r="AP97" s="92">
        <f>AP93-AP96</f>
        <v>-5583</v>
      </c>
      <c r="AQ97" s="92">
        <f>AQ93-AQ96</f>
        <v>-4894</v>
      </c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  <c r="CC97" s="92">
        <f>+CC93-CC96</f>
        <v>4108</v>
      </c>
      <c r="CD97" s="92">
        <f>+CD93-CD96</f>
        <v>4613</v>
      </c>
      <c r="CE97" s="92">
        <f>+CE93-CE96</f>
        <v>3579</v>
      </c>
      <c r="CF97" s="92">
        <f>+CF93-CF96</f>
        <v>2165</v>
      </c>
      <c r="CG97" s="92">
        <f t="shared" ref="CG97" si="193">+CG93-CG96</f>
        <v>5352</v>
      </c>
      <c r="CH97" s="92">
        <f>+CH93-CH96</f>
        <v>4835</v>
      </c>
      <c r="CI97" s="92">
        <f>+CI93-CI96</f>
        <v>6448</v>
      </c>
      <c r="CJ97" s="92">
        <f>+CJ93-CJ96</f>
        <v>5711</v>
      </c>
      <c r="CK97" s="92">
        <f t="shared" ref="CK97:CQ97" si="194">+CK93-CK96</f>
        <v>5557</v>
      </c>
      <c r="CL97" s="92">
        <f t="shared" si="194"/>
        <v>4806</v>
      </c>
      <c r="CM97" s="92">
        <f>+CM93-CM96</f>
        <v>4411</v>
      </c>
      <c r="CN97" s="92">
        <f t="shared" si="194"/>
        <v>5774</v>
      </c>
      <c r="CO97" s="92">
        <f t="shared" si="194"/>
        <v>6524</v>
      </c>
      <c r="CP97" s="92">
        <f t="shared" si="194"/>
        <v>5201</v>
      </c>
      <c r="CQ97" s="92">
        <f t="shared" si="194"/>
        <v>6383</v>
      </c>
      <c r="CR97" s="92">
        <f t="shared" ref="CR97:CV97" si="195">+CR93-CR96</f>
        <v>6875</v>
      </c>
      <c r="CS97" s="92">
        <f t="shared" si="195"/>
        <v>4913</v>
      </c>
      <c r="CT97" s="92">
        <f t="shared" si="195"/>
        <v>5225</v>
      </c>
      <c r="CU97" s="92">
        <f t="shared" si="195"/>
        <v>6623</v>
      </c>
      <c r="CV97" s="92">
        <f t="shared" si="195"/>
        <v>6365</v>
      </c>
      <c r="CW97" s="92">
        <f t="shared" ref="CW97:DB97" si="196">+CW93-CW96</f>
        <v>7635</v>
      </c>
      <c r="CX97" s="92">
        <f t="shared" si="196"/>
        <v>6236</v>
      </c>
      <c r="CY97" s="92">
        <f t="shared" si="196"/>
        <v>7116</v>
      </c>
      <c r="CZ97" s="92">
        <f t="shared" si="196"/>
        <v>6540</v>
      </c>
      <c r="DA97" s="92">
        <f t="shared" si="196"/>
        <v>6953.608000000002</v>
      </c>
      <c r="DB97" s="92">
        <f t="shared" si="196"/>
        <v>6738.7279999999992</v>
      </c>
      <c r="DC97" s="92"/>
      <c r="DD97" s="92"/>
      <c r="DE97" s="93"/>
      <c r="DF97" s="92">
        <f t="shared" ref="DF97:DN97" si="197">DF93-DF96</f>
        <v>9417.2000000000007</v>
      </c>
      <c r="DG97" s="92">
        <f t="shared" si="197"/>
        <v>-8329.3999999999978</v>
      </c>
      <c r="DH97" s="92">
        <f t="shared" si="197"/>
        <v>-9573</v>
      </c>
      <c r="DI97" s="92">
        <f t="shared" si="197"/>
        <v>-10417.5</v>
      </c>
      <c r="DJ97" s="92">
        <f t="shared" si="197"/>
        <v>-10702.8</v>
      </c>
      <c r="DK97" s="92">
        <f t="shared" si="197"/>
        <v>-12008.2</v>
      </c>
      <c r="DL97" s="92">
        <f t="shared" si="197"/>
        <v>-9013</v>
      </c>
      <c r="DM97" s="92">
        <f t="shared" si="197"/>
        <v>-12142.3</v>
      </c>
      <c r="DN97" s="92">
        <f t="shared" si="197"/>
        <v>-13863.599999999999</v>
      </c>
      <c r="DO97" s="92">
        <f>DO93-DO96</f>
        <v>-20846.400000000001</v>
      </c>
      <c r="DP97" s="92">
        <f>DP93-DP96</f>
        <v>14710.092000000004</v>
      </c>
      <c r="DQ97" s="92">
        <f t="shared" ref="DQ97:DX97" si="198">DQ93-DQ96</f>
        <v>-12999.250000000002</v>
      </c>
      <c r="DR97" s="92">
        <f t="shared" si="198"/>
        <v>-11976.704000000002</v>
      </c>
      <c r="DS97" s="92">
        <f t="shared" si="198"/>
        <v>-11403.990000000002</v>
      </c>
      <c r="DT97" s="92">
        <f t="shared" si="198"/>
        <v>-10664.460000000001</v>
      </c>
      <c r="DU97" s="92">
        <f t="shared" si="198"/>
        <v>-10747.890000000001</v>
      </c>
      <c r="DV97" s="92">
        <f t="shared" si="198"/>
        <v>-10832.94</v>
      </c>
      <c r="DW97" s="92">
        <f t="shared" si="198"/>
        <v>-11419.380000000001</v>
      </c>
      <c r="DX97" s="92">
        <f t="shared" si="198"/>
        <v>-12647.070000000002</v>
      </c>
      <c r="DY97" s="92">
        <f t="shared" ref="DY97:EE97" si="199">DY93-DY96</f>
        <v>-12647.070000000002</v>
      </c>
      <c r="DZ97" s="92">
        <f t="shared" si="199"/>
        <v>15931</v>
      </c>
      <c r="EA97" s="92">
        <f>EA93-EA96</f>
        <v>22522</v>
      </c>
      <c r="EB97" s="92">
        <f>EB93-EB96</f>
        <v>21960</v>
      </c>
      <c r="EC97" s="92">
        <f t="shared" si="199"/>
        <v>22517.096000000005</v>
      </c>
      <c r="ED97" s="92">
        <f t="shared" si="199"/>
        <v>40839.016000000003</v>
      </c>
      <c r="EE97" s="92">
        <f t="shared" si="199"/>
        <v>40050.514400000007</v>
      </c>
      <c r="EF97" s="92">
        <f t="shared" ref="EF97:EN97" si="200">EF93-EF96</f>
        <v>34809.662855000017</v>
      </c>
      <c r="EG97" s="92">
        <f t="shared" si="200"/>
        <v>31081.06105555001</v>
      </c>
      <c r="EH97" s="92">
        <f t="shared" si="200"/>
        <v>26835.518636525496</v>
      </c>
      <c r="EI97" s="92">
        <f t="shared" si="200"/>
        <v>22645.316013671181</v>
      </c>
      <c r="EJ97" s="92">
        <f t="shared" si="200"/>
        <v>20766.08285542456</v>
      </c>
      <c r="EK97" s="92">
        <f t="shared" si="200"/>
        <v>19514.500759773407</v>
      </c>
      <c r="EL97" s="92">
        <f t="shared" si="200"/>
        <v>18387.114891503858</v>
      </c>
      <c r="EM97" s="92">
        <f t="shared" si="200"/>
        <v>17449.99141062385</v>
      </c>
      <c r="EN97" s="92">
        <f t="shared" si="200"/>
        <v>16960.680655267355</v>
      </c>
    </row>
    <row r="98" spans="2:254" s="81" customFormat="1" ht="12.75" customHeight="1">
      <c r="B98" s="98" t="s">
        <v>64</v>
      </c>
      <c r="C98" s="91"/>
      <c r="D98" s="91"/>
      <c r="E98" s="91"/>
      <c r="F98" s="91"/>
      <c r="G98" s="91">
        <f>-203.9-H98+2</f>
        <v>-96.4</v>
      </c>
      <c r="H98" s="91">
        <v>-105.5</v>
      </c>
      <c r="I98" s="91">
        <v>-106.5</v>
      </c>
      <c r="J98" s="91">
        <v>-107.3</v>
      </c>
      <c r="K98" s="92">
        <v>-87.5</v>
      </c>
      <c r="L98" s="92">
        <v>-82.1</v>
      </c>
      <c r="M98" s="92">
        <v>-66.900000000000006</v>
      </c>
      <c r="N98" s="92">
        <v>-72.2</v>
      </c>
      <c r="O98" s="92">
        <v>65.7</v>
      </c>
      <c r="P98" s="92">
        <v>68.5</v>
      </c>
      <c r="Q98" s="92">
        <v>75.7</v>
      </c>
      <c r="R98" s="92">
        <v>90.2</v>
      </c>
      <c r="S98" s="92">
        <v>93.8</v>
      </c>
      <c r="T98" s="92">
        <v>98.7</v>
      </c>
      <c r="U98" s="92">
        <v>122.3</v>
      </c>
      <c r="V98" s="92">
        <v>166</v>
      </c>
      <c r="W98" s="92">
        <v>181.7</v>
      </c>
      <c r="X98" s="92">
        <v>187.9</v>
      </c>
      <c r="Y98" s="92">
        <v>195</v>
      </c>
      <c r="Z98" s="92">
        <v>199.7</v>
      </c>
      <c r="AA98" s="92">
        <v>181.7</v>
      </c>
      <c r="AB98" s="91">
        <v>172.3</v>
      </c>
      <c r="AC98" s="92">
        <v>186.9</v>
      </c>
      <c r="AD98" s="92"/>
      <c r="AE98" s="92"/>
      <c r="AF98" s="92">
        <v>81.900000000000006</v>
      </c>
      <c r="AG98" s="92">
        <v>61.8</v>
      </c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73"/>
      <c r="DF98" s="92"/>
      <c r="DG98" s="92">
        <f t="shared" ref="DG98:DG103" si="201">SUM(G98:J98)</f>
        <v>-415.7</v>
      </c>
      <c r="DH98" s="92">
        <f t="shared" ref="DH98:DH103" si="202">SUM(K98:N98)</f>
        <v>-308.7</v>
      </c>
      <c r="DI98" s="92">
        <f t="shared" ref="DI98:DI103" si="203">SUM(O98:R98)</f>
        <v>300.09999999999997</v>
      </c>
      <c r="DJ98" s="92">
        <f t="shared" ref="DJ98:DJ103" si="204">SUM(S98:V98)</f>
        <v>480.8</v>
      </c>
      <c r="DK98" s="91">
        <f t="shared" ref="DK98:DK103" si="205">SUM(W98:Z98)</f>
        <v>764.3</v>
      </c>
      <c r="DL98" s="91">
        <f t="shared" ref="DL98:DL103" si="206">SUM(AA98:AD98)</f>
        <v>540.9</v>
      </c>
      <c r="DM98" s="91">
        <f>SUM(AE98:AH98)</f>
        <v>143.69999999999999</v>
      </c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G98" s="85"/>
    </row>
    <row r="99" spans="2:254" s="81" customFormat="1" ht="12.75" customHeight="1">
      <c r="B99" s="98" t="s">
        <v>65</v>
      </c>
      <c r="C99" s="91"/>
      <c r="D99" s="91"/>
      <c r="E99" s="91"/>
      <c r="F99" s="91"/>
      <c r="G99" s="91">
        <f>192.8-H99</f>
        <v>95.300000000000011</v>
      </c>
      <c r="H99" s="91">
        <v>97.5</v>
      </c>
      <c r="I99" s="91">
        <v>99.9</v>
      </c>
      <c r="J99" s="91">
        <v>98.1</v>
      </c>
      <c r="K99" s="92">
        <v>94.9</v>
      </c>
      <c r="L99" s="92">
        <v>94.9</v>
      </c>
      <c r="M99" s="92">
        <v>81.099999999999994</v>
      </c>
      <c r="N99" s="92">
        <v>80</v>
      </c>
      <c r="O99" s="92">
        <v>72.8</v>
      </c>
      <c r="P99" s="92">
        <v>71.599999999999994</v>
      </c>
      <c r="Q99" s="92">
        <v>72.400000000000006</v>
      </c>
      <c r="R99" s="92">
        <v>77</v>
      </c>
      <c r="S99" s="92">
        <v>84.5</v>
      </c>
      <c r="T99" s="92">
        <v>93.1</v>
      </c>
      <c r="U99" s="92">
        <v>99.6</v>
      </c>
      <c r="V99" s="92">
        <v>108.2</v>
      </c>
      <c r="W99" s="92">
        <v>98.2</v>
      </c>
      <c r="X99" s="92">
        <v>91.9</v>
      </c>
      <c r="Y99" s="92">
        <v>87.7</v>
      </c>
      <c r="Z99" s="92">
        <v>97.2</v>
      </c>
      <c r="AA99" s="92">
        <v>102.4</v>
      </c>
      <c r="AB99" s="91">
        <v>103.3</v>
      </c>
      <c r="AC99" s="91">
        <v>91.5</v>
      </c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  <c r="CC99" s="92">
        <v>-35</v>
      </c>
      <c r="CD99" s="92">
        <v>-100</v>
      </c>
      <c r="CE99" s="92">
        <v>-134</v>
      </c>
      <c r="CF99" s="92">
        <v>-38</v>
      </c>
      <c r="CG99" s="92">
        <v>-244</v>
      </c>
      <c r="CH99" s="92">
        <v>-51</v>
      </c>
      <c r="CI99" s="92">
        <v>-139</v>
      </c>
      <c r="CJ99" s="92">
        <v>-202</v>
      </c>
      <c r="CK99" s="92">
        <v>-105</v>
      </c>
      <c r="CL99" s="92">
        <v>86</v>
      </c>
      <c r="CM99" s="92">
        <v>70</v>
      </c>
      <c r="CN99" s="92">
        <v>-19</v>
      </c>
      <c r="CO99" s="92">
        <v>-133</v>
      </c>
      <c r="CP99" s="92">
        <v>-174</v>
      </c>
      <c r="CQ99" s="92">
        <v>-87</v>
      </c>
      <c r="CR99" s="92">
        <v>-108</v>
      </c>
      <c r="CS99" s="92">
        <v>193</v>
      </c>
      <c r="CT99" s="92">
        <v>-5</v>
      </c>
      <c r="CU99" s="92"/>
      <c r="CV99" s="92">
        <v>-54</v>
      </c>
      <c r="CW99" s="92">
        <v>-106</v>
      </c>
      <c r="CX99" s="92">
        <v>-226</v>
      </c>
      <c r="CY99" s="92">
        <v>-318</v>
      </c>
      <c r="CZ99" s="92">
        <v>-290</v>
      </c>
      <c r="DA99" s="92">
        <f>+CZ99</f>
        <v>-290</v>
      </c>
      <c r="DB99" s="92">
        <f>+DA99</f>
        <v>-290</v>
      </c>
      <c r="DC99" s="92"/>
      <c r="DD99" s="92"/>
      <c r="DE99" s="73"/>
      <c r="DF99" s="92"/>
      <c r="DG99" s="92">
        <f t="shared" si="201"/>
        <v>390.80000000000007</v>
      </c>
      <c r="DH99" s="92">
        <f t="shared" si="202"/>
        <v>350.9</v>
      </c>
      <c r="DI99" s="92">
        <f t="shared" si="203"/>
        <v>293.79999999999995</v>
      </c>
      <c r="DJ99" s="92">
        <f t="shared" si="204"/>
        <v>385.4</v>
      </c>
      <c r="DK99" s="91">
        <f t="shared" si="205"/>
        <v>375</v>
      </c>
      <c r="DL99" s="91">
        <f t="shared" si="206"/>
        <v>297.2</v>
      </c>
      <c r="DM99" s="92"/>
      <c r="DN99" s="96"/>
      <c r="DO99" s="96"/>
      <c r="DP99" s="96"/>
      <c r="DQ99" s="96"/>
      <c r="DR99" s="96"/>
      <c r="DS99" s="96"/>
      <c r="DT99" s="82"/>
      <c r="DU99" s="82"/>
      <c r="DV99" s="82"/>
      <c r="DW99" s="82"/>
      <c r="DX99" s="82"/>
      <c r="DY99" s="82"/>
      <c r="DZ99" s="92">
        <f t="shared" ref="DZ99" si="207">SUM(CE99:CH99)</f>
        <v>-467</v>
      </c>
      <c r="EA99" s="92">
        <f>SUM(CI99:CL99)</f>
        <v>-360</v>
      </c>
      <c r="EB99" s="92">
        <f t="shared" ref="EB99" si="208">SUM(CM99:CP99)</f>
        <v>-256</v>
      </c>
      <c r="EC99" s="85">
        <f t="shared" ref="EC99:EN99" si="209">-EB126*$EQ$111</f>
        <v>277.10000000000002</v>
      </c>
      <c r="ED99" s="85">
        <f t="shared" si="209"/>
        <v>110.30002999999998</v>
      </c>
      <c r="EE99" s="85">
        <f t="shared" si="209"/>
        <v>-195.16533977500006</v>
      </c>
      <c r="EF99" s="85">
        <f>-EE126*$EQ$111</f>
        <v>-497.0079378233126</v>
      </c>
      <c r="EG99" s="85">
        <f t="shared" si="209"/>
        <v>-761.80796876948762</v>
      </c>
      <c r="EH99" s="85">
        <f t="shared" si="209"/>
        <v>-1000.6294864518838</v>
      </c>
      <c r="EI99" s="85">
        <f t="shared" si="209"/>
        <v>-1209.4005973742144</v>
      </c>
      <c r="EJ99" s="85">
        <f t="shared" si="209"/>
        <v>-1388.3109719570546</v>
      </c>
      <c r="EK99" s="85">
        <f t="shared" si="209"/>
        <v>-1554.4689256624167</v>
      </c>
      <c r="EL99" s="85">
        <f t="shared" si="209"/>
        <v>-1712.4861983031856</v>
      </c>
      <c r="EM99" s="85">
        <f t="shared" si="209"/>
        <v>-1863.2332064767384</v>
      </c>
      <c r="EN99" s="85">
        <f t="shared" si="209"/>
        <v>-2008.0823911049927</v>
      </c>
    </row>
    <row r="100" spans="2:254" s="81" customFormat="1" ht="3.75" customHeight="1">
      <c r="B100" s="98" t="s">
        <v>66</v>
      </c>
      <c r="C100" s="91"/>
      <c r="D100" s="91"/>
      <c r="E100" s="91"/>
      <c r="F100" s="91"/>
      <c r="G100" s="91">
        <f>2.6-H100</f>
        <v>-2.6999999999999997</v>
      </c>
      <c r="H100" s="91">
        <v>5.3</v>
      </c>
      <c r="I100" s="91">
        <v>8.3000000000000007</v>
      </c>
      <c r="J100" s="91">
        <v>-18.7</v>
      </c>
      <c r="K100" s="92">
        <v>-7.2</v>
      </c>
      <c r="L100" s="92">
        <v>-16.2</v>
      </c>
      <c r="M100" s="92">
        <v>-1.7</v>
      </c>
      <c r="N100" s="92">
        <v>-3.3</v>
      </c>
      <c r="O100" s="92">
        <v>-7.8</v>
      </c>
      <c r="P100" s="92">
        <v>-14.9</v>
      </c>
      <c r="Q100" s="92">
        <v>-2.8</v>
      </c>
      <c r="R100" s="92">
        <v>28.3</v>
      </c>
      <c r="S100" s="92">
        <v>0.7</v>
      </c>
      <c r="T100" s="92">
        <v>8.4</v>
      </c>
      <c r="U100" s="92">
        <v>7.4</v>
      </c>
      <c r="V100" s="92">
        <v>-0.4</v>
      </c>
      <c r="W100" s="92">
        <v>0.4</v>
      </c>
      <c r="X100" s="92">
        <v>-7.4</v>
      </c>
      <c r="Y100" s="92">
        <v>11.5</v>
      </c>
      <c r="Z100" s="92">
        <v>20.5</v>
      </c>
      <c r="AA100" s="92">
        <v>19.600000000000001</v>
      </c>
      <c r="AB100" s="91">
        <v>12</v>
      </c>
      <c r="AC100" s="91">
        <v>8.3000000000000007</v>
      </c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  <c r="DD100" s="92"/>
      <c r="DE100" s="73"/>
      <c r="DF100" s="92"/>
      <c r="DG100" s="92">
        <f t="shared" si="201"/>
        <v>-7.7999999999999989</v>
      </c>
      <c r="DH100" s="92">
        <f t="shared" si="202"/>
        <v>-28.4</v>
      </c>
      <c r="DI100" s="92">
        <f t="shared" si="203"/>
        <v>2.8000000000000007</v>
      </c>
      <c r="DJ100" s="92">
        <f t="shared" si="204"/>
        <v>16.100000000000001</v>
      </c>
      <c r="DK100" s="91">
        <f t="shared" si="205"/>
        <v>25</v>
      </c>
      <c r="DL100" s="91">
        <f t="shared" si="206"/>
        <v>39.900000000000006</v>
      </c>
      <c r="DM100" s="92"/>
      <c r="DN100" s="96"/>
      <c r="DO100" s="96"/>
      <c r="DP100" s="96"/>
      <c r="DQ100" s="96"/>
      <c r="DR100" s="96"/>
      <c r="DS100" s="96"/>
      <c r="DT100" s="82"/>
      <c r="DU100" s="82"/>
      <c r="DV100" s="82"/>
      <c r="DW100" s="82"/>
      <c r="DX100" s="82"/>
      <c r="DY100" s="82"/>
      <c r="DZ100" s="82"/>
      <c r="EA100" s="92"/>
      <c r="EB100" s="92"/>
      <c r="EC100" s="82"/>
      <c r="ED100" s="82"/>
      <c r="EE100" s="82"/>
      <c r="EG100" s="85"/>
    </row>
    <row r="101" spans="2:254" s="81" customFormat="1" ht="3.75" customHeight="1">
      <c r="B101" s="98" t="s">
        <v>67</v>
      </c>
      <c r="C101" s="91"/>
      <c r="D101" s="91"/>
      <c r="E101" s="91"/>
      <c r="F101" s="91"/>
      <c r="G101" s="91">
        <f>110.6-H101</f>
        <v>50.699999999999996</v>
      </c>
      <c r="H101" s="91">
        <v>59.9</v>
      </c>
      <c r="I101" s="91">
        <v>59.1</v>
      </c>
      <c r="J101" s="91">
        <v>44.5</v>
      </c>
      <c r="K101" s="92">
        <v>51.7</v>
      </c>
      <c r="L101" s="92">
        <v>40.700000000000003</v>
      </c>
      <c r="M101" s="92">
        <v>39.1</v>
      </c>
      <c r="N101" s="92">
        <v>37.200000000000003</v>
      </c>
      <c r="O101" s="92">
        <v>-39.6</v>
      </c>
      <c r="P101" s="92">
        <v>-36.799999999999997</v>
      </c>
      <c r="Q101" s="92">
        <v>-37.6</v>
      </c>
      <c r="R101" s="92">
        <v>-40.299999999999997</v>
      </c>
      <c r="S101" s="92">
        <v>-30.4</v>
      </c>
      <c r="T101" s="92">
        <v>-30.3</v>
      </c>
      <c r="U101" s="92">
        <v>-30.9</v>
      </c>
      <c r="V101" s="92">
        <v>-30.2</v>
      </c>
      <c r="W101" s="92">
        <v>-29.9</v>
      </c>
      <c r="X101" s="92">
        <v>-30</v>
      </c>
      <c r="Y101" s="92">
        <v>-30.7</v>
      </c>
      <c r="Z101" s="92">
        <v>-29.9</v>
      </c>
      <c r="AA101" s="92">
        <v>-30.6</v>
      </c>
      <c r="AB101" s="91">
        <v>-30.8</v>
      </c>
      <c r="AC101" s="91">
        <v>-30.6</v>
      </c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  <c r="CC101" s="92"/>
      <c r="CD101" s="92"/>
      <c r="CE101" s="92"/>
      <c r="CF101" s="92"/>
      <c r="CG101" s="92"/>
      <c r="CH101" s="92"/>
      <c r="CI101" s="92"/>
      <c r="CJ101" s="92"/>
      <c r="CK101" s="92"/>
      <c r="CL101" s="92"/>
      <c r="CM101" s="92"/>
      <c r="CN101" s="92"/>
      <c r="CO101" s="92"/>
      <c r="CP101" s="92"/>
      <c r="CQ101" s="92"/>
      <c r="CR101" s="92"/>
      <c r="CS101" s="92"/>
      <c r="CT101" s="92"/>
      <c r="CU101" s="92"/>
      <c r="CV101" s="92"/>
      <c r="CW101" s="92"/>
      <c r="CX101" s="92"/>
      <c r="CY101" s="92"/>
      <c r="CZ101" s="92"/>
      <c r="DA101" s="92"/>
      <c r="DB101" s="92"/>
      <c r="DC101" s="92"/>
      <c r="DD101" s="92"/>
      <c r="DE101" s="73"/>
      <c r="DF101" s="92"/>
      <c r="DG101" s="92">
        <f t="shared" si="201"/>
        <v>214.2</v>
      </c>
      <c r="DH101" s="92">
        <f t="shared" si="202"/>
        <v>168.7</v>
      </c>
      <c r="DI101" s="92">
        <f t="shared" si="203"/>
        <v>-154.30000000000001</v>
      </c>
      <c r="DJ101" s="92">
        <f t="shared" si="204"/>
        <v>-121.8</v>
      </c>
      <c r="DK101" s="91">
        <f t="shared" si="205"/>
        <v>-120.5</v>
      </c>
      <c r="DL101" s="91">
        <f t="shared" si="206"/>
        <v>-92</v>
      </c>
      <c r="DM101" s="92"/>
      <c r="DN101" s="96"/>
      <c r="DO101" s="96"/>
      <c r="DP101" s="96"/>
      <c r="DQ101" s="96"/>
      <c r="DR101" s="96"/>
      <c r="DS101" s="96"/>
      <c r="DT101" s="82"/>
      <c r="DU101" s="82"/>
      <c r="DV101" s="82"/>
      <c r="DW101" s="82"/>
      <c r="DX101" s="82"/>
      <c r="DY101" s="82"/>
      <c r="DZ101" s="82"/>
      <c r="EA101" s="92"/>
      <c r="EB101" s="92"/>
      <c r="EC101" s="82"/>
      <c r="ED101" s="82"/>
      <c r="EE101" s="82"/>
      <c r="EG101" s="85"/>
    </row>
    <row r="102" spans="2:254" s="81" customFormat="1" ht="3.75" customHeight="1">
      <c r="B102" s="98" t="s">
        <v>68</v>
      </c>
      <c r="C102" s="91">
        <v>-185.9</v>
      </c>
      <c r="D102" s="91">
        <v>-185.9</v>
      </c>
      <c r="E102" s="91">
        <v>-185.9</v>
      </c>
      <c r="F102" s="91">
        <v>-128.19999999999999</v>
      </c>
      <c r="G102" s="91">
        <v>-171.8</v>
      </c>
      <c r="H102" s="91">
        <v>-190.2</v>
      </c>
      <c r="I102" s="91">
        <v>-188.7</v>
      </c>
      <c r="J102" s="91">
        <v>-94</v>
      </c>
      <c r="K102" s="92">
        <v>-97.3</v>
      </c>
      <c r="L102" s="92">
        <v>-187.4</v>
      </c>
      <c r="M102" s="92">
        <v>-183.4</v>
      </c>
      <c r="N102" s="92">
        <v>-6</v>
      </c>
      <c r="O102" s="92">
        <v>194.7</v>
      </c>
      <c r="P102" s="92">
        <v>220.5</v>
      </c>
      <c r="Q102" s="92">
        <v>307.10000000000002</v>
      </c>
      <c r="R102" s="92">
        <v>285.89999999999998</v>
      </c>
      <c r="S102" s="92">
        <v>316.3</v>
      </c>
      <c r="T102" s="92">
        <v>334.1</v>
      </c>
      <c r="U102" s="92">
        <v>480.1</v>
      </c>
      <c r="V102" s="92">
        <v>586.6</v>
      </c>
      <c r="W102" s="92">
        <v>503.4</v>
      </c>
      <c r="X102" s="92">
        <v>611.29999999999995</v>
      </c>
      <c r="Y102" s="92">
        <v>595</v>
      </c>
      <c r="Z102" s="92">
        <v>584.20000000000005</v>
      </c>
      <c r="AA102" s="92">
        <v>652.6</v>
      </c>
      <c r="AB102" s="91">
        <v>759.1</v>
      </c>
      <c r="AC102" s="91">
        <v>768.5</v>
      </c>
      <c r="AD102" s="92"/>
      <c r="AE102" s="92">
        <v>652.1</v>
      </c>
      <c r="AF102" s="92">
        <v>523</v>
      </c>
      <c r="AG102" s="92">
        <v>665.6</v>
      </c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  <c r="CW102" s="92"/>
      <c r="CX102" s="92"/>
      <c r="CY102" s="92"/>
      <c r="CZ102" s="92"/>
      <c r="DA102" s="92"/>
      <c r="DB102" s="92"/>
      <c r="DC102" s="92"/>
      <c r="DD102" s="92"/>
      <c r="DE102" s="73"/>
      <c r="DF102" s="92">
        <f>SUM(C102:F102)</f>
        <v>-685.90000000000009</v>
      </c>
      <c r="DG102" s="92">
        <f t="shared" si="201"/>
        <v>-644.70000000000005</v>
      </c>
      <c r="DH102" s="92">
        <f t="shared" si="202"/>
        <v>-474.1</v>
      </c>
      <c r="DI102" s="92">
        <f t="shared" si="203"/>
        <v>1008.1999999999999</v>
      </c>
      <c r="DJ102" s="92">
        <f t="shared" si="204"/>
        <v>1717.1</v>
      </c>
      <c r="DK102" s="91">
        <f t="shared" si="205"/>
        <v>2293.8999999999996</v>
      </c>
      <c r="DL102" s="91">
        <f>SUM(AA102:AD102)</f>
        <v>2180.1999999999998</v>
      </c>
      <c r="DM102" s="91">
        <f>SUM(AE102:AH102)</f>
        <v>1840.6999999999998</v>
      </c>
      <c r="DN102" s="92">
        <f>SUM(AI102:AL102)</f>
        <v>0</v>
      </c>
      <c r="DO102" s="92"/>
      <c r="DP102" s="92"/>
      <c r="DQ102" s="92"/>
      <c r="DR102" s="92"/>
      <c r="DS102" s="92"/>
      <c r="DT102" s="92"/>
      <c r="DU102" s="92"/>
      <c r="DV102" s="92"/>
      <c r="DW102" s="92"/>
      <c r="DX102" s="92"/>
      <c r="DY102" s="92"/>
      <c r="DZ102" s="92"/>
      <c r="EA102" s="92"/>
      <c r="EB102" s="92"/>
      <c r="EC102" s="92"/>
      <c r="ED102" s="92"/>
      <c r="EE102" s="92"/>
      <c r="EG102" s="85"/>
    </row>
    <row r="103" spans="2:254" s="81" customFormat="1" ht="3.75" customHeight="1">
      <c r="B103" s="98" t="s">
        <v>70</v>
      </c>
      <c r="C103" s="91">
        <v>29.47</v>
      </c>
      <c r="D103" s="91">
        <v>29.47</v>
      </c>
      <c r="E103" s="91">
        <v>29.47</v>
      </c>
      <c r="F103" s="91">
        <v>66.599999999999994</v>
      </c>
      <c r="G103" s="91">
        <f>23.4-SUM(G98:G101)</f>
        <v>-23.5</v>
      </c>
      <c r="H103" s="91">
        <f>61.8-SUM(H98:H101)</f>
        <v>4.6000000000000014</v>
      </c>
      <c r="I103" s="91">
        <f>46.8-SUM(I98:I101)</f>
        <v>-14.000000000000014</v>
      </c>
      <c r="J103" s="91">
        <f>70.3-SUM(J98:J101)</f>
        <v>53.7</v>
      </c>
      <c r="K103" s="92">
        <f>47.8+90.4-SUM(K98:K101)</f>
        <v>86.299999999999983</v>
      </c>
      <c r="L103" s="92">
        <f>-121.8-SUM(L98:L101)</f>
        <v>-159.10000000000002</v>
      </c>
      <c r="M103" s="92">
        <v>-38.9</v>
      </c>
      <c r="N103" s="92">
        <f>-56.5-SUM(N98:N101)+11.4</f>
        <v>-86.8</v>
      </c>
      <c r="O103" s="92">
        <v>0</v>
      </c>
      <c r="P103" s="92">
        <v>22.1</v>
      </c>
      <c r="Q103" s="92">
        <v>45.9</v>
      </c>
      <c r="R103" s="92">
        <v>107.1</v>
      </c>
      <c r="S103" s="92">
        <v>-6.1</v>
      </c>
      <c r="T103" s="92">
        <v>2.2999999999999998</v>
      </c>
      <c r="U103" s="92">
        <v>25.5</v>
      </c>
      <c r="V103" s="92">
        <v>99.1</v>
      </c>
      <c r="W103" s="92">
        <v>46.6</v>
      </c>
      <c r="X103" s="92">
        <v>11.5</v>
      </c>
      <c r="Y103" s="92">
        <v>46.6</v>
      </c>
      <c r="Z103" s="92">
        <v>-16</v>
      </c>
      <c r="AA103" s="92">
        <v>187.7</v>
      </c>
      <c r="AB103" s="91">
        <v>33.799999999999997</v>
      </c>
      <c r="AC103" s="91">
        <v>107.8</v>
      </c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  <c r="CA103" s="92"/>
      <c r="CB103" s="92"/>
      <c r="CC103" s="92"/>
      <c r="CD103" s="92"/>
      <c r="CE103" s="92"/>
      <c r="CF103" s="92"/>
      <c r="CG103" s="92"/>
      <c r="CH103" s="92"/>
      <c r="CI103" s="92"/>
      <c r="CJ103" s="92"/>
      <c r="CK103" s="92"/>
      <c r="CL103" s="92"/>
      <c r="CM103" s="92"/>
      <c r="CN103" s="92"/>
      <c r="CO103" s="92"/>
      <c r="CP103" s="92"/>
      <c r="CQ103" s="92"/>
      <c r="CR103" s="92"/>
      <c r="CS103" s="92"/>
      <c r="CT103" s="92"/>
      <c r="CU103" s="92"/>
      <c r="CV103" s="92"/>
      <c r="CW103" s="92"/>
      <c r="CX103" s="92"/>
      <c r="CY103" s="92"/>
      <c r="CZ103" s="92"/>
      <c r="DA103" s="92"/>
      <c r="DB103" s="92"/>
      <c r="DC103" s="92"/>
      <c r="DD103" s="92"/>
      <c r="DE103" s="73"/>
      <c r="DF103" s="92">
        <f>SUM(C103:F103)</f>
        <v>155.01</v>
      </c>
      <c r="DG103" s="92">
        <f t="shared" si="201"/>
        <v>20.79999999999999</v>
      </c>
      <c r="DH103" s="92">
        <f t="shared" si="202"/>
        <v>-198.50000000000006</v>
      </c>
      <c r="DI103" s="92">
        <f t="shared" si="203"/>
        <v>175.1</v>
      </c>
      <c r="DJ103" s="92">
        <f t="shared" si="204"/>
        <v>120.8</v>
      </c>
      <c r="DK103" s="91">
        <f t="shared" si="205"/>
        <v>88.7</v>
      </c>
      <c r="DL103" s="91">
        <f t="shared" si="206"/>
        <v>329.3</v>
      </c>
      <c r="DM103" s="96"/>
      <c r="DN103" s="96"/>
      <c r="DO103" s="96"/>
      <c r="DP103" s="96"/>
      <c r="DQ103" s="96"/>
      <c r="DR103" s="96"/>
      <c r="DS103" s="96"/>
      <c r="DT103" s="82"/>
      <c r="DU103" s="82"/>
      <c r="DV103" s="82"/>
      <c r="DW103" s="82"/>
      <c r="DX103" s="82"/>
      <c r="DY103" s="82"/>
      <c r="DZ103" s="82"/>
      <c r="EA103" s="92"/>
      <c r="EB103" s="92"/>
      <c r="EC103" s="82"/>
      <c r="ED103" s="82"/>
      <c r="EE103" s="82"/>
      <c r="EG103" s="85"/>
    </row>
    <row r="104" spans="2:254" s="81" customFormat="1" ht="3.75" customHeight="1">
      <c r="B104" s="98" t="s">
        <v>71</v>
      </c>
      <c r="C104" s="91">
        <f>SUM(C102:C103)</f>
        <v>-156.43</v>
      </c>
      <c r="D104" s="91">
        <f>SUM(D102:D103)</f>
        <v>-156.43</v>
      </c>
      <c r="E104" s="91">
        <f>SUM(E102:E103)</f>
        <v>-156.43</v>
      </c>
      <c r="F104" s="91">
        <f>SUM(F102:F103)</f>
        <v>-61.599999999999994</v>
      </c>
      <c r="G104" s="91">
        <f t="shared" ref="G104:N104" si="210">SUM(G98:G103)</f>
        <v>-148.4</v>
      </c>
      <c r="H104" s="91">
        <f t="shared" si="210"/>
        <v>-128.4</v>
      </c>
      <c r="I104" s="91">
        <f t="shared" si="210"/>
        <v>-141.89999999999998</v>
      </c>
      <c r="J104" s="91">
        <f t="shared" si="210"/>
        <v>-23.700000000000003</v>
      </c>
      <c r="K104" s="91">
        <f t="shared" si="210"/>
        <v>40.899999999999991</v>
      </c>
      <c r="L104" s="91">
        <f t="shared" si="210"/>
        <v>-309.20000000000005</v>
      </c>
      <c r="M104" s="91">
        <f t="shared" si="210"/>
        <v>-170.70000000000002</v>
      </c>
      <c r="N104" s="91">
        <f t="shared" si="210"/>
        <v>-51.099999999999994</v>
      </c>
      <c r="O104" s="91">
        <f t="shared" ref="O104:Y104" si="211">O98-O99+O100+O101+O102+O103</f>
        <v>140.19999999999999</v>
      </c>
      <c r="P104" s="91">
        <f t="shared" si="211"/>
        <v>187.8</v>
      </c>
      <c r="Q104" s="91">
        <f t="shared" si="211"/>
        <v>315.89999999999998</v>
      </c>
      <c r="R104" s="91">
        <f t="shared" si="211"/>
        <v>394.19999999999993</v>
      </c>
      <c r="S104" s="91">
        <f t="shared" si="211"/>
        <v>289.8</v>
      </c>
      <c r="T104" s="91">
        <f t="shared" si="211"/>
        <v>320.10000000000002</v>
      </c>
      <c r="U104" s="91">
        <f t="shared" si="211"/>
        <v>504.8</v>
      </c>
      <c r="V104" s="91">
        <f t="shared" si="211"/>
        <v>712.90000000000009</v>
      </c>
      <c r="W104" s="91">
        <f t="shared" si="211"/>
        <v>604</v>
      </c>
      <c r="X104" s="91">
        <f t="shared" si="211"/>
        <v>681.4</v>
      </c>
      <c r="Y104" s="91">
        <f t="shared" si="211"/>
        <v>729.7</v>
      </c>
      <c r="Z104" s="91">
        <f>Z98-Z99+Z100+Z101+Z102+Z103</f>
        <v>661.30000000000007</v>
      </c>
      <c r="AA104" s="91">
        <f>AA98-AA99+AA100+AA101+AA102+AA103</f>
        <v>908.59999999999991</v>
      </c>
      <c r="AB104" s="91">
        <f>AB98-AB99+AB100+AB101+AB102+AB103</f>
        <v>843.1</v>
      </c>
      <c r="AC104" s="91">
        <f>AC98-AC99+AC100+AC101+AC102+AC103</f>
        <v>949.4</v>
      </c>
      <c r="AD104" s="91"/>
      <c r="AE104" s="91">
        <f>AE98-AE99+AE100+AE101+AE102+AE103</f>
        <v>652.1</v>
      </c>
      <c r="AF104" s="91">
        <f>AF98-AF99+AF100+AF101+AF102+AF103</f>
        <v>604.9</v>
      </c>
      <c r="AG104" s="91">
        <f>AG98-AG99+AG100+AG101+AG102+AG103</f>
        <v>727.4</v>
      </c>
      <c r="AH104" s="91">
        <f>720+26.8</f>
        <v>746.8</v>
      </c>
      <c r="AI104" s="91">
        <v>665</v>
      </c>
      <c r="AJ104" s="91">
        <v>633.5</v>
      </c>
      <c r="AK104" s="91">
        <v>688.2</v>
      </c>
      <c r="AL104" s="91">
        <f>373.8-92</f>
        <v>281.8</v>
      </c>
      <c r="AM104" s="91">
        <v>-22.9</v>
      </c>
      <c r="AN104" s="91">
        <f>42.9-152.8</f>
        <v>-109.9</v>
      </c>
      <c r="AO104" s="91">
        <f>236.4-158.3</f>
        <v>78.099999999999994</v>
      </c>
      <c r="AP104" s="91">
        <f>171-309</f>
        <v>-138</v>
      </c>
      <c r="AQ104" s="91">
        <f>138-256</f>
        <v>-118</v>
      </c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73"/>
      <c r="DF104" s="91">
        <f t="shared" ref="DF104:DN104" si="212">DF98-DF99+DF100+DF101+DF102+DF103</f>
        <v>-530.8900000000001</v>
      </c>
      <c r="DG104" s="91">
        <f t="shared" si="212"/>
        <v>-1224</v>
      </c>
      <c r="DH104" s="91">
        <f t="shared" si="212"/>
        <v>-1191.9000000000001</v>
      </c>
      <c r="DI104" s="91">
        <f t="shared" si="212"/>
        <v>1038.0999999999999</v>
      </c>
      <c r="DJ104" s="91">
        <f t="shared" si="212"/>
        <v>1827.6</v>
      </c>
      <c r="DK104" s="91">
        <f t="shared" si="212"/>
        <v>2676.3999999999996</v>
      </c>
      <c r="DL104" s="91">
        <f t="shared" si="212"/>
        <v>2701.1</v>
      </c>
      <c r="DM104" s="91">
        <f t="shared" si="212"/>
        <v>1984.3999999999999</v>
      </c>
      <c r="DN104" s="91">
        <f t="shared" si="212"/>
        <v>0</v>
      </c>
      <c r="DO104" s="91">
        <f>SUM(AM104:AP104)</f>
        <v>-192.70000000000002</v>
      </c>
      <c r="DP104" s="91">
        <f>DP98-DP99+DP100+DP101+DP102+DP103</f>
        <v>0</v>
      </c>
      <c r="DQ104" s="91">
        <f>DQ98-DQ99+DQ100+DQ101+DQ102+DQ103</f>
        <v>0</v>
      </c>
      <c r="DR104" s="91">
        <f t="shared" ref="DR104:DX104" si="213">DR98-DR99+DR100+DR101+DR102+DR103</f>
        <v>0</v>
      </c>
      <c r="DS104" s="91">
        <f t="shared" si="213"/>
        <v>0</v>
      </c>
      <c r="DT104" s="91">
        <f t="shared" si="213"/>
        <v>0</v>
      </c>
      <c r="DU104" s="91">
        <f t="shared" si="213"/>
        <v>0</v>
      </c>
      <c r="DV104" s="91">
        <f t="shared" si="213"/>
        <v>0</v>
      </c>
      <c r="DW104" s="91">
        <f t="shared" si="213"/>
        <v>0</v>
      </c>
      <c r="DX104" s="91">
        <f t="shared" si="213"/>
        <v>0</v>
      </c>
      <c r="DY104" s="91">
        <f t="shared" ref="DY104:EB104" si="214">DY98-DY99+DY100+DY101+DY102+DY103</f>
        <v>0</v>
      </c>
      <c r="DZ104" s="91">
        <f t="shared" si="214"/>
        <v>467</v>
      </c>
      <c r="EA104" s="91">
        <f t="shared" si="214"/>
        <v>360</v>
      </c>
      <c r="EB104" s="91">
        <f t="shared" si="214"/>
        <v>256</v>
      </c>
      <c r="EC104" s="91">
        <f>EC98-EC99+EC100+EC101+EC102+EC103</f>
        <v>-277.10000000000002</v>
      </c>
      <c r="ED104" s="91">
        <f t="shared" ref="ED104:EN104" si="215">ED98-ED99+ED100+ED101+ED102+ED103</f>
        <v>-110.30002999999998</v>
      </c>
      <c r="EE104" s="91">
        <f t="shared" si="215"/>
        <v>195.16533977500006</v>
      </c>
      <c r="EF104" s="91">
        <f t="shared" si="215"/>
        <v>497.0079378233126</v>
      </c>
      <c r="EG104" s="91">
        <f t="shared" si="215"/>
        <v>761.80796876948762</v>
      </c>
      <c r="EH104" s="91">
        <f t="shared" si="215"/>
        <v>1000.6294864518838</v>
      </c>
      <c r="EI104" s="91">
        <f t="shared" si="215"/>
        <v>1209.4005973742144</v>
      </c>
      <c r="EJ104" s="91">
        <f t="shared" si="215"/>
        <v>1388.3109719570546</v>
      </c>
      <c r="EK104" s="91">
        <f t="shared" si="215"/>
        <v>1554.4689256624167</v>
      </c>
      <c r="EL104" s="91">
        <f t="shared" si="215"/>
        <v>1712.4861983031856</v>
      </c>
      <c r="EM104" s="91">
        <f t="shared" si="215"/>
        <v>1863.2332064767384</v>
      </c>
      <c r="EN104" s="91">
        <f t="shared" si="215"/>
        <v>2008.0823911049927</v>
      </c>
      <c r="EO104" s="90"/>
      <c r="EP104" s="90"/>
      <c r="EQ104" s="90"/>
      <c r="ER104" s="90"/>
      <c r="ES104" s="90"/>
      <c r="ET104" s="90"/>
      <c r="EU104" s="90"/>
      <c r="EV104" s="90"/>
      <c r="EW104" s="90"/>
      <c r="EX104" s="90"/>
      <c r="EY104" s="90"/>
      <c r="EZ104" s="90"/>
      <c r="FA104" s="90"/>
      <c r="FB104" s="90"/>
      <c r="FC104" s="90"/>
      <c r="FD104" s="90"/>
      <c r="FE104" s="90"/>
      <c r="FF104" s="90"/>
      <c r="FG104" s="90"/>
      <c r="FH104" s="90"/>
      <c r="FI104" s="90"/>
      <c r="FJ104" s="90"/>
      <c r="FK104" s="90"/>
      <c r="FL104" s="90"/>
      <c r="FM104" s="90"/>
      <c r="FN104" s="90"/>
      <c r="FO104" s="90"/>
      <c r="FP104" s="90"/>
      <c r="FQ104" s="90"/>
      <c r="FR104" s="90"/>
      <c r="FS104" s="90"/>
      <c r="FT104" s="90"/>
      <c r="FU104" s="90"/>
      <c r="FV104" s="90"/>
      <c r="FW104" s="90"/>
      <c r="FX104" s="90"/>
      <c r="FY104" s="90"/>
      <c r="FZ104" s="90"/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</row>
    <row r="105" spans="2:254" s="81" customFormat="1" ht="12.75" customHeight="1">
      <c r="B105" s="98" t="s">
        <v>72</v>
      </c>
      <c r="C105" s="91">
        <f t="shared" ref="C105:N105" si="216">C97-C104</f>
        <v>2279.5</v>
      </c>
      <c r="D105" s="91">
        <f t="shared" si="216"/>
        <v>2477.5</v>
      </c>
      <c r="E105" s="91">
        <f t="shared" si="216"/>
        <v>2653.89</v>
      </c>
      <c r="F105" s="91">
        <f t="shared" si="216"/>
        <v>2537</v>
      </c>
      <c r="G105" s="91">
        <f t="shared" si="216"/>
        <v>-2589.4</v>
      </c>
      <c r="H105" s="91">
        <f t="shared" si="216"/>
        <v>-2807.7999999999997</v>
      </c>
      <c r="I105" s="91">
        <f t="shared" si="216"/>
        <v>-2915.8</v>
      </c>
      <c r="J105" s="91">
        <f t="shared" si="216"/>
        <v>-3479.2000000000007</v>
      </c>
      <c r="K105" s="91">
        <f t="shared" si="216"/>
        <v>-3355.2999999999997</v>
      </c>
      <c r="L105" s="91">
        <f t="shared" si="216"/>
        <v>-3055.6000000000004</v>
      </c>
      <c r="M105" s="91">
        <f t="shared" si="216"/>
        <v>-3152.8</v>
      </c>
      <c r="N105" s="91">
        <f t="shared" si="216"/>
        <v>-3866.2</v>
      </c>
      <c r="O105" s="91" t="e">
        <f t="shared" ref="O105:X105" si="217">O97+O104</f>
        <v>#REF!</v>
      </c>
      <c r="P105" s="91" t="e">
        <f t="shared" si="217"/>
        <v>#REF!</v>
      </c>
      <c r="Q105" s="91">
        <f t="shared" si="217"/>
        <v>-2321.2999999999997</v>
      </c>
      <c r="R105" s="91">
        <f t="shared" si="217"/>
        <v>-2476.2000000000003</v>
      </c>
      <c r="S105" s="91">
        <f t="shared" si="217"/>
        <v>-2170.1</v>
      </c>
      <c r="T105" s="91">
        <f t="shared" si="217"/>
        <v>-2382</v>
      </c>
      <c r="U105" s="91">
        <f t="shared" si="217"/>
        <v>-2099</v>
      </c>
      <c r="V105" s="91">
        <f t="shared" si="217"/>
        <v>-2224.1</v>
      </c>
      <c r="W105" s="91">
        <f t="shared" si="217"/>
        <v>-1998</v>
      </c>
      <c r="X105" s="91">
        <f t="shared" si="217"/>
        <v>-1929.2999999999997</v>
      </c>
      <c r="Y105" s="91">
        <f t="shared" ref="Y105:AJ105" si="218">Y104+Y97</f>
        <v>-2586.3000000000002</v>
      </c>
      <c r="Z105" s="91">
        <f t="shared" si="218"/>
        <v>-2818.2</v>
      </c>
      <c r="AA105" s="91">
        <f t="shared" si="218"/>
        <v>-1923.4</v>
      </c>
      <c r="AB105" s="91">
        <f t="shared" si="218"/>
        <v>-2271.1</v>
      </c>
      <c r="AC105" s="91">
        <f t="shared" si="218"/>
        <v>-2117.4</v>
      </c>
      <c r="AD105" s="91"/>
      <c r="AE105" s="91">
        <f>AE104+AE97</f>
        <v>-2240.6</v>
      </c>
      <c r="AF105" s="91">
        <f>AF104+AF97</f>
        <v>-2494.6</v>
      </c>
      <c r="AG105" s="91">
        <f>AG104+AG97</f>
        <v>-2173.9999999999995</v>
      </c>
      <c r="AH105" s="91">
        <f t="shared" si="218"/>
        <v>-2501.8999999999996</v>
      </c>
      <c r="AI105" s="91">
        <f t="shared" si="218"/>
        <v>-2097.1000000000004</v>
      </c>
      <c r="AJ105" s="91">
        <f t="shared" si="218"/>
        <v>-2314.3000000000002</v>
      </c>
      <c r="AK105" s="91">
        <f t="shared" ref="AK105:AQ105" si="219">AK104+AK97</f>
        <v>-2291.3000000000002</v>
      </c>
      <c r="AL105" s="91">
        <f t="shared" si="219"/>
        <v>3658.8000000000011</v>
      </c>
      <c r="AM105" s="91">
        <f t="shared" si="219"/>
        <v>3427.8999999999992</v>
      </c>
      <c r="AN105" s="91">
        <f t="shared" si="219"/>
        <v>-5245</v>
      </c>
      <c r="AO105" s="91">
        <f t="shared" si="219"/>
        <v>-4889.6999999999989</v>
      </c>
      <c r="AP105" s="91">
        <f t="shared" si="219"/>
        <v>-5721</v>
      </c>
      <c r="AQ105" s="91">
        <f t="shared" si="219"/>
        <v>-5012</v>
      </c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>
        <f t="shared" ref="CC105:CJ105" si="220">+CC97+CC99</f>
        <v>4073</v>
      </c>
      <c r="CD105" s="91">
        <f t="shared" si="220"/>
        <v>4513</v>
      </c>
      <c r="CE105" s="91">
        <f t="shared" si="220"/>
        <v>3445</v>
      </c>
      <c r="CF105" s="91">
        <f t="shared" si="220"/>
        <v>2127</v>
      </c>
      <c r="CG105" s="91">
        <f t="shared" si="220"/>
        <v>5108</v>
      </c>
      <c r="CH105" s="91">
        <f t="shared" si="220"/>
        <v>4784</v>
      </c>
      <c r="CI105" s="91">
        <f t="shared" si="220"/>
        <v>6309</v>
      </c>
      <c r="CJ105" s="91">
        <f t="shared" si="220"/>
        <v>5509</v>
      </c>
      <c r="CK105" s="91">
        <f t="shared" ref="CK105:CT105" si="221">+CK97+CK99</f>
        <v>5452</v>
      </c>
      <c r="CL105" s="91">
        <f t="shared" si="221"/>
        <v>4892</v>
      </c>
      <c r="CM105" s="91">
        <f t="shared" si="221"/>
        <v>4481</v>
      </c>
      <c r="CN105" s="91">
        <f t="shared" si="221"/>
        <v>5755</v>
      </c>
      <c r="CO105" s="91">
        <f t="shared" si="221"/>
        <v>6391</v>
      </c>
      <c r="CP105" s="91">
        <f t="shared" si="221"/>
        <v>5027</v>
      </c>
      <c r="CQ105" s="91">
        <f t="shared" si="221"/>
        <v>6296</v>
      </c>
      <c r="CR105" s="91">
        <f t="shared" si="221"/>
        <v>6767</v>
      </c>
      <c r="CS105" s="91">
        <f t="shared" si="221"/>
        <v>5106</v>
      </c>
      <c r="CT105" s="91">
        <f t="shared" si="221"/>
        <v>5220</v>
      </c>
      <c r="CU105" s="91">
        <f t="shared" ref="CU105:DB105" si="222">+CU97+CU99</f>
        <v>6623</v>
      </c>
      <c r="CV105" s="91">
        <f t="shared" si="222"/>
        <v>6311</v>
      </c>
      <c r="CW105" s="91">
        <f t="shared" si="222"/>
        <v>7529</v>
      </c>
      <c r="CX105" s="91">
        <f t="shared" si="222"/>
        <v>6010</v>
      </c>
      <c r="CY105" s="91">
        <f t="shared" si="222"/>
        <v>6798</v>
      </c>
      <c r="CZ105" s="91">
        <f t="shared" si="222"/>
        <v>6250</v>
      </c>
      <c r="DA105" s="91">
        <f t="shared" si="222"/>
        <v>6663.608000000002</v>
      </c>
      <c r="DB105" s="91">
        <f t="shared" si="222"/>
        <v>6448.7279999999992</v>
      </c>
      <c r="DC105" s="91"/>
      <c r="DD105" s="91"/>
      <c r="DE105" s="73"/>
      <c r="DF105" s="91">
        <f t="shared" ref="DF105:DN105" si="223">DF104+DF97</f>
        <v>8886.3100000000013</v>
      </c>
      <c r="DG105" s="91">
        <f t="shared" si="223"/>
        <v>-9553.3999999999978</v>
      </c>
      <c r="DH105" s="91">
        <f t="shared" si="223"/>
        <v>-10764.9</v>
      </c>
      <c r="DI105" s="91">
        <f t="shared" si="223"/>
        <v>-9379.4</v>
      </c>
      <c r="DJ105" s="91">
        <f t="shared" si="223"/>
        <v>-8875.1999999999989</v>
      </c>
      <c r="DK105" s="91">
        <f t="shared" si="223"/>
        <v>-9331.8000000000011</v>
      </c>
      <c r="DL105" s="91">
        <f t="shared" si="223"/>
        <v>-6311.9</v>
      </c>
      <c r="DM105" s="91">
        <f t="shared" si="223"/>
        <v>-10157.9</v>
      </c>
      <c r="DN105" s="91">
        <f t="shared" si="223"/>
        <v>-13863.599999999999</v>
      </c>
      <c r="DO105" s="91">
        <f>DO104+DO97</f>
        <v>-21039.100000000002</v>
      </c>
      <c r="DP105" s="91">
        <f>DP104+DP97</f>
        <v>14710.092000000004</v>
      </c>
      <c r="DQ105" s="91">
        <f>DQ104+DQ97</f>
        <v>-12999.250000000002</v>
      </c>
      <c r="DR105" s="91">
        <f t="shared" ref="DR105:DX105" si="224">DR104+DR97</f>
        <v>-11976.704000000002</v>
      </c>
      <c r="DS105" s="91">
        <f t="shared" si="224"/>
        <v>-11403.990000000002</v>
      </c>
      <c r="DT105" s="91">
        <f t="shared" si="224"/>
        <v>-10664.460000000001</v>
      </c>
      <c r="DU105" s="91">
        <f t="shared" si="224"/>
        <v>-10747.890000000001</v>
      </c>
      <c r="DV105" s="91">
        <f t="shared" si="224"/>
        <v>-10832.94</v>
      </c>
      <c r="DW105" s="91">
        <f t="shared" si="224"/>
        <v>-11419.380000000001</v>
      </c>
      <c r="DX105" s="91">
        <f t="shared" si="224"/>
        <v>-12647.070000000002</v>
      </c>
      <c r="DY105" s="91">
        <f t="shared" ref="DY105:EB105" si="225">DY104+DY97</f>
        <v>-12647.070000000002</v>
      </c>
      <c r="DZ105" s="91">
        <f>DZ104+DZ97</f>
        <v>16398</v>
      </c>
      <c r="EA105" s="91">
        <f>EA104+EA97</f>
        <v>22882</v>
      </c>
      <c r="EB105" s="91">
        <f t="shared" si="225"/>
        <v>22216</v>
      </c>
      <c r="EC105" s="91">
        <f>EC104+EC97</f>
        <v>22239.996000000006</v>
      </c>
      <c r="ED105" s="91">
        <f t="shared" ref="ED105:EN105" si="226">ED104+ED97</f>
        <v>40728.715970000005</v>
      </c>
      <c r="EE105" s="91">
        <f t="shared" si="226"/>
        <v>40245.679739775005</v>
      </c>
      <c r="EF105" s="91">
        <f t="shared" si="226"/>
        <v>35306.67079282333</v>
      </c>
      <c r="EG105" s="91">
        <f t="shared" si="226"/>
        <v>31842.869024319498</v>
      </c>
      <c r="EH105" s="91">
        <f t="shared" si="226"/>
        <v>27836.148122977378</v>
      </c>
      <c r="EI105" s="91">
        <f t="shared" si="226"/>
        <v>23854.716611045395</v>
      </c>
      <c r="EJ105" s="91">
        <f t="shared" si="226"/>
        <v>22154.393827381613</v>
      </c>
      <c r="EK105" s="91">
        <f t="shared" si="226"/>
        <v>21068.969685435823</v>
      </c>
      <c r="EL105" s="91">
        <f t="shared" si="226"/>
        <v>20099.601089807042</v>
      </c>
      <c r="EM105" s="91">
        <f t="shared" si="226"/>
        <v>19313.22461710059</v>
      </c>
      <c r="EN105" s="91">
        <f t="shared" si="226"/>
        <v>18968.763046372347</v>
      </c>
      <c r="EO105" s="90"/>
      <c r="EP105" s="90"/>
      <c r="EQ105" s="90"/>
      <c r="ER105" s="90"/>
      <c r="ES105" s="90"/>
      <c r="ET105" s="90"/>
      <c r="EU105" s="90"/>
      <c r="EV105" s="90"/>
      <c r="EW105" s="90"/>
      <c r="EX105" s="90"/>
      <c r="EY105" s="90"/>
      <c r="EZ105" s="90"/>
      <c r="FA105" s="90"/>
      <c r="FB105" s="90"/>
      <c r="FC105" s="90"/>
      <c r="FD105" s="90"/>
      <c r="FE105" s="90"/>
      <c r="FF105" s="90"/>
      <c r="FG105" s="90"/>
      <c r="FH105" s="90"/>
      <c r="FI105" s="90"/>
      <c r="FJ105" s="90"/>
      <c r="FK105" s="90"/>
      <c r="FL105" s="90"/>
      <c r="FM105" s="90"/>
      <c r="FN105" s="90"/>
      <c r="FO105" s="90"/>
      <c r="FP105" s="90"/>
      <c r="FQ105" s="90"/>
      <c r="FR105" s="90"/>
      <c r="FS105" s="90"/>
      <c r="FT105" s="90"/>
      <c r="FU105" s="90"/>
      <c r="FV105" s="90"/>
      <c r="FW105" s="90"/>
      <c r="FX105" s="90"/>
      <c r="FY105" s="90"/>
      <c r="FZ105" s="90"/>
      <c r="GA105" s="90"/>
      <c r="GB105" s="90"/>
      <c r="GC105" s="90"/>
      <c r="GD105" s="90"/>
      <c r="GE105" s="90"/>
      <c r="GF105" s="90"/>
      <c r="GG105" s="90"/>
      <c r="GH105" s="90"/>
      <c r="GI105" s="90"/>
      <c r="GJ105" s="90"/>
      <c r="GK105" s="90"/>
      <c r="GL105" s="90"/>
      <c r="GM105" s="90"/>
      <c r="GN105" s="90"/>
      <c r="GO105" s="90"/>
      <c r="GP105" s="90"/>
    </row>
    <row r="106" spans="2:254" s="81" customFormat="1" ht="12.75" customHeight="1">
      <c r="B106" s="98" t="s">
        <v>471</v>
      </c>
      <c r="C106" s="91">
        <v>663.3</v>
      </c>
      <c r="D106" s="91">
        <v>721</v>
      </c>
      <c r="E106" s="91">
        <v>772.3</v>
      </c>
      <c r="F106" s="91">
        <f>783.3-45</f>
        <v>738.3</v>
      </c>
      <c r="G106" s="91">
        <v>655.1</v>
      </c>
      <c r="H106" s="91">
        <v>696.1</v>
      </c>
      <c r="I106" s="91">
        <v>743</v>
      </c>
      <c r="J106" s="91">
        <v>763.3</v>
      </c>
      <c r="K106" s="92">
        <v>671.2</v>
      </c>
      <c r="L106" s="92">
        <v>685.3</v>
      </c>
      <c r="M106" s="92">
        <v>739.8</v>
      </c>
      <c r="N106" s="92">
        <v>365.7</v>
      </c>
      <c r="O106" s="92">
        <v>724.3</v>
      </c>
      <c r="P106" s="92">
        <v>670.7</v>
      </c>
      <c r="Q106" s="92">
        <v>487.4</v>
      </c>
      <c r="R106" s="92">
        <v>278.7</v>
      </c>
      <c r="S106" s="92">
        <v>550.6</v>
      </c>
      <c r="T106" s="92">
        <f>1204-640</f>
        <v>564</v>
      </c>
      <c r="U106" s="92">
        <v>577.5</v>
      </c>
      <c r="V106" s="92">
        <v>400.3</v>
      </c>
      <c r="W106" s="92">
        <v>450.4</v>
      </c>
      <c r="X106" s="92">
        <v>609</v>
      </c>
      <c r="Y106" s="92">
        <v>290.2</v>
      </c>
      <c r="Z106" s="92">
        <v>438</v>
      </c>
      <c r="AA106" s="92">
        <v>550.1</v>
      </c>
      <c r="AB106" s="91">
        <v>555.79999999999995</v>
      </c>
      <c r="AC106" s="91">
        <v>539.1</v>
      </c>
      <c r="AD106" s="91"/>
      <c r="AE106" s="91">
        <f>AE105*0.25</f>
        <v>-560.15</v>
      </c>
      <c r="AF106" s="91">
        <v>290.2</v>
      </c>
      <c r="AG106" s="91">
        <v>318.2</v>
      </c>
      <c r="AH106" s="91">
        <f>282.6+30</f>
        <v>312.60000000000002</v>
      </c>
      <c r="AI106" s="91">
        <f>327.2+30.8</f>
        <v>358</v>
      </c>
      <c r="AJ106" s="91">
        <f>379+32+80</f>
        <v>491</v>
      </c>
      <c r="AK106" s="91">
        <f>+AK105*0.319</f>
        <v>-730.92470000000003</v>
      </c>
      <c r="AL106" s="91">
        <f>398.4+29.1+2.1</f>
        <v>429.6</v>
      </c>
      <c r="AM106" s="91">
        <f>788.3+31.4</f>
        <v>819.69999999999993</v>
      </c>
      <c r="AN106" s="91">
        <f>703.3+27.8</f>
        <v>731.09999999999991</v>
      </c>
      <c r="AO106" s="91">
        <f>764.3+30.1</f>
        <v>794.4</v>
      </c>
      <c r="AP106" s="91">
        <f>457+31</f>
        <v>488</v>
      </c>
      <c r="AQ106" s="91">
        <v>989</v>
      </c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>
        <v>585</v>
      </c>
      <c r="CD106" s="91">
        <v>452</v>
      </c>
      <c r="CE106" s="91">
        <v>494</v>
      </c>
      <c r="CF106" s="91">
        <v>567</v>
      </c>
      <c r="CG106" s="91">
        <v>665</v>
      </c>
      <c r="CH106" s="91">
        <v>205</v>
      </c>
      <c r="CI106" s="91">
        <v>883</v>
      </c>
      <c r="CJ106" s="91">
        <v>761</v>
      </c>
      <c r="CK106" s="91">
        <f>744+5</f>
        <v>749</v>
      </c>
      <c r="CL106" s="91">
        <v>762</v>
      </c>
      <c r="CM106" s="91">
        <v>913</v>
      </c>
      <c r="CN106" s="91">
        <v>810</v>
      </c>
      <c r="CO106" s="91">
        <v>959</v>
      </c>
      <c r="CP106" s="91">
        <v>-540</v>
      </c>
      <c r="CQ106" s="91">
        <v>1012</v>
      </c>
      <c r="CR106" s="91">
        <v>952</v>
      </c>
      <c r="CS106" s="91">
        <f>1117+4</f>
        <v>1121</v>
      </c>
      <c r="CT106" s="91">
        <f>846+2</f>
        <v>848</v>
      </c>
      <c r="CU106" s="91">
        <v>931</v>
      </c>
      <c r="CV106" s="91">
        <v>944</v>
      </c>
      <c r="CW106" s="91">
        <v>1000</v>
      </c>
      <c r="CX106" s="91">
        <v>923</v>
      </c>
      <c r="CY106" s="91">
        <v>957</v>
      </c>
      <c r="CZ106" s="91">
        <v>882</v>
      </c>
      <c r="DA106" s="91">
        <f>+DA105*0.1</f>
        <v>666.36080000000027</v>
      </c>
      <c r="DB106" s="91">
        <f>+DB105*0.1</f>
        <v>644.87279999999998</v>
      </c>
      <c r="DC106" s="91"/>
      <c r="DD106" s="91"/>
      <c r="DE106" s="73"/>
      <c r="DF106" s="91">
        <f>SUM(C106:F106)</f>
        <v>2894.8999999999996</v>
      </c>
      <c r="DG106" s="91">
        <f>SUM(G106:J106)-0.6</f>
        <v>2856.9</v>
      </c>
      <c r="DH106" s="91">
        <f>SUM(K106:N106)</f>
        <v>2462</v>
      </c>
      <c r="DI106" s="91">
        <f>SUM(O106:R106)</f>
        <v>2161.1</v>
      </c>
      <c r="DJ106" s="91">
        <f>SUM(S106:V106)</f>
        <v>2092.4</v>
      </c>
      <c r="DK106" s="91">
        <f>SUM(W106:Z106)</f>
        <v>1787.6000000000001</v>
      </c>
      <c r="DL106" s="91">
        <f>SUM(AA106:AD106)</f>
        <v>1645</v>
      </c>
      <c r="DM106" s="91">
        <f t="shared" ref="DM106:DX106" si="227">DM105*0.25</f>
        <v>-2539.4749999999999</v>
      </c>
      <c r="DN106" s="91">
        <f t="shared" si="227"/>
        <v>-3465.8999999999996</v>
      </c>
      <c r="DO106" s="91">
        <f>SUM(AM106:AP106)</f>
        <v>2833.2</v>
      </c>
      <c r="DP106" s="91">
        <f>DP105*0.25</f>
        <v>3677.523000000001</v>
      </c>
      <c r="DQ106" s="91">
        <f t="shared" si="227"/>
        <v>-3249.8125000000005</v>
      </c>
      <c r="DR106" s="91">
        <f t="shared" si="227"/>
        <v>-2994.1760000000004</v>
      </c>
      <c r="DS106" s="91">
        <f t="shared" si="227"/>
        <v>-2850.9975000000004</v>
      </c>
      <c r="DT106" s="91">
        <f t="shared" si="227"/>
        <v>-2666.1150000000002</v>
      </c>
      <c r="DU106" s="91">
        <f t="shared" si="227"/>
        <v>-2686.9725000000003</v>
      </c>
      <c r="DV106" s="91">
        <f t="shared" si="227"/>
        <v>-2708.2350000000001</v>
      </c>
      <c r="DW106" s="91">
        <f t="shared" si="227"/>
        <v>-2854.8450000000003</v>
      </c>
      <c r="DX106" s="91">
        <f t="shared" si="227"/>
        <v>-3161.7675000000004</v>
      </c>
      <c r="DY106" s="91">
        <f t="shared" ref="DY106:EE106" si="228">DY105*0.25</f>
        <v>-3161.7675000000004</v>
      </c>
      <c r="DZ106" s="92">
        <f t="shared" ref="DZ106" si="229">SUM(CE106:CH106)</f>
        <v>1931</v>
      </c>
      <c r="EA106" s="92">
        <f>SUM(CI106:CL106)</f>
        <v>3155</v>
      </c>
      <c r="EB106" s="92">
        <f t="shared" ref="EB106" si="230">SUM(CM106:CP106)</f>
        <v>2142</v>
      </c>
      <c r="EC106" s="91">
        <f t="shared" si="228"/>
        <v>5559.9990000000016</v>
      </c>
      <c r="ED106" s="91">
        <f t="shared" si="228"/>
        <v>10182.178992500001</v>
      </c>
      <c r="EE106" s="91">
        <f t="shared" si="228"/>
        <v>10061.419934943751</v>
      </c>
      <c r="EF106" s="91">
        <f t="shared" ref="EF106:EM106" si="231">EF105*0.25</f>
        <v>8826.6676982058325</v>
      </c>
      <c r="EG106" s="91">
        <f t="shared" si="231"/>
        <v>7960.7172560798745</v>
      </c>
      <c r="EH106" s="91">
        <f t="shared" si="231"/>
        <v>6959.0370307443445</v>
      </c>
      <c r="EI106" s="91">
        <f t="shared" si="231"/>
        <v>5963.6791527613486</v>
      </c>
      <c r="EJ106" s="91">
        <f t="shared" si="231"/>
        <v>5538.5984568454032</v>
      </c>
      <c r="EK106" s="91">
        <f t="shared" si="231"/>
        <v>5267.2424213589557</v>
      </c>
      <c r="EL106" s="91">
        <f t="shared" si="231"/>
        <v>5024.9002724517604</v>
      </c>
      <c r="EM106" s="91">
        <f t="shared" si="231"/>
        <v>4828.3061542751475</v>
      </c>
      <c r="EN106" s="91">
        <f>EN105*0.25</f>
        <v>4742.1907615930868</v>
      </c>
      <c r="EO106" s="90"/>
      <c r="EP106" s="90"/>
      <c r="EQ106" s="90"/>
      <c r="ER106" s="90"/>
      <c r="ES106" s="90"/>
      <c r="ET106" s="90"/>
      <c r="EU106" s="90"/>
      <c r="EV106" s="90"/>
      <c r="EW106" s="90"/>
      <c r="EX106" s="90"/>
      <c r="EY106" s="90"/>
      <c r="EZ106" s="90"/>
      <c r="FA106" s="90"/>
      <c r="FB106" s="90"/>
      <c r="FC106" s="90"/>
      <c r="FD106" s="90"/>
      <c r="FE106" s="90"/>
      <c r="FF106" s="90"/>
      <c r="FG106" s="90"/>
      <c r="FH106" s="90"/>
      <c r="FI106" s="90"/>
      <c r="FJ106" s="90"/>
      <c r="FK106" s="90"/>
      <c r="FL106" s="90"/>
      <c r="FM106" s="90"/>
      <c r="FN106" s="90"/>
      <c r="FO106" s="90"/>
      <c r="FP106" s="90"/>
      <c r="FQ106" s="90"/>
      <c r="FR106" s="90"/>
      <c r="FS106" s="90"/>
      <c r="FT106" s="90"/>
      <c r="FU106" s="90"/>
      <c r="FV106" s="90"/>
      <c r="FW106" s="90"/>
      <c r="FX106" s="90"/>
      <c r="FY106" s="90"/>
      <c r="FZ106" s="90"/>
      <c r="GA106" s="90"/>
      <c r="GB106" s="90"/>
      <c r="GC106" s="90"/>
      <c r="GD106" s="90"/>
      <c r="GE106" s="90"/>
      <c r="GF106" s="90"/>
      <c r="GG106" s="90"/>
      <c r="GH106" s="90"/>
      <c r="GI106" s="90"/>
      <c r="GJ106" s="90"/>
      <c r="GK106" s="90"/>
      <c r="GL106" s="90"/>
      <c r="GM106" s="90"/>
      <c r="GN106" s="90"/>
      <c r="GO106" s="90"/>
      <c r="GP106" s="90"/>
    </row>
    <row r="107" spans="2:254" s="81" customFormat="1" ht="12.75" customHeight="1">
      <c r="B107" s="98" t="s">
        <v>73</v>
      </c>
      <c r="C107" s="91">
        <f t="shared" ref="C107:W107" si="232">C105-C106</f>
        <v>1616.2</v>
      </c>
      <c r="D107" s="91">
        <f t="shared" si="232"/>
        <v>1756.5</v>
      </c>
      <c r="E107" s="91">
        <f t="shared" si="232"/>
        <v>1881.59</v>
      </c>
      <c r="F107" s="91">
        <f t="shared" si="232"/>
        <v>1798.7</v>
      </c>
      <c r="G107" s="91">
        <f t="shared" si="232"/>
        <v>-3244.5</v>
      </c>
      <c r="H107" s="91">
        <f t="shared" si="232"/>
        <v>-3503.8999999999996</v>
      </c>
      <c r="I107" s="91">
        <f t="shared" si="232"/>
        <v>-3658.8</v>
      </c>
      <c r="J107" s="91">
        <f t="shared" si="232"/>
        <v>-4242.5000000000009</v>
      </c>
      <c r="K107" s="91">
        <f t="shared" si="232"/>
        <v>-4026.5</v>
      </c>
      <c r="L107" s="91">
        <f t="shared" si="232"/>
        <v>-3740.9000000000005</v>
      </c>
      <c r="M107" s="91">
        <f t="shared" si="232"/>
        <v>-3892.6000000000004</v>
      </c>
      <c r="N107" s="91">
        <f t="shared" si="232"/>
        <v>-4231.8999999999996</v>
      </c>
      <c r="O107" s="91" t="e">
        <f t="shared" si="232"/>
        <v>#REF!</v>
      </c>
      <c r="P107" s="91" t="e">
        <f>P105-P106</f>
        <v>#REF!</v>
      </c>
      <c r="Q107" s="91">
        <f t="shared" si="232"/>
        <v>-2808.7</v>
      </c>
      <c r="R107" s="91">
        <f t="shared" si="232"/>
        <v>-2754.9</v>
      </c>
      <c r="S107" s="91">
        <f t="shared" si="232"/>
        <v>-2720.7</v>
      </c>
      <c r="T107" s="91">
        <f t="shared" si="232"/>
        <v>-2946</v>
      </c>
      <c r="U107" s="91">
        <f t="shared" si="232"/>
        <v>-2676.5</v>
      </c>
      <c r="V107" s="91">
        <f>V105-V106</f>
        <v>-2624.4</v>
      </c>
      <c r="W107" s="91">
        <f t="shared" si="232"/>
        <v>-2448.4</v>
      </c>
      <c r="X107" s="91">
        <f>X105-X106</f>
        <v>-2538.2999999999997</v>
      </c>
      <c r="Y107" s="91">
        <f t="shared" ref="Y107:AH107" si="233">Y105-Y106</f>
        <v>-2876.5</v>
      </c>
      <c r="Z107" s="91">
        <f t="shared" si="233"/>
        <v>-3256.2</v>
      </c>
      <c r="AA107" s="91">
        <f t="shared" si="233"/>
        <v>-2473.5</v>
      </c>
      <c r="AB107" s="91">
        <f t="shared" si="233"/>
        <v>-2826.8999999999996</v>
      </c>
      <c r="AC107" s="91">
        <f t="shared" si="233"/>
        <v>-2656.5</v>
      </c>
      <c r="AD107" s="91"/>
      <c r="AE107" s="91">
        <f t="shared" si="233"/>
        <v>-1680.4499999999998</v>
      </c>
      <c r="AF107" s="91">
        <f t="shared" si="233"/>
        <v>-2784.7999999999997</v>
      </c>
      <c r="AG107" s="91">
        <f>AG105-AG106</f>
        <v>-2492.1999999999994</v>
      </c>
      <c r="AH107" s="91">
        <f t="shared" si="233"/>
        <v>-2814.4999999999995</v>
      </c>
      <c r="AI107" s="91">
        <f t="shared" ref="AI107:AP107" si="234">AI105-AI106</f>
        <v>-2455.1000000000004</v>
      </c>
      <c r="AJ107" s="91">
        <f t="shared" si="234"/>
        <v>-2805.3</v>
      </c>
      <c r="AK107" s="91">
        <f t="shared" si="234"/>
        <v>-1560.3753000000002</v>
      </c>
      <c r="AL107" s="91">
        <f t="shared" si="234"/>
        <v>3229.2000000000012</v>
      </c>
      <c r="AM107" s="91">
        <f t="shared" si="234"/>
        <v>2608.1999999999994</v>
      </c>
      <c r="AN107" s="91">
        <f t="shared" si="234"/>
        <v>-5976.1</v>
      </c>
      <c r="AO107" s="91">
        <f t="shared" si="234"/>
        <v>-5684.0999999999985</v>
      </c>
      <c r="AP107" s="91">
        <f t="shared" si="234"/>
        <v>-6209</v>
      </c>
      <c r="AQ107" s="91">
        <f>AQ105-AQ106</f>
        <v>-6001</v>
      </c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>
        <f t="shared" ref="CC107:CJ107" si="235">+CC105-CC106</f>
        <v>3488</v>
      </c>
      <c r="CD107" s="91">
        <f t="shared" si="235"/>
        <v>4061</v>
      </c>
      <c r="CE107" s="91">
        <f t="shared" si="235"/>
        <v>2951</v>
      </c>
      <c r="CF107" s="91">
        <f t="shared" si="235"/>
        <v>1560</v>
      </c>
      <c r="CG107" s="91">
        <f t="shared" si="235"/>
        <v>4443</v>
      </c>
      <c r="CH107" s="91">
        <f t="shared" si="235"/>
        <v>4579</v>
      </c>
      <c r="CI107" s="91">
        <f t="shared" si="235"/>
        <v>5426</v>
      </c>
      <c r="CJ107" s="91">
        <f t="shared" si="235"/>
        <v>4748</v>
      </c>
      <c r="CK107" s="91">
        <f t="shared" ref="CK107:CT107" si="236">+CK105-CK106</f>
        <v>4703</v>
      </c>
      <c r="CL107" s="91">
        <f t="shared" si="236"/>
        <v>4130</v>
      </c>
      <c r="CM107" s="91">
        <f t="shared" si="236"/>
        <v>3568</v>
      </c>
      <c r="CN107" s="91">
        <f t="shared" si="236"/>
        <v>4945</v>
      </c>
      <c r="CO107" s="91">
        <f t="shared" si="236"/>
        <v>5432</v>
      </c>
      <c r="CP107" s="91">
        <f t="shared" si="236"/>
        <v>5567</v>
      </c>
      <c r="CQ107" s="91">
        <f t="shared" si="236"/>
        <v>5284</v>
      </c>
      <c r="CR107" s="91">
        <f t="shared" si="236"/>
        <v>5815</v>
      </c>
      <c r="CS107" s="91">
        <f t="shared" si="236"/>
        <v>3985</v>
      </c>
      <c r="CT107" s="91">
        <f t="shared" si="236"/>
        <v>4372</v>
      </c>
      <c r="CU107" s="91">
        <f t="shared" ref="CU107:CX107" si="237">+CU105-CU106</f>
        <v>5692</v>
      </c>
      <c r="CV107" s="91">
        <f t="shared" si="237"/>
        <v>5367</v>
      </c>
      <c r="CW107" s="91">
        <f t="shared" si="237"/>
        <v>6529</v>
      </c>
      <c r="CX107" s="91">
        <f t="shared" si="237"/>
        <v>5087</v>
      </c>
      <c r="CY107" s="91">
        <f t="shared" ref="CY107:DB107" si="238">+CY105-CY106</f>
        <v>5841</v>
      </c>
      <c r="CZ107" s="91">
        <f t="shared" si="238"/>
        <v>5368</v>
      </c>
      <c r="DA107" s="91">
        <f t="shared" si="238"/>
        <v>5997.2472000000016</v>
      </c>
      <c r="DB107" s="91">
        <f t="shared" si="238"/>
        <v>5803.8551999999991</v>
      </c>
      <c r="DC107" s="91"/>
      <c r="DD107" s="91"/>
      <c r="DE107" s="73"/>
      <c r="DF107" s="92">
        <f t="shared" ref="DF107:DN107" si="239">DF105-DF106</f>
        <v>5991.4100000000017</v>
      </c>
      <c r="DG107" s="92">
        <f t="shared" si="239"/>
        <v>-12410.299999999997</v>
      </c>
      <c r="DH107" s="92">
        <f t="shared" si="239"/>
        <v>-13226.9</v>
      </c>
      <c r="DI107" s="92">
        <f t="shared" si="239"/>
        <v>-11540.5</v>
      </c>
      <c r="DJ107" s="92">
        <f t="shared" si="239"/>
        <v>-10967.599999999999</v>
      </c>
      <c r="DK107" s="92">
        <f t="shared" si="239"/>
        <v>-11119.400000000001</v>
      </c>
      <c r="DL107" s="92">
        <f t="shared" si="239"/>
        <v>-7956.9</v>
      </c>
      <c r="DM107" s="92">
        <f t="shared" si="239"/>
        <v>-7618.4249999999993</v>
      </c>
      <c r="DN107" s="92">
        <f t="shared" si="239"/>
        <v>-10397.699999999999</v>
      </c>
      <c r="DO107" s="92">
        <f>DO105-DO106</f>
        <v>-23872.300000000003</v>
      </c>
      <c r="DP107" s="92">
        <f>DP105-DP106</f>
        <v>11032.569000000003</v>
      </c>
      <c r="DQ107" s="92">
        <f t="shared" ref="DQ107:DX107" si="240">DQ105-DQ106</f>
        <v>-9749.4375000000018</v>
      </c>
      <c r="DR107" s="92">
        <f t="shared" si="240"/>
        <v>-8982.5280000000021</v>
      </c>
      <c r="DS107" s="92">
        <f t="shared" si="240"/>
        <v>-8552.9925000000003</v>
      </c>
      <c r="DT107" s="92">
        <f t="shared" si="240"/>
        <v>-7998.3450000000012</v>
      </c>
      <c r="DU107" s="92">
        <f t="shared" si="240"/>
        <v>-8060.9175000000014</v>
      </c>
      <c r="DV107" s="92">
        <f t="shared" si="240"/>
        <v>-8124.7049999999999</v>
      </c>
      <c r="DW107" s="92">
        <f t="shared" si="240"/>
        <v>-8564.5349999999999</v>
      </c>
      <c r="DX107" s="92">
        <f t="shared" si="240"/>
        <v>-9485.3025000000016</v>
      </c>
      <c r="DY107" s="92">
        <f t="shared" ref="DY107:EE107" si="241">DY105-DY106</f>
        <v>-9485.3025000000016</v>
      </c>
      <c r="DZ107" s="92">
        <f>DZ105-DZ106</f>
        <v>14467</v>
      </c>
      <c r="EA107" s="92">
        <f>EA105-EA106</f>
        <v>19727</v>
      </c>
      <c r="EB107" s="92">
        <f>EB105-EB106</f>
        <v>20074</v>
      </c>
      <c r="EC107" s="92">
        <f t="shared" si="241"/>
        <v>16679.997000000003</v>
      </c>
      <c r="ED107" s="92">
        <f t="shared" si="241"/>
        <v>30546.536977500004</v>
      </c>
      <c r="EE107" s="92">
        <f t="shared" si="241"/>
        <v>30184.259804831254</v>
      </c>
      <c r="EF107" s="92">
        <f t="shared" ref="EF107:EN107" si="242">EF105-EF106</f>
        <v>26480.003094617496</v>
      </c>
      <c r="EG107" s="92">
        <f t="shared" si="242"/>
        <v>23882.151768239622</v>
      </c>
      <c r="EH107" s="92">
        <f t="shared" si="242"/>
        <v>20877.111092233034</v>
      </c>
      <c r="EI107" s="92">
        <f t="shared" si="242"/>
        <v>17891.037458284045</v>
      </c>
      <c r="EJ107" s="92">
        <f t="shared" si="242"/>
        <v>16615.795370536209</v>
      </c>
      <c r="EK107" s="92">
        <f t="shared" si="242"/>
        <v>15801.727264076868</v>
      </c>
      <c r="EL107" s="92">
        <f t="shared" si="242"/>
        <v>15074.700817355282</v>
      </c>
      <c r="EM107" s="92">
        <f t="shared" si="242"/>
        <v>14484.918462825442</v>
      </c>
      <c r="EN107" s="92">
        <f t="shared" si="242"/>
        <v>14226.57228477926</v>
      </c>
      <c r="EO107" s="95">
        <f t="shared" ref="EO107:FT107" si="243">EN107*(1+$EQ$112)</f>
        <v>14084.306561931468</v>
      </c>
      <c r="EP107" s="95">
        <f t="shared" si="243"/>
        <v>13943.463496312153</v>
      </c>
      <c r="EQ107" s="95">
        <f t="shared" si="243"/>
        <v>13804.028861349032</v>
      </c>
      <c r="ER107" s="95">
        <f t="shared" si="243"/>
        <v>13665.988572735541</v>
      </c>
      <c r="ES107" s="95">
        <f t="shared" si="243"/>
        <v>13529.328687008187</v>
      </c>
      <c r="ET107" s="95">
        <f t="shared" si="243"/>
        <v>13394.035400138104</v>
      </c>
      <c r="EU107" s="95">
        <f t="shared" si="243"/>
        <v>13260.095046136723</v>
      </c>
      <c r="EV107" s="95">
        <f t="shared" si="243"/>
        <v>13127.494095675356</v>
      </c>
      <c r="EW107" s="95">
        <f t="shared" si="243"/>
        <v>12996.219154718603</v>
      </c>
      <c r="EX107" s="95">
        <f t="shared" si="243"/>
        <v>12866.256963171418</v>
      </c>
      <c r="EY107" s="95">
        <f t="shared" si="243"/>
        <v>12737.594393539703</v>
      </c>
      <c r="EZ107" s="95">
        <f t="shared" si="243"/>
        <v>12610.218449604305</v>
      </c>
      <c r="FA107" s="95">
        <f t="shared" si="243"/>
        <v>12484.116265108261</v>
      </c>
      <c r="FB107" s="95">
        <f t="shared" si="243"/>
        <v>12359.275102457179</v>
      </c>
      <c r="FC107" s="95">
        <f t="shared" si="243"/>
        <v>12235.682351432608</v>
      </c>
      <c r="FD107" s="95">
        <f t="shared" si="243"/>
        <v>12113.325527918281</v>
      </c>
      <c r="FE107" s="95">
        <f t="shared" si="243"/>
        <v>11992.192272639099</v>
      </c>
      <c r="FF107" s="95">
        <f t="shared" si="243"/>
        <v>11872.270349912707</v>
      </c>
      <c r="FG107" s="95">
        <f t="shared" si="243"/>
        <v>11753.547646413581</v>
      </c>
      <c r="FH107" s="95">
        <f t="shared" si="243"/>
        <v>11636.012169949445</v>
      </c>
      <c r="FI107" s="95">
        <f t="shared" si="243"/>
        <v>11519.652048249951</v>
      </c>
      <c r="FJ107" s="95">
        <f t="shared" si="243"/>
        <v>11404.455527767452</v>
      </c>
      <c r="FK107" s="95">
        <f t="shared" si="243"/>
        <v>11290.410972489777</v>
      </c>
      <c r="FL107" s="95">
        <f t="shared" si="243"/>
        <v>11177.50686276488</v>
      </c>
      <c r="FM107" s="95">
        <f t="shared" si="243"/>
        <v>11065.731794137231</v>
      </c>
      <c r="FN107" s="95">
        <f t="shared" si="243"/>
        <v>10955.074476195859</v>
      </c>
      <c r="FO107" s="95">
        <f t="shared" si="243"/>
        <v>10845.523731433901</v>
      </c>
      <c r="FP107" s="95">
        <f t="shared" si="243"/>
        <v>10737.068494119561</v>
      </c>
      <c r="FQ107" s="95">
        <f t="shared" si="243"/>
        <v>10629.697809178366</v>
      </c>
      <c r="FR107" s="95">
        <f t="shared" si="243"/>
        <v>10523.400831086583</v>
      </c>
      <c r="FS107" s="95">
        <f t="shared" si="243"/>
        <v>10418.166822775716</v>
      </c>
      <c r="FT107" s="95">
        <f t="shared" si="243"/>
        <v>10313.98515454796</v>
      </c>
      <c r="FU107" s="95">
        <f t="shared" ref="FU107:GZ107" si="244">FT107*(1+$EQ$112)</f>
        <v>10210.845303002479</v>
      </c>
      <c r="FV107" s="95">
        <f t="shared" si="244"/>
        <v>10108.736849972454</v>
      </c>
      <c r="FW107" s="95">
        <f t="shared" si="244"/>
        <v>10007.64948147273</v>
      </c>
      <c r="FX107" s="95">
        <f t="shared" si="244"/>
        <v>9907.5729866580023</v>
      </c>
      <c r="FY107" s="95">
        <f t="shared" si="244"/>
        <v>9808.4972567914228</v>
      </c>
      <c r="FZ107" s="95">
        <f t="shared" si="244"/>
        <v>9710.4122842235083</v>
      </c>
      <c r="GA107" s="95">
        <f t="shared" si="244"/>
        <v>9613.3081613812737</v>
      </c>
      <c r="GB107" s="95">
        <f t="shared" si="244"/>
        <v>9517.1750797674613</v>
      </c>
      <c r="GC107" s="95">
        <f t="shared" si="244"/>
        <v>9422.0033289697858</v>
      </c>
      <c r="GD107" s="95">
        <f t="shared" si="244"/>
        <v>9327.7832956800885</v>
      </c>
      <c r="GE107" s="95">
        <f t="shared" si="244"/>
        <v>9234.5054627232876</v>
      </c>
      <c r="GF107" s="95">
        <f t="shared" si="244"/>
        <v>9142.1604080960551</v>
      </c>
      <c r="GG107" s="95">
        <f t="shared" si="244"/>
        <v>9050.7388040150945</v>
      </c>
      <c r="GH107" s="95">
        <f t="shared" si="244"/>
        <v>8960.231415974944</v>
      </c>
      <c r="GI107" s="95">
        <f t="shared" si="244"/>
        <v>8870.6291018151951</v>
      </c>
      <c r="GJ107" s="95">
        <f t="shared" si="244"/>
        <v>8781.922810797043</v>
      </c>
      <c r="GK107" s="95">
        <f t="shared" si="244"/>
        <v>8694.1035826890729</v>
      </c>
      <c r="GL107" s="95">
        <f t="shared" si="244"/>
        <v>8607.1625468621824</v>
      </c>
      <c r="GM107" s="95">
        <f t="shared" si="244"/>
        <v>8521.0909213935611</v>
      </c>
      <c r="GN107" s="95">
        <f t="shared" si="244"/>
        <v>8435.8800121796248</v>
      </c>
      <c r="GO107" s="95">
        <f t="shared" si="244"/>
        <v>8351.521212057829</v>
      </c>
      <c r="GP107" s="95">
        <f t="shared" si="244"/>
        <v>8268.0059999372497</v>
      </c>
      <c r="GQ107" s="95">
        <f t="shared" si="244"/>
        <v>8185.3259399378776</v>
      </c>
      <c r="GR107" s="95">
        <f t="shared" si="244"/>
        <v>8103.4726805384989</v>
      </c>
      <c r="GS107" s="95">
        <f t="shared" si="244"/>
        <v>8022.4379537331142</v>
      </c>
      <c r="GT107" s="95">
        <f t="shared" si="244"/>
        <v>7942.2135741957827</v>
      </c>
      <c r="GU107" s="95">
        <f t="shared" si="244"/>
        <v>7862.7914384538244</v>
      </c>
      <c r="GV107" s="95">
        <f t="shared" si="244"/>
        <v>7784.1635240692858</v>
      </c>
      <c r="GW107" s="95">
        <f t="shared" si="244"/>
        <v>7706.3218888285928</v>
      </c>
      <c r="GX107" s="95">
        <f t="shared" si="244"/>
        <v>7629.2586699403064</v>
      </c>
      <c r="GY107" s="95">
        <f t="shared" si="244"/>
        <v>7552.9660832409036</v>
      </c>
      <c r="GZ107" s="95">
        <f t="shared" si="244"/>
        <v>7477.4364224084948</v>
      </c>
      <c r="HA107" s="95">
        <f t="shared" ref="HA107:IF107" si="245">GZ107*(1+$EQ$112)</f>
        <v>7402.6620581844099</v>
      </c>
      <c r="HB107" s="95">
        <f t="shared" si="245"/>
        <v>7328.6354376025656</v>
      </c>
      <c r="HC107" s="95">
        <f t="shared" si="245"/>
        <v>7255.3490832265397</v>
      </c>
      <c r="HD107" s="95">
        <f t="shared" si="245"/>
        <v>7182.7955923942745</v>
      </c>
      <c r="HE107" s="95">
        <f t="shared" si="245"/>
        <v>7110.9676364703319</v>
      </c>
      <c r="HF107" s="95">
        <f t="shared" si="245"/>
        <v>7039.8579601056281</v>
      </c>
      <c r="HG107" s="95">
        <f t="shared" si="245"/>
        <v>6969.4593805045715</v>
      </c>
      <c r="HH107" s="95">
        <f t="shared" si="245"/>
        <v>6899.7647866995258</v>
      </c>
      <c r="HI107" s="95">
        <f t="shared" si="245"/>
        <v>6830.7671388325307</v>
      </c>
      <c r="HJ107" s="95">
        <f t="shared" si="245"/>
        <v>6762.4594674442051</v>
      </c>
      <c r="HK107" s="95">
        <f t="shared" si="245"/>
        <v>6694.834872769763</v>
      </c>
      <c r="HL107" s="95">
        <f t="shared" si="245"/>
        <v>6627.8865240420655</v>
      </c>
      <c r="HM107" s="95">
        <f t="shared" si="245"/>
        <v>6561.6076588016449</v>
      </c>
      <c r="HN107" s="95">
        <f t="shared" si="245"/>
        <v>6495.9915822136281</v>
      </c>
      <c r="HO107" s="95">
        <f t="shared" si="245"/>
        <v>6431.0316663914919</v>
      </c>
      <c r="HP107" s="95">
        <f t="shared" si="245"/>
        <v>6366.721349727577</v>
      </c>
      <c r="HQ107" s="95">
        <f t="shared" si="245"/>
        <v>6303.0541362303011</v>
      </c>
      <c r="HR107" s="95">
        <f t="shared" si="245"/>
        <v>6240.0235948679983</v>
      </c>
      <c r="HS107" s="95">
        <f t="shared" si="245"/>
        <v>6177.623358919318</v>
      </c>
      <c r="HT107" s="95">
        <f t="shared" si="245"/>
        <v>6115.847125330125</v>
      </c>
      <c r="HU107" s="95">
        <f t="shared" si="245"/>
        <v>6054.6886540768237</v>
      </c>
      <c r="HV107" s="95">
        <f t="shared" si="245"/>
        <v>5994.1417675360553</v>
      </c>
      <c r="HW107" s="95">
        <f t="shared" si="245"/>
        <v>5934.2003498606946</v>
      </c>
      <c r="HX107" s="95">
        <f t="shared" si="245"/>
        <v>5874.858346362088</v>
      </c>
      <c r="HY107" s="95">
        <f t="shared" si="245"/>
        <v>5816.1097628984671</v>
      </c>
      <c r="HZ107" s="95">
        <f t="shared" si="245"/>
        <v>5757.9486652694823</v>
      </c>
      <c r="IA107" s="95">
        <f t="shared" si="245"/>
        <v>5700.3691786167874</v>
      </c>
      <c r="IB107" s="95">
        <f t="shared" si="245"/>
        <v>5643.3654868306194</v>
      </c>
      <c r="IC107" s="95">
        <f t="shared" si="245"/>
        <v>5586.9318319623135</v>
      </c>
      <c r="ID107" s="95">
        <f t="shared" si="245"/>
        <v>5531.0625136426906</v>
      </c>
      <c r="IE107" s="95">
        <f t="shared" si="245"/>
        <v>5475.7518885062636</v>
      </c>
      <c r="IF107" s="95">
        <f t="shared" si="245"/>
        <v>5420.9943696212013</v>
      </c>
      <c r="IG107" s="95">
        <f t="shared" ref="IG107:IT107" si="246">IF107*(1+$EQ$112)</f>
        <v>5366.7844259249896</v>
      </c>
      <c r="IH107" s="95">
        <f t="shared" si="246"/>
        <v>5313.1165816657394</v>
      </c>
      <c r="II107" s="95">
        <f t="shared" si="246"/>
        <v>5259.9854158490816</v>
      </c>
      <c r="IJ107" s="95">
        <f t="shared" si="246"/>
        <v>5207.3855616905912</v>
      </c>
      <c r="IK107" s="95">
        <f t="shared" si="246"/>
        <v>5155.3117060736849</v>
      </c>
      <c r="IL107" s="95">
        <f t="shared" si="246"/>
        <v>5103.7585890129476</v>
      </c>
      <c r="IM107" s="95">
        <f t="shared" si="246"/>
        <v>5052.7210031228178</v>
      </c>
      <c r="IN107" s="95">
        <f t="shared" si="246"/>
        <v>5002.1937930915892</v>
      </c>
      <c r="IO107" s="95">
        <f t="shared" si="246"/>
        <v>4952.1718551606737</v>
      </c>
      <c r="IP107" s="95">
        <f t="shared" si="246"/>
        <v>4902.650136609067</v>
      </c>
      <c r="IQ107" s="95">
        <f t="shared" si="246"/>
        <v>4853.623635242976</v>
      </c>
      <c r="IR107" s="95">
        <f t="shared" si="246"/>
        <v>4805.087398890546</v>
      </c>
      <c r="IS107" s="95">
        <f t="shared" si="246"/>
        <v>4757.0365249016404</v>
      </c>
      <c r="IT107" s="95">
        <f t="shared" si="246"/>
        <v>4709.4661596526239</v>
      </c>
    </row>
    <row r="108" spans="2:254" s="8" customFormat="1" ht="12.75" customHeight="1">
      <c r="B108" s="34" t="s">
        <v>381</v>
      </c>
      <c r="C108" s="32">
        <f>C107/C109</f>
        <v>0.68894667291870926</v>
      </c>
      <c r="D108" s="32">
        <f>D107/D109</f>
        <v>0.75444549437333563</v>
      </c>
      <c r="E108" s="32">
        <f>E107/E109</f>
        <v>0.81369572738280571</v>
      </c>
      <c r="F108" s="32">
        <f>F107/F109</f>
        <v>0.781703607127336</v>
      </c>
      <c r="G108" s="32">
        <f t="shared" ref="G108:W108" si="247">ROUND(G107/G109,2)</f>
        <v>-1.41</v>
      </c>
      <c r="H108" s="32">
        <f t="shared" si="247"/>
        <v>-1.53</v>
      </c>
      <c r="I108" s="32">
        <f t="shared" si="247"/>
        <v>-1.61</v>
      </c>
      <c r="J108" s="32">
        <f t="shared" si="247"/>
        <v>-1.87</v>
      </c>
      <c r="K108" s="32">
        <f t="shared" si="247"/>
        <v>-1.78</v>
      </c>
      <c r="L108" s="32">
        <f t="shared" si="247"/>
        <v>-1.65</v>
      </c>
      <c r="M108" s="32">
        <f t="shared" si="247"/>
        <v>-1.73</v>
      </c>
      <c r="N108" s="32">
        <f t="shared" si="247"/>
        <v>-1.89</v>
      </c>
      <c r="O108" s="32" t="e">
        <f t="shared" si="247"/>
        <v>#REF!</v>
      </c>
      <c r="P108" s="32" t="e">
        <f t="shared" si="247"/>
        <v>#REF!</v>
      </c>
      <c r="Q108" s="32">
        <f t="shared" si="247"/>
        <v>-1.26</v>
      </c>
      <c r="R108" s="32">
        <f t="shared" si="247"/>
        <v>-1.24</v>
      </c>
      <c r="S108" s="32">
        <f t="shared" si="247"/>
        <v>-1.23</v>
      </c>
      <c r="T108" s="32">
        <f t="shared" si="247"/>
        <v>-1.34</v>
      </c>
      <c r="U108" s="32">
        <f t="shared" si="247"/>
        <v>-1.22</v>
      </c>
      <c r="V108" s="32">
        <f t="shared" si="247"/>
        <v>-1.2</v>
      </c>
      <c r="W108" s="32">
        <f t="shared" si="247"/>
        <v>-1.1200000000000001</v>
      </c>
      <c r="X108" s="32">
        <f>ROUND(X107/X109,2)</f>
        <v>-1.1599999999999999</v>
      </c>
      <c r="Y108" s="32">
        <f t="shared" ref="Y108:AH108" si="248">Y107/Y109</f>
        <v>-1.3160543532964268</v>
      </c>
      <c r="Z108" s="32">
        <f t="shared" si="248"/>
        <v>-1.4905245811590222</v>
      </c>
      <c r="AA108" s="32">
        <f t="shared" si="248"/>
        <v>-1.1346330275229357</v>
      </c>
      <c r="AB108" s="32">
        <f t="shared" si="248"/>
        <v>-1.2912936232413665</v>
      </c>
      <c r="AC108" s="32">
        <f t="shared" si="248"/>
        <v>-1.21146479387085</v>
      </c>
      <c r="AD108" s="27"/>
      <c r="AE108" s="27">
        <f t="shared" si="248"/>
        <v>-0.77272727272727271</v>
      </c>
      <c r="AF108" s="27">
        <f t="shared" si="248"/>
        <v>-1.2926704730074732</v>
      </c>
      <c r="AG108" s="27">
        <f>AG107/AG109</f>
        <v>-1.1669788349878252</v>
      </c>
      <c r="AH108" s="27">
        <f t="shared" si="248"/>
        <v>-1.3333175422805437</v>
      </c>
      <c r="AI108" s="27">
        <f t="shared" ref="AI108:AP108" si="249">AI107/AI109</f>
        <v>-1.1639958278020106</v>
      </c>
      <c r="AJ108" s="27">
        <f t="shared" si="249"/>
        <v>-1.3295260663507109</v>
      </c>
      <c r="AK108" s="27">
        <f t="shared" si="249"/>
        <v>-0.73821985144533298</v>
      </c>
      <c r="AL108" s="27">
        <f t="shared" si="249"/>
        <v>1.173060156931125</v>
      </c>
      <c r="AM108" s="27">
        <f t="shared" si="249"/>
        <v>0.83037249283667602</v>
      </c>
      <c r="AN108" s="27">
        <f t="shared" si="249"/>
        <v>-1.9120460726283797</v>
      </c>
      <c r="AO108" s="27">
        <f t="shared" si="249"/>
        <v>-1.8326347691514053</v>
      </c>
      <c r="AP108" s="27">
        <f t="shared" si="249"/>
        <v>-1.9990341274951706</v>
      </c>
      <c r="AQ108" s="27">
        <f>AQ107/AQ109</f>
        <v>-1.933311855670103</v>
      </c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>
        <f t="shared" ref="CC108:CJ108" si="250">+CC107/CC109</f>
        <v>1.3743104806934594</v>
      </c>
      <c r="CD108" s="27">
        <f t="shared" si="250"/>
        <v>1.5981896890987799</v>
      </c>
      <c r="CE108" s="27">
        <f t="shared" si="250"/>
        <v>1.1613537977174342</v>
      </c>
      <c r="CF108" s="27">
        <f t="shared" si="250"/>
        <v>0.61417322834645671</v>
      </c>
      <c r="CG108" s="27">
        <f t="shared" si="250"/>
        <v>1.7519716088328077</v>
      </c>
      <c r="CH108" s="27">
        <f t="shared" si="250"/>
        <v>1.8063116370808678</v>
      </c>
      <c r="CI108" s="27">
        <f t="shared" si="250"/>
        <v>2.1387465510445409</v>
      </c>
      <c r="CJ108" s="27">
        <f t="shared" si="250"/>
        <v>1.8692913385826773</v>
      </c>
      <c r="CK108" s="27">
        <f t="shared" ref="CK108:CT108" si="251">+CK107/CK109</f>
        <v>1.8501180173092053</v>
      </c>
      <c r="CL108" s="27">
        <f t="shared" si="251"/>
        <v>1.6208791208791209</v>
      </c>
      <c r="CM108" s="27">
        <f t="shared" si="251"/>
        <v>1.3986671893375147</v>
      </c>
      <c r="CN108" s="27">
        <f t="shared" si="251"/>
        <v>1.947617172115006</v>
      </c>
      <c r="CO108" s="27">
        <f t="shared" si="251"/>
        <v>2.1335428122545168</v>
      </c>
      <c r="CP108" s="27">
        <f t="shared" si="251"/>
        <v>2.1977891827872087</v>
      </c>
      <c r="CQ108" s="27">
        <f t="shared" si="251"/>
        <v>2.0770440251572326</v>
      </c>
      <c r="CR108" s="27">
        <f t="shared" si="251"/>
        <v>2.2857704402515724</v>
      </c>
      <c r="CS108" s="27">
        <f t="shared" si="251"/>
        <v>1.5682802046438411</v>
      </c>
      <c r="CT108" s="27">
        <f t="shared" si="251"/>
        <v>1.7232952305873079</v>
      </c>
      <c r="CU108" s="27">
        <f t="shared" ref="CU108:CX108" si="252">+CU107/CU109</f>
        <v>2.2489134729355986</v>
      </c>
      <c r="CV108" s="27">
        <f t="shared" si="252"/>
        <v>2.1205057289608851</v>
      </c>
      <c r="CW108" s="27">
        <f t="shared" si="252"/>
        <v>2.6136909527622096</v>
      </c>
      <c r="CX108" s="27">
        <f t="shared" si="252"/>
        <v>2.044614147909968</v>
      </c>
      <c r="CY108" s="27">
        <f t="shared" ref="CY108:DB108" si="253">+CY107/CY109</f>
        <v>2.362864077669903</v>
      </c>
      <c r="CZ108" s="27">
        <f t="shared" si="253"/>
        <v>2.1732793522267206</v>
      </c>
      <c r="DA108" s="27">
        <f t="shared" si="253"/>
        <v>2.4280353036437252</v>
      </c>
      <c r="DB108" s="27">
        <f t="shared" si="253"/>
        <v>2.3497389473684205</v>
      </c>
      <c r="DC108" s="27"/>
      <c r="DD108" s="27"/>
      <c r="DE108" s="47"/>
      <c r="DF108" s="27">
        <f>SUM(C108:F108)</f>
        <v>3.0387915018021863</v>
      </c>
      <c r="DG108" s="27">
        <f t="shared" ref="DG108:DK108" si="254">ROUND(DG107/DG109,2)</f>
        <v>-5.45</v>
      </c>
      <c r="DH108" s="27">
        <f t="shared" si="254"/>
        <v>-5.87</v>
      </c>
      <c r="DI108" s="27">
        <f t="shared" si="254"/>
        <v>-5.18</v>
      </c>
      <c r="DJ108" s="27">
        <f t="shared" si="254"/>
        <v>-4.9800000000000004</v>
      </c>
      <c r="DK108" s="27">
        <f t="shared" si="254"/>
        <v>-5.08</v>
      </c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>
        <f t="shared" ref="DZ108:EE108" si="255">ROUND(DZ107/DZ109,2)</f>
        <v>5.7</v>
      </c>
      <c r="EA108" s="27">
        <f t="shared" si="255"/>
        <v>7.76</v>
      </c>
      <c r="EB108" s="27">
        <f t="shared" si="255"/>
        <v>7.9</v>
      </c>
      <c r="EC108" s="27">
        <f t="shared" si="255"/>
        <v>6.56</v>
      </c>
      <c r="ED108" s="27">
        <f t="shared" si="255"/>
        <v>12.02</v>
      </c>
      <c r="EE108" s="27">
        <f t="shared" si="255"/>
        <v>11.87</v>
      </c>
      <c r="EF108" s="27">
        <f t="shared" ref="EF108:EN108" si="256">ROUND(EF107/EF109,2)</f>
        <v>10.42</v>
      </c>
      <c r="EG108" s="27">
        <f t="shared" si="256"/>
        <v>9.39</v>
      </c>
      <c r="EH108" s="27">
        <f t="shared" si="256"/>
        <v>8.2100000000000009</v>
      </c>
      <c r="EI108" s="27">
        <f t="shared" si="256"/>
        <v>7.04</v>
      </c>
      <c r="EJ108" s="27">
        <f t="shared" si="256"/>
        <v>6.54</v>
      </c>
      <c r="EK108" s="27">
        <f t="shared" si="256"/>
        <v>6.22</v>
      </c>
      <c r="EL108" s="27">
        <f t="shared" si="256"/>
        <v>5.93</v>
      </c>
      <c r="EM108" s="27">
        <f t="shared" si="256"/>
        <v>5.7</v>
      </c>
      <c r="EN108" s="27">
        <f t="shared" si="256"/>
        <v>5.6</v>
      </c>
    </row>
    <row r="109" spans="2:254" s="81" customFormat="1" ht="12.75" customHeight="1">
      <c r="B109" s="98" t="s">
        <v>326</v>
      </c>
      <c r="C109" s="91">
        <v>2345.9</v>
      </c>
      <c r="D109" s="91">
        <v>2328.1999999999998</v>
      </c>
      <c r="E109" s="91">
        <v>2312.4</v>
      </c>
      <c r="F109" s="91">
        <v>2301</v>
      </c>
      <c r="G109" s="91">
        <v>2294.8000000000002</v>
      </c>
      <c r="H109" s="91">
        <v>2282.8000000000002</v>
      </c>
      <c r="I109" s="91">
        <v>2265.9</v>
      </c>
      <c r="J109" s="91">
        <v>2264.1</v>
      </c>
      <c r="K109" s="91">
        <v>2262.1</v>
      </c>
      <c r="L109" s="91">
        <v>2261.1</v>
      </c>
      <c r="M109" s="91">
        <v>2253.9</v>
      </c>
      <c r="N109" s="91">
        <v>2236.6</v>
      </c>
      <c r="O109" s="91">
        <v>2232.5</v>
      </c>
      <c r="P109" s="91">
        <v>2230.1</v>
      </c>
      <c r="Q109" s="91">
        <v>2226.1999999999998</v>
      </c>
      <c r="R109" s="91">
        <v>2217.5</v>
      </c>
      <c r="S109" s="91">
        <v>2210.4</v>
      </c>
      <c r="T109" s="91">
        <v>2206.1</v>
      </c>
      <c r="U109" s="91">
        <v>2197</v>
      </c>
      <c r="V109" s="91">
        <v>2188.6999999999998</v>
      </c>
      <c r="W109" s="91">
        <v>2190.5</v>
      </c>
      <c r="X109" s="91">
        <v>2187.6999999999998</v>
      </c>
      <c r="Y109" s="91">
        <v>2185.6999999999998</v>
      </c>
      <c r="Z109" s="91">
        <v>2184.6</v>
      </c>
      <c r="AA109" s="91">
        <v>2180</v>
      </c>
      <c r="AB109" s="91">
        <v>2189.1999999999998</v>
      </c>
      <c r="AC109" s="91">
        <v>2192.8000000000002</v>
      </c>
      <c r="AD109" s="91"/>
      <c r="AE109" s="91">
        <v>2174.6999999999998</v>
      </c>
      <c r="AF109" s="91">
        <v>2154.3000000000002</v>
      </c>
      <c r="AG109" s="91">
        <v>2135.6</v>
      </c>
      <c r="AH109" s="91">
        <v>2110.9</v>
      </c>
      <c r="AI109" s="91">
        <v>2109.1999999999998</v>
      </c>
      <c r="AJ109" s="91">
        <v>2110</v>
      </c>
      <c r="AK109" s="91">
        <v>2113.6999999999998</v>
      </c>
      <c r="AL109" s="91">
        <v>2752.8</v>
      </c>
      <c r="AM109" s="91">
        <v>3141</v>
      </c>
      <c r="AN109" s="91">
        <v>3125.5</v>
      </c>
      <c r="AO109" s="91">
        <v>3101.6</v>
      </c>
      <c r="AP109" s="91">
        <v>3106</v>
      </c>
      <c r="AQ109" s="91">
        <v>3104</v>
      </c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>
        <v>2538</v>
      </c>
      <c r="CD109" s="91">
        <v>2541</v>
      </c>
      <c r="CE109" s="91">
        <v>2541</v>
      </c>
      <c r="CF109" s="91">
        <v>2540</v>
      </c>
      <c r="CG109" s="91">
        <v>2536</v>
      </c>
      <c r="CH109" s="91">
        <v>2535</v>
      </c>
      <c r="CI109" s="91">
        <v>2537</v>
      </c>
      <c r="CJ109" s="91">
        <v>2540</v>
      </c>
      <c r="CK109" s="91">
        <v>2542</v>
      </c>
      <c r="CL109" s="91">
        <v>2548</v>
      </c>
      <c r="CM109" s="91">
        <v>2551</v>
      </c>
      <c r="CN109" s="91">
        <v>2539</v>
      </c>
      <c r="CO109" s="91">
        <v>2546</v>
      </c>
      <c r="CP109" s="91">
        <v>2533</v>
      </c>
      <c r="CQ109" s="91">
        <v>2544</v>
      </c>
      <c r="CR109" s="91">
        <v>2544</v>
      </c>
      <c r="CS109" s="91">
        <v>2541</v>
      </c>
      <c r="CT109" s="91">
        <v>2537</v>
      </c>
      <c r="CU109" s="91">
        <v>2531</v>
      </c>
      <c r="CV109" s="91">
        <v>2531</v>
      </c>
      <c r="CW109" s="91">
        <v>2498</v>
      </c>
      <c r="CX109" s="91">
        <v>2488</v>
      </c>
      <c r="CY109" s="91">
        <v>2472</v>
      </c>
      <c r="CZ109" s="91">
        <v>2470</v>
      </c>
      <c r="DA109" s="91">
        <f>+CZ109</f>
        <v>2470</v>
      </c>
      <c r="DB109" s="91">
        <f>+DA109</f>
        <v>2470</v>
      </c>
      <c r="DC109" s="91"/>
      <c r="DD109" s="91"/>
      <c r="DE109" s="73"/>
      <c r="DF109" s="92">
        <v>2321.875</v>
      </c>
      <c r="DG109" s="92">
        <v>2277</v>
      </c>
      <c r="DH109" s="92">
        <f>SUM(K109:N109)/4-0.3</f>
        <v>2253.125</v>
      </c>
      <c r="DI109" s="92">
        <f>SUM(O109:R109)/4</f>
        <v>2226.5749999999998</v>
      </c>
      <c r="DJ109" s="92">
        <f>SUM(S109:V109)/4</f>
        <v>2200.5500000000002</v>
      </c>
      <c r="DK109" s="92">
        <f>AVERAGE(W109:Z109)</f>
        <v>2187.125</v>
      </c>
      <c r="DL109" s="92"/>
      <c r="DM109" s="92"/>
      <c r="DN109" s="92"/>
      <c r="DO109" s="92"/>
      <c r="DP109" s="92"/>
      <c r="DQ109" s="92"/>
      <c r="DR109" s="92"/>
      <c r="DS109" s="92"/>
      <c r="DT109" s="92"/>
      <c r="DU109" s="92"/>
      <c r="DV109" s="92"/>
      <c r="DW109" s="92"/>
      <c r="DX109" s="92"/>
      <c r="DY109" s="92"/>
      <c r="DZ109" s="92">
        <f>AVERAGE(CE109:CH109)</f>
        <v>2538</v>
      </c>
      <c r="EA109" s="92">
        <f>AVERAGE(CI109:CL109)</f>
        <v>2541.75</v>
      </c>
      <c r="EB109" s="92">
        <f>AVERAGE(CM109:CP109)</f>
        <v>2542.25</v>
      </c>
      <c r="EC109" s="92">
        <f t="shared" ref="EC109:EE109" si="257">+EB109</f>
        <v>2542.25</v>
      </c>
      <c r="ED109" s="92">
        <f t="shared" si="257"/>
        <v>2542.25</v>
      </c>
      <c r="EE109" s="92">
        <f t="shared" si="257"/>
        <v>2542.25</v>
      </c>
      <c r="EF109" s="92">
        <f t="shared" ref="EF109" si="258">+EE109</f>
        <v>2542.25</v>
      </c>
      <c r="EG109" s="92">
        <f t="shared" ref="EG109" si="259">+EF109</f>
        <v>2542.25</v>
      </c>
      <c r="EH109" s="92">
        <f t="shared" ref="EH109" si="260">+EG109</f>
        <v>2542.25</v>
      </c>
      <c r="EI109" s="92">
        <f t="shared" ref="EI109" si="261">+EH109</f>
        <v>2542.25</v>
      </c>
      <c r="EJ109" s="92">
        <f t="shared" ref="EJ109" si="262">+EI109</f>
        <v>2542.25</v>
      </c>
      <c r="EK109" s="92">
        <f t="shared" ref="EK109" si="263">+EJ109</f>
        <v>2542.25</v>
      </c>
      <c r="EL109" s="92">
        <f t="shared" ref="EL109" si="264">+EK109</f>
        <v>2542.25</v>
      </c>
      <c r="EM109" s="92">
        <f t="shared" ref="EM109" si="265">+EL109</f>
        <v>2542.25</v>
      </c>
      <c r="EN109" s="92">
        <f t="shared" ref="EN109" si="266">+EM109</f>
        <v>2542.25</v>
      </c>
    </row>
    <row r="110" spans="2:254" s="81" customFormat="1" ht="12.75" customHeight="1">
      <c r="B110" s="34"/>
      <c r="C110" s="9"/>
      <c r="D110" s="9"/>
      <c r="E110" s="9"/>
      <c r="F110" s="9"/>
      <c r="G110" s="33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92"/>
      <c r="Z110" s="24"/>
      <c r="AA110" s="92"/>
      <c r="AB110" s="24"/>
      <c r="AC110" s="28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73"/>
      <c r="DF110" s="9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82"/>
      <c r="DU110" s="82"/>
      <c r="DV110" s="82"/>
      <c r="DW110" s="82"/>
      <c r="DX110" s="82"/>
      <c r="DY110" s="82"/>
      <c r="DZ110" s="82"/>
      <c r="EA110" s="82"/>
      <c r="EB110" s="82"/>
      <c r="EC110" s="82"/>
      <c r="ED110" s="82"/>
      <c r="EE110" s="82"/>
      <c r="EG110" s="85"/>
    </row>
    <row r="111" spans="2:254" s="101" customFormat="1" ht="12.75" customHeight="1">
      <c r="B111" s="102" t="s">
        <v>380</v>
      </c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4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03"/>
      <c r="BY111" s="103"/>
      <c r="BZ111" s="103"/>
      <c r="CA111" s="103"/>
      <c r="CB111" s="103"/>
      <c r="CC111" s="103">
        <f t="shared" ref="CC111:CP111" si="267">+CC93/CC91</f>
        <v>0.76466282368011707</v>
      </c>
      <c r="CD111" s="103">
        <f t="shared" si="267"/>
        <v>0.78112513984337539</v>
      </c>
      <c r="CE111" s="103">
        <f t="shared" si="267"/>
        <v>0.76597346381857534</v>
      </c>
      <c r="CF111" s="103">
        <f t="shared" si="267"/>
        <v>0.76460270128047714</v>
      </c>
      <c r="CG111" s="103">
        <f t="shared" si="267"/>
        <v>0.76767523186863307</v>
      </c>
      <c r="CH111" s="103">
        <f t="shared" si="267"/>
        <v>0.74772575992899937</v>
      </c>
      <c r="CI111" s="103">
        <f t="shared" si="267"/>
        <v>0.7073140054084649</v>
      </c>
      <c r="CJ111" s="103">
        <f t="shared" si="267"/>
        <v>0.74659083122044811</v>
      </c>
      <c r="CK111" s="103">
        <f t="shared" si="267"/>
        <v>0.77043920048131564</v>
      </c>
      <c r="CL111" s="103">
        <f t="shared" si="267"/>
        <v>0.75697758496023138</v>
      </c>
      <c r="CM111" s="103">
        <f t="shared" si="267"/>
        <v>0.76862014219645203</v>
      </c>
      <c r="CN111" s="103">
        <f t="shared" si="267"/>
        <v>0.76554705686730962</v>
      </c>
      <c r="CO111" s="103">
        <f t="shared" si="267"/>
        <v>0.76951509835860166</v>
      </c>
      <c r="CP111" s="103">
        <f t="shared" si="267"/>
        <v>0.771701982228298</v>
      </c>
      <c r="CQ111" s="103">
        <f t="shared" ref="CQ111" si="268">+CQ93/CQ91</f>
        <v>0.81229793977812992</v>
      </c>
      <c r="CR111" s="103">
        <f t="shared" ref="CR111:CS111" si="269">+CR93/CR91</f>
        <v>0.80927259185700096</v>
      </c>
      <c r="CS111" s="103">
        <f t="shared" si="269"/>
        <v>0.80494686918412683</v>
      </c>
      <c r="CT111" s="103">
        <f t="shared" ref="CT111:CX111" si="270">+CT93/CT91</f>
        <v>0.80760368663594473</v>
      </c>
      <c r="CU111" s="103">
        <f t="shared" si="270"/>
        <v>0.82207482774164464</v>
      </c>
      <c r="CV111" s="103">
        <f t="shared" si="270"/>
        <v>0.82183980766797415</v>
      </c>
      <c r="CW111" s="103">
        <f t="shared" si="270"/>
        <v>0.81999423797176607</v>
      </c>
      <c r="CX111" s="103">
        <f t="shared" si="270"/>
        <v>0.79731707317073175</v>
      </c>
      <c r="CY111" s="103">
        <f t="shared" ref="CY111:CZ111" si="271">+CY93/CY91</f>
        <v>0.81923124155716565</v>
      </c>
      <c r="CZ111" s="103">
        <f t="shared" si="271"/>
        <v>0.81068224242789189</v>
      </c>
      <c r="DA111" s="103">
        <f t="shared" ref="DA111:DB111" si="272">+DA93/DA91</f>
        <v>0.8</v>
      </c>
      <c r="DB111" s="103">
        <f t="shared" si="272"/>
        <v>0.79999999999999993</v>
      </c>
      <c r="DC111" s="103"/>
      <c r="DD111" s="103"/>
      <c r="DE111" s="105"/>
      <c r="DF111" s="103"/>
      <c r="DG111" s="103"/>
      <c r="DH111" s="103"/>
      <c r="DI111" s="103"/>
      <c r="DJ111" s="103"/>
      <c r="DK111" s="103"/>
      <c r="DL111" s="103"/>
      <c r="DM111" s="103"/>
      <c r="DN111" s="103"/>
      <c r="DO111" s="103">
        <f>DO93/DO91</f>
        <v>0</v>
      </c>
      <c r="DP111" s="103">
        <v>0.749</v>
      </c>
      <c r="DQ111" s="103"/>
      <c r="DR111" s="103"/>
      <c r="DS111" s="103"/>
      <c r="DT111" s="103"/>
      <c r="DU111" s="103"/>
      <c r="DV111" s="103"/>
      <c r="DW111" s="103"/>
      <c r="DX111" s="103"/>
      <c r="DY111" s="103"/>
      <c r="DZ111" s="103"/>
      <c r="EA111" s="103">
        <f>EA93/EA91</f>
        <v>0.74449673599514199</v>
      </c>
      <c r="EB111" s="103">
        <f t="shared" ref="EB111:EN111" si="273">EB93/EB91</f>
        <v>0.76903131440728678</v>
      </c>
      <c r="EC111" s="103">
        <f t="shared" si="273"/>
        <v>0.8</v>
      </c>
      <c r="ED111" s="103">
        <f t="shared" si="273"/>
        <v>0.8</v>
      </c>
      <c r="EE111" s="103">
        <f t="shared" si="273"/>
        <v>0.8</v>
      </c>
      <c r="EF111" s="103">
        <f t="shared" si="273"/>
        <v>0.8</v>
      </c>
      <c r="EG111" s="103">
        <f t="shared" si="273"/>
        <v>0.8</v>
      </c>
      <c r="EH111" s="103">
        <f t="shared" si="273"/>
        <v>0.8</v>
      </c>
      <c r="EI111" s="103">
        <f t="shared" si="273"/>
        <v>0.8</v>
      </c>
      <c r="EJ111" s="103">
        <f t="shared" si="273"/>
        <v>0.8</v>
      </c>
      <c r="EK111" s="103">
        <f t="shared" si="273"/>
        <v>0.8</v>
      </c>
      <c r="EL111" s="103">
        <f t="shared" si="273"/>
        <v>0.8</v>
      </c>
      <c r="EM111" s="103">
        <f t="shared" si="273"/>
        <v>0.8</v>
      </c>
      <c r="EN111" s="103">
        <f t="shared" si="273"/>
        <v>0.8</v>
      </c>
      <c r="EP111" s="81" t="s">
        <v>645</v>
      </c>
      <c r="EQ111" s="100">
        <v>0.01</v>
      </c>
    </row>
    <row r="112" spans="2:254" s="101" customFormat="1" ht="12.75" customHeight="1">
      <c r="B112" s="102" t="s">
        <v>378</v>
      </c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4"/>
      <c r="Z112" s="103" t="e">
        <f>Z94/#REF!</f>
        <v>#REF!</v>
      </c>
      <c r="AA112" s="103" t="e">
        <f>AA94/#REF!</f>
        <v>#REF!</v>
      </c>
      <c r="AB112" s="103" t="e">
        <f>AB94/#REF!</f>
        <v>#REF!</v>
      </c>
      <c r="AC112" s="103" t="e">
        <f>AC94/#REF!</f>
        <v>#REF!</v>
      </c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3"/>
      <c r="BX112" s="103"/>
      <c r="BY112" s="103"/>
      <c r="BZ112" s="103"/>
      <c r="CA112" s="103"/>
      <c r="CB112" s="103"/>
      <c r="CC112" s="103">
        <f t="shared" ref="CC112:CP112" si="274">+CC94/CC91</f>
        <v>0.18482935309726417</v>
      </c>
      <c r="CD112" s="103">
        <f t="shared" si="274"/>
        <v>0.20513025411539076</v>
      </c>
      <c r="CE112" s="103">
        <f t="shared" si="274"/>
        <v>0.20457325679872024</v>
      </c>
      <c r="CF112" s="103">
        <f t="shared" si="274"/>
        <v>0.19768461673390633</v>
      </c>
      <c r="CG112" s="103">
        <f t="shared" si="274"/>
        <v>0.17257108103998783</v>
      </c>
      <c r="CH112" s="103">
        <f t="shared" si="274"/>
        <v>0.19184971525774722</v>
      </c>
      <c r="CI112" s="103">
        <f t="shared" si="274"/>
        <v>0.14162631281051505</v>
      </c>
      <c r="CJ112" s="103">
        <f t="shared" si="274"/>
        <v>0.16583293359830056</v>
      </c>
      <c r="CK112" s="103">
        <f t="shared" si="274"/>
        <v>0.16525168794705528</v>
      </c>
      <c r="CL112" s="103">
        <f t="shared" si="274"/>
        <v>0.19002169197396962</v>
      </c>
      <c r="CM112" s="103">
        <f t="shared" si="274"/>
        <v>0.16966935873541797</v>
      </c>
      <c r="CN112" s="103">
        <f t="shared" si="274"/>
        <v>0.17459261722647157</v>
      </c>
      <c r="CO112" s="103">
        <f t="shared" si="274"/>
        <v>0.15424132314246336</v>
      </c>
      <c r="CP112" s="103">
        <f t="shared" si="274"/>
        <v>0.18803827751196173</v>
      </c>
      <c r="CQ112" s="103">
        <f t="shared" ref="CQ112:CR112" si="275">+CQ94/CQ91</f>
        <v>0.15575277337559429</v>
      </c>
      <c r="CR112" s="103">
        <f t="shared" si="275"/>
        <v>0.16658391261171798</v>
      </c>
      <c r="CS112" s="103">
        <f t="shared" ref="CS112:CX112" si="276">+CS94/CS91</f>
        <v>0.15951251726001081</v>
      </c>
      <c r="CT112" s="103">
        <f t="shared" si="276"/>
        <v>0.18042754736303124</v>
      </c>
      <c r="CU112" s="103">
        <f t="shared" si="276"/>
        <v>0.16285659089445553</v>
      </c>
      <c r="CV112" s="103">
        <f t="shared" si="276"/>
        <v>0.16658231051499431</v>
      </c>
      <c r="CW112" s="103">
        <f t="shared" si="276"/>
        <v>0.14975511380005763</v>
      </c>
      <c r="CX112" s="103">
        <f t="shared" si="276"/>
        <v>0.17365853658536584</v>
      </c>
      <c r="CY112" s="103">
        <f t="shared" ref="CY112:CZ112" si="277">+CY94/CY91</f>
        <v>0.16382168733881861</v>
      </c>
      <c r="CZ112" s="103">
        <f t="shared" si="277"/>
        <v>0.17384235563316675</v>
      </c>
      <c r="DA112" s="103">
        <f t="shared" ref="DA112:DB112" si="278">+DA94/DA91</f>
        <v>0.1534509337834718</v>
      </c>
      <c r="DB112" s="103">
        <f t="shared" si="278"/>
        <v>0.1677918579707908</v>
      </c>
      <c r="DC112" s="103"/>
      <c r="DD112" s="103"/>
      <c r="DE112" s="105"/>
      <c r="DF112" s="103">
        <f>DF94/DF$91</f>
        <v>0.26890891079767915</v>
      </c>
      <c r="DG112" s="103"/>
      <c r="DH112" s="103"/>
      <c r="DI112" s="103">
        <f>DI94/DI$91</f>
        <v>0.54751105289012614</v>
      </c>
      <c r="DJ112" s="103"/>
      <c r="DK112" s="103"/>
      <c r="DL112" s="103"/>
      <c r="DM112" s="103"/>
      <c r="DN112" s="103"/>
      <c r="DO112" s="103">
        <f>DO94/DO91</f>
        <v>0.27632087558904644</v>
      </c>
      <c r="DP112" s="103">
        <v>0.27700000000000002</v>
      </c>
      <c r="DQ112" s="103">
        <v>0.27500000000000002</v>
      </c>
      <c r="DR112" s="103">
        <v>0.27200000000000002</v>
      </c>
      <c r="DS112" s="103">
        <v>0.27</v>
      </c>
      <c r="DT112" s="103">
        <v>0.27</v>
      </c>
      <c r="DU112" s="103">
        <v>0.27</v>
      </c>
      <c r="DV112" s="103">
        <v>0.27</v>
      </c>
      <c r="DW112" s="103">
        <v>0.27</v>
      </c>
      <c r="DX112" s="103">
        <v>0.27</v>
      </c>
      <c r="DY112" s="103"/>
      <c r="DZ112" s="103"/>
      <c r="EA112" s="103"/>
      <c r="EB112" s="103"/>
      <c r="EC112" s="103">
        <f>+EC94/EC91</f>
        <v>0.16252855023301915</v>
      </c>
      <c r="ED112" s="103"/>
      <c r="EE112" s="103"/>
      <c r="EG112" s="106"/>
      <c r="EP112" s="101" t="s">
        <v>435</v>
      </c>
      <c r="EQ112" s="106">
        <v>-0.01</v>
      </c>
    </row>
    <row r="113" spans="2:147" s="101" customFormat="1" ht="12.75" customHeight="1">
      <c r="B113" s="102" t="s">
        <v>379</v>
      </c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4"/>
      <c r="Z113" s="103" t="e">
        <f>Z95/#REF!</f>
        <v>#REF!</v>
      </c>
      <c r="AA113" s="103" t="e">
        <f>AA95/#REF!</f>
        <v>#REF!</v>
      </c>
      <c r="AB113" s="103" t="e">
        <f>AB95/#REF!</f>
        <v>#REF!</v>
      </c>
      <c r="AC113" s="103" t="e">
        <f>AC95/#REF!</f>
        <v>#REF!</v>
      </c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3"/>
      <c r="BX113" s="103"/>
      <c r="BY113" s="103"/>
      <c r="BZ113" s="103"/>
      <c r="CA113" s="103"/>
      <c r="CB113" s="103"/>
      <c r="CC113" s="103">
        <f t="shared" ref="CC113:CP113" si="279">+CC95/CC91</f>
        <v>0.20395278616524842</v>
      </c>
      <c r="CD113" s="103">
        <f t="shared" si="279"/>
        <v>0.20736774812210323</v>
      </c>
      <c r="CE113" s="103">
        <f t="shared" si="279"/>
        <v>0.22461654276842005</v>
      </c>
      <c r="CF113" s="103">
        <f t="shared" si="279"/>
        <v>0.37703911594457112</v>
      </c>
      <c r="CG113" s="103">
        <f t="shared" si="279"/>
        <v>0.18823171658811008</v>
      </c>
      <c r="CH113" s="103">
        <f t="shared" si="279"/>
        <v>0.19828415058057836</v>
      </c>
      <c r="CI113" s="103">
        <f t="shared" si="279"/>
        <v>0.16017860511917489</v>
      </c>
      <c r="CJ113" s="103">
        <f t="shared" si="279"/>
        <v>0.18940587953128213</v>
      </c>
      <c r="CK113" s="103">
        <f t="shared" si="279"/>
        <v>0.23370546159502639</v>
      </c>
      <c r="CL113" s="103">
        <f t="shared" si="279"/>
        <v>0.21945046999276935</v>
      </c>
      <c r="CM113" s="103">
        <f t="shared" si="279"/>
        <v>0.29447090494926487</v>
      </c>
      <c r="CN113" s="103">
        <f t="shared" si="279"/>
        <v>0.20691719321582974</v>
      </c>
      <c r="CO113" s="103">
        <f t="shared" si="279"/>
        <v>0.20655306352587396</v>
      </c>
      <c r="CP113" s="103">
        <f t="shared" si="279"/>
        <v>0.22816131237183868</v>
      </c>
      <c r="CQ113" s="103">
        <f t="shared" ref="CQ113:CR113" si="280">+CQ95/CQ91</f>
        <v>0.25191759112519813</v>
      </c>
      <c r="CR113" s="103">
        <f t="shared" si="280"/>
        <v>0.21598808341608738</v>
      </c>
      <c r="CS113" s="103">
        <f t="shared" ref="CS113:CX113" si="281">+CS95/CS91</f>
        <v>0.35048328030257547</v>
      </c>
      <c r="CT113" s="103">
        <f t="shared" si="281"/>
        <v>0.29275473630312338</v>
      </c>
      <c r="CU113" s="103">
        <f t="shared" si="281"/>
        <v>0.23272586773134135</v>
      </c>
      <c r="CV113" s="103">
        <f t="shared" si="281"/>
        <v>0.25256231810704793</v>
      </c>
      <c r="CW113" s="103">
        <f t="shared" si="281"/>
        <v>0.2303082685105157</v>
      </c>
      <c r="CX113" s="103">
        <f t="shared" si="281"/>
        <v>0.24341463414634146</v>
      </c>
      <c r="CY113" s="103">
        <f t="shared" ref="CY113:CZ113" si="282">+CY95/CY91</f>
        <v>0.21846985140611569</v>
      </c>
      <c r="CZ113" s="103">
        <f t="shared" si="282"/>
        <v>0.24303004757030169</v>
      </c>
      <c r="DA113" s="103">
        <f t="shared" ref="DA113:DB113" si="283">+DA95/DA91</f>
        <v>0.23599206707677445</v>
      </c>
      <c r="DB113" s="103">
        <f t="shared" si="283"/>
        <v>0.23519139642535</v>
      </c>
      <c r="DC113" s="103"/>
      <c r="DD113" s="103"/>
      <c r="DE113" s="105"/>
      <c r="DF113" s="103">
        <f>DF95/DF$91</f>
        <v>0.11587339025425727</v>
      </c>
      <c r="DG113" s="103"/>
      <c r="DH113" s="103"/>
      <c r="DI113" s="103">
        <f>DI95/DI$91</f>
        <v>0.30540363517275254</v>
      </c>
      <c r="DJ113" s="103"/>
      <c r="DK113" s="103"/>
      <c r="DL113" s="103"/>
      <c r="DM113" s="103"/>
      <c r="DN113" s="103"/>
      <c r="DO113" s="103">
        <f>DO95/DO91</f>
        <v>0.17637950878412126</v>
      </c>
      <c r="DP113" s="103">
        <v>0.19</v>
      </c>
      <c r="DQ113" s="103">
        <v>0.185</v>
      </c>
      <c r="DR113" s="103">
        <v>0.18</v>
      </c>
      <c r="DS113" s="103">
        <v>0.18</v>
      </c>
      <c r="DT113" s="103">
        <v>0.17499999999999999</v>
      </c>
      <c r="DU113" s="103">
        <v>0.17499999999999999</v>
      </c>
      <c r="DV113" s="103">
        <v>0.17</v>
      </c>
      <c r="DW113" s="103">
        <v>0.17</v>
      </c>
      <c r="DX113" s="103">
        <v>0.17</v>
      </c>
      <c r="DY113" s="103"/>
      <c r="DZ113" s="103"/>
      <c r="EA113" s="103"/>
      <c r="EB113" s="103"/>
      <c r="EC113" s="103">
        <f>+EC95/EC91</f>
        <v>0.28202555152128206</v>
      </c>
      <c r="ED113" s="103"/>
      <c r="EE113" s="103"/>
      <c r="EG113" s="106"/>
      <c r="EP113" s="101" t="s">
        <v>436</v>
      </c>
      <c r="EQ113" s="106">
        <v>7.0000000000000007E-2</v>
      </c>
    </row>
    <row r="114" spans="2:147" s="101" customFormat="1" ht="12.75" customHeight="1">
      <c r="B114" s="102" t="s">
        <v>74</v>
      </c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4"/>
      <c r="Z114" s="103" t="e">
        <f>Z97/#REF!</f>
        <v>#REF!</v>
      </c>
      <c r="AA114" s="103" t="e">
        <f>AA97/#REF!</f>
        <v>#REF!</v>
      </c>
      <c r="AB114" s="103" t="e">
        <f>AB97/#REF!</f>
        <v>#REF!</v>
      </c>
      <c r="AC114" s="103" t="e">
        <f>AC97/#REF!</f>
        <v>#REF!</v>
      </c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3"/>
      <c r="BN114" s="103"/>
      <c r="BO114" s="103"/>
      <c r="BP114" s="103"/>
      <c r="BQ114" s="103"/>
      <c r="BR114" s="103"/>
      <c r="BS114" s="103"/>
      <c r="BT114" s="103"/>
      <c r="BU114" s="103"/>
      <c r="BV114" s="103"/>
      <c r="BW114" s="103"/>
      <c r="BX114" s="103"/>
      <c r="BY114" s="103"/>
      <c r="BZ114" s="103"/>
      <c r="CA114" s="103"/>
      <c r="CB114" s="103"/>
      <c r="CC114" s="103">
        <f t="shared" ref="CC114:CP114" si="284">+CC97/CC91</f>
        <v>0.37588068441760453</v>
      </c>
      <c r="CD114" s="103">
        <f t="shared" si="284"/>
        <v>0.36862713760588139</v>
      </c>
      <c r="CE114" s="103">
        <f t="shared" si="284"/>
        <v>0.33678366425143502</v>
      </c>
      <c r="CF114" s="103">
        <f t="shared" si="284"/>
        <v>0.18987896860199965</v>
      </c>
      <c r="CG114" s="103">
        <f t="shared" si="284"/>
        <v>0.40687243424053521</v>
      </c>
      <c r="CH114" s="103">
        <f t="shared" si="284"/>
        <v>0.35759189409067377</v>
      </c>
      <c r="CI114" s="103">
        <f t="shared" si="284"/>
        <v>0.4055090874787749</v>
      </c>
      <c r="CJ114" s="103">
        <f t="shared" si="284"/>
        <v>0.39135201809086551</v>
      </c>
      <c r="CK114" s="103">
        <f t="shared" si="284"/>
        <v>0.37148205093923392</v>
      </c>
      <c r="CL114" s="103">
        <f t="shared" si="284"/>
        <v>0.34750542299349241</v>
      </c>
      <c r="CM114" s="103">
        <f t="shared" si="284"/>
        <v>0.30447987851176916</v>
      </c>
      <c r="CN114" s="103">
        <f t="shared" si="284"/>
        <v>0.38403724642500831</v>
      </c>
      <c r="CO114" s="103">
        <f t="shared" si="284"/>
        <v>0.40872071169026436</v>
      </c>
      <c r="CP114" s="103">
        <f t="shared" si="284"/>
        <v>0.3555023923444976</v>
      </c>
      <c r="CQ114" s="103">
        <f t="shared" ref="CQ114:CR114" si="285">+CQ97/CQ91</f>
        <v>0.40462757527733756</v>
      </c>
      <c r="CR114" s="103">
        <f t="shared" si="285"/>
        <v>0.42670059582919562</v>
      </c>
      <c r="CS114" s="103">
        <f t="shared" ref="CS114:CX114" si="286">+CS97/CS91</f>
        <v>0.29495107162154049</v>
      </c>
      <c r="CT114" s="103">
        <f t="shared" si="286"/>
        <v>0.33442140296979006</v>
      </c>
      <c r="CU114" s="103">
        <f t="shared" si="286"/>
        <v>0.42649236911584776</v>
      </c>
      <c r="CV114" s="103">
        <f t="shared" si="286"/>
        <v>0.40269517904593194</v>
      </c>
      <c r="CW114" s="103">
        <f t="shared" si="286"/>
        <v>0.43993085566119272</v>
      </c>
      <c r="CX114" s="103">
        <f t="shared" si="286"/>
        <v>0.38024390243902439</v>
      </c>
      <c r="CY114" s="103">
        <f t="shared" ref="CY114:CZ114" si="287">+CY97/CY91</f>
        <v>0.43693970281223138</v>
      </c>
      <c r="CZ114" s="103">
        <f t="shared" si="287"/>
        <v>0.39380983922442342</v>
      </c>
      <c r="DA114" s="103">
        <f t="shared" ref="DA114:DB114" si="288">+DA97/DA91</f>
        <v>0.4105569991397538</v>
      </c>
      <c r="DB114" s="103">
        <f t="shared" si="288"/>
        <v>0.39701674560385919</v>
      </c>
      <c r="DC114" s="103"/>
      <c r="DD114" s="103"/>
      <c r="DE114" s="105"/>
      <c r="DF114" s="103">
        <f>DF97/DF$91</f>
        <v>0.44422850134440306</v>
      </c>
      <c r="DG114" s="103"/>
      <c r="DH114" s="103"/>
      <c r="DI114" s="103">
        <f>DI97/DI$91</f>
        <v>-0.85291468806287862</v>
      </c>
      <c r="DJ114" s="103">
        <f>DJ97/DJ$91</f>
        <v>-0.91469105204683354</v>
      </c>
      <c r="DK114" s="103"/>
      <c r="DL114" s="103"/>
      <c r="DM114" s="103"/>
      <c r="DN114" s="103"/>
      <c r="DO114" s="103">
        <f t="shared" ref="DO114:DX114" si="289">DO97/DO91</f>
        <v>-0.45270038437316773</v>
      </c>
      <c r="DP114" s="103">
        <f t="shared" si="289"/>
        <v>0.30654966031759273</v>
      </c>
      <c r="DQ114" s="103">
        <f t="shared" si="289"/>
        <v>-0.27500000000000002</v>
      </c>
      <c r="DR114" s="103">
        <f t="shared" si="289"/>
        <v>-0.27200000000000002</v>
      </c>
      <c r="DS114" s="103">
        <f t="shared" si="289"/>
        <v>-0.27</v>
      </c>
      <c r="DT114" s="103">
        <f t="shared" si="289"/>
        <v>-0.27</v>
      </c>
      <c r="DU114" s="103">
        <f t="shared" si="289"/>
        <v>-0.27</v>
      </c>
      <c r="DV114" s="103">
        <f t="shared" si="289"/>
        <v>-0.27</v>
      </c>
      <c r="DW114" s="103">
        <f t="shared" si="289"/>
        <v>-0.27</v>
      </c>
      <c r="DX114" s="103">
        <f t="shared" si="289"/>
        <v>-0.27</v>
      </c>
      <c r="DY114" s="103"/>
      <c r="DZ114" s="103"/>
      <c r="EA114" s="103"/>
      <c r="EB114" s="103"/>
      <c r="EC114" s="103">
        <f>+EC97/EC91</f>
        <v>0.35544589824569883</v>
      </c>
      <c r="ED114" s="103"/>
      <c r="EE114" s="103"/>
      <c r="EG114" s="106"/>
      <c r="EP114" s="101" t="s">
        <v>437</v>
      </c>
      <c r="EQ114" s="85">
        <f>NPV($EQ$113,EF107:HH107)+Main!J5-Main!J6+EE107</f>
        <v>204277.82252265219</v>
      </c>
    </row>
    <row r="115" spans="2:147" s="101" customFormat="1" ht="12.75" customHeight="1">
      <c r="B115" s="102" t="s">
        <v>75</v>
      </c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4"/>
      <c r="Z115" s="103" t="e">
        <f>Z105/#REF!</f>
        <v>#REF!</v>
      </c>
      <c r="AA115" s="103" t="e">
        <f>AA105/#REF!</f>
        <v>#REF!</v>
      </c>
      <c r="AB115" s="103" t="e">
        <f>AB105/#REF!</f>
        <v>#REF!</v>
      </c>
      <c r="AC115" s="103" t="e">
        <f>AC105/#REF!</f>
        <v>#REF!</v>
      </c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03"/>
      <c r="BY115" s="103"/>
      <c r="BZ115" s="103"/>
      <c r="CA115" s="103"/>
      <c r="CB115" s="103"/>
      <c r="CC115" s="103"/>
      <c r="CD115" s="103"/>
      <c r="CE115" s="103"/>
      <c r="CF115" s="103"/>
      <c r="CG115" s="103"/>
      <c r="CH115" s="103"/>
      <c r="CI115" s="103"/>
      <c r="CJ115" s="103"/>
      <c r="CK115" s="103"/>
      <c r="CL115" s="103"/>
      <c r="CM115" s="103"/>
      <c r="CN115" s="103"/>
      <c r="CO115" s="103"/>
      <c r="CP115" s="103"/>
      <c r="CQ115" s="103"/>
      <c r="CR115" s="103"/>
      <c r="CS115" s="103"/>
      <c r="CT115" s="103"/>
      <c r="CU115" s="103"/>
      <c r="CV115" s="103"/>
      <c r="CW115" s="103"/>
      <c r="CX115" s="103"/>
      <c r="CY115" s="103"/>
      <c r="CZ115" s="103"/>
      <c r="DA115" s="103"/>
      <c r="DB115" s="103"/>
      <c r="DC115" s="103"/>
      <c r="DD115" s="103"/>
      <c r="DE115" s="105"/>
      <c r="DF115" s="103">
        <f>DF105/DF$91</f>
        <v>0.41918533893108173</v>
      </c>
      <c r="DG115" s="103"/>
      <c r="DH115" s="103"/>
      <c r="DI115" s="103">
        <f>DI105/DI$91</f>
        <v>-0.76792205665629598</v>
      </c>
      <c r="DJ115" s="103"/>
      <c r="DK115" s="103"/>
      <c r="DL115" s="103"/>
      <c r="DM115" s="103"/>
      <c r="DN115" s="103"/>
      <c r="DO115" s="103">
        <f>DO105/DO91</f>
        <v>-0.45688505722165523</v>
      </c>
      <c r="DP115" s="103"/>
      <c r="DQ115" s="103"/>
      <c r="DR115" s="103"/>
      <c r="DS115" s="103"/>
      <c r="DT115" s="103"/>
      <c r="DU115" s="103"/>
      <c r="DV115" s="103"/>
      <c r="DW115" s="103"/>
      <c r="DX115" s="103"/>
      <c r="DY115" s="103"/>
      <c r="DZ115" s="103"/>
      <c r="EA115" s="103"/>
      <c r="EB115" s="103"/>
      <c r="EC115" s="103">
        <f>+EC107/EC91</f>
        <v>0.26330378110927632</v>
      </c>
      <c r="ED115" s="103"/>
      <c r="EE115" s="103"/>
      <c r="EG115" s="106"/>
      <c r="EP115" s="101" t="s">
        <v>777</v>
      </c>
      <c r="EQ115" s="107">
        <f>EQ114/Main!J3</f>
        <v>82.70945144197718</v>
      </c>
    </row>
    <row r="116" spans="2:147" s="101" customFormat="1" ht="12.75" customHeight="1">
      <c r="B116" s="102" t="s">
        <v>76</v>
      </c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4"/>
      <c r="Z116" s="103" t="e">
        <f>Z107/#REF!</f>
        <v>#REF!</v>
      </c>
      <c r="AA116" s="103" t="e">
        <f>AA107/#REF!</f>
        <v>#REF!</v>
      </c>
      <c r="AB116" s="103" t="e">
        <f>AB107/#REF!</f>
        <v>#REF!</v>
      </c>
      <c r="AC116" s="103" t="e">
        <f>AC107/#REF!</f>
        <v>#REF!</v>
      </c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3"/>
      <c r="BN116" s="103"/>
      <c r="BO116" s="103"/>
      <c r="BP116" s="103"/>
      <c r="BQ116" s="103"/>
      <c r="BR116" s="103"/>
      <c r="BS116" s="103"/>
      <c r="BT116" s="103"/>
      <c r="BU116" s="103"/>
      <c r="BV116" s="103"/>
      <c r="BW116" s="103"/>
      <c r="BX116" s="103"/>
      <c r="BY116" s="103"/>
      <c r="BZ116" s="103"/>
      <c r="CA116" s="103"/>
      <c r="CB116" s="103"/>
      <c r="CC116" s="103">
        <f t="shared" ref="CC116:CP116" si="290">+CC107/CC91</f>
        <v>0.31915088297190958</v>
      </c>
      <c r="CD116" s="103">
        <f t="shared" si="290"/>
        <v>0.32451654147354964</v>
      </c>
      <c r="CE116" s="103">
        <f t="shared" si="290"/>
        <v>0.27768890561776605</v>
      </c>
      <c r="CF116" s="103">
        <f t="shared" si="290"/>
        <v>0.13681810208735309</v>
      </c>
      <c r="CG116" s="103">
        <f t="shared" si="290"/>
        <v>0.3377679793218793</v>
      </c>
      <c r="CH116" s="103">
        <f t="shared" si="290"/>
        <v>0.33865838325567638</v>
      </c>
      <c r="CI116" s="103">
        <f t="shared" si="290"/>
        <v>0.34123640022640084</v>
      </c>
      <c r="CJ116" s="103">
        <f t="shared" si="290"/>
        <v>0.32536147467964094</v>
      </c>
      <c r="CK116" s="103">
        <f t="shared" si="290"/>
        <v>0.31439267330703924</v>
      </c>
      <c r="CL116" s="103">
        <f t="shared" si="290"/>
        <v>0.29862617498192334</v>
      </c>
      <c r="CM116" s="103">
        <f t="shared" si="290"/>
        <v>0.24628977704148547</v>
      </c>
      <c r="CN116" s="103">
        <f t="shared" si="290"/>
        <v>0.32889923511805785</v>
      </c>
      <c r="CO116" s="103">
        <f t="shared" si="290"/>
        <v>0.34030823205112143</v>
      </c>
      <c r="CP116" s="103">
        <f t="shared" si="290"/>
        <v>0.38051948051948054</v>
      </c>
      <c r="CQ116" s="103">
        <f t="shared" ref="CQ116:CR116" si="291">+CQ107/CQ91</f>
        <v>0.33496038034865294</v>
      </c>
      <c r="CR116" s="103">
        <f t="shared" si="291"/>
        <v>0.36091112214498511</v>
      </c>
      <c r="CS116" s="103">
        <f t="shared" ref="CS116:CX116" si="292">+CS107/CS91</f>
        <v>0.23923875847991835</v>
      </c>
      <c r="CT116" s="103">
        <f t="shared" si="292"/>
        <v>0.27982590885816694</v>
      </c>
      <c r="CU116" s="103">
        <f t="shared" si="292"/>
        <v>0.36654002189451995</v>
      </c>
      <c r="CV116" s="103">
        <f t="shared" si="292"/>
        <v>0.33955459951916994</v>
      </c>
      <c r="CW116" s="103">
        <f t="shared" si="292"/>
        <v>0.37620282339383465</v>
      </c>
      <c r="CX116" s="103">
        <f t="shared" si="292"/>
        <v>0.31018292682926829</v>
      </c>
      <c r="CY116" s="103">
        <f t="shared" ref="CY116:DB116" si="293">+CY107/CY91</f>
        <v>0.35865160260346307</v>
      </c>
      <c r="CZ116" s="103">
        <f t="shared" si="293"/>
        <v>0.32323718913711086</v>
      </c>
      <c r="DA116" s="103">
        <f t="shared" si="293"/>
        <v>0.35409125931908886</v>
      </c>
      <c r="DB116" s="103">
        <f t="shared" si="293"/>
        <v>0.34193807844151525</v>
      </c>
      <c r="DC116" s="103"/>
      <c r="DD116" s="103"/>
      <c r="DE116" s="105"/>
      <c r="DF116" s="103">
        <f>DF107/DF$91</f>
        <v>0.28262701070805235</v>
      </c>
      <c r="DG116" s="103"/>
      <c r="DH116" s="103"/>
      <c r="DI116" s="103">
        <f>DI107/DI$91</f>
        <v>-0.94485835925986572</v>
      </c>
      <c r="DJ116" s="103"/>
      <c r="DK116" s="103"/>
      <c r="DL116" s="103"/>
      <c r="DM116" s="103"/>
      <c r="DN116" s="103"/>
      <c r="DO116" s="103">
        <f>DO107/DO91</f>
        <v>-0.51841082325349086</v>
      </c>
      <c r="DP116" s="103"/>
      <c r="DQ116" s="103"/>
      <c r="DR116" s="103"/>
      <c r="DS116" s="103"/>
      <c r="DT116" s="103"/>
      <c r="DU116" s="103"/>
      <c r="DV116" s="103"/>
      <c r="DW116" s="103"/>
      <c r="DX116" s="103"/>
      <c r="DY116" s="103"/>
      <c r="DZ116" s="103"/>
      <c r="EA116" s="103"/>
      <c r="EB116" s="103"/>
      <c r="EC116" s="103">
        <f>+EC106/EC105</f>
        <v>0.25</v>
      </c>
      <c r="ED116" s="103"/>
      <c r="EE116" s="103"/>
      <c r="EG116" s="106"/>
    </row>
    <row r="117" spans="2:147" s="101" customFormat="1" ht="12.75" customHeight="1">
      <c r="B117" s="102" t="s">
        <v>77</v>
      </c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4"/>
      <c r="Z117" s="103">
        <f>Z106/Z105</f>
        <v>-0.15541835213966362</v>
      </c>
      <c r="AA117" s="103">
        <f>AA106/AA105</f>
        <v>-0.28600395133617551</v>
      </c>
      <c r="AB117" s="103">
        <f>AB106/AB105</f>
        <v>-0.24472722469288008</v>
      </c>
      <c r="AC117" s="103">
        <f>AC106/AC105</f>
        <v>-0.25460470388211959</v>
      </c>
      <c r="AD117" s="103"/>
      <c r="AE117" s="103">
        <f>AE106/AE105</f>
        <v>0.25</v>
      </c>
      <c r="AF117" s="103">
        <f>AF106/AF105</f>
        <v>-0.11633127555519923</v>
      </c>
      <c r="AG117" s="103">
        <f>AG106/AG105</f>
        <v>-0.14636614535418585</v>
      </c>
      <c r="AH117" s="103">
        <v>0.26</v>
      </c>
      <c r="AI117" s="103">
        <f t="shared" ref="AI117:AQ117" si="294">AI106/AI105</f>
        <v>-0.17071193553001762</v>
      </c>
      <c r="AJ117" s="103">
        <f t="shared" si="294"/>
        <v>-0.21215918420256663</v>
      </c>
      <c r="AK117" s="103">
        <f t="shared" si="294"/>
        <v>0.31900000000000001</v>
      </c>
      <c r="AL117" s="103">
        <f t="shared" si="294"/>
        <v>0.11741554608068216</v>
      </c>
      <c r="AM117" s="103">
        <f t="shared" si="294"/>
        <v>0.23912599550745359</v>
      </c>
      <c r="AN117" s="103">
        <f t="shared" si="294"/>
        <v>-0.13938989513822686</v>
      </c>
      <c r="AO117" s="103">
        <f t="shared" si="294"/>
        <v>-0.16246395484385548</v>
      </c>
      <c r="AP117" s="103">
        <f t="shared" si="294"/>
        <v>-8.529977276699878E-2</v>
      </c>
      <c r="AQ117" s="103">
        <f t="shared" si="294"/>
        <v>-0.19732641660015962</v>
      </c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3"/>
      <c r="BN117" s="103"/>
      <c r="BO117" s="103"/>
      <c r="BP117" s="103"/>
      <c r="BQ117" s="103"/>
      <c r="BR117" s="103"/>
      <c r="BS117" s="103"/>
      <c r="BT117" s="103"/>
      <c r="BU117" s="103"/>
      <c r="BV117" s="103"/>
      <c r="BW117" s="103"/>
      <c r="BX117" s="103"/>
      <c r="BY117" s="103"/>
      <c r="BZ117" s="103"/>
      <c r="CA117" s="103"/>
      <c r="CB117" s="103"/>
      <c r="CC117" s="103">
        <f t="shared" ref="CC117:CP117" si="295">+CC106/CC105</f>
        <v>0.14362877485882641</v>
      </c>
      <c r="CD117" s="103">
        <f t="shared" si="295"/>
        <v>0.10015510746731664</v>
      </c>
      <c r="CE117" s="103">
        <f t="shared" si="295"/>
        <v>0.14339622641509434</v>
      </c>
      <c r="CF117" s="103">
        <f t="shared" si="295"/>
        <v>0.26657263751763044</v>
      </c>
      <c r="CG117" s="103">
        <f t="shared" si="295"/>
        <v>0.13018794048551291</v>
      </c>
      <c r="CH117" s="103">
        <f t="shared" si="295"/>
        <v>4.2851170568561872E-2</v>
      </c>
      <c r="CI117" s="103">
        <f t="shared" si="295"/>
        <v>0.13995878903154224</v>
      </c>
      <c r="CJ117" s="103">
        <f t="shared" si="295"/>
        <v>0.13813759302958795</v>
      </c>
      <c r="CK117" s="103">
        <f t="shared" si="295"/>
        <v>0.13738077769625825</v>
      </c>
      <c r="CL117" s="103">
        <f t="shared" si="295"/>
        <v>0.15576451349141454</v>
      </c>
      <c r="CM117" s="103">
        <f t="shared" si="295"/>
        <v>0.20374916313322919</v>
      </c>
      <c r="CN117" s="103">
        <f t="shared" si="295"/>
        <v>0.14074717636837533</v>
      </c>
      <c r="CO117" s="103">
        <f t="shared" si="295"/>
        <v>0.15005476451259583</v>
      </c>
      <c r="CP117" s="103">
        <f t="shared" si="295"/>
        <v>-0.10741993236522777</v>
      </c>
      <c r="CQ117" s="103">
        <f t="shared" ref="CQ117:CR117" si="296">+CQ106/CQ105</f>
        <v>0.16073697585768743</v>
      </c>
      <c r="CR117" s="103">
        <f t="shared" si="296"/>
        <v>0.14068272498891679</v>
      </c>
      <c r="CS117" s="103">
        <f t="shared" ref="CS117:CX117" si="297">+CS106/CS105</f>
        <v>0.21954563258911086</v>
      </c>
      <c r="CT117" s="103">
        <f t="shared" si="297"/>
        <v>0.16245210727969348</v>
      </c>
      <c r="CU117" s="103">
        <f t="shared" si="297"/>
        <v>0.14057073833610145</v>
      </c>
      <c r="CV117" s="103">
        <f t="shared" si="297"/>
        <v>0.14958009824116622</v>
      </c>
      <c r="CW117" s="103">
        <f t="shared" si="297"/>
        <v>0.13281976358082082</v>
      </c>
      <c r="CX117" s="103">
        <f t="shared" si="297"/>
        <v>0.15357737104825292</v>
      </c>
      <c r="CY117" s="103">
        <f t="shared" ref="CY117:DB117" si="298">+CY106/CY105</f>
        <v>0.14077669902912621</v>
      </c>
      <c r="CZ117" s="103">
        <f t="shared" si="298"/>
        <v>0.14112</v>
      </c>
      <c r="DA117" s="103">
        <f t="shared" si="298"/>
        <v>0.1</v>
      </c>
      <c r="DB117" s="103">
        <f t="shared" si="298"/>
        <v>0.1</v>
      </c>
      <c r="DC117" s="103"/>
      <c r="DD117" s="103"/>
      <c r="DE117" s="105"/>
      <c r="DF117" s="103">
        <f t="shared" ref="DF117:DO117" si="299">DF106/DF105</f>
        <v>0.32577076424297591</v>
      </c>
      <c r="DG117" s="103">
        <f t="shared" si="299"/>
        <v>-0.29904536604768989</v>
      </c>
      <c r="DH117" s="103">
        <f t="shared" si="299"/>
        <v>-0.22870625830244593</v>
      </c>
      <c r="DI117" s="103">
        <f t="shared" si="299"/>
        <v>-0.23040919461799261</v>
      </c>
      <c r="DJ117" s="103">
        <f t="shared" si="299"/>
        <v>-0.23575806742383273</v>
      </c>
      <c r="DK117" s="103">
        <f t="shared" si="299"/>
        <v>-0.19156004200690113</v>
      </c>
      <c r="DL117" s="103">
        <f t="shared" si="299"/>
        <v>-0.26061883109681716</v>
      </c>
      <c r="DM117" s="103">
        <f t="shared" si="299"/>
        <v>0.25</v>
      </c>
      <c r="DN117" s="103">
        <f t="shared" si="299"/>
        <v>0.25</v>
      </c>
      <c r="DO117" s="103">
        <f t="shared" si="299"/>
        <v>-0.1346635549999762</v>
      </c>
      <c r="DP117" s="103"/>
      <c r="DQ117" s="103"/>
      <c r="DR117" s="103"/>
      <c r="DS117" s="103"/>
      <c r="DT117" s="103"/>
      <c r="DU117" s="103"/>
      <c r="DV117" s="103"/>
      <c r="DW117" s="103"/>
      <c r="DX117" s="103"/>
      <c r="DY117" s="103"/>
      <c r="DZ117" s="103"/>
      <c r="EA117" s="103"/>
      <c r="EB117" s="103"/>
      <c r="EC117" s="103"/>
      <c r="ED117" s="103"/>
      <c r="EE117" s="103"/>
      <c r="EG117" s="106"/>
    </row>
    <row r="118" spans="2:147" s="81" customFormat="1" ht="12.75" customHeight="1">
      <c r="B118" s="98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92"/>
      <c r="Z118" s="82"/>
      <c r="AA118" s="92"/>
      <c r="AB118" s="82"/>
      <c r="AC118" s="85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73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82"/>
      <c r="DZ118" s="82"/>
      <c r="EA118" s="82"/>
      <c r="EB118" s="82"/>
      <c r="EC118" s="82"/>
      <c r="ED118" s="82"/>
      <c r="EE118" s="82"/>
      <c r="EG118" s="85"/>
    </row>
    <row r="119" spans="2:147" s="81" customFormat="1" ht="12.75" customHeight="1">
      <c r="B119" s="108"/>
      <c r="C119" s="99"/>
      <c r="D119" s="99"/>
      <c r="E119" s="99"/>
      <c r="F119" s="99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92"/>
      <c r="Z119" s="82"/>
      <c r="AA119" s="92"/>
      <c r="AB119" s="82"/>
      <c r="AC119" s="85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73"/>
      <c r="DF119" s="99"/>
      <c r="DG119" s="109"/>
      <c r="DH119" s="109"/>
      <c r="DI119" s="109"/>
      <c r="DJ119" s="109"/>
      <c r="DK119" s="109"/>
      <c r="DL119" s="109"/>
      <c r="DM119" s="109"/>
      <c r="DN119" s="109"/>
      <c r="DO119" s="109"/>
      <c r="DP119" s="109"/>
      <c r="DQ119" s="109"/>
      <c r="DR119" s="109"/>
      <c r="DS119" s="109"/>
      <c r="DT119" s="82"/>
      <c r="DU119" s="82"/>
      <c r="DV119" s="82"/>
      <c r="DW119" s="82"/>
      <c r="DX119" s="82"/>
      <c r="DY119" s="82"/>
      <c r="DZ119" s="82"/>
      <c r="EA119" s="82"/>
      <c r="EB119" s="82"/>
      <c r="EC119" s="82"/>
      <c r="ED119" s="82"/>
      <c r="EE119" s="82"/>
      <c r="EG119" s="85"/>
    </row>
    <row r="120" spans="2:147" s="8" customFormat="1" ht="12.75" customHeight="1">
      <c r="B120" s="34" t="s">
        <v>643</v>
      </c>
      <c r="C120" s="9"/>
      <c r="D120" s="9"/>
      <c r="E120" s="9"/>
      <c r="F120" s="9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6"/>
      <c r="Z120" s="24"/>
      <c r="AA120" s="26"/>
      <c r="AB120" s="24"/>
      <c r="AC120" s="28"/>
      <c r="AD120" s="24"/>
      <c r="AE120" s="24"/>
      <c r="AF120" s="24"/>
      <c r="AG120" s="24"/>
      <c r="AH120" s="24"/>
      <c r="AI120" s="24"/>
      <c r="AJ120" s="24"/>
      <c r="AK120" s="24"/>
      <c r="AL120" s="42">
        <f>+AL91/AH91-1</f>
        <v>3.4799453420143083</v>
      </c>
      <c r="AM120" s="42">
        <f>+AM91/AI91-1</f>
        <v>0.59650593990216638</v>
      </c>
      <c r="AN120" s="42" t="e">
        <f>+#REF!/AJ91-1</f>
        <v>#REF!</v>
      </c>
      <c r="AO120" s="42" t="e">
        <f>+#REF!/AK91-1</f>
        <v>#REF!</v>
      </c>
      <c r="AP120" s="42" t="e">
        <f>+#REF!/AL91-1</f>
        <v>#REF!</v>
      </c>
      <c r="AQ120" s="42" t="e">
        <f>+#REF!/AM91-1</f>
        <v>#REF!</v>
      </c>
      <c r="AR120" s="42" t="e">
        <f>+#REF!/#REF!-1</f>
        <v>#REF!</v>
      </c>
      <c r="AS120" s="42" t="e">
        <f>+#REF!/#REF!-1</f>
        <v>#REF!</v>
      </c>
      <c r="AT120" s="42" t="e">
        <f>+#REF!/#REF!-1</f>
        <v>#REF!</v>
      </c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>
        <f t="shared" ref="CA120:CX120" si="300">+CA91/BW91-1</f>
        <v>0.11473742603550297</v>
      </c>
      <c r="CB120" s="42">
        <f t="shared" si="300"/>
        <v>-7.551020408163267E-2</v>
      </c>
      <c r="CC120" s="42">
        <f t="shared" si="300"/>
        <v>-0.11841574574493829</v>
      </c>
      <c r="CD120" s="42">
        <f t="shared" si="300"/>
        <v>5.4432086282440117E-2</v>
      </c>
      <c r="CE120" s="42">
        <f t="shared" si="300"/>
        <v>-0.11860330098697847</v>
      </c>
      <c r="CF120" s="42">
        <f t="shared" si="300"/>
        <v>4.8749080206033746E-2</v>
      </c>
      <c r="CG120" s="42">
        <f t="shared" si="300"/>
        <v>0.20358678744624403</v>
      </c>
      <c r="CH120" s="42">
        <f t="shared" si="300"/>
        <v>8.046987374140957E-2</v>
      </c>
      <c r="CI120" s="42">
        <f t="shared" si="300"/>
        <v>0.49628305260186312</v>
      </c>
      <c r="CJ120" s="42">
        <f t="shared" si="300"/>
        <v>0.27986318189791271</v>
      </c>
      <c r="CK120" s="42">
        <f t="shared" si="300"/>
        <v>0.1372206173027215</v>
      </c>
      <c r="CL120" s="42">
        <f t="shared" si="300"/>
        <v>2.2853339250055393E-2</v>
      </c>
      <c r="CM120" s="42">
        <f t="shared" si="300"/>
        <v>-8.8925224828627081E-2</v>
      </c>
      <c r="CN120" s="42">
        <f t="shared" si="300"/>
        <v>3.0288494483656558E-2</v>
      </c>
      <c r="CO120" s="42">
        <f t="shared" si="300"/>
        <v>6.7049936493080997E-2</v>
      </c>
      <c r="CP120" s="42">
        <f t="shared" si="300"/>
        <v>5.7845263919016565E-2</v>
      </c>
      <c r="CQ120" s="42">
        <f t="shared" si="300"/>
        <v>8.8907296196589991E-2</v>
      </c>
      <c r="CR120" s="42">
        <f t="shared" si="300"/>
        <v>7.1632856667775302E-2</v>
      </c>
      <c r="CS120" s="42">
        <f t="shared" si="300"/>
        <v>4.354090966044355E-2</v>
      </c>
      <c r="CT120" s="42">
        <f t="shared" si="300"/>
        <v>6.7942583732057527E-2</v>
      </c>
      <c r="CU120" s="42">
        <f t="shared" si="300"/>
        <v>-1.5594294770206019E-2</v>
      </c>
      <c r="CV120" s="42">
        <f t="shared" si="300"/>
        <v>-1.8992055610724923E-2</v>
      </c>
      <c r="CW120" s="42">
        <f t="shared" si="300"/>
        <v>4.1904304496608091E-2</v>
      </c>
      <c r="CX120" s="42">
        <f t="shared" si="300"/>
        <v>4.9667178699436709E-2</v>
      </c>
      <c r="CY120" s="42">
        <f t="shared" ref="CY120" si="301">+CY91/CU91-1</f>
        <v>4.8747504668684494E-2</v>
      </c>
      <c r="CZ120" s="42">
        <f t="shared" ref="CZ120:DB120" si="302">+CZ91/CV91-1</f>
        <v>5.0676958117170656E-2</v>
      </c>
      <c r="DA120" s="42">
        <f t="shared" si="302"/>
        <v>-2.4084701815038745E-2</v>
      </c>
      <c r="DB120" s="42">
        <f t="shared" si="302"/>
        <v>3.496402439024382E-2</v>
      </c>
      <c r="DC120" s="42"/>
      <c r="DD120" s="42"/>
      <c r="DE120" s="47"/>
      <c r="DF120" s="9"/>
      <c r="DG120" s="43"/>
      <c r="DH120" s="43"/>
      <c r="DI120" s="43"/>
      <c r="DJ120" s="42">
        <f t="shared" ref="DJ120:DO120" si="303">+DJ91/DI91-1</f>
        <v>-4.2000982479122317E-2</v>
      </c>
      <c r="DK120" s="42">
        <f t="shared" si="303"/>
        <v>-0.19600888812921968</v>
      </c>
      <c r="DL120" s="42">
        <f t="shared" si="303"/>
        <v>0.10882806271591838</v>
      </c>
      <c r="DM120" s="42">
        <f t="shared" si="303"/>
        <v>-0.33274855483017485</v>
      </c>
      <c r="DN120" s="42">
        <f t="shared" si="303"/>
        <v>3.0241081562576326</v>
      </c>
      <c r="DO120" s="42">
        <f t="shared" si="303"/>
        <v>0.64407868899282383</v>
      </c>
      <c r="DP120" s="42">
        <f t="shared" ref="DP120:DX120" si="304">+DP91/DO91-1</f>
        <v>4.2063888466633337E-2</v>
      </c>
      <c r="DQ120" s="42">
        <f t="shared" si="304"/>
        <v>-1.4921018630433824E-2</v>
      </c>
      <c r="DR120" s="42">
        <f t="shared" si="304"/>
        <v>-6.8500105775333164E-2</v>
      </c>
      <c r="DS120" s="42">
        <f t="shared" si="304"/>
        <v>-4.0765806686046457E-2</v>
      </c>
      <c r="DT120" s="42">
        <f t="shared" si="304"/>
        <v>-6.4848355707081473E-2</v>
      </c>
      <c r="DU120" s="42">
        <f t="shared" si="304"/>
        <v>7.8231809205528968E-3</v>
      </c>
      <c r="DV120" s="42">
        <f t="shared" si="304"/>
        <v>7.9131810988017914E-3</v>
      </c>
      <c r="DW120" s="42">
        <f t="shared" si="304"/>
        <v>5.41348885898012E-2</v>
      </c>
      <c r="DX120" s="42">
        <f t="shared" si="304"/>
        <v>0.10750933938620144</v>
      </c>
      <c r="DY120" s="42">
        <f t="shared" ref="DY120:EB120" si="305">+DY91/DX91-1</f>
        <v>-1.0012595802822322E-2</v>
      </c>
      <c r="DZ120" s="42">
        <f t="shared" si="305"/>
        <v>5.0288967480376146E-2</v>
      </c>
      <c r="EA120" s="42">
        <f t="shared" si="305"/>
        <v>0.21721008541392894</v>
      </c>
      <c r="EB120" s="42">
        <f t="shared" si="305"/>
        <v>1.486092134338679E-2</v>
      </c>
      <c r="EC120" s="42">
        <f>+EC91/EB91-1</f>
        <v>5.2936473638720782E-2</v>
      </c>
      <c r="ED120" s="42">
        <f t="shared" ref="ED120:EN120" si="306">+ED91/EC91-1</f>
        <v>8.9962141392576633E-3</v>
      </c>
      <c r="EE120" s="42">
        <f t="shared" si="306"/>
        <v>-1.5419993219519146E-2</v>
      </c>
      <c r="EF120" s="42">
        <f t="shared" si="306"/>
        <v>5.6751193882056405E-3</v>
      </c>
      <c r="EG120" s="42">
        <f t="shared" si="306"/>
        <v>-0.10711398771604119</v>
      </c>
      <c r="EH120" s="42">
        <f t="shared" si="306"/>
        <v>-0.13659580062072563</v>
      </c>
      <c r="EI120" s="42">
        <f t="shared" si="306"/>
        <v>-0.15614390314600013</v>
      </c>
      <c r="EJ120" s="42">
        <f t="shared" si="306"/>
        <v>-8.2985512638115155E-2</v>
      </c>
      <c r="EK120" s="42">
        <f t="shared" si="306"/>
        <v>-6.0270495132124235E-2</v>
      </c>
      <c r="EL120" s="42">
        <f t="shared" si="306"/>
        <v>-5.7771699217307404E-2</v>
      </c>
      <c r="EM120" s="42">
        <f t="shared" si="306"/>
        <v>-5.0966314531108226E-2</v>
      </c>
      <c r="EN120" s="42">
        <f t="shared" si="306"/>
        <v>-2.8040744768423886E-2</v>
      </c>
    </row>
    <row r="121" spans="2:147" s="8" customFormat="1" ht="12.75" customHeight="1">
      <c r="B121" s="34" t="s">
        <v>923</v>
      </c>
      <c r="C121" s="9"/>
      <c r="D121" s="9"/>
      <c r="E121" s="9"/>
      <c r="F121" s="9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6"/>
      <c r="Z121" s="24"/>
      <c r="AA121" s="26"/>
      <c r="AB121" s="24"/>
      <c r="AC121" s="28"/>
      <c r="AD121" s="24"/>
      <c r="AE121" s="24"/>
      <c r="AF121" s="24"/>
      <c r="AG121" s="24"/>
      <c r="AH121" s="24"/>
      <c r="AI121" s="24"/>
      <c r="AJ121" s="24"/>
      <c r="AK121" s="24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>
        <v>0.08</v>
      </c>
      <c r="CM121" s="42">
        <v>0.15</v>
      </c>
      <c r="CN121" s="42">
        <v>0.14000000000000001</v>
      </c>
      <c r="CO121" s="42">
        <v>0.08</v>
      </c>
      <c r="CP121" s="42">
        <v>0.13</v>
      </c>
      <c r="CQ121" s="42">
        <v>0.12</v>
      </c>
      <c r="CR121" s="42">
        <v>0.11</v>
      </c>
      <c r="CS121" s="42">
        <v>7.0000000000000007E-2</v>
      </c>
      <c r="CT121" s="42">
        <v>0.09</v>
      </c>
      <c r="CU121" s="42">
        <v>0.01</v>
      </c>
      <c r="CV121" s="42">
        <v>-0.02</v>
      </c>
      <c r="CW121" s="42">
        <v>0.03</v>
      </c>
      <c r="CX121" s="42">
        <v>0.04</v>
      </c>
      <c r="CY121" s="42">
        <v>0.03</v>
      </c>
      <c r="CZ121" s="42">
        <v>0.04</v>
      </c>
      <c r="DA121" s="42"/>
      <c r="DB121" s="42"/>
      <c r="DC121" s="42"/>
      <c r="DD121" s="42"/>
      <c r="DE121" s="47"/>
      <c r="DF121" s="9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G121" s="28"/>
    </row>
    <row r="122" spans="2:147" s="81" customFormat="1" ht="12.75" customHeight="1">
      <c r="B122" s="98" t="s">
        <v>751</v>
      </c>
      <c r="C122" s="99"/>
      <c r="D122" s="99"/>
      <c r="E122" s="99"/>
      <c r="F122" s="99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92"/>
      <c r="Z122" s="82"/>
      <c r="AA122" s="92"/>
      <c r="AB122" s="82"/>
      <c r="AC122" s="85"/>
      <c r="AD122" s="82"/>
      <c r="AE122" s="82"/>
      <c r="AF122" s="82"/>
      <c r="AG122" s="82"/>
      <c r="AH122" s="82"/>
      <c r="AI122" s="82"/>
      <c r="AJ122" s="82"/>
      <c r="AK122" s="82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  <c r="BY122" s="110"/>
      <c r="BZ122" s="110"/>
      <c r="CA122" s="110">
        <f t="shared" ref="CA122:CX122" si="307">+CA3/BW3-1</f>
        <v>0.44733362714852354</v>
      </c>
      <c r="CB122" s="110">
        <f t="shared" si="307"/>
        <v>0.28625664388762329</v>
      </c>
      <c r="CC122" s="110">
        <f t="shared" si="307"/>
        <v>0.21009771986970693</v>
      </c>
      <c r="CD122" s="110">
        <f t="shared" si="307"/>
        <v>0.28351012536162012</v>
      </c>
      <c r="CE122" s="110">
        <f t="shared" si="307"/>
        <v>0.18727161997563946</v>
      </c>
      <c r="CF122" s="110">
        <f t="shared" si="307"/>
        <v>0.23258559622195984</v>
      </c>
      <c r="CG122" s="110">
        <f t="shared" si="307"/>
        <v>0.22045760430686401</v>
      </c>
      <c r="CH122" s="110">
        <f t="shared" si="307"/>
        <v>0.14625594790884056</v>
      </c>
      <c r="CI122" s="110">
        <f t="shared" si="307"/>
        <v>0.23339317773788149</v>
      </c>
      <c r="CJ122" s="110">
        <f t="shared" si="307"/>
        <v>0.25766283524904221</v>
      </c>
      <c r="CK122" s="110">
        <f t="shared" si="307"/>
        <v>0.19673577415086019</v>
      </c>
      <c r="CL122" s="110">
        <f t="shared" si="307"/>
        <v>0.19073629014638405</v>
      </c>
      <c r="CM122" s="110">
        <f t="shared" si="307"/>
        <v>0.20503223123310454</v>
      </c>
      <c r="CN122" s="110">
        <f t="shared" si="307"/>
        <v>0.19402132520944404</v>
      </c>
      <c r="CO122" s="110">
        <f t="shared" si="307"/>
        <v>0.1680796166605234</v>
      </c>
      <c r="CP122" s="110">
        <f t="shared" si="307"/>
        <v>0.21247706422018342</v>
      </c>
      <c r="CQ122" s="110">
        <f t="shared" si="307"/>
        <v>0.19879206212251943</v>
      </c>
      <c r="CR122" s="110">
        <f t="shared" si="307"/>
        <v>0.15930473608674856</v>
      </c>
      <c r="CS122" s="110">
        <f t="shared" si="307"/>
        <v>0.17213632060586925</v>
      </c>
      <c r="CT122" s="110">
        <f t="shared" si="307"/>
        <v>0.18583535108958849</v>
      </c>
      <c r="CU122" s="110">
        <f t="shared" si="307"/>
        <v>3.7138333093421627E-2</v>
      </c>
      <c r="CV122" s="110">
        <f t="shared" si="307"/>
        <v>9.4360385144429237E-2</v>
      </c>
      <c r="CW122" s="110">
        <f t="shared" si="307"/>
        <v>9.5975232198142413E-2</v>
      </c>
      <c r="CX122" s="110">
        <f t="shared" si="307"/>
        <v>6.8402246043899995E-2</v>
      </c>
      <c r="CY122" s="110">
        <f t="shared" ref="CY122" si="308">+CY3/CU3-1</f>
        <v>0.11505898681471205</v>
      </c>
      <c r="CZ122" s="110">
        <f t="shared" ref="CZ122" si="309">+CZ3/CV3-1</f>
        <v>5.1659125188536992E-2</v>
      </c>
      <c r="DA122" s="110">
        <f t="shared" ref="DA122" si="310">+DA3/CW3-1</f>
        <v>3.0000000000000027E-2</v>
      </c>
      <c r="DB122" s="110">
        <f t="shared" ref="DB122" si="311">+DB3/CX3-1</f>
        <v>3.0000000000000027E-2</v>
      </c>
      <c r="DC122" s="110"/>
      <c r="DD122" s="110"/>
      <c r="DE122" s="73"/>
      <c r="DF122" s="99"/>
      <c r="DG122" s="109"/>
      <c r="DH122" s="109"/>
      <c r="DI122" s="109"/>
      <c r="DJ122" s="109"/>
      <c r="DK122" s="109"/>
      <c r="DL122" s="109"/>
      <c r="DM122" s="109"/>
      <c r="DN122" s="109"/>
      <c r="DO122" s="109"/>
      <c r="DP122" s="109"/>
      <c r="DQ122" s="109"/>
      <c r="DR122" s="109"/>
      <c r="DS122" s="109"/>
      <c r="DT122" s="82"/>
      <c r="DU122" s="82"/>
      <c r="DV122" s="82"/>
      <c r="DW122" s="82"/>
      <c r="DX122" s="82"/>
      <c r="DY122" s="82"/>
      <c r="DZ122" s="82"/>
      <c r="EA122" s="82"/>
      <c r="EB122" s="82"/>
      <c r="EC122" s="82"/>
      <c r="ED122" s="82"/>
      <c r="EE122" s="82"/>
      <c r="EG122" s="85"/>
    </row>
    <row r="123" spans="2:147" s="81" customFormat="1" ht="12.75" customHeight="1">
      <c r="B123" s="98" t="s">
        <v>663</v>
      </c>
      <c r="C123" s="99"/>
      <c r="D123" s="99"/>
      <c r="E123" s="99"/>
      <c r="F123" s="99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92"/>
      <c r="Z123" s="82"/>
      <c r="AA123" s="110"/>
      <c r="AB123" s="110"/>
      <c r="AC123" s="110"/>
      <c r="AD123" s="110">
        <f t="shared" ref="AD123:AT123" si="312">+AD10/Z10-1</f>
        <v>1.903225806451613</v>
      </c>
      <c r="AE123" s="110">
        <f t="shared" si="312"/>
        <v>6.8493150684931559E-2</v>
      </c>
      <c r="AF123" s="110">
        <f t="shared" si="312"/>
        <v>-8.9385474860335212E-2</v>
      </c>
      <c r="AG123" s="110">
        <f t="shared" si="312"/>
        <v>-4.0669856459330189E-2</v>
      </c>
      <c r="AH123" s="110">
        <f t="shared" si="312"/>
        <v>-8.666666666666667E-2</v>
      </c>
      <c r="AI123" s="110">
        <f t="shared" si="312"/>
        <v>-0.32820512820512826</v>
      </c>
      <c r="AJ123" s="110">
        <f t="shared" si="312"/>
        <v>-0.17791411042944782</v>
      </c>
      <c r="AK123" s="110">
        <f t="shared" si="312"/>
        <v>-0.22443890274314215</v>
      </c>
      <c r="AL123" s="110">
        <f t="shared" si="312"/>
        <v>-0.32603406326034068</v>
      </c>
      <c r="AM123" s="110">
        <f t="shared" si="312"/>
        <v>-0.11068702290076338</v>
      </c>
      <c r="AN123" s="110">
        <f t="shared" si="312"/>
        <v>-0.18283582089552242</v>
      </c>
      <c r="AO123" s="110">
        <f t="shared" si="312"/>
        <v>1.6077170418006492E-2</v>
      </c>
      <c r="AP123" s="110">
        <f t="shared" si="312"/>
        <v>-0.20216606498194944</v>
      </c>
      <c r="AQ123" s="110">
        <f t="shared" si="312"/>
        <v>-8.1545064377682386E-2</v>
      </c>
      <c r="AR123" s="110">
        <f t="shared" si="312"/>
        <v>0.26484018264840192</v>
      </c>
      <c r="AS123" s="110">
        <f t="shared" si="312"/>
        <v>0.40822784810126578</v>
      </c>
      <c r="AT123" s="110">
        <f t="shared" si="312"/>
        <v>0.23981900452488691</v>
      </c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  <c r="BY123" s="110"/>
      <c r="BZ123" s="110"/>
      <c r="CA123" s="110">
        <f t="shared" ref="CA123:CX123" si="313">+CA10/BW10-1</f>
        <v>0.30906921241050123</v>
      </c>
      <c r="CB123" s="110">
        <f t="shared" si="313"/>
        <v>-0.2595936794582393</v>
      </c>
      <c r="CC123" s="110">
        <f t="shared" si="313"/>
        <v>-0.10075757575757571</v>
      </c>
      <c r="CD123" s="110">
        <f t="shared" si="313"/>
        <v>0.44011544011544013</v>
      </c>
      <c r="CE123" s="110">
        <f t="shared" si="313"/>
        <v>-0.16408386508659978</v>
      </c>
      <c r="CF123" s="110">
        <f t="shared" si="313"/>
        <v>0.88109756097560976</v>
      </c>
      <c r="CG123" s="110">
        <f t="shared" si="313"/>
        <v>0.67902274641954508</v>
      </c>
      <c r="CH123" s="110">
        <f t="shared" si="313"/>
        <v>0.53106212424849697</v>
      </c>
      <c r="CI123" s="110">
        <f t="shared" si="313"/>
        <v>0.59214830970556154</v>
      </c>
      <c r="CJ123" s="110">
        <f t="shared" si="313"/>
        <v>0.35656401944894656</v>
      </c>
      <c r="CK123" s="110">
        <f t="shared" si="313"/>
        <v>0.15102860010035113</v>
      </c>
      <c r="CL123" s="110">
        <f t="shared" si="313"/>
        <v>-3.7958115183246099E-2</v>
      </c>
      <c r="CM123" s="110">
        <f t="shared" si="313"/>
        <v>0.35068493150684921</v>
      </c>
      <c r="CN123" s="110">
        <f t="shared" si="313"/>
        <v>0.46833930704898452</v>
      </c>
      <c r="CO123" s="110">
        <f t="shared" si="313"/>
        <v>0.12685265911072352</v>
      </c>
      <c r="CP123" s="110">
        <f t="shared" si="313"/>
        <v>0.27278911564625852</v>
      </c>
      <c r="CQ123" s="110">
        <f t="shared" si="313"/>
        <v>0.1404665314401623</v>
      </c>
      <c r="CR123" s="110">
        <f t="shared" si="313"/>
        <v>8.1366965012203973E-3</v>
      </c>
      <c r="CS123" s="110">
        <f t="shared" si="313"/>
        <v>-0.10793036750483564</v>
      </c>
      <c r="CT123" s="110">
        <f t="shared" si="313"/>
        <v>-0.17156600748262962</v>
      </c>
      <c r="CU123" s="110">
        <f t="shared" si="313"/>
        <v>-0.40995998221431751</v>
      </c>
      <c r="CV123" s="110">
        <f t="shared" si="313"/>
        <v>-0.54560129136400315</v>
      </c>
      <c r="CW123" s="110">
        <f t="shared" si="313"/>
        <v>-0.24154379878577625</v>
      </c>
      <c r="CX123" s="110">
        <f t="shared" si="313"/>
        <v>-0.33483870967741935</v>
      </c>
      <c r="CY123" s="110">
        <f t="shared" ref="CY123" si="314">+CY10/CU10-1</f>
        <v>-0.19442351168048233</v>
      </c>
      <c r="CZ123" s="110">
        <f t="shared" ref="CZ123" si="315">+CZ10/CV10-1</f>
        <v>3.8188277087033651E-2</v>
      </c>
      <c r="DA123" s="110">
        <f t="shared" ref="DA123" si="316">+DA10/CW10-1</f>
        <v>-0.31732418524871353</v>
      </c>
      <c r="DB123" s="110">
        <f t="shared" ref="DB123" si="317">+DB10/CX10-1</f>
        <v>0.18234723569350142</v>
      </c>
      <c r="DC123" s="110"/>
      <c r="DD123" s="110"/>
      <c r="DE123" s="73"/>
      <c r="DF123" s="99"/>
      <c r="DG123" s="109"/>
      <c r="DH123" s="109"/>
      <c r="DI123" s="109"/>
      <c r="DJ123" s="109"/>
      <c r="DK123" s="109"/>
      <c r="DL123" s="109"/>
      <c r="DM123" s="109"/>
      <c r="DN123" s="109"/>
      <c r="DO123" s="109"/>
      <c r="DP123" s="109"/>
      <c r="DQ123" s="109"/>
      <c r="DR123" s="109"/>
      <c r="DS123" s="109"/>
      <c r="DT123" s="82"/>
      <c r="DU123" s="82"/>
      <c r="DV123" s="82"/>
      <c r="DW123" s="82"/>
      <c r="DX123" s="82"/>
      <c r="DY123" s="82"/>
      <c r="DZ123" s="82"/>
      <c r="EA123" s="82"/>
      <c r="EB123" s="82"/>
      <c r="EC123" s="82"/>
      <c r="ED123" s="82"/>
      <c r="EE123" s="82"/>
      <c r="EG123" s="85"/>
    </row>
    <row r="124" spans="2:147" s="81" customFormat="1" ht="12.75" customHeight="1">
      <c r="B124" s="98" t="s">
        <v>664</v>
      </c>
      <c r="C124" s="99"/>
      <c r="D124" s="99"/>
      <c r="E124" s="99"/>
      <c r="F124" s="99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92"/>
      <c r="Z124" s="82"/>
      <c r="AA124" s="110"/>
      <c r="AB124" s="110"/>
      <c r="AC124" s="110"/>
      <c r="AD124" s="110">
        <f t="shared" ref="AD124:AT124" si="318">+AD14/Z14-1</f>
        <v>0.85281385281385291</v>
      </c>
      <c r="AE124" s="110">
        <f t="shared" si="318"/>
        <v>-8.1300813008130079E-2</v>
      </c>
      <c r="AF124" s="110">
        <f t="shared" si="318"/>
        <v>-7.5581395348837233E-2</v>
      </c>
      <c r="AG124" s="110">
        <f t="shared" si="318"/>
        <v>4.6728971962617383E-3</v>
      </c>
      <c r="AH124" s="110">
        <f t="shared" si="318"/>
        <v>4.6728971962617383E-3</v>
      </c>
      <c r="AI124" s="110">
        <f t="shared" si="318"/>
        <v>0.11504424778761058</v>
      </c>
      <c r="AJ124" s="110">
        <f t="shared" si="318"/>
        <v>1.2578616352201255E-2</v>
      </c>
      <c r="AK124" s="110">
        <f t="shared" si="318"/>
        <v>7.441860465116279E-2</v>
      </c>
      <c r="AL124" s="110">
        <f t="shared" si="318"/>
        <v>-0.22558139534883725</v>
      </c>
      <c r="AM124" s="110">
        <f t="shared" si="318"/>
        <v>0.26587301587301582</v>
      </c>
      <c r="AN124" s="110">
        <f t="shared" si="318"/>
        <v>5.5900621118012417E-2</v>
      </c>
      <c r="AO124" s="110">
        <f t="shared" si="318"/>
        <v>-6.0606060606060552E-2</v>
      </c>
      <c r="AP124" s="110">
        <f t="shared" si="318"/>
        <v>-0.14414414414414412</v>
      </c>
      <c r="AQ124" s="110">
        <f t="shared" si="318"/>
        <v>-0.23510971786833856</v>
      </c>
      <c r="AR124" s="110">
        <f t="shared" si="318"/>
        <v>-0.14411764705882357</v>
      </c>
      <c r="AS124" s="110">
        <f t="shared" si="318"/>
        <v>-9.9078341013824844E-2</v>
      </c>
      <c r="AT124" s="110">
        <f t="shared" si="318"/>
        <v>-3.157894736842104E-2</v>
      </c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  <c r="BY124" s="110"/>
      <c r="BZ124" s="110"/>
      <c r="CA124" s="110"/>
      <c r="CB124" s="110"/>
      <c r="CC124" s="110"/>
      <c r="CD124" s="110"/>
      <c r="CE124" s="110"/>
      <c r="CF124" s="110"/>
      <c r="CG124" s="110"/>
      <c r="CH124" s="110"/>
      <c r="CI124" s="110"/>
      <c r="CJ124" s="110"/>
      <c r="CK124" s="110"/>
      <c r="CL124" s="110"/>
      <c r="CM124" s="110"/>
      <c r="CN124" s="110"/>
      <c r="CO124" s="110"/>
      <c r="CP124" s="110"/>
      <c r="CQ124" s="110"/>
      <c r="CR124" s="110"/>
      <c r="CS124" s="110"/>
      <c r="CT124" s="110"/>
      <c r="CU124" s="110"/>
      <c r="CV124" s="110"/>
      <c r="CW124" s="110"/>
      <c r="CX124" s="110"/>
      <c r="CY124" s="110"/>
      <c r="CZ124" s="110"/>
      <c r="DA124" s="110"/>
      <c r="DB124" s="110"/>
      <c r="DC124" s="110"/>
      <c r="DD124" s="110"/>
      <c r="DE124" s="73"/>
      <c r="DF124" s="99"/>
      <c r="DG124" s="109"/>
      <c r="DH124" s="109"/>
      <c r="DI124" s="109"/>
      <c r="DJ124" s="109"/>
      <c r="DK124" s="109"/>
      <c r="DL124" s="109"/>
      <c r="DM124" s="109"/>
      <c r="DN124" s="109"/>
      <c r="DO124" s="109"/>
      <c r="DP124" s="109"/>
      <c r="DQ124" s="109"/>
      <c r="DR124" s="109"/>
      <c r="DS124" s="109"/>
      <c r="DT124" s="82"/>
      <c r="DU124" s="82"/>
      <c r="DV124" s="82"/>
      <c r="DW124" s="82"/>
      <c r="DX124" s="82"/>
      <c r="DY124" s="82"/>
      <c r="DZ124" s="82"/>
      <c r="EA124" s="82"/>
      <c r="EB124" s="82"/>
      <c r="EC124" s="82"/>
      <c r="ED124" s="82"/>
      <c r="EE124" s="82"/>
      <c r="EG124" s="85"/>
    </row>
    <row r="125" spans="2:147" s="81" customFormat="1" ht="12.75" customHeight="1">
      <c r="B125" s="108"/>
      <c r="C125" s="99"/>
      <c r="D125" s="99"/>
      <c r="E125" s="99"/>
      <c r="F125" s="99"/>
      <c r="G125" s="82"/>
      <c r="H125" s="82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92"/>
      <c r="Z125" s="103"/>
      <c r="AA125" s="92"/>
      <c r="AB125" s="103"/>
      <c r="AC125" s="114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3"/>
      <c r="BN125" s="103"/>
      <c r="BO125" s="103"/>
      <c r="BP125" s="103"/>
      <c r="BQ125" s="103"/>
      <c r="BR125" s="103"/>
      <c r="BS125" s="103"/>
      <c r="BT125" s="103"/>
      <c r="BU125" s="103"/>
      <c r="BV125" s="103"/>
      <c r="BW125" s="103"/>
      <c r="BX125" s="103"/>
      <c r="BY125" s="103"/>
      <c r="BZ125" s="103"/>
      <c r="CA125" s="103"/>
      <c r="CB125" s="103"/>
      <c r="CC125" s="103"/>
      <c r="CD125" s="103"/>
      <c r="CE125" s="103"/>
      <c r="CF125" s="103"/>
      <c r="CG125" s="103"/>
      <c r="CH125" s="103"/>
      <c r="CI125" s="103"/>
      <c r="CJ125" s="103"/>
      <c r="CK125" s="103"/>
      <c r="CL125" s="103"/>
      <c r="CM125" s="103"/>
      <c r="CN125" s="103"/>
      <c r="CO125" s="103"/>
      <c r="CP125" s="103"/>
      <c r="CQ125" s="103"/>
      <c r="CR125" s="103"/>
      <c r="CS125" s="103"/>
      <c r="CT125" s="103"/>
      <c r="CU125" s="103"/>
      <c r="CV125" s="103"/>
      <c r="CW125" s="103"/>
      <c r="CX125" s="103"/>
      <c r="CY125" s="103"/>
      <c r="CZ125" s="103"/>
      <c r="DA125" s="103"/>
      <c r="DB125" s="103"/>
      <c r="DC125" s="103"/>
      <c r="DD125" s="103"/>
      <c r="DE125" s="73"/>
      <c r="DF125" s="99"/>
      <c r="DG125" s="82"/>
      <c r="DH125" s="82"/>
      <c r="DI125" s="103"/>
      <c r="DJ125" s="103"/>
      <c r="DK125" s="103"/>
      <c r="DL125" s="103"/>
      <c r="DM125" s="103"/>
      <c r="DN125" s="103"/>
      <c r="DO125" s="103"/>
      <c r="DP125" s="103"/>
      <c r="DQ125" s="103"/>
      <c r="DR125" s="103"/>
      <c r="DS125" s="103"/>
      <c r="DT125" s="82"/>
      <c r="DU125" s="82"/>
      <c r="DV125" s="82"/>
      <c r="DW125" s="82"/>
      <c r="DX125" s="82"/>
      <c r="DY125" s="82"/>
      <c r="DZ125" s="82"/>
      <c r="EA125" s="82"/>
      <c r="EB125" s="82"/>
      <c r="EC125" s="82"/>
      <c r="ED125" s="82"/>
      <c r="EE125" s="82"/>
      <c r="EG125" s="85"/>
    </row>
    <row r="126" spans="2:147" s="81" customFormat="1" ht="12.75" customHeight="1">
      <c r="B126" s="98" t="s">
        <v>943</v>
      </c>
      <c r="C126" s="99"/>
      <c r="D126" s="99"/>
      <c r="E126" s="99"/>
      <c r="F126" s="99"/>
      <c r="G126" s="82"/>
      <c r="H126" s="82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92"/>
      <c r="Z126" s="103"/>
      <c r="AA126" s="92"/>
      <c r="AB126" s="103"/>
      <c r="AC126" s="114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3"/>
      <c r="BN126" s="103"/>
      <c r="BO126" s="103"/>
      <c r="BP126" s="103"/>
      <c r="BQ126" s="103"/>
      <c r="BR126" s="103"/>
      <c r="BS126" s="103"/>
      <c r="BT126" s="103"/>
      <c r="BU126" s="103"/>
      <c r="BV126" s="103"/>
      <c r="BW126" s="103"/>
      <c r="BX126" s="103"/>
      <c r="BY126" s="103"/>
      <c r="BZ126" s="103"/>
      <c r="CA126" s="103"/>
      <c r="CB126" s="103"/>
      <c r="CC126" s="103"/>
      <c r="CD126" s="103"/>
      <c r="CE126" s="103"/>
      <c r="CF126" s="103"/>
      <c r="CG126" s="103"/>
      <c r="CH126" s="103"/>
      <c r="CI126" s="103"/>
      <c r="CJ126" s="114">
        <f>CJ127-CJ136</f>
        <v>-21297</v>
      </c>
      <c r="CK126" s="114">
        <f t="shared" ref="CK126:CP126" si="319">CK127-CK136</f>
        <v>0</v>
      </c>
      <c r="CL126" s="114">
        <f t="shared" si="319"/>
        <v>0</v>
      </c>
      <c r="CM126" s="114">
        <f t="shared" si="319"/>
        <v>-19069</v>
      </c>
      <c r="CN126" s="114">
        <f t="shared" si="319"/>
        <v>-29319</v>
      </c>
      <c r="CO126" s="114">
        <f t="shared" si="319"/>
        <v>-24780</v>
      </c>
      <c r="CP126" s="114">
        <f t="shared" si="319"/>
        <v>-27710</v>
      </c>
      <c r="CQ126" s="114">
        <f t="shared" ref="CQ126:CZ126" si="320">+CQ127-CQ136</f>
        <v>-28320</v>
      </c>
      <c r="CR126" s="114">
        <f t="shared" si="320"/>
        <v>-26077</v>
      </c>
      <c r="CS126" s="114">
        <f t="shared" si="320"/>
        <v>-22963</v>
      </c>
      <c r="CT126" s="114">
        <f t="shared" si="320"/>
        <v>-22959</v>
      </c>
      <c r="CU126" s="114">
        <f t="shared" si="320"/>
        <v>-25000</v>
      </c>
      <c r="CV126" s="114">
        <f t="shared" si="320"/>
        <v>-26006</v>
      </c>
      <c r="CW126" s="114">
        <f t="shared" si="320"/>
        <v>-22043</v>
      </c>
      <c r="CX126" s="114">
        <f t="shared" si="320"/>
        <v>-33818</v>
      </c>
      <c r="CY126" s="114">
        <f t="shared" si="320"/>
        <v>-42310</v>
      </c>
      <c r="CZ126" s="114">
        <f t="shared" si="320"/>
        <v>-45543</v>
      </c>
      <c r="DA126" s="114"/>
      <c r="DB126" s="114"/>
      <c r="DC126" s="103"/>
      <c r="DD126" s="103"/>
      <c r="DE126" s="73"/>
      <c r="DF126" s="99"/>
      <c r="DG126" s="82"/>
      <c r="DH126" s="82"/>
      <c r="DI126" s="103"/>
      <c r="DJ126" s="103"/>
      <c r="DK126" s="103"/>
      <c r="DL126" s="103"/>
      <c r="DM126" s="103"/>
      <c r="DN126" s="103"/>
      <c r="DO126" s="103"/>
      <c r="DP126" s="103"/>
      <c r="DQ126" s="103"/>
      <c r="DR126" s="103"/>
      <c r="DS126" s="103"/>
      <c r="DT126" s="82"/>
      <c r="DU126" s="82"/>
      <c r="DV126" s="82"/>
      <c r="DW126" s="82"/>
      <c r="DX126" s="82"/>
      <c r="DY126" s="82"/>
      <c r="DZ126" s="82"/>
      <c r="EA126" s="82"/>
      <c r="EB126" s="85">
        <f>CP126</f>
        <v>-27710</v>
      </c>
      <c r="EC126" s="85">
        <f t="shared" ref="EC126:EN126" si="321">EB126+EC107</f>
        <v>-11030.002999999997</v>
      </c>
      <c r="ED126" s="85">
        <f t="shared" si="321"/>
        <v>19516.533977500007</v>
      </c>
      <c r="EE126" s="85">
        <f t="shared" si="321"/>
        <v>49700.79378233126</v>
      </c>
      <c r="EF126" s="85">
        <f t="shared" si="321"/>
        <v>76180.796876948763</v>
      </c>
      <c r="EG126" s="85">
        <f t="shared" si="321"/>
        <v>100062.94864518839</v>
      </c>
      <c r="EH126" s="85">
        <f t="shared" si="321"/>
        <v>120940.05973742143</v>
      </c>
      <c r="EI126" s="85">
        <f t="shared" si="321"/>
        <v>138831.09719570546</v>
      </c>
      <c r="EJ126" s="85">
        <f t="shared" si="321"/>
        <v>155446.89256624167</v>
      </c>
      <c r="EK126" s="85">
        <f t="shared" si="321"/>
        <v>171248.61983031855</v>
      </c>
      <c r="EL126" s="85">
        <f t="shared" si="321"/>
        <v>186323.32064767383</v>
      </c>
      <c r="EM126" s="85">
        <f t="shared" si="321"/>
        <v>200808.23911049927</v>
      </c>
      <c r="EN126" s="85">
        <f t="shared" si="321"/>
        <v>215034.81139527852</v>
      </c>
    </row>
    <row r="127" spans="2:147" s="81" customFormat="1" ht="12.75" customHeight="1">
      <c r="B127" s="98" t="s">
        <v>328</v>
      </c>
      <c r="C127" s="99"/>
      <c r="D127" s="99"/>
      <c r="E127" s="99"/>
      <c r="F127" s="99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92"/>
      <c r="Z127" s="82"/>
      <c r="AA127" s="92"/>
      <c r="AB127" s="82"/>
      <c r="AC127" s="85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5">
        <f>9675+453+238</f>
        <v>10366</v>
      </c>
      <c r="CK127" s="82"/>
      <c r="CL127" s="82"/>
      <c r="CM127" s="85">
        <f>9707+680+1290</f>
        <v>11677</v>
      </c>
      <c r="CN127" s="85">
        <f>5660+718+1214</f>
        <v>7592</v>
      </c>
      <c r="CO127" s="85">
        <f>8605+168+1306</f>
        <v>10079</v>
      </c>
      <c r="CP127" s="85">
        <f>6841+252+252</f>
        <v>7345</v>
      </c>
      <c r="CQ127" s="85">
        <f>5579+40+280</f>
        <v>5899</v>
      </c>
      <c r="CR127" s="85">
        <f>11304+50+357</f>
        <v>11711</v>
      </c>
      <c r="CS127" s="85">
        <f>14593+575</f>
        <v>15168</v>
      </c>
      <c r="CT127" s="85">
        <f>13242+447+463</f>
        <v>14152</v>
      </c>
      <c r="CU127" s="85">
        <f>8629+599+616</f>
        <v>9844</v>
      </c>
      <c r="CV127" s="85">
        <f>8007+615+774</f>
        <v>9396</v>
      </c>
      <c r="CW127" s="85">
        <f>18169+45+1117</f>
        <v>19331</v>
      </c>
      <c r="CX127" s="85">
        <f>14565+956</f>
        <v>15521</v>
      </c>
      <c r="CY127" s="85">
        <f>5327+375+1105</f>
        <v>6807</v>
      </c>
      <c r="CZ127" s="85">
        <f>6849+292+1222</f>
        <v>8363</v>
      </c>
      <c r="DA127" s="82"/>
      <c r="DB127" s="82"/>
      <c r="DC127" s="82"/>
      <c r="DD127" s="82"/>
      <c r="DE127" s="73"/>
      <c r="DF127" s="99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82"/>
      <c r="DV127" s="82"/>
      <c r="DW127" s="82"/>
      <c r="DX127" s="82"/>
      <c r="DY127" s="82"/>
      <c r="DZ127" s="82"/>
      <c r="EA127" s="82"/>
      <c r="EB127" s="82"/>
      <c r="EC127" s="82"/>
      <c r="ED127" s="82"/>
      <c r="EE127" s="82"/>
      <c r="EG127" s="85"/>
    </row>
    <row r="128" spans="2:147" s="81" customFormat="1" ht="12.75" customHeight="1">
      <c r="B128" s="98" t="s">
        <v>807</v>
      </c>
      <c r="C128" s="99"/>
      <c r="D128" s="99"/>
      <c r="E128" s="99"/>
      <c r="F128" s="99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92"/>
      <c r="Z128" s="82"/>
      <c r="AA128" s="92"/>
      <c r="AB128" s="82"/>
      <c r="AC128" s="85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5">
        <v>9643</v>
      </c>
      <c r="CK128" s="82"/>
      <c r="CL128" s="82"/>
      <c r="CM128" s="85">
        <v>10415</v>
      </c>
      <c r="CN128" s="85">
        <v>11030</v>
      </c>
      <c r="CO128" s="85">
        <v>10394</v>
      </c>
      <c r="CP128" s="85">
        <v>10349</v>
      </c>
      <c r="CQ128" s="85">
        <v>11366</v>
      </c>
      <c r="CR128" s="85">
        <v>11642</v>
      </c>
      <c r="CS128" s="85">
        <v>11381</v>
      </c>
      <c r="CT128" s="85">
        <v>10278</v>
      </c>
      <c r="CU128" s="85">
        <v>10790</v>
      </c>
      <c r="CV128" s="85">
        <v>11846</v>
      </c>
      <c r="CW128" s="85">
        <v>12120</v>
      </c>
      <c r="CX128" s="85">
        <v>11775</v>
      </c>
      <c r="CY128" s="85">
        <v>12210</v>
      </c>
      <c r="CZ128" s="85">
        <v>12564</v>
      </c>
      <c r="DA128" s="82"/>
      <c r="DB128" s="82"/>
      <c r="DC128" s="82"/>
      <c r="DD128" s="82"/>
      <c r="DE128" s="73"/>
      <c r="DF128" s="99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82"/>
      <c r="DT128" s="82"/>
      <c r="DU128" s="82"/>
      <c r="DV128" s="82"/>
      <c r="DW128" s="82"/>
      <c r="DX128" s="82"/>
      <c r="DY128" s="82"/>
      <c r="DZ128" s="82"/>
      <c r="EA128" s="82"/>
      <c r="EB128" s="82"/>
      <c r="EC128" s="82"/>
      <c r="ED128" s="82"/>
      <c r="EE128" s="82"/>
      <c r="EG128" s="85"/>
    </row>
    <row r="129" spans="2:137" s="81" customFormat="1" ht="12.75" customHeight="1">
      <c r="B129" s="98" t="s">
        <v>808</v>
      </c>
      <c r="C129" s="99"/>
      <c r="D129" s="99"/>
      <c r="E129" s="99"/>
      <c r="F129" s="99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92"/>
      <c r="Z129" s="82"/>
      <c r="AA129" s="92"/>
      <c r="AB129" s="82"/>
      <c r="AC129" s="85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5">
        <v>5535</v>
      </c>
      <c r="CK129" s="82"/>
      <c r="CL129" s="82"/>
      <c r="CM129" s="85">
        <v>5863</v>
      </c>
      <c r="CN129" s="85">
        <v>5930</v>
      </c>
      <c r="CO129" s="85">
        <v>6131</v>
      </c>
      <c r="CP129" s="85">
        <v>6358</v>
      </c>
      <c r="CQ129" s="85">
        <v>6510</v>
      </c>
      <c r="CR129" s="85">
        <v>6469</v>
      </c>
      <c r="CS129" s="85">
        <v>6244</v>
      </c>
      <c r="CT129" s="85">
        <v>6109</v>
      </c>
      <c r="CU129" s="85">
        <v>6196</v>
      </c>
      <c r="CV129" s="85">
        <v>6601</v>
      </c>
      <c r="CW129" s="85">
        <v>6444</v>
      </c>
      <c r="CX129" s="85">
        <v>6658</v>
      </c>
      <c r="CY129" s="85">
        <v>6479</v>
      </c>
      <c r="CZ129" s="85">
        <v>6207</v>
      </c>
      <c r="DA129" s="82"/>
      <c r="DB129" s="82"/>
      <c r="DC129" s="82"/>
      <c r="DD129" s="82"/>
      <c r="DE129" s="73"/>
      <c r="DF129" s="99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82"/>
      <c r="DV129" s="82"/>
      <c r="DW129" s="82"/>
      <c r="DX129" s="82"/>
      <c r="DY129" s="82"/>
      <c r="DZ129" s="82"/>
      <c r="EA129" s="82"/>
      <c r="EB129" s="82"/>
      <c r="EC129" s="82"/>
      <c r="ED129" s="82"/>
      <c r="EE129" s="82"/>
      <c r="EG129" s="85"/>
    </row>
    <row r="130" spans="2:137" s="81" customFormat="1" ht="12.75" customHeight="1">
      <c r="B130" s="98" t="s">
        <v>809</v>
      </c>
      <c r="C130" s="99"/>
      <c r="D130" s="99"/>
      <c r="E130" s="99"/>
      <c r="F130" s="99"/>
      <c r="G130" s="82"/>
      <c r="H130" s="82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92"/>
      <c r="Z130" s="86"/>
      <c r="AA130" s="92"/>
      <c r="AB130" s="86"/>
      <c r="AC130" s="85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5">
        <v>6810</v>
      </c>
      <c r="CK130" s="86"/>
      <c r="CL130" s="86"/>
      <c r="CM130" s="85">
        <v>6737</v>
      </c>
      <c r="CN130" s="85">
        <v>6639</v>
      </c>
      <c r="CO130" s="85">
        <v>6656</v>
      </c>
      <c r="CP130" s="85">
        <v>8368</v>
      </c>
      <c r="CQ130" s="85">
        <v>7950</v>
      </c>
      <c r="CR130" s="85">
        <v>8740</v>
      </c>
      <c r="CS130" s="85">
        <v>8143</v>
      </c>
      <c r="CT130" s="85">
        <v>8706</v>
      </c>
      <c r="CU130" s="85">
        <v>9289</v>
      </c>
      <c r="CV130" s="85">
        <v>9996</v>
      </c>
      <c r="CW130" s="85">
        <v>10779</v>
      </c>
      <c r="CX130" s="85">
        <v>10518</v>
      </c>
      <c r="CY130" s="85">
        <v>10624</v>
      </c>
      <c r="CZ130" s="85">
        <v>10767</v>
      </c>
      <c r="DA130" s="86"/>
      <c r="DB130" s="86"/>
      <c r="DC130" s="86"/>
      <c r="DD130" s="86"/>
      <c r="DE130" s="73"/>
      <c r="DF130" s="99"/>
      <c r="DG130" s="82"/>
      <c r="DH130" s="82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2"/>
      <c r="DU130" s="82"/>
      <c r="DV130" s="82"/>
      <c r="DW130" s="82"/>
      <c r="DX130" s="82"/>
      <c r="DY130" s="82"/>
      <c r="DZ130" s="82"/>
      <c r="EA130" s="82"/>
      <c r="EB130" s="82"/>
      <c r="EC130" s="82"/>
      <c r="ED130" s="82"/>
      <c r="EE130" s="82"/>
      <c r="EG130" s="85"/>
    </row>
    <row r="131" spans="2:137" s="81" customFormat="1" ht="12.75" customHeight="1">
      <c r="B131" s="98" t="s">
        <v>810</v>
      </c>
      <c r="C131" s="99"/>
      <c r="D131" s="99"/>
      <c r="E131" s="99"/>
      <c r="F131" s="99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92"/>
      <c r="Z131" s="82"/>
      <c r="AA131" s="92"/>
      <c r="AB131" s="82"/>
      <c r="AC131" s="85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5">
        <v>20059</v>
      </c>
      <c r="CK131" s="82"/>
      <c r="CL131" s="82"/>
      <c r="CM131" s="85">
        <v>21758</v>
      </c>
      <c r="CN131" s="85">
        <v>22231</v>
      </c>
      <c r="CO131" s="85">
        <v>22526</v>
      </c>
      <c r="CP131" s="85">
        <v>23051</v>
      </c>
      <c r="CQ131" s="85">
        <v>23045</v>
      </c>
      <c r="CR131" s="85">
        <v>23221</v>
      </c>
      <c r="CS131" s="85">
        <v>23446</v>
      </c>
      <c r="CT131" s="85">
        <v>23779</v>
      </c>
      <c r="CU131" s="85">
        <v>24793</v>
      </c>
      <c r="CV131" s="85">
        <v>25236</v>
      </c>
      <c r="CW131" s="85">
        <v>25639</v>
      </c>
      <c r="CX131" s="85">
        <v>25316</v>
      </c>
      <c r="CY131" s="85">
        <v>25433</v>
      </c>
      <c r="CZ131" s="85">
        <v>25737</v>
      </c>
      <c r="DA131" s="82"/>
      <c r="DB131" s="82"/>
      <c r="DC131" s="82"/>
      <c r="DD131" s="82"/>
      <c r="DE131" s="73"/>
      <c r="DF131" s="99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82"/>
      <c r="DZ131" s="82"/>
      <c r="EA131" s="82"/>
      <c r="EB131" s="82"/>
      <c r="EC131" s="82"/>
      <c r="ED131" s="82"/>
      <c r="EE131" s="82"/>
      <c r="EG131" s="85"/>
    </row>
    <row r="132" spans="2:137" s="81" customFormat="1" ht="12.75" customHeight="1">
      <c r="B132" s="98" t="s">
        <v>811</v>
      </c>
      <c r="C132" s="99"/>
      <c r="D132" s="99"/>
      <c r="E132" s="99"/>
      <c r="F132" s="99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92"/>
      <c r="Z132" s="82"/>
      <c r="AA132" s="92"/>
      <c r="AB132" s="82"/>
      <c r="AC132" s="85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5">
        <f>21213+22497</f>
        <v>43710</v>
      </c>
      <c r="CK132" s="82"/>
      <c r="CL132" s="82"/>
      <c r="CM132" s="85">
        <f>21209+19857</f>
        <v>41066</v>
      </c>
      <c r="CN132" s="85">
        <f>21195+19665</f>
        <v>40860</v>
      </c>
      <c r="CO132" s="85">
        <f>21183+19199</f>
        <v>40382</v>
      </c>
      <c r="CP132" s="85">
        <f>18011+21197</f>
        <v>39208</v>
      </c>
      <c r="CQ132" s="85">
        <f>21181+17572</f>
        <v>38753</v>
      </c>
      <c r="CR132" s="85">
        <f>21161+16984</f>
        <v>38145</v>
      </c>
      <c r="CS132" s="85">
        <f>21697+17010</f>
        <v>38707</v>
      </c>
      <c r="CT132" s="85">
        <f>21668+16370</f>
        <v>38038</v>
      </c>
      <c r="CU132" s="85">
        <f>21684+15758</f>
        <v>37442</v>
      </c>
      <c r="CV132" s="85">
        <f>21591+15193</f>
        <v>36784</v>
      </c>
      <c r="CW132" s="85">
        <f>21587+15313</f>
        <v>36900</v>
      </c>
      <c r="CX132" s="85">
        <f>21579+26681</f>
        <v>48260</v>
      </c>
      <c r="CY132" s="85">
        <f>21581+25745</f>
        <v>47326</v>
      </c>
      <c r="CZ132" s="85">
        <f>21582+24978</f>
        <v>46560</v>
      </c>
      <c r="DA132" s="82"/>
      <c r="DB132" s="82"/>
      <c r="DC132" s="82"/>
      <c r="DD132" s="82"/>
      <c r="DE132" s="73"/>
      <c r="DF132" s="99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  <c r="EE132" s="82"/>
      <c r="EG132" s="85"/>
    </row>
    <row r="133" spans="2:137" s="81" customFormat="1" ht="12.75" customHeight="1">
      <c r="B133" s="98" t="s">
        <v>812</v>
      </c>
      <c r="C133" s="99"/>
      <c r="D133" s="99"/>
      <c r="E133" s="99"/>
      <c r="F133" s="99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92"/>
      <c r="Z133" s="82"/>
      <c r="AA133" s="92"/>
      <c r="AB133" s="82"/>
      <c r="AC133" s="85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5">
        <v>10972</v>
      </c>
      <c r="CK133" s="82"/>
      <c r="CL133" s="82"/>
      <c r="CM133" s="85">
        <v>10280</v>
      </c>
      <c r="CN133" s="85">
        <v>10187</v>
      </c>
      <c r="CO133" s="85">
        <v>10559</v>
      </c>
      <c r="CP133" s="85">
        <v>11996</v>
      </c>
      <c r="CQ133" s="85">
        <v>12326</v>
      </c>
      <c r="CR133" s="85">
        <v>12702</v>
      </c>
      <c r="CS133" s="85">
        <v>14443</v>
      </c>
      <c r="CT133" s="85">
        <v>16044</v>
      </c>
      <c r="CU133" s="85">
        <v>16768</v>
      </c>
      <c r="CV133" s="85">
        <v>17664</v>
      </c>
      <c r="CW133" s="85">
        <v>18333</v>
      </c>
      <c r="CX133" s="85">
        <v>18818</v>
      </c>
      <c r="CY133" s="85">
        <v>19806</v>
      </c>
      <c r="CZ133" s="85">
        <v>19604</v>
      </c>
      <c r="DA133" s="82"/>
      <c r="DB133" s="82"/>
      <c r="DC133" s="82"/>
      <c r="DD133" s="82"/>
      <c r="DE133" s="73"/>
      <c r="DF133" s="99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  <c r="EE133" s="82"/>
      <c r="EG133" s="85"/>
    </row>
    <row r="134" spans="2:137" s="81" customFormat="1" ht="12.75" customHeight="1">
      <c r="B134" s="98" t="s">
        <v>806</v>
      </c>
      <c r="C134" s="99"/>
      <c r="D134" s="99"/>
      <c r="E134" s="99"/>
      <c r="F134" s="99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92"/>
      <c r="Z134" s="82"/>
      <c r="AA134" s="92"/>
      <c r="AB134" s="82"/>
      <c r="AC134" s="85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5">
        <f>SUM(CJ127:CJ133)</f>
        <v>107095</v>
      </c>
      <c r="CK134" s="82"/>
      <c r="CL134" s="82"/>
      <c r="CM134" s="85">
        <f t="shared" ref="CM134:CR134" si="322">SUM(CM127:CM133)</f>
        <v>107796</v>
      </c>
      <c r="CN134" s="85">
        <f t="shared" si="322"/>
        <v>104469</v>
      </c>
      <c r="CO134" s="85">
        <f t="shared" si="322"/>
        <v>106727</v>
      </c>
      <c r="CP134" s="85">
        <f t="shared" si="322"/>
        <v>106675</v>
      </c>
      <c r="CQ134" s="85">
        <f t="shared" si="322"/>
        <v>105849</v>
      </c>
      <c r="CR134" s="85">
        <f t="shared" si="322"/>
        <v>112630</v>
      </c>
      <c r="CS134" s="85">
        <f t="shared" ref="CS134:CZ134" si="323">SUM(CS127:CS133)</f>
        <v>117532</v>
      </c>
      <c r="CT134" s="85">
        <f t="shared" si="323"/>
        <v>117106</v>
      </c>
      <c r="CU134" s="85">
        <f t="shared" si="323"/>
        <v>115122</v>
      </c>
      <c r="CV134" s="85">
        <f t="shared" si="323"/>
        <v>117523</v>
      </c>
      <c r="CW134" s="85">
        <f t="shared" si="323"/>
        <v>129546</v>
      </c>
      <c r="CX134" s="85">
        <f t="shared" si="323"/>
        <v>136866</v>
      </c>
      <c r="CY134" s="85">
        <f t="shared" si="323"/>
        <v>128685</v>
      </c>
      <c r="CZ134" s="85">
        <f t="shared" si="323"/>
        <v>129802</v>
      </c>
      <c r="DA134" s="82"/>
      <c r="DB134" s="82"/>
      <c r="DC134" s="82"/>
      <c r="DD134" s="82"/>
      <c r="DE134" s="73"/>
      <c r="DF134" s="99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82"/>
      <c r="DV134" s="82"/>
      <c r="DW134" s="82"/>
      <c r="DX134" s="82"/>
      <c r="DY134" s="82"/>
      <c r="DZ134" s="82"/>
      <c r="EA134" s="82"/>
      <c r="EB134" s="82"/>
      <c r="EC134" s="82"/>
      <c r="ED134" s="82"/>
      <c r="EE134" s="82"/>
      <c r="EG134" s="85"/>
    </row>
    <row r="135" spans="2:137" s="81" customFormat="1" ht="12.75" customHeight="1">
      <c r="B135" s="108"/>
      <c r="C135" s="99"/>
      <c r="D135" s="99"/>
      <c r="E135" s="99"/>
      <c r="F135" s="99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92"/>
      <c r="Z135" s="82"/>
      <c r="AA135" s="92"/>
      <c r="AB135" s="82"/>
      <c r="AC135" s="85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73"/>
      <c r="DF135" s="99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82"/>
      <c r="DZ135" s="82"/>
      <c r="EA135" s="82"/>
      <c r="EB135" s="82"/>
      <c r="EC135" s="82"/>
      <c r="ED135" s="82"/>
      <c r="EE135" s="82"/>
      <c r="EG135" s="85"/>
    </row>
    <row r="136" spans="2:137" s="90" customFormat="1" ht="12.75" customHeight="1">
      <c r="B136" s="111" t="s">
        <v>329</v>
      </c>
      <c r="C136" s="91"/>
      <c r="D136" s="91"/>
      <c r="E136" s="91"/>
      <c r="F136" s="91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92"/>
      <c r="Z136" s="85"/>
      <c r="AA136" s="92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>
        <f>2979+28684</f>
        <v>31663</v>
      </c>
      <c r="CK136" s="85"/>
      <c r="CL136" s="85"/>
      <c r="CM136" s="85">
        <f>2672+28074</f>
        <v>30746</v>
      </c>
      <c r="CN136" s="85">
        <f>2839+34072</f>
        <v>36911</v>
      </c>
      <c r="CO136" s="85">
        <f>887+33972</f>
        <v>34859</v>
      </c>
      <c r="CP136" s="85">
        <f>1372+33683</f>
        <v>35055</v>
      </c>
      <c r="CQ136" s="85">
        <f>31142+3077</f>
        <v>34219</v>
      </c>
      <c r="CR136" s="85">
        <f>3071+34717</f>
        <v>37788</v>
      </c>
      <c r="CS136" s="85">
        <f>3149+34982</f>
        <v>38131</v>
      </c>
      <c r="CT136" s="85">
        <f>34462+2649</f>
        <v>37111</v>
      </c>
      <c r="CU136" s="85">
        <f>1360+33484</f>
        <v>34844</v>
      </c>
      <c r="CV136" s="85">
        <f>1434+33968</f>
        <v>35402</v>
      </c>
      <c r="CW136" s="85">
        <f>1405+39969</f>
        <v>41374</v>
      </c>
      <c r="CX136" s="85">
        <f>2589+46750</f>
        <v>49339</v>
      </c>
      <c r="CY136" s="85">
        <f>2444+46673</f>
        <v>49117</v>
      </c>
      <c r="CZ136" s="85">
        <f>2825+51081</f>
        <v>53906</v>
      </c>
      <c r="DA136" s="85"/>
      <c r="DB136" s="85"/>
      <c r="DC136" s="85"/>
      <c r="DD136" s="85"/>
      <c r="DE136" s="93"/>
      <c r="DF136" s="91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G136" s="85"/>
    </row>
    <row r="137" spans="2:137" s="90" customFormat="1" ht="12.75" customHeight="1">
      <c r="B137" s="111" t="s">
        <v>813</v>
      </c>
      <c r="C137" s="91"/>
      <c r="D137" s="91"/>
      <c r="E137" s="91"/>
      <c r="F137" s="91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92"/>
      <c r="Z137" s="85"/>
      <c r="AA137" s="92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>
        <v>3482</v>
      </c>
      <c r="CK137" s="85"/>
      <c r="CL137" s="85"/>
      <c r="CM137" s="85">
        <v>3680</v>
      </c>
      <c r="CN137" s="85">
        <v>3442</v>
      </c>
      <c r="CO137" s="85">
        <v>3509</v>
      </c>
      <c r="CP137" s="85">
        <v>3922</v>
      </c>
      <c r="CQ137" s="85">
        <v>3514</v>
      </c>
      <c r="CR137" s="85">
        <v>3519</v>
      </c>
      <c r="CS137" s="85">
        <v>3586</v>
      </c>
      <c r="CT137" s="85">
        <v>4079</v>
      </c>
      <c r="CU137" s="85">
        <v>3784</v>
      </c>
      <c r="CV137" s="85">
        <v>3892</v>
      </c>
      <c r="CW137" s="85">
        <v>4147</v>
      </c>
      <c r="CX137" s="85">
        <v>4404</v>
      </c>
      <c r="CY137" s="85">
        <v>3863</v>
      </c>
      <c r="CZ137" s="85">
        <v>3827</v>
      </c>
      <c r="DA137" s="85"/>
      <c r="DB137" s="85"/>
      <c r="DC137" s="85"/>
      <c r="DD137" s="85"/>
      <c r="DE137" s="93"/>
      <c r="DF137" s="91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G137" s="85"/>
    </row>
    <row r="138" spans="2:137" s="90" customFormat="1" ht="12.75" customHeight="1">
      <c r="B138" s="111" t="s">
        <v>814</v>
      </c>
      <c r="C138" s="91"/>
      <c r="D138" s="91"/>
      <c r="E138" s="91"/>
      <c r="F138" s="91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92"/>
      <c r="Z138" s="85"/>
      <c r="AA138" s="92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>
        <v>13501</v>
      </c>
      <c r="CK138" s="85"/>
      <c r="CL138" s="85"/>
      <c r="CM138" s="85">
        <v>13000</v>
      </c>
      <c r="CN138" s="85">
        <v>13747</v>
      </c>
      <c r="CO138" s="85">
        <v>14840</v>
      </c>
      <c r="CP138" s="85">
        <v>15766</v>
      </c>
      <c r="CQ138" s="85">
        <v>14102</v>
      </c>
      <c r="CR138" s="85">
        <v>14712</v>
      </c>
      <c r="CS138" s="85">
        <v>16539</v>
      </c>
      <c r="CT138" s="85">
        <v>15694</v>
      </c>
      <c r="CU138" s="85">
        <v>12772</v>
      </c>
      <c r="CV138" s="85">
        <v>14502</v>
      </c>
      <c r="CW138" s="85">
        <v>16186</v>
      </c>
      <c r="CX138" s="85">
        <v>14468</v>
      </c>
      <c r="CY138" s="85">
        <v>14549</v>
      </c>
      <c r="CZ138" s="85">
        <v>14725</v>
      </c>
      <c r="DA138" s="85"/>
      <c r="DB138" s="85"/>
      <c r="DC138" s="85"/>
      <c r="DD138" s="85"/>
      <c r="DE138" s="93"/>
      <c r="DF138" s="91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G138" s="85"/>
    </row>
    <row r="139" spans="2:137" s="90" customFormat="1" ht="12.75" customHeight="1">
      <c r="B139" s="111" t="s">
        <v>471</v>
      </c>
      <c r="C139" s="91"/>
      <c r="D139" s="91"/>
      <c r="E139" s="91"/>
      <c r="F139" s="91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92"/>
      <c r="Z139" s="85"/>
      <c r="AA139" s="92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>
        <f>1438+2974</f>
        <v>4412</v>
      </c>
      <c r="CK139" s="85"/>
      <c r="CL139" s="85"/>
      <c r="CM139" s="85">
        <f>1872+1442</f>
        <v>3314</v>
      </c>
      <c r="CN139" s="85">
        <f>1489+996</f>
        <v>2485</v>
      </c>
      <c r="CO139" s="85">
        <f>1981+1018</f>
        <v>2999</v>
      </c>
      <c r="CP139" s="85">
        <f>2649+871</f>
        <v>3520</v>
      </c>
      <c r="CQ139" s="85">
        <f>2398+922</f>
        <v>3320</v>
      </c>
      <c r="CR139" s="85">
        <v>2777</v>
      </c>
      <c r="CS139" s="85">
        <f>4330+864</f>
        <v>5194</v>
      </c>
      <c r="CT139" s="85">
        <f>3914+1387</f>
        <v>5301</v>
      </c>
      <c r="CU139" s="85">
        <f>5181+1409</f>
        <v>6590</v>
      </c>
      <c r="CV139" s="85">
        <f>4156+1427</f>
        <v>5583</v>
      </c>
      <c r="CW139" s="85">
        <f>4848+1381</f>
        <v>6229</v>
      </c>
      <c r="CX139" s="85">
        <f>4726+1439</f>
        <v>6165</v>
      </c>
      <c r="CY139" s="85">
        <f>3946+1494</f>
        <v>5440</v>
      </c>
      <c r="CZ139" s="85">
        <f>4224+1433</f>
        <v>5657</v>
      </c>
      <c r="DA139" s="85"/>
      <c r="DB139" s="85"/>
      <c r="DC139" s="85"/>
      <c r="DD139" s="85"/>
      <c r="DE139" s="93"/>
      <c r="DF139" s="91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G139" s="85"/>
    </row>
    <row r="140" spans="2:137" s="90" customFormat="1" ht="12.75" customHeight="1">
      <c r="B140" s="111" t="s">
        <v>815</v>
      </c>
      <c r="C140" s="91"/>
      <c r="D140" s="91"/>
      <c r="E140" s="91"/>
      <c r="F140" s="91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92"/>
      <c r="Z140" s="85"/>
      <c r="AA140" s="92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>
        <v>1768</v>
      </c>
      <c r="CK140" s="85"/>
      <c r="CL140" s="85"/>
      <c r="CM140" s="85">
        <v>1907</v>
      </c>
      <c r="CN140" s="85">
        <v>1877</v>
      </c>
      <c r="CO140" s="85">
        <v>1877</v>
      </c>
      <c r="CP140" s="85">
        <v>1985</v>
      </c>
      <c r="CQ140" s="85">
        <v>2008</v>
      </c>
      <c r="CR140" s="85">
        <v>1981</v>
      </c>
      <c r="CS140" s="85">
        <v>1982</v>
      </c>
      <c r="CT140" s="85">
        <v>2084</v>
      </c>
      <c r="CU140" s="85">
        <v>2077</v>
      </c>
      <c r="CV140" s="85">
        <v>2053</v>
      </c>
      <c r="CW140" s="85">
        <v>2042</v>
      </c>
      <c r="CX140" s="85">
        <v>2140</v>
      </c>
      <c r="CY140" s="85">
        <v>2143</v>
      </c>
      <c r="CZ140" s="85">
        <v>2130</v>
      </c>
      <c r="DA140" s="85"/>
      <c r="DB140" s="85"/>
      <c r="DC140" s="85"/>
      <c r="DD140" s="85"/>
      <c r="DE140" s="93"/>
      <c r="DF140" s="91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G140" s="85"/>
    </row>
    <row r="141" spans="2:137" s="90" customFormat="1" ht="12.75" customHeight="1">
      <c r="B141" s="111" t="s">
        <v>816</v>
      </c>
      <c r="C141" s="91"/>
      <c r="D141" s="91"/>
      <c r="E141" s="91"/>
      <c r="F141" s="91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92"/>
      <c r="Z141" s="85"/>
      <c r="AA141" s="92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>
        <v>8951</v>
      </c>
      <c r="CK141" s="85"/>
      <c r="CL141" s="85"/>
      <c r="CM141" s="85">
        <v>8244</v>
      </c>
      <c r="CN141" s="85">
        <v>7265</v>
      </c>
      <c r="CO141" s="85">
        <v>7343</v>
      </c>
      <c r="CP141" s="85">
        <v>8792</v>
      </c>
      <c r="CQ141" s="85">
        <v>8262</v>
      </c>
      <c r="CR141" s="85">
        <f>876+7329</f>
        <v>8205</v>
      </c>
      <c r="CS141" s="85">
        <v>7540</v>
      </c>
      <c r="CT141" s="85">
        <v>6465</v>
      </c>
      <c r="CU141" s="85">
        <v>6655</v>
      </c>
      <c r="CV141" s="85">
        <v>7031</v>
      </c>
      <c r="CW141" s="85">
        <v>7661</v>
      </c>
      <c r="CX141" s="85">
        <v>7688</v>
      </c>
      <c r="CY141" s="85">
        <v>7642</v>
      </c>
      <c r="CZ141" s="85">
        <v>7573</v>
      </c>
      <c r="DA141" s="85"/>
      <c r="DB141" s="85"/>
      <c r="DC141" s="85"/>
      <c r="DD141" s="85"/>
      <c r="DE141" s="93"/>
      <c r="DF141" s="91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G141" s="85"/>
    </row>
    <row r="142" spans="2:137" s="90" customFormat="1" ht="12.75" customHeight="1">
      <c r="B142" s="111" t="s">
        <v>817</v>
      </c>
      <c r="C142" s="91"/>
      <c r="D142" s="91"/>
      <c r="E142" s="91"/>
      <c r="F142" s="91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92"/>
      <c r="Z142" s="85"/>
      <c r="AA142" s="92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>
        <v>43318</v>
      </c>
      <c r="CK142" s="85"/>
      <c r="CL142" s="85"/>
      <c r="CM142" s="85">
        <v>46905</v>
      </c>
      <c r="CN142" s="85">
        <v>38742</v>
      </c>
      <c r="CO142" s="85">
        <v>41300</v>
      </c>
      <c r="CP142" s="85">
        <v>37635</v>
      </c>
      <c r="CQ142" s="85">
        <v>40424</v>
      </c>
      <c r="CR142" s="85">
        <v>43648</v>
      </c>
      <c r="CS142" s="85">
        <v>44560</v>
      </c>
      <c r="CT142" s="85">
        <f>46372</f>
        <v>46372</v>
      </c>
      <c r="CU142" s="85">
        <v>48400</v>
      </c>
      <c r="CV142" s="85">
        <v>49060</v>
      </c>
      <c r="CW142" s="85">
        <v>51907</v>
      </c>
      <c r="CX142" s="85">
        <v>52662</v>
      </c>
      <c r="CY142" s="85">
        <v>45931</v>
      </c>
      <c r="CZ142" s="85">
        <v>41984</v>
      </c>
      <c r="DA142" s="85"/>
      <c r="DB142" s="85"/>
      <c r="DC142" s="85"/>
      <c r="DD142" s="85"/>
      <c r="DE142" s="93"/>
      <c r="DF142" s="91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G142" s="85"/>
    </row>
    <row r="143" spans="2:137" s="90" customFormat="1" ht="12.75" customHeight="1">
      <c r="B143" s="111" t="s">
        <v>818</v>
      </c>
      <c r="C143" s="91"/>
      <c r="D143" s="91"/>
      <c r="E143" s="91"/>
      <c r="F143" s="91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92"/>
      <c r="Z143" s="85"/>
      <c r="AA143" s="92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>
        <f>SUM(CJ136:CJ142)</f>
        <v>107095</v>
      </c>
      <c r="CK143" s="85"/>
      <c r="CL143" s="85"/>
      <c r="CM143" s="85">
        <f t="shared" ref="CM143:CR143" si="324">SUM(CM136:CM142)</f>
        <v>107796</v>
      </c>
      <c r="CN143" s="85">
        <f t="shared" si="324"/>
        <v>104469</v>
      </c>
      <c r="CO143" s="85">
        <f t="shared" si="324"/>
        <v>106727</v>
      </c>
      <c r="CP143" s="85">
        <f t="shared" si="324"/>
        <v>106675</v>
      </c>
      <c r="CQ143" s="85">
        <f t="shared" si="324"/>
        <v>105849</v>
      </c>
      <c r="CR143" s="85">
        <f t="shared" si="324"/>
        <v>112630</v>
      </c>
      <c r="CS143" s="85">
        <f t="shared" ref="CS143:CZ143" si="325">SUM(CS136:CS142)</f>
        <v>117532</v>
      </c>
      <c r="CT143" s="85">
        <f t="shared" si="325"/>
        <v>117106</v>
      </c>
      <c r="CU143" s="85">
        <f t="shared" si="325"/>
        <v>115122</v>
      </c>
      <c r="CV143" s="85">
        <f t="shared" si="325"/>
        <v>117523</v>
      </c>
      <c r="CW143" s="85">
        <f t="shared" si="325"/>
        <v>129546</v>
      </c>
      <c r="CX143" s="85">
        <f t="shared" si="325"/>
        <v>136866</v>
      </c>
      <c r="CY143" s="85">
        <f t="shared" si="325"/>
        <v>128685</v>
      </c>
      <c r="CZ143" s="85">
        <f t="shared" si="325"/>
        <v>129802</v>
      </c>
      <c r="DA143" s="85"/>
      <c r="DB143" s="85"/>
      <c r="DC143" s="85"/>
      <c r="DD143" s="85"/>
      <c r="DE143" s="93"/>
      <c r="DF143" s="91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G143" s="85"/>
    </row>
    <row r="144" spans="2:137" s="81" customFormat="1" ht="12.75" customHeight="1">
      <c r="B144" s="108"/>
      <c r="C144" s="99"/>
      <c r="D144" s="99"/>
      <c r="E144" s="99"/>
      <c r="F144" s="99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92"/>
      <c r="Z144" s="82"/>
      <c r="AA144" s="92"/>
      <c r="AB144" s="82"/>
      <c r="AC144" s="85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73"/>
      <c r="DF144" s="99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82"/>
      <c r="DT144" s="82"/>
      <c r="DU144" s="82"/>
      <c r="DV144" s="82"/>
      <c r="DW144" s="82"/>
      <c r="DX144" s="82"/>
      <c r="DY144" s="82"/>
      <c r="DZ144" s="82"/>
      <c r="EA144" s="82"/>
      <c r="EB144" s="82"/>
      <c r="EC144" s="82"/>
      <c r="ED144" s="82"/>
      <c r="EE144" s="82"/>
      <c r="EG144" s="85"/>
    </row>
    <row r="145" spans="2:137" s="81" customFormat="1" ht="12.75" customHeight="1">
      <c r="B145" s="98" t="s">
        <v>950</v>
      </c>
      <c r="C145" s="99"/>
      <c r="D145" s="99"/>
      <c r="E145" s="99"/>
      <c r="F145" s="99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92"/>
      <c r="Z145" s="82"/>
      <c r="AA145" s="92"/>
      <c r="AB145" s="82"/>
      <c r="AC145" s="85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5">
        <f t="shared" ref="CM145:CP145" si="326">+CM107</f>
        <v>3568</v>
      </c>
      <c r="CN145" s="85">
        <f t="shared" si="326"/>
        <v>4945</v>
      </c>
      <c r="CO145" s="85">
        <f t="shared" si="326"/>
        <v>5432</v>
      </c>
      <c r="CP145" s="85">
        <f t="shared" si="326"/>
        <v>5567</v>
      </c>
      <c r="CQ145" s="85">
        <f>+CQ107</f>
        <v>5284</v>
      </c>
      <c r="CR145" s="85">
        <f>+CR107</f>
        <v>5815</v>
      </c>
      <c r="CS145" s="85">
        <f>+CS107</f>
        <v>3985</v>
      </c>
      <c r="CT145" s="85">
        <f>+CT107</f>
        <v>4372</v>
      </c>
      <c r="CU145" s="85">
        <f t="shared" ref="CU145:CZ145" si="327">+CU107</f>
        <v>5692</v>
      </c>
      <c r="CV145" s="85">
        <f t="shared" si="327"/>
        <v>5367</v>
      </c>
      <c r="CW145" s="85">
        <f t="shared" si="327"/>
        <v>6529</v>
      </c>
      <c r="CX145" s="85">
        <f t="shared" si="327"/>
        <v>5087</v>
      </c>
      <c r="CY145" s="85">
        <f t="shared" si="327"/>
        <v>5841</v>
      </c>
      <c r="CZ145" s="85">
        <f t="shared" si="327"/>
        <v>5368</v>
      </c>
      <c r="DA145" s="82"/>
      <c r="DB145" s="82"/>
      <c r="DC145" s="82"/>
      <c r="DD145" s="82"/>
      <c r="DE145" s="73"/>
      <c r="DF145" s="99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82"/>
      <c r="DZ145" s="82"/>
      <c r="EA145" s="82"/>
      <c r="EB145" s="82"/>
      <c r="EC145" s="82"/>
      <c r="ED145" s="82"/>
      <c r="EE145" s="82"/>
      <c r="EG145" s="85"/>
    </row>
    <row r="146" spans="2:137" s="81" customFormat="1" ht="12.75" customHeight="1">
      <c r="B146" s="98" t="s">
        <v>951</v>
      </c>
      <c r="C146" s="99"/>
      <c r="D146" s="99"/>
      <c r="E146" s="99"/>
      <c r="F146" s="99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92"/>
      <c r="Z146" s="82"/>
      <c r="AA146" s="92"/>
      <c r="AB146" s="82"/>
      <c r="AC146" s="85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5">
        <v>2825</v>
      </c>
      <c r="CN146" s="85">
        <f>-3147-CM146</f>
        <v>-5972</v>
      </c>
      <c r="CO146" s="85">
        <f>1603-CN146-CM146+13</f>
        <v>4763</v>
      </c>
      <c r="CP146" s="85">
        <f>377-CO146-CN146-CM146</f>
        <v>-1239</v>
      </c>
      <c r="CQ146" s="85">
        <v>4767</v>
      </c>
      <c r="CR146" s="85">
        <f>10228-CQ146</f>
        <v>5461</v>
      </c>
      <c r="CS146" s="85">
        <f>13389-CR146-CQ146</f>
        <v>3161</v>
      </c>
      <c r="CT146" s="82"/>
      <c r="CU146" s="85">
        <v>5085</v>
      </c>
      <c r="CV146" s="85">
        <f>9514-CU146</f>
        <v>4429</v>
      </c>
      <c r="CW146" s="85">
        <f>15301-CV146-CU146</f>
        <v>5787</v>
      </c>
      <c r="CX146" s="85">
        <f>18263-CW146-CV146-CU146</f>
        <v>2962</v>
      </c>
      <c r="CY146" s="85">
        <v>-4243</v>
      </c>
      <c r="CZ146" s="85">
        <f>-5580-CY146</f>
        <v>-1337</v>
      </c>
      <c r="DA146" s="82"/>
      <c r="DB146" s="82"/>
      <c r="DC146" s="82"/>
      <c r="DD146" s="82"/>
      <c r="DE146" s="73"/>
      <c r="DF146" s="99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  <c r="DQ146" s="82"/>
      <c r="DR146" s="82"/>
      <c r="DS146" s="82"/>
      <c r="DT146" s="82"/>
      <c r="DU146" s="82"/>
      <c r="DV146" s="82"/>
      <c r="DW146" s="82"/>
      <c r="DX146" s="82"/>
      <c r="DY146" s="82"/>
      <c r="DZ146" s="82"/>
      <c r="EA146" s="82"/>
      <c r="EB146" s="82"/>
      <c r="EC146" s="82"/>
      <c r="ED146" s="82"/>
      <c r="EE146" s="82"/>
      <c r="EG146" s="85"/>
    </row>
    <row r="147" spans="2:137" s="81" customFormat="1" ht="12.75" customHeight="1">
      <c r="B147" s="98" t="s">
        <v>85</v>
      </c>
      <c r="C147" s="99"/>
      <c r="D147" s="99"/>
      <c r="E147" s="99"/>
      <c r="F147" s="99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92"/>
      <c r="Z147" s="82"/>
      <c r="AA147" s="92"/>
      <c r="AB147" s="82"/>
      <c r="AC147" s="85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5">
        <v>543</v>
      </c>
      <c r="CN147" s="85">
        <f>1020-CM147</f>
        <v>477</v>
      </c>
      <c r="CO147" s="85">
        <f>1582-CN147-CM147</f>
        <v>562</v>
      </c>
      <c r="CP147" s="85">
        <f>2044-CO147-CN147-CM147</f>
        <v>462</v>
      </c>
      <c r="CQ147" s="85">
        <v>473</v>
      </c>
      <c r="CR147" s="85">
        <f>1087-CQ147</f>
        <v>614</v>
      </c>
      <c r="CS147" s="85">
        <f>1720-CR147-CQ147</f>
        <v>633</v>
      </c>
      <c r="CT147" s="82"/>
      <c r="CU147" s="85">
        <v>597</v>
      </c>
      <c r="CV147" s="85">
        <f>1198-CU147</f>
        <v>601</v>
      </c>
      <c r="CW147" s="85">
        <f>1820-CV147-CU147</f>
        <v>622</v>
      </c>
      <c r="CX147" s="85">
        <f>2793-CW147-CV147-CU147</f>
        <v>973</v>
      </c>
      <c r="CY147" s="85">
        <v>931</v>
      </c>
      <c r="CZ147" s="85">
        <f>1915-CY147</f>
        <v>984</v>
      </c>
      <c r="DA147" s="82"/>
      <c r="DB147" s="82"/>
      <c r="DC147" s="82"/>
      <c r="DD147" s="82"/>
      <c r="DE147" s="73"/>
      <c r="DF147" s="99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82"/>
      <c r="DZ147" s="82"/>
      <c r="EA147" s="82"/>
      <c r="EB147" s="82"/>
      <c r="EC147" s="82"/>
      <c r="ED147" s="82"/>
      <c r="EE147" s="82"/>
      <c r="EG147" s="85"/>
    </row>
    <row r="148" spans="2:137" s="81" customFormat="1" ht="12.75" customHeight="1">
      <c r="B148" s="98" t="s">
        <v>84</v>
      </c>
      <c r="C148" s="99"/>
      <c r="D148" s="99"/>
      <c r="E148" s="99"/>
      <c r="F148" s="99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92"/>
      <c r="Z148" s="82"/>
      <c r="AA148" s="92"/>
      <c r="AB148" s="82"/>
      <c r="AC148" s="85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5">
        <v>448</v>
      </c>
      <c r="CN148" s="85">
        <f>874-CM148</f>
        <v>426</v>
      </c>
      <c r="CO148" s="85">
        <f>1326-CN148-CM148</f>
        <v>452</v>
      </c>
      <c r="CP148" s="85">
        <f>1828-CO148-CN148-CM148</f>
        <v>502</v>
      </c>
      <c r="CQ148" s="85">
        <v>511</v>
      </c>
      <c r="CR148" s="85">
        <f>1029-CQ148</f>
        <v>518</v>
      </c>
      <c r="CS148" s="85">
        <f>1582-CR148-CQ148</f>
        <v>553</v>
      </c>
      <c r="CT148" s="82"/>
      <c r="CU148" s="85">
        <v>502</v>
      </c>
      <c r="CV148" s="85">
        <f>1020-CU148</f>
        <v>518</v>
      </c>
      <c r="CW148" s="85">
        <f>1552-CV148-CU148</f>
        <v>532</v>
      </c>
      <c r="CX148" s="85">
        <f>3045-CW148-CV148-CU148</f>
        <v>1493</v>
      </c>
      <c r="CY148" s="85">
        <v>581</v>
      </c>
      <c r="CZ148" s="85">
        <f>1180-CY148</f>
        <v>599</v>
      </c>
      <c r="DA148" s="82"/>
      <c r="DB148" s="82"/>
      <c r="DC148" s="82"/>
      <c r="DD148" s="82"/>
      <c r="DE148" s="73"/>
      <c r="DF148" s="99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82"/>
      <c r="DT148" s="82"/>
      <c r="DU148" s="82"/>
      <c r="DV148" s="82"/>
      <c r="DW148" s="82"/>
      <c r="DX148" s="82"/>
      <c r="DY148" s="82"/>
      <c r="DZ148" s="82"/>
      <c r="EA148" s="82"/>
      <c r="EB148" s="82"/>
      <c r="EC148" s="82"/>
      <c r="ED148" s="82"/>
      <c r="EE148" s="82"/>
      <c r="EG148" s="85"/>
    </row>
    <row r="149" spans="2:137" s="81" customFormat="1" ht="12.75" customHeight="1">
      <c r="B149" s="98" t="s">
        <v>956</v>
      </c>
      <c r="C149" s="99"/>
      <c r="D149" s="99"/>
      <c r="E149" s="99"/>
      <c r="F149" s="99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92"/>
      <c r="Z149" s="82"/>
      <c r="AA149" s="92"/>
      <c r="AB149" s="82"/>
      <c r="AC149" s="85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5">
        <f>-450+1192</f>
        <v>742</v>
      </c>
      <c r="CN149" s="85">
        <f>-274+10217-CM149+1192</f>
        <v>10393</v>
      </c>
      <c r="CO149" s="85">
        <f>-240+10217+1192-CN149-CM149</f>
        <v>34</v>
      </c>
      <c r="CP149" s="85">
        <f>792-340+10217+1192-CO149-CN149-CM149</f>
        <v>692</v>
      </c>
      <c r="CQ149" s="85">
        <f>-143+656</f>
        <v>513</v>
      </c>
      <c r="CR149" s="85">
        <f>-200+656-CQ149</f>
        <v>-57</v>
      </c>
      <c r="CS149" s="85">
        <f>-169+1350+750+656-CR149-CQ149</f>
        <v>2131</v>
      </c>
      <c r="CT149" s="82"/>
      <c r="CU149" s="85">
        <v>-90</v>
      </c>
      <c r="CV149" s="85">
        <f>-189-CU149</f>
        <v>-99</v>
      </c>
      <c r="CW149" s="85">
        <f>-563-CV149-CU149</f>
        <v>-374</v>
      </c>
      <c r="CX149" s="85">
        <f>55-368-CW149-CV149-CU149</f>
        <v>250</v>
      </c>
      <c r="CY149" s="85">
        <v>-168</v>
      </c>
      <c r="CZ149" s="85">
        <f>-411-CY149</f>
        <v>-243</v>
      </c>
      <c r="DA149" s="82"/>
      <c r="DB149" s="82"/>
      <c r="DC149" s="82"/>
      <c r="DD149" s="82"/>
      <c r="DE149" s="73"/>
      <c r="DF149" s="99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82"/>
      <c r="DZ149" s="82"/>
      <c r="EA149" s="82"/>
      <c r="EB149" s="82"/>
      <c r="EC149" s="82"/>
      <c r="ED149" s="82"/>
      <c r="EE149" s="82"/>
      <c r="EG149" s="85"/>
    </row>
    <row r="150" spans="2:137" s="81" customFormat="1" ht="12.75" customHeight="1">
      <c r="B150" s="98" t="s">
        <v>955</v>
      </c>
      <c r="C150" s="99"/>
      <c r="D150" s="99"/>
      <c r="E150" s="99"/>
      <c r="F150" s="99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92"/>
      <c r="Z150" s="82"/>
      <c r="AA150" s="92"/>
      <c r="AB150" s="82"/>
      <c r="AC150" s="85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5">
        <v>-277</v>
      </c>
      <c r="CN150" s="85">
        <f>-632-CM150</f>
        <v>-355</v>
      </c>
      <c r="CO150" s="85">
        <f>-968-CN150-CM150</f>
        <v>-336</v>
      </c>
      <c r="CP150" s="85">
        <f>-1899-CO150-CN150-CM150</f>
        <v>-931</v>
      </c>
      <c r="CQ150" s="85">
        <v>-51</v>
      </c>
      <c r="CR150" s="85">
        <f>-232-CQ150</f>
        <v>-181</v>
      </c>
      <c r="CS150" s="85">
        <f>-633-CR150-CQ150</f>
        <v>-401</v>
      </c>
      <c r="CT150" s="82"/>
      <c r="CU150" s="85">
        <v>-186</v>
      </c>
      <c r="CV150" s="85">
        <f>-634-CU150</f>
        <v>-448</v>
      </c>
      <c r="CW150" s="85">
        <f>-846-CV150-CU150</f>
        <v>-212</v>
      </c>
      <c r="CX150" s="85">
        <f>-1671-CW150-CV150-CU150</f>
        <v>-825</v>
      </c>
      <c r="CY150" s="85">
        <v>-315</v>
      </c>
      <c r="CZ150" s="85">
        <f>-859-CY150</f>
        <v>-544</v>
      </c>
      <c r="DA150" s="82"/>
      <c r="DB150" s="82"/>
      <c r="DC150" s="82"/>
      <c r="DD150" s="82"/>
      <c r="DE150" s="73"/>
      <c r="DF150" s="99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82"/>
      <c r="DZ150" s="82"/>
      <c r="EA150" s="82"/>
      <c r="EB150" s="82"/>
      <c r="EC150" s="82"/>
      <c r="ED150" s="82"/>
      <c r="EE150" s="82"/>
      <c r="EG150" s="85"/>
    </row>
    <row r="151" spans="2:137" s="81" customFormat="1" ht="12.75" customHeight="1">
      <c r="B151" s="98" t="s">
        <v>954</v>
      </c>
      <c r="C151" s="99"/>
      <c r="D151" s="99"/>
      <c r="E151" s="99"/>
      <c r="F151" s="99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92"/>
      <c r="Z151" s="82"/>
      <c r="AA151" s="92"/>
      <c r="AB151" s="82"/>
      <c r="AC151" s="85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5">
        <v>145</v>
      </c>
      <c r="CN151" s="85">
        <f>314-CM151</f>
        <v>169</v>
      </c>
      <c r="CO151" s="85">
        <f>478-CN151-CM151</f>
        <v>164</v>
      </c>
      <c r="CP151" s="85">
        <f>645-CO151-CN151-CM151</f>
        <v>167</v>
      </c>
      <c r="CQ151" s="85">
        <v>176</v>
      </c>
      <c r="CR151" s="85">
        <f>379-CQ151</f>
        <v>203</v>
      </c>
      <c r="CS151" s="85">
        <f>574-CR151-CQ151</f>
        <v>195</v>
      </c>
      <c r="CT151" s="82"/>
      <c r="CU151" s="85">
        <v>195</v>
      </c>
      <c r="CV151" s="85">
        <f>411-CU151</f>
        <v>216</v>
      </c>
      <c r="CW151" s="85">
        <f>615-CV151-CU151</f>
        <v>204</v>
      </c>
      <c r="CX151" s="85">
        <f>820-CW151-CV151-CU151</f>
        <v>205</v>
      </c>
      <c r="CY151" s="85">
        <v>185</v>
      </c>
      <c r="CZ151" s="85">
        <f>483-CY151</f>
        <v>298</v>
      </c>
      <c r="DA151" s="82"/>
      <c r="DB151" s="82"/>
      <c r="DC151" s="82"/>
      <c r="DD151" s="82"/>
      <c r="DE151" s="73"/>
      <c r="DF151" s="99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G151" s="85"/>
    </row>
    <row r="152" spans="2:137" s="81" customFormat="1" ht="12.75" customHeight="1">
      <c r="B152" s="98" t="s">
        <v>79</v>
      </c>
      <c r="C152" s="99"/>
      <c r="D152" s="99"/>
      <c r="E152" s="99"/>
      <c r="F152" s="99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92"/>
      <c r="Z152" s="82"/>
      <c r="AA152" s="92"/>
      <c r="AB152" s="82"/>
      <c r="AC152" s="85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5">
        <v>-197</v>
      </c>
      <c r="CN152" s="85">
        <f>5-CM152</f>
        <v>202</v>
      </c>
      <c r="CO152" s="85">
        <f>-94-CN152-CM152</f>
        <v>-99</v>
      </c>
      <c r="CP152" s="85">
        <f>355-CO152-CN152-CM152</f>
        <v>449</v>
      </c>
      <c r="CQ152" s="85">
        <v>83</v>
      </c>
      <c r="CR152" s="85">
        <f>174-CQ152</f>
        <v>91</v>
      </c>
      <c r="CS152" s="85">
        <f>611-CR152-CQ152</f>
        <v>437</v>
      </c>
      <c r="CT152" s="82"/>
      <c r="CU152" s="85">
        <v>109</v>
      </c>
      <c r="CV152" s="85">
        <f>444-CU152</f>
        <v>335</v>
      </c>
      <c r="CW152" s="85">
        <f>393-CV152-CU152</f>
        <v>-51</v>
      </c>
      <c r="CX152" s="85">
        <f>511-CW152-CV152-CU152</f>
        <v>118</v>
      </c>
      <c r="CY152" s="85">
        <f>20+8540</f>
        <v>8560</v>
      </c>
      <c r="CZ152" s="85">
        <f>13811-CY152-61</f>
        <v>5190</v>
      </c>
      <c r="DA152" s="82"/>
      <c r="DB152" s="82"/>
      <c r="DC152" s="82"/>
      <c r="DD152" s="82"/>
      <c r="DE152" s="73"/>
      <c r="DF152" s="99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G152" s="85"/>
    </row>
    <row r="153" spans="2:137" s="81" customFormat="1" ht="12.75" customHeight="1">
      <c r="B153" s="98" t="s">
        <v>953</v>
      </c>
      <c r="C153" s="99"/>
      <c r="D153" s="99"/>
      <c r="E153" s="99"/>
      <c r="F153" s="99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92"/>
      <c r="Z153" s="82"/>
      <c r="AA153" s="92"/>
      <c r="AB153" s="82"/>
      <c r="AC153" s="85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5">
        <v>-2890</v>
      </c>
      <c r="CN153" s="85">
        <f>-4526-CM153</f>
        <v>-1636</v>
      </c>
      <c r="CO153" s="85">
        <f>-2349-CN153-CM153</f>
        <v>2177</v>
      </c>
      <c r="CP153" s="85">
        <f>-1148-816-380+1783+214+456-2314-CO153-CN153-CM153</f>
        <v>144</v>
      </c>
      <c r="CQ153" s="85">
        <v>-3382</v>
      </c>
      <c r="CR153" s="85">
        <f>-4394-CQ153</f>
        <v>-1012</v>
      </c>
      <c r="CS153" s="85">
        <f>-1812-CR153-CQ153</f>
        <v>2582</v>
      </c>
      <c r="CT153" s="82"/>
      <c r="CU153" s="85">
        <v>-3712</v>
      </c>
      <c r="CV153" s="85">
        <f>-5971-CU153</f>
        <v>-2259</v>
      </c>
      <c r="CW153" s="85">
        <f>-4657-CV153-CU153</f>
        <v>1314</v>
      </c>
      <c r="CX153" s="85">
        <f>-1090-1180+110-1841+137+195-3307-CW153-CV153-CU153</f>
        <v>-2319</v>
      </c>
      <c r="CY153" s="85">
        <v>-1613</v>
      </c>
      <c r="CZ153" s="85">
        <f>-1190-CY153</f>
        <v>423</v>
      </c>
      <c r="DA153" s="82"/>
      <c r="DB153" s="82"/>
      <c r="DC153" s="82"/>
      <c r="DD153" s="82"/>
      <c r="DE153" s="73"/>
      <c r="DF153" s="99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82"/>
      <c r="DZ153" s="82"/>
      <c r="EA153" s="82"/>
      <c r="EB153" s="82"/>
      <c r="EC153" s="82"/>
      <c r="ED153" s="82"/>
      <c r="EE153" s="82"/>
      <c r="EG153" s="85"/>
    </row>
    <row r="154" spans="2:137" s="81" customFormat="1" ht="12.75" customHeight="1">
      <c r="B154" s="98" t="s">
        <v>952</v>
      </c>
      <c r="C154" s="99"/>
      <c r="D154" s="99"/>
      <c r="E154" s="99"/>
      <c r="F154" s="99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92"/>
      <c r="Z154" s="82"/>
      <c r="AA154" s="92"/>
      <c r="AB154" s="82"/>
      <c r="AC154" s="85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5">
        <f t="shared" ref="CM154:CZ154" si="328">SUM(CM146:CM153)</f>
        <v>1339</v>
      </c>
      <c r="CN154" s="85">
        <f t="shared" si="328"/>
        <v>3704</v>
      </c>
      <c r="CO154" s="85">
        <f t="shared" si="328"/>
        <v>7717</v>
      </c>
      <c r="CP154" s="85">
        <f t="shared" si="328"/>
        <v>246</v>
      </c>
      <c r="CQ154" s="85">
        <f t="shared" si="328"/>
        <v>3090</v>
      </c>
      <c r="CR154" s="85">
        <f t="shared" si="328"/>
        <v>5637</v>
      </c>
      <c r="CS154" s="85">
        <f t="shared" si="328"/>
        <v>9291</v>
      </c>
      <c r="CT154" s="85">
        <f t="shared" si="328"/>
        <v>0</v>
      </c>
      <c r="CU154" s="85">
        <f t="shared" si="328"/>
        <v>2500</v>
      </c>
      <c r="CV154" s="85">
        <f t="shared" si="328"/>
        <v>3293</v>
      </c>
      <c r="CW154" s="85">
        <f t="shared" si="328"/>
        <v>7822</v>
      </c>
      <c r="CX154" s="85">
        <f t="shared" si="328"/>
        <v>2857</v>
      </c>
      <c r="CY154" s="85">
        <f t="shared" si="328"/>
        <v>3918</v>
      </c>
      <c r="CZ154" s="85">
        <f t="shared" si="328"/>
        <v>5370</v>
      </c>
      <c r="DA154" s="85"/>
      <c r="DB154" s="82"/>
      <c r="DC154" s="82"/>
      <c r="DD154" s="82"/>
      <c r="DE154" s="73"/>
      <c r="DF154" s="99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82"/>
      <c r="DZ154" s="82"/>
      <c r="EA154" s="82"/>
      <c r="EB154" s="82"/>
      <c r="EC154" s="82"/>
      <c r="ED154" s="82"/>
      <c r="EE154" s="82"/>
      <c r="EG154" s="85"/>
    </row>
    <row r="155" spans="2:137" s="81" customFormat="1" ht="12.75" customHeight="1">
      <c r="B155" s="108"/>
      <c r="C155" s="99"/>
      <c r="D155" s="99"/>
      <c r="E155" s="99"/>
      <c r="F155" s="99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92"/>
      <c r="Z155" s="82"/>
      <c r="AA155" s="92"/>
      <c r="AB155" s="82"/>
      <c r="AC155" s="85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73"/>
      <c r="DF155" s="99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82"/>
      <c r="DT155" s="82"/>
      <c r="DU155" s="82"/>
      <c r="DV155" s="82"/>
      <c r="DW155" s="82"/>
      <c r="DX155" s="82"/>
      <c r="DY155" s="82"/>
      <c r="DZ155" s="82"/>
      <c r="EA155" s="82"/>
      <c r="EB155" s="82"/>
      <c r="EC155" s="82"/>
      <c r="ED155" s="82"/>
      <c r="EE155" s="82"/>
      <c r="EG155" s="85"/>
    </row>
    <row r="156" spans="2:137" s="81" customFormat="1" ht="12.75" customHeight="1">
      <c r="B156" s="98" t="s">
        <v>958</v>
      </c>
      <c r="C156" s="99"/>
      <c r="D156" s="99"/>
      <c r="E156" s="99"/>
      <c r="F156" s="99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92"/>
      <c r="Z156" s="82"/>
      <c r="AA156" s="92"/>
      <c r="AB156" s="82"/>
      <c r="AC156" s="85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5">
        <v>-1007</v>
      </c>
      <c r="CN156" s="85">
        <f>-1972-CM156</f>
        <v>-965</v>
      </c>
      <c r="CO156" s="85">
        <f>-2874-CN156-CM156</f>
        <v>-902</v>
      </c>
      <c r="CP156" s="85">
        <f>-3863-CO156-CN156-CM156</f>
        <v>-989</v>
      </c>
      <c r="CQ156" s="85">
        <v>-861</v>
      </c>
      <c r="CR156" s="85">
        <f>-1652-CQ156</f>
        <v>-791</v>
      </c>
      <c r="CS156" s="85">
        <f>-2435-CR156-CQ156</f>
        <v>-783</v>
      </c>
      <c r="CT156" s="82"/>
      <c r="CU156" s="85">
        <v>-1328</v>
      </c>
      <c r="CV156" s="85">
        <f>-2092-CU156</f>
        <v>-764</v>
      </c>
      <c r="CW156" s="85">
        <f>-3079-CV156-CU156</f>
        <v>-987</v>
      </c>
      <c r="CX156" s="85">
        <f>-4112-CW156-CV156-CU156</f>
        <v>-1033</v>
      </c>
      <c r="CY156" s="85">
        <v>-991</v>
      </c>
      <c r="CZ156" s="85">
        <f>-1884-CY156</f>
        <v>-893</v>
      </c>
      <c r="DA156" s="82"/>
      <c r="DB156" s="82"/>
      <c r="DC156" s="82"/>
      <c r="DD156" s="82"/>
      <c r="DE156" s="73"/>
      <c r="DF156" s="99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G156" s="85"/>
    </row>
    <row r="157" spans="2:137" s="81" customFormat="1" ht="12.75" customHeight="1">
      <c r="B157" s="98" t="s">
        <v>959</v>
      </c>
      <c r="C157" s="99"/>
      <c r="D157" s="99"/>
      <c r="E157" s="99"/>
      <c r="F157" s="99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92"/>
      <c r="Z157" s="82"/>
      <c r="AA157" s="92"/>
      <c r="AB157" s="82"/>
      <c r="AC157" s="85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5">
        <f>-562+500</f>
        <v>-62</v>
      </c>
      <c r="CN157" s="85">
        <f>-587+785-CM157</f>
        <v>260</v>
      </c>
      <c r="CO157" s="85">
        <f>-704+1489-CN157-CM157</f>
        <v>587</v>
      </c>
      <c r="CP157" s="85">
        <f>-955+1145+1658-CO157-CN157-CM157</f>
        <v>1063</v>
      </c>
      <c r="CQ157" s="85">
        <f>-15+260</f>
        <v>245</v>
      </c>
      <c r="CR157" s="85">
        <f>-64+320-CQ157</f>
        <v>11</v>
      </c>
      <c r="CS157" s="85">
        <f>-64+370-CR157-CQ157</f>
        <v>50</v>
      </c>
      <c r="CT157" s="82"/>
      <c r="CU157" s="85">
        <f>-595+456</f>
        <v>-139</v>
      </c>
      <c r="CV157" s="85">
        <f>-1207+1057-CU157</f>
        <v>-11</v>
      </c>
      <c r="CW157" s="85">
        <f>-1207+1632-CV157-CU157</f>
        <v>575</v>
      </c>
      <c r="CX157" s="85">
        <f>-1207+1678-CW157-CV157-CU157</f>
        <v>46</v>
      </c>
      <c r="CY157" s="85">
        <v>-374</v>
      </c>
      <c r="CZ157" s="85">
        <f>-522+1303-CY157</f>
        <v>1155</v>
      </c>
      <c r="DA157" s="82"/>
      <c r="DB157" s="82"/>
      <c r="DC157" s="82"/>
      <c r="DD157" s="82"/>
      <c r="DE157" s="73"/>
      <c r="DF157" s="99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82"/>
      <c r="DZ157" s="82"/>
      <c r="EA157" s="82"/>
      <c r="EB157" s="82"/>
      <c r="EC157" s="82"/>
      <c r="ED157" s="82"/>
      <c r="EE157" s="82"/>
      <c r="EG157" s="85"/>
    </row>
    <row r="158" spans="2:137" s="81" customFormat="1" ht="12.75" customHeight="1">
      <c r="B158" s="98" t="s">
        <v>960</v>
      </c>
      <c r="C158" s="99"/>
      <c r="D158" s="99"/>
      <c r="E158" s="99"/>
      <c r="F158" s="99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92"/>
      <c r="Z158" s="82"/>
      <c r="AA158" s="92"/>
      <c r="AB158" s="82"/>
      <c r="AC158" s="85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5">
        <v>-1327</v>
      </c>
      <c r="CN158" s="85">
        <f>-10705-1327-CM158</f>
        <v>-10705</v>
      </c>
      <c r="CO158" s="85">
        <f>-10705-1327-CN158-CM158</f>
        <v>0</v>
      </c>
      <c r="CP158" s="85">
        <f>-10705-1327-CO158-CN158-CM158</f>
        <v>0</v>
      </c>
      <c r="CQ158" s="85">
        <v>-746</v>
      </c>
      <c r="CR158" s="85">
        <f>-746-CQ158</f>
        <v>0</v>
      </c>
      <c r="CS158" s="85">
        <f>-1344-1301-746-700-CR158-CQ158</f>
        <v>-3345</v>
      </c>
      <c r="CT158" s="82"/>
      <c r="CU158" s="85">
        <v>0</v>
      </c>
      <c r="CV158" s="82">
        <v>0</v>
      </c>
      <c r="CW158" s="82">
        <v>0</v>
      </c>
      <c r="CX158" s="85">
        <v>-10042</v>
      </c>
      <c r="CY158" s="85">
        <v>-8779</v>
      </c>
      <c r="CZ158" s="85">
        <f>-8779-5842-CY158</f>
        <v>-5842</v>
      </c>
      <c r="DA158" s="82"/>
      <c r="DB158" s="82"/>
      <c r="DC158" s="82"/>
      <c r="DD158" s="82"/>
      <c r="DE158" s="73"/>
      <c r="DF158" s="99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82"/>
      <c r="DT158" s="82"/>
      <c r="DU158" s="82"/>
      <c r="DV158" s="82"/>
      <c r="DW158" s="82"/>
      <c r="DX158" s="82"/>
      <c r="DY158" s="82"/>
      <c r="DZ158" s="82"/>
      <c r="EA158" s="82"/>
      <c r="EB158" s="82"/>
      <c r="EC158" s="82"/>
      <c r="ED158" s="82"/>
      <c r="EE158" s="82"/>
      <c r="EG158" s="85"/>
    </row>
    <row r="159" spans="2:137" s="81" customFormat="1" ht="12.75" customHeight="1">
      <c r="B159" s="98" t="s">
        <v>79</v>
      </c>
      <c r="C159" s="99"/>
      <c r="D159" s="99"/>
      <c r="E159" s="99"/>
      <c r="F159" s="99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92"/>
      <c r="Z159" s="82"/>
      <c r="AA159" s="92"/>
      <c r="AB159" s="82"/>
      <c r="AC159" s="85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5">
        <v>37</v>
      </c>
      <c r="CN159" s="85">
        <f>4-CM159</f>
        <v>-33</v>
      </c>
      <c r="CO159" s="85">
        <f>-15-CN159-CM159</f>
        <v>-19</v>
      </c>
      <c r="CP159" s="85">
        <f>-36-CO159-CN159-CM159</f>
        <v>-21</v>
      </c>
      <c r="CQ159" s="85">
        <v>-14</v>
      </c>
      <c r="CR159" s="85">
        <f>-303-CQ159</f>
        <v>-289</v>
      </c>
      <c r="CS159" s="85">
        <f>-70-CR159-CQ159</f>
        <v>233</v>
      </c>
      <c r="CT159" s="82"/>
      <c r="CU159" s="85">
        <v>-20</v>
      </c>
      <c r="CV159" s="85">
        <f>-15-CU159</f>
        <v>5</v>
      </c>
      <c r="CW159" s="85">
        <f>114-CV159-CU159</f>
        <v>129</v>
      </c>
      <c r="CX159" s="85">
        <f>-58-CW159-CV159-CU159</f>
        <v>-172</v>
      </c>
      <c r="CY159" s="85">
        <v>-66</v>
      </c>
      <c r="CZ159" s="85">
        <f>-88-CY159</f>
        <v>-22</v>
      </c>
      <c r="DA159" s="82"/>
      <c r="DB159" s="82"/>
      <c r="DC159" s="82"/>
      <c r="DD159" s="82"/>
      <c r="DE159" s="73"/>
      <c r="DF159" s="99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82"/>
      <c r="DZ159" s="82"/>
      <c r="EA159" s="82"/>
      <c r="EB159" s="82"/>
      <c r="EC159" s="82"/>
      <c r="ED159" s="82"/>
      <c r="EE159" s="82"/>
      <c r="EG159" s="85"/>
    </row>
    <row r="160" spans="2:137" s="81" customFormat="1" ht="12.75" customHeight="1">
      <c r="B160" s="98" t="s">
        <v>957</v>
      </c>
      <c r="C160" s="99"/>
      <c r="D160" s="99"/>
      <c r="E160" s="99"/>
      <c r="F160" s="99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92"/>
      <c r="Z160" s="82"/>
      <c r="AA160" s="92"/>
      <c r="AB160" s="82"/>
      <c r="AC160" s="85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5">
        <f t="shared" ref="CM160:CZ160" si="329">SUM(CM156:CM159)</f>
        <v>-2359</v>
      </c>
      <c r="CN160" s="85">
        <f t="shared" si="329"/>
        <v>-11443</v>
      </c>
      <c r="CO160" s="85">
        <f t="shared" si="329"/>
        <v>-334</v>
      </c>
      <c r="CP160" s="85">
        <f t="shared" si="329"/>
        <v>53</v>
      </c>
      <c r="CQ160" s="85">
        <f t="shared" si="329"/>
        <v>-1376</v>
      </c>
      <c r="CR160" s="85">
        <f t="shared" si="329"/>
        <v>-1069</v>
      </c>
      <c r="CS160" s="85">
        <f t="shared" si="329"/>
        <v>-3845</v>
      </c>
      <c r="CT160" s="85">
        <f t="shared" si="329"/>
        <v>0</v>
      </c>
      <c r="CU160" s="85">
        <f t="shared" si="329"/>
        <v>-1487</v>
      </c>
      <c r="CV160" s="85">
        <f t="shared" si="329"/>
        <v>-770</v>
      </c>
      <c r="CW160" s="85">
        <f t="shared" si="329"/>
        <v>-283</v>
      </c>
      <c r="CX160" s="85">
        <f t="shared" si="329"/>
        <v>-11201</v>
      </c>
      <c r="CY160" s="85">
        <f t="shared" si="329"/>
        <v>-10210</v>
      </c>
      <c r="CZ160" s="85">
        <f t="shared" si="329"/>
        <v>-5602</v>
      </c>
      <c r="DA160" s="85"/>
      <c r="DB160" s="82"/>
      <c r="DC160" s="82"/>
      <c r="DD160" s="82"/>
      <c r="DE160" s="73"/>
      <c r="DF160" s="99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82"/>
      <c r="DT160" s="82"/>
      <c r="DU160" s="82"/>
      <c r="DV160" s="82"/>
      <c r="DW160" s="82"/>
      <c r="DX160" s="82"/>
      <c r="DY160" s="82"/>
      <c r="DZ160" s="82"/>
      <c r="EA160" s="82"/>
      <c r="EB160" s="82"/>
      <c r="EC160" s="82"/>
      <c r="ED160" s="82"/>
      <c r="EE160" s="82"/>
      <c r="EG160" s="85"/>
    </row>
    <row r="161" spans="2:141" s="81" customFormat="1" ht="12.75" customHeight="1">
      <c r="B161" s="108"/>
      <c r="C161" s="99"/>
      <c r="D161" s="99"/>
      <c r="E161" s="99"/>
      <c r="F161" s="99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92"/>
      <c r="Z161" s="82"/>
      <c r="AA161" s="92"/>
      <c r="AB161" s="82"/>
      <c r="AC161" s="85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2"/>
      <c r="CN161" s="82"/>
      <c r="CO161" s="82"/>
      <c r="CP161" s="82"/>
      <c r="CQ161" s="82"/>
      <c r="CR161" s="82"/>
      <c r="CS161" s="82"/>
      <c r="CT161" s="82"/>
      <c r="CU161" s="82"/>
      <c r="CV161" s="82"/>
      <c r="CW161" s="82"/>
      <c r="CX161" s="82"/>
      <c r="CY161" s="82"/>
      <c r="CZ161" s="82"/>
      <c r="DA161" s="82"/>
      <c r="DB161" s="82"/>
      <c r="DC161" s="82"/>
      <c r="DD161" s="82"/>
      <c r="DE161" s="73"/>
      <c r="DF161" s="99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  <c r="DQ161" s="82"/>
      <c r="DR161" s="82"/>
      <c r="DS161" s="82"/>
      <c r="DT161" s="82"/>
      <c r="DU161" s="82"/>
      <c r="DV161" s="82"/>
      <c r="DW161" s="82"/>
      <c r="DX161" s="82"/>
      <c r="DY161" s="82"/>
      <c r="DZ161" s="82"/>
      <c r="EA161" s="82"/>
      <c r="EB161" s="82"/>
      <c r="EC161" s="82"/>
      <c r="ED161" s="82"/>
      <c r="EE161" s="82"/>
      <c r="EG161" s="85"/>
    </row>
    <row r="162" spans="2:141" s="81" customFormat="1" ht="12.75" customHeight="1">
      <c r="B162" s="98" t="s">
        <v>964</v>
      </c>
      <c r="C162" s="99"/>
      <c r="D162" s="99"/>
      <c r="E162" s="99"/>
      <c r="F162" s="99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92"/>
      <c r="Z162" s="82"/>
      <c r="AA162" s="92"/>
      <c r="AB162" s="82"/>
      <c r="AC162" s="85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5">
        <v>-1</v>
      </c>
      <c r="CN162" s="85">
        <f>-1751+1937+5946-CM162</f>
        <v>6133</v>
      </c>
      <c r="CO162" s="85">
        <f>5939-1752-CN162-CM162</f>
        <v>-1945</v>
      </c>
      <c r="CP162" s="85">
        <f>-1755+5939-CO162-CN162-CM162</f>
        <v>-3</v>
      </c>
      <c r="CQ162" s="85">
        <v>-751</v>
      </c>
      <c r="CR162" s="85">
        <f>3600-751-CQ162</f>
        <v>3600</v>
      </c>
      <c r="CS162" s="85">
        <f>3599-751-CR162-CQ162</f>
        <v>-1</v>
      </c>
      <c r="CT162" s="85"/>
      <c r="CU162" s="85">
        <v>-2500</v>
      </c>
      <c r="CV162" s="85">
        <f>48-2500-CU162</f>
        <v>48</v>
      </c>
      <c r="CW162" s="85">
        <f>63+5962-2501-CV162-CU162</f>
        <v>5976</v>
      </c>
      <c r="CX162" s="85">
        <f>-2503+13880-CW162-CV162-CU162</f>
        <v>7853</v>
      </c>
      <c r="CY162" s="85">
        <f>1061-1140</f>
        <v>-79</v>
      </c>
      <c r="CZ162" s="85">
        <f>5956-1145-CY162</f>
        <v>4890</v>
      </c>
      <c r="DA162" s="82"/>
      <c r="DB162" s="82"/>
      <c r="DC162" s="82"/>
      <c r="DD162" s="82"/>
      <c r="DE162" s="73"/>
      <c r="DF162" s="99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  <c r="DQ162" s="82"/>
      <c r="DR162" s="82"/>
      <c r="DS162" s="82"/>
      <c r="DT162" s="82"/>
      <c r="DU162" s="82"/>
      <c r="DV162" s="82"/>
      <c r="DW162" s="82"/>
      <c r="DX162" s="82"/>
      <c r="DY162" s="82"/>
      <c r="DZ162" s="82"/>
      <c r="EA162" s="82"/>
      <c r="EB162" s="82"/>
      <c r="EC162" s="82"/>
      <c r="ED162" s="82"/>
      <c r="EE162" s="82"/>
      <c r="EG162" s="85"/>
    </row>
    <row r="163" spans="2:141" s="81" customFormat="1" ht="12.75" customHeight="1">
      <c r="B163" s="98" t="s">
        <v>815</v>
      </c>
      <c r="C163" s="99"/>
      <c r="D163" s="99"/>
      <c r="E163" s="99"/>
      <c r="F163" s="99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92"/>
      <c r="Z163" s="82"/>
      <c r="AA163" s="92"/>
      <c r="AB163" s="82"/>
      <c r="AC163" s="85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5">
        <v>-1853</v>
      </c>
      <c r="CN163" s="85">
        <f>-3738-CM163</f>
        <v>-1885</v>
      </c>
      <c r="CO163" s="85">
        <f>-5593-CN163-CM163</f>
        <v>-1855</v>
      </c>
      <c r="CP163" s="85">
        <f>-7445-CO163-CN163-CM163</f>
        <v>-1852</v>
      </c>
      <c r="CQ163" s="85">
        <v>-1950</v>
      </c>
      <c r="CR163" s="85">
        <f>-3936-CQ163</f>
        <v>-1986</v>
      </c>
      <c r="CS163" s="85">
        <f>-5889-CR163-CQ163</f>
        <v>-1953</v>
      </c>
      <c r="CT163" s="85"/>
      <c r="CU163" s="85">
        <v>-2050</v>
      </c>
      <c r="CV163" s="85">
        <f>-4127-CU163</f>
        <v>-2077</v>
      </c>
      <c r="CW163" s="85">
        <f>-6158-CV163-CU163</f>
        <v>-2031</v>
      </c>
      <c r="CX163" s="85">
        <f>-8176-CW163-CV163-CU163</f>
        <v>-2018</v>
      </c>
      <c r="CY163" s="85">
        <v>-2105</v>
      </c>
      <c r="CZ163" s="85">
        <f>-4249-CY163</f>
        <v>-2144</v>
      </c>
      <c r="DA163" s="82"/>
      <c r="DB163" s="82"/>
      <c r="DC163" s="82"/>
      <c r="DD163" s="82"/>
      <c r="DE163" s="73"/>
      <c r="DF163" s="99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  <c r="DQ163" s="82"/>
      <c r="DR163" s="82"/>
      <c r="DS163" s="82"/>
      <c r="DT163" s="82"/>
      <c r="DU163" s="82"/>
      <c r="DV163" s="82"/>
      <c r="DW163" s="82"/>
      <c r="DX163" s="82"/>
      <c r="DY163" s="82"/>
      <c r="DZ163" s="82"/>
      <c r="EA163" s="82"/>
      <c r="EB163" s="82"/>
      <c r="EC163" s="82"/>
      <c r="ED163" s="82"/>
      <c r="EE163" s="82"/>
      <c r="EG163" s="85"/>
    </row>
    <row r="164" spans="2:141" s="81" customFormat="1" ht="12.75" customHeight="1">
      <c r="B164" s="98" t="s">
        <v>963</v>
      </c>
      <c r="C164" s="99"/>
      <c r="D164" s="99"/>
      <c r="E164" s="99"/>
      <c r="F164" s="99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92"/>
      <c r="Z164" s="82"/>
      <c r="AA164" s="92"/>
      <c r="AB164" s="82"/>
      <c r="AC164" s="85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5">
        <v>-149</v>
      </c>
      <c r="CN164" s="85">
        <f>-487-CM164</f>
        <v>-338</v>
      </c>
      <c r="CO164" s="85">
        <f>-953-CN164-CM164</f>
        <v>-466</v>
      </c>
      <c r="CP164" s="85">
        <f>-1346-CO164-CN164-CM164</f>
        <v>-393</v>
      </c>
      <c r="CQ164" s="85">
        <v>-122</v>
      </c>
      <c r="CR164" s="85">
        <f>-373-CQ164</f>
        <v>-251</v>
      </c>
      <c r="CS164" s="85">
        <f>-817-CR164-CQ164</f>
        <v>-444</v>
      </c>
      <c r="CT164" s="85"/>
      <c r="CU164" s="85">
        <v>-1164</v>
      </c>
      <c r="CV164" s="85">
        <f>-2509-CU164</f>
        <v>-1345</v>
      </c>
      <c r="CW164" s="85">
        <f>-3832-CV164-CU164</f>
        <v>-1323</v>
      </c>
      <c r="CX164" s="85">
        <f>-5084-CW164-CV164-CU164</f>
        <v>-1252</v>
      </c>
      <c r="CY164" s="85">
        <v>-874</v>
      </c>
      <c r="CZ164" s="85">
        <f>-1631-CY164</f>
        <v>-757</v>
      </c>
      <c r="DA164" s="82"/>
      <c r="DB164" s="82"/>
      <c r="DC164" s="82"/>
      <c r="DD164" s="82"/>
      <c r="DE164" s="73"/>
      <c r="DF164" s="99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  <c r="DQ164" s="82"/>
      <c r="DR164" s="82"/>
      <c r="DS164" s="82"/>
      <c r="DT164" s="82"/>
      <c r="DU164" s="82"/>
      <c r="DV164" s="82"/>
      <c r="DW164" s="82"/>
      <c r="DX164" s="82"/>
      <c r="DY164" s="82"/>
      <c r="DZ164" s="82"/>
      <c r="EA164" s="82"/>
      <c r="EB164" s="82"/>
      <c r="EC164" s="82"/>
      <c r="ED164" s="82"/>
      <c r="EE164" s="82"/>
      <c r="EG164" s="85"/>
    </row>
    <row r="165" spans="2:141" s="81" customFormat="1" ht="12.75" customHeight="1">
      <c r="B165" s="98" t="s">
        <v>962</v>
      </c>
      <c r="C165" s="99"/>
      <c r="D165" s="99"/>
      <c r="E165" s="99"/>
      <c r="F165" s="99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92"/>
      <c r="Z165" s="82"/>
      <c r="AA165" s="92"/>
      <c r="AB165" s="82"/>
      <c r="AC165" s="85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5">
        <v>30</v>
      </c>
      <c r="CN165" s="85">
        <f>112-CM165</f>
        <v>82</v>
      </c>
      <c r="CO165" s="85">
        <f>119-CN165-CM165</f>
        <v>7</v>
      </c>
      <c r="CP165" s="85">
        <f>125-CO165-CN165-CM165</f>
        <v>6</v>
      </c>
      <c r="CQ165" s="85">
        <v>87</v>
      </c>
      <c r="CR165" s="85">
        <f>160-CQ165</f>
        <v>73</v>
      </c>
      <c r="CS165" s="85">
        <f>165-CR165-CQ165</f>
        <v>5</v>
      </c>
      <c r="CT165" s="85"/>
      <c r="CU165" s="85">
        <v>19</v>
      </c>
      <c r="CV165" s="85">
        <f>31-CU165</f>
        <v>12</v>
      </c>
      <c r="CW165" s="85">
        <f>45-CV165-CU165</f>
        <v>14</v>
      </c>
      <c r="CX165" s="85">
        <f>92-CW165-CV165-CU165</f>
        <v>47</v>
      </c>
      <c r="CY165" s="85">
        <v>157</v>
      </c>
      <c r="CZ165" s="85">
        <f>200-CY165</f>
        <v>43</v>
      </c>
      <c r="DA165" s="82"/>
      <c r="DB165" s="82"/>
      <c r="DC165" s="82"/>
      <c r="DD165" s="82"/>
      <c r="DE165" s="73"/>
      <c r="DF165" s="99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  <c r="DQ165" s="82"/>
      <c r="DR165" s="82"/>
      <c r="DS165" s="82"/>
      <c r="DT165" s="82"/>
      <c r="DU165" s="82"/>
      <c r="DV165" s="82"/>
      <c r="DW165" s="82"/>
      <c r="DX165" s="82"/>
      <c r="DY165" s="82"/>
      <c r="DZ165" s="82"/>
      <c r="EA165" s="82"/>
      <c r="EB165" s="82"/>
      <c r="EC165" s="82"/>
      <c r="ED165" s="82"/>
      <c r="EE165" s="82"/>
      <c r="EG165" s="85"/>
    </row>
    <row r="166" spans="2:141" s="81" customFormat="1" ht="12.75" customHeight="1">
      <c r="B166" s="98" t="s">
        <v>79</v>
      </c>
      <c r="C166" s="99"/>
      <c r="D166" s="99"/>
      <c r="E166" s="99"/>
      <c r="F166" s="99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92"/>
      <c r="Z166" s="82"/>
      <c r="AA166" s="92"/>
      <c r="AB166" s="82"/>
      <c r="AC166" s="85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5">
        <v>-81</v>
      </c>
      <c r="CN166" s="85">
        <f>-315-CM166</f>
        <v>-234</v>
      </c>
      <c r="CO166" s="85">
        <f>-325-CN166-CM166</f>
        <v>-10</v>
      </c>
      <c r="CP166" s="85">
        <f>-328-CO166-CN166-CM166</f>
        <v>-3</v>
      </c>
      <c r="CQ166" s="85">
        <v>-78</v>
      </c>
      <c r="CR166" s="85">
        <f>-298-CQ166</f>
        <v>-220</v>
      </c>
      <c r="CS166" s="85">
        <f>-330-CR166-CQ166</f>
        <v>-32</v>
      </c>
      <c r="CT166" s="85"/>
      <c r="CU166" s="85">
        <v>-60</v>
      </c>
      <c r="CV166" s="85">
        <f>-254-CU166</f>
        <v>-194</v>
      </c>
      <c r="CW166" s="85">
        <f>-252-CV166-CU166</f>
        <v>2</v>
      </c>
      <c r="CX166" s="85">
        <f>-131-CW166-CV166-CU166</f>
        <v>121</v>
      </c>
      <c r="CY166" s="85">
        <v>-80</v>
      </c>
      <c r="CZ166" s="85">
        <f>-350-CY166</f>
        <v>-270</v>
      </c>
      <c r="DA166" s="82"/>
      <c r="DB166" s="82"/>
      <c r="DC166" s="82"/>
      <c r="DD166" s="82"/>
      <c r="DE166" s="73"/>
      <c r="DF166" s="99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82"/>
      <c r="DZ166" s="82"/>
      <c r="EA166" s="82"/>
      <c r="EB166" s="82"/>
      <c r="EC166" s="82"/>
      <c r="ED166" s="82"/>
      <c r="EE166" s="82"/>
      <c r="EG166" s="85"/>
    </row>
    <row r="167" spans="2:141" s="81" customFormat="1" ht="12.75" customHeight="1">
      <c r="B167" s="98" t="s">
        <v>961</v>
      </c>
      <c r="C167" s="99"/>
      <c r="D167" s="99"/>
      <c r="E167" s="99"/>
      <c r="F167" s="99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92"/>
      <c r="Z167" s="82"/>
      <c r="AA167" s="92"/>
      <c r="AB167" s="82"/>
      <c r="AC167" s="85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5">
        <f t="shared" ref="CM167:CZ167" si="330">SUM(CM162:CM166)</f>
        <v>-2054</v>
      </c>
      <c r="CN167" s="85">
        <f t="shared" si="330"/>
        <v>3758</v>
      </c>
      <c r="CO167" s="85">
        <f t="shared" si="330"/>
        <v>-4269</v>
      </c>
      <c r="CP167" s="85">
        <f t="shared" si="330"/>
        <v>-2245</v>
      </c>
      <c r="CQ167" s="85">
        <f t="shared" si="330"/>
        <v>-2814</v>
      </c>
      <c r="CR167" s="85">
        <f t="shared" si="330"/>
        <v>1216</v>
      </c>
      <c r="CS167" s="85">
        <f t="shared" si="330"/>
        <v>-2425</v>
      </c>
      <c r="CT167" s="85">
        <f t="shared" si="330"/>
        <v>0</v>
      </c>
      <c r="CU167" s="85">
        <f t="shared" si="330"/>
        <v>-5755</v>
      </c>
      <c r="CV167" s="85">
        <f t="shared" si="330"/>
        <v>-3556</v>
      </c>
      <c r="CW167" s="85">
        <f t="shared" si="330"/>
        <v>2638</v>
      </c>
      <c r="CX167" s="85">
        <f t="shared" si="330"/>
        <v>4751</v>
      </c>
      <c r="CY167" s="85">
        <f t="shared" si="330"/>
        <v>-2981</v>
      </c>
      <c r="CZ167" s="85">
        <f t="shared" si="330"/>
        <v>1762</v>
      </c>
      <c r="DA167" s="85"/>
      <c r="DB167" s="82"/>
      <c r="DC167" s="82"/>
      <c r="DD167" s="82"/>
      <c r="DE167" s="73"/>
      <c r="DF167" s="99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82"/>
      <c r="DZ167" s="82"/>
      <c r="EA167" s="82"/>
      <c r="EB167" s="82"/>
      <c r="EC167" s="82"/>
      <c r="ED167" s="82"/>
      <c r="EE167" s="82"/>
      <c r="EG167" s="85"/>
    </row>
    <row r="168" spans="2:141" s="81" customFormat="1" ht="12.75" customHeight="1">
      <c r="B168" s="98" t="s">
        <v>965</v>
      </c>
      <c r="C168" s="99"/>
      <c r="D168" s="99"/>
      <c r="E168" s="99"/>
      <c r="F168" s="99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92"/>
      <c r="Z168" s="82"/>
      <c r="AA168" s="92"/>
      <c r="AB168" s="82"/>
      <c r="AC168" s="85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5">
        <v>87</v>
      </c>
      <c r="CN168" s="85">
        <f>-6-CM168</f>
        <v>-93</v>
      </c>
      <c r="CO168" s="85">
        <f>-163-CN168-CM168</f>
        <v>-157</v>
      </c>
      <c r="CP168" s="85">
        <f>23-CO168-CN168-CM168</f>
        <v>186</v>
      </c>
      <c r="CQ168" s="85">
        <v>-138</v>
      </c>
      <c r="CR168" s="85">
        <f>-220-CQ168</f>
        <v>-82</v>
      </c>
      <c r="CS168" s="85">
        <f>74-CR168-CQ168</f>
        <v>294</v>
      </c>
      <c r="CT168" s="85"/>
      <c r="CU168" s="85">
        <v>156</v>
      </c>
      <c r="CV168" s="85">
        <f>530-CU168</f>
        <v>374</v>
      </c>
      <c r="CW168" s="85">
        <f>540-CV168-CU168</f>
        <v>10</v>
      </c>
      <c r="CX168" s="85">
        <f>563-CW168-CV168-CU168</f>
        <v>23</v>
      </c>
      <c r="CY168" s="85">
        <v>-19</v>
      </c>
      <c r="CZ168" s="85">
        <f>-56-CY168</f>
        <v>-37</v>
      </c>
      <c r="DA168" s="85"/>
      <c r="DB168" s="82"/>
      <c r="DC168" s="82"/>
      <c r="DD168" s="82"/>
      <c r="DE168" s="73"/>
      <c r="DF168" s="99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82"/>
      <c r="DT168" s="82"/>
      <c r="DU168" s="82"/>
      <c r="DV168" s="82"/>
      <c r="DW168" s="82"/>
      <c r="DX168" s="82"/>
      <c r="DY168" s="82"/>
      <c r="DZ168" s="82"/>
      <c r="EA168" s="82"/>
      <c r="EB168" s="82"/>
      <c r="EC168" s="82"/>
      <c r="ED168" s="82"/>
      <c r="EE168" s="82"/>
      <c r="EG168" s="85"/>
    </row>
    <row r="169" spans="2:141" s="81" customFormat="1" ht="12.75" customHeight="1">
      <c r="B169" s="108" t="s">
        <v>975</v>
      </c>
      <c r="C169" s="99"/>
      <c r="D169" s="99"/>
      <c r="E169" s="99"/>
      <c r="F169" s="99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92"/>
      <c r="Z169" s="82"/>
      <c r="AA169" s="92"/>
      <c r="AB169" s="82"/>
      <c r="AC169" s="85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5">
        <f t="shared" ref="CM169:CZ169" si="331">+CM168+CM167+CM160+CM154</f>
        <v>-2987</v>
      </c>
      <c r="CN169" s="85">
        <f t="shared" si="331"/>
        <v>-4074</v>
      </c>
      <c r="CO169" s="85">
        <f t="shared" si="331"/>
        <v>2957</v>
      </c>
      <c r="CP169" s="85">
        <f t="shared" si="331"/>
        <v>-1760</v>
      </c>
      <c r="CQ169" s="85">
        <f t="shared" si="331"/>
        <v>-1238</v>
      </c>
      <c r="CR169" s="85">
        <f t="shared" si="331"/>
        <v>5702</v>
      </c>
      <c r="CS169" s="85">
        <f t="shared" si="331"/>
        <v>3315</v>
      </c>
      <c r="CT169" s="85">
        <f t="shared" si="331"/>
        <v>0</v>
      </c>
      <c r="CU169" s="85">
        <f t="shared" si="331"/>
        <v>-4586</v>
      </c>
      <c r="CV169" s="85">
        <f t="shared" si="331"/>
        <v>-659</v>
      </c>
      <c r="CW169" s="85">
        <f t="shared" si="331"/>
        <v>10187</v>
      </c>
      <c r="CX169" s="85">
        <f t="shared" si="331"/>
        <v>-3570</v>
      </c>
      <c r="CY169" s="85">
        <f t="shared" si="331"/>
        <v>-9292</v>
      </c>
      <c r="CZ169" s="85">
        <f t="shared" si="331"/>
        <v>1493</v>
      </c>
      <c r="DA169" s="85"/>
      <c r="DB169" s="82"/>
      <c r="DC169" s="82"/>
      <c r="DD169" s="82"/>
      <c r="DE169" s="73"/>
      <c r="DF169" s="99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82"/>
      <c r="DT169" s="82"/>
      <c r="DU169" s="82"/>
      <c r="DV169" s="82"/>
      <c r="DW169" s="82"/>
      <c r="DX169" s="82"/>
      <c r="DY169" s="82"/>
      <c r="DZ169" s="82"/>
      <c r="EA169" s="82"/>
      <c r="EB169" s="82"/>
      <c r="EC169" s="82"/>
      <c r="ED169" s="82"/>
      <c r="EE169" s="82"/>
      <c r="EG169" s="85"/>
    </row>
    <row r="170" spans="2:141" s="81" customFormat="1" ht="12.75" customHeight="1">
      <c r="B170" s="108"/>
      <c r="C170" s="99"/>
      <c r="D170" s="99"/>
      <c r="E170" s="99"/>
      <c r="F170" s="99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92"/>
      <c r="Z170" s="82"/>
      <c r="AA170" s="92"/>
      <c r="AB170" s="82"/>
      <c r="AC170" s="85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73"/>
      <c r="DF170" s="99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  <c r="DQ170" s="82"/>
      <c r="DR170" s="82"/>
      <c r="DS170" s="82"/>
      <c r="DT170" s="82"/>
      <c r="DU170" s="82"/>
      <c r="DV170" s="82"/>
      <c r="DW170" s="82"/>
      <c r="DX170" s="82"/>
      <c r="DY170" s="82"/>
      <c r="DZ170" s="82"/>
      <c r="EA170" s="82"/>
      <c r="EB170" s="82"/>
      <c r="EC170" s="82"/>
      <c r="ED170" s="82"/>
      <c r="EE170" s="82"/>
      <c r="EG170" s="85"/>
    </row>
    <row r="171" spans="2:141" s="81" customFormat="1" ht="12.75" customHeight="1">
      <c r="B171" s="108"/>
      <c r="C171" s="99"/>
      <c r="D171" s="99"/>
      <c r="E171" s="99"/>
      <c r="F171" s="99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92"/>
      <c r="Z171" s="82"/>
      <c r="AA171" s="92"/>
      <c r="AB171" s="82"/>
      <c r="AC171" s="85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73"/>
      <c r="DF171" s="99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82"/>
      <c r="DT171" s="82"/>
      <c r="DU171" s="82"/>
      <c r="DV171" s="82"/>
      <c r="DW171" s="82"/>
      <c r="DX171" s="82"/>
      <c r="DY171" s="82"/>
      <c r="DZ171" s="82"/>
      <c r="EA171" s="82"/>
      <c r="EB171" s="82"/>
      <c r="EC171" s="82"/>
      <c r="ED171" s="82"/>
      <c r="EE171" s="82"/>
      <c r="EG171" s="85"/>
    </row>
    <row r="172" spans="2:141" s="81" customFormat="1" ht="12.75" customHeight="1">
      <c r="B172" s="98" t="s">
        <v>646</v>
      </c>
      <c r="C172" s="99"/>
      <c r="D172" s="99"/>
      <c r="E172" s="99"/>
      <c r="F172" s="99"/>
      <c r="G172" s="84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92"/>
      <c r="Z172" s="82"/>
      <c r="AA172" s="92"/>
      <c r="AB172" s="82"/>
      <c r="AC172" s="85"/>
      <c r="AD172" s="82"/>
      <c r="AE172" s="85">
        <v>5822.1</v>
      </c>
      <c r="AF172" s="82"/>
      <c r="AG172" s="85">
        <v>5943.9</v>
      </c>
      <c r="AH172" s="85">
        <v>6032.4</v>
      </c>
      <c r="AI172" s="85">
        <v>5385.2</v>
      </c>
      <c r="AJ172" s="85">
        <v>5899.9</v>
      </c>
      <c r="AK172" s="85">
        <v>6049.7</v>
      </c>
      <c r="AL172" s="85">
        <v>10093</v>
      </c>
      <c r="AM172" s="85">
        <v>11422.2</v>
      </c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73"/>
      <c r="DF172" s="99"/>
      <c r="DG172" s="82"/>
      <c r="DH172" s="82"/>
      <c r="DI172" s="82"/>
      <c r="DJ172" s="82"/>
      <c r="DK172" s="82"/>
      <c r="DL172" s="82"/>
      <c r="DM172" s="82"/>
      <c r="DN172" s="82"/>
      <c r="DO172" s="82"/>
      <c r="DP172" s="85">
        <v>46136</v>
      </c>
      <c r="DQ172" s="85">
        <v>44967</v>
      </c>
      <c r="DR172" s="85">
        <v>43298</v>
      </c>
      <c r="DS172" s="85">
        <v>43906</v>
      </c>
      <c r="DT172" s="85">
        <v>45007</v>
      </c>
      <c r="DU172" s="85">
        <v>50091</v>
      </c>
      <c r="DV172" s="82"/>
      <c r="DW172" s="82"/>
      <c r="DX172" s="82"/>
      <c r="DY172" s="82"/>
      <c r="DZ172" s="82"/>
      <c r="EA172" s="82"/>
      <c r="EB172" s="82"/>
      <c r="EC172" s="82"/>
      <c r="ED172" s="82"/>
      <c r="EE172" s="82"/>
      <c r="EG172" s="85"/>
      <c r="EK172" s="100"/>
    </row>
    <row r="173" spans="2:141" s="81" customFormat="1" ht="12.75" customHeight="1">
      <c r="B173" s="108"/>
      <c r="C173" s="99"/>
      <c r="D173" s="99"/>
      <c r="E173" s="99"/>
      <c r="F173" s="99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92"/>
      <c r="Z173" s="82"/>
      <c r="AA173" s="92"/>
      <c r="AB173" s="82"/>
      <c r="AC173" s="85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82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73"/>
      <c r="DF173" s="99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  <c r="DQ173" s="82"/>
      <c r="DR173" s="82"/>
      <c r="DS173" s="82"/>
      <c r="DT173" s="82"/>
      <c r="DU173" s="82"/>
      <c r="DV173" s="82"/>
      <c r="DW173" s="82"/>
      <c r="DX173" s="82"/>
      <c r="DY173" s="82"/>
      <c r="DZ173" s="82"/>
      <c r="EA173" s="82"/>
      <c r="EB173" s="82"/>
      <c r="EC173" s="82"/>
      <c r="ED173" s="82"/>
      <c r="EE173" s="82"/>
      <c r="EG173" s="85"/>
    </row>
    <row r="174" spans="2:141" s="81" customFormat="1" ht="12.75" customHeight="1">
      <c r="B174" s="98" t="s">
        <v>644</v>
      </c>
      <c r="C174" s="99"/>
      <c r="D174" s="99"/>
      <c r="E174" s="99"/>
      <c r="F174" s="99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92"/>
      <c r="Z174" s="82"/>
      <c r="AA174" s="110" t="s">
        <v>440</v>
      </c>
      <c r="AB174" s="110" t="s">
        <v>440</v>
      </c>
      <c r="AC174" s="110" t="s">
        <v>440</v>
      </c>
      <c r="AD174" s="110">
        <f t="shared" ref="AD174:AT174" si="332">+AD11/Z11-1</f>
        <v>3.7619047619047619</v>
      </c>
      <c r="AE174" s="110">
        <f t="shared" si="332"/>
        <v>2.1264367816091956</v>
      </c>
      <c r="AF174" s="110">
        <f t="shared" si="332"/>
        <v>1.3194444444444446</v>
      </c>
      <c r="AG174" s="110">
        <f t="shared" si="332"/>
        <v>1.0486486486486486</v>
      </c>
      <c r="AH174" s="110">
        <f t="shared" si="332"/>
        <v>-1</v>
      </c>
      <c r="AI174" s="110">
        <f t="shared" si="332"/>
        <v>0.51102941176470584</v>
      </c>
      <c r="AJ174" s="110">
        <f t="shared" si="332"/>
        <v>0.38323353293413165</v>
      </c>
      <c r="AK174" s="110">
        <f t="shared" si="332"/>
        <v>0.29551451187335087</v>
      </c>
      <c r="AL174" s="110" t="e">
        <f t="shared" si="332"/>
        <v>#DIV/0!</v>
      </c>
      <c r="AM174" s="110">
        <f t="shared" si="332"/>
        <v>0.24330900243308995</v>
      </c>
      <c r="AN174" s="110">
        <f t="shared" si="332"/>
        <v>0.29870129870129869</v>
      </c>
      <c r="AO174" s="110">
        <f t="shared" si="332"/>
        <v>0.22199592668024448</v>
      </c>
      <c r="AP174" s="110">
        <f t="shared" si="332"/>
        <v>0.20967741935483875</v>
      </c>
      <c r="AQ174" s="110">
        <f t="shared" si="332"/>
        <v>0.44618395303326808</v>
      </c>
      <c r="AR174" s="110">
        <f t="shared" si="332"/>
        <v>0.29833333333333334</v>
      </c>
      <c r="AS174" s="110">
        <f t="shared" si="332"/>
        <v>0.40999999999999992</v>
      </c>
      <c r="AT174" s="110">
        <f t="shared" si="332"/>
        <v>0.42222222222222228</v>
      </c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  <c r="BY174" s="110"/>
      <c r="BZ174" s="110"/>
      <c r="CA174" s="110">
        <f t="shared" ref="CA174:CJ175" si="333">+CA11/BW11-1</f>
        <v>-6.067961165048541E-2</v>
      </c>
      <c r="CB174" s="110">
        <f t="shared" si="333"/>
        <v>-5.9471365638766538E-2</v>
      </c>
      <c r="CC174" s="110">
        <f t="shared" si="333"/>
        <v>1.7348203221809078E-2</v>
      </c>
      <c r="CD174" s="110">
        <f t="shared" si="333"/>
        <v>-9.1198303287380655E-2</v>
      </c>
      <c r="CE174" s="110">
        <f t="shared" si="333"/>
        <v>4.5219638242893989E-2</v>
      </c>
      <c r="CF174" s="110">
        <f t="shared" si="333"/>
        <v>-8.1967213114754078E-2</v>
      </c>
      <c r="CG174" s="110">
        <f t="shared" si="333"/>
        <v>3.7758830694275325E-2</v>
      </c>
      <c r="CH174" s="110">
        <f t="shared" si="333"/>
        <v>2.4504084014002281E-2</v>
      </c>
      <c r="CI174" s="110">
        <f t="shared" si="333"/>
        <v>-3.7082818294190356E-2</v>
      </c>
      <c r="CJ174" s="110">
        <f t="shared" si="333"/>
        <v>-3.5714285714285698E-2</v>
      </c>
      <c r="CK174" s="110">
        <f t="shared" ref="CK174:CT175" si="334">+CK11/CG11-1</f>
        <v>-0.15845070422535212</v>
      </c>
      <c r="CL174" s="110">
        <f t="shared" si="334"/>
        <v>-0.36104783599088841</v>
      </c>
      <c r="CM174" s="110">
        <f t="shared" si="334"/>
        <v>-0.29268292682926833</v>
      </c>
      <c r="CN174" s="110">
        <f t="shared" si="334"/>
        <v>-0.32407407407407407</v>
      </c>
      <c r="CO174" s="110">
        <f t="shared" si="334"/>
        <v>-0.18967921896792195</v>
      </c>
      <c r="CP174" s="110">
        <f t="shared" si="334"/>
        <v>-2.4955436720142554E-2</v>
      </c>
      <c r="CQ174" s="110">
        <f t="shared" si="334"/>
        <v>-0.23956442831215974</v>
      </c>
      <c r="CR174" s="110">
        <f t="shared" si="334"/>
        <v>-0.20743639921722112</v>
      </c>
      <c r="CS174" s="110">
        <f t="shared" si="334"/>
        <v>-0.52151462994836484</v>
      </c>
      <c r="CT174" s="110">
        <f t="shared" ref="CT174:CZ174" si="335">+CT11/CP11-1</f>
        <v>-0.57586837294332727</v>
      </c>
      <c r="CU174" s="110">
        <f t="shared" si="335"/>
        <v>0.31026252983293556</v>
      </c>
      <c r="CV174" s="110">
        <f t="shared" si="335"/>
        <v>-8.1481481481481488E-2</v>
      </c>
      <c r="CW174" s="110">
        <f t="shared" si="335"/>
        <v>0.37410071942446033</v>
      </c>
      <c r="CX174" s="110">
        <f t="shared" si="335"/>
        <v>0.30172413793103448</v>
      </c>
      <c r="CY174" s="110">
        <f t="shared" si="335"/>
        <v>-0.33151183970856102</v>
      </c>
      <c r="CZ174" s="110">
        <f t="shared" si="335"/>
        <v>-0.30645161290322576</v>
      </c>
      <c r="DA174" s="110"/>
      <c r="DB174" s="110"/>
      <c r="DC174" s="110"/>
      <c r="DD174" s="110"/>
      <c r="DE174" s="73"/>
      <c r="DF174" s="99"/>
      <c r="DG174" s="109"/>
      <c r="DH174" s="109"/>
      <c r="DI174" s="109"/>
      <c r="DJ174" s="109"/>
      <c r="DK174" s="109"/>
      <c r="DL174" s="109"/>
      <c r="DM174" s="109"/>
      <c r="DN174" s="109"/>
      <c r="DO174" s="109"/>
      <c r="DP174" s="109"/>
      <c r="DQ174" s="109"/>
      <c r="DR174" s="109"/>
      <c r="DS174" s="109"/>
      <c r="DT174" s="82"/>
      <c r="DU174" s="82"/>
      <c r="DV174" s="82"/>
      <c r="DW174" s="82"/>
      <c r="DX174" s="82"/>
      <c r="DY174" s="82"/>
      <c r="DZ174" s="82"/>
      <c r="EA174" s="82"/>
      <c r="EB174" s="82"/>
      <c r="EC174" s="82"/>
      <c r="ED174" s="82"/>
      <c r="EE174" s="82"/>
      <c r="EG174" s="85"/>
    </row>
    <row r="175" spans="2:141" s="81" customFormat="1" ht="12.75" customHeight="1">
      <c r="B175" s="98" t="s">
        <v>662</v>
      </c>
      <c r="C175" s="99"/>
      <c r="D175" s="99"/>
      <c r="E175" s="99"/>
      <c r="F175" s="99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92"/>
      <c r="Z175" s="82"/>
      <c r="AA175" s="110" t="s">
        <v>440</v>
      </c>
      <c r="AB175" s="110" t="s">
        <v>440</v>
      </c>
      <c r="AC175" s="110" t="s">
        <v>440</v>
      </c>
      <c r="AD175" s="110" t="s">
        <v>440</v>
      </c>
      <c r="AE175" s="110" t="s">
        <v>440</v>
      </c>
      <c r="AF175" s="110">
        <f t="shared" ref="AF175:AT175" si="336">+AF12/AB12-1</f>
        <v>2</v>
      </c>
      <c r="AG175" s="110">
        <f t="shared" si="336"/>
        <v>4.3157894736842106</v>
      </c>
      <c r="AH175" s="110">
        <f t="shared" si="336"/>
        <v>-1</v>
      </c>
      <c r="AI175" s="110">
        <f t="shared" si="336"/>
        <v>1.2068965517241379</v>
      </c>
      <c r="AJ175" s="110">
        <f t="shared" si="336"/>
        <v>1.1527777777777777</v>
      </c>
      <c r="AK175" s="110">
        <f t="shared" si="336"/>
        <v>0.71287128712871284</v>
      </c>
      <c r="AL175" s="110" t="e">
        <f t="shared" si="336"/>
        <v>#DIV/0!</v>
      </c>
      <c r="AM175" s="110">
        <f t="shared" si="336"/>
        <v>0.5703125</v>
      </c>
      <c r="AN175" s="110">
        <f t="shared" si="336"/>
        <v>0.40645161290322585</v>
      </c>
      <c r="AO175" s="110">
        <f t="shared" si="336"/>
        <v>0.42774566473988429</v>
      </c>
      <c r="AP175" s="110">
        <f t="shared" si="336"/>
        <v>0.42574257425742568</v>
      </c>
      <c r="AQ175" s="110">
        <f t="shared" si="336"/>
        <v>0.51741293532338317</v>
      </c>
      <c r="AR175" s="110">
        <f t="shared" si="336"/>
        <v>0.47247706422018343</v>
      </c>
      <c r="AS175" s="110">
        <f t="shared" si="336"/>
        <v>0.417004048582996</v>
      </c>
      <c r="AT175" s="110">
        <f t="shared" si="336"/>
        <v>0.34027777777777768</v>
      </c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  <c r="BY175" s="110"/>
      <c r="BZ175" s="110"/>
      <c r="CA175" s="110">
        <f t="shared" si="333"/>
        <v>-5.0943396226415083E-2</v>
      </c>
      <c r="CB175" s="110">
        <f t="shared" si="333"/>
        <v>-8.0675422138836828E-2</v>
      </c>
      <c r="CC175" s="110">
        <f t="shared" si="333"/>
        <v>5.9642147117295874E-3</v>
      </c>
      <c r="CD175" s="110">
        <f t="shared" si="333"/>
        <v>-6.3157894736841635E-3</v>
      </c>
      <c r="CE175" s="110">
        <f t="shared" si="333"/>
        <v>-3.379721669980118E-2</v>
      </c>
      <c r="CF175" s="110">
        <f t="shared" si="333"/>
        <v>-2.6530612244897944E-2</v>
      </c>
      <c r="CG175" s="110">
        <f t="shared" si="333"/>
        <v>-3.7549407114624511E-2</v>
      </c>
      <c r="CH175" s="110">
        <f t="shared" si="333"/>
        <v>8.8983050847457612E-2</v>
      </c>
      <c r="CI175" s="110">
        <f t="shared" si="333"/>
        <v>-6.5843621399176988E-2</v>
      </c>
      <c r="CJ175" s="110">
        <f t="shared" si="333"/>
        <v>-2.0964360587002462E-3</v>
      </c>
      <c r="CK175" s="110">
        <f t="shared" si="334"/>
        <v>-0.14373716632443534</v>
      </c>
      <c r="CL175" s="110">
        <f t="shared" si="334"/>
        <v>-0.3132295719844358</v>
      </c>
      <c r="CM175" s="110">
        <f t="shared" si="334"/>
        <v>-0.27533039647577096</v>
      </c>
      <c r="CN175" s="110">
        <f t="shared" si="334"/>
        <v>-0.25630252100840334</v>
      </c>
      <c r="CO175" s="110">
        <f t="shared" si="334"/>
        <v>-0.38848920863309355</v>
      </c>
      <c r="CP175" s="110">
        <f t="shared" si="334"/>
        <v>-0.32011331444759206</v>
      </c>
      <c r="CQ175" s="110">
        <f t="shared" si="334"/>
        <v>-0.23708206686930089</v>
      </c>
      <c r="CR175" s="110">
        <f t="shared" si="334"/>
        <v>-0.36723163841807904</v>
      </c>
      <c r="CS175" s="110">
        <f t="shared" si="334"/>
        <v>-0.19999999999999996</v>
      </c>
      <c r="CT175" s="110">
        <f t="shared" ref="CT175:CZ175" si="337">+CT12/CP12-1</f>
        <v>6.25E-2</v>
      </c>
      <c r="CU175" s="110">
        <f t="shared" si="337"/>
        <v>-1.5936254980079667E-2</v>
      </c>
      <c r="CV175" s="110">
        <f t="shared" si="337"/>
        <v>0.12053571428571419</v>
      </c>
      <c r="CW175" s="110">
        <f t="shared" si="337"/>
        <v>0.19117647058823528</v>
      </c>
      <c r="CX175" s="110">
        <f t="shared" si="337"/>
        <v>-0.2196078431372549</v>
      </c>
      <c r="CY175" s="110">
        <f t="shared" si="337"/>
        <v>-0.16194331983805665</v>
      </c>
      <c r="CZ175" s="110">
        <f t="shared" si="337"/>
        <v>-0.31872509960159368</v>
      </c>
      <c r="DA175" s="110"/>
      <c r="DB175" s="110"/>
      <c r="DC175" s="110"/>
      <c r="DD175" s="110"/>
      <c r="DE175" s="73"/>
      <c r="DF175" s="99"/>
      <c r="DG175" s="109"/>
      <c r="DH175" s="109"/>
      <c r="DI175" s="109"/>
      <c r="DJ175" s="109"/>
      <c r="DK175" s="109"/>
      <c r="DL175" s="109"/>
      <c r="DM175" s="109"/>
      <c r="DN175" s="109"/>
      <c r="DO175" s="109"/>
      <c r="DP175" s="109"/>
      <c r="DQ175" s="109"/>
      <c r="DR175" s="109"/>
      <c r="DS175" s="109"/>
      <c r="DT175" s="82"/>
      <c r="DU175" s="82"/>
      <c r="DV175" s="82"/>
      <c r="DW175" s="82"/>
      <c r="DX175" s="82"/>
      <c r="DY175" s="82"/>
      <c r="DZ175" s="82"/>
      <c r="EA175" s="82"/>
      <c r="EB175" s="82"/>
      <c r="EC175" s="82"/>
      <c r="ED175" s="82"/>
      <c r="EE175" s="82"/>
      <c r="EG175" s="85"/>
    </row>
    <row r="176" spans="2:141" s="81" customFormat="1" ht="12.75" customHeight="1">
      <c r="B176" s="98" t="s">
        <v>659</v>
      </c>
      <c r="C176" s="99"/>
      <c r="D176" s="99"/>
      <c r="E176" s="99"/>
      <c r="F176" s="99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92"/>
      <c r="Z176" s="82"/>
      <c r="AA176" s="110"/>
      <c r="AB176" s="110"/>
      <c r="AC176" s="110"/>
      <c r="AD176" s="110" t="s">
        <v>440</v>
      </c>
      <c r="AE176" s="110" t="s">
        <v>440</v>
      </c>
      <c r="AF176" s="110" t="s">
        <v>440</v>
      </c>
      <c r="AG176" s="110" t="s">
        <v>440</v>
      </c>
      <c r="AH176" s="110">
        <f t="shared" ref="AH176:AT176" si="338">+AH26/AD26-1</f>
        <v>7.9120879120879062E-2</v>
      </c>
      <c r="AI176" s="110">
        <f t="shared" si="338"/>
        <v>2.1696252465483346E-2</v>
      </c>
      <c r="AJ176" s="110">
        <f t="shared" si="338"/>
        <v>1.4362657091562037E-2</v>
      </c>
      <c r="AK176" s="110">
        <f t="shared" si="338"/>
        <v>7.8014184397163122E-2</v>
      </c>
      <c r="AL176" s="110">
        <f t="shared" si="338"/>
        <v>-0.12219959266802449</v>
      </c>
      <c r="AM176" s="110">
        <f t="shared" si="338"/>
        <v>0.30115830115830122</v>
      </c>
      <c r="AN176" s="110">
        <f t="shared" si="338"/>
        <v>0.1840707964601771</v>
      </c>
      <c r="AO176" s="110">
        <f t="shared" si="338"/>
        <v>8.7171052631578982E-2</v>
      </c>
      <c r="AP176" s="110">
        <f t="shared" si="338"/>
        <v>0.64733178654292334</v>
      </c>
      <c r="AQ176" s="110">
        <f t="shared" si="338"/>
        <v>0.1172106824925816</v>
      </c>
      <c r="AR176" s="110">
        <f t="shared" si="338"/>
        <v>0.25859491778774291</v>
      </c>
      <c r="AS176" s="110">
        <f t="shared" si="338"/>
        <v>-0.15128593040847205</v>
      </c>
      <c r="AT176" s="110">
        <f t="shared" si="338"/>
        <v>-0.28028169014084503</v>
      </c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  <c r="BY176" s="110"/>
      <c r="BZ176" s="110"/>
      <c r="CA176" s="110"/>
      <c r="CB176" s="110"/>
      <c r="CC176" s="110"/>
      <c r="CD176" s="110"/>
      <c r="CE176" s="110"/>
      <c r="CF176" s="110"/>
      <c r="CG176" s="110"/>
      <c r="CH176" s="110"/>
      <c r="CI176" s="110"/>
      <c r="CJ176" s="110"/>
      <c r="CK176" s="110"/>
      <c r="CL176" s="110"/>
      <c r="CM176" s="110"/>
      <c r="CN176" s="110"/>
      <c r="CO176" s="110"/>
      <c r="CP176" s="110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110"/>
      <c r="DB176" s="110"/>
      <c r="DC176" s="110"/>
      <c r="DD176" s="110"/>
      <c r="DE176" s="73"/>
      <c r="DF176" s="99"/>
      <c r="DG176" s="109"/>
      <c r="DH176" s="109"/>
      <c r="DI176" s="109"/>
      <c r="DJ176" s="109"/>
      <c r="DK176" s="109"/>
      <c r="DL176" s="109"/>
      <c r="DM176" s="109"/>
      <c r="DN176" s="109"/>
      <c r="DO176" s="109"/>
      <c r="DP176" s="109"/>
      <c r="DQ176" s="109"/>
      <c r="DR176" s="109"/>
      <c r="DS176" s="109"/>
      <c r="DT176" s="82"/>
      <c r="DU176" s="82"/>
      <c r="DV176" s="82"/>
      <c r="DW176" s="82"/>
      <c r="DX176" s="82"/>
      <c r="DY176" s="82"/>
      <c r="DZ176" s="82"/>
      <c r="EA176" s="82"/>
      <c r="EB176" s="82"/>
      <c r="EC176" s="82"/>
      <c r="ED176" s="82"/>
      <c r="EE176" s="82"/>
      <c r="EG176" s="85"/>
    </row>
    <row r="177" spans="2:137" s="81" customFormat="1" ht="12.75" customHeight="1">
      <c r="B177" s="98" t="s">
        <v>660</v>
      </c>
      <c r="C177" s="99"/>
      <c r="D177" s="99"/>
      <c r="E177" s="99"/>
      <c r="F177" s="99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92"/>
      <c r="Z177" s="82"/>
      <c r="AA177" s="110"/>
      <c r="AB177" s="110"/>
      <c r="AC177" s="110"/>
      <c r="AD177" s="110">
        <f t="shared" ref="AD177:AT177" si="339">+AD55/Z55-1</f>
        <v>8.5187194791101595E-2</v>
      </c>
      <c r="AE177" s="110">
        <f t="shared" si="339"/>
        <v>4.3924334722667657E-2</v>
      </c>
      <c r="AF177" s="110">
        <f t="shared" si="339"/>
        <v>-0.13738344988344986</v>
      </c>
      <c r="AG177" s="110">
        <f t="shared" si="339"/>
        <v>-0.18152958152958143</v>
      </c>
      <c r="AH177" s="110">
        <f t="shared" si="339"/>
        <v>-3.7999999999999923E-2</v>
      </c>
      <c r="AI177" s="110">
        <f t="shared" si="339"/>
        <v>-0.26750614250614257</v>
      </c>
      <c r="AJ177" s="110">
        <f t="shared" si="339"/>
        <v>-0.10150312447221754</v>
      </c>
      <c r="AK177" s="110">
        <f t="shared" si="339"/>
        <v>-7.4400564174894268E-2</v>
      </c>
      <c r="AL177" s="110">
        <f t="shared" si="339"/>
        <v>-3.4650034650041128E-4</v>
      </c>
      <c r="AM177" s="110">
        <f t="shared" si="339"/>
        <v>0</v>
      </c>
      <c r="AN177" s="110">
        <f t="shared" si="339"/>
        <v>-7.8947368421052655E-2</v>
      </c>
      <c r="AO177" s="110">
        <f t="shared" si="339"/>
        <v>-7.6190476190476142E-2</v>
      </c>
      <c r="AP177" s="110">
        <f t="shared" si="339"/>
        <v>-2.5996533795493937E-2</v>
      </c>
      <c r="AQ177" s="110">
        <f t="shared" si="339"/>
        <v>6.2893081761006275E-3</v>
      </c>
      <c r="AR177" s="110">
        <f t="shared" si="339"/>
        <v>-6.3265306122448961E-2</v>
      </c>
      <c r="AS177" s="110">
        <f t="shared" si="339"/>
        <v>-3.2989690721649478E-2</v>
      </c>
      <c r="AT177" s="110">
        <f t="shared" si="339"/>
        <v>-0.15480427046263345</v>
      </c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  <c r="BY177" s="110"/>
      <c r="BZ177" s="110"/>
      <c r="CA177" s="110"/>
      <c r="CB177" s="110"/>
      <c r="CC177" s="110"/>
      <c r="CD177" s="110"/>
      <c r="CE177" s="110"/>
      <c r="CF177" s="110"/>
      <c r="CG177" s="110"/>
      <c r="CH177" s="110"/>
      <c r="CI177" s="110"/>
      <c r="CJ177" s="110"/>
      <c r="CK177" s="110"/>
      <c r="CL177" s="110"/>
      <c r="CM177" s="110"/>
      <c r="CN177" s="110"/>
      <c r="CO177" s="110"/>
      <c r="CP177" s="110"/>
      <c r="CQ177" s="110"/>
      <c r="CR177" s="110"/>
      <c r="CS177" s="110"/>
      <c r="CT177" s="110"/>
      <c r="CU177" s="110"/>
      <c r="CV177" s="110"/>
      <c r="CW177" s="110"/>
      <c r="CX177" s="110"/>
      <c r="CY177" s="110"/>
      <c r="CZ177" s="110"/>
      <c r="DA177" s="110"/>
      <c r="DB177" s="110"/>
      <c r="DC177" s="110"/>
      <c r="DD177" s="110"/>
      <c r="DE177" s="73"/>
      <c r="DF177" s="99"/>
      <c r="DG177" s="109"/>
      <c r="DH177" s="109"/>
      <c r="DI177" s="109"/>
      <c r="DJ177" s="109"/>
      <c r="DK177" s="109"/>
      <c r="DL177" s="109"/>
      <c r="DM177" s="109"/>
      <c r="DN177" s="109"/>
      <c r="DO177" s="109"/>
      <c r="DP177" s="109"/>
      <c r="DQ177" s="109"/>
      <c r="DR177" s="109"/>
      <c r="DS177" s="109"/>
      <c r="DT177" s="82"/>
      <c r="DU177" s="82"/>
      <c r="DV177" s="82"/>
      <c r="DW177" s="82"/>
      <c r="DX177" s="82"/>
      <c r="DY177" s="82"/>
      <c r="DZ177" s="82"/>
      <c r="EA177" s="82"/>
      <c r="EB177" s="82"/>
      <c r="EC177" s="82"/>
      <c r="ED177" s="82"/>
      <c r="EE177" s="82"/>
      <c r="EG177" s="85"/>
    </row>
    <row r="178" spans="2:137" s="81" customFormat="1" ht="12.75" customHeight="1">
      <c r="B178" s="98" t="s">
        <v>661</v>
      </c>
      <c r="C178" s="99"/>
      <c r="D178" s="99"/>
      <c r="E178" s="99"/>
      <c r="F178" s="99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92"/>
      <c r="Z178" s="82"/>
      <c r="AA178" s="110"/>
      <c r="AB178" s="110"/>
      <c r="AC178" s="110"/>
      <c r="AD178" s="110">
        <f t="shared" ref="AD178:AT178" si="340">+AD54/Z54-1</f>
        <v>0.13784741652676735</v>
      </c>
      <c r="AE178" s="110">
        <f t="shared" si="340"/>
        <v>6.9301470588235325E-2</v>
      </c>
      <c r="AF178" s="110">
        <f t="shared" si="340"/>
        <v>-2.9610389610389642E-2</v>
      </c>
      <c r="AG178" s="110">
        <f t="shared" si="340"/>
        <v>-0.11976935749588147</v>
      </c>
      <c r="AH178" s="110">
        <f t="shared" si="340"/>
        <v>-1</v>
      </c>
      <c r="AI178" s="110">
        <f t="shared" si="340"/>
        <v>-0.12325941206807645</v>
      </c>
      <c r="AJ178" s="110">
        <f t="shared" si="340"/>
        <v>-7.8515346181298185E-3</v>
      </c>
      <c r="AK178" s="110">
        <f t="shared" si="340"/>
        <v>5.371514130638233E-2</v>
      </c>
      <c r="AL178" s="110" t="e">
        <f t="shared" si="340"/>
        <v>#DIV/0!</v>
      </c>
      <c r="AM178" s="110">
        <f t="shared" si="340"/>
        <v>4.705882352941182E-2</v>
      </c>
      <c r="AN178" s="110">
        <f t="shared" si="340"/>
        <v>1.4388489208633004E-2</v>
      </c>
      <c r="AO178" s="110">
        <f t="shared" si="340"/>
        <v>1.4209591474245054E-2</v>
      </c>
      <c r="AP178" s="110">
        <f t="shared" si="340"/>
        <v>2.4429967426710109E-2</v>
      </c>
      <c r="AQ178" s="110">
        <f t="shared" si="340"/>
        <v>8.98876404494382E-2</v>
      </c>
      <c r="AR178" s="110">
        <f t="shared" si="340"/>
        <v>4.9645390070921946E-2</v>
      </c>
      <c r="AS178" s="110">
        <f t="shared" si="340"/>
        <v>7.5306479859895026E-2</v>
      </c>
      <c r="AT178" s="110">
        <f t="shared" si="340"/>
        <v>1.7488076311605649E-2</v>
      </c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  <c r="BY178" s="110"/>
      <c r="BZ178" s="110"/>
      <c r="CA178" s="110"/>
      <c r="CB178" s="110"/>
      <c r="CC178" s="110"/>
      <c r="CD178" s="110"/>
      <c r="CE178" s="110"/>
      <c r="CF178" s="110"/>
      <c r="CG178" s="110"/>
      <c r="CH178" s="110"/>
      <c r="CI178" s="110"/>
      <c r="CJ178" s="110"/>
      <c r="CK178" s="110"/>
      <c r="CL178" s="110"/>
      <c r="CM178" s="110"/>
      <c r="CN178" s="110"/>
      <c r="CO178" s="110"/>
      <c r="CP178" s="110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110"/>
      <c r="DB178" s="110"/>
      <c r="DC178" s="110"/>
      <c r="DD178" s="110"/>
      <c r="DE178" s="73"/>
      <c r="DF178" s="99"/>
      <c r="DG178" s="109"/>
      <c r="DH178" s="109"/>
      <c r="DI178" s="109"/>
      <c r="DJ178" s="109"/>
      <c r="DK178" s="109"/>
      <c r="DL178" s="109"/>
      <c r="DM178" s="109"/>
      <c r="DN178" s="109"/>
      <c r="DO178" s="109"/>
      <c r="DP178" s="109"/>
      <c r="DQ178" s="109"/>
      <c r="DR178" s="109"/>
      <c r="DS178" s="109"/>
      <c r="DT178" s="82"/>
      <c r="DU178" s="82"/>
      <c r="DV178" s="82"/>
      <c r="DW178" s="82"/>
      <c r="DX178" s="82"/>
      <c r="DY178" s="82"/>
      <c r="DZ178" s="82"/>
      <c r="EA178" s="82"/>
      <c r="EB178" s="82"/>
      <c r="EC178" s="82"/>
      <c r="ED178" s="82"/>
      <c r="EE178" s="82"/>
      <c r="EG178" s="85"/>
    </row>
    <row r="179" spans="2:137" s="81" customFormat="1" ht="12.75" customHeight="1">
      <c r="B179" s="108"/>
      <c r="C179" s="99"/>
      <c r="D179" s="99"/>
      <c r="E179" s="99"/>
      <c r="F179" s="99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92"/>
      <c r="Z179" s="82"/>
      <c r="AA179" s="92"/>
      <c r="AB179" s="82"/>
      <c r="AC179" s="85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82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73"/>
      <c r="DF179" s="99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  <c r="DQ179" s="82"/>
      <c r="DR179" s="82"/>
      <c r="DS179" s="82"/>
      <c r="DT179" s="82"/>
      <c r="DU179" s="82"/>
      <c r="DV179" s="82"/>
      <c r="DW179" s="82"/>
      <c r="DX179" s="82"/>
      <c r="DY179" s="82"/>
      <c r="DZ179" s="82"/>
      <c r="EA179" s="82"/>
      <c r="EB179" s="82"/>
      <c r="EC179" s="82"/>
      <c r="ED179" s="82"/>
      <c r="EE179" s="82"/>
      <c r="EG179" s="85"/>
    </row>
    <row r="180" spans="2:137" s="81" customFormat="1" ht="12.75" customHeight="1">
      <c r="B180" s="108"/>
      <c r="C180" s="99"/>
      <c r="D180" s="99"/>
      <c r="E180" s="99"/>
      <c r="F180" s="99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92"/>
      <c r="Z180" s="82"/>
      <c r="AA180" s="92"/>
      <c r="AB180" s="82"/>
      <c r="AC180" s="85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  <c r="BY180" s="82"/>
      <c r="BZ180" s="82"/>
      <c r="CA180" s="82"/>
      <c r="CB180" s="82"/>
      <c r="CC180" s="82"/>
      <c r="CD180" s="82"/>
      <c r="CE180" s="82"/>
      <c r="CF180" s="82"/>
      <c r="CG180" s="82"/>
      <c r="CH180" s="82"/>
      <c r="CI180" s="82"/>
      <c r="CJ180" s="82"/>
      <c r="CK180" s="82"/>
      <c r="CL180" s="82"/>
      <c r="CM180" s="82"/>
      <c r="CN180" s="82"/>
      <c r="CO180" s="82"/>
      <c r="CP180" s="82"/>
      <c r="CQ180" s="82"/>
      <c r="CR180" s="82"/>
      <c r="CS180" s="82"/>
      <c r="CT180" s="82"/>
      <c r="CU180" s="82"/>
      <c r="CV180" s="82"/>
      <c r="CW180" s="82"/>
      <c r="CX180" s="82"/>
      <c r="CY180" s="82"/>
      <c r="CZ180" s="82"/>
      <c r="DA180" s="82"/>
      <c r="DB180" s="82"/>
      <c r="DC180" s="82"/>
      <c r="DD180" s="82"/>
      <c r="DE180" s="73"/>
      <c r="DF180" s="99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  <c r="DQ180" s="82"/>
      <c r="DR180" s="82"/>
      <c r="DS180" s="82"/>
      <c r="DT180" s="82"/>
      <c r="DU180" s="82"/>
      <c r="DV180" s="82"/>
      <c r="DW180" s="82"/>
      <c r="DX180" s="82"/>
      <c r="DY180" s="82"/>
      <c r="DZ180" s="82"/>
      <c r="EA180" s="82"/>
      <c r="EB180" s="82"/>
      <c r="EC180" s="82"/>
      <c r="ED180" s="82"/>
      <c r="EE180" s="82"/>
      <c r="EG180" s="85"/>
    </row>
    <row r="181" spans="2:137" s="81" customFormat="1" ht="12.75" customHeight="1">
      <c r="B181" s="108"/>
      <c r="C181" s="99"/>
      <c r="D181" s="99"/>
      <c r="E181" s="99"/>
      <c r="F181" s="99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92"/>
      <c r="Z181" s="82"/>
      <c r="AA181" s="92"/>
      <c r="AB181" s="82"/>
      <c r="AC181" s="85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B181" s="82"/>
      <c r="DC181" s="82"/>
      <c r="DD181" s="82"/>
      <c r="DE181" s="73"/>
      <c r="DF181" s="99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  <c r="DQ181" s="82"/>
      <c r="DR181" s="82"/>
      <c r="DS181" s="82"/>
      <c r="DT181" s="82"/>
      <c r="DU181" s="82"/>
      <c r="DV181" s="82"/>
      <c r="DW181" s="82"/>
      <c r="DX181" s="82"/>
      <c r="DY181" s="82"/>
      <c r="DZ181" s="82"/>
      <c r="EA181" s="82"/>
      <c r="EB181" s="82"/>
      <c r="EC181" s="82"/>
      <c r="ED181" s="82"/>
      <c r="EE181" s="82"/>
      <c r="EG181" s="85"/>
    </row>
    <row r="182" spans="2:137" s="81" customFormat="1" ht="12.75" customHeight="1">
      <c r="B182" s="108"/>
      <c r="C182" s="99"/>
      <c r="D182" s="99"/>
      <c r="E182" s="99"/>
      <c r="F182" s="99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92"/>
      <c r="Z182" s="82"/>
      <c r="AA182" s="92"/>
      <c r="AB182" s="82"/>
      <c r="AC182" s="85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  <c r="BY182" s="82"/>
      <c r="BZ182" s="82"/>
      <c r="CA182" s="82"/>
      <c r="CB182" s="82"/>
      <c r="CC182" s="82"/>
      <c r="CD182" s="82"/>
      <c r="CE182" s="82"/>
      <c r="CF182" s="82"/>
      <c r="CG182" s="82"/>
      <c r="CH182" s="82"/>
      <c r="CI182" s="82"/>
      <c r="CJ182" s="82"/>
      <c r="CK182" s="82"/>
      <c r="CL182" s="82"/>
      <c r="CM182" s="82"/>
      <c r="CN182" s="82"/>
      <c r="CO182" s="82"/>
      <c r="CP182" s="82"/>
      <c r="CQ182" s="82"/>
      <c r="CR182" s="82"/>
      <c r="CS182" s="82"/>
      <c r="CT182" s="82"/>
      <c r="CU182" s="82"/>
      <c r="CV182" s="82"/>
      <c r="CW182" s="82"/>
      <c r="CX182" s="82"/>
      <c r="CY182" s="82"/>
      <c r="CZ182" s="82"/>
      <c r="DA182" s="82"/>
      <c r="DB182" s="82"/>
      <c r="DC182" s="82"/>
      <c r="DD182" s="82"/>
      <c r="DE182" s="73"/>
      <c r="DF182" s="99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  <c r="DQ182" s="82"/>
      <c r="DR182" s="82"/>
      <c r="DS182" s="82"/>
      <c r="DT182" s="82"/>
      <c r="DU182" s="82"/>
      <c r="DV182" s="82"/>
      <c r="DW182" s="82"/>
      <c r="DX182" s="82"/>
      <c r="DY182" s="82"/>
      <c r="DZ182" s="82"/>
      <c r="EA182" s="82"/>
      <c r="EB182" s="82"/>
      <c r="EC182" s="82"/>
      <c r="ED182" s="82"/>
      <c r="EE182" s="82"/>
      <c r="EG182" s="85"/>
    </row>
    <row r="183" spans="2:137" s="90" customFormat="1" ht="12.75" customHeight="1">
      <c r="B183" s="111" t="s">
        <v>69</v>
      </c>
      <c r="C183" s="91"/>
      <c r="D183" s="91"/>
      <c r="E183" s="91"/>
      <c r="F183" s="91"/>
      <c r="G183" s="85"/>
      <c r="H183" s="85"/>
      <c r="I183" s="91"/>
      <c r="J183" s="91"/>
      <c r="K183" s="91"/>
      <c r="L183" s="91"/>
      <c r="M183" s="91"/>
      <c r="N183" s="91"/>
      <c r="O183" s="91">
        <v>65.5</v>
      </c>
      <c r="P183" s="91">
        <v>64.5</v>
      </c>
      <c r="Q183" s="91">
        <v>82.5</v>
      </c>
      <c r="R183" s="91">
        <v>85.5</v>
      </c>
      <c r="S183" s="91">
        <v>116</v>
      </c>
      <c r="T183" s="91">
        <v>135.1</v>
      </c>
      <c r="U183" s="91">
        <v>180.22499999999999</v>
      </c>
      <c r="V183" s="91">
        <v>211.60499999999999</v>
      </c>
      <c r="W183" s="91"/>
      <c r="X183" s="91"/>
      <c r="Y183" s="92"/>
      <c r="Z183" s="91"/>
      <c r="AA183" s="92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3"/>
      <c r="DF183" s="91"/>
      <c r="DG183" s="85"/>
      <c r="DH183" s="85"/>
      <c r="DI183" s="91">
        <f>SUM(O183:R183)</f>
        <v>298</v>
      </c>
      <c r="DJ183" s="91">
        <f>SUM(S183:V183)</f>
        <v>642.92999999999995</v>
      </c>
      <c r="DK183" s="91"/>
      <c r="DL183" s="91"/>
      <c r="DM183" s="91"/>
      <c r="DN183" s="91"/>
      <c r="DO183" s="91"/>
      <c r="DP183" s="91"/>
      <c r="DQ183" s="91"/>
      <c r="DR183" s="91"/>
      <c r="DS183" s="91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G183" s="85"/>
    </row>
    <row r="184" spans="2:137" s="90" customFormat="1" ht="12.75" customHeight="1">
      <c r="B184" s="111" t="s">
        <v>81</v>
      </c>
      <c r="C184" s="91"/>
      <c r="D184" s="91"/>
      <c r="E184" s="91"/>
      <c r="F184" s="91"/>
      <c r="G184" s="85"/>
      <c r="H184" s="85"/>
      <c r="I184" s="91"/>
      <c r="J184" s="91"/>
      <c r="K184" s="91"/>
      <c r="L184" s="91"/>
      <c r="M184" s="91"/>
      <c r="N184" s="91"/>
      <c r="O184" s="91">
        <f>O185-O183</f>
        <v>-260.2</v>
      </c>
      <c r="P184" s="91">
        <f>P185-P183</f>
        <v>-285</v>
      </c>
      <c r="Q184" s="91">
        <f>Q185-Q183</f>
        <v>-389.6</v>
      </c>
      <c r="R184" s="91">
        <f>R185-R183</f>
        <v>-371.4</v>
      </c>
      <c r="S184" s="91">
        <v>200</v>
      </c>
      <c r="T184" s="91">
        <v>195</v>
      </c>
      <c r="U184" s="91">
        <v>195</v>
      </c>
      <c r="V184" s="91">
        <v>195</v>
      </c>
      <c r="W184" s="91"/>
      <c r="X184" s="91"/>
      <c r="Y184" s="92"/>
      <c r="Z184" s="91"/>
      <c r="AA184" s="92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3"/>
      <c r="DF184" s="91"/>
      <c r="DG184" s="85"/>
      <c r="DH184" s="85"/>
      <c r="DI184" s="91">
        <f>SUM(O184:R184)</f>
        <v>-1306.2</v>
      </c>
      <c r="DJ184" s="91">
        <f>SUM(S184:V184)</f>
        <v>785</v>
      </c>
      <c r="DK184" s="91"/>
      <c r="DL184" s="91"/>
      <c r="DM184" s="91"/>
      <c r="DN184" s="91"/>
      <c r="DO184" s="91"/>
      <c r="DP184" s="91"/>
      <c r="DQ184" s="91"/>
      <c r="DR184" s="91"/>
      <c r="DS184" s="91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G184" s="85"/>
    </row>
    <row r="185" spans="2:137" s="90" customFormat="1" ht="12.75" customHeight="1">
      <c r="B185" s="111" t="s">
        <v>68</v>
      </c>
      <c r="C185" s="91"/>
      <c r="D185" s="91"/>
      <c r="E185" s="91"/>
      <c r="F185" s="91"/>
      <c r="G185" s="85"/>
      <c r="H185" s="85"/>
      <c r="I185" s="91"/>
      <c r="J185" s="91"/>
      <c r="K185" s="91"/>
      <c r="L185" s="91"/>
      <c r="M185" s="91"/>
      <c r="N185" s="91"/>
      <c r="O185" s="91">
        <f>-O102</f>
        <v>-194.7</v>
      </c>
      <c r="P185" s="91">
        <f>-P102</f>
        <v>-220.5</v>
      </c>
      <c r="Q185" s="91">
        <f>-Q102</f>
        <v>-307.10000000000002</v>
      </c>
      <c r="R185" s="91">
        <f>-R102</f>
        <v>-285.89999999999998</v>
      </c>
      <c r="S185" s="91">
        <f>-S102</f>
        <v>-316.3</v>
      </c>
      <c r="T185" s="91">
        <f>SUM(T183:T184)</f>
        <v>330.1</v>
      </c>
      <c r="U185" s="91">
        <f>SUM(U183:U184)</f>
        <v>375.22500000000002</v>
      </c>
      <c r="V185" s="91">
        <f>SUM(V183:V184)</f>
        <v>406.60500000000002</v>
      </c>
      <c r="W185" s="91"/>
      <c r="X185" s="91"/>
      <c r="Y185" s="92"/>
      <c r="Z185" s="91"/>
      <c r="AA185" s="92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3"/>
      <c r="DF185" s="91"/>
      <c r="DG185" s="85"/>
      <c r="DH185" s="85"/>
      <c r="DI185" s="91">
        <f>DI183+DI184</f>
        <v>-1008.2</v>
      </c>
      <c r="DJ185" s="91">
        <f>SUM(S185:V185)</f>
        <v>795.63000000000011</v>
      </c>
      <c r="DK185" s="91"/>
      <c r="DL185" s="91"/>
      <c r="DM185" s="91"/>
      <c r="DN185" s="91"/>
      <c r="DO185" s="91"/>
      <c r="DP185" s="91"/>
      <c r="DQ185" s="91"/>
      <c r="DR185" s="91"/>
      <c r="DS185" s="91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G185" s="85"/>
    </row>
    <row r="186" spans="2:137" s="90" customFormat="1" ht="12.75" customHeight="1">
      <c r="B186" s="111"/>
      <c r="C186" s="91"/>
      <c r="D186" s="91"/>
      <c r="E186" s="91"/>
      <c r="F186" s="91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92"/>
      <c r="Z186" s="85"/>
      <c r="AA186" s="92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93"/>
      <c r="DF186" s="91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G186" s="85"/>
    </row>
    <row r="187" spans="2:137" s="90" customFormat="1" ht="12.75" customHeight="1">
      <c r="B187" s="111" t="s">
        <v>82</v>
      </c>
      <c r="C187" s="91"/>
      <c r="D187" s="91"/>
      <c r="E187" s="91"/>
      <c r="F187" s="91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92"/>
      <c r="Z187" s="85"/>
      <c r="AA187" s="92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93"/>
      <c r="DF187" s="91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G187" s="85"/>
    </row>
    <row r="188" spans="2:137" s="90" customFormat="1" ht="12.75" customHeight="1">
      <c r="B188" s="93" t="s">
        <v>83</v>
      </c>
      <c r="C188" s="112"/>
      <c r="D188" s="112"/>
      <c r="E188" s="112"/>
      <c r="F188" s="112"/>
      <c r="G188" s="112"/>
      <c r="H188" s="112"/>
      <c r="I188" s="85"/>
      <c r="J188" s="85"/>
      <c r="K188" s="85">
        <v>326.10000000000002</v>
      </c>
      <c r="L188" s="85">
        <v>479.8</v>
      </c>
      <c r="M188" s="85">
        <v>187.7</v>
      </c>
      <c r="N188" s="85">
        <v>320.60000000000002</v>
      </c>
      <c r="O188" s="85" t="e">
        <f>#REF!</f>
        <v>#REF!</v>
      </c>
      <c r="P188" s="85" t="e">
        <f>#REF!</f>
        <v>#REF!</v>
      </c>
      <c r="Q188" s="85" t="e">
        <f>#REF!</f>
        <v>#REF!</v>
      </c>
      <c r="R188" s="85" t="e">
        <f>#REF!</f>
        <v>#REF!</v>
      </c>
      <c r="S188" s="85" t="e">
        <f>#REF!</f>
        <v>#REF!</v>
      </c>
      <c r="T188" s="85">
        <f>$DJ$188/4</f>
        <v>0</v>
      </c>
      <c r="U188" s="85">
        <f>$DJ$188/4</f>
        <v>0</v>
      </c>
      <c r="V188" s="85" t="e">
        <f>DJ188-SUM(S188:U188)</f>
        <v>#REF!</v>
      </c>
      <c r="W188" s="85"/>
      <c r="X188" s="85"/>
      <c r="Y188" s="92"/>
      <c r="Z188" s="85"/>
      <c r="AA188" s="92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93"/>
      <c r="DF188" s="112"/>
      <c r="DG188" s="112"/>
      <c r="DH188" s="91">
        <v>1314.2</v>
      </c>
      <c r="DI188" s="91"/>
      <c r="DJ188" s="92"/>
      <c r="DK188" s="92"/>
      <c r="DL188" s="92"/>
      <c r="DM188" s="92"/>
      <c r="DN188" s="92"/>
      <c r="DO188" s="92"/>
      <c r="DP188" s="92"/>
      <c r="DQ188" s="92"/>
      <c r="DR188" s="92"/>
      <c r="DS188" s="92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G188" s="85"/>
    </row>
    <row r="189" spans="2:137" s="90" customFormat="1" ht="12.75" customHeight="1">
      <c r="B189" s="93" t="s">
        <v>84</v>
      </c>
      <c r="C189" s="112"/>
      <c r="D189" s="112"/>
      <c r="E189" s="112"/>
      <c r="F189" s="112"/>
      <c r="G189" s="112"/>
      <c r="H189" s="112"/>
      <c r="I189" s="85"/>
      <c r="J189" s="85"/>
      <c r="K189" s="85"/>
      <c r="L189" s="85"/>
      <c r="M189" s="85"/>
      <c r="N189" s="85"/>
      <c r="O189" s="85" t="e">
        <f t="shared" ref="O189:V189" si="341">O188-O190</f>
        <v>#REF!</v>
      </c>
      <c r="P189" s="85" t="e">
        <f t="shared" si="341"/>
        <v>#REF!</v>
      </c>
      <c r="Q189" s="85" t="e">
        <f t="shared" si="341"/>
        <v>#REF!</v>
      </c>
      <c r="R189" s="85" t="e">
        <f t="shared" si="341"/>
        <v>#REF!</v>
      </c>
      <c r="S189" s="85" t="e">
        <f t="shared" si="341"/>
        <v>#REF!</v>
      </c>
      <c r="T189" s="85">
        <f t="shared" si="341"/>
        <v>0</v>
      </c>
      <c r="U189" s="85">
        <f t="shared" si="341"/>
        <v>0</v>
      </c>
      <c r="V189" s="85" t="e">
        <f t="shared" si="341"/>
        <v>#REF!</v>
      </c>
      <c r="W189" s="85"/>
      <c r="X189" s="85"/>
      <c r="Y189" s="92"/>
      <c r="Z189" s="85"/>
      <c r="AA189" s="92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93"/>
      <c r="DF189" s="112"/>
      <c r="DG189" s="112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G189" s="85"/>
    </row>
    <row r="190" spans="2:137" s="90" customFormat="1" ht="12.75" customHeight="1">
      <c r="B190" s="93" t="s">
        <v>85</v>
      </c>
      <c r="C190" s="112"/>
      <c r="D190" s="112"/>
      <c r="E190" s="112"/>
      <c r="F190" s="112"/>
      <c r="G190" s="112"/>
      <c r="H190" s="112"/>
      <c r="I190" s="85"/>
      <c r="J190" s="85"/>
      <c r="K190" s="85">
        <v>31.3</v>
      </c>
      <c r="L190" s="85">
        <v>36.9</v>
      </c>
      <c r="M190" s="85">
        <v>36.1</v>
      </c>
      <c r="N190" s="85">
        <v>36.5</v>
      </c>
      <c r="O190" s="85">
        <v>37.299999999999997</v>
      </c>
      <c r="P190" s="85">
        <v>37.200000000000003</v>
      </c>
      <c r="Q190" s="85">
        <v>37.200000000000003</v>
      </c>
      <c r="R190" s="85">
        <v>37.200000000000003</v>
      </c>
      <c r="S190" s="85">
        <f>$DJ190/4</f>
        <v>0</v>
      </c>
      <c r="T190" s="85">
        <f>$DJ190/4</f>
        <v>0</v>
      </c>
      <c r="U190" s="85">
        <f>$DJ190/4</f>
        <v>0</v>
      </c>
      <c r="V190" s="85">
        <f>$DJ190/4</f>
        <v>0</v>
      </c>
      <c r="W190" s="85"/>
      <c r="X190" s="85"/>
      <c r="Y190" s="92"/>
      <c r="Z190" s="85"/>
      <c r="AA190" s="92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93"/>
      <c r="DF190" s="112"/>
      <c r="DG190" s="112"/>
      <c r="DH190" s="91">
        <f>SUM(K190:N190)</f>
        <v>140.80000000000001</v>
      </c>
      <c r="DI190" s="91">
        <f>SUM(O190:R190)</f>
        <v>148.9</v>
      </c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G190" s="85"/>
    </row>
    <row r="191" spans="2:137" s="90" customFormat="1" ht="12.75" customHeight="1">
      <c r="B191" s="93" t="s">
        <v>80</v>
      </c>
      <c r="C191" s="112"/>
      <c r="D191" s="112"/>
      <c r="E191" s="112"/>
      <c r="F191" s="112"/>
      <c r="G191" s="112"/>
      <c r="H191" s="112"/>
      <c r="I191" s="91"/>
      <c r="J191" s="91"/>
      <c r="K191" s="91">
        <v>2243.1190000000001</v>
      </c>
      <c r="L191" s="91">
        <f>2976.230393-735.820341</f>
        <v>2240.4100519999997</v>
      </c>
      <c r="M191" s="91">
        <v>2231.8939999999998</v>
      </c>
      <c r="N191" s="91">
        <v>2221.7640000000001</v>
      </c>
      <c r="O191" s="91">
        <v>2222.567</v>
      </c>
      <c r="P191" s="91">
        <v>2220.096</v>
      </c>
      <c r="Q191" s="91">
        <f>Q192*2-P191</f>
        <v>2214.904</v>
      </c>
      <c r="R191" s="91">
        <f>DI191</f>
        <v>0</v>
      </c>
      <c r="S191" s="91">
        <f>2976.230393-770.826493</f>
        <v>2205.4038999999998</v>
      </c>
      <c r="T191" s="91">
        <f>T192*2-S191</f>
        <v>2202.5960999999993</v>
      </c>
      <c r="U191" s="91">
        <f>U192*2-T191</f>
        <v>2201.2038999999991</v>
      </c>
      <c r="V191" s="91">
        <f>DJ191</f>
        <v>0</v>
      </c>
      <c r="W191" s="91"/>
      <c r="X191" s="91"/>
      <c r="Y191" s="92"/>
      <c r="Z191" s="91"/>
      <c r="AA191" s="92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3"/>
      <c r="DF191" s="112"/>
      <c r="DG191" s="112"/>
      <c r="DH191" s="112">
        <f>N191</f>
        <v>2221.7640000000001</v>
      </c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G191" s="85"/>
    </row>
    <row r="192" spans="2:137" s="90" customFormat="1" ht="12.75" customHeight="1">
      <c r="B192" s="93" t="s">
        <v>86</v>
      </c>
      <c r="C192" s="112"/>
      <c r="D192" s="112"/>
      <c r="E192" s="112"/>
      <c r="F192" s="112"/>
      <c r="G192" s="112"/>
      <c r="H192" s="112"/>
      <c r="I192" s="112"/>
      <c r="J192" s="112"/>
      <c r="K192" s="112">
        <v>2244.3000000000002</v>
      </c>
      <c r="L192" s="112">
        <v>2241.4</v>
      </c>
      <c r="M192" s="112">
        <v>2237</v>
      </c>
      <c r="N192" s="112">
        <f>AVERAGE(M191:N191)</f>
        <v>2226.8289999999997</v>
      </c>
      <c r="O192" s="112">
        <v>2222.6</v>
      </c>
      <c r="P192" s="112">
        <v>2221.4</v>
      </c>
      <c r="Q192" s="112">
        <f>Q109-(P109-P192)</f>
        <v>2217.5</v>
      </c>
      <c r="R192" s="112">
        <f>R109-(Q109-Q192)</f>
        <v>2208.8000000000002</v>
      </c>
      <c r="S192" s="112">
        <v>2207.1999999999998</v>
      </c>
      <c r="T192" s="112">
        <f>S192-(S109-S192)</f>
        <v>2203.9999999999995</v>
      </c>
      <c r="U192" s="112">
        <f>T192-(T109-T192)</f>
        <v>2201.8999999999992</v>
      </c>
      <c r="V192" s="112">
        <f>U192-(U109-U192)</f>
        <v>2206.7999999999984</v>
      </c>
      <c r="W192" s="112"/>
      <c r="X192" s="112"/>
      <c r="Y192" s="92"/>
      <c r="Z192" s="112"/>
      <c r="AA192" s="9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12"/>
      <c r="CG192" s="112"/>
      <c r="CH192" s="112"/>
      <c r="CI192" s="112"/>
      <c r="CJ192" s="112"/>
      <c r="CK192" s="112"/>
      <c r="CL192" s="112"/>
      <c r="CM192" s="112"/>
      <c r="CN192" s="112"/>
      <c r="CO192" s="112"/>
      <c r="CP192" s="112"/>
      <c r="CQ192" s="112"/>
      <c r="CR192" s="112"/>
      <c r="CS192" s="112"/>
      <c r="CT192" s="112"/>
      <c r="CU192" s="112"/>
      <c r="CV192" s="112"/>
      <c r="CW192" s="112"/>
      <c r="CX192" s="112"/>
      <c r="CY192" s="112"/>
      <c r="CZ192" s="112"/>
      <c r="DA192" s="112"/>
      <c r="DB192" s="112"/>
      <c r="DC192" s="112"/>
      <c r="DD192" s="112"/>
      <c r="DE192" s="93"/>
      <c r="DF192" s="112"/>
      <c r="DG192" s="112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G192" s="85"/>
    </row>
    <row r="193" spans="2:137" s="113" customFormat="1" ht="12.75" customHeight="1">
      <c r="B193" s="93" t="s">
        <v>87</v>
      </c>
      <c r="C193" s="92"/>
      <c r="D193" s="92"/>
      <c r="E193" s="92"/>
      <c r="F193" s="92"/>
      <c r="G193" s="92"/>
      <c r="H193" s="92"/>
      <c r="I193" s="92"/>
      <c r="J193" s="92"/>
      <c r="K193" s="92">
        <f t="shared" ref="K193:V193" si="342">ROUND(K107/K192,2)</f>
        <v>-1.79</v>
      </c>
      <c r="L193" s="92">
        <f t="shared" si="342"/>
        <v>-1.67</v>
      </c>
      <c r="M193" s="92">
        <f t="shared" si="342"/>
        <v>-1.74</v>
      </c>
      <c r="N193" s="92">
        <f t="shared" si="342"/>
        <v>-1.9</v>
      </c>
      <c r="O193" s="92" t="e">
        <f t="shared" si="342"/>
        <v>#REF!</v>
      </c>
      <c r="P193" s="92" t="e">
        <f t="shared" si="342"/>
        <v>#REF!</v>
      </c>
      <c r="Q193" s="92">
        <f t="shared" si="342"/>
        <v>-1.27</v>
      </c>
      <c r="R193" s="92">
        <f t="shared" si="342"/>
        <v>-1.25</v>
      </c>
      <c r="S193" s="92">
        <f t="shared" si="342"/>
        <v>-1.23</v>
      </c>
      <c r="T193" s="92">
        <f t="shared" si="342"/>
        <v>-1.34</v>
      </c>
      <c r="U193" s="92">
        <f t="shared" si="342"/>
        <v>-1.22</v>
      </c>
      <c r="V193" s="92">
        <f t="shared" si="342"/>
        <v>-1.19</v>
      </c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  <c r="BM193" s="92"/>
      <c r="BN193" s="92"/>
      <c r="BO193" s="92"/>
      <c r="BP193" s="92"/>
      <c r="BQ193" s="92"/>
      <c r="BR193" s="92"/>
      <c r="BS193" s="92"/>
      <c r="BT193" s="92"/>
      <c r="BU193" s="92"/>
      <c r="BV193" s="92"/>
      <c r="BW193" s="92"/>
      <c r="BX193" s="92"/>
      <c r="BY193" s="92"/>
      <c r="BZ193" s="92"/>
      <c r="CA193" s="92"/>
      <c r="CB193" s="92"/>
      <c r="CC193" s="92"/>
      <c r="CD193" s="92"/>
      <c r="CE193" s="92"/>
      <c r="CF193" s="92"/>
      <c r="CG193" s="92"/>
      <c r="CH193" s="92"/>
      <c r="CI193" s="92"/>
      <c r="CJ193" s="92"/>
      <c r="CK193" s="92"/>
      <c r="CL193" s="92"/>
      <c r="CM193" s="92"/>
      <c r="CN193" s="92"/>
      <c r="CO193" s="92"/>
      <c r="CP193" s="92"/>
      <c r="CQ193" s="92"/>
      <c r="CR193" s="92"/>
      <c r="CS193" s="92"/>
      <c r="CT193" s="92"/>
      <c r="CU193" s="92"/>
      <c r="CV193" s="92"/>
      <c r="CW193" s="92"/>
      <c r="CX193" s="92"/>
      <c r="CY193" s="92"/>
      <c r="CZ193" s="92"/>
      <c r="DA193" s="92"/>
      <c r="DB193" s="92"/>
      <c r="DC193" s="92"/>
      <c r="DD193" s="92"/>
      <c r="DE193" s="93"/>
      <c r="DF193" s="92"/>
      <c r="DG193" s="92"/>
      <c r="DH193" s="92"/>
      <c r="DI193" s="92"/>
      <c r="DJ193" s="92"/>
      <c r="DK193" s="92"/>
      <c r="DL193" s="92"/>
      <c r="DM193" s="92"/>
      <c r="DN193" s="92"/>
      <c r="DO193" s="92"/>
      <c r="DP193" s="92"/>
      <c r="DQ193" s="92"/>
      <c r="DR193" s="92"/>
      <c r="DS193" s="92"/>
      <c r="DT193" s="92"/>
      <c r="DU193" s="92"/>
      <c r="DV193" s="92"/>
      <c r="DW193" s="92"/>
      <c r="DX193" s="92"/>
      <c r="DY193" s="92"/>
      <c r="DZ193" s="92"/>
      <c r="EA193" s="92"/>
      <c r="EB193" s="92"/>
      <c r="EC193" s="92"/>
      <c r="ED193" s="92"/>
      <c r="EE193" s="92"/>
      <c r="EG193" s="92"/>
    </row>
    <row r="194" spans="2:137" s="90" customFormat="1" ht="12.75" customHeight="1">
      <c r="B194" s="93" t="s">
        <v>88</v>
      </c>
      <c r="C194" s="112"/>
      <c r="D194" s="112"/>
      <c r="E194" s="112"/>
      <c r="F194" s="112"/>
      <c r="G194" s="112"/>
      <c r="H194" s="112"/>
      <c r="I194" s="92"/>
      <c r="J194" s="92"/>
      <c r="K194" s="92"/>
      <c r="L194" s="92"/>
      <c r="M194" s="92"/>
      <c r="N194" s="92"/>
      <c r="O194" s="92" t="e">
        <f>-#REF!</f>
        <v>#REF!</v>
      </c>
      <c r="P194" s="92" t="e">
        <f>-#REF!</f>
        <v>#REF!</v>
      </c>
      <c r="Q194" s="92" t="e">
        <f>-#REF!</f>
        <v>#REF!</v>
      </c>
      <c r="R194" s="92" t="e">
        <f>-#REF!</f>
        <v>#REF!</v>
      </c>
      <c r="S194" s="92" t="e">
        <f>-#REF!</f>
        <v>#REF!</v>
      </c>
      <c r="T194" s="92">
        <f>$DJ$194/4</f>
        <v>0</v>
      </c>
      <c r="U194" s="92">
        <f>$DJ$194/4</f>
        <v>0</v>
      </c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  <c r="CA194" s="92"/>
      <c r="CB194" s="92"/>
      <c r="CC194" s="92"/>
      <c r="CD194" s="92"/>
      <c r="CE194" s="92"/>
      <c r="CF194" s="92"/>
      <c r="CG194" s="92"/>
      <c r="CH194" s="92"/>
      <c r="CI194" s="92"/>
      <c r="CJ194" s="92"/>
      <c r="CK194" s="92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  <c r="CV194" s="92"/>
      <c r="CW194" s="92"/>
      <c r="CX194" s="92"/>
      <c r="CY194" s="92"/>
      <c r="CZ194" s="92"/>
      <c r="DA194" s="92"/>
      <c r="DB194" s="92"/>
      <c r="DC194" s="92"/>
      <c r="DD194" s="92"/>
      <c r="DE194" s="93"/>
      <c r="DF194" s="112"/>
      <c r="DG194" s="112"/>
      <c r="DH194" s="112"/>
      <c r="DI194" s="92"/>
      <c r="DJ194" s="92"/>
      <c r="DK194" s="92"/>
      <c r="DL194" s="92"/>
      <c r="DM194" s="92"/>
      <c r="DN194" s="92"/>
      <c r="DO194" s="92"/>
      <c r="DP194" s="92"/>
      <c r="DQ194" s="92"/>
      <c r="DR194" s="92"/>
      <c r="DS194" s="92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G194" s="85"/>
    </row>
    <row r="195" spans="2:137" s="90" customFormat="1" ht="12.75" customHeight="1">
      <c r="B195" s="93" t="s">
        <v>78</v>
      </c>
      <c r="C195" s="112"/>
      <c r="D195" s="112"/>
      <c r="E195" s="112"/>
      <c r="F195" s="112"/>
      <c r="G195" s="112"/>
      <c r="H195" s="112"/>
      <c r="I195" s="91"/>
      <c r="J195" s="91"/>
      <c r="K195" s="91">
        <f t="shared" ref="K195:U195" si="343">K105+K99+K98+K188</f>
        <v>-3021.7999999999997</v>
      </c>
      <c r="L195" s="91">
        <f t="shared" si="343"/>
        <v>-2563</v>
      </c>
      <c r="M195" s="91">
        <f t="shared" si="343"/>
        <v>-2950.9000000000005</v>
      </c>
      <c r="N195" s="91">
        <f t="shared" si="343"/>
        <v>-3537.7999999999997</v>
      </c>
      <c r="O195" s="91" t="e">
        <f t="shared" si="343"/>
        <v>#REF!</v>
      </c>
      <c r="P195" s="91" t="e">
        <f t="shared" si="343"/>
        <v>#REF!</v>
      </c>
      <c r="Q195" s="91" t="e">
        <f t="shared" si="343"/>
        <v>#REF!</v>
      </c>
      <c r="R195" s="91" t="e">
        <f t="shared" si="343"/>
        <v>#REF!</v>
      </c>
      <c r="S195" s="91" t="e">
        <f t="shared" si="343"/>
        <v>#REF!</v>
      </c>
      <c r="T195" s="91">
        <f t="shared" si="343"/>
        <v>-2190.2000000000003</v>
      </c>
      <c r="U195" s="91">
        <f t="shared" si="343"/>
        <v>-1877.1000000000001</v>
      </c>
      <c r="V195" s="91"/>
      <c r="W195" s="91"/>
      <c r="X195" s="91"/>
      <c r="Y195" s="92"/>
      <c r="Z195" s="91"/>
      <c r="AA195" s="92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3"/>
      <c r="DF195" s="112"/>
      <c r="DG195" s="112"/>
      <c r="DH195" s="91">
        <f>DH105+DH99+DH98+DH188</f>
        <v>-9408.5</v>
      </c>
      <c r="DI195" s="91">
        <f>DI105+DI99+DI98+DI188</f>
        <v>-8785.5</v>
      </c>
      <c r="DJ195" s="91">
        <f>DJ105+DJ99+DJ98+DJ188</f>
        <v>-8008.9999999999991</v>
      </c>
      <c r="DK195" s="91"/>
      <c r="DL195" s="91"/>
      <c r="DM195" s="91"/>
      <c r="DN195" s="91"/>
      <c r="DO195" s="91"/>
      <c r="DP195" s="91"/>
      <c r="DQ195" s="91"/>
      <c r="DR195" s="91"/>
      <c r="DS195" s="91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G195" s="85"/>
    </row>
    <row r="196" spans="2:137" s="90" customFormat="1" ht="12.75" customHeight="1">
      <c r="B196" s="93"/>
      <c r="C196" s="112"/>
      <c r="D196" s="112"/>
      <c r="E196" s="112"/>
      <c r="F196" s="112"/>
      <c r="G196" s="112"/>
      <c r="H196" s="11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  <c r="BL196" s="92"/>
      <c r="BM196" s="92"/>
      <c r="BN196" s="92"/>
      <c r="BO196" s="92"/>
      <c r="BP196" s="92"/>
      <c r="BQ196" s="92"/>
      <c r="BR196" s="92"/>
      <c r="BS196" s="92"/>
      <c r="BT196" s="92"/>
      <c r="BU196" s="92"/>
      <c r="BV196" s="92"/>
      <c r="BW196" s="92"/>
      <c r="BX196" s="92"/>
      <c r="BY196" s="92"/>
      <c r="BZ196" s="92"/>
      <c r="CA196" s="92"/>
      <c r="CB196" s="92"/>
      <c r="CC196" s="92"/>
      <c r="CD196" s="92"/>
      <c r="CE196" s="92"/>
      <c r="CF196" s="92"/>
      <c r="CG196" s="92"/>
      <c r="CH196" s="92"/>
      <c r="CI196" s="92"/>
      <c r="CJ196" s="92"/>
      <c r="CK196" s="92"/>
      <c r="CL196" s="92"/>
      <c r="CM196" s="92"/>
      <c r="CN196" s="92"/>
      <c r="CO196" s="92"/>
      <c r="CP196" s="92"/>
      <c r="CQ196" s="92"/>
      <c r="CR196" s="92"/>
      <c r="CS196" s="92"/>
      <c r="CT196" s="92"/>
      <c r="CU196" s="92"/>
      <c r="CV196" s="92"/>
      <c r="CW196" s="92"/>
      <c r="CX196" s="92"/>
      <c r="CY196" s="92"/>
      <c r="CZ196" s="92"/>
      <c r="DA196" s="92"/>
      <c r="DB196" s="92"/>
      <c r="DC196" s="92"/>
      <c r="DD196" s="92"/>
      <c r="DE196" s="93"/>
      <c r="DF196" s="112"/>
      <c r="DG196" s="112"/>
      <c r="DH196" s="112"/>
      <c r="DI196" s="92"/>
      <c r="DJ196" s="92"/>
      <c r="DK196" s="92"/>
      <c r="DL196" s="92"/>
      <c r="DM196" s="92"/>
      <c r="DN196" s="92"/>
      <c r="DO196" s="92"/>
      <c r="DP196" s="92"/>
      <c r="DQ196" s="92"/>
      <c r="DR196" s="92"/>
      <c r="DS196" s="92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G196" s="85"/>
    </row>
    <row r="197" spans="2:137" s="90" customFormat="1" ht="12.75" customHeight="1">
      <c r="B197" s="93" t="s">
        <v>89</v>
      </c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92"/>
      <c r="Z197" s="112"/>
      <c r="AA197" s="9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2"/>
      <c r="BJ197" s="112"/>
      <c r="BK197" s="112"/>
      <c r="BL197" s="112"/>
      <c r="BM197" s="112"/>
      <c r="BN197" s="112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12"/>
      <c r="CG197" s="112"/>
      <c r="CH197" s="112"/>
      <c r="CI197" s="112"/>
      <c r="CJ197" s="112"/>
      <c r="CK197" s="112"/>
      <c r="CL197" s="112"/>
      <c r="CM197" s="112"/>
      <c r="CN197" s="112"/>
      <c r="CO197" s="112"/>
      <c r="CP197" s="112"/>
      <c r="CQ197" s="112"/>
      <c r="CR197" s="112"/>
      <c r="CS197" s="112"/>
      <c r="CT197" s="112"/>
      <c r="CU197" s="112"/>
      <c r="CV197" s="112"/>
      <c r="CW197" s="112"/>
      <c r="CX197" s="112"/>
      <c r="CY197" s="112"/>
      <c r="CZ197" s="112"/>
      <c r="DA197" s="112"/>
      <c r="DB197" s="112"/>
      <c r="DC197" s="112"/>
      <c r="DD197" s="112"/>
      <c r="DE197" s="93"/>
      <c r="DF197" s="112"/>
      <c r="DG197" s="112"/>
      <c r="DH197" s="112"/>
      <c r="DI197" s="112"/>
      <c r="DJ197" s="112"/>
      <c r="DK197" s="112"/>
      <c r="DL197" s="112"/>
      <c r="DM197" s="112"/>
      <c r="DN197" s="112"/>
      <c r="DO197" s="112"/>
      <c r="DP197" s="112"/>
      <c r="DQ197" s="112"/>
      <c r="DR197" s="112"/>
      <c r="DS197" s="112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G197" s="85"/>
    </row>
    <row r="198" spans="2:137" s="90" customFormat="1" ht="12.75" customHeight="1">
      <c r="B198" s="93" t="s">
        <v>90</v>
      </c>
      <c r="C198" s="112"/>
      <c r="D198" s="112"/>
      <c r="E198" s="112"/>
      <c r="F198" s="112"/>
      <c r="G198" s="112"/>
      <c r="H198" s="112"/>
      <c r="I198" s="112"/>
      <c r="J198" s="112"/>
      <c r="K198" s="112">
        <v>0</v>
      </c>
      <c r="L198" s="112">
        <v>0</v>
      </c>
      <c r="M198" s="112">
        <v>0</v>
      </c>
      <c r="N198" s="112">
        <v>195</v>
      </c>
      <c r="O198" s="112">
        <f>90-P198-Q198</f>
        <v>35</v>
      </c>
      <c r="P198" s="112">
        <v>21</v>
      </c>
      <c r="Q198" s="112">
        <v>34</v>
      </c>
      <c r="R198" s="112">
        <v>16</v>
      </c>
      <c r="S198" s="112"/>
      <c r="T198" s="112"/>
      <c r="U198" s="112"/>
      <c r="V198" s="112"/>
      <c r="W198" s="112"/>
      <c r="X198" s="112"/>
      <c r="Y198" s="92"/>
      <c r="Z198" s="112"/>
      <c r="AA198" s="9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12"/>
      <c r="CG198" s="112"/>
      <c r="CH198" s="112"/>
      <c r="CI198" s="112"/>
      <c r="CJ198" s="112"/>
      <c r="CK198" s="112"/>
      <c r="CL198" s="112"/>
      <c r="CM198" s="112"/>
      <c r="CN198" s="112"/>
      <c r="CO198" s="112"/>
      <c r="CP198" s="112"/>
      <c r="CQ198" s="112"/>
      <c r="CR198" s="112"/>
      <c r="CS198" s="112"/>
      <c r="CT198" s="112"/>
      <c r="CU198" s="112"/>
      <c r="CV198" s="112"/>
      <c r="CW198" s="112"/>
      <c r="CX198" s="112"/>
      <c r="CY198" s="112"/>
      <c r="CZ198" s="112"/>
      <c r="DA198" s="112"/>
      <c r="DB198" s="112"/>
      <c r="DC198" s="112"/>
      <c r="DD198" s="112"/>
      <c r="DE198" s="93"/>
      <c r="DF198" s="112"/>
      <c r="DG198" s="112"/>
      <c r="DH198" s="91">
        <f t="shared" ref="DH198:DH203" si="344">SUM(K198:N198)</f>
        <v>195</v>
      </c>
      <c r="DI198" s="91">
        <f t="shared" ref="DI198:DI203" si="345">SUM(O198:R198)</f>
        <v>106</v>
      </c>
      <c r="DJ198" s="114">
        <f>DJ94/DI202-1</f>
        <v>0.17784746140269703</v>
      </c>
      <c r="DK198" s="114"/>
      <c r="DL198" s="114"/>
      <c r="DM198" s="114"/>
      <c r="DN198" s="114"/>
      <c r="DO198" s="114"/>
      <c r="DP198" s="114"/>
      <c r="DQ198" s="114"/>
      <c r="DR198" s="114"/>
      <c r="DS198" s="114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G198" s="85"/>
    </row>
    <row r="199" spans="2:137" s="90" customFormat="1" ht="12.75" customHeight="1">
      <c r="B199" s="93" t="s">
        <v>91</v>
      </c>
      <c r="C199" s="112"/>
      <c r="D199" s="112"/>
      <c r="E199" s="112"/>
      <c r="F199" s="112"/>
      <c r="G199" s="112"/>
      <c r="H199" s="112"/>
      <c r="I199" s="85"/>
      <c r="J199" s="85"/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93.2</v>
      </c>
      <c r="R199" s="85">
        <v>0</v>
      </c>
      <c r="S199" s="85"/>
      <c r="T199" s="85"/>
      <c r="U199" s="85"/>
      <c r="V199" s="85"/>
      <c r="W199" s="85"/>
      <c r="X199" s="85"/>
      <c r="Y199" s="92"/>
      <c r="Z199" s="85"/>
      <c r="AA199" s="92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93"/>
      <c r="DF199" s="112"/>
      <c r="DG199" s="112"/>
      <c r="DH199" s="91">
        <f t="shared" si="344"/>
        <v>0</v>
      </c>
      <c r="DI199" s="91">
        <f t="shared" si="345"/>
        <v>93.2</v>
      </c>
      <c r="DJ199" s="114">
        <f>1-(DI203/DI91)</f>
        <v>0.60155559194367114</v>
      </c>
      <c r="DK199" s="114"/>
      <c r="DL199" s="114"/>
      <c r="DM199" s="114"/>
      <c r="DN199" s="114"/>
      <c r="DO199" s="114"/>
      <c r="DP199" s="114"/>
      <c r="DQ199" s="114"/>
      <c r="DR199" s="114"/>
      <c r="DS199" s="114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G199" s="85"/>
    </row>
    <row r="200" spans="2:137" s="90" customFormat="1" ht="12.75" customHeight="1">
      <c r="B200" s="93" t="s">
        <v>92</v>
      </c>
      <c r="C200" s="112"/>
      <c r="D200" s="112"/>
      <c r="E200" s="112"/>
      <c r="F200" s="112"/>
      <c r="G200" s="112"/>
      <c r="H200" s="112"/>
      <c r="I200" s="85"/>
      <c r="J200" s="85"/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141.4</v>
      </c>
      <c r="R200" s="85">
        <v>604</v>
      </c>
      <c r="S200" s="85"/>
      <c r="T200" s="85"/>
      <c r="U200" s="85"/>
      <c r="V200" s="85"/>
      <c r="W200" s="85"/>
      <c r="X200" s="85"/>
      <c r="Y200" s="92"/>
      <c r="Z200" s="85"/>
      <c r="AA200" s="92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93"/>
      <c r="DF200" s="112"/>
      <c r="DG200" s="112"/>
      <c r="DH200" s="91">
        <f t="shared" si="344"/>
        <v>0</v>
      </c>
      <c r="DI200" s="91">
        <f t="shared" si="345"/>
        <v>745.4</v>
      </c>
      <c r="DJ200" s="114"/>
      <c r="DK200" s="114"/>
      <c r="DL200" s="114"/>
      <c r="DM200" s="114"/>
      <c r="DN200" s="114"/>
      <c r="DO200" s="114"/>
      <c r="DP200" s="114"/>
      <c r="DQ200" s="114"/>
      <c r="DR200" s="114"/>
      <c r="DS200" s="114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G200" s="85"/>
    </row>
    <row r="201" spans="2:137" s="90" customFormat="1" ht="12.75" customHeight="1">
      <c r="B201" s="93" t="s">
        <v>93</v>
      </c>
      <c r="C201" s="112"/>
      <c r="D201" s="112"/>
      <c r="E201" s="112"/>
      <c r="F201" s="112"/>
      <c r="G201" s="112"/>
      <c r="H201" s="112"/>
      <c r="I201" s="85"/>
      <c r="J201" s="85"/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-173.6</v>
      </c>
      <c r="R201" s="85">
        <v>0</v>
      </c>
      <c r="S201" s="85"/>
      <c r="T201" s="85"/>
      <c r="U201" s="85"/>
      <c r="V201" s="85"/>
      <c r="W201" s="85"/>
      <c r="X201" s="85"/>
      <c r="Y201" s="92"/>
      <c r="Z201" s="85"/>
      <c r="AA201" s="92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93"/>
      <c r="DF201" s="112"/>
      <c r="DG201" s="112"/>
      <c r="DH201" s="91">
        <f t="shared" si="344"/>
        <v>0</v>
      </c>
      <c r="DI201" s="91">
        <f t="shared" si="345"/>
        <v>-173.6</v>
      </c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G201" s="85"/>
    </row>
    <row r="202" spans="2:137" s="90" customFormat="1" ht="12.75" customHeight="1">
      <c r="B202" s="93" t="s">
        <v>94</v>
      </c>
      <c r="C202" s="112"/>
      <c r="D202" s="112"/>
      <c r="E202" s="112"/>
      <c r="F202" s="112"/>
      <c r="G202" s="112"/>
      <c r="H202" s="112"/>
      <c r="I202" s="114"/>
      <c r="J202" s="114"/>
      <c r="K202" s="114">
        <f t="shared" ref="K202:P202" si="346">K94-K198</f>
        <v>1547.3</v>
      </c>
      <c r="L202" s="114">
        <f t="shared" si="346"/>
        <v>1589.9</v>
      </c>
      <c r="M202" s="114">
        <f t="shared" si="346"/>
        <v>1463.6</v>
      </c>
      <c r="N202" s="114">
        <f t="shared" si="346"/>
        <v>1599.1</v>
      </c>
      <c r="O202" s="114">
        <f t="shared" si="346"/>
        <v>1542.4</v>
      </c>
      <c r="P202" s="114">
        <f t="shared" si="346"/>
        <v>1574.2</v>
      </c>
      <c r="Q202" s="114">
        <f>Q94-Q198-Q200</f>
        <v>1577.5</v>
      </c>
      <c r="R202" s="114">
        <f>R94-R200-R198</f>
        <v>1141.8000000000002</v>
      </c>
      <c r="S202" s="114">
        <f>S94/O202-1</f>
        <v>4.5967323651452174E-2</v>
      </c>
      <c r="T202" s="114">
        <f>T94/P202-1</f>
        <v>0.11504256130097823</v>
      </c>
      <c r="U202" s="114">
        <f>U94/Q202-1</f>
        <v>5.3058637083993609E-2</v>
      </c>
      <c r="V202" s="114">
        <f>V94/R202-1</f>
        <v>0.61499386932912925</v>
      </c>
      <c r="W202" s="114"/>
      <c r="X202" s="114"/>
      <c r="Y202" s="92"/>
      <c r="Z202" s="114"/>
      <c r="AA202" s="92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  <c r="BA202" s="114"/>
      <c r="BB202" s="114"/>
      <c r="BC202" s="114"/>
      <c r="BD202" s="114"/>
      <c r="BE202" s="114"/>
      <c r="BF202" s="114"/>
      <c r="BG202" s="114"/>
      <c r="BH202" s="114"/>
      <c r="BI202" s="114"/>
      <c r="BJ202" s="114"/>
      <c r="BK202" s="114"/>
      <c r="BL202" s="114"/>
      <c r="BM202" s="114"/>
      <c r="BN202" s="114"/>
      <c r="BO202" s="114"/>
      <c r="BP202" s="114"/>
      <c r="BQ202" s="114"/>
      <c r="BR202" s="114"/>
      <c r="BS202" s="114"/>
      <c r="BT202" s="114"/>
      <c r="BU202" s="114"/>
      <c r="BV202" s="114"/>
      <c r="BW202" s="114"/>
      <c r="BX202" s="114"/>
      <c r="BY202" s="114"/>
      <c r="BZ202" s="114"/>
      <c r="CA202" s="114"/>
      <c r="CB202" s="114"/>
      <c r="CC202" s="114"/>
      <c r="CD202" s="114"/>
      <c r="CE202" s="114"/>
      <c r="CF202" s="114"/>
      <c r="CG202" s="114"/>
      <c r="CH202" s="114"/>
      <c r="CI202" s="114"/>
      <c r="CJ202" s="114"/>
      <c r="CK202" s="114"/>
      <c r="CL202" s="114"/>
      <c r="CM202" s="114"/>
      <c r="CN202" s="114"/>
      <c r="CO202" s="114"/>
      <c r="CP202" s="114"/>
      <c r="CQ202" s="114"/>
      <c r="CR202" s="114"/>
      <c r="CS202" s="114"/>
      <c r="CT202" s="114"/>
      <c r="CU202" s="114"/>
      <c r="CV202" s="114"/>
      <c r="CW202" s="114"/>
      <c r="CX202" s="114"/>
      <c r="CY202" s="114"/>
      <c r="CZ202" s="114"/>
      <c r="DA202" s="114"/>
      <c r="DB202" s="114"/>
      <c r="DC202" s="114"/>
      <c r="DD202" s="114"/>
      <c r="DE202" s="93"/>
      <c r="DF202" s="112"/>
      <c r="DG202" s="112"/>
      <c r="DH202" s="112">
        <f t="shared" si="344"/>
        <v>6199.9</v>
      </c>
      <c r="DI202" s="112">
        <f t="shared" si="345"/>
        <v>5835.9000000000005</v>
      </c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G202" s="85"/>
    </row>
    <row r="203" spans="2:137" s="90" customFormat="1" ht="12.75" customHeight="1">
      <c r="B203" s="93" t="s">
        <v>95</v>
      </c>
      <c r="C203" s="112"/>
      <c r="D203" s="112"/>
      <c r="E203" s="112"/>
      <c r="F203" s="112"/>
      <c r="G203" s="112"/>
      <c r="H203" s="112"/>
      <c r="I203" s="85"/>
      <c r="J203" s="85"/>
      <c r="K203" s="85">
        <f t="shared" ref="K203:R203" si="347">K92-K199</f>
        <v>1046.8</v>
      </c>
      <c r="L203" s="85">
        <f t="shared" si="347"/>
        <v>988.5</v>
      </c>
      <c r="M203" s="85">
        <f t="shared" si="347"/>
        <v>1083.4000000000001</v>
      </c>
      <c r="N203" s="85">
        <f t="shared" si="347"/>
        <v>1228.3</v>
      </c>
      <c r="O203" s="85">
        <f t="shared" si="347"/>
        <v>1147.8</v>
      </c>
      <c r="P203" s="85">
        <f t="shared" si="347"/>
        <v>1164.2</v>
      </c>
      <c r="Q203" s="85">
        <f t="shared" si="347"/>
        <v>1271</v>
      </c>
      <c r="R203" s="85">
        <f t="shared" si="347"/>
        <v>1283.5999999999999</v>
      </c>
      <c r="S203" s="85"/>
      <c r="T203" s="85"/>
      <c r="U203" s="85"/>
      <c r="V203" s="85"/>
      <c r="W203" s="85"/>
      <c r="X203" s="85"/>
      <c r="Y203" s="92"/>
      <c r="Z203" s="85"/>
      <c r="AA203" s="92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93"/>
      <c r="DF203" s="112"/>
      <c r="DG203" s="112"/>
      <c r="DH203" s="112">
        <f t="shared" si="344"/>
        <v>4347</v>
      </c>
      <c r="DI203" s="112">
        <f t="shared" si="345"/>
        <v>4866.6000000000004</v>
      </c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G203" s="85"/>
    </row>
    <row r="204" spans="2:137" s="81" customFormat="1" ht="12.75" customHeight="1">
      <c r="B204" s="73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92"/>
      <c r="Z204" s="60"/>
      <c r="AA204" s="92"/>
      <c r="AB204" s="60"/>
      <c r="AC204" s="112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73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  <c r="DT204" s="82"/>
      <c r="DU204" s="82"/>
      <c r="DV204" s="82"/>
      <c r="DW204" s="82"/>
      <c r="DX204" s="82"/>
      <c r="DY204" s="82"/>
      <c r="DZ204" s="82"/>
      <c r="EA204" s="82"/>
      <c r="EB204" s="82"/>
      <c r="EC204" s="82"/>
      <c r="ED204" s="82"/>
      <c r="EE204" s="82"/>
      <c r="EG204" s="85"/>
    </row>
    <row r="205" spans="2:137" s="81" customFormat="1" ht="12.75" customHeight="1">
      <c r="B205" s="73"/>
      <c r="C205" s="60"/>
      <c r="D205" s="60"/>
      <c r="E205" s="60"/>
      <c r="F205" s="60"/>
      <c r="G205" s="60"/>
      <c r="H205" s="60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92"/>
      <c r="Z205" s="82"/>
      <c r="AA205" s="92"/>
      <c r="AB205" s="82"/>
      <c r="AC205" s="85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73"/>
      <c r="DF205" s="60"/>
      <c r="DG205" s="60"/>
      <c r="DH205" s="60"/>
      <c r="DI205" s="60"/>
      <c r="DJ205" s="82"/>
      <c r="DK205" s="82"/>
      <c r="DL205" s="82"/>
      <c r="DM205" s="82"/>
      <c r="DN205" s="82"/>
      <c r="DO205" s="82"/>
      <c r="DP205" s="82"/>
      <c r="DQ205" s="82"/>
      <c r="DR205" s="82"/>
      <c r="DS205" s="82"/>
      <c r="DT205" s="82"/>
      <c r="DU205" s="82"/>
      <c r="DV205" s="82"/>
      <c r="DW205" s="82"/>
      <c r="DX205" s="82"/>
      <c r="DY205" s="82"/>
      <c r="DZ205" s="82"/>
      <c r="EA205" s="82"/>
      <c r="EB205" s="82"/>
      <c r="EC205" s="82"/>
      <c r="ED205" s="82"/>
      <c r="EE205" s="82"/>
      <c r="EG205" s="85"/>
    </row>
    <row r="206" spans="2:137" s="81" customFormat="1" ht="12.75" customHeight="1">
      <c r="B206" s="73" t="s">
        <v>607</v>
      </c>
      <c r="C206" s="60"/>
      <c r="D206" s="60"/>
      <c r="E206" s="60"/>
      <c r="F206" s="60"/>
      <c r="G206" s="60"/>
      <c r="H206" s="60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92"/>
      <c r="Z206" s="103"/>
      <c r="AA206" s="92"/>
      <c r="AB206" s="103"/>
      <c r="AC206" s="114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15">
        <v>0.75</v>
      </c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03"/>
      <c r="CA206" s="103"/>
      <c r="CB206" s="103"/>
      <c r="CC206" s="103"/>
      <c r="CD206" s="103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3"/>
      <c r="CY206" s="103"/>
      <c r="CZ206" s="103"/>
      <c r="DA206" s="103"/>
      <c r="DB206" s="103"/>
      <c r="DC206" s="103"/>
      <c r="DD206" s="103"/>
      <c r="DE206" s="73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 t="s">
        <v>608</v>
      </c>
      <c r="DP206" s="60"/>
      <c r="DQ206" s="60"/>
      <c r="DR206" s="60"/>
      <c r="DS206" s="60"/>
      <c r="DT206" s="82"/>
      <c r="DU206" s="82"/>
      <c r="DV206" s="82"/>
      <c r="DW206" s="82"/>
      <c r="DX206" s="82"/>
      <c r="DY206" s="82"/>
      <c r="DZ206" s="82"/>
      <c r="EA206" s="82"/>
      <c r="EB206" s="82"/>
      <c r="EC206" s="82"/>
      <c r="ED206" s="82"/>
      <c r="EE206" s="82"/>
      <c r="EG206" s="85"/>
    </row>
    <row r="207" spans="2:137" s="81" customFormat="1" ht="12.75" customHeight="1">
      <c r="B207" s="108"/>
      <c r="C207" s="99"/>
      <c r="D207" s="99"/>
      <c r="E207" s="99"/>
      <c r="F207" s="99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92"/>
      <c r="Z207" s="82"/>
      <c r="AA207" s="92"/>
      <c r="AB207" s="82"/>
      <c r="AC207" s="85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82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73"/>
      <c r="DF207" s="99"/>
      <c r="DG207" s="82"/>
      <c r="DH207" s="82"/>
      <c r="DI207" s="82"/>
      <c r="DJ207" s="82"/>
      <c r="DK207" s="82"/>
      <c r="DL207" s="82"/>
      <c r="DM207" s="82"/>
      <c r="DN207" s="82"/>
      <c r="DO207" s="82"/>
      <c r="DP207" s="82"/>
      <c r="DQ207" s="82"/>
      <c r="DR207" s="82"/>
      <c r="DS207" s="82"/>
      <c r="DT207" s="82"/>
      <c r="DU207" s="82"/>
      <c r="DV207" s="82"/>
      <c r="DW207" s="82"/>
      <c r="DX207" s="82"/>
      <c r="DY207" s="82"/>
      <c r="DZ207" s="82"/>
      <c r="EA207" s="82"/>
      <c r="EB207" s="82"/>
      <c r="EC207" s="82"/>
      <c r="ED207" s="82"/>
      <c r="EE207" s="82"/>
      <c r="EG207" s="85"/>
    </row>
    <row r="208" spans="2:137" s="81" customFormat="1" ht="12.75" customHeight="1">
      <c r="B208" s="34" t="s">
        <v>618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92"/>
      <c r="Z208" s="24"/>
      <c r="AA208" s="92"/>
      <c r="AB208" s="24"/>
      <c r="AC208" s="28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73"/>
      <c r="DF208" s="24"/>
      <c r="DG208" s="24"/>
      <c r="DH208" s="24"/>
      <c r="DI208" s="24"/>
      <c r="DJ208" s="24"/>
      <c r="DK208" s="24"/>
      <c r="DL208" s="24"/>
      <c r="DM208" s="29"/>
      <c r="DN208" s="29"/>
      <c r="DO208" s="28">
        <f t="shared" ref="DO208:DX208" si="348">(DO66+DO58+DO55+DO54+DO11+DO51+DO38+DO57+DO16+DO41+DO67+DO36+DO12+DO29+DO39+DO42+DO62+DO50+DO63+DO52+DO65+DO59+DO61+DO68+DO60)</f>
        <v>25281</v>
      </c>
      <c r="DP208" s="28">
        <f t="shared" si="348"/>
        <v>26526</v>
      </c>
      <c r="DQ208" s="28">
        <f t="shared" si="348"/>
        <v>24892</v>
      </c>
      <c r="DR208" s="28">
        <f t="shared" si="348"/>
        <v>20004</v>
      </c>
      <c r="DS208" s="28">
        <f t="shared" si="348"/>
        <v>18945</v>
      </c>
      <c r="DT208" s="28">
        <f t="shared" si="348"/>
        <v>16537</v>
      </c>
      <c r="DU208" s="28">
        <f t="shared" si="348"/>
        <v>15768</v>
      </c>
      <c r="DV208" s="28">
        <f t="shared" si="348"/>
        <v>12932</v>
      </c>
      <c r="DW208" s="28">
        <f t="shared" si="348"/>
        <v>11819</v>
      </c>
      <c r="DX208" s="28">
        <f t="shared" si="348"/>
        <v>10003</v>
      </c>
      <c r="DY208" s="28"/>
      <c r="DZ208" s="28"/>
      <c r="EA208" s="28"/>
      <c r="EB208" s="28"/>
      <c r="EC208" s="28"/>
      <c r="ED208" s="28"/>
      <c r="EE208" s="28"/>
      <c r="EG208" s="85"/>
    </row>
    <row r="209" spans="2:137" s="81" customFormat="1" ht="12.75" customHeight="1">
      <c r="B209" s="98" t="s">
        <v>619</v>
      </c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92"/>
      <c r="Z209" s="116"/>
      <c r="AA209" s="92"/>
      <c r="AB209" s="116"/>
      <c r="AC209" s="114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  <c r="AT209" s="116"/>
      <c r="AU209" s="116"/>
      <c r="AV209" s="116"/>
      <c r="AW209" s="116"/>
      <c r="AX209" s="116"/>
      <c r="AY209" s="116"/>
      <c r="AZ209" s="116"/>
      <c r="BA209" s="116"/>
      <c r="BB209" s="116"/>
      <c r="BC209" s="116"/>
      <c r="BD209" s="116"/>
      <c r="BE209" s="116"/>
      <c r="BF209" s="116"/>
      <c r="BG209" s="116"/>
      <c r="BH209" s="116"/>
      <c r="BI209" s="116"/>
      <c r="BJ209" s="116"/>
      <c r="BK209" s="116"/>
      <c r="BL209" s="116"/>
      <c r="BM209" s="116"/>
      <c r="BN209" s="116"/>
      <c r="BO209" s="116"/>
      <c r="BP209" s="116"/>
      <c r="BQ209" s="116"/>
      <c r="BR209" s="116"/>
      <c r="BS209" s="116"/>
      <c r="BT209" s="116"/>
      <c r="BU209" s="116"/>
      <c r="BV209" s="116"/>
      <c r="BW209" s="116"/>
      <c r="BX209" s="116"/>
      <c r="BY209" s="116"/>
      <c r="BZ209" s="116"/>
      <c r="CA209" s="116"/>
      <c r="CB209" s="116"/>
      <c r="CC209" s="116"/>
      <c r="CD209" s="116"/>
      <c r="CE209" s="116"/>
      <c r="CF209" s="116"/>
      <c r="CG209" s="116"/>
      <c r="CH209" s="116"/>
      <c r="CI209" s="116"/>
      <c r="CJ209" s="116"/>
      <c r="CK209" s="116"/>
      <c r="CL209" s="116"/>
      <c r="CM209" s="116"/>
      <c r="CN209" s="116"/>
      <c r="CO209" s="116"/>
      <c r="CP209" s="116"/>
      <c r="CQ209" s="116"/>
      <c r="CR209" s="116"/>
      <c r="CS209" s="116"/>
      <c r="CT209" s="116"/>
      <c r="CU209" s="116"/>
      <c r="CV209" s="116"/>
      <c r="CW209" s="116"/>
      <c r="CX209" s="116"/>
      <c r="CY209" s="116"/>
      <c r="CZ209" s="116"/>
      <c r="DA209" s="116"/>
      <c r="DB209" s="116"/>
      <c r="DC209" s="116"/>
      <c r="DD209" s="116"/>
      <c r="DE209" s="73"/>
      <c r="DF209" s="116"/>
      <c r="DG209" s="116"/>
      <c r="DH209" s="116"/>
      <c r="DI209" s="116"/>
      <c r="DJ209" s="116"/>
      <c r="DK209" s="116"/>
      <c r="DL209" s="116"/>
      <c r="DM209" s="116"/>
      <c r="DN209" s="116"/>
      <c r="DO209" s="117">
        <f t="shared" ref="DO209:DX209" si="349">DO208/DO91</f>
        <v>0.54900214988381946</v>
      </c>
      <c r="DP209" s="117">
        <f t="shared" si="349"/>
        <v>0.55278622931688404</v>
      </c>
      <c r="DQ209" s="117">
        <f t="shared" si="349"/>
        <v>0.52659191876454414</v>
      </c>
      <c r="DR209" s="117">
        <f t="shared" si="349"/>
        <v>0.45430595930232559</v>
      </c>
      <c r="DS209" s="117">
        <f t="shared" si="349"/>
        <v>0.4485403792883017</v>
      </c>
      <c r="DT209" s="117">
        <f t="shared" si="349"/>
        <v>0.41867942680642056</v>
      </c>
      <c r="DU209" s="117">
        <f t="shared" si="349"/>
        <v>0.39611123671716031</v>
      </c>
      <c r="DV209" s="117">
        <f t="shared" si="349"/>
        <v>0.32231693335327249</v>
      </c>
      <c r="DW209" s="117">
        <f t="shared" si="349"/>
        <v>0.27944862155388472</v>
      </c>
      <c r="DX209" s="117">
        <f t="shared" si="349"/>
        <v>0.21355222988407591</v>
      </c>
      <c r="DY209" s="117"/>
      <c r="DZ209" s="117"/>
      <c r="EA209" s="117"/>
      <c r="EB209" s="117"/>
      <c r="EC209" s="117"/>
      <c r="ED209" s="117"/>
      <c r="EE209" s="117"/>
      <c r="EG209" s="85"/>
    </row>
    <row r="210" spans="2:137" s="81" customFormat="1" ht="12.75" customHeight="1">
      <c r="B210" s="108"/>
      <c r="C210" s="99"/>
      <c r="D210" s="99"/>
      <c r="E210" s="99"/>
      <c r="F210" s="99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92"/>
      <c r="Z210" s="82"/>
      <c r="AA210" s="92"/>
      <c r="AB210" s="82"/>
      <c r="AC210" s="85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73"/>
      <c r="DF210" s="99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82"/>
      <c r="DZ210" s="82"/>
      <c r="EA210" s="82"/>
      <c r="EB210" s="82"/>
      <c r="EC210" s="82"/>
      <c r="ED210" s="82"/>
      <c r="EE210" s="82"/>
      <c r="EG210" s="85"/>
    </row>
    <row r="211" spans="2:137" s="81" customFormat="1" ht="12.75" customHeight="1">
      <c r="B211" s="108"/>
      <c r="C211" s="99"/>
      <c r="D211" s="99"/>
      <c r="E211" s="99"/>
      <c r="F211" s="99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92"/>
      <c r="Z211" s="82"/>
      <c r="AA211" s="92"/>
      <c r="AB211" s="82"/>
      <c r="AC211" s="85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82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73"/>
      <c r="DF211" s="99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  <c r="DQ211" s="82"/>
      <c r="DR211" s="82"/>
      <c r="DS211" s="82"/>
      <c r="DT211" s="82"/>
      <c r="DU211" s="82"/>
      <c r="DV211" s="82"/>
      <c r="DW211" s="82"/>
      <c r="DX211" s="82"/>
      <c r="DY211" s="82"/>
      <c r="DZ211" s="82"/>
      <c r="EA211" s="82"/>
      <c r="EB211" s="82"/>
      <c r="EC211" s="82"/>
      <c r="ED211" s="82"/>
      <c r="EE211" s="82"/>
      <c r="EG211" s="85"/>
    </row>
    <row r="212" spans="2:137" s="81" customFormat="1" ht="12.75" customHeight="1">
      <c r="B212" s="108"/>
      <c r="C212" s="99"/>
      <c r="D212" s="99"/>
      <c r="E212" s="99"/>
      <c r="F212" s="99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92"/>
      <c r="Z212" s="82"/>
      <c r="AA212" s="92"/>
      <c r="AB212" s="82"/>
      <c r="AC212" s="85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82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73"/>
      <c r="DF212" s="99"/>
      <c r="DG212" s="82"/>
      <c r="DH212" s="82"/>
      <c r="DI212" s="82"/>
      <c r="DJ212" s="82"/>
      <c r="DK212" s="82"/>
      <c r="DL212" s="82"/>
      <c r="DM212" s="82"/>
      <c r="DN212" s="82"/>
      <c r="DO212" s="82"/>
      <c r="DP212" s="82"/>
      <c r="DQ212" s="82"/>
      <c r="DR212" s="82"/>
      <c r="DS212" s="82"/>
      <c r="DT212" s="82"/>
      <c r="DU212" s="82"/>
      <c r="DV212" s="82"/>
      <c r="DW212" s="82"/>
      <c r="DX212" s="82"/>
      <c r="DY212" s="82"/>
      <c r="DZ212" s="82"/>
      <c r="EA212" s="82"/>
      <c r="EB212" s="82"/>
      <c r="EC212" s="82"/>
      <c r="ED212" s="82"/>
      <c r="EE212" s="82"/>
      <c r="EG212" s="85"/>
    </row>
    <row r="213" spans="2:137" s="81" customFormat="1" ht="12.75" customHeight="1">
      <c r="B213" s="108"/>
      <c r="C213" s="99"/>
      <c r="D213" s="99"/>
      <c r="E213" s="99"/>
      <c r="F213" s="99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92"/>
      <c r="Z213" s="82"/>
      <c r="AA213" s="92"/>
      <c r="AB213" s="82"/>
      <c r="AC213" s="85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82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73"/>
      <c r="DF213" s="99"/>
      <c r="DG213" s="82"/>
      <c r="DH213" s="82"/>
      <c r="DI213" s="82"/>
      <c r="DJ213" s="82"/>
      <c r="DK213" s="82"/>
      <c r="DL213" s="82"/>
      <c r="DM213" s="82"/>
      <c r="DN213" s="82"/>
      <c r="DO213" s="82"/>
      <c r="DP213" s="82"/>
      <c r="DQ213" s="82"/>
      <c r="DR213" s="82"/>
      <c r="DS213" s="82"/>
      <c r="DT213" s="82"/>
      <c r="DU213" s="82"/>
      <c r="DV213" s="82"/>
      <c r="DW213" s="82"/>
      <c r="DX213" s="82"/>
      <c r="DY213" s="82"/>
      <c r="DZ213" s="82"/>
      <c r="EA213" s="82"/>
      <c r="EB213" s="82"/>
      <c r="EC213" s="82"/>
      <c r="ED213" s="82"/>
      <c r="EE213" s="82"/>
      <c r="EG213" s="85"/>
    </row>
    <row r="214" spans="2:137" s="81" customFormat="1" ht="12.75" customHeight="1">
      <c r="B214" s="108"/>
      <c r="C214" s="99"/>
      <c r="D214" s="99"/>
      <c r="E214" s="99"/>
      <c r="F214" s="99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92"/>
      <c r="Z214" s="82"/>
      <c r="AA214" s="92"/>
      <c r="AB214" s="82"/>
      <c r="AC214" s="85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82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73"/>
      <c r="DF214" s="99"/>
      <c r="DG214" s="82"/>
      <c r="DH214" s="82"/>
      <c r="DI214" s="82"/>
      <c r="DJ214" s="82"/>
      <c r="DK214" s="82"/>
      <c r="DL214" s="82"/>
      <c r="DM214" s="82"/>
      <c r="DN214" s="82"/>
      <c r="DO214" s="82"/>
      <c r="DP214" s="82"/>
      <c r="DQ214" s="82"/>
      <c r="DR214" s="82"/>
      <c r="DS214" s="82"/>
      <c r="DT214" s="82"/>
      <c r="DU214" s="82"/>
      <c r="DV214" s="82"/>
      <c r="DW214" s="82"/>
      <c r="DX214" s="82"/>
      <c r="DY214" s="82"/>
      <c r="DZ214" s="82"/>
      <c r="EA214" s="82"/>
      <c r="EB214" s="82"/>
      <c r="EC214" s="82"/>
      <c r="ED214" s="82"/>
      <c r="EE214" s="82"/>
      <c r="EG214" s="85"/>
    </row>
    <row r="215" spans="2:137" s="81" customFormat="1" ht="12.75" customHeight="1">
      <c r="B215" s="108"/>
      <c r="C215" s="99"/>
      <c r="D215" s="99"/>
      <c r="E215" s="99"/>
      <c r="F215" s="99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92"/>
      <c r="Z215" s="82"/>
      <c r="AA215" s="92"/>
      <c r="AB215" s="82"/>
      <c r="AC215" s="85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82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73"/>
      <c r="DF215" s="99"/>
      <c r="DG215" s="82"/>
      <c r="DH215" s="82"/>
      <c r="DI215" s="82"/>
      <c r="DJ215" s="82"/>
      <c r="DK215" s="82"/>
      <c r="DL215" s="82"/>
      <c r="DM215" s="82"/>
      <c r="DN215" s="82"/>
      <c r="DO215" s="82"/>
      <c r="DP215" s="82"/>
      <c r="DQ215" s="82"/>
      <c r="DR215" s="82"/>
      <c r="DS215" s="82"/>
      <c r="DT215" s="82"/>
      <c r="DU215" s="82"/>
      <c r="DV215" s="82"/>
      <c r="DW215" s="82"/>
      <c r="DX215" s="82"/>
      <c r="DY215" s="82"/>
      <c r="DZ215" s="82"/>
      <c r="EA215" s="82"/>
      <c r="EB215" s="82"/>
      <c r="EC215" s="82"/>
      <c r="ED215" s="82"/>
      <c r="EE215" s="82"/>
      <c r="EG215" s="85"/>
    </row>
    <row r="216" spans="2:137" s="81" customFormat="1" ht="12.75" customHeight="1">
      <c r="B216" s="108"/>
      <c r="C216" s="99"/>
      <c r="D216" s="99"/>
      <c r="E216" s="99"/>
      <c r="F216" s="99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92"/>
      <c r="Z216" s="82"/>
      <c r="AA216" s="92"/>
      <c r="AB216" s="82"/>
      <c r="AC216" s="85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82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73"/>
      <c r="DF216" s="99"/>
      <c r="DG216" s="82"/>
      <c r="DH216" s="82"/>
      <c r="DI216" s="82"/>
      <c r="DJ216" s="82"/>
      <c r="DK216" s="82"/>
      <c r="DL216" s="82"/>
      <c r="DM216" s="82"/>
      <c r="DN216" s="82"/>
      <c r="DO216" s="82"/>
      <c r="DP216" s="82"/>
      <c r="DQ216" s="82"/>
      <c r="DR216" s="82"/>
      <c r="DS216" s="82"/>
      <c r="DT216" s="82"/>
      <c r="DU216" s="82"/>
      <c r="DV216" s="82"/>
      <c r="DW216" s="82"/>
      <c r="DX216" s="82"/>
      <c r="DY216" s="82"/>
      <c r="DZ216" s="82"/>
      <c r="EA216" s="82"/>
      <c r="EB216" s="82"/>
      <c r="EC216" s="82"/>
      <c r="ED216" s="82"/>
      <c r="EE216" s="82"/>
      <c r="EG216" s="85"/>
    </row>
    <row r="217" spans="2:137" s="81" customFormat="1" ht="12.75" customHeight="1">
      <c r="B217" s="108"/>
      <c r="C217" s="99"/>
      <c r="D217" s="99"/>
      <c r="E217" s="99"/>
      <c r="F217" s="99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92"/>
      <c r="Z217" s="82"/>
      <c r="AA217" s="92"/>
      <c r="AB217" s="82"/>
      <c r="AC217" s="85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82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73"/>
      <c r="DF217" s="99"/>
      <c r="DG217" s="82"/>
      <c r="DH217" s="82"/>
      <c r="DI217" s="82"/>
      <c r="DJ217" s="82"/>
      <c r="DK217" s="82"/>
      <c r="DL217" s="82"/>
      <c r="DM217" s="82"/>
      <c r="DN217" s="82"/>
      <c r="DO217" s="82"/>
      <c r="DP217" s="82"/>
      <c r="DQ217" s="82"/>
      <c r="DR217" s="82"/>
      <c r="DS217" s="82"/>
      <c r="DT217" s="82"/>
      <c r="DU217" s="82"/>
      <c r="DV217" s="82"/>
      <c r="DW217" s="82"/>
      <c r="DX217" s="82"/>
      <c r="DY217" s="82"/>
      <c r="DZ217" s="82"/>
      <c r="EA217" s="82"/>
      <c r="EB217" s="82"/>
      <c r="EC217" s="82"/>
      <c r="ED217" s="82"/>
      <c r="EE217" s="82"/>
      <c r="EG217" s="85"/>
    </row>
    <row r="218" spans="2:137" s="81" customFormat="1" ht="12.75" customHeight="1">
      <c r="B218" s="108"/>
      <c r="C218" s="99"/>
      <c r="D218" s="99"/>
      <c r="E218" s="99"/>
      <c r="F218" s="99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92"/>
      <c r="Z218" s="82"/>
      <c r="AA218" s="92"/>
      <c r="AB218" s="82"/>
      <c r="AC218" s="85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82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73"/>
      <c r="DF218" s="99"/>
      <c r="DG218" s="82"/>
      <c r="DH218" s="82"/>
      <c r="DI218" s="82"/>
      <c r="DJ218" s="82"/>
      <c r="DK218" s="82"/>
      <c r="DL218" s="82"/>
      <c r="DM218" s="82"/>
      <c r="DN218" s="82"/>
      <c r="DO218" s="82"/>
      <c r="DP218" s="82"/>
      <c r="DQ218" s="82"/>
      <c r="DR218" s="82"/>
      <c r="DS218" s="82"/>
      <c r="DT218" s="82"/>
      <c r="DU218" s="82"/>
      <c r="DV218" s="82"/>
      <c r="DW218" s="82"/>
      <c r="DX218" s="82"/>
      <c r="DY218" s="82"/>
      <c r="DZ218" s="82"/>
      <c r="EA218" s="82"/>
      <c r="EB218" s="82"/>
      <c r="EC218" s="82"/>
      <c r="ED218" s="82"/>
      <c r="EE218" s="82"/>
      <c r="EG218" s="85"/>
    </row>
    <row r="219" spans="2:137" s="81" customFormat="1" ht="12.75" customHeight="1">
      <c r="B219" s="108"/>
      <c r="C219" s="99"/>
      <c r="D219" s="99"/>
      <c r="E219" s="99"/>
      <c r="F219" s="99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92"/>
      <c r="Z219" s="82"/>
      <c r="AA219" s="92"/>
      <c r="AB219" s="82"/>
      <c r="AC219" s="85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82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73"/>
      <c r="DF219" s="99"/>
      <c r="DG219" s="82"/>
      <c r="DH219" s="82"/>
      <c r="DI219" s="82"/>
      <c r="DJ219" s="82"/>
      <c r="DK219" s="82"/>
      <c r="DL219" s="82"/>
      <c r="DM219" s="82"/>
      <c r="DN219" s="82"/>
      <c r="DO219" s="82"/>
      <c r="DP219" s="82"/>
      <c r="DQ219" s="82"/>
      <c r="DR219" s="82"/>
      <c r="DS219" s="82"/>
      <c r="DT219" s="82"/>
      <c r="DU219" s="82"/>
      <c r="DV219" s="82"/>
      <c r="DW219" s="82"/>
      <c r="DX219" s="82"/>
      <c r="DY219" s="82"/>
      <c r="DZ219" s="82"/>
      <c r="EA219" s="82"/>
      <c r="EB219" s="82"/>
      <c r="EC219" s="82"/>
      <c r="ED219" s="82"/>
      <c r="EE219" s="82"/>
      <c r="EG219" s="85"/>
    </row>
    <row r="220" spans="2:137" s="81" customFormat="1" ht="12.75" customHeight="1">
      <c r="B220" s="108"/>
      <c r="C220" s="99"/>
      <c r="D220" s="99"/>
      <c r="E220" s="99"/>
      <c r="F220" s="99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92"/>
      <c r="Z220" s="82"/>
      <c r="AA220" s="92"/>
      <c r="AB220" s="82"/>
      <c r="AC220" s="85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82"/>
      <c r="BR220" s="82"/>
      <c r="BS220" s="82"/>
      <c r="BT220" s="82"/>
      <c r="BU220" s="82"/>
      <c r="BV220" s="82"/>
      <c r="BW220" s="82"/>
      <c r="BX220" s="82"/>
      <c r="BY220" s="82"/>
      <c r="BZ220" s="82"/>
      <c r="CA220" s="82"/>
      <c r="CB220" s="82"/>
      <c r="CC220" s="82"/>
      <c r="CD220" s="82"/>
      <c r="CE220" s="82"/>
      <c r="CF220" s="82"/>
      <c r="CG220" s="82"/>
      <c r="CH220" s="82"/>
      <c r="CI220" s="82"/>
      <c r="CJ220" s="82"/>
      <c r="CK220" s="82"/>
      <c r="CL220" s="82"/>
      <c r="CM220" s="82"/>
      <c r="CN220" s="82"/>
      <c r="CO220" s="82"/>
      <c r="CP220" s="82"/>
      <c r="CQ220" s="82"/>
      <c r="CR220" s="82"/>
      <c r="CS220" s="82"/>
      <c r="CT220" s="82"/>
      <c r="CU220" s="82"/>
      <c r="CV220" s="82"/>
      <c r="CW220" s="82"/>
      <c r="CX220" s="82"/>
      <c r="CY220" s="82"/>
      <c r="CZ220" s="82"/>
      <c r="DA220" s="82"/>
      <c r="DB220" s="82"/>
      <c r="DC220" s="82"/>
      <c r="DD220" s="82"/>
      <c r="DE220" s="73"/>
      <c r="DF220" s="99"/>
      <c r="DG220" s="82"/>
      <c r="DH220" s="82"/>
      <c r="DI220" s="82"/>
      <c r="DJ220" s="82"/>
      <c r="DK220" s="82"/>
      <c r="DL220" s="82"/>
      <c r="DM220" s="82"/>
      <c r="DN220" s="82"/>
      <c r="DO220" s="82"/>
      <c r="DP220" s="82"/>
      <c r="DQ220" s="82"/>
      <c r="DR220" s="82"/>
      <c r="DS220" s="82"/>
      <c r="DT220" s="82"/>
      <c r="DU220" s="82"/>
      <c r="DV220" s="82"/>
      <c r="DW220" s="82"/>
      <c r="DX220" s="82"/>
      <c r="DY220" s="82"/>
      <c r="DZ220" s="82"/>
      <c r="EA220" s="82"/>
      <c r="EB220" s="82"/>
      <c r="EC220" s="82"/>
      <c r="ED220" s="82"/>
      <c r="EE220" s="82"/>
      <c r="EG220" s="85"/>
    </row>
    <row r="221" spans="2:137" s="81" customFormat="1" ht="12.75" customHeight="1">
      <c r="B221" s="108"/>
      <c r="C221" s="99"/>
      <c r="D221" s="99"/>
      <c r="E221" s="99"/>
      <c r="F221" s="99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92"/>
      <c r="Z221" s="82"/>
      <c r="AA221" s="92"/>
      <c r="AB221" s="82"/>
      <c r="AC221" s="85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82"/>
      <c r="BR221" s="82"/>
      <c r="BS221" s="82"/>
      <c r="BT221" s="82"/>
      <c r="BU221" s="82"/>
      <c r="BV221" s="82"/>
      <c r="BW221" s="82"/>
      <c r="BX221" s="82"/>
      <c r="BY221" s="82"/>
      <c r="BZ221" s="82"/>
      <c r="CA221" s="82"/>
      <c r="CB221" s="82"/>
      <c r="CC221" s="82"/>
      <c r="CD221" s="82"/>
      <c r="CE221" s="82"/>
      <c r="CF221" s="82"/>
      <c r="CG221" s="82"/>
      <c r="CH221" s="82"/>
      <c r="CI221" s="82"/>
      <c r="CJ221" s="82"/>
      <c r="CK221" s="82"/>
      <c r="CL221" s="82"/>
      <c r="CM221" s="82"/>
      <c r="CN221" s="82"/>
      <c r="CO221" s="82"/>
      <c r="CP221" s="82"/>
      <c r="CQ221" s="82"/>
      <c r="CR221" s="82"/>
      <c r="CS221" s="82"/>
      <c r="CT221" s="82"/>
      <c r="CU221" s="82"/>
      <c r="CV221" s="82"/>
      <c r="CW221" s="82"/>
      <c r="CX221" s="82"/>
      <c r="CY221" s="82"/>
      <c r="CZ221" s="82"/>
      <c r="DA221" s="82"/>
      <c r="DB221" s="82"/>
      <c r="DC221" s="82"/>
      <c r="DD221" s="82"/>
      <c r="DE221" s="73"/>
      <c r="DF221" s="99"/>
      <c r="DG221" s="82"/>
      <c r="DH221" s="82"/>
      <c r="DI221" s="82"/>
      <c r="DJ221" s="82"/>
      <c r="DK221" s="82"/>
      <c r="DL221" s="82"/>
      <c r="DM221" s="82"/>
      <c r="DN221" s="82"/>
      <c r="DO221" s="82"/>
      <c r="DP221" s="82"/>
      <c r="DQ221" s="82"/>
      <c r="DR221" s="82"/>
      <c r="DS221" s="82"/>
      <c r="DT221" s="82"/>
      <c r="DU221" s="82"/>
      <c r="DV221" s="82"/>
      <c r="DW221" s="82"/>
      <c r="DX221" s="82"/>
      <c r="DY221" s="82"/>
      <c r="DZ221" s="82"/>
      <c r="EA221" s="82"/>
      <c r="EB221" s="82"/>
      <c r="EC221" s="82"/>
      <c r="ED221" s="82"/>
      <c r="EE221" s="82"/>
      <c r="EG221" s="85"/>
    </row>
    <row r="222" spans="2:137" s="81" customFormat="1" ht="12.75" customHeight="1">
      <c r="B222" s="108"/>
      <c r="C222" s="99"/>
      <c r="D222" s="99"/>
      <c r="E222" s="99"/>
      <c r="F222" s="99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92"/>
      <c r="Z222" s="82"/>
      <c r="AA222" s="92"/>
      <c r="AB222" s="82"/>
      <c r="AC222" s="85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82"/>
      <c r="BR222" s="82"/>
      <c r="BS222" s="82"/>
      <c r="BT222" s="82"/>
      <c r="BU222" s="82"/>
      <c r="BV222" s="82"/>
      <c r="BW222" s="82"/>
      <c r="BX222" s="82"/>
      <c r="BY222" s="82"/>
      <c r="BZ222" s="82"/>
      <c r="CA222" s="82"/>
      <c r="CB222" s="82"/>
      <c r="CC222" s="82"/>
      <c r="CD222" s="82"/>
      <c r="CE222" s="82"/>
      <c r="CF222" s="82"/>
      <c r="CG222" s="82"/>
      <c r="CH222" s="82"/>
      <c r="CI222" s="82"/>
      <c r="CJ222" s="82"/>
      <c r="CK222" s="82"/>
      <c r="CL222" s="82"/>
      <c r="CM222" s="82"/>
      <c r="CN222" s="82"/>
      <c r="CO222" s="82"/>
      <c r="CP222" s="82"/>
      <c r="CQ222" s="82"/>
      <c r="CR222" s="82"/>
      <c r="CS222" s="82"/>
      <c r="CT222" s="82"/>
      <c r="CU222" s="82"/>
      <c r="CV222" s="82"/>
      <c r="CW222" s="82"/>
      <c r="CX222" s="82"/>
      <c r="CY222" s="82"/>
      <c r="CZ222" s="82"/>
      <c r="DA222" s="82"/>
      <c r="DB222" s="82"/>
      <c r="DC222" s="82"/>
      <c r="DD222" s="82"/>
      <c r="DE222" s="73"/>
      <c r="DF222" s="99"/>
      <c r="DG222" s="82"/>
      <c r="DH222" s="82"/>
      <c r="DI222" s="82"/>
      <c r="DJ222" s="82"/>
      <c r="DK222" s="82"/>
      <c r="DL222" s="82"/>
      <c r="DM222" s="82"/>
      <c r="DN222" s="82"/>
      <c r="DO222" s="82"/>
      <c r="DP222" s="82"/>
      <c r="DQ222" s="82"/>
      <c r="DR222" s="82"/>
      <c r="DS222" s="82"/>
      <c r="DT222" s="82"/>
      <c r="DU222" s="82"/>
      <c r="DV222" s="82"/>
      <c r="DW222" s="82"/>
      <c r="DX222" s="82"/>
      <c r="DY222" s="82"/>
      <c r="DZ222" s="82"/>
      <c r="EA222" s="82"/>
      <c r="EB222" s="82"/>
      <c r="EC222" s="82"/>
      <c r="ED222" s="82"/>
      <c r="EE222" s="82"/>
      <c r="EG222" s="85"/>
    </row>
    <row r="223" spans="2:137" s="81" customFormat="1" ht="12.75" customHeight="1">
      <c r="B223" s="108"/>
      <c r="C223" s="99"/>
      <c r="D223" s="99"/>
      <c r="E223" s="99"/>
      <c r="F223" s="99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92"/>
      <c r="Z223" s="82"/>
      <c r="AA223" s="92"/>
      <c r="AB223" s="82"/>
      <c r="AC223" s="85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82"/>
      <c r="BR223" s="82"/>
      <c r="BS223" s="82"/>
      <c r="BT223" s="82"/>
      <c r="BU223" s="82"/>
      <c r="BV223" s="82"/>
      <c r="BW223" s="82"/>
      <c r="BX223" s="82"/>
      <c r="BY223" s="82"/>
      <c r="BZ223" s="82"/>
      <c r="CA223" s="82"/>
      <c r="CB223" s="82"/>
      <c r="CC223" s="82"/>
      <c r="CD223" s="82"/>
      <c r="CE223" s="82"/>
      <c r="CF223" s="82"/>
      <c r="CG223" s="82"/>
      <c r="CH223" s="82"/>
      <c r="CI223" s="82"/>
      <c r="CJ223" s="82"/>
      <c r="CK223" s="82"/>
      <c r="CL223" s="82"/>
      <c r="CM223" s="82"/>
      <c r="CN223" s="82"/>
      <c r="CO223" s="82"/>
      <c r="CP223" s="82"/>
      <c r="CQ223" s="82"/>
      <c r="CR223" s="82"/>
      <c r="CS223" s="82"/>
      <c r="CT223" s="82"/>
      <c r="CU223" s="82"/>
      <c r="CV223" s="82"/>
      <c r="CW223" s="82"/>
      <c r="CX223" s="82"/>
      <c r="CY223" s="82"/>
      <c r="CZ223" s="82"/>
      <c r="DA223" s="82"/>
      <c r="DB223" s="82"/>
      <c r="DC223" s="82"/>
      <c r="DD223" s="82"/>
      <c r="DE223" s="73"/>
      <c r="DF223" s="99"/>
      <c r="DG223" s="82"/>
      <c r="DH223" s="82"/>
      <c r="DI223" s="82"/>
      <c r="DJ223" s="82"/>
      <c r="DK223" s="82"/>
      <c r="DL223" s="82"/>
      <c r="DM223" s="82"/>
      <c r="DN223" s="82"/>
      <c r="DO223" s="82"/>
      <c r="DP223" s="82"/>
      <c r="DQ223" s="82"/>
      <c r="DR223" s="82"/>
      <c r="DS223" s="82"/>
      <c r="DT223" s="82"/>
      <c r="DU223" s="82"/>
      <c r="DV223" s="82"/>
      <c r="DW223" s="82"/>
      <c r="DX223" s="82"/>
      <c r="DY223" s="82"/>
      <c r="DZ223" s="82"/>
      <c r="EA223" s="82"/>
      <c r="EB223" s="82"/>
      <c r="EC223" s="82"/>
      <c r="ED223" s="82"/>
      <c r="EE223" s="82"/>
      <c r="EG223" s="85"/>
    </row>
    <row r="224" spans="2:137" s="81" customFormat="1" ht="12.75" customHeight="1">
      <c r="B224" s="108"/>
      <c r="C224" s="99"/>
      <c r="D224" s="99"/>
      <c r="E224" s="99"/>
      <c r="F224" s="99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92"/>
      <c r="Z224" s="82"/>
      <c r="AA224" s="92"/>
      <c r="AB224" s="82"/>
      <c r="AC224" s="85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82"/>
      <c r="BR224" s="82"/>
      <c r="BS224" s="82"/>
      <c r="BT224" s="82"/>
      <c r="BU224" s="82"/>
      <c r="BV224" s="82"/>
      <c r="BW224" s="82"/>
      <c r="BX224" s="82"/>
      <c r="BY224" s="82"/>
      <c r="BZ224" s="82"/>
      <c r="CA224" s="82"/>
      <c r="CB224" s="82"/>
      <c r="CC224" s="82"/>
      <c r="CD224" s="82"/>
      <c r="CE224" s="82"/>
      <c r="CF224" s="82"/>
      <c r="CG224" s="82"/>
      <c r="CH224" s="82"/>
      <c r="CI224" s="82"/>
      <c r="CJ224" s="82"/>
      <c r="CK224" s="82"/>
      <c r="CL224" s="82"/>
      <c r="CM224" s="82"/>
      <c r="CN224" s="82"/>
      <c r="CO224" s="82"/>
      <c r="CP224" s="82"/>
      <c r="CQ224" s="82"/>
      <c r="CR224" s="82"/>
      <c r="CS224" s="82"/>
      <c r="CT224" s="82"/>
      <c r="CU224" s="82"/>
      <c r="CV224" s="82"/>
      <c r="CW224" s="82"/>
      <c r="CX224" s="82"/>
      <c r="CY224" s="82"/>
      <c r="CZ224" s="82"/>
      <c r="DA224" s="82"/>
      <c r="DB224" s="82"/>
      <c r="DC224" s="82"/>
      <c r="DD224" s="82"/>
      <c r="DE224" s="73"/>
      <c r="DF224" s="99"/>
      <c r="DG224" s="82"/>
      <c r="DH224" s="82"/>
      <c r="DI224" s="82"/>
      <c r="DJ224" s="82"/>
      <c r="DK224" s="82"/>
      <c r="DL224" s="82"/>
      <c r="DM224" s="82"/>
      <c r="DN224" s="82"/>
      <c r="DO224" s="82"/>
      <c r="DP224" s="82"/>
      <c r="DQ224" s="82"/>
      <c r="DR224" s="82"/>
      <c r="DS224" s="82"/>
      <c r="DT224" s="82"/>
      <c r="DU224" s="82"/>
      <c r="DV224" s="82"/>
      <c r="DW224" s="82"/>
      <c r="DX224" s="82"/>
      <c r="DY224" s="82"/>
      <c r="DZ224" s="82"/>
      <c r="EA224" s="82"/>
      <c r="EB224" s="82"/>
      <c r="EC224" s="82"/>
      <c r="ED224" s="82"/>
      <c r="EE224" s="82"/>
      <c r="EG224" s="85"/>
    </row>
    <row r="225" spans="2:137" s="81" customFormat="1" ht="12.75" customHeight="1">
      <c r="B225" s="108"/>
      <c r="C225" s="99"/>
      <c r="D225" s="99"/>
      <c r="E225" s="99"/>
      <c r="F225" s="99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92"/>
      <c r="Z225" s="82"/>
      <c r="AA225" s="92"/>
      <c r="AB225" s="82"/>
      <c r="AC225" s="85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82"/>
      <c r="BR225" s="82"/>
      <c r="BS225" s="82"/>
      <c r="BT225" s="82"/>
      <c r="BU225" s="82"/>
      <c r="BV225" s="82"/>
      <c r="BW225" s="82"/>
      <c r="BX225" s="82"/>
      <c r="BY225" s="82"/>
      <c r="BZ225" s="82"/>
      <c r="CA225" s="82"/>
      <c r="CB225" s="82"/>
      <c r="CC225" s="82"/>
      <c r="CD225" s="82"/>
      <c r="CE225" s="82"/>
      <c r="CF225" s="82"/>
      <c r="CG225" s="82"/>
      <c r="CH225" s="82"/>
      <c r="CI225" s="82"/>
      <c r="CJ225" s="82"/>
      <c r="CK225" s="82"/>
      <c r="CL225" s="82"/>
      <c r="CM225" s="82"/>
      <c r="CN225" s="82"/>
      <c r="CO225" s="82"/>
      <c r="CP225" s="82"/>
      <c r="CQ225" s="82"/>
      <c r="CR225" s="82"/>
      <c r="CS225" s="82"/>
      <c r="CT225" s="82"/>
      <c r="CU225" s="82"/>
      <c r="CV225" s="82"/>
      <c r="CW225" s="82"/>
      <c r="CX225" s="82"/>
      <c r="CY225" s="82"/>
      <c r="CZ225" s="82"/>
      <c r="DA225" s="82"/>
      <c r="DB225" s="82"/>
      <c r="DC225" s="82"/>
      <c r="DD225" s="82"/>
      <c r="DE225" s="73"/>
      <c r="DF225" s="99"/>
      <c r="DG225" s="82"/>
      <c r="DH225" s="82"/>
      <c r="DI225" s="82"/>
      <c r="DJ225" s="82"/>
      <c r="DK225" s="82"/>
      <c r="DL225" s="82"/>
      <c r="DM225" s="82"/>
      <c r="DN225" s="82"/>
      <c r="DO225" s="82"/>
      <c r="DP225" s="82"/>
      <c r="DQ225" s="82"/>
      <c r="DR225" s="82"/>
      <c r="DS225" s="82"/>
      <c r="DT225" s="82"/>
      <c r="DU225" s="82"/>
      <c r="DV225" s="82"/>
      <c r="DW225" s="82"/>
      <c r="DX225" s="82"/>
      <c r="DY225" s="82"/>
      <c r="DZ225" s="82"/>
      <c r="EA225" s="82"/>
      <c r="EB225" s="82"/>
      <c r="EC225" s="82"/>
      <c r="ED225" s="82"/>
      <c r="EE225" s="82"/>
      <c r="EG225" s="85"/>
    </row>
    <row r="226" spans="2:137" s="81" customFormat="1" ht="12.75" customHeight="1">
      <c r="B226" s="108"/>
      <c r="C226" s="99"/>
      <c r="D226" s="99"/>
      <c r="E226" s="99"/>
      <c r="F226" s="99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92"/>
      <c r="Z226" s="82"/>
      <c r="AA226" s="92"/>
      <c r="AB226" s="82"/>
      <c r="AC226" s="85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  <c r="BY226" s="82"/>
      <c r="BZ226" s="82"/>
      <c r="CA226" s="82"/>
      <c r="CB226" s="82"/>
      <c r="CC226" s="82"/>
      <c r="CD226" s="82"/>
      <c r="CE226" s="82"/>
      <c r="CF226" s="82"/>
      <c r="CG226" s="82"/>
      <c r="CH226" s="82"/>
      <c r="CI226" s="82"/>
      <c r="CJ226" s="82"/>
      <c r="CK226" s="82"/>
      <c r="CL226" s="82"/>
      <c r="CM226" s="82"/>
      <c r="CN226" s="82"/>
      <c r="CO226" s="82"/>
      <c r="CP226" s="82"/>
      <c r="CQ226" s="82"/>
      <c r="CR226" s="82"/>
      <c r="CS226" s="82"/>
      <c r="CT226" s="82"/>
      <c r="CU226" s="82"/>
      <c r="CV226" s="82"/>
      <c r="CW226" s="82"/>
      <c r="CX226" s="82"/>
      <c r="CY226" s="82"/>
      <c r="CZ226" s="82"/>
      <c r="DA226" s="82"/>
      <c r="DB226" s="82"/>
      <c r="DC226" s="82"/>
      <c r="DD226" s="82"/>
      <c r="DE226" s="73"/>
      <c r="DF226" s="99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  <c r="DQ226" s="82"/>
      <c r="DR226" s="82"/>
      <c r="DS226" s="82"/>
      <c r="DT226" s="82"/>
      <c r="DU226" s="82"/>
      <c r="DV226" s="82"/>
      <c r="DW226" s="82"/>
      <c r="DX226" s="82"/>
      <c r="DY226" s="82"/>
      <c r="DZ226" s="82"/>
      <c r="EA226" s="82"/>
      <c r="EB226" s="82"/>
      <c r="EC226" s="82"/>
      <c r="ED226" s="82"/>
      <c r="EE226" s="82"/>
      <c r="EG226" s="85"/>
    </row>
    <row r="227" spans="2:137" s="81" customFormat="1" ht="12.75" customHeight="1">
      <c r="B227" s="108"/>
      <c r="C227" s="99"/>
      <c r="D227" s="99"/>
      <c r="E227" s="99"/>
      <c r="F227" s="99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92"/>
      <c r="Z227" s="82"/>
      <c r="AA227" s="92"/>
      <c r="AB227" s="82"/>
      <c r="AC227" s="85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82"/>
      <c r="BR227" s="82"/>
      <c r="BS227" s="82"/>
      <c r="BT227" s="82"/>
      <c r="BU227" s="82"/>
      <c r="BV227" s="82"/>
      <c r="BW227" s="82"/>
      <c r="BX227" s="82"/>
      <c r="BY227" s="82"/>
      <c r="BZ227" s="82"/>
      <c r="CA227" s="82"/>
      <c r="CB227" s="82"/>
      <c r="CC227" s="82"/>
      <c r="CD227" s="82"/>
      <c r="CE227" s="82"/>
      <c r="CF227" s="82"/>
      <c r="CG227" s="82"/>
      <c r="CH227" s="82"/>
      <c r="CI227" s="82"/>
      <c r="CJ227" s="82"/>
      <c r="CK227" s="82"/>
      <c r="CL227" s="82"/>
      <c r="CM227" s="82"/>
      <c r="CN227" s="82"/>
      <c r="CO227" s="82"/>
      <c r="CP227" s="82"/>
      <c r="CQ227" s="82"/>
      <c r="CR227" s="82"/>
      <c r="CS227" s="82"/>
      <c r="CT227" s="82"/>
      <c r="CU227" s="82"/>
      <c r="CV227" s="82"/>
      <c r="CW227" s="82"/>
      <c r="CX227" s="82"/>
      <c r="CY227" s="82"/>
      <c r="CZ227" s="82"/>
      <c r="DA227" s="82"/>
      <c r="DB227" s="82"/>
      <c r="DC227" s="82"/>
      <c r="DD227" s="82"/>
      <c r="DE227" s="73"/>
      <c r="DF227" s="99"/>
      <c r="DG227" s="82"/>
      <c r="DH227" s="82"/>
      <c r="DI227" s="82"/>
      <c r="DJ227" s="82"/>
      <c r="DK227" s="82"/>
      <c r="DL227" s="82"/>
      <c r="DM227" s="82"/>
      <c r="DN227" s="82"/>
      <c r="DO227" s="82"/>
      <c r="DP227" s="82"/>
      <c r="DQ227" s="82"/>
      <c r="DR227" s="82"/>
      <c r="DS227" s="82"/>
      <c r="DT227" s="82"/>
      <c r="DU227" s="82"/>
      <c r="DV227" s="82"/>
      <c r="DW227" s="82"/>
      <c r="DX227" s="82"/>
      <c r="DY227" s="82"/>
      <c r="DZ227" s="82"/>
      <c r="EA227" s="82"/>
      <c r="EB227" s="82"/>
      <c r="EC227" s="82"/>
      <c r="ED227" s="82"/>
      <c r="EE227" s="82"/>
      <c r="EG227" s="85"/>
    </row>
    <row r="228" spans="2:137" s="81" customFormat="1" ht="12.75" customHeight="1">
      <c r="B228" s="108"/>
      <c r="C228" s="99"/>
      <c r="D228" s="99"/>
      <c r="E228" s="99"/>
      <c r="F228" s="99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92"/>
      <c r="Z228" s="82"/>
      <c r="AA228" s="92"/>
      <c r="AB228" s="82"/>
      <c r="AC228" s="85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82"/>
      <c r="BR228" s="82"/>
      <c r="BS228" s="82"/>
      <c r="BT228" s="82"/>
      <c r="BU228" s="82"/>
      <c r="BV228" s="82"/>
      <c r="BW228" s="82"/>
      <c r="BX228" s="82"/>
      <c r="BY228" s="82"/>
      <c r="BZ228" s="82"/>
      <c r="CA228" s="82"/>
      <c r="CB228" s="82"/>
      <c r="CC228" s="82"/>
      <c r="CD228" s="82"/>
      <c r="CE228" s="82"/>
      <c r="CF228" s="82"/>
      <c r="CG228" s="82"/>
      <c r="CH228" s="82"/>
      <c r="CI228" s="82"/>
      <c r="CJ228" s="82"/>
      <c r="CK228" s="82"/>
      <c r="CL228" s="82"/>
      <c r="CM228" s="82"/>
      <c r="CN228" s="82"/>
      <c r="CO228" s="82"/>
      <c r="CP228" s="82"/>
      <c r="CQ228" s="82"/>
      <c r="CR228" s="82"/>
      <c r="CS228" s="82"/>
      <c r="CT228" s="82"/>
      <c r="CU228" s="82"/>
      <c r="CV228" s="82"/>
      <c r="CW228" s="82"/>
      <c r="CX228" s="82"/>
      <c r="CY228" s="82"/>
      <c r="CZ228" s="82"/>
      <c r="DA228" s="82"/>
      <c r="DB228" s="82"/>
      <c r="DC228" s="82"/>
      <c r="DD228" s="82"/>
      <c r="DE228" s="73"/>
      <c r="DF228" s="99"/>
      <c r="DG228" s="82"/>
      <c r="DH228" s="82"/>
      <c r="DI228" s="82"/>
      <c r="DJ228" s="82"/>
      <c r="DK228" s="82"/>
      <c r="DL228" s="82"/>
      <c r="DM228" s="82"/>
      <c r="DN228" s="82"/>
      <c r="DO228" s="82"/>
      <c r="DP228" s="82"/>
      <c r="DQ228" s="82"/>
      <c r="DR228" s="82"/>
      <c r="DS228" s="82"/>
      <c r="DT228" s="82"/>
      <c r="DU228" s="82"/>
      <c r="DV228" s="82"/>
      <c r="DW228" s="82"/>
      <c r="DX228" s="82"/>
      <c r="DY228" s="82"/>
      <c r="DZ228" s="82"/>
      <c r="EA228" s="82"/>
      <c r="EB228" s="82"/>
      <c r="EC228" s="82"/>
      <c r="ED228" s="82"/>
      <c r="EE228" s="82"/>
      <c r="EG228" s="85"/>
    </row>
    <row r="229" spans="2:137" s="81" customFormat="1" ht="12.75" customHeight="1">
      <c r="B229" s="108"/>
      <c r="C229" s="99"/>
      <c r="D229" s="99"/>
      <c r="E229" s="99"/>
      <c r="F229" s="99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92"/>
      <c r="Z229" s="82"/>
      <c r="AA229" s="92"/>
      <c r="AB229" s="82"/>
      <c r="AC229" s="85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82"/>
      <c r="BR229" s="82"/>
      <c r="BS229" s="82"/>
      <c r="BT229" s="82"/>
      <c r="BU229" s="82"/>
      <c r="BV229" s="82"/>
      <c r="BW229" s="82"/>
      <c r="BX229" s="82"/>
      <c r="BY229" s="82"/>
      <c r="BZ229" s="82"/>
      <c r="CA229" s="82"/>
      <c r="CB229" s="82"/>
      <c r="CC229" s="82"/>
      <c r="CD229" s="82"/>
      <c r="CE229" s="82"/>
      <c r="CF229" s="82"/>
      <c r="CG229" s="82"/>
      <c r="CH229" s="82"/>
      <c r="CI229" s="82"/>
      <c r="CJ229" s="82"/>
      <c r="CK229" s="82"/>
      <c r="CL229" s="82"/>
      <c r="CM229" s="82"/>
      <c r="CN229" s="82"/>
      <c r="CO229" s="82"/>
      <c r="CP229" s="82"/>
      <c r="CQ229" s="82"/>
      <c r="CR229" s="82"/>
      <c r="CS229" s="82"/>
      <c r="CT229" s="82"/>
      <c r="CU229" s="82"/>
      <c r="CV229" s="82"/>
      <c r="CW229" s="82"/>
      <c r="CX229" s="82"/>
      <c r="CY229" s="82"/>
      <c r="CZ229" s="82"/>
      <c r="DA229" s="82"/>
      <c r="DB229" s="82"/>
      <c r="DC229" s="82"/>
      <c r="DD229" s="82"/>
      <c r="DE229" s="73"/>
      <c r="DF229" s="99"/>
      <c r="DG229" s="82"/>
      <c r="DH229" s="82"/>
      <c r="DI229" s="82"/>
      <c r="DJ229" s="82"/>
      <c r="DK229" s="82"/>
      <c r="DL229" s="82"/>
      <c r="DM229" s="82"/>
      <c r="DN229" s="82"/>
      <c r="DO229" s="82"/>
      <c r="DP229" s="82"/>
      <c r="DQ229" s="82"/>
      <c r="DR229" s="82"/>
      <c r="DS229" s="82"/>
      <c r="DT229" s="82"/>
      <c r="DU229" s="82"/>
      <c r="DV229" s="82"/>
      <c r="DW229" s="82"/>
      <c r="DX229" s="82"/>
      <c r="DY229" s="82"/>
      <c r="DZ229" s="82"/>
      <c r="EA229" s="82"/>
      <c r="EB229" s="82"/>
      <c r="EC229" s="82"/>
      <c r="ED229" s="82"/>
      <c r="EE229" s="82"/>
      <c r="EG229" s="85"/>
    </row>
    <row r="230" spans="2:137" s="81" customFormat="1" ht="12.75" customHeight="1">
      <c r="B230" s="108"/>
      <c r="C230" s="99"/>
      <c r="D230" s="99"/>
      <c r="E230" s="99"/>
      <c r="F230" s="99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92"/>
      <c r="Z230" s="82"/>
      <c r="AA230" s="92"/>
      <c r="AB230" s="82"/>
      <c r="AC230" s="85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82"/>
      <c r="BR230" s="82"/>
      <c r="BS230" s="82"/>
      <c r="BT230" s="82"/>
      <c r="BU230" s="82"/>
      <c r="BV230" s="82"/>
      <c r="BW230" s="82"/>
      <c r="BX230" s="82"/>
      <c r="BY230" s="82"/>
      <c r="BZ230" s="82"/>
      <c r="CA230" s="82"/>
      <c r="CB230" s="82"/>
      <c r="CC230" s="82"/>
      <c r="CD230" s="82"/>
      <c r="CE230" s="82"/>
      <c r="CF230" s="82"/>
      <c r="CG230" s="82"/>
      <c r="CH230" s="82"/>
      <c r="CI230" s="82"/>
      <c r="CJ230" s="82"/>
      <c r="CK230" s="82"/>
      <c r="CL230" s="82"/>
      <c r="CM230" s="82"/>
      <c r="CN230" s="82"/>
      <c r="CO230" s="82"/>
      <c r="CP230" s="82"/>
      <c r="CQ230" s="82"/>
      <c r="CR230" s="82"/>
      <c r="CS230" s="82"/>
      <c r="CT230" s="82"/>
      <c r="CU230" s="82"/>
      <c r="CV230" s="82"/>
      <c r="CW230" s="82"/>
      <c r="CX230" s="82"/>
      <c r="CY230" s="82"/>
      <c r="CZ230" s="82"/>
      <c r="DA230" s="82"/>
      <c r="DB230" s="82"/>
      <c r="DC230" s="82"/>
      <c r="DD230" s="82"/>
      <c r="DE230" s="73"/>
      <c r="DF230" s="99"/>
      <c r="DG230" s="82"/>
      <c r="DH230" s="82"/>
      <c r="DI230" s="82"/>
      <c r="DJ230" s="82"/>
      <c r="DK230" s="82"/>
      <c r="DL230" s="82"/>
      <c r="DM230" s="82"/>
      <c r="DN230" s="82"/>
      <c r="DO230" s="82"/>
      <c r="DP230" s="82"/>
      <c r="DQ230" s="82"/>
      <c r="DR230" s="82"/>
      <c r="DS230" s="82"/>
      <c r="DT230" s="82"/>
      <c r="DU230" s="82"/>
      <c r="DV230" s="82"/>
      <c r="DW230" s="82"/>
      <c r="DX230" s="82"/>
      <c r="DY230" s="82"/>
      <c r="DZ230" s="82"/>
      <c r="EA230" s="82"/>
      <c r="EB230" s="82"/>
      <c r="EC230" s="82"/>
      <c r="ED230" s="82"/>
      <c r="EE230" s="82"/>
      <c r="EG230" s="85"/>
    </row>
    <row r="231" spans="2:137" s="81" customFormat="1" ht="12.75" customHeight="1">
      <c r="B231" s="108"/>
      <c r="C231" s="99"/>
      <c r="D231" s="99"/>
      <c r="E231" s="99"/>
      <c r="F231" s="99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92"/>
      <c r="Z231" s="82"/>
      <c r="AA231" s="92"/>
      <c r="AB231" s="82"/>
      <c r="AC231" s="85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82"/>
      <c r="BR231" s="82"/>
      <c r="BS231" s="82"/>
      <c r="BT231" s="82"/>
      <c r="BU231" s="82"/>
      <c r="BV231" s="82"/>
      <c r="BW231" s="82"/>
      <c r="BX231" s="82"/>
      <c r="BY231" s="82"/>
      <c r="BZ231" s="82"/>
      <c r="CA231" s="82"/>
      <c r="CB231" s="82"/>
      <c r="CC231" s="82"/>
      <c r="CD231" s="82"/>
      <c r="CE231" s="82"/>
      <c r="CF231" s="82"/>
      <c r="CG231" s="82"/>
      <c r="CH231" s="82"/>
      <c r="CI231" s="82"/>
      <c r="CJ231" s="82"/>
      <c r="CK231" s="82"/>
      <c r="CL231" s="82"/>
      <c r="CM231" s="82"/>
      <c r="CN231" s="82"/>
      <c r="CO231" s="82"/>
      <c r="CP231" s="82"/>
      <c r="CQ231" s="82"/>
      <c r="CR231" s="82"/>
      <c r="CS231" s="82"/>
      <c r="CT231" s="82"/>
      <c r="CU231" s="82"/>
      <c r="CV231" s="82"/>
      <c r="CW231" s="82"/>
      <c r="CX231" s="82"/>
      <c r="CY231" s="82"/>
      <c r="CZ231" s="82"/>
      <c r="DA231" s="82"/>
      <c r="DB231" s="82"/>
      <c r="DC231" s="82"/>
      <c r="DD231" s="82"/>
      <c r="DE231" s="73"/>
      <c r="DF231" s="99"/>
      <c r="DG231" s="82"/>
      <c r="DH231" s="82"/>
      <c r="DI231" s="82"/>
      <c r="DJ231" s="82"/>
      <c r="DK231" s="82"/>
      <c r="DL231" s="82"/>
      <c r="DM231" s="82"/>
      <c r="DN231" s="82"/>
      <c r="DO231" s="82"/>
      <c r="DP231" s="82"/>
      <c r="DQ231" s="82"/>
      <c r="DR231" s="82"/>
      <c r="DS231" s="82"/>
      <c r="DT231" s="82"/>
      <c r="DU231" s="82"/>
      <c r="DV231" s="82"/>
      <c r="DW231" s="82"/>
      <c r="DX231" s="82"/>
      <c r="DY231" s="82"/>
      <c r="DZ231" s="82"/>
      <c r="EA231" s="82"/>
      <c r="EB231" s="82"/>
      <c r="EC231" s="82"/>
      <c r="ED231" s="82"/>
      <c r="EE231" s="82"/>
      <c r="EG231" s="85"/>
    </row>
    <row r="232" spans="2:137" s="81" customFormat="1" ht="12.75" customHeight="1">
      <c r="B232" s="108"/>
      <c r="C232" s="99"/>
      <c r="D232" s="99"/>
      <c r="E232" s="99"/>
      <c r="F232" s="99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92"/>
      <c r="Z232" s="82"/>
      <c r="AA232" s="92"/>
      <c r="AB232" s="82"/>
      <c r="AC232" s="85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82"/>
      <c r="BR232" s="82"/>
      <c r="BS232" s="82"/>
      <c r="BT232" s="82"/>
      <c r="BU232" s="82"/>
      <c r="BV232" s="82"/>
      <c r="BW232" s="82"/>
      <c r="BX232" s="82"/>
      <c r="BY232" s="82"/>
      <c r="BZ232" s="82"/>
      <c r="CA232" s="82"/>
      <c r="CB232" s="82"/>
      <c r="CC232" s="82"/>
      <c r="CD232" s="82"/>
      <c r="CE232" s="82"/>
      <c r="CF232" s="82"/>
      <c r="CG232" s="82"/>
      <c r="CH232" s="82"/>
      <c r="CI232" s="82"/>
      <c r="CJ232" s="82"/>
      <c r="CK232" s="82"/>
      <c r="CL232" s="82"/>
      <c r="CM232" s="82"/>
      <c r="CN232" s="82"/>
      <c r="CO232" s="82"/>
      <c r="CP232" s="82"/>
      <c r="CQ232" s="82"/>
      <c r="CR232" s="82"/>
      <c r="CS232" s="82"/>
      <c r="CT232" s="82"/>
      <c r="CU232" s="82"/>
      <c r="CV232" s="82"/>
      <c r="CW232" s="82"/>
      <c r="CX232" s="82"/>
      <c r="CY232" s="82"/>
      <c r="CZ232" s="82"/>
      <c r="DA232" s="82"/>
      <c r="DB232" s="82"/>
      <c r="DC232" s="82"/>
      <c r="DD232" s="82"/>
      <c r="DE232" s="73"/>
      <c r="DF232" s="99"/>
      <c r="DG232" s="82"/>
      <c r="DH232" s="82"/>
      <c r="DI232" s="82"/>
      <c r="DJ232" s="82"/>
      <c r="DK232" s="82"/>
      <c r="DL232" s="82"/>
      <c r="DM232" s="82"/>
      <c r="DN232" s="82"/>
      <c r="DO232" s="82"/>
      <c r="DP232" s="82"/>
      <c r="DQ232" s="82"/>
      <c r="DR232" s="82"/>
      <c r="DS232" s="82"/>
      <c r="DT232" s="82"/>
      <c r="DU232" s="82"/>
      <c r="DV232" s="82"/>
      <c r="DW232" s="82"/>
      <c r="DX232" s="82"/>
      <c r="DY232" s="82"/>
      <c r="DZ232" s="82"/>
      <c r="EA232" s="82"/>
      <c r="EB232" s="82"/>
      <c r="EC232" s="82"/>
      <c r="ED232" s="82"/>
      <c r="EE232" s="82"/>
      <c r="EG232" s="85"/>
    </row>
    <row r="233" spans="2:137" s="81" customFormat="1" ht="12.75" customHeight="1">
      <c r="B233" s="108"/>
      <c r="C233" s="99"/>
      <c r="D233" s="99"/>
      <c r="E233" s="99"/>
      <c r="F233" s="99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92"/>
      <c r="Z233" s="82"/>
      <c r="AA233" s="92"/>
      <c r="AB233" s="82"/>
      <c r="AC233" s="85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82"/>
      <c r="BR233" s="82"/>
      <c r="BS233" s="82"/>
      <c r="BT233" s="82"/>
      <c r="BU233" s="82"/>
      <c r="BV233" s="82"/>
      <c r="BW233" s="82"/>
      <c r="BX233" s="82"/>
      <c r="BY233" s="82"/>
      <c r="BZ233" s="82"/>
      <c r="CA233" s="82"/>
      <c r="CB233" s="82"/>
      <c r="CC233" s="82"/>
      <c r="CD233" s="82"/>
      <c r="CE233" s="82"/>
      <c r="CF233" s="82"/>
      <c r="CG233" s="82"/>
      <c r="CH233" s="82"/>
      <c r="CI233" s="82"/>
      <c r="CJ233" s="82"/>
      <c r="CK233" s="82"/>
      <c r="CL233" s="82"/>
      <c r="CM233" s="82"/>
      <c r="CN233" s="82"/>
      <c r="CO233" s="82"/>
      <c r="CP233" s="82"/>
      <c r="CQ233" s="82"/>
      <c r="CR233" s="82"/>
      <c r="CS233" s="82"/>
      <c r="CT233" s="82"/>
      <c r="CU233" s="82"/>
      <c r="CV233" s="82"/>
      <c r="CW233" s="82"/>
      <c r="CX233" s="82"/>
      <c r="CY233" s="82"/>
      <c r="CZ233" s="82"/>
      <c r="DA233" s="82"/>
      <c r="DB233" s="82"/>
      <c r="DC233" s="82"/>
      <c r="DD233" s="82"/>
      <c r="DE233" s="73"/>
      <c r="DF233" s="99"/>
      <c r="DG233" s="82"/>
      <c r="DH233" s="82"/>
      <c r="DI233" s="82"/>
      <c r="DJ233" s="82"/>
      <c r="DK233" s="82"/>
      <c r="DL233" s="82"/>
      <c r="DM233" s="82"/>
      <c r="DN233" s="82"/>
      <c r="DO233" s="82"/>
      <c r="DP233" s="82"/>
      <c r="DQ233" s="82"/>
      <c r="DR233" s="82"/>
      <c r="DS233" s="82"/>
      <c r="DT233" s="82"/>
      <c r="DU233" s="82"/>
      <c r="DV233" s="82"/>
      <c r="DW233" s="82"/>
      <c r="DX233" s="82"/>
      <c r="DY233" s="82"/>
      <c r="DZ233" s="82"/>
      <c r="EA233" s="82"/>
      <c r="EB233" s="82"/>
      <c r="EC233" s="82"/>
      <c r="ED233" s="82"/>
      <c r="EE233" s="82"/>
      <c r="EG233" s="85"/>
    </row>
    <row r="234" spans="2:137" s="81" customFormat="1" ht="12.75" customHeight="1">
      <c r="B234" s="108"/>
      <c r="C234" s="99"/>
      <c r="D234" s="99"/>
      <c r="E234" s="99"/>
      <c r="F234" s="99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92"/>
      <c r="Z234" s="82"/>
      <c r="AA234" s="92"/>
      <c r="AB234" s="82"/>
      <c r="AC234" s="85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82"/>
      <c r="BR234" s="82"/>
      <c r="BS234" s="82"/>
      <c r="BT234" s="82"/>
      <c r="BU234" s="82"/>
      <c r="BV234" s="82"/>
      <c r="BW234" s="82"/>
      <c r="BX234" s="82"/>
      <c r="BY234" s="82"/>
      <c r="BZ234" s="82"/>
      <c r="CA234" s="82"/>
      <c r="CB234" s="82"/>
      <c r="CC234" s="82"/>
      <c r="CD234" s="82"/>
      <c r="CE234" s="82"/>
      <c r="CF234" s="82"/>
      <c r="CG234" s="82"/>
      <c r="CH234" s="82"/>
      <c r="CI234" s="82"/>
      <c r="CJ234" s="82"/>
      <c r="CK234" s="82"/>
      <c r="CL234" s="82"/>
      <c r="CM234" s="82"/>
      <c r="CN234" s="82"/>
      <c r="CO234" s="82"/>
      <c r="CP234" s="82"/>
      <c r="CQ234" s="82"/>
      <c r="CR234" s="82"/>
      <c r="CS234" s="82"/>
      <c r="CT234" s="82"/>
      <c r="CU234" s="82"/>
      <c r="CV234" s="82"/>
      <c r="CW234" s="82"/>
      <c r="CX234" s="82"/>
      <c r="CY234" s="82"/>
      <c r="CZ234" s="82"/>
      <c r="DA234" s="82"/>
      <c r="DB234" s="82"/>
      <c r="DC234" s="82"/>
      <c r="DD234" s="82"/>
      <c r="DE234" s="73"/>
      <c r="DF234" s="99"/>
      <c r="DG234" s="82"/>
      <c r="DH234" s="82"/>
      <c r="DI234" s="82"/>
      <c r="DJ234" s="82"/>
      <c r="DK234" s="82"/>
      <c r="DL234" s="82"/>
      <c r="DM234" s="82"/>
      <c r="DN234" s="82"/>
      <c r="DO234" s="82"/>
      <c r="DP234" s="82"/>
      <c r="DQ234" s="82"/>
      <c r="DR234" s="82"/>
      <c r="DS234" s="82"/>
      <c r="DT234" s="82"/>
      <c r="DU234" s="82"/>
      <c r="DV234" s="82"/>
      <c r="DW234" s="82"/>
      <c r="DX234" s="82"/>
      <c r="DY234" s="82"/>
      <c r="DZ234" s="82"/>
      <c r="EA234" s="82"/>
      <c r="EB234" s="82"/>
      <c r="EC234" s="82"/>
      <c r="ED234" s="82"/>
      <c r="EE234" s="82"/>
      <c r="EG234" s="85"/>
    </row>
    <row r="235" spans="2:137" s="81" customFormat="1" ht="12.75" customHeight="1">
      <c r="B235" s="108"/>
      <c r="C235" s="99"/>
      <c r="D235" s="99"/>
      <c r="E235" s="99"/>
      <c r="F235" s="99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92"/>
      <c r="Z235" s="82"/>
      <c r="AA235" s="92"/>
      <c r="AB235" s="82"/>
      <c r="AC235" s="85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82"/>
      <c r="BR235" s="82"/>
      <c r="BS235" s="82"/>
      <c r="BT235" s="82"/>
      <c r="BU235" s="82"/>
      <c r="BV235" s="82"/>
      <c r="BW235" s="82"/>
      <c r="BX235" s="82"/>
      <c r="BY235" s="82"/>
      <c r="BZ235" s="82"/>
      <c r="CA235" s="82"/>
      <c r="CB235" s="82"/>
      <c r="CC235" s="82"/>
      <c r="CD235" s="82"/>
      <c r="CE235" s="82"/>
      <c r="CF235" s="82"/>
      <c r="CG235" s="82"/>
      <c r="CH235" s="82"/>
      <c r="CI235" s="82"/>
      <c r="CJ235" s="82"/>
      <c r="CK235" s="82"/>
      <c r="CL235" s="82"/>
      <c r="CM235" s="82"/>
      <c r="CN235" s="82"/>
      <c r="CO235" s="82"/>
      <c r="CP235" s="82"/>
      <c r="CQ235" s="82"/>
      <c r="CR235" s="82"/>
      <c r="CS235" s="82"/>
      <c r="CT235" s="82"/>
      <c r="CU235" s="82"/>
      <c r="CV235" s="82"/>
      <c r="CW235" s="82"/>
      <c r="CX235" s="82"/>
      <c r="CY235" s="82"/>
      <c r="CZ235" s="82"/>
      <c r="DA235" s="82"/>
      <c r="DB235" s="82"/>
      <c r="DC235" s="82"/>
      <c r="DD235" s="82"/>
      <c r="DE235" s="73"/>
      <c r="DF235" s="99"/>
      <c r="DG235" s="82"/>
      <c r="DH235" s="82"/>
      <c r="DI235" s="82"/>
      <c r="DJ235" s="82"/>
      <c r="DK235" s="82"/>
      <c r="DL235" s="82"/>
      <c r="DM235" s="82"/>
      <c r="DN235" s="82"/>
      <c r="DO235" s="82"/>
      <c r="DP235" s="82"/>
      <c r="DQ235" s="82"/>
      <c r="DR235" s="82"/>
      <c r="DS235" s="82"/>
      <c r="DT235" s="82"/>
      <c r="DU235" s="82"/>
      <c r="DV235" s="82"/>
      <c r="DW235" s="82"/>
      <c r="DX235" s="82"/>
      <c r="DY235" s="82"/>
      <c r="DZ235" s="82"/>
      <c r="EA235" s="82"/>
      <c r="EB235" s="82"/>
      <c r="EC235" s="82"/>
      <c r="ED235" s="82"/>
      <c r="EE235" s="82"/>
      <c r="EG235" s="85"/>
    </row>
    <row r="236" spans="2:137" s="81" customFormat="1" ht="12.75" customHeight="1">
      <c r="B236" s="108"/>
      <c r="C236" s="99"/>
      <c r="D236" s="99"/>
      <c r="E236" s="99"/>
      <c r="F236" s="99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92"/>
      <c r="Z236" s="82"/>
      <c r="AA236" s="92"/>
      <c r="AB236" s="82"/>
      <c r="AC236" s="85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82"/>
      <c r="BQ236" s="82"/>
      <c r="BR236" s="82"/>
      <c r="BS236" s="82"/>
      <c r="BT236" s="82"/>
      <c r="BU236" s="82"/>
      <c r="BV236" s="82"/>
      <c r="BW236" s="82"/>
      <c r="BX236" s="82"/>
      <c r="BY236" s="82"/>
      <c r="BZ236" s="82"/>
      <c r="CA236" s="82"/>
      <c r="CB236" s="82"/>
      <c r="CC236" s="82"/>
      <c r="CD236" s="82"/>
      <c r="CE236" s="82"/>
      <c r="CF236" s="82"/>
      <c r="CG236" s="82"/>
      <c r="CH236" s="82"/>
      <c r="CI236" s="82"/>
      <c r="CJ236" s="82"/>
      <c r="CK236" s="82"/>
      <c r="CL236" s="82"/>
      <c r="CM236" s="82"/>
      <c r="CN236" s="82"/>
      <c r="CO236" s="82"/>
      <c r="CP236" s="82"/>
      <c r="CQ236" s="82"/>
      <c r="CR236" s="82"/>
      <c r="CS236" s="82"/>
      <c r="CT236" s="82"/>
      <c r="CU236" s="82"/>
      <c r="CV236" s="82"/>
      <c r="CW236" s="82"/>
      <c r="CX236" s="82"/>
      <c r="CY236" s="82"/>
      <c r="CZ236" s="82"/>
      <c r="DA236" s="82"/>
      <c r="DB236" s="82"/>
      <c r="DC236" s="82"/>
      <c r="DD236" s="82"/>
      <c r="DE236" s="73"/>
      <c r="DF236" s="99"/>
      <c r="DG236" s="82"/>
      <c r="DH236" s="82"/>
      <c r="DI236" s="82"/>
      <c r="DJ236" s="82"/>
      <c r="DK236" s="82"/>
      <c r="DL236" s="82"/>
      <c r="DM236" s="82"/>
      <c r="DN236" s="82"/>
      <c r="DO236" s="82"/>
      <c r="DP236" s="82"/>
      <c r="DQ236" s="82"/>
      <c r="DR236" s="82"/>
      <c r="DS236" s="82"/>
      <c r="DT236" s="82"/>
      <c r="DU236" s="82"/>
      <c r="DV236" s="82"/>
      <c r="DW236" s="82"/>
      <c r="DX236" s="82"/>
      <c r="DY236" s="82"/>
      <c r="DZ236" s="82"/>
      <c r="EA236" s="82"/>
      <c r="EB236" s="82"/>
      <c r="EC236" s="82"/>
      <c r="ED236" s="82"/>
      <c r="EE236" s="82"/>
      <c r="EG236" s="85"/>
    </row>
    <row r="237" spans="2:137" s="81" customFormat="1" ht="12.75" customHeight="1">
      <c r="B237" s="108"/>
      <c r="C237" s="99"/>
      <c r="D237" s="99"/>
      <c r="E237" s="99"/>
      <c r="F237" s="99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92"/>
      <c r="Z237" s="82"/>
      <c r="AA237" s="92"/>
      <c r="AB237" s="82"/>
      <c r="AC237" s="85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82"/>
      <c r="BR237" s="82"/>
      <c r="BS237" s="82"/>
      <c r="BT237" s="82"/>
      <c r="BU237" s="82"/>
      <c r="BV237" s="82"/>
      <c r="BW237" s="82"/>
      <c r="BX237" s="82"/>
      <c r="BY237" s="82"/>
      <c r="BZ237" s="82"/>
      <c r="CA237" s="82"/>
      <c r="CB237" s="82"/>
      <c r="CC237" s="82"/>
      <c r="CD237" s="82"/>
      <c r="CE237" s="82"/>
      <c r="CF237" s="82"/>
      <c r="CG237" s="82"/>
      <c r="CH237" s="82"/>
      <c r="CI237" s="82"/>
      <c r="CJ237" s="82"/>
      <c r="CK237" s="82"/>
      <c r="CL237" s="82"/>
      <c r="CM237" s="82"/>
      <c r="CN237" s="82"/>
      <c r="CO237" s="82"/>
      <c r="CP237" s="82"/>
      <c r="CQ237" s="82"/>
      <c r="CR237" s="82"/>
      <c r="CS237" s="82"/>
      <c r="CT237" s="82"/>
      <c r="CU237" s="82"/>
      <c r="CV237" s="82"/>
      <c r="CW237" s="82"/>
      <c r="CX237" s="82"/>
      <c r="CY237" s="82"/>
      <c r="CZ237" s="82"/>
      <c r="DA237" s="82"/>
      <c r="DB237" s="82"/>
      <c r="DC237" s="82"/>
      <c r="DD237" s="82"/>
      <c r="DE237" s="73"/>
      <c r="DF237" s="99"/>
      <c r="DG237" s="82"/>
      <c r="DH237" s="82"/>
      <c r="DI237" s="82"/>
      <c r="DJ237" s="82"/>
      <c r="DK237" s="82"/>
      <c r="DL237" s="82"/>
      <c r="DM237" s="82"/>
      <c r="DN237" s="82"/>
      <c r="DO237" s="82"/>
      <c r="DP237" s="82"/>
      <c r="DQ237" s="82"/>
      <c r="DR237" s="82"/>
      <c r="DS237" s="82"/>
      <c r="DT237" s="82"/>
      <c r="DU237" s="82"/>
      <c r="DV237" s="82"/>
      <c r="DW237" s="82"/>
      <c r="DX237" s="82"/>
      <c r="DY237" s="82"/>
      <c r="DZ237" s="82"/>
      <c r="EA237" s="82"/>
      <c r="EB237" s="82"/>
      <c r="EC237" s="82"/>
      <c r="ED237" s="82"/>
      <c r="EE237" s="82"/>
      <c r="EG237" s="85"/>
    </row>
    <row r="238" spans="2:137" s="81" customFormat="1" ht="12.75" customHeight="1">
      <c r="B238" s="108"/>
      <c r="C238" s="99"/>
      <c r="D238" s="99"/>
      <c r="E238" s="99"/>
      <c r="F238" s="99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92"/>
      <c r="Z238" s="82"/>
      <c r="AA238" s="92"/>
      <c r="AB238" s="82"/>
      <c r="AC238" s="85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82"/>
      <c r="BR238" s="82"/>
      <c r="BS238" s="82"/>
      <c r="BT238" s="82"/>
      <c r="BU238" s="82"/>
      <c r="BV238" s="82"/>
      <c r="BW238" s="82"/>
      <c r="BX238" s="82"/>
      <c r="BY238" s="82"/>
      <c r="BZ238" s="82"/>
      <c r="CA238" s="82"/>
      <c r="CB238" s="82"/>
      <c r="CC238" s="82"/>
      <c r="CD238" s="82"/>
      <c r="CE238" s="82"/>
      <c r="CF238" s="82"/>
      <c r="CG238" s="82"/>
      <c r="CH238" s="82"/>
      <c r="CI238" s="82"/>
      <c r="CJ238" s="82"/>
      <c r="CK238" s="82"/>
      <c r="CL238" s="82"/>
      <c r="CM238" s="82"/>
      <c r="CN238" s="82"/>
      <c r="CO238" s="82"/>
      <c r="CP238" s="82"/>
      <c r="CQ238" s="82"/>
      <c r="CR238" s="82"/>
      <c r="CS238" s="82"/>
      <c r="CT238" s="82"/>
      <c r="CU238" s="82"/>
      <c r="CV238" s="82"/>
      <c r="CW238" s="82"/>
      <c r="CX238" s="82"/>
      <c r="CY238" s="82"/>
      <c r="CZ238" s="82"/>
      <c r="DA238" s="82"/>
      <c r="DB238" s="82"/>
      <c r="DC238" s="82"/>
      <c r="DD238" s="82"/>
      <c r="DE238" s="73"/>
      <c r="DF238" s="99"/>
      <c r="DG238" s="82"/>
      <c r="DH238" s="82"/>
      <c r="DI238" s="82"/>
      <c r="DJ238" s="82"/>
      <c r="DK238" s="82"/>
      <c r="DL238" s="82"/>
      <c r="DM238" s="82"/>
      <c r="DN238" s="82"/>
      <c r="DO238" s="82"/>
      <c r="DP238" s="82"/>
      <c r="DQ238" s="82"/>
      <c r="DR238" s="82"/>
      <c r="DS238" s="82"/>
      <c r="DT238" s="82"/>
      <c r="DU238" s="82"/>
      <c r="DV238" s="82"/>
      <c r="DW238" s="82"/>
      <c r="DX238" s="82"/>
      <c r="DY238" s="82"/>
      <c r="DZ238" s="82"/>
      <c r="EA238" s="82"/>
      <c r="EB238" s="82"/>
      <c r="EC238" s="82"/>
      <c r="ED238" s="82"/>
      <c r="EE238" s="82"/>
      <c r="EG238" s="85"/>
    </row>
    <row r="239" spans="2:137" s="81" customFormat="1" ht="12.75" customHeight="1">
      <c r="B239" s="108"/>
      <c r="C239" s="99"/>
      <c r="D239" s="99"/>
      <c r="E239" s="99"/>
      <c r="F239" s="99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92"/>
      <c r="Z239" s="82"/>
      <c r="AA239" s="92"/>
      <c r="AB239" s="82"/>
      <c r="AC239" s="85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82"/>
      <c r="BR239" s="82"/>
      <c r="BS239" s="82"/>
      <c r="BT239" s="82"/>
      <c r="BU239" s="82"/>
      <c r="BV239" s="82"/>
      <c r="BW239" s="82"/>
      <c r="BX239" s="82"/>
      <c r="BY239" s="82"/>
      <c r="BZ239" s="82"/>
      <c r="CA239" s="82"/>
      <c r="CB239" s="82"/>
      <c r="CC239" s="82"/>
      <c r="CD239" s="82"/>
      <c r="CE239" s="82"/>
      <c r="CF239" s="82"/>
      <c r="CG239" s="82"/>
      <c r="CH239" s="82"/>
      <c r="CI239" s="82"/>
      <c r="CJ239" s="82"/>
      <c r="CK239" s="82"/>
      <c r="CL239" s="82"/>
      <c r="CM239" s="82"/>
      <c r="CN239" s="82"/>
      <c r="CO239" s="82"/>
      <c r="CP239" s="82"/>
      <c r="CQ239" s="82"/>
      <c r="CR239" s="82"/>
      <c r="CS239" s="82"/>
      <c r="CT239" s="82"/>
      <c r="CU239" s="82"/>
      <c r="CV239" s="82"/>
      <c r="CW239" s="82"/>
      <c r="CX239" s="82"/>
      <c r="CY239" s="82"/>
      <c r="CZ239" s="82"/>
      <c r="DA239" s="82"/>
      <c r="DB239" s="82"/>
      <c r="DC239" s="82"/>
      <c r="DD239" s="82"/>
      <c r="DE239" s="73"/>
      <c r="DF239" s="99"/>
      <c r="DG239" s="82"/>
      <c r="DH239" s="82"/>
      <c r="DI239" s="82"/>
      <c r="DJ239" s="82"/>
      <c r="DK239" s="82"/>
      <c r="DL239" s="82"/>
      <c r="DM239" s="82"/>
      <c r="DN239" s="82"/>
      <c r="DO239" s="82"/>
      <c r="DP239" s="82"/>
      <c r="DQ239" s="82"/>
      <c r="DR239" s="82"/>
      <c r="DS239" s="82"/>
      <c r="DT239" s="82"/>
      <c r="DU239" s="82"/>
      <c r="DV239" s="82"/>
      <c r="DW239" s="82"/>
      <c r="DX239" s="82"/>
      <c r="DY239" s="82"/>
      <c r="DZ239" s="82"/>
      <c r="EA239" s="82"/>
      <c r="EB239" s="82"/>
      <c r="EC239" s="82"/>
      <c r="ED239" s="82"/>
      <c r="EE239" s="82"/>
      <c r="EG239" s="85"/>
    </row>
    <row r="240" spans="2:137" s="81" customFormat="1" ht="12.75" customHeight="1">
      <c r="B240" s="108"/>
      <c r="C240" s="99"/>
      <c r="D240" s="99"/>
      <c r="E240" s="99"/>
      <c r="F240" s="99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92"/>
      <c r="Z240" s="82"/>
      <c r="AA240" s="92"/>
      <c r="AB240" s="82"/>
      <c r="AC240" s="85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82"/>
      <c r="BR240" s="82"/>
      <c r="BS240" s="82"/>
      <c r="BT240" s="82"/>
      <c r="BU240" s="82"/>
      <c r="BV240" s="82"/>
      <c r="BW240" s="82"/>
      <c r="BX240" s="82"/>
      <c r="BY240" s="82"/>
      <c r="BZ240" s="82"/>
      <c r="CA240" s="82"/>
      <c r="CB240" s="82"/>
      <c r="CC240" s="82"/>
      <c r="CD240" s="82"/>
      <c r="CE240" s="82"/>
      <c r="CF240" s="82"/>
      <c r="CG240" s="82"/>
      <c r="CH240" s="82"/>
      <c r="CI240" s="82"/>
      <c r="CJ240" s="82"/>
      <c r="CK240" s="82"/>
      <c r="CL240" s="82"/>
      <c r="CM240" s="82"/>
      <c r="CN240" s="82"/>
      <c r="CO240" s="82"/>
      <c r="CP240" s="82"/>
      <c r="CQ240" s="82"/>
      <c r="CR240" s="82"/>
      <c r="CS240" s="82"/>
      <c r="CT240" s="82"/>
      <c r="CU240" s="82"/>
      <c r="CV240" s="82"/>
      <c r="CW240" s="82"/>
      <c r="CX240" s="82"/>
      <c r="CY240" s="82"/>
      <c r="CZ240" s="82"/>
      <c r="DA240" s="82"/>
      <c r="DB240" s="82"/>
      <c r="DC240" s="82"/>
      <c r="DD240" s="82"/>
      <c r="DE240" s="73"/>
      <c r="DF240" s="99"/>
      <c r="DG240" s="82"/>
      <c r="DH240" s="82"/>
      <c r="DI240" s="82"/>
      <c r="DJ240" s="82"/>
      <c r="DK240" s="82"/>
      <c r="DL240" s="82"/>
      <c r="DM240" s="82"/>
      <c r="DN240" s="82"/>
      <c r="DO240" s="82"/>
      <c r="DP240" s="82"/>
      <c r="DQ240" s="82"/>
      <c r="DR240" s="82"/>
      <c r="DS240" s="82"/>
      <c r="DT240" s="82"/>
      <c r="DU240" s="82"/>
      <c r="DV240" s="82"/>
      <c r="DW240" s="82"/>
      <c r="DX240" s="82"/>
      <c r="DY240" s="82"/>
      <c r="DZ240" s="82"/>
      <c r="EA240" s="82"/>
      <c r="EB240" s="82"/>
      <c r="EC240" s="82"/>
      <c r="ED240" s="82"/>
      <c r="EE240" s="82"/>
      <c r="EG240" s="85"/>
    </row>
    <row r="241" spans="2:137" s="81" customFormat="1" ht="12.75" customHeight="1">
      <c r="B241" s="108"/>
      <c r="C241" s="99"/>
      <c r="D241" s="99"/>
      <c r="E241" s="99"/>
      <c r="F241" s="99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92"/>
      <c r="Z241" s="82"/>
      <c r="AA241" s="92"/>
      <c r="AB241" s="82"/>
      <c r="AC241" s="85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82"/>
      <c r="BR241" s="82"/>
      <c r="BS241" s="82"/>
      <c r="BT241" s="82"/>
      <c r="BU241" s="82"/>
      <c r="BV241" s="82"/>
      <c r="BW241" s="82"/>
      <c r="BX241" s="82"/>
      <c r="BY241" s="82"/>
      <c r="BZ241" s="82"/>
      <c r="CA241" s="82"/>
      <c r="CB241" s="82"/>
      <c r="CC241" s="82"/>
      <c r="CD241" s="82"/>
      <c r="CE241" s="82"/>
      <c r="CF241" s="82"/>
      <c r="CG241" s="82"/>
      <c r="CH241" s="82"/>
      <c r="CI241" s="82"/>
      <c r="CJ241" s="82"/>
      <c r="CK241" s="82"/>
      <c r="CL241" s="82"/>
      <c r="CM241" s="82"/>
      <c r="CN241" s="82"/>
      <c r="CO241" s="82"/>
      <c r="CP241" s="82"/>
      <c r="CQ241" s="82"/>
      <c r="CR241" s="82"/>
      <c r="CS241" s="82"/>
      <c r="CT241" s="82"/>
      <c r="CU241" s="82"/>
      <c r="CV241" s="82"/>
      <c r="CW241" s="82"/>
      <c r="CX241" s="82"/>
      <c r="CY241" s="82"/>
      <c r="CZ241" s="82"/>
      <c r="DA241" s="82"/>
      <c r="DB241" s="82"/>
      <c r="DC241" s="82"/>
      <c r="DD241" s="82"/>
      <c r="DE241" s="73"/>
      <c r="DF241" s="99"/>
      <c r="DG241" s="82"/>
      <c r="DH241" s="82"/>
      <c r="DI241" s="82"/>
      <c r="DJ241" s="82"/>
      <c r="DK241" s="82"/>
      <c r="DL241" s="82"/>
      <c r="DM241" s="82"/>
      <c r="DN241" s="82"/>
      <c r="DO241" s="82"/>
      <c r="DP241" s="82"/>
      <c r="DQ241" s="82"/>
      <c r="DR241" s="82"/>
      <c r="DS241" s="82"/>
      <c r="DT241" s="82"/>
      <c r="DU241" s="82"/>
      <c r="DV241" s="82"/>
      <c r="DW241" s="82"/>
      <c r="DX241" s="82"/>
      <c r="DY241" s="82"/>
      <c r="DZ241" s="82"/>
      <c r="EA241" s="82"/>
      <c r="EB241" s="82"/>
      <c r="EC241" s="82"/>
      <c r="ED241" s="82"/>
      <c r="EE241" s="82"/>
      <c r="EG241" s="85"/>
    </row>
    <row r="242" spans="2:137" s="81" customFormat="1" ht="12.75" customHeight="1">
      <c r="B242" s="108"/>
      <c r="C242" s="99"/>
      <c r="D242" s="99"/>
      <c r="E242" s="99"/>
      <c r="F242" s="99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92"/>
      <c r="Z242" s="82"/>
      <c r="AA242" s="92"/>
      <c r="AB242" s="82"/>
      <c r="AC242" s="85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82"/>
      <c r="BR242" s="82"/>
      <c r="BS242" s="82"/>
      <c r="BT242" s="82"/>
      <c r="BU242" s="82"/>
      <c r="BV242" s="82"/>
      <c r="BW242" s="82"/>
      <c r="BX242" s="82"/>
      <c r="BY242" s="82"/>
      <c r="BZ242" s="82"/>
      <c r="CA242" s="82"/>
      <c r="CB242" s="82"/>
      <c r="CC242" s="82"/>
      <c r="CD242" s="82"/>
      <c r="CE242" s="82"/>
      <c r="CF242" s="82"/>
      <c r="CG242" s="82"/>
      <c r="CH242" s="82"/>
      <c r="CI242" s="82"/>
      <c r="CJ242" s="82"/>
      <c r="CK242" s="82"/>
      <c r="CL242" s="82"/>
      <c r="CM242" s="82"/>
      <c r="CN242" s="82"/>
      <c r="CO242" s="82"/>
      <c r="CP242" s="82"/>
      <c r="CQ242" s="82"/>
      <c r="CR242" s="82"/>
      <c r="CS242" s="82"/>
      <c r="CT242" s="82"/>
      <c r="CU242" s="82"/>
      <c r="CV242" s="82"/>
      <c r="CW242" s="82"/>
      <c r="CX242" s="82"/>
      <c r="CY242" s="82"/>
      <c r="CZ242" s="82"/>
      <c r="DA242" s="82"/>
      <c r="DB242" s="82"/>
      <c r="DC242" s="82"/>
      <c r="DD242" s="82"/>
      <c r="DE242" s="73"/>
      <c r="DF242" s="99"/>
      <c r="DG242" s="82"/>
      <c r="DH242" s="82"/>
      <c r="DI242" s="82"/>
      <c r="DJ242" s="82"/>
      <c r="DK242" s="82"/>
      <c r="DL242" s="82"/>
      <c r="DM242" s="82"/>
      <c r="DN242" s="82"/>
      <c r="DO242" s="82"/>
      <c r="DP242" s="82"/>
      <c r="DQ242" s="82"/>
      <c r="DR242" s="82"/>
      <c r="DS242" s="82"/>
      <c r="DT242" s="82"/>
      <c r="DU242" s="82"/>
      <c r="DV242" s="82"/>
      <c r="DW242" s="82"/>
      <c r="DX242" s="82"/>
      <c r="DY242" s="82"/>
      <c r="DZ242" s="82"/>
      <c r="EA242" s="82"/>
      <c r="EB242" s="82"/>
      <c r="EC242" s="82"/>
      <c r="ED242" s="82"/>
      <c r="EE242" s="82"/>
      <c r="EG242" s="85"/>
    </row>
    <row r="243" spans="2:137" s="81" customFormat="1" ht="12.75" customHeight="1">
      <c r="B243" s="108"/>
      <c r="C243" s="99"/>
      <c r="D243" s="99"/>
      <c r="E243" s="99"/>
      <c r="F243" s="99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92"/>
      <c r="Z243" s="82"/>
      <c r="AA243" s="92"/>
      <c r="AB243" s="82"/>
      <c r="AC243" s="85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82"/>
      <c r="BR243" s="82"/>
      <c r="BS243" s="82"/>
      <c r="BT243" s="82"/>
      <c r="BU243" s="82"/>
      <c r="BV243" s="82"/>
      <c r="BW243" s="82"/>
      <c r="BX243" s="82"/>
      <c r="BY243" s="82"/>
      <c r="BZ243" s="82"/>
      <c r="CA243" s="82"/>
      <c r="CB243" s="82"/>
      <c r="CC243" s="82"/>
      <c r="CD243" s="82"/>
      <c r="CE243" s="82"/>
      <c r="CF243" s="82"/>
      <c r="CG243" s="82"/>
      <c r="CH243" s="82"/>
      <c r="CI243" s="82"/>
      <c r="CJ243" s="82"/>
      <c r="CK243" s="82"/>
      <c r="CL243" s="82"/>
      <c r="CM243" s="82"/>
      <c r="CN243" s="82"/>
      <c r="CO243" s="82"/>
      <c r="CP243" s="82"/>
      <c r="CQ243" s="82"/>
      <c r="CR243" s="82"/>
      <c r="CS243" s="82"/>
      <c r="CT243" s="82"/>
      <c r="CU243" s="82"/>
      <c r="CV243" s="82"/>
      <c r="CW243" s="82"/>
      <c r="CX243" s="82"/>
      <c r="CY243" s="82"/>
      <c r="CZ243" s="82"/>
      <c r="DA243" s="82"/>
      <c r="DB243" s="82"/>
      <c r="DC243" s="82"/>
      <c r="DD243" s="82"/>
      <c r="DE243" s="73"/>
      <c r="DF243" s="99"/>
      <c r="DG243" s="82"/>
      <c r="DH243" s="82"/>
      <c r="DI243" s="82"/>
      <c r="DJ243" s="82"/>
      <c r="DK243" s="82"/>
      <c r="DL243" s="82"/>
      <c r="DM243" s="82"/>
      <c r="DN243" s="82"/>
      <c r="DO243" s="82"/>
      <c r="DP243" s="82"/>
      <c r="DQ243" s="82"/>
      <c r="DR243" s="82"/>
      <c r="DS243" s="82"/>
      <c r="DT243" s="82"/>
      <c r="DU243" s="82"/>
      <c r="DV243" s="82"/>
      <c r="DW243" s="82"/>
      <c r="DX243" s="82"/>
      <c r="DY243" s="82"/>
      <c r="DZ243" s="82"/>
      <c r="EA243" s="82"/>
      <c r="EB243" s="82"/>
      <c r="EC243" s="82"/>
      <c r="ED243" s="82"/>
      <c r="EE243" s="82"/>
      <c r="EG243" s="85"/>
    </row>
    <row r="244" spans="2:137" s="81" customFormat="1" ht="12.75" customHeight="1">
      <c r="B244" s="108"/>
      <c r="C244" s="99"/>
      <c r="D244" s="99"/>
      <c r="E244" s="99"/>
      <c r="F244" s="99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92"/>
      <c r="Z244" s="82"/>
      <c r="AA244" s="92"/>
      <c r="AB244" s="82"/>
      <c r="AC244" s="85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  <c r="BN244" s="82"/>
      <c r="BO244" s="82"/>
      <c r="BP244" s="82"/>
      <c r="BQ244" s="82"/>
      <c r="BR244" s="82"/>
      <c r="BS244" s="82"/>
      <c r="BT244" s="82"/>
      <c r="BU244" s="82"/>
      <c r="BV244" s="82"/>
      <c r="BW244" s="82"/>
      <c r="BX244" s="82"/>
      <c r="BY244" s="82"/>
      <c r="BZ244" s="82"/>
      <c r="CA244" s="82"/>
      <c r="CB244" s="82"/>
      <c r="CC244" s="82"/>
      <c r="CD244" s="82"/>
      <c r="CE244" s="82"/>
      <c r="CF244" s="82"/>
      <c r="CG244" s="82"/>
      <c r="CH244" s="82"/>
      <c r="CI244" s="82"/>
      <c r="CJ244" s="82"/>
      <c r="CK244" s="82"/>
      <c r="CL244" s="82"/>
      <c r="CM244" s="82"/>
      <c r="CN244" s="82"/>
      <c r="CO244" s="82"/>
      <c r="CP244" s="82"/>
      <c r="CQ244" s="82"/>
      <c r="CR244" s="82"/>
      <c r="CS244" s="82"/>
      <c r="CT244" s="82"/>
      <c r="CU244" s="82"/>
      <c r="CV244" s="82"/>
      <c r="CW244" s="82"/>
      <c r="CX244" s="82"/>
      <c r="CY244" s="82"/>
      <c r="CZ244" s="82"/>
      <c r="DA244" s="82"/>
      <c r="DB244" s="82"/>
      <c r="DC244" s="82"/>
      <c r="DD244" s="82"/>
      <c r="DE244" s="73"/>
      <c r="DF244" s="99"/>
      <c r="DG244" s="82"/>
      <c r="DH244" s="82"/>
      <c r="DI244" s="82"/>
      <c r="DJ244" s="82"/>
      <c r="DK244" s="82"/>
      <c r="DL244" s="82"/>
      <c r="DM244" s="82"/>
      <c r="DN244" s="82"/>
      <c r="DO244" s="82"/>
      <c r="DP244" s="82"/>
      <c r="DQ244" s="82"/>
      <c r="DR244" s="82"/>
      <c r="DS244" s="82"/>
      <c r="DT244" s="82"/>
      <c r="DU244" s="82"/>
      <c r="DV244" s="82"/>
      <c r="DW244" s="82"/>
      <c r="DX244" s="82"/>
      <c r="DY244" s="82"/>
      <c r="DZ244" s="82"/>
      <c r="EA244" s="82"/>
      <c r="EB244" s="82"/>
      <c r="EC244" s="82"/>
      <c r="ED244" s="82"/>
      <c r="EE244" s="82"/>
      <c r="EG244" s="85"/>
    </row>
    <row r="245" spans="2:137" s="81" customFormat="1" ht="12.75" customHeight="1">
      <c r="B245" s="108"/>
      <c r="C245" s="99"/>
      <c r="D245" s="99"/>
      <c r="E245" s="99"/>
      <c r="F245" s="99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92"/>
      <c r="Z245" s="82"/>
      <c r="AA245" s="92"/>
      <c r="AB245" s="82"/>
      <c r="AC245" s="85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  <c r="BN245" s="82"/>
      <c r="BO245" s="82"/>
      <c r="BP245" s="82"/>
      <c r="BQ245" s="82"/>
      <c r="BR245" s="82"/>
      <c r="BS245" s="82"/>
      <c r="BT245" s="82"/>
      <c r="BU245" s="82"/>
      <c r="BV245" s="82"/>
      <c r="BW245" s="82"/>
      <c r="BX245" s="82"/>
      <c r="BY245" s="82"/>
      <c r="BZ245" s="82"/>
      <c r="CA245" s="82"/>
      <c r="CB245" s="82"/>
      <c r="CC245" s="82"/>
      <c r="CD245" s="82"/>
      <c r="CE245" s="82"/>
      <c r="CF245" s="82"/>
      <c r="CG245" s="82"/>
      <c r="CH245" s="82"/>
      <c r="CI245" s="82"/>
      <c r="CJ245" s="82"/>
      <c r="CK245" s="82"/>
      <c r="CL245" s="82"/>
      <c r="CM245" s="82"/>
      <c r="CN245" s="82"/>
      <c r="CO245" s="82"/>
      <c r="CP245" s="82"/>
      <c r="CQ245" s="82"/>
      <c r="CR245" s="82"/>
      <c r="CS245" s="82"/>
      <c r="CT245" s="82"/>
      <c r="CU245" s="82"/>
      <c r="CV245" s="82"/>
      <c r="CW245" s="82"/>
      <c r="CX245" s="82"/>
      <c r="CY245" s="82"/>
      <c r="CZ245" s="82"/>
      <c r="DA245" s="82"/>
      <c r="DB245" s="82"/>
      <c r="DC245" s="82"/>
      <c r="DD245" s="82"/>
      <c r="DE245" s="73"/>
      <c r="DF245" s="99"/>
      <c r="DG245" s="82"/>
      <c r="DH245" s="82"/>
      <c r="DI245" s="82"/>
      <c r="DJ245" s="82"/>
      <c r="DK245" s="82"/>
      <c r="DL245" s="82"/>
      <c r="DM245" s="82"/>
      <c r="DN245" s="82"/>
      <c r="DO245" s="82"/>
      <c r="DP245" s="82"/>
      <c r="DQ245" s="82"/>
      <c r="DR245" s="82"/>
      <c r="DS245" s="82"/>
      <c r="DT245" s="82"/>
      <c r="DU245" s="82"/>
      <c r="DV245" s="82"/>
      <c r="DW245" s="82"/>
      <c r="DX245" s="82"/>
      <c r="DY245" s="82"/>
      <c r="DZ245" s="82"/>
      <c r="EA245" s="82"/>
      <c r="EB245" s="82"/>
      <c r="EC245" s="82"/>
      <c r="ED245" s="82"/>
      <c r="EE245" s="82"/>
      <c r="EG245" s="85"/>
    </row>
  </sheetData>
  <phoneticPr fontId="0" type="noConversion"/>
  <hyperlinks>
    <hyperlink ref="A1" location="Main!A1" display="Main" xr:uid="{00000000-0004-0000-0300-000000000000}"/>
  </hyperlinks>
  <pageMargins left="7.0000000000000007E-2" right="0.74" top="0.08" bottom="0.13" header="0.5" footer="0.14000000000000001"/>
  <pageSetup scale="50" orientation="landscape" r:id="rId1"/>
  <headerFooter alignWithMargins="0"/>
  <ignoredErrors>
    <ignoredError sqref="DI99:DI100 DF106 DI107 DF98:DF100 DF92:DH92 DF94:DF95 DJ94 DF101:DF102 DI95 DH94:DH95 DG94:DG95 DG98:DH100 DJ98:DJ100 DG106:DH106 DJ103 DG103:DI103 DF103 DG101:DH102 DJ101:DJ102 DI101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1AAB-47CB-4183-845C-23DE9686DA67}">
  <dimension ref="A1:H47"/>
  <sheetViews>
    <sheetView zoomScale="175" zoomScaleNormal="175" workbookViewId="0">
      <selection activeCell="C7" sqref="C7"/>
    </sheetView>
  </sheetViews>
  <sheetFormatPr defaultColWidth="8.81640625" defaultRowHeight="12.5"/>
  <cols>
    <col min="1" max="1" width="5" bestFit="1" customWidth="1"/>
    <col min="2" max="2" width="12" bestFit="1" customWidth="1"/>
    <col min="3" max="3" width="14.1796875" customWidth="1"/>
    <col min="4" max="4" width="22.1796875" customWidth="1"/>
  </cols>
  <sheetData>
    <row r="1" spans="1:4">
      <c r="A1" s="5" t="s">
        <v>8</v>
      </c>
    </row>
    <row r="2" spans="1:4">
      <c r="B2" s="73" t="s">
        <v>755</v>
      </c>
      <c r="C2" s="73" t="s">
        <v>757</v>
      </c>
    </row>
    <row r="3" spans="1:4">
      <c r="B3" s="73" t="s">
        <v>756</v>
      </c>
      <c r="C3" s="73" t="s">
        <v>766</v>
      </c>
    </row>
    <row r="4" spans="1:4">
      <c r="B4" s="73" t="s">
        <v>767</v>
      </c>
      <c r="C4" s="73" t="s">
        <v>1017</v>
      </c>
    </row>
    <row r="5" spans="1:4">
      <c r="B5" s="73" t="s">
        <v>207</v>
      </c>
      <c r="C5" s="73" t="s">
        <v>768</v>
      </c>
    </row>
    <row r="6" spans="1:4">
      <c r="B6" s="73" t="s">
        <v>6</v>
      </c>
      <c r="C6" s="73" t="s">
        <v>1043</v>
      </c>
    </row>
    <row r="7" spans="1:4">
      <c r="B7" s="73" t="s">
        <v>210</v>
      </c>
    </row>
    <row r="8" spans="1:4">
      <c r="B8" s="73"/>
      <c r="C8" t="s">
        <v>998</v>
      </c>
      <c r="D8" t="s">
        <v>1011</v>
      </c>
    </row>
    <row r="9" spans="1:4">
      <c r="B9" s="73"/>
      <c r="C9" t="s">
        <v>1003</v>
      </c>
      <c r="D9" t="s">
        <v>979</v>
      </c>
    </row>
    <row r="10" spans="1:4">
      <c r="B10" s="73"/>
      <c r="C10" t="s">
        <v>1007</v>
      </c>
      <c r="D10" t="s">
        <v>1010</v>
      </c>
    </row>
    <row r="11" spans="1:4">
      <c r="B11" s="73"/>
      <c r="C11" t="s">
        <v>1029</v>
      </c>
      <c r="D11" t="s">
        <v>1030</v>
      </c>
    </row>
    <row r="12" spans="1:4">
      <c r="B12" s="73"/>
      <c r="C12" t="s">
        <v>1002</v>
      </c>
    </row>
    <row r="13" spans="1:4">
      <c r="B13" s="73"/>
      <c r="C13" t="s">
        <v>1042</v>
      </c>
      <c r="D13" t="s">
        <v>1016</v>
      </c>
    </row>
    <row r="14" spans="1:4">
      <c r="B14" s="73"/>
      <c r="C14" t="s">
        <v>1006</v>
      </c>
      <c r="D14" t="s">
        <v>1010</v>
      </c>
    </row>
    <row r="15" spans="1:4">
      <c r="B15" s="73"/>
      <c r="C15" t="s">
        <v>1018</v>
      </c>
    </row>
    <row r="16" spans="1:4">
      <c r="B16" s="73"/>
      <c r="C16" t="s">
        <v>1015</v>
      </c>
      <c r="D16" t="s">
        <v>1016</v>
      </c>
    </row>
    <row r="17" spans="2:4">
      <c r="B17" s="73"/>
      <c r="C17" t="s">
        <v>999</v>
      </c>
      <c r="D17" t="s">
        <v>1011</v>
      </c>
    </row>
    <row r="18" spans="2:4">
      <c r="B18" s="73"/>
      <c r="C18" t="s">
        <v>1040</v>
      </c>
      <c r="D18" t="s">
        <v>1041</v>
      </c>
    </row>
    <row r="19" spans="2:4">
      <c r="B19" s="73"/>
      <c r="C19" t="s">
        <v>1014</v>
      </c>
      <c r="D19" t="s">
        <v>1009</v>
      </c>
    </row>
    <row r="20" spans="2:4">
      <c r="B20" s="73"/>
      <c r="C20" t="s">
        <v>1005</v>
      </c>
      <c r="D20" t="s">
        <v>979</v>
      </c>
    </row>
    <row r="21" spans="2:4">
      <c r="B21" s="73"/>
      <c r="C21" t="s">
        <v>1036</v>
      </c>
      <c r="D21" t="s">
        <v>1037</v>
      </c>
    </row>
    <row r="22" spans="2:4">
      <c r="B22" s="73"/>
      <c r="C22" t="s">
        <v>1012</v>
      </c>
      <c r="D22" t="s">
        <v>1013</v>
      </c>
    </row>
    <row r="23" spans="2:4">
      <c r="B23" s="73"/>
      <c r="C23" t="s">
        <v>1000</v>
      </c>
      <c r="D23" t="s">
        <v>979</v>
      </c>
    </row>
    <row r="24" spans="2:4">
      <c r="B24" s="73"/>
      <c r="C24" t="s">
        <v>1008</v>
      </c>
      <c r="D24" t="s">
        <v>1009</v>
      </c>
    </row>
    <row r="25" spans="2:4">
      <c r="B25" s="73"/>
      <c r="C25" t="s">
        <v>1019</v>
      </c>
      <c r="D25" t="s">
        <v>1020</v>
      </c>
    </row>
    <row r="26" spans="2:4">
      <c r="B26" s="73"/>
      <c r="C26" t="s">
        <v>1034</v>
      </c>
      <c r="D26" t="s">
        <v>1035</v>
      </c>
    </row>
    <row r="27" spans="2:4">
      <c r="B27" s="73"/>
      <c r="C27" t="s">
        <v>1001</v>
      </c>
      <c r="D27" t="s">
        <v>979</v>
      </c>
    </row>
    <row r="28" spans="2:4">
      <c r="B28" s="73"/>
      <c r="C28" t="s">
        <v>1028</v>
      </c>
    </row>
    <row r="29" spans="2:4">
      <c r="B29" s="73"/>
      <c r="C29" t="s">
        <v>1021</v>
      </c>
      <c r="D29" t="s">
        <v>1020</v>
      </c>
    </row>
    <row r="30" spans="2:4">
      <c r="B30" s="73"/>
      <c r="C30" t="s">
        <v>1025</v>
      </c>
      <c r="D30" t="s">
        <v>1026</v>
      </c>
    </row>
    <row r="31" spans="2:4">
      <c r="B31" s="73"/>
      <c r="C31" t="s">
        <v>1027</v>
      </c>
      <c r="D31" t="s">
        <v>1026</v>
      </c>
    </row>
    <row r="32" spans="2:4">
      <c r="B32" s="73"/>
      <c r="C32" t="s">
        <v>994</v>
      </c>
      <c r="D32" t="s">
        <v>995</v>
      </c>
    </row>
    <row r="33" spans="2:8">
      <c r="B33" s="73"/>
      <c r="C33" t="s">
        <v>1004</v>
      </c>
      <c r="D33" t="s">
        <v>979</v>
      </c>
    </row>
    <row r="34" spans="2:8">
      <c r="B34" s="73"/>
      <c r="C34" t="s">
        <v>1022</v>
      </c>
      <c r="D34" t="s">
        <v>1023</v>
      </c>
    </row>
    <row r="35" spans="2:8">
      <c r="B35" s="73"/>
      <c r="C35" t="s">
        <v>992</v>
      </c>
      <c r="D35" t="s">
        <v>996</v>
      </c>
    </row>
    <row r="36" spans="2:8">
      <c r="B36" s="73"/>
      <c r="C36" t="s">
        <v>1038</v>
      </c>
      <c r="D36" t="s">
        <v>1037</v>
      </c>
    </row>
    <row r="37" spans="2:8">
      <c r="B37" s="73"/>
      <c r="C37" t="s">
        <v>991</v>
      </c>
      <c r="D37" t="s">
        <v>993</v>
      </c>
    </row>
    <row r="38" spans="2:8">
      <c r="B38" s="73"/>
      <c r="C38" t="s">
        <v>1024</v>
      </c>
      <c r="D38" t="s">
        <v>1023</v>
      </c>
    </row>
    <row r="39" spans="2:8">
      <c r="C39" s="73" t="s">
        <v>787</v>
      </c>
      <c r="D39" s="73" t="s">
        <v>788</v>
      </c>
      <c r="E39" s="73" t="s">
        <v>789</v>
      </c>
      <c r="F39" s="73" t="s">
        <v>790</v>
      </c>
      <c r="G39" s="73" t="s">
        <v>791</v>
      </c>
      <c r="H39" s="73" t="s">
        <v>793</v>
      </c>
    </row>
    <row r="40" spans="2:8">
      <c r="C40" s="73" t="s">
        <v>796</v>
      </c>
      <c r="D40" s="73" t="s">
        <v>799</v>
      </c>
      <c r="E40" s="73"/>
      <c r="F40" s="73"/>
      <c r="G40" s="73"/>
      <c r="H40" s="73" t="s">
        <v>797</v>
      </c>
    </row>
    <row r="41" spans="2:8">
      <c r="C41" s="73" t="s">
        <v>1031</v>
      </c>
      <c r="D41" s="73" t="s">
        <v>1030</v>
      </c>
      <c r="E41" s="73"/>
      <c r="F41" s="73"/>
      <c r="G41" s="73"/>
      <c r="H41" s="73"/>
    </row>
    <row r="42" spans="2:8">
      <c r="C42" s="73" t="s">
        <v>1032</v>
      </c>
      <c r="D42" s="73" t="s">
        <v>1033</v>
      </c>
      <c r="E42" s="73"/>
      <c r="F42" s="73"/>
      <c r="G42" s="73"/>
      <c r="H42" s="73"/>
    </row>
    <row r="43" spans="2:8">
      <c r="C43" s="73" t="s">
        <v>1039</v>
      </c>
      <c r="D43" s="73" t="s">
        <v>1037</v>
      </c>
      <c r="E43" s="73"/>
      <c r="F43" s="73"/>
      <c r="G43" s="73"/>
      <c r="H43" s="73"/>
    </row>
    <row r="44" spans="2:8">
      <c r="C44" s="73" t="s">
        <v>794</v>
      </c>
      <c r="D44" s="73" t="s">
        <v>800</v>
      </c>
      <c r="H44" s="73" t="s">
        <v>795</v>
      </c>
    </row>
    <row r="45" spans="2:8">
      <c r="C45" s="73" t="s">
        <v>801</v>
      </c>
      <c r="D45" s="73" t="s">
        <v>798</v>
      </c>
      <c r="H45" s="73" t="s">
        <v>802</v>
      </c>
    </row>
    <row r="47" spans="2:8">
      <c r="C47" t="s">
        <v>988</v>
      </c>
      <c r="G47" t="s">
        <v>989</v>
      </c>
      <c r="H47" t="s">
        <v>997</v>
      </c>
    </row>
  </sheetData>
  <hyperlinks>
    <hyperlink ref="A1" location="Main!A1" display="Main" xr:uid="{C271B4CD-7A40-42C0-9861-29175D018F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5F21-EC52-4AF6-B8C0-F4AEC80EF4E0}">
  <dimension ref="A1:C24"/>
  <sheetViews>
    <sheetView zoomScale="190" zoomScaleNormal="190" workbookViewId="0">
      <selection activeCell="C11" sqref="C11"/>
    </sheetView>
  </sheetViews>
  <sheetFormatPr defaultRowHeight="12.5"/>
  <cols>
    <col min="1" max="1" width="5" bestFit="1" customWidth="1"/>
    <col min="2" max="2" width="12.269531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1085</v>
      </c>
    </row>
    <row r="3" spans="1:3">
      <c r="B3" s="73" t="s">
        <v>756</v>
      </c>
      <c r="C3" s="73" t="s">
        <v>933</v>
      </c>
    </row>
    <row r="4" spans="1:3">
      <c r="B4" s="73" t="s">
        <v>3</v>
      </c>
      <c r="C4" s="73" t="s">
        <v>867</v>
      </c>
    </row>
    <row r="5" spans="1:3">
      <c r="B5" s="73" t="s">
        <v>760</v>
      </c>
      <c r="C5" s="73" t="s">
        <v>1083</v>
      </c>
    </row>
    <row r="6" spans="1:3">
      <c r="B6" s="73"/>
      <c r="C6" s="73" t="s">
        <v>1089</v>
      </c>
    </row>
    <row r="7" spans="1:3">
      <c r="B7" s="73" t="s">
        <v>1048</v>
      </c>
      <c r="C7" s="73" t="s">
        <v>1082</v>
      </c>
    </row>
    <row r="8" spans="1:3">
      <c r="B8" s="73"/>
      <c r="C8" s="73" t="s">
        <v>1080</v>
      </c>
    </row>
    <row r="9" spans="1:3">
      <c r="B9" s="73" t="s">
        <v>366</v>
      </c>
      <c r="C9" s="73" t="s">
        <v>1091</v>
      </c>
    </row>
    <row r="10" spans="1:3">
      <c r="B10" s="73" t="s">
        <v>5</v>
      </c>
      <c r="C10" s="73" t="s">
        <v>1096</v>
      </c>
    </row>
    <row r="11" spans="1:3">
      <c r="B11" s="73" t="s">
        <v>210</v>
      </c>
    </row>
    <row r="12" spans="1:3" ht="13">
      <c r="C12" s="16" t="s">
        <v>1087</v>
      </c>
    </row>
    <row r="13" spans="1:3">
      <c r="C13" s="73" t="s">
        <v>1095</v>
      </c>
    </row>
    <row r="16" spans="1:3" ht="13">
      <c r="C16" s="16" t="s">
        <v>1086</v>
      </c>
    </row>
    <row r="17" spans="3:3">
      <c r="C17" s="73" t="s">
        <v>1090</v>
      </c>
    </row>
    <row r="18" spans="3:3">
      <c r="C18" s="73" t="s">
        <v>1093</v>
      </c>
    </row>
    <row r="19" spans="3:3">
      <c r="C19" s="73" t="s">
        <v>1092</v>
      </c>
    </row>
    <row r="20" spans="3:3">
      <c r="C20" s="73" t="s">
        <v>1094</v>
      </c>
    </row>
    <row r="22" spans="3:3" ht="13">
      <c r="C22" s="16" t="s">
        <v>1088</v>
      </c>
    </row>
    <row r="24" spans="3:3" ht="13">
      <c r="C24" s="16" t="s">
        <v>1084</v>
      </c>
    </row>
  </sheetData>
  <hyperlinks>
    <hyperlink ref="A1" location="Main!A1" display="Main" xr:uid="{3C0DDEF1-CB5B-490B-A02D-A35721B554E8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0E3E-F3AF-4B8C-AEC0-E9E9F60A5323}">
  <dimension ref="A1:C10"/>
  <sheetViews>
    <sheetView zoomScale="190" zoomScaleNormal="190" workbookViewId="0"/>
  </sheetViews>
  <sheetFormatPr defaultRowHeight="12.5"/>
  <cols>
    <col min="1" max="1" width="5" bestFit="1" customWidth="1"/>
    <col min="2" max="2" width="12.269531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931</v>
      </c>
    </row>
    <row r="3" spans="1:3">
      <c r="B3" s="73" t="s">
        <v>756</v>
      </c>
      <c r="C3" s="73" t="s">
        <v>1071</v>
      </c>
    </row>
    <row r="4" spans="1:3">
      <c r="B4" s="73" t="s">
        <v>3</v>
      </c>
      <c r="C4" s="73" t="s">
        <v>1076</v>
      </c>
    </row>
    <row r="5" spans="1:3">
      <c r="B5" s="73" t="s">
        <v>760</v>
      </c>
      <c r="C5" s="73" t="s">
        <v>1074</v>
      </c>
    </row>
    <row r="6" spans="1:3">
      <c r="B6" s="73" t="s">
        <v>1048</v>
      </c>
      <c r="C6" s="73" t="s">
        <v>1070</v>
      </c>
    </row>
    <row r="7" spans="1:3">
      <c r="B7" s="73" t="s">
        <v>210</v>
      </c>
    </row>
    <row r="8" spans="1:3" ht="13">
      <c r="C8" s="16" t="s">
        <v>1077</v>
      </c>
    </row>
    <row r="9" spans="1:3">
      <c r="C9" s="73" t="s">
        <v>1078</v>
      </c>
    </row>
    <row r="10" spans="1:3">
      <c r="C10" s="73" t="s">
        <v>1079</v>
      </c>
    </row>
  </sheetData>
  <hyperlinks>
    <hyperlink ref="A1" location="Main!A1" display="Main" xr:uid="{0CFC7185-09E7-4766-B212-77A1072746A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zoomScale="160" zoomScaleNormal="160" workbookViewId="0"/>
  </sheetViews>
  <sheetFormatPr defaultColWidth="9.1796875" defaultRowHeight="12.5"/>
  <cols>
    <col min="1" max="1" width="5" bestFit="1" customWidth="1"/>
    <col min="2" max="2" width="14.7265625" customWidth="1"/>
  </cols>
  <sheetData>
    <row r="1" spans="1:3">
      <c r="A1" s="70" t="s">
        <v>8</v>
      </c>
    </row>
    <row r="2" spans="1:3">
      <c r="B2" t="s">
        <v>179</v>
      </c>
      <c r="C2" s="73" t="s">
        <v>13</v>
      </c>
    </row>
    <row r="3" spans="1:3">
      <c r="C3" s="73" t="s">
        <v>1049</v>
      </c>
    </row>
    <row r="4" spans="1:3">
      <c r="C4" s="73" t="s">
        <v>829</v>
      </c>
    </row>
    <row r="5" spans="1:3">
      <c r="B5" t="s">
        <v>3</v>
      </c>
      <c r="C5" t="s">
        <v>310</v>
      </c>
    </row>
    <row r="6" spans="1:3">
      <c r="C6" s="73" t="s">
        <v>1051</v>
      </c>
    </row>
    <row r="7" spans="1:3">
      <c r="C7" t="s">
        <v>421</v>
      </c>
    </row>
    <row r="8" spans="1:3">
      <c r="C8" t="s">
        <v>479</v>
      </c>
    </row>
    <row r="9" spans="1:3">
      <c r="C9" s="73" t="s">
        <v>1052</v>
      </c>
    </row>
    <row r="10" spans="1:3">
      <c r="C10" s="73" t="s">
        <v>1053</v>
      </c>
    </row>
    <row r="11" spans="1:3">
      <c r="B11" t="s">
        <v>192</v>
      </c>
      <c r="C11" t="s">
        <v>203</v>
      </c>
    </row>
    <row r="12" spans="1:3">
      <c r="B12" t="s">
        <v>193</v>
      </c>
      <c r="C12" t="s">
        <v>194</v>
      </c>
    </row>
    <row r="13" spans="1:3">
      <c r="B13" t="s">
        <v>184</v>
      </c>
      <c r="C13" t="s">
        <v>480</v>
      </c>
    </row>
    <row r="14" spans="1:3">
      <c r="B14" t="s">
        <v>308</v>
      </c>
      <c r="C14" t="s">
        <v>309</v>
      </c>
    </row>
    <row r="15" spans="1:3">
      <c r="B15" t="s">
        <v>5</v>
      </c>
      <c r="C15" t="s">
        <v>422</v>
      </c>
    </row>
    <row r="16" spans="1:3">
      <c r="B16" s="73" t="s">
        <v>268</v>
      </c>
      <c r="C16" s="131" t="s">
        <v>1072</v>
      </c>
    </row>
    <row r="17" spans="2:3">
      <c r="B17" s="73" t="s">
        <v>1048</v>
      </c>
      <c r="C17" s="73" t="s">
        <v>1055</v>
      </c>
    </row>
    <row r="18" spans="2:3">
      <c r="C18" s="73" t="s">
        <v>1050</v>
      </c>
    </row>
    <row r="19" spans="2:3">
      <c r="B19" t="s">
        <v>305</v>
      </c>
      <c r="C19" t="s">
        <v>306</v>
      </c>
    </row>
    <row r="20" spans="2:3">
      <c r="C20" t="s">
        <v>24</v>
      </c>
    </row>
    <row r="21" spans="2:3">
      <c r="C21" t="s">
        <v>25</v>
      </c>
    </row>
    <row r="23" spans="2:3">
      <c r="C23" t="s">
        <v>19</v>
      </c>
    </row>
    <row r="24" spans="2:3">
      <c r="C24" t="s">
        <v>20</v>
      </c>
    </row>
    <row r="26" spans="2:3">
      <c r="C26" t="s">
        <v>21</v>
      </c>
    </row>
    <row r="27" spans="2:3">
      <c r="C27" t="s">
        <v>27</v>
      </c>
    </row>
    <row r="28" spans="2:3">
      <c r="C28" t="s">
        <v>22</v>
      </c>
    </row>
    <row r="29" spans="2:3">
      <c r="C29" t="s">
        <v>23</v>
      </c>
    </row>
    <row r="30" spans="2:3">
      <c r="C30" t="s">
        <v>26</v>
      </c>
    </row>
    <row r="32" spans="2:3">
      <c r="C32" t="s">
        <v>28</v>
      </c>
    </row>
    <row r="34" spans="3:11">
      <c r="D34" s="48">
        <v>2006</v>
      </c>
      <c r="E34" s="48">
        <f t="shared" ref="E34:K34" si="0">D34+1</f>
        <v>2007</v>
      </c>
      <c r="F34" s="48">
        <f t="shared" si="0"/>
        <v>2008</v>
      </c>
      <c r="G34" s="48">
        <f t="shared" si="0"/>
        <v>2009</v>
      </c>
      <c r="H34" s="48">
        <f t="shared" si="0"/>
        <v>2010</v>
      </c>
      <c r="I34" s="48">
        <f t="shared" si="0"/>
        <v>2011</v>
      </c>
      <c r="J34" s="48">
        <f t="shared" si="0"/>
        <v>2012</v>
      </c>
      <c r="K34" s="48">
        <f t="shared" si="0"/>
        <v>2013</v>
      </c>
    </row>
    <row r="35" spans="3:11" s="132" customFormat="1">
      <c r="C35" s="132" t="s">
        <v>195</v>
      </c>
      <c r="D35" s="133"/>
      <c r="E35" s="133"/>
      <c r="F35" s="133"/>
      <c r="G35" s="133"/>
      <c r="H35" s="133">
        <v>2800</v>
      </c>
      <c r="I35" s="133"/>
      <c r="J35" s="133"/>
      <c r="K35" s="133"/>
    </row>
    <row r="36" spans="3:11">
      <c r="D36" s="48"/>
      <c r="E36" s="48"/>
      <c r="F36" s="48"/>
      <c r="G36" s="48"/>
      <c r="H36" s="48"/>
      <c r="I36" s="48"/>
      <c r="J36" s="48"/>
      <c r="K36" s="48"/>
    </row>
    <row r="37" spans="3:11">
      <c r="C37" t="s">
        <v>54</v>
      </c>
      <c r="D37" s="48"/>
      <c r="E37" s="48"/>
      <c r="F37" s="48"/>
      <c r="G37" s="48"/>
      <c r="H37" s="48"/>
      <c r="I37" s="48"/>
      <c r="J37" s="48"/>
      <c r="K37" s="48"/>
    </row>
    <row r="38" spans="3:11">
      <c r="D38" s="48"/>
      <c r="E38" s="48"/>
      <c r="F38" s="48"/>
      <c r="G38" s="48"/>
      <c r="H38" s="48"/>
      <c r="I38" s="48"/>
      <c r="J38" s="48"/>
      <c r="K38" s="48"/>
    </row>
    <row r="39" spans="3:11">
      <c r="C39" t="s">
        <v>129</v>
      </c>
      <c r="D39" t="s">
        <v>130</v>
      </c>
      <c r="E39">
        <v>0</v>
      </c>
      <c r="F39">
        <v>123.35</v>
      </c>
      <c r="G39" t="s">
        <v>131</v>
      </c>
      <c r="H39" t="s">
        <v>132</v>
      </c>
    </row>
    <row r="40" spans="3:11">
      <c r="C40" t="s">
        <v>133</v>
      </c>
      <c r="D40" t="s">
        <v>134</v>
      </c>
      <c r="E40">
        <v>68</v>
      </c>
      <c r="F40">
        <v>82</v>
      </c>
      <c r="G40" t="s">
        <v>135</v>
      </c>
      <c r="H40" t="s">
        <v>132</v>
      </c>
    </row>
    <row r="41" spans="3:11">
      <c r="C41" t="s">
        <v>136</v>
      </c>
      <c r="D41" t="s">
        <v>137</v>
      </c>
      <c r="E41">
        <v>28.75</v>
      </c>
      <c r="F41">
        <v>35.25</v>
      </c>
      <c r="G41" t="s">
        <v>138</v>
      </c>
      <c r="H41" t="s">
        <v>132</v>
      </c>
    </row>
    <row r="42" spans="3:11">
      <c r="C42" t="s">
        <v>139</v>
      </c>
      <c r="D42" t="s">
        <v>140</v>
      </c>
      <c r="E42">
        <v>17.239999999999998</v>
      </c>
      <c r="F42" t="s">
        <v>141</v>
      </c>
      <c r="G42" t="s">
        <v>123</v>
      </c>
      <c r="H42" t="s">
        <v>142</v>
      </c>
    </row>
    <row r="43" spans="3:11">
      <c r="C43" t="s">
        <v>143</v>
      </c>
      <c r="D43" t="s">
        <v>144</v>
      </c>
      <c r="E43">
        <v>54.12</v>
      </c>
      <c r="F43">
        <v>66</v>
      </c>
      <c r="G43" t="s">
        <v>145</v>
      </c>
      <c r="H43" t="s">
        <v>146</v>
      </c>
    </row>
    <row r="44" spans="3:11">
      <c r="C44" t="s">
        <v>147</v>
      </c>
      <c r="D44" t="s">
        <v>151</v>
      </c>
      <c r="E44">
        <v>36.909999999999997</v>
      </c>
      <c r="F44">
        <v>78.16</v>
      </c>
      <c r="G44" t="s">
        <v>138</v>
      </c>
      <c r="H44" t="s">
        <v>149</v>
      </c>
    </row>
    <row r="45" spans="3:11">
      <c r="C45" t="s">
        <v>150</v>
      </c>
      <c r="D45" t="s">
        <v>148</v>
      </c>
      <c r="E45">
        <v>52.25</v>
      </c>
      <c r="F45">
        <v>66.81</v>
      </c>
      <c r="G45" t="s">
        <v>131</v>
      </c>
      <c r="H45" t="s">
        <v>132</v>
      </c>
    </row>
    <row r="46" spans="3:11">
      <c r="C46" t="s">
        <v>152</v>
      </c>
      <c r="D46" t="s">
        <v>153</v>
      </c>
      <c r="E46">
        <v>24.25</v>
      </c>
      <c r="F46">
        <v>59.09</v>
      </c>
      <c r="G46" t="s">
        <v>131</v>
      </c>
      <c r="H46" t="s">
        <v>149</v>
      </c>
    </row>
    <row r="48" spans="3:11">
      <c r="C48" t="s">
        <v>200</v>
      </c>
    </row>
    <row r="49" spans="3:3">
      <c r="C49" t="s">
        <v>201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9DEC-44F8-43EE-8B6F-270F9AD7B515}">
  <dimension ref="A1:E13"/>
  <sheetViews>
    <sheetView zoomScale="190" zoomScaleNormal="190" workbookViewId="0"/>
  </sheetViews>
  <sheetFormatPr defaultColWidth="8.81640625" defaultRowHeight="12.5"/>
  <cols>
    <col min="1" max="1" width="5" bestFit="1" customWidth="1"/>
    <col min="3" max="3" width="11.54296875" customWidth="1"/>
  </cols>
  <sheetData>
    <row r="1" spans="1:5">
      <c r="A1" s="5" t="s">
        <v>8</v>
      </c>
    </row>
    <row r="2" spans="1:5">
      <c r="B2" s="73" t="s">
        <v>755</v>
      </c>
      <c r="C2" s="73" t="s">
        <v>742</v>
      </c>
    </row>
    <row r="3" spans="1:5">
      <c r="B3" s="73" t="s">
        <v>756</v>
      </c>
      <c r="C3" s="73" t="s">
        <v>934</v>
      </c>
    </row>
    <row r="4" spans="1:5">
      <c r="B4" s="73" t="s">
        <v>3</v>
      </c>
      <c r="C4" s="73" t="s">
        <v>935</v>
      </c>
    </row>
    <row r="5" spans="1:5">
      <c r="B5" s="73" t="s">
        <v>760</v>
      </c>
      <c r="C5" s="73" t="s">
        <v>936</v>
      </c>
    </row>
    <row r="6" spans="1:5">
      <c r="B6" s="73" t="s">
        <v>370</v>
      </c>
      <c r="C6" s="72">
        <v>42048</v>
      </c>
    </row>
    <row r="7" spans="1:5">
      <c r="B7" s="73" t="s">
        <v>6</v>
      </c>
      <c r="C7" s="73" t="s">
        <v>937</v>
      </c>
    </row>
    <row r="9" spans="1:5">
      <c r="E9" s="129" t="s">
        <v>938</v>
      </c>
    </row>
    <row r="13" spans="1:5">
      <c r="C13" s="73" t="s">
        <v>939</v>
      </c>
    </row>
  </sheetData>
  <hyperlinks>
    <hyperlink ref="A1" location="Main!A1" display="Main" xr:uid="{7AA2E9CD-D275-4FB7-AE9C-83500AF716E3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1A16-316E-48BB-B999-AA82650C1096}">
  <dimension ref="A1:C28"/>
  <sheetViews>
    <sheetView zoomScale="160" zoomScaleNormal="160" workbookViewId="0">
      <selection activeCell="C5" sqref="C5"/>
    </sheetView>
  </sheetViews>
  <sheetFormatPr defaultColWidth="8.81640625" defaultRowHeight="12.5"/>
  <cols>
    <col min="1" max="1" width="5" bestFit="1" customWidth="1"/>
    <col min="2" max="2" width="12.54296875" customWidth="1"/>
  </cols>
  <sheetData>
    <row r="1" spans="1:3">
      <c r="A1" s="5" t="s">
        <v>8</v>
      </c>
    </row>
    <row r="2" spans="1:3">
      <c r="B2" s="73" t="s">
        <v>755</v>
      </c>
      <c r="C2" s="73" t="s">
        <v>885</v>
      </c>
    </row>
    <row r="3" spans="1:3">
      <c r="B3" s="73" t="s">
        <v>756</v>
      </c>
      <c r="C3" s="73" t="s">
        <v>886</v>
      </c>
    </row>
    <row r="4" spans="1:3">
      <c r="B4" s="73" t="s">
        <v>760</v>
      </c>
      <c r="C4" s="73" t="s">
        <v>1103</v>
      </c>
    </row>
    <row r="5" spans="1:3">
      <c r="B5" s="73" t="s">
        <v>3</v>
      </c>
      <c r="C5" s="73" t="s">
        <v>887</v>
      </c>
    </row>
    <row r="6" spans="1:3">
      <c r="B6" s="73" t="s">
        <v>268</v>
      </c>
      <c r="C6" s="73" t="s">
        <v>1098</v>
      </c>
    </row>
    <row r="7" spans="1:3">
      <c r="B7" s="73" t="s">
        <v>415</v>
      </c>
      <c r="C7" s="73" t="s">
        <v>888</v>
      </c>
    </row>
    <row r="8" spans="1:3">
      <c r="B8" s="73" t="s">
        <v>6</v>
      </c>
      <c r="C8" s="73" t="s">
        <v>889</v>
      </c>
    </row>
    <row r="9" spans="1:3">
      <c r="B9" s="73"/>
      <c r="C9" s="73" t="s">
        <v>890</v>
      </c>
    </row>
    <row r="10" spans="1:3">
      <c r="B10" s="73"/>
      <c r="C10" s="73" t="s">
        <v>891</v>
      </c>
    </row>
    <row r="11" spans="1:3">
      <c r="B11" s="73"/>
      <c r="C11" s="73" t="s">
        <v>892</v>
      </c>
    </row>
    <row r="12" spans="1:3">
      <c r="B12" s="73"/>
      <c r="C12" s="73" t="s">
        <v>893</v>
      </c>
    </row>
    <row r="13" spans="1:3">
      <c r="B13" s="73"/>
      <c r="C13" s="73" t="s">
        <v>894</v>
      </c>
    </row>
    <row r="14" spans="1:3">
      <c r="B14" s="73"/>
      <c r="C14" s="131" t="s">
        <v>1099</v>
      </c>
    </row>
    <row r="15" spans="1:3">
      <c r="B15" s="73"/>
      <c r="C15" s="73" t="s">
        <v>1102</v>
      </c>
    </row>
    <row r="16" spans="1:3">
      <c r="B16" s="73"/>
      <c r="C16" s="73" t="s">
        <v>1100</v>
      </c>
    </row>
    <row r="17" spans="2:3">
      <c r="B17" s="73"/>
      <c r="C17" s="73" t="s">
        <v>1101</v>
      </c>
    </row>
    <row r="18" spans="2:3">
      <c r="B18" s="73" t="s">
        <v>210</v>
      </c>
    </row>
    <row r="19" spans="2:3" ht="13">
      <c r="C19" s="16" t="s">
        <v>895</v>
      </c>
    </row>
    <row r="21" spans="2:3" ht="13">
      <c r="C21" s="16" t="s">
        <v>896</v>
      </c>
    </row>
    <row r="23" spans="2:3" ht="13">
      <c r="C23" s="16" t="s">
        <v>897</v>
      </c>
    </row>
    <row r="24" spans="2:3">
      <c r="C24" s="73" t="s">
        <v>898</v>
      </c>
    </row>
    <row r="26" spans="2:3" ht="13">
      <c r="C26" s="16" t="s">
        <v>899</v>
      </c>
    </row>
    <row r="27" spans="2:3">
      <c r="C27" s="73" t="s">
        <v>900</v>
      </c>
    </row>
    <row r="28" spans="2:3">
      <c r="C28" s="73" t="s">
        <v>901</v>
      </c>
    </row>
  </sheetData>
  <hyperlinks>
    <hyperlink ref="A1" location="Main!A1" display="Main" xr:uid="{CB5B6681-A23F-4545-8244-DCDAC8728B91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981C-8D40-49C4-8F02-2FFF268709B7}">
  <dimension ref="A1:C9"/>
  <sheetViews>
    <sheetView zoomScale="145" zoomScaleNormal="145" workbookViewId="0">
      <selection activeCell="C9" sqref="C9"/>
    </sheetView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905</v>
      </c>
    </row>
    <row r="3" spans="1:3">
      <c r="B3" s="73" t="s">
        <v>756</v>
      </c>
      <c r="C3" s="73" t="s">
        <v>906</v>
      </c>
    </row>
    <row r="4" spans="1:3">
      <c r="B4" s="73" t="s">
        <v>760</v>
      </c>
      <c r="C4" s="73" t="s">
        <v>907</v>
      </c>
    </row>
    <row r="5" spans="1:3">
      <c r="B5" s="73" t="s">
        <v>3</v>
      </c>
      <c r="C5" s="73" t="s">
        <v>908</v>
      </c>
    </row>
    <row r="6" spans="1:3">
      <c r="B6" s="73" t="s">
        <v>268</v>
      </c>
      <c r="C6" s="73" t="s">
        <v>904</v>
      </c>
    </row>
    <row r="7" spans="1:3">
      <c r="B7" s="73" t="s">
        <v>210</v>
      </c>
    </row>
    <row r="8" spans="1:3" ht="13">
      <c r="C8" s="16" t="s">
        <v>912</v>
      </c>
    </row>
    <row r="9" spans="1:3">
      <c r="C9" s="73" t="s">
        <v>909</v>
      </c>
    </row>
  </sheetData>
  <hyperlinks>
    <hyperlink ref="A1" location="Main!A1" display="Main" xr:uid="{2799A7CE-31AA-4E0E-899A-2C492B29510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ColWidth="8.81640625" defaultRowHeight="12.5"/>
  <cols>
    <col min="1" max="1" width="5" bestFit="1" customWidth="1"/>
    <col min="2" max="2" width="13" customWidth="1"/>
  </cols>
  <sheetData>
    <row r="1" spans="1:3">
      <c r="A1" s="5" t="s">
        <v>8</v>
      </c>
    </row>
    <row r="2" spans="1:3">
      <c r="A2" s="5"/>
      <c r="B2" t="s">
        <v>179</v>
      </c>
      <c r="C2" t="s">
        <v>18</v>
      </c>
    </row>
    <row r="3" spans="1:3">
      <c r="A3" s="5"/>
      <c r="B3" t="s">
        <v>178</v>
      </c>
      <c r="C3" t="s">
        <v>596</v>
      </c>
    </row>
    <row r="4" spans="1:3">
      <c r="A4" s="5"/>
      <c r="B4" t="s">
        <v>3</v>
      </c>
      <c r="C4" t="s">
        <v>597</v>
      </c>
    </row>
    <row r="5" spans="1:3">
      <c r="A5" s="5"/>
      <c r="B5" t="s">
        <v>270</v>
      </c>
      <c r="C5" t="s">
        <v>206</v>
      </c>
    </row>
    <row r="6" spans="1:3">
      <c r="B6" t="s">
        <v>196</v>
      </c>
      <c r="C6" t="s">
        <v>197</v>
      </c>
    </row>
    <row r="7" spans="1:3">
      <c r="B7" t="s">
        <v>5</v>
      </c>
      <c r="C7" t="s">
        <v>595</v>
      </c>
    </row>
    <row r="8" spans="1:3">
      <c r="B8" s="4" t="s">
        <v>444</v>
      </c>
      <c r="C8" s="4" t="s">
        <v>601</v>
      </c>
    </row>
    <row r="9" spans="1:3">
      <c r="B9" t="s">
        <v>210</v>
      </c>
    </row>
    <row r="10" spans="1:3" ht="13">
      <c r="C10" s="16" t="s">
        <v>598</v>
      </c>
    </row>
    <row r="11" spans="1:3">
      <c r="C11" s="4" t="s">
        <v>599</v>
      </c>
    </row>
    <row r="12" spans="1:3">
      <c r="C12" s="4" t="s">
        <v>600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F3E4-DC5D-4D31-8D50-6936298325C5}">
  <dimension ref="A1:C7"/>
  <sheetViews>
    <sheetView zoomScale="175" zoomScaleNormal="175" workbookViewId="0"/>
  </sheetViews>
  <sheetFormatPr defaultColWidth="8.81640625" defaultRowHeight="12.5"/>
  <cols>
    <col min="1" max="1" width="5" bestFit="1" customWidth="1"/>
    <col min="2" max="2" width="12" bestFit="1" customWidth="1"/>
  </cols>
  <sheetData>
    <row r="1" spans="1:3">
      <c r="A1" s="5" t="s">
        <v>8</v>
      </c>
    </row>
    <row r="2" spans="1:3">
      <c r="B2" t="s">
        <v>755</v>
      </c>
      <c r="C2" t="s">
        <v>915</v>
      </c>
    </row>
    <row r="3" spans="1:3">
      <c r="B3" t="s">
        <v>268</v>
      </c>
      <c r="C3" t="s">
        <v>918</v>
      </c>
    </row>
    <row r="4" spans="1:3">
      <c r="B4" t="s">
        <v>760</v>
      </c>
      <c r="C4" t="s">
        <v>919</v>
      </c>
    </row>
    <row r="5" spans="1:3">
      <c r="B5" t="s">
        <v>210</v>
      </c>
    </row>
    <row r="6" spans="1:3" ht="13">
      <c r="C6" s="125" t="s">
        <v>920</v>
      </c>
    </row>
    <row r="7" spans="1:3">
      <c r="C7" t="s">
        <v>921</v>
      </c>
    </row>
  </sheetData>
  <hyperlinks>
    <hyperlink ref="A1" location="Main!A1" display="Main" xr:uid="{6637A397-9CD2-4E73-B7A1-1BC5D0F35C9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3C53-2264-4EB1-99AD-068D10083089}">
  <dimension ref="A1:C17"/>
  <sheetViews>
    <sheetView zoomScale="175" zoomScaleNormal="175" workbookViewId="0"/>
  </sheetViews>
  <sheetFormatPr defaultRowHeight="12.5"/>
  <cols>
    <col min="1" max="1" width="5" bestFit="1" customWidth="1"/>
    <col min="2" max="2" width="12.26953125" customWidth="1"/>
    <col min="3" max="3" width="14.81640625" customWidth="1"/>
  </cols>
  <sheetData>
    <row r="1" spans="1:3">
      <c r="A1" s="5" t="s">
        <v>8</v>
      </c>
    </row>
    <row r="2" spans="1:3">
      <c r="B2" s="73" t="s">
        <v>755</v>
      </c>
      <c r="C2" s="73" t="s">
        <v>822</v>
      </c>
    </row>
    <row r="3" spans="1:3">
      <c r="B3" s="73" t="s">
        <v>5</v>
      </c>
      <c r="C3" s="73" t="s">
        <v>1106</v>
      </c>
    </row>
    <row r="4" spans="1:3">
      <c r="B4" s="73" t="s">
        <v>210</v>
      </c>
    </row>
    <row r="6" spans="1:3" ht="13">
      <c r="C6" s="16" t="s">
        <v>1104</v>
      </c>
    </row>
    <row r="7" spans="1:3">
      <c r="C7" s="73" t="s">
        <v>1105</v>
      </c>
    </row>
    <row r="10" spans="1:3" ht="13">
      <c r="C10" s="16" t="s">
        <v>1107</v>
      </c>
    </row>
    <row r="11" spans="1:3">
      <c r="C11" s="73" t="s">
        <v>1111</v>
      </c>
    </row>
    <row r="13" spans="1:3" ht="13">
      <c r="C13" s="16" t="s">
        <v>1108</v>
      </c>
    </row>
    <row r="16" spans="1:3" ht="13">
      <c r="C16" s="16" t="s">
        <v>1109</v>
      </c>
    </row>
    <row r="17" spans="3:3">
      <c r="C17" s="73" t="s">
        <v>1110</v>
      </c>
    </row>
  </sheetData>
  <hyperlinks>
    <hyperlink ref="A1" location="Main!A1" display="Main" xr:uid="{BCFE456C-F1A7-4092-9A37-6662173AA7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topLeftCell="A2" workbookViewId="0">
      <selection activeCell="Q53" sqref="Q52:Q53"/>
    </sheetView>
  </sheetViews>
  <sheetFormatPr defaultColWidth="8.81640625" defaultRowHeight="12.5"/>
  <cols>
    <col min="1" max="1" width="5" bestFit="1" customWidth="1"/>
    <col min="2" max="2" width="5.81640625" bestFit="1" customWidth="1"/>
  </cols>
  <sheetData>
    <row r="1" spans="1:3">
      <c r="A1" s="5" t="s">
        <v>8</v>
      </c>
    </row>
    <row r="2" spans="1:3">
      <c r="B2" s="73" t="s">
        <v>755</v>
      </c>
      <c r="C2" s="73" t="s">
        <v>128</v>
      </c>
    </row>
    <row r="3" spans="1:3">
      <c r="C3" t="s">
        <v>154</v>
      </c>
    </row>
    <row r="4" spans="1:3">
      <c r="C4" t="s">
        <v>156</v>
      </c>
    </row>
    <row r="5" spans="1:3">
      <c r="C5" t="s">
        <v>169</v>
      </c>
    </row>
    <row r="6" spans="1:3">
      <c r="C6" t="s">
        <v>170</v>
      </c>
    </row>
    <row r="7" spans="1:3">
      <c r="C7" s="73" t="s">
        <v>873</v>
      </c>
    </row>
  </sheetData>
  <phoneticPr fontId="2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defaultColWidth="8.81640625" defaultRowHeight="12.5"/>
  <cols>
    <col min="1" max="1" width="5" bestFit="1" customWidth="1"/>
    <col min="2" max="2" width="12" bestFit="1" customWidth="1"/>
    <col min="3" max="3" width="10.1796875" bestFit="1" customWidth="1"/>
    <col min="4" max="10" width="12" customWidth="1"/>
    <col min="11" max="12" width="10.26953125" style="71" customWidth="1"/>
  </cols>
  <sheetData>
    <row r="1" spans="1:12">
      <c r="A1" s="70" t="s">
        <v>8</v>
      </c>
    </row>
    <row r="2" spans="1:12">
      <c r="B2" t="s">
        <v>179</v>
      </c>
      <c r="C2" t="s">
        <v>105</v>
      </c>
    </row>
    <row r="3" spans="1:12">
      <c r="B3" t="s">
        <v>210</v>
      </c>
    </row>
    <row r="4" spans="1:12" ht="13">
      <c r="C4" s="16" t="s">
        <v>496</v>
      </c>
    </row>
    <row r="5" spans="1:12">
      <c r="C5" s="4" t="s">
        <v>497</v>
      </c>
    </row>
    <row r="7" spans="1:12" ht="13">
      <c r="C7" s="16" t="s">
        <v>419</v>
      </c>
    </row>
    <row r="8" spans="1:12">
      <c r="C8" t="s">
        <v>420</v>
      </c>
    </row>
    <row r="9" spans="1:12">
      <c r="C9" t="s">
        <v>449</v>
      </c>
    </row>
    <row r="12" spans="1:12">
      <c r="B12" s="4" t="s">
        <v>322</v>
      </c>
      <c r="D12" s="30" t="s">
        <v>105</v>
      </c>
      <c r="E12" s="30" t="s">
        <v>488</v>
      </c>
      <c r="F12" s="30" t="s">
        <v>493</v>
      </c>
      <c r="G12" s="30" t="s">
        <v>489</v>
      </c>
      <c r="H12" s="30" t="s">
        <v>490</v>
      </c>
      <c r="I12" s="30" t="s">
        <v>492</v>
      </c>
      <c r="J12" s="30" t="s">
        <v>491</v>
      </c>
      <c r="K12" s="30" t="s">
        <v>494</v>
      </c>
      <c r="L12" s="30" t="s">
        <v>495</v>
      </c>
    </row>
    <row r="13" spans="1:12">
      <c r="B13" s="4"/>
      <c r="C13" s="72">
        <f t="shared" ref="C13:C24" si="0">C14+7</f>
        <v>40151</v>
      </c>
    </row>
    <row r="14" spans="1:12">
      <c r="B14" s="4"/>
      <c r="C14" s="72">
        <f t="shared" si="0"/>
        <v>40144</v>
      </c>
    </row>
    <row r="15" spans="1:12">
      <c r="B15" s="4"/>
      <c r="C15" s="72">
        <f t="shared" si="0"/>
        <v>40137</v>
      </c>
    </row>
    <row r="16" spans="1:12">
      <c r="B16" s="4"/>
      <c r="C16" s="72">
        <f t="shared" si="0"/>
        <v>40130</v>
      </c>
    </row>
    <row r="17" spans="2:12">
      <c r="B17" s="4"/>
      <c r="C17" s="72">
        <f t="shared" si="0"/>
        <v>40123</v>
      </c>
    </row>
    <row r="18" spans="2:12">
      <c r="B18" s="4"/>
      <c r="C18" s="72">
        <f t="shared" si="0"/>
        <v>40116</v>
      </c>
    </row>
    <row r="19" spans="2:12">
      <c r="B19" s="4"/>
      <c r="C19" s="72">
        <f t="shared" si="0"/>
        <v>40109</v>
      </c>
      <c r="D19" s="37">
        <v>264541</v>
      </c>
      <c r="E19" s="37">
        <v>259754</v>
      </c>
      <c r="F19" s="37">
        <f>1911713+7341</f>
        <v>1919054</v>
      </c>
      <c r="G19" s="37">
        <v>1234272</v>
      </c>
      <c r="H19" s="37">
        <v>542200</v>
      </c>
      <c r="I19" s="37">
        <v>388439</v>
      </c>
      <c r="J19" s="37">
        <v>300593</v>
      </c>
      <c r="K19" s="59">
        <v>56784</v>
      </c>
      <c r="L19" s="59">
        <f>SUM(D19:K19)</f>
        <v>4965637</v>
      </c>
    </row>
    <row r="20" spans="2:12">
      <c r="B20" s="4"/>
      <c r="C20" s="72">
        <f t="shared" si="0"/>
        <v>40102</v>
      </c>
      <c r="D20" s="37">
        <v>257895</v>
      </c>
      <c r="E20" s="37">
        <v>254143</v>
      </c>
      <c r="F20" s="37">
        <f>1847003+7234</f>
        <v>1854237</v>
      </c>
      <c r="G20" s="37">
        <v>1201641</v>
      </c>
      <c r="H20" s="37">
        <v>524453</v>
      </c>
      <c r="I20" s="37">
        <v>374173</v>
      </c>
      <c r="J20" s="37">
        <v>289187</v>
      </c>
      <c r="K20" s="59">
        <v>55575</v>
      </c>
      <c r="L20" s="59">
        <f t="shared" ref="L20:L26" si="1">SUM(D20:K20)</f>
        <v>4811304</v>
      </c>
    </row>
    <row r="21" spans="2:12">
      <c r="B21" s="4"/>
      <c r="C21" s="72">
        <f t="shared" si="0"/>
        <v>40095</v>
      </c>
      <c r="D21" s="37">
        <v>268125</v>
      </c>
      <c r="E21" s="37">
        <v>264951</v>
      </c>
      <c r="F21" s="37">
        <f>1919989+7409</f>
        <v>1927398</v>
      </c>
      <c r="G21" s="37">
        <v>1255623</v>
      </c>
      <c r="H21" s="37">
        <v>539816</v>
      </c>
      <c r="I21" s="37">
        <v>392268</v>
      </c>
      <c r="J21" s="37">
        <v>305485</v>
      </c>
      <c r="K21" s="59">
        <v>58919</v>
      </c>
      <c r="L21" s="59">
        <f t="shared" si="1"/>
        <v>5012585</v>
      </c>
    </row>
    <row r="22" spans="2:12">
      <c r="B22" s="4"/>
      <c r="C22" s="72">
        <f t="shared" si="0"/>
        <v>40088</v>
      </c>
      <c r="D22" s="37">
        <v>282165</v>
      </c>
      <c r="E22" s="37">
        <v>276199</v>
      </c>
      <c r="F22" s="37">
        <f>2001454+7624</f>
        <v>2009078</v>
      </c>
      <c r="G22" s="37">
        <v>1311075</v>
      </c>
      <c r="H22" s="37">
        <v>562927</v>
      </c>
      <c r="I22" s="37">
        <v>409841</v>
      </c>
      <c r="J22" s="37">
        <v>320878</v>
      </c>
      <c r="K22" s="59">
        <v>61715</v>
      </c>
      <c r="L22" s="59">
        <f t="shared" si="1"/>
        <v>5233878</v>
      </c>
    </row>
    <row r="23" spans="2:12">
      <c r="B23" s="4"/>
      <c r="C23" s="72">
        <f t="shared" si="0"/>
        <v>40081</v>
      </c>
      <c r="D23" s="37">
        <v>270801</v>
      </c>
      <c r="E23" s="37">
        <v>264711</v>
      </c>
      <c r="F23" s="37">
        <f>1902259+7405</f>
        <v>1909664</v>
      </c>
      <c r="G23" s="37">
        <v>1256450</v>
      </c>
      <c r="H23" s="37">
        <v>542271</v>
      </c>
      <c r="I23" s="37">
        <v>390436</v>
      </c>
      <c r="J23" s="37">
        <v>303956</v>
      </c>
      <c r="K23" s="59">
        <v>58411</v>
      </c>
      <c r="L23" s="59">
        <f t="shared" si="1"/>
        <v>4996700</v>
      </c>
    </row>
    <row r="24" spans="2:12">
      <c r="B24" s="4"/>
      <c r="C24" s="72">
        <f t="shared" si="0"/>
        <v>40074</v>
      </c>
      <c r="D24" s="37">
        <v>275754</v>
      </c>
      <c r="E24" s="37">
        <v>267620</v>
      </c>
      <c r="F24" s="37">
        <f>1917081+7299</f>
        <v>1924380</v>
      </c>
      <c r="G24" s="37">
        <v>1273950</v>
      </c>
      <c r="H24" s="37">
        <v>544488</v>
      </c>
      <c r="I24" s="37">
        <v>393494</v>
      </c>
      <c r="J24" s="37">
        <v>304228</v>
      </c>
      <c r="K24" s="59">
        <v>59176</v>
      </c>
      <c r="L24" s="59">
        <f t="shared" si="1"/>
        <v>5043090</v>
      </c>
    </row>
    <row r="25" spans="2:12">
      <c r="B25" s="4"/>
      <c r="C25" s="72">
        <f>C26+7</f>
        <v>40067</v>
      </c>
      <c r="D25" s="37">
        <v>254453</v>
      </c>
      <c r="E25" s="37">
        <v>246575</v>
      </c>
      <c r="F25" s="37">
        <f>1789356+7305</f>
        <v>1796661</v>
      </c>
      <c r="G25" s="37">
        <v>1178898</v>
      </c>
      <c r="H25" s="37">
        <v>502323</v>
      </c>
      <c r="I25" s="37">
        <v>363576</v>
      </c>
      <c r="J25" s="37">
        <v>289942</v>
      </c>
      <c r="K25" s="59">
        <v>55572</v>
      </c>
      <c r="L25" s="59">
        <f t="shared" si="1"/>
        <v>4688000</v>
      </c>
    </row>
    <row r="26" spans="2:12">
      <c r="C26" s="72">
        <v>40060</v>
      </c>
      <c r="D26" s="37">
        <v>291613</v>
      </c>
      <c r="E26" s="37">
        <v>282178</v>
      </c>
      <c r="F26" s="37">
        <f>2009399+7982</f>
        <v>2017381</v>
      </c>
      <c r="G26" s="37">
        <v>1344473</v>
      </c>
      <c r="H26" s="37">
        <v>569945</v>
      </c>
      <c r="I26" s="37">
        <v>410389</v>
      </c>
      <c r="J26" s="37">
        <v>329232</v>
      </c>
      <c r="K26" s="59">
        <v>63709</v>
      </c>
      <c r="L26" s="59">
        <f t="shared" si="1"/>
        <v>5308920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5"/>
  <sheetViews>
    <sheetView workbookViewId="0"/>
  </sheetViews>
  <sheetFormatPr defaultColWidth="9.1796875" defaultRowHeight="12.5"/>
  <cols>
    <col min="1" max="1" width="5" style="1" bestFit="1" customWidth="1"/>
    <col min="2" max="2" width="13.7265625" style="1" customWidth="1"/>
    <col min="3" max="12" width="7.26953125" style="1" customWidth="1"/>
    <col min="13" max="16384" width="9.1796875" style="1"/>
  </cols>
  <sheetData>
    <row r="1" spans="1:12">
      <c r="A1" s="3" t="s">
        <v>8</v>
      </c>
    </row>
    <row r="2" spans="1:12">
      <c r="B2" s="1" t="s">
        <v>179</v>
      </c>
      <c r="C2" s="1" t="s">
        <v>10</v>
      </c>
    </row>
    <row r="3" spans="1:12">
      <c r="B3" s="1" t="s">
        <v>178</v>
      </c>
      <c r="C3" s="1" t="s">
        <v>441</v>
      </c>
    </row>
    <row r="4" spans="1:12">
      <c r="B4" s="1" t="s">
        <v>268</v>
      </c>
      <c r="C4" s="1" t="s">
        <v>442</v>
      </c>
    </row>
    <row r="5" spans="1:12">
      <c r="B5" s="1" t="s">
        <v>6</v>
      </c>
      <c r="C5" s="1" t="s">
        <v>443</v>
      </c>
    </row>
    <row r="6" spans="1:12">
      <c r="B6" s="1" t="s">
        <v>207</v>
      </c>
      <c r="C6" s="1" t="s">
        <v>445</v>
      </c>
    </row>
    <row r="8" spans="1:12">
      <c r="B8" s="1" t="s">
        <v>444</v>
      </c>
      <c r="C8" s="19">
        <v>2002</v>
      </c>
      <c r="D8" s="20" t="s">
        <v>55</v>
      </c>
      <c r="E8" s="21" t="s">
        <v>56</v>
      </c>
      <c r="F8" s="21" t="s">
        <v>57</v>
      </c>
      <c r="G8" s="21" t="s">
        <v>58</v>
      </c>
      <c r="H8" s="22" t="s">
        <v>59</v>
      </c>
      <c r="I8" s="22" t="s">
        <v>60</v>
      </c>
      <c r="J8" s="22" t="s">
        <v>61</v>
      </c>
      <c r="K8" s="22" t="s">
        <v>166</v>
      </c>
      <c r="L8" s="22" t="s">
        <v>167</v>
      </c>
    </row>
    <row r="9" spans="1:12">
      <c r="B9" s="1" t="s">
        <v>257</v>
      </c>
      <c r="C9" s="18">
        <v>1090</v>
      </c>
      <c r="D9" s="18">
        <v>1414</v>
      </c>
      <c r="E9" s="18">
        <v>1854</v>
      </c>
      <c r="F9" s="18">
        <v>2107.6999999999998</v>
      </c>
      <c r="G9" s="18">
        <v>2318.4699999999998</v>
      </c>
      <c r="H9" s="18">
        <v>2550.317</v>
      </c>
      <c r="I9" s="18">
        <v>2754.3423600000001</v>
      </c>
      <c r="J9" s="18">
        <v>2974.6897488000004</v>
      </c>
      <c r="K9" s="18">
        <v>3212.6649287040009</v>
      </c>
      <c r="L9" s="18">
        <v>3469.6781230003212</v>
      </c>
    </row>
    <row r="10" spans="1:12">
      <c r="B10" s="1" t="s">
        <v>258</v>
      </c>
      <c r="C10" s="18">
        <v>415</v>
      </c>
      <c r="D10" s="18">
        <v>611</v>
      </c>
      <c r="E10" s="18">
        <v>768</v>
      </c>
      <c r="F10" s="18">
        <v>928.4</v>
      </c>
      <c r="G10" s="18">
        <v>1021.24</v>
      </c>
      <c r="H10" s="18">
        <v>1123.364</v>
      </c>
      <c r="I10" s="18">
        <v>1213.2331200000001</v>
      </c>
      <c r="J10" s="18">
        <v>1310.2917696000002</v>
      </c>
      <c r="K10" s="18">
        <v>1415.1151111680003</v>
      </c>
      <c r="L10" s="18">
        <v>1528.3243200614404</v>
      </c>
    </row>
    <row r="14" spans="1:12">
      <c r="C14" s="15" t="s">
        <v>447</v>
      </c>
      <c r="D14" s="15" t="s">
        <v>448</v>
      </c>
    </row>
    <row r="15" spans="1:12">
      <c r="B15" s="12">
        <v>39759</v>
      </c>
      <c r="C15" s="15">
        <v>247362</v>
      </c>
      <c r="D15" s="15">
        <v>659474</v>
      </c>
    </row>
    <row r="16" spans="1:12">
      <c r="C16" s="15"/>
      <c r="D16" s="15"/>
    </row>
    <row r="17" spans="3:4">
      <c r="C17" s="15"/>
      <c r="D17" s="15"/>
    </row>
    <row r="18" spans="3:4">
      <c r="C18" s="15"/>
      <c r="D18" s="15"/>
    </row>
    <row r="19" spans="3:4">
      <c r="C19" s="15"/>
      <c r="D19" s="15"/>
    </row>
    <row r="20" spans="3:4">
      <c r="C20" s="15"/>
      <c r="D20" s="15"/>
    </row>
    <row r="21" spans="3:4">
      <c r="C21" s="15"/>
      <c r="D21" s="15"/>
    </row>
    <row r="22" spans="3:4">
      <c r="C22" s="15"/>
      <c r="D22" s="15"/>
    </row>
    <row r="23" spans="3:4">
      <c r="C23" s="15"/>
      <c r="D23" s="15"/>
    </row>
    <row r="24" spans="3:4">
      <c r="C24" s="15"/>
      <c r="D24" s="15"/>
    </row>
    <row r="25" spans="3:4">
      <c r="C25" s="15"/>
      <c r="D25" s="15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3" width="10.7265625" style="1" customWidth="1"/>
    <col min="4" max="16384" width="9.1796875" style="1"/>
  </cols>
  <sheetData>
    <row r="1" spans="1:3">
      <c r="A1" s="3" t="s">
        <v>8</v>
      </c>
    </row>
    <row r="2" spans="1:3">
      <c r="A2" s="3"/>
      <c r="B2" s="1" t="s">
        <v>179</v>
      </c>
      <c r="C2" s="1" t="s">
        <v>285</v>
      </c>
    </row>
    <row r="3" spans="1:3">
      <c r="A3" s="3"/>
      <c r="B3" s="1" t="s">
        <v>178</v>
      </c>
      <c r="C3" s="1" t="s">
        <v>312</v>
      </c>
    </row>
    <row r="4" spans="1:3">
      <c r="A4" s="3"/>
      <c r="B4" s="1" t="s">
        <v>3</v>
      </c>
      <c r="C4" s="1" t="s">
        <v>318</v>
      </c>
    </row>
    <row r="5" spans="1:3">
      <c r="A5" s="3"/>
      <c r="B5" s="1" t="s">
        <v>207</v>
      </c>
      <c r="C5" s="1" t="s">
        <v>319</v>
      </c>
    </row>
    <row r="6" spans="1:3">
      <c r="A6" s="3"/>
      <c r="C6" s="1" t="s">
        <v>320</v>
      </c>
    </row>
    <row r="7" spans="1:3">
      <c r="A7" s="3"/>
      <c r="C7" s="1" t="s">
        <v>321</v>
      </c>
    </row>
    <row r="8" spans="1:3">
      <c r="A8" s="3"/>
      <c r="B8" s="1" t="s">
        <v>192</v>
      </c>
      <c r="C8" s="1" t="s">
        <v>227</v>
      </c>
    </row>
    <row r="9" spans="1:3">
      <c r="B9" s="1" t="s">
        <v>313</v>
      </c>
      <c r="C9" s="1" t="s">
        <v>314</v>
      </c>
    </row>
    <row r="10" spans="1:3">
      <c r="C10" s="1" t="s">
        <v>122</v>
      </c>
    </row>
    <row r="11" spans="1:3">
      <c r="B11" s="1" t="s">
        <v>308</v>
      </c>
      <c r="C11" s="1" t="s">
        <v>315</v>
      </c>
    </row>
    <row r="12" spans="1:3">
      <c r="C12" s="1" t="s">
        <v>323</v>
      </c>
    </row>
    <row r="13" spans="1:3">
      <c r="C13" s="1" t="s">
        <v>324</v>
      </c>
    </row>
    <row r="14" spans="1:3">
      <c r="C14" s="1" t="s">
        <v>325</v>
      </c>
    </row>
    <row r="15" spans="1:3">
      <c r="B15" s="1" t="s">
        <v>316</v>
      </c>
      <c r="C15" s="1" t="s">
        <v>317</v>
      </c>
    </row>
    <row r="16" spans="1:3">
      <c r="B16" s="14" t="s">
        <v>6</v>
      </c>
      <c r="C16" s="14" t="s">
        <v>638</v>
      </c>
    </row>
    <row r="17" spans="2:5">
      <c r="B17" s="14"/>
      <c r="C17" s="14" t="s">
        <v>639</v>
      </c>
    </row>
    <row r="18" spans="2:5">
      <c r="B18" s="14"/>
      <c r="C18" s="14" t="s">
        <v>640</v>
      </c>
    </row>
    <row r="19" spans="2:5">
      <c r="B19" s="14"/>
      <c r="C19" s="14" t="s">
        <v>641</v>
      </c>
    </row>
    <row r="20" spans="2:5">
      <c r="B20" s="1" t="s">
        <v>210</v>
      </c>
    </row>
    <row r="21" spans="2:5">
      <c r="C21" s="1" t="s">
        <v>171</v>
      </c>
    </row>
    <row r="22" spans="2:5">
      <c r="D22" s="1" t="s">
        <v>172</v>
      </c>
      <c r="E22" s="1" t="s">
        <v>174</v>
      </c>
    </row>
    <row r="23" spans="2:5">
      <c r="D23" s="1" t="s">
        <v>173</v>
      </c>
      <c r="E23" s="1" t="s">
        <v>177</v>
      </c>
    </row>
    <row r="24" spans="2:5">
      <c r="D24" s="1" t="s">
        <v>175</v>
      </c>
      <c r="E24" s="1" t="s">
        <v>176</v>
      </c>
    </row>
    <row r="26" spans="2:5" ht="13">
      <c r="C26" s="10" t="s">
        <v>400</v>
      </c>
    </row>
    <row r="27" spans="2:5">
      <c r="C27" s="1" t="s">
        <v>401</v>
      </c>
    </row>
    <row r="29" spans="2:5">
      <c r="B29" s="1" t="s">
        <v>322</v>
      </c>
    </row>
    <row r="30" spans="2:5">
      <c r="D30" s="2" t="s">
        <v>283</v>
      </c>
      <c r="E30" s="2" t="s">
        <v>284</v>
      </c>
    </row>
    <row r="31" spans="2:5">
      <c r="C31" s="12">
        <f>C32+7</f>
        <v>39766</v>
      </c>
      <c r="D31" s="2"/>
      <c r="E31" s="2"/>
    </row>
    <row r="32" spans="2:5">
      <c r="C32" s="12">
        <v>39759</v>
      </c>
      <c r="D32" s="2">
        <v>70921</v>
      </c>
      <c r="E32" s="2">
        <v>198960</v>
      </c>
    </row>
    <row r="33" spans="3:5">
      <c r="C33" s="12">
        <f>C32-7</f>
        <v>39752</v>
      </c>
      <c r="D33" s="2"/>
      <c r="E33" s="2"/>
    </row>
    <row r="34" spans="3:5">
      <c r="C34" s="12">
        <f>C33-7</f>
        <v>39745</v>
      </c>
      <c r="D34" s="2"/>
      <c r="E34" s="2"/>
    </row>
    <row r="35" spans="3:5">
      <c r="C35" s="12">
        <f>C34-7</f>
        <v>39738</v>
      </c>
      <c r="D35" s="2"/>
      <c r="E35" s="2"/>
    </row>
    <row r="36" spans="3:5">
      <c r="C36" s="12">
        <v>39360</v>
      </c>
      <c r="D36" s="13">
        <v>37141</v>
      </c>
      <c r="E36" s="13">
        <v>94650</v>
      </c>
    </row>
    <row r="37" spans="3:5">
      <c r="C37" s="12">
        <v>39353</v>
      </c>
      <c r="D37" s="13">
        <v>36584</v>
      </c>
      <c r="E37" s="13">
        <v>89911</v>
      </c>
    </row>
    <row r="38" spans="3:5">
      <c r="C38" s="12">
        <v>39346</v>
      </c>
      <c r="D38" s="13">
        <v>36273</v>
      </c>
      <c r="E38" s="13">
        <v>88447</v>
      </c>
    </row>
    <row r="39" spans="3:5">
      <c r="C39" s="12">
        <v>39339</v>
      </c>
      <c r="D39" s="13"/>
      <c r="E39" s="13"/>
    </row>
    <row r="40" spans="3:5">
      <c r="C40" s="12">
        <v>39332</v>
      </c>
      <c r="D40" s="13"/>
      <c r="E40" s="13"/>
    </row>
    <row r="41" spans="3:5">
      <c r="C41" s="12">
        <v>39325</v>
      </c>
      <c r="D41" s="13"/>
      <c r="E41" s="13"/>
    </row>
    <row r="42" spans="3:5">
      <c r="C42" s="12">
        <v>39318</v>
      </c>
      <c r="D42" s="13"/>
      <c r="E42" s="13"/>
    </row>
    <row r="43" spans="3:5">
      <c r="C43" s="12">
        <v>39311</v>
      </c>
      <c r="D43" s="13"/>
      <c r="E43" s="13"/>
    </row>
    <row r="44" spans="3:5">
      <c r="C44" s="12">
        <v>39304</v>
      </c>
      <c r="D44" s="13"/>
      <c r="E44" s="13"/>
    </row>
    <row r="45" spans="3:5">
      <c r="C45" s="12">
        <v>39297</v>
      </c>
      <c r="D45" s="13"/>
      <c r="E45" s="13"/>
    </row>
    <row r="46" spans="3:5">
      <c r="C46" s="12">
        <v>39290</v>
      </c>
      <c r="D46" s="13"/>
      <c r="E46" s="13"/>
    </row>
    <row r="47" spans="3:5">
      <c r="C47" s="12">
        <v>39283</v>
      </c>
      <c r="D47" s="13"/>
      <c r="E47" s="13"/>
    </row>
    <row r="48" spans="3:5">
      <c r="C48" s="12">
        <v>39276</v>
      </c>
      <c r="D48" s="13"/>
      <c r="E48" s="13"/>
    </row>
    <row r="49" spans="3:5">
      <c r="C49" s="12">
        <v>39269</v>
      </c>
      <c r="D49" s="13"/>
      <c r="E49" s="13"/>
    </row>
    <row r="50" spans="3:5">
      <c r="C50" s="12">
        <v>39262</v>
      </c>
      <c r="D50" s="13"/>
      <c r="E50" s="13"/>
    </row>
    <row r="51" spans="3:5">
      <c r="C51" s="12">
        <v>39255</v>
      </c>
      <c r="D51" s="13"/>
      <c r="E51" s="13"/>
    </row>
    <row r="52" spans="3:5">
      <c r="C52" s="12">
        <v>39248</v>
      </c>
      <c r="D52" s="13"/>
      <c r="E52" s="13"/>
    </row>
    <row r="53" spans="3:5">
      <c r="C53" s="12">
        <v>39241</v>
      </c>
      <c r="D53" s="13"/>
      <c r="E53" s="13"/>
    </row>
    <row r="54" spans="3:5">
      <c r="C54" s="12">
        <v>39234</v>
      </c>
      <c r="D54" s="13"/>
      <c r="E54" s="13"/>
    </row>
    <row r="55" spans="3:5">
      <c r="C55" s="12">
        <v>39227</v>
      </c>
      <c r="D55" s="13"/>
      <c r="E55" s="13"/>
    </row>
    <row r="56" spans="3:5">
      <c r="C56" s="12">
        <v>39220</v>
      </c>
      <c r="D56" s="13"/>
      <c r="E56" s="13"/>
    </row>
    <row r="57" spans="3:5">
      <c r="C57" s="12">
        <v>39213</v>
      </c>
      <c r="D57" s="13"/>
      <c r="E57" s="13"/>
    </row>
    <row r="58" spans="3:5">
      <c r="C58" s="12">
        <v>39206</v>
      </c>
      <c r="D58" s="13"/>
      <c r="E58" s="13"/>
    </row>
    <row r="59" spans="3:5">
      <c r="C59" s="12">
        <v>39199</v>
      </c>
      <c r="D59" s="13"/>
      <c r="E59" s="13"/>
    </row>
    <row r="60" spans="3:5">
      <c r="C60" s="12">
        <v>39192</v>
      </c>
      <c r="D60" s="13">
        <v>21590</v>
      </c>
      <c r="E60" s="13">
        <v>43676</v>
      </c>
    </row>
    <row r="61" spans="3:5">
      <c r="C61" s="12">
        <v>39185</v>
      </c>
      <c r="D61" s="13">
        <v>20981</v>
      </c>
      <c r="E61" s="13">
        <v>42146</v>
      </c>
    </row>
    <row r="62" spans="3:5">
      <c r="C62" s="12">
        <v>39178</v>
      </c>
      <c r="D62" s="13">
        <v>21119</v>
      </c>
      <c r="E62" s="13">
        <v>41949</v>
      </c>
    </row>
    <row r="63" spans="3:5">
      <c r="C63" s="12">
        <v>39171</v>
      </c>
      <c r="D63" s="13"/>
      <c r="E63" s="2"/>
    </row>
    <row r="64" spans="3:5">
      <c r="C64" s="12">
        <v>39164</v>
      </c>
      <c r="D64" s="13"/>
      <c r="E64" s="2"/>
    </row>
    <row r="65" spans="3:5">
      <c r="C65" s="12">
        <v>39157</v>
      </c>
      <c r="D65" s="13"/>
      <c r="E65" s="2"/>
    </row>
    <row r="66" spans="3:5">
      <c r="C66" s="12">
        <v>39150</v>
      </c>
      <c r="D66" s="13"/>
      <c r="E66" s="2"/>
    </row>
    <row r="67" spans="3:5">
      <c r="C67" s="12">
        <v>39143</v>
      </c>
      <c r="D67" s="13"/>
      <c r="E67" s="2"/>
    </row>
    <row r="68" spans="3:5">
      <c r="C68" s="12">
        <v>39136</v>
      </c>
      <c r="D68" s="13"/>
      <c r="E68" s="2"/>
    </row>
    <row r="69" spans="3:5">
      <c r="C69" s="12">
        <v>39129</v>
      </c>
      <c r="D69" s="13"/>
      <c r="E69" s="2"/>
    </row>
    <row r="70" spans="3:5">
      <c r="C70" s="12">
        <v>39122</v>
      </c>
      <c r="D70" s="13"/>
      <c r="E70" s="2"/>
    </row>
    <row r="71" spans="3:5">
      <c r="C71" s="12">
        <v>39115</v>
      </c>
      <c r="D71" s="13"/>
      <c r="E71" s="2"/>
    </row>
    <row r="72" spans="3:5">
      <c r="C72" s="12">
        <v>39108</v>
      </c>
      <c r="D72" s="13"/>
      <c r="E72" s="2"/>
    </row>
    <row r="73" spans="3:5">
      <c r="C73" s="12">
        <v>39101</v>
      </c>
      <c r="D73" s="13"/>
      <c r="E73" s="13"/>
    </row>
    <row r="74" spans="3:5">
      <c r="C74" s="12">
        <v>39094</v>
      </c>
      <c r="D74" s="13">
        <v>16007</v>
      </c>
      <c r="E74" s="13">
        <v>22641</v>
      </c>
    </row>
    <row r="75" spans="3:5">
      <c r="C75" s="12">
        <v>39087</v>
      </c>
      <c r="D75" s="13">
        <v>12984</v>
      </c>
      <c r="E75" s="13">
        <v>18705</v>
      </c>
    </row>
    <row r="76" spans="3:5">
      <c r="C76" s="12">
        <v>39080</v>
      </c>
      <c r="D76" s="13">
        <v>11492</v>
      </c>
      <c r="E76" s="13">
        <v>15624</v>
      </c>
    </row>
    <row r="77" spans="3:5">
      <c r="C77" s="12">
        <v>39073</v>
      </c>
      <c r="D77" s="13">
        <v>13343</v>
      </c>
      <c r="E77" s="13">
        <v>16352</v>
      </c>
    </row>
    <row r="78" spans="3:5">
      <c r="C78" s="12">
        <v>39066</v>
      </c>
      <c r="D78" s="13">
        <v>12660</v>
      </c>
      <c r="E78" s="13">
        <v>15185</v>
      </c>
    </row>
    <row r="79" spans="3:5">
      <c r="C79" s="12">
        <v>39059</v>
      </c>
      <c r="E79" s="13">
        <v>13285</v>
      </c>
    </row>
    <row r="80" spans="3:5">
      <c r="C80" s="12">
        <v>39052</v>
      </c>
      <c r="E80" s="13">
        <v>10771</v>
      </c>
    </row>
    <row r="81" spans="3:5">
      <c r="C81" s="12">
        <v>39045</v>
      </c>
      <c r="E81" s="13">
        <v>6765</v>
      </c>
    </row>
    <row r="82" spans="3:5">
      <c r="C82" s="12">
        <v>39038</v>
      </c>
      <c r="E82" s="13">
        <v>7231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382</v>
      </c>
    </row>
    <row r="3" spans="1:3">
      <c r="B3" s="1" t="s">
        <v>178</v>
      </c>
      <c r="C3" s="1" t="s">
        <v>432</v>
      </c>
    </row>
    <row r="4" spans="1:3">
      <c r="B4" s="14" t="s">
        <v>207</v>
      </c>
      <c r="C4" s="14" t="s">
        <v>343</v>
      </c>
    </row>
    <row r="5" spans="1:3">
      <c r="B5" s="14" t="s">
        <v>366</v>
      </c>
      <c r="C5" s="14" t="s">
        <v>651</v>
      </c>
    </row>
    <row r="6" spans="1:3">
      <c r="B6" s="1" t="s">
        <v>210</v>
      </c>
    </row>
    <row r="7" spans="1:3" ht="13">
      <c r="C7" s="10" t="s">
        <v>433</v>
      </c>
    </row>
    <row r="8" spans="1:3">
      <c r="C8" s="1" t="s">
        <v>434</v>
      </c>
    </row>
    <row r="10" spans="1:3" ht="13">
      <c r="C10" s="10" t="s">
        <v>671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/>
  </sheetViews>
  <sheetFormatPr defaultColWidth="9.1796875" defaultRowHeight="12.5"/>
  <cols>
    <col min="1" max="1" width="5" style="1" bestFit="1" customWidth="1"/>
    <col min="2" max="2" width="14.453125" style="1" customWidth="1"/>
    <col min="3" max="4" width="10.26953125" style="1" bestFit="1" customWidth="1"/>
    <col min="5" max="5" width="11.7265625" style="1" bestFit="1" customWidth="1"/>
    <col min="6" max="6" width="11" style="1" customWidth="1"/>
    <col min="7" max="7" width="12.453125" style="1" customWidth="1"/>
    <col min="8" max="8" width="11.1796875" style="1" customWidth="1"/>
    <col min="9" max="16384" width="9.1796875" style="1"/>
  </cols>
  <sheetData>
    <row r="1" spans="1:11">
      <c r="A1" s="3" t="s">
        <v>8</v>
      </c>
    </row>
    <row r="2" spans="1:11">
      <c r="B2" s="1" t="s">
        <v>179</v>
      </c>
      <c r="C2" s="1" t="s">
        <v>183</v>
      </c>
    </row>
    <row r="3" spans="1:11">
      <c r="B3" s="1" t="s">
        <v>178</v>
      </c>
      <c r="C3" s="14" t="s">
        <v>666</v>
      </c>
    </row>
    <row r="4" spans="1:11">
      <c r="B4" s="1" t="s">
        <v>207</v>
      </c>
      <c r="C4" s="1" t="s">
        <v>222</v>
      </c>
    </row>
    <row r="5" spans="1:11">
      <c r="B5" s="1" t="s">
        <v>268</v>
      </c>
      <c r="C5" s="35" t="s">
        <v>667</v>
      </c>
    </row>
    <row r="6" spans="1:11">
      <c r="B6" s="1" t="s">
        <v>210</v>
      </c>
    </row>
    <row r="7" spans="1:11" ht="13">
      <c r="C7" s="10" t="s">
        <v>665</v>
      </c>
    </row>
    <row r="8" spans="1:11">
      <c r="D8" s="2" t="s">
        <v>109</v>
      </c>
      <c r="E8" s="2" t="s">
        <v>110</v>
      </c>
      <c r="F8" s="2" t="s">
        <v>113</v>
      </c>
      <c r="G8" s="2" t="s">
        <v>114</v>
      </c>
      <c r="H8" s="2" t="s">
        <v>117</v>
      </c>
    </row>
    <row r="9" spans="1:11">
      <c r="C9" s="1" t="s">
        <v>108</v>
      </c>
      <c r="D9" s="6">
        <v>7.0000000000000007E-2</v>
      </c>
      <c r="E9" s="6">
        <v>0.16</v>
      </c>
      <c r="F9" s="6">
        <v>0.21</v>
      </c>
      <c r="G9" s="2"/>
      <c r="H9" s="2" t="s">
        <v>118</v>
      </c>
      <c r="K9" s="14" t="s">
        <v>668</v>
      </c>
    </row>
    <row r="10" spans="1:11">
      <c r="C10" s="1" t="s">
        <v>111</v>
      </c>
      <c r="D10" s="6">
        <v>0.14000000000000001</v>
      </c>
      <c r="E10" s="6">
        <v>0.22</v>
      </c>
      <c r="F10" s="6">
        <v>0.11</v>
      </c>
      <c r="G10" s="2" t="s">
        <v>115</v>
      </c>
      <c r="H10" s="2" t="s">
        <v>119</v>
      </c>
    </row>
    <row r="11" spans="1:11">
      <c r="C11" s="1" t="s">
        <v>112</v>
      </c>
      <c r="D11" s="6">
        <v>0.16</v>
      </c>
      <c r="E11" s="6">
        <v>0.38</v>
      </c>
      <c r="F11" s="6">
        <v>0.28999999999999998</v>
      </c>
      <c r="G11" s="2" t="s">
        <v>116</v>
      </c>
      <c r="H11" s="2" t="s">
        <v>120</v>
      </c>
    </row>
    <row r="14" spans="1:11">
      <c r="C14" s="1" t="s">
        <v>230</v>
      </c>
    </row>
    <row r="15" spans="1:11">
      <c r="C15" s="1" t="s">
        <v>121</v>
      </c>
    </row>
    <row r="16" spans="1:11">
      <c r="C16" s="1" t="s">
        <v>383</v>
      </c>
    </row>
    <row r="18" spans="3:3" ht="13">
      <c r="C18" s="10" t="s">
        <v>231</v>
      </c>
    </row>
    <row r="19" spans="3:3">
      <c r="C19" s="1" t="s">
        <v>232</v>
      </c>
    </row>
    <row r="20" spans="3:3">
      <c r="C20" s="1" t="s">
        <v>233</v>
      </c>
    </row>
    <row r="21" spans="3:3">
      <c r="C21" s="1" t="s">
        <v>234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6"/>
  <sheetViews>
    <sheetView workbookViewId="0"/>
  </sheetViews>
  <sheetFormatPr defaultColWidth="8.81640625" defaultRowHeight="12.5"/>
  <sheetData>
    <row r="2" spans="2:2">
      <c r="B2" t="s">
        <v>0</v>
      </c>
    </row>
    <row r="3" spans="2:2">
      <c r="B3" t="s">
        <v>125</v>
      </c>
    </row>
    <row r="5" spans="2:2">
      <c r="B5" t="s">
        <v>126</v>
      </c>
    </row>
    <row r="6" spans="2:2">
      <c r="B6" t="s">
        <v>127</v>
      </c>
    </row>
  </sheetData>
  <phoneticPr fontId="2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7"/>
  <sheetViews>
    <sheetView zoomScaleNormal="100"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334</v>
      </c>
    </row>
    <row r="3" spans="1:3">
      <c r="B3" s="1" t="s">
        <v>178</v>
      </c>
    </row>
    <row r="4" spans="1:3">
      <c r="B4" s="1" t="s">
        <v>207</v>
      </c>
      <c r="C4" s="1" t="s">
        <v>209</v>
      </c>
    </row>
    <row r="5" spans="1:3">
      <c r="B5" s="1" t="s">
        <v>3</v>
      </c>
      <c r="C5" s="1" t="s">
        <v>208</v>
      </c>
    </row>
    <row r="6" spans="1:3">
      <c r="B6" s="1" t="s">
        <v>192</v>
      </c>
      <c r="C6" s="1" t="s">
        <v>350</v>
      </c>
    </row>
    <row r="7" spans="1:3">
      <c r="B7" s="1" t="s">
        <v>370</v>
      </c>
      <c r="C7" s="1" t="s">
        <v>371</v>
      </c>
    </row>
    <row r="8" spans="1:3">
      <c r="B8" s="1" t="s">
        <v>210</v>
      </c>
    </row>
    <row r="9" spans="1:3">
      <c r="C9" s="1" t="s">
        <v>211</v>
      </c>
    </row>
    <row r="11" spans="1:3" ht="13">
      <c r="C11" s="10" t="s">
        <v>213</v>
      </c>
    </row>
    <row r="12" spans="1:3">
      <c r="C12" s="1" t="s">
        <v>215</v>
      </c>
    </row>
    <row r="13" spans="1:3">
      <c r="C13" s="1" t="s">
        <v>214</v>
      </c>
    </row>
    <row r="17" spans="3:3">
      <c r="C17" s="1" t="s">
        <v>212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5" t="s">
        <v>8</v>
      </c>
    </row>
    <row r="2" spans="1:3">
      <c r="B2" t="s">
        <v>179</v>
      </c>
      <c r="C2" t="s">
        <v>403</v>
      </c>
    </row>
    <row r="3" spans="1:3">
      <c r="B3" t="s">
        <v>178</v>
      </c>
      <c r="C3" t="s">
        <v>402</v>
      </c>
    </row>
    <row r="4" spans="1:3">
      <c r="B4" t="s">
        <v>270</v>
      </c>
      <c r="C4" t="s">
        <v>271</v>
      </c>
    </row>
    <row r="5" spans="1:3">
      <c r="B5" t="s">
        <v>3</v>
      </c>
      <c r="C5" t="s">
        <v>404</v>
      </c>
    </row>
    <row r="6" spans="1:3">
      <c r="B6" t="s">
        <v>207</v>
      </c>
      <c r="C6" t="s">
        <v>405</v>
      </c>
    </row>
    <row r="7" spans="1:3">
      <c r="B7" t="s">
        <v>210</v>
      </c>
    </row>
    <row r="8" spans="1:3" ht="13">
      <c r="C8" s="16" t="s">
        <v>408</v>
      </c>
    </row>
    <row r="12" spans="1:3" ht="13">
      <c r="C12" s="16" t="s">
        <v>406</v>
      </c>
    </row>
    <row r="13" spans="1:3">
      <c r="C13" t="s">
        <v>407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defaultColWidth="9.1796875" defaultRowHeight="12.5"/>
  <cols>
    <col min="1" max="1" width="5" style="1" bestFit="1" customWidth="1"/>
    <col min="2" max="2" width="15.1796875" style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368</v>
      </c>
    </row>
    <row r="3" spans="1:3">
      <c r="B3" s="1" t="s">
        <v>178</v>
      </c>
      <c r="C3" s="1" t="s">
        <v>363</v>
      </c>
    </row>
    <row r="4" spans="1:3">
      <c r="B4" s="1" t="s">
        <v>207</v>
      </c>
      <c r="C4" s="1" t="s">
        <v>365</v>
      </c>
    </row>
    <row r="5" spans="1:3">
      <c r="B5" s="1" t="s">
        <v>3</v>
      </c>
      <c r="C5" s="1" t="s">
        <v>229</v>
      </c>
    </row>
    <row r="6" spans="1:3">
      <c r="B6" s="1" t="s">
        <v>268</v>
      </c>
      <c r="C6" s="1" t="s">
        <v>364</v>
      </c>
    </row>
    <row r="7" spans="1:3">
      <c r="B7" s="1" t="s">
        <v>270</v>
      </c>
      <c r="C7" s="1" t="s">
        <v>206</v>
      </c>
    </row>
    <row r="8" spans="1:3">
      <c r="B8" s="1" t="s">
        <v>366</v>
      </c>
      <c r="C8" s="1" t="s">
        <v>367</v>
      </c>
    </row>
    <row r="9" spans="1:3">
      <c r="B9" s="1" t="s">
        <v>210</v>
      </c>
    </row>
    <row r="10" spans="1:3" ht="13">
      <c r="C10" s="10" t="s">
        <v>409</v>
      </c>
    </row>
    <row r="11" spans="1:3">
      <c r="C11" s="1" t="s">
        <v>410</v>
      </c>
    </row>
    <row r="12" spans="1:3">
      <c r="C12" s="1" t="s">
        <v>411</v>
      </c>
    </row>
    <row r="13" spans="1:3">
      <c r="C13" s="1" t="s">
        <v>412</v>
      </c>
    </row>
    <row r="15" spans="1:3" ht="13">
      <c r="C15" s="10" t="s">
        <v>369</v>
      </c>
    </row>
    <row r="16" spans="1:3" ht="13">
      <c r="C16" s="10"/>
    </row>
    <row r="19" spans="3:3" ht="13">
      <c r="C19" s="10"/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7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391</v>
      </c>
    </row>
    <row r="3" spans="1:3">
      <c r="B3" s="1" t="s">
        <v>178</v>
      </c>
      <c r="C3" s="1" t="s">
        <v>414</v>
      </c>
    </row>
    <row r="4" spans="1:3">
      <c r="B4" s="1" t="s">
        <v>392</v>
      </c>
      <c r="C4" s="1" t="s">
        <v>393</v>
      </c>
    </row>
    <row r="5" spans="1:3">
      <c r="B5" s="1" t="s">
        <v>3</v>
      </c>
      <c r="C5" s="1" t="s">
        <v>394</v>
      </c>
    </row>
    <row r="6" spans="1:3">
      <c r="B6" s="1" t="s">
        <v>207</v>
      </c>
      <c r="C6" s="1" t="s">
        <v>453</v>
      </c>
    </row>
    <row r="7" spans="1:3">
      <c r="B7" s="1" t="s">
        <v>184</v>
      </c>
      <c r="C7" s="14" t="s">
        <v>670</v>
      </c>
    </row>
    <row r="8" spans="1:3">
      <c r="B8" s="1" t="s">
        <v>5</v>
      </c>
      <c r="C8" s="1" t="s">
        <v>456</v>
      </c>
    </row>
    <row r="9" spans="1:3">
      <c r="B9" s="1" t="s">
        <v>415</v>
      </c>
      <c r="C9" s="1" t="s">
        <v>416</v>
      </c>
    </row>
    <row r="10" spans="1:3" ht="13">
      <c r="B10" s="14" t="s">
        <v>366</v>
      </c>
      <c r="C10" s="17" t="s">
        <v>478</v>
      </c>
    </row>
    <row r="11" spans="1:3">
      <c r="B11" s="1" t="s">
        <v>210</v>
      </c>
    </row>
    <row r="12" spans="1:3" ht="13">
      <c r="C12" s="10" t="s">
        <v>475</v>
      </c>
    </row>
    <row r="13" spans="1:3">
      <c r="C13" s="14" t="s">
        <v>476</v>
      </c>
    </row>
    <row r="14" spans="1:3">
      <c r="C14" s="14" t="s">
        <v>477</v>
      </c>
    </row>
    <row r="16" spans="1:3" ht="13">
      <c r="C16" s="10" t="s">
        <v>451</v>
      </c>
    </row>
    <row r="17" spans="3:3">
      <c r="C17" s="1" t="s">
        <v>454</v>
      </c>
    </row>
    <row r="18" spans="3:3">
      <c r="C18" s="1" t="s">
        <v>458</v>
      </c>
    </row>
    <row r="19" spans="3:3">
      <c r="C19" s="1" t="s">
        <v>459</v>
      </c>
    </row>
    <row r="20" spans="3:3">
      <c r="C20" s="1" t="s">
        <v>460</v>
      </c>
    </row>
    <row r="21" spans="3:3">
      <c r="C21" s="1" t="s">
        <v>461</v>
      </c>
    </row>
    <row r="22" spans="3:3">
      <c r="C22" s="1" t="s">
        <v>455</v>
      </c>
    </row>
    <row r="23" spans="3:3">
      <c r="C23" s="3" t="s">
        <v>452</v>
      </c>
    </row>
    <row r="24" spans="3:3">
      <c r="C24" s="3" t="s">
        <v>462</v>
      </c>
    </row>
    <row r="26" spans="3:3" ht="13">
      <c r="C26" s="10" t="s">
        <v>457</v>
      </c>
    </row>
    <row r="27" spans="3:3">
      <c r="C27" s="1" t="s">
        <v>395</v>
      </c>
    </row>
  </sheetData>
  <phoneticPr fontId="2" type="noConversion"/>
  <hyperlinks>
    <hyperlink ref="A1" location="Main!A1" display="Main" xr:uid="{00000000-0004-0000-1300-000000000000}"/>
    <hyperlink ref="C23" r:id="rId1" xr:uid="{00000000-0004-0000-1300-000001000000}"/>
    <hyperlink ref="C24" r:id="rId2" xr:uid="{00000000-0004-0000-1300-000002000000}"/>
  </hyperlinks>
  <pageMargins left="0.75" right="0.75" top="1" bottom="1" header="0.5" footer="0.5"/>
  <pageSetup orientation="portrait" r:id="rId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3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A2" s="3"/>
      <c r="B2" s="1" t="s">
        <v>425</v>
      </c>
    </row>
    <row r="3" spans="1:3">
      <c r="B3" s="1" t="s">
        <v>179</v>
      </c>
      <c r="C3" s="1" t="s">
        <v>265</v>
      </c>
    </row>
    <row r="4" spans="1:3">
      <c r="B4" s="1" t="s">
        <v>207</v>
      </c>
      <c r="C4" s="1" t="s">
        <v>266</v>
      </c>
    </row>
    <row r="5" spans="1:3">
      <c r="B5" s="1" t="s">
        <v>3</v>
      </c>
      <c r="C5" s="1" t="s">
        <v>267</v>
      </c>
    </row>
    <row r="6" spans="1:3">
      <c r="B6" s="1" t="s">
        <v>268</v>
      </c>
      <c r="C6" s="1" t="s">
        <v>269</v>
      </c>
    </row>
    <row r="7" spans="1:3">
      <c r="B7" s="1" t="s">
        <v>270</v>
      </c>
      <c r="C7" s="1" t="s">
        <v>271</v>
      </c>
    </row>
    <row r="8" spans="1:3">
      <c r="B8" s="1" t="s">
        <v>210</v>
      </c>
    </row>
    <row r="10" spans="1:3" ht="13">
      <c r="C10" s="10" t="s">
        <v>272</v>
      </c>
    </row>
    <row r="11" spans="1:3">
      <c r="C11" s="1" t="s">
        <v>273</v>
      </c>
    </row>
    <row r="13" spans="1:3" ht="13">
      <c r="C13" s="10" t="s">
        <v>274</v>
      </c>
    </row>
    <row r="14" spans="1:3">
      <c r="C14" s="1" t="s">
        <v>275</v>
      </c>
    </row>
    <row r="15" spans="1:3">
      <c r="C15" s="1" t="s">
        <v>276</v>
      </c>
    </row>
    <row r="16" spans="1:3">
      <c r="C16" s="1" t="s">
        <v>277</v>
      </c>
    </row>
    <row r="17" spans="3:3">
      <c r="C17" s="1" t="s">
        <v>278</v>
      </c>
    </row>
    <row r="18" spans="3:3">
      <c r="C18" s="1" t="s">
        <v>279</v>
      </c>
    </row>
    <row r="20" spans="3:3">
      <c r="C20" s="1" t="s">
        <v>280</v>
      </c>
    </row>
    <row r="21" spans="3:3">
      <c r="C21" s="1" t="s">
        <v>281</v>
      </c>
    </row>
    <row r="23" spans="3:3">
      <c r="C23" s="1" t="s">
        <v>282</v>
      </c>
    </row>
  </sheetData>
  <phoneticPr fontId="2" type="noConversion"/>
  <hyperlinks>
    <hyperlink ref="A1" location="Main!A1" display="Main" xr:uid="{00000000-0004-0000-14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</cols>
  <sheetData>
    <row r="1" spans="1:3">
      <c r="A1" s="5" t="s">
        <v>8</v>
      </c>
    </row>
    <row r="2" spans="1:3">
      <c r="B2" t="s">
        <v>179</v>
      </c>
      <c r="C2" t="s">
        <v>654</v>
      </c>
    </row>
    <row r="3" spans="1:3">
      <c r="B3" t="s">
        <v>178</v>
      </c>
      <c r="C3" t="s">
        <v>653</v>
      </c>
    </row>
    <row r="4" spans="1:3">
      <c r="B4" t="s">
        <v>210</v>
      </c>
    </row>
    <row r="5" spans="1:3" ht="13">
      <c r="C5" s="16" t="s">
        <v>655</v>
      </c>
    </row>
    <row r="7" spans="1:3" ht="13">
      <c r="C7" s="16" t="s">
        <v>656</v>
      </c>
    </row>
    <row r="8" spans="1:3">
      <c r="C8" t="s">
        <v>657</v>
      </c>
    </row>
  </sheetData>
  <hyperlinks>
    <hyperlink ref="A1" location="Main!A1" display="Main" xr:uid="{00000000-0004-0000-1500-000000000000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"/>
  <sheetViews>
    <sheetView workbookViewId="0"/>
  </sheetViews>
  <sheetFormatPr defaultColWidth="8.81640625" defaultRowHeight="12.5"/>
  <cols>
    <col min="1" max="1" width="5" bestFit="1" customWidth="1"/>
    <col min="2" max="2" width="12.81640625" bestFit="1" customWidth="1"/>
    <col min="37" max="37" width="9.7265625" bestFit="1" customWidth="1"/>
  </cols>
  <sheetData>
    <row r="1" spans="1:47">
      <c r="A1" s="5" t="s">
        <v>8</v>
      </c>
    </row>
    <row r="2" spans="1:47">
      <c r="B2" s="4" t="s">
        <v>179</v>
      </c>
      <c r="C2" s="4" t="s">
        <v>696</v>
      </c>
    </row>
    <row r="3" spans="1:47">
      <c r="B3" s="4" t="s">
        <v>178</v>
      </c>
      <c r="C3" s="4" t="s">
        <v>697</v>
      </c>
    </row>
    <row r="4" spans="1:47">
      <c r="B4" s="4" t="s">
        <v>3</v>
      </c>
      <c r="C4" s="4" t="s">
        <v>208</v>
      </c>
    </row>
    <row r="5" spans="1:47">
      <c r="B5" s="4" t="s">
        <v>207</v>
      </c>
      <c r="C5" s="4" t="s">
        <v>698</v>
      </c>
    </row>
    <row r="6" spans="1:47">
      <c r="B6" s="4" t="s">
        <v>5</v>
      </c>
      <c r="C6" s="4" t="s">
        <v>702</v>
      </c>
    </row>
    <row r="7" spans="1:47">
      <c r="B7" s="4" t="s">
        <v>313</v>
      </c>
      <c r="C7" s="4" t="s">
        <v>700</v>
      </c>
    </row>
    <row r="8" spans="1:47">
      <c r="B8" s="4" t="s">
        <v>196</v>
      </c>
      <c r="C8" s="4" t="s">
        <v>701</v>
      </c>
    </row>
    <row r="9" spans="1:47">
      <c r="B9" s="4" t="s">
        <v>5</v>
      </c>
    </row>
    <row r="15" spans="1:47">
      <c r="B15" s="36"/>
      <c r="C15" s="36">
        <v>40909</v>
      </c>
      <c r="D15" s="36">
        <v>40940</v>
      </c>
      <c r="E15" s="36">
        <v>40969</v>
      </c>
      <c r="F15" s="36">
        <v>41000</v>
      </c>
      <c r="G15" s="36">
        <v>41030</v>
      </c>
      <c r="H15" s="36">
        <v>41061</v>
      </c>
      <c r="I15" s="36">
        <v>41091</v>
      </c>
      <c r="J15" s="36">
        <v>41122</v>
      </c>
      <c r="K15" s="36">
        <v>41153</v>
      </c>
      <c r="L15" s="36">
        <v>41183</v>
      </c>
      <c r="M15" s="36">
        <v>41214</v>
      </c>
      <c r="N15" s="36">
        <v>41244</v>
      </c>
      <c r="O15" s="36">
        <v>41275</v>
      </c>
      <c r="P15" s="36">
        <v>41306</v>
      </c>
      <c r="Q15" s="36">
        <v>41334</v>
      </c>
      <c r="R15" s="36">
        <v>41365</v>
      </c>
      <c r="S15" s="36">
        <v>41395</v>
      </c>
      <c r="T15" s="36">
        <v>41426</v>
      </c>
      <c r="U15" s="36">
        <v>41456</v>
      </c>
      <c r="V15" s="36">
        <v>41487</v>
      </c>
      <c r="W15" s="36">
        <v>41518</v>
      </c>
      <c r="X15" s="36">
        <v>41548</v>
      </c>
      <c r="Y15" s="36">
        <v>41579</v>
      </c>
      <c r="Z15" s="36">
        <v>41609</v>
      </c>
      <c r="AA15" s="36">
        <v>41640</v>
      </c>
      <c r="AB15" s="36">
        <v>41671</v>
      </c>
      <c r="AC15" s="36">
        <v>41699</v>
      </c>
      <c r="AD15" s="36">
        <v>41730</v>
      </c>
      <c r="AI15">
        <v>2012</v>
      </c>
      <c r="AJ15">
        <v>2013</v>
      </c>
      <c r="AK15">
        <v>2014</v>
      </c>
      <c r="AL15">
        <f>+AK15+1</f>
        <v>2015</v>
      </c>
      <c r="AM15">
        <f t="shared" ref="AM15:AU15" si="0">+AL15+1</f>
        <v>2016</v>
      </c>
      <c r="AN15">
        <f t="shared" si="0"/>
        <v>2017</v>
      </c>
      <c r="AO15">
        <f t="shared" si="0"/>
        <v>2018</v>
      </c>
      <c r="AP15">
        <f t="shared" si="0"/>
        <v>2019</v>
      </c>
      <c r="AQ15">
        <f t="shared" si="0"/>
        <v>2020</v>
      </c>
      <c r="AR15">
        <f t="shared" si="0"/>
        <v>2021</v>
      </c>
      <c r="AS15">
        <f t="shared" si="0"/>
        <v>2022</v>
      </c>
      <c r="AT15">
        <f t="shared" si="0"/>
        <v>2023</v>
      </c>
      <c r="AU15">
        <f t="shared" si="0"/>
        <v>2024</v>
      </c>
    </row>
    <row r="16" spans="1:47">
      <c r="B16" s="4" t="s">
        <v>699</v>
      </c>
      <c r="C16" s="37">
        <v>702.51499999999999</v>
      </c>
      <c r="D16" s="37">
        <v>689.05700000000002</v>
      </c>
      <c r="E16" s="37">
        <v>772.70500000000004</v>
      </c>
      <c r="F16" s="37">
        <v>594.803</v>
      </c>
      <c r="G16" s="37">
        <v>576.25800000000004</v>
      </c>
      <c r="H16" s="37">
        <v>671.95399999999995</v>
      </c>
      <c r="I16" s="37">
        <v>536.56100000000004</v>
      </c>
      <c r="J16" s="37">
        <v>499.66500000000002</v>
      </c>
      <c r="K16" s="37">
        <v>581.94899999999996</v>
      </c>
      <c r="L16" s="37">
        <v>531.52800000000002</v>
      </c>
      <c r="M16" s="37">
        <v>500.17200000000003</v>
      </c>
      <c r="N16" s="37">
        <v>593.91999999999996</v>
      </c>
      <c r="O16" s="37">
        <v>546.22400000000005</v>
      </c>
      <c r="P16" s="37">
        <v>499.22</v>
      </c>
      <c r="Q16" s="37">
        <v>560.48800000000006</v>
      </c>
      <c r="R16" s="37">
        <v>437.61900000000003</v>
      </c>
      <c r="S16" s="37">
        <v>411.07400000000001</v>
      </c>
      <c r="T16" s="37">
        <v>510.24400000000003</v>
      </c>
      <c r="U16" s="37">
        <v>429.048</v>
      </c>
      <c r="V16" s="37">
        <v>430.69099999999997</v>
      </c>
      <c r="W16" s="37">
        <v>532.06299999999999</v>
      </c>
      <c r="X16" s="37">
        <v>412.27300000000002</v>
      </c>
      <c r="Y16" s="37">
        <v>439.8</v>
      </c>
      <c r="Z16" s="37">
        <v>540.63099999999997</v>
      </c>
      <c r="AA16" s="37">
        <v>470.38600000000002</v>
      </c>
      <c r="AB16" s="37">
        <v>424.96600000000001</v>
      </c>
      <c r="AC16" s="37">
        <v>419.596</v>
      </c>
      <c r="AI16" s="37">
        <f>SUM(C16:N16)</f>
        <v>7251.0869999999995</v>
      </c>
      <c r="AJ16" s="37">
        <f>SUM(O16:Z16)</f>
        <v>5749.3750000000009</v>
      </c>
      <c r="AK16" s="37">
        <f>SUM(AA16:AC16)*4</f>
        <v>5259.7920000000004</v>
      </c>
      <c r="AL16" s="37">
        <f>+AK16*0.95</f>
        <v>4996.8024000000005</v>
      </c>
      <c r="AM16" s="37">
        <f t="shared" ref="AM16:AU16" si="1">+AL16*0.95</f>
        <v>4746.9622800000006</v>
      </c>
      <c r="AN16" s="37">
        <f t="shared" si="1"/>
        <v>4509.6141660000003</v>
      </c>
      <c r="AO16" s="37">
        <f t="shared" si="1"/>
        <v>4284.1334576999998</v>
      </c>
      <c r="AP16" s="37">
        <f t="shared" si="1"/>
        <v>4069.9267848149998</v>
      </c>
      <c r="AQ16" s="37">
        <f t="shared" si="1"/>
        <v>3866.4304455742495</v>
      </c>
      <c r="AR16" s="37">
        <f t="shared" si="1"/>
        <v>3673.1089232955369</v>
      </c>
      <c r="AS16" s="37">
        <f t="shared" si="1"/>
        <v>3489.4534771307599</v>
      </c>
      <c r="AT16" s="37">
        <f t="shared" si="1"/>
        <v>3314.9808032742217</v>
      </c>
      <c r="AU16" s="37">
        <f t="shared" si="1"/>
        <v>3149.2317631105107</v>
      </c>
    </row>
    <row r="17" spans="35:47">
      <c r="AJ17" s="38">
        <f t="shared" ref="AJ17:AU17" si="2">AJ16/AI16-1</f>
        <v>-0.20710163869224008</v>
      </c>
      <c r="AK17" s="38">
        <f t="shared" si="2"/>
        <v>-8.5154125448418383E-2</v>
      </c>
      <c r="AL17" s="38">
        <f t="shared" si="2"/>
        <v>-4.9999999999999933E-2</v>
      </c>
      <c r="AM17" s="38">
        <f t="shared" si="2"/>
        <v>-4.9999999999999933E-2</v>
      </c>
      <c r="AN17" s="38">
        <f t="shared" si="2"/>
        <v>-5.0000000000000044E-2</v>
      </c>
      <c r="AO17" s="38">
        <f t="shared" si="2"/>
        <v>-5.0000000000000155E-2</v>
      </c>
      <c r="AP17" s="38">
        <f t="shared" si="2"/>
        <v>-5.0000000000000044E-2</v>
      </c>
      <c r="AQ17" s="38">
        <f t="shared" si="2"/>
        <v>-5.0000000000000044E-2</v>
      </c>
      <c r="AR17" s="38">
        <f t="shared" si="2"/>
        <v>-5.0000000000000044E-2</v>
      </c>
      <c r="AS17" s="38">
        <f t="shared" si="2"/>
        <v>-5.0000000000000044E-2</v>
      </c>
      <c r="AT17" s="38">
        <f t="shared" si="2"/>
        <v>-5.0000000000000044E-2</v>
      </c>
      <c r="AU17" s="38">
        <f t="shared" si="2"/>
        <v>-4.9999999999999933E-2</v>
      </c>
    </row>
    <row r="19" spans="35:47">
      <c r="AI19" s="37">
        <f>AI16-500</f>
        <v>6751.0869999999995</v>
      </c>
      <c r="AJ19" s="37">
        <f t="shared" ref="AJ19:AU19" si="3">AJ16-500</f>
        <v>5249.3750000000009</v>
      </c>
      <c r="AK19" s="37">
        <f t="shared" si="3"/>
        <v>4759.7920000000004</v>
      </c>
      <c r="AL19" s="37">
        <f t="shared" si="3"/>
        <v>4496.8024000000005</v>
      </c>
      <c r="AM19" s="37">
        <f t="shared" si="3"/>
        <v>4246.9622800000006</v>
      </c>
      <c r="AN19" s="37">
        <f t="shared" si="3"/>
        <v>4009.6141660000003</v>
      </c>
      <c r="AO19" s="37">
        <f t="shared" si="3"/>
        <v>3784.1334576999998</v>
      </c>
      <c r="AP19" s="37">
        <f t="shared" si="3"/>
        <v>3569.9267848149998</v>
      </c>
      <c r="AQ19" s="37">
        <f t="shared" si="3"/>
        <v>3366.4304455742495</v>
      </c>
      <c r="AR19" s="37">
        <f t="shared" si="3"/>
        <v>3173.1089232955369</v>
      </c>
      <c r="AS19" s="37">
        <f t="shared" si="3"/>
        <v>2989.4534771307599</v>
      </c>
      <c r="AT19" s="37">
        <f t="shared" si="3"/>
        <v>2814.9808032742217</v>
      </c>
      <c r="AU19" s="37">
        <f t="shared" si="3"/>
        <v>2649.2317631105107</v>
      </c>
    </row>
    <row r="20" spans="35:47">
      <c r="AI20" s="37">
        <f>+AI19*0.65</f>
        <v>4388.2065499999999</v>
      </c>
      <c r="AJ20" s="37">
        <f t="shared" ref="AJ20:AU20" si="4">+AJ19*0.65</f>
        <v>3412.0937500000009</v>
      </c>
      <c r="AK20" s="37">
        <f t="shared" si="4"/>
        <v>3093.8648000000003</v>
      </c>
      <c r="AL20" s="37">
        <f t="shared" si="4"/>
        <v>2922.9215600000002</v>
      </c>
      <c r="AM20" s="37">
        <f t="shared" si="4"/>
        <v>2760.5254820000005</v>
      </c>
      <c r="AN20" s="37">
        <f t="shared" si="4"/>
        <v>2606.2492079000003</v>
      </c>
      <c r="AO20" s="37">
        <f t="shared" si="4"/>
        <v>2459.6867475049999</v>
      </c>
      <c r="AP20" s="37">
        <f t="shared" si="4"/>
        <v>2320.4524101297498</v>
      </c>
      <c r="AQ20" s="37">
        <f t="shared" si="4"/>
        <v>2188.1797896232624</v>
      </c>
      <c r="AR20" s="37">
        <f t="shared" si="4"/>
        <v>2062.5208001420992</v>
      </c>
      <c r="AS20" s="37">
        <f t="shared" si="4"/>
        <v>1943.1447601349939</v>
      </c>
      <c r="AT20" s="37">
        <f t="shared" si="4"/>
        <v>1829.7375221282441</v>
      </c>
      <c r="AU20" s="37">
        <f t="shared" si="4"/>
        <v>1722.0006460218319</v>
      </c>
    </row>
    <row r="22" spans="35:47">
      <c r="AK22" s="37">
        <f>NPV(4%,AL20:AU20)</f>
        <v>18854.906477100365</v>
      </c>
    </row>
  </sheetData>
  <hyperlinks>
    <hyperlink ref="A1" location="Main!A1" display="Main" xr:uid="{00000000-0004-0000-01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ColWidth="9.1796875" defaultRowHeight="12.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11</v>
      </c>
    </row>
    <row r="3" spans="1:3">
      <c r="B3" s="1" t="s">
        <v>6</v>
      </c>
      <c r="C3" s="1" t="s">
        <v>307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>
      <c r="A1" s="3" t="s">
        <v>8</v>
      </c>
    </row>
    <row r="2" spans="1:3">
      <c r="B2" s="1" t="s">
        <v>179</v>
      </c>
      <c r="C2" s="1" t="s">
        <v>107</v>
      </c>
    </row>
    <row r="3" spans="1:3">
      <c r="B3" s="1" t="s">
        <v>178</v>
      </c>
      <c r="C3" s="1" t="s">
        <v>287</v>
      </c>
    </row>
    <row r="4" spans="1:3">
      <c r="B4" s="1" t="s">
        <v>207</v>
      </c>
      <c r="C4" s="1" t="s">
        <v>288</v>
      </c>
    </row>
    <row r="5" spans="1:3">
      <c r="B5" s="1" t="s">
        <v>5</v>
      </c>
      <c r="C5" s="14" t="s">
        <v>301</v>
      </c>
    </row>
    <row r="6" spans="1:3">
      <c r="C6" s="14" t="s">
        <v>302</v>
      </c>
    </row>
    <row r="7" spans="1:3">
      <c r="B7" s="1" t="s">
        <v>210</v>
      </c>
    </row>
    <row r="8" spans="1:3" ht="13">
      <c r="C8" s="10" t="s">
        <v>304</v>
      </c>
    </row>
    <row r="9" spans="1:3">
      <c r="C9" s="1" t="s">
        <v>291</v>
      </c>
    </row>
    <row r="10" spans="1:3">
      <c r="C10" s="1" t="s">
        <v>289</v>
      </c>
    </row>
    <row r="12" spans="1:3">
      <c r="C12" s="1" t="s">
        <v>290</v>
      </c>
    </row>
    <row r="13" spans="1:3">
      <c r="C13" s="1" t="s">
        <v>294</v>
      </c>
    </row>
    <row r="14" spans="1:3">
      <c r="C14" s="1" t="s">
        <v>293</v>
      </c>
    </row>
    <row r="15" spans="1:3">
      <c r="C15" s="1" t="s">
        <v>292</v>
      </c>
    </row>
    <row r="17" spans="3:3">
      <c r="C17" s="1" t="s">
        <v>295</v>
      </c>
    </row>
    <row r="18" spans="3:3">
      <c r="C18" s="1" t="s">
        <v>296</v>
      </c>
    </row>
    <row r="19" spans="3:3">
      <c r="C19" s="1" t="s">
        <v>297</v>
      </c>
    </row>
    <row r="21" spans="3:3">
      <c r="C21" s="1" t="s">
        <v>298</v>
      </c>
    </row>
    <row r="22" spans="3:3">
      <c r="C22" s="1" t="s">
        <v>299</v>
      </c>
    </row>
    <row r="24" spans="3:3">
      <c r="C24" s="1" t="s">
        <v>303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2"/>
  <sheetViews>
    <sheetView workbookViewId="0"/>
  </sheetViews>
  <sheetFormatPr defaultColWidth="9.1796875" defaultRowHeight="12.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10">
      <c r="A1" s="3" t="s">
        <v>8</v>
      </c>
      <c r="B1" s="3"/>
    </row>
    <row r="2" spans="1:10">
      <c r="A2" s="3"/>
      <c r="B2" s="1" t="s">
        <v>179</v>
      </c>
      <c r="C2" s="1" t="s">
        <v>180</v>
      </c>
    </row>
    <row r="3" spans="1:10">
      <c r="B3" s="1" t="s">
        <v>178</v>
      </c>
      <c r="C3" s="1" t="s">
        <v>181</v>
      </c>
    </row>
    <row r="4" spans="1:10">
      <c r="B4" s="1" t="s">
        <v>192</v>
      </c>
      <c r="C4" s="1" t="s">
        <v>224</v>
      </c>
    </row>
    <row r="5" spans="1:10">
      <c r="B5" s="1" t="s">
        <v>225</v>
      </c>
      <c r="C5" s="1" t="s">
        <v>226</v>
      </c>
    </row>
    <row r="7" spans="1:10">
      <c r="C7" s="1" t="s">
        <v>47</v>
      </c>
    </row>
    <row r="8" spans="1:10">
      <c r="C8" s="1" t="s">
        <v>48</v>
      </c>
    </row>
    <row r="10" spans="1:10">
      <c r="C10" s="1" t="s">
        <v>188</v>
      </c>
    </row>
    <row r="11" spans="1:10">
      <c r="C11" s="1" t="s">
        <v>49</v>
      </c>
    </row>
    <row r="12" spans="1:10">
      <c r="C12" s="1" t="s">
        <v>50</v>
      </c>
    </row>
    <row r="13" spans="1:10">
      <c r="C13" s="1" t="s">
        <v>51</v>
      </c>
      <c r="J13" s="1" t="s">
        <v>163</v>
      </c>
    </row>
    <row r="15" spans="1:10">
      <c r="C15" s="11" t="s">
        <v>52</v>
      </c>
    </row>
    <row r="16" spans="1:10">
      <c r="C16" s="1" t="s">
        <v>53</v>
      </c>
    </row>
    <row r="18" spans="3:9">
      <c r="C18" s="1" t="s">
        <v>157</v>
      </c>
    </row>
    <row r="19" spans="3:9">
      <c r="C19" s="1" t="s">
        <v>158</v>
      </c>
    </row>
    <row r="24" spans="3:9">
      <c r="C24" s="1" t="s">
        <v>46</v>
      </c>
    </row>
    <row r="28" spans="3:9">
      <c r="C28" s="11" t="s">
        <v>29</v>
      </c>
      <c r="D28" s="11"/>
      <c r="E28" s="11" t="s">
        <v>34</v>
      </c>
      <c r="F28" s="11"/>
      <c r="G28" s="11" t="s">
        <v>36</v>
      </c>
      <c r="H28" s="11"/>
      <c r="I28" s="11" t="s">
        <v>43</v>
      </c>
    </row>
    <row r="29" spans="3:9">
      <c r="C29" s="1" t="s">
        <v>30</v>
      </c>
      <c r="E29" s="1" t="s">
        <v>35</v>
      </c>
      <c r="G29" s="1" t="s">
        <v>37</v>
      </c>
      <c r="I29" s="1" t="s">
        <v>44</v>
      </c>
    </row>
    <row r="30" spans="3:9">
      <c r="C30" s="1" t="s">
        <v>31</v>
      </c>
      <c r="G30" s="1" t="s">
        <v>38</v>
      </c>
      <c r="I30" s="1" t="s">
        <v>45</v>
      </c>
    </row>
    <row r="31" spans="3:9">
      <c r="C31" s="1" t="s">
        <v>32</v>
      </c>
      <c r="G31" s="1" t="s">
        <v>39</v>
      </c>
    </row>
    <row r="32" spans="3:9">
      <c r="C32" s="1" t="s">
        <v>33</v>
      </c>
      <c r="G32" s="1" t="s">
        <v>40</v>
      </c>
    </row>
    <row r="33" spans="3:7">
      <c r="G33" s="1" t="s">
        <v>41</v>
      </c>
    </row>
    <row r="34" spans="3:7">
      <c r="G34" s="1" t="s">
        <v>42</v>
      </c>
    </row>
    <row r="37" spans="3:7">
      <c r="C37" s="1" t="s">
        <v>189</v>
      </c>
    </row>
    <row r="40" spans="3:7">
      <c r="C40" s="1" t="s">
        <v>190</v>
      </c>
    </row>
    <row r="42" spans="3:7">
      <c r="C42" s="1" t="s">
        <v>191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6484F5-E093-4358-8F99-4066973C60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5FF9D-F8BD-4029-B235-519EDFAFA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8B6939-179A-4B1A-8B2E-7C8092C58C5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Master Pipeline</vt:lpstr>
      <vt:lpstr>Main</vt:lpstr>
      <vt:lpstr>Model</vt:lpstr>
      <vt:lpstr>Keytruda</vt:lpstr>
      <vt:lpstr>Winrevair</vt:lpstr>
      <vt:lpstr>Welireg</vt:lpstr>
      <vt:lpstr>Gardasil</vt:lpstr>
      <vt:lpstr>Lenvima</vt:lpstr>
      <vt:lpstr>Lynparza</vt:lpstr>
      <vt:lpstr>Padcev</vt:lpstr>
      <vt:lpstr>Rotateq</vt:lpstr>
      <vt:lpstr>V940</vt:lpstr>
      <vt:lpstr>0482</vt:lpstr>
      <vt:lpstr>Zostavax</vt:lpstr>
      <vt:lpstr>Vytorin</vt:lpstr>
      <vt:lpstr>Singulair</vt:lpstr>
      <vt:lpstr>Januvia</vt:lpstr>
      <vt:lpstr>odanacatib</vt:lpstr>
      <vt:lpstr>524</vt:lpstr>
      <vt:lpstr>517</vt:lpstr>
      <vt:lpstr>Isentress</vt:lpstr>
      <vt:lpstr>rolofylline</vt:lpstr>
      <vt:lpstr>taranabant</vt:lpstr>
      <vt:lpstr>telcagepant</vt:lpstr>
      <vt:lpstr>457</vt:lpstr>
      <vt:lpstr>vorapaxar</vt:lpstr>
      <vt:lpstr>Crixivan</vt:lpstr>
      <vt:lpstr>Fosamax</vt:lpstr>
      <vt:lpstr>Arcoxia</vt:lpstr>
      <vt:lpstr>Zolinza</vt:lpstr>
      <vt:lpstr>Model!Print_Area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2010-04-26T20:07:53Z</cp:lastPrinted>
  <dcterms:created xsi:type="dcterms:W3CDTF">2004-12-14T14:31:03Z</dcterms:created>
  <dcterms:modified xsi:type="dcterms:W3CDTF">2026-08-25T23:31:12Z</dcterms:modified>
</cp:coreProperties>
</file>