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A7771B0-200C-434E-A4D3-170269C9B776}" xr6:coauthVersionLast="47" xr6:coauthVersionMax="47" xr10:uidLastSave="{00000000-0000-0000-0000-000000000000}"/>
  <bookViews>
    <workbookView xWindow="19130" yWindow="3220" windowWidth="22360" windowHeight="16580" activeTab="1" xr2:uid="{AB106E2F-8EA4-4BB4-9C4F-19A2AA785FC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8" i="2" l="1"/>
  <c r="O18" i="2"/>
  <c r="M9" i="2"/>
  <c r="M5" i="2"/>
  <c r="N9" i="2"/>
  <c r="N5" i="2"/>
  <c r="N10" i="2" s="1"/>
  <c r="N12" i="2" s="1"/>
  <c r="N14" i="2" s="1"/>
  <c r="N15" i="2" s="1"/>
  <c r="P18" i="2"/>
  <c r="Q18" i="2"/>
  <c r="P9" i="2"/>
  <c r="O9" i="2"/>
  <c r="P5" i="2"/>
  <c r="P10" i="2" s="1"/>
  <c r="P12" i="2" s="1"/>
  <c r="P14" i="2" s="1"/>
  <c r="P15" i="2" s="1"/>
  <c r="O5" i="2"/>
  <c r="R18" i="2"/>
  <c r="R9" i="2"/>
  <c r="R5" i="2"/>
  <c r="Q9" i="2"/>
  <c r="Q5" i="2"/>
  <c r="F9" i="2"/>
  <c r="F10" i="2" s="1"/>
  <c r="F12" i="2" s="1"/>
  <c r="F14" i="2" s="1"/>
  <c r="E9" i="2"/>
  <c r="E10" i="2" s="1"/>
  <c r="E12" i="2" s="1"/>
  <c r="E14" i="2" s="1"/>
  <c r="D9" i="2"/>
  <c r="D10" i="2" s="1"/>
  <c r="D12" i="2" s="1"/>
  <c r="D14" i="2" s="1"/>
  <c r="C9" i="2"/>
  <c r="G9" i="2"/>
  <c r="C5" i="2"/>
  <c r="G5" i="2"/>
  <c r="G10" i="2" s="1"/>
  <c r="G12" i="2" s="1"/>
  <c r="G14" i="2" s="1"/>
  <c r="G15" i="2" s="1"/>
  <c r="K6" i="1"/>
  <c r="K7" i="1" s="1"/>
  <c r="K5" i="1"/>
  <c r="K4" i="1"/>
  <c r="M10" i="2" l="1"/>
  <c r="M12" i="2" s="1"/>
  <c r="M14" i="2" s="1"/>
  <c r="M15" i="2" s="1"/>
  <c r="C10" i="2"/>
  <c r="C12" i="2" s="1"/>
  <c r="C14" i="2" s="1"/>
  <c r="C15" i="2" s="1"/>
  <c r="Q10" i="2"/>
  <c r="Q12" i="2" s="1"/>
  <c r="Q14" i="2" s="1"/>
  <c r="Q15" i="2" s="1"/>
  <c r="O10" i="2"/>
  <c r="O12" i="2" s="1"/>
  <c r="O14" i="2" s="1"/>
  <c r="O15" i="2" s="1"/>
  <c r="R10" i="2"/>
  <c r="R12" i="2" s="1"/>
  <c r="R14" i="2" s="1"/>
  <c r="R15" i="2" s="1"/>
</calcChain>
</file>

<file path=xl/sharedStrings.xml><?xml version="1.0" encoding="utf-8"?>
<sst xmlns="http://schemas.openxmlformats.org/spreadsheetml/2006/main" count="35" uniqueCount="31">
  <si>
    <t>Price TWD</t>
  </si>
  <si>
    <t>Shares</t>
  </si>
  <si>
    <t>MC TWD</t>
  </si>
  <si>
    <t>Cash TWD</t>
  </si>
  <si>
    <t>Debt TWD</t>
  </si>
  <si>
    <t>EV TWD</t>
  </si>
  <si>
    <t>Founded 1997</t>
  </si>
  <si>
    <t>Q126</t>
  </si>
  <si>
    <t>Main</t>
  </si>
  <si>
    <t>Revenue</t>
  </si>
  <si>
    <t>$TWD</t>
  </si>
  <si>
    <t>Q125</t>
  </si>
  <si>
    <t>Q225</t>
  </si>
  <si>
    <t>Q325</t>
  </si>
  <si>
    <t>Q425</t>
  </si>
  <si>
    <t>Q226</t>
  </si>
  <si>
    <t>Q326</t>
  </si>
  <si>
    <t>Q426</t>
  </si>
  <si>
    <t>COGS</t>
  </si>
  <si>
    <t>Gross Profit</t>
  </si>
  <si>
    <t>S&amp;M</t>
  </si>
  <si>
    <t>G&amp;A</t>
  </si>
  <si>
    <t>R&amp;D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</si>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</sst>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3629</xdr:colOff>
      <xdr:row>0</xdr:row>
      <xdr:rowOff>18143</xdr:rowOff>
    </xdr:from>
    <xdr:to>
      <xdr:col>18</xdr:col>
      <xdr:colOff>3629</xdr:colOff>
      <xdr:row>29</xdr:row>
      <xdr:rowOff>79829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1B9864D-A5E8-A0E0-176F-DF646FF559E9}"/>
            </a:ext>
          </a:extLst>
        </xdr:cNvPr>
        <xdr:cNvCxnSpPr/>
      </xdr:nvCxnSpPr>
      <xdr:spPr>
        <a:xfrm>
          <a:off x="10062029" y="18143"/>
          <a:ext cx="0" cy="4699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3766-59B6-4C35-BE09-1BDCCF489A01}">
  <dimension ref="J2:L9"/>
  <sheetViews>
    <sheetView zoomScale="145" zoomScaleNormal="145" workbookViewId="0">
      <selection activeCell="K8" sqref="K8"/>
    </sheetView>
  </sheetViews>
  <sheetFormatPr defaultRowHeight="12.5" x14ac:dyDescent="0.25"/>
  <cols>
    <col min="1" max="9" width="8.7265625" style="1"/>
    <col min="10" max="10" width="12.36328125" style="1" bestFit="1" customWidth="1"/>
    <col min="11" max="11" width="8.90625" style="1" bestFit="1" customWidth="1"/>
    <col min="12" max="16384" width="8.7265625" style="1"/>
  </cols>
  <sheetData>
    <row r="2" spans="10:12" x14ac:dyDescent="0.25">
      <c r="J2" s="1" t="s">
        <v>0</v>
      </c>
      <c r="K2" s="2">
        <v>3925</v>
      </c>
    </row>
    <row r="3" spans="10:12" x14ac:dyDescent="0.25">
      <c r="J3" s="1" t="s">
        <v>1</v>
      </c>
      <c r="K3" s="2">
        <v>1603</v>
      </c>
      <c r="L3" s="3" t="s">
        <v>7</v>
      </c>
    </row>
    <row r="4" spans="10:12" x14ac:dyDescent="0.25">
      <c r="J4" s="1" t="s">
        <v>2</v>
      </c>
      <c r="K4" s="2">
        <f>+K2*K3</f>
        <v>6291775</v>
      </c>
    </row>
    <row r="5" spans="10:12" x14ac:dyDescent="0.25">
      <c r="J5" s="1" t="s">
        <v>3</v>
      </c>
      <c r="K5" s="2">
        <f>184514+67802+79270+4269</f>
        <v>335855</v>
      </c>
      <c r="L5" s="3" t="s">
        <v>7</v>
      </c>
    </row>
    <row r="6" spans="10:12" x14ac:dyDescent="0.25">
      <c r="J6" s="1" t="s">
        <v>4</v>
      </c>
      <c r="K6" s="2">
        <f>16440+120</f>
        <v>16560</v>
      </c>
      <c r="L6" s="3" t="s">
        <v>7</v>
      </c>
    </row>
    <row r="7" spans="10:12" x14ac:dyDescent="0.25">
      <c r="J7" s="1" t="s">
        <v>5</v>
      </c>
      <c r="K7" s="2">
        <f>+K4-K5+K6</f>
        <v>5972480</v>
      </c>
    </row>
    <row r="9" spans="10:12" x14ac:dyDescent="0.25">
      <c r="J9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46BE-3F41-428A-B7DA-D35C4EDB418A}">
  <dimension ref="A1:R18"/>
  <sheetViews>
    <sheetView tabSelected="1" zoomScale="175" zoomScaleNormal="175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RowHeight="12.5" x14ac:dyDescent="0.25"/>
  <cols>
    <col min="1" max="1" width="4.6328125" style="1" bestFit="1" customWidth="1"/>
    <col min="2" max="2" width="17.1796875" style="1" bestFit="1" customWidth="1"/>
    <col min="3" max="10" width="8.7265625" style="3"/>
    <col min="11" max="12" width="8.7265625" style="1"/>
    <col min="13" max="15" width="8.90625" style="1" bestFit="1" customWidth="1"/>
    <col min="16" max="16384" width="8.7265625" style="1"/>
  </cols>
  <sheetData>
    <row r="1" spans="1:18" x14ac:dyDescent="0.25">
      <c r="A1" s="1" t="s">
        <v>8</v>
      </c>
    </row>
    <row r="2" spans="1:18" x14ac:dyDescent="0.25"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7</v>
      </c>
      <c r="H2" s="3" t="s">
        <v>15</v>
      </c>
      <c r="I2" s="3" t="s">
        <v>16</v>
      </c>
      <c r="J2" s="3" t="s">
        <v>17</v>
      </c>
      <c r="M2" s="1">
        <v>2020</v>
      </c>
      <c r="N2" s="1">
        <v>2021</v>
      </c>
      <c r="O2" s="1">
        <v>2022</v>
      </c>
      <c r="P2" s="1">
        <v>2023</v>
      </c>
      <c r="Q2" s="1">
        <v>2024</v>
      </c>
      <c r="R2" s="1">
        <v>2025</v>
      </c>
    </row>
    <row r="3" spans="1:18" s="7" customFormat="1" ht="13" x14ac:dyDescent="0.3">
      <c r="B3" s="7" t="s">
        <v>9</v>
      </c>
      <c r="C3" s="8">
        <v>153312.23699999999</v>
      </c>
      <c r="D3" s="8"/>
      <c r="E3" s="8"/>
      <c r="F3" s="8"/>
      <c r="G3" s="8">
        <v>149150.51</v>
      </c>
      <c r="H3" s="8"/>
      <c r="I3" s="8"/>
      <c r="J3" s="8"/>
      <c r="M3" s="7">
        <v>322145.98800000001</v>
      </c>
      <c r="N3" s="7">
        <v>493414.58199999999</v>
      </c>
      <c r="O3" s="7">
        <v>548796.03</v>
      </c>
      <c r="P3" s="7">
        <v>433446.33</v>
      </c>
      <c r="Q3" s="7">
        <v>530585.88600000006</v>
      </c>
      <c r="R3" s="7">
        <v>595965.68200000003</v>
      </c>
    </row>
    <row r="4" spans="1:18" s="2" customFormat="1" x14ac:dyDescent="0.25">
      <c r="B4" s="2" t="s">
        <v>18</v>
      </c>
      <c r="C4" s="4">
        <v>79502.744999999995</v>
      </c>
      <c r="D4" s="4"/>
      <c r="E4" s="4"/>
      <c r="F4" s="4"/>
      <c r="G4" s="4">
        <v>80095.157000000007</v>
      </c>
      <c r="H4" s="4"/>
      <c r="I4" s="4"/>
      <c r="J4" s="4"/>
      <c r="M4" s="2">
        <v>180610.47200000001</v>
      </c>
      <c r="N4" s="2">
        <v>261809.98699999999</v>
      </c>
      <c r="O4" s="2">
        <v>277891.59499999997</v>
      </c>
      <c r="P4" s="2">
        <v>226079.39199999999</v>
      </c>
      <c r="Q4" s="2">
        <v>267200.185</v>
      </c>
      <c r="R4" s="2">
        <v>312885.74099999998</v>
      </c>
    </row>
    <row r="5" spans="1:18" s="2" customFormat="1" x14ac:dyDescent="0.25">
      <c r="B5" s="2" t="s">
        <v>19</v>
      </c>
      <c r="C5" s="4">
        <f>+C3-C4</f>
        <v>73809.491999999998</v>
      </c>
      <c r="D5" s="4"/>
      <c r="E5" s="4"/>
      <c r="F5" s="4"/>
      <c r="G5" s="4">
        <f>+G3-G4</f>
        <v>69055.353000000003</v>
      </c>
      <c r="H5" s="4"/>
      <c r="I5" s="4"/>
      <c r="J5" s="4"/>
      <c r="M5" s="2">
        <f t="shared" ref="M5:P5" si="0">+M3-M4</f>
        <v>141535.516</v>
      </c>
      <c r="N5" s="2">
        <f t="shared" si="0"/>
        <v>231604.595</v>
      </c>
      <c r="O5" s="2">
        <f t="shared" si="0"/>
        <v>270904.43500000006</v>
      </c>
      <c r="P5" s="2">
        <f t="shared" si="0"/>
        <v>207366.93800000002</v>
      </c>
      <c r="Q5" s="2">
        <f>+Q3-Q4</f>
        <v>263385.70100000006</v>
      </c>
      <c r="R5" s="2">
        <f>+R3-R4</f>
        <v>283079.94100000005</v>
      </c>
    </row>
    <row r="6" spans="1:18" s="2" customFormat="1" x14ac:dyDescent="0.25">
      <c r="B6" s="2" t="s">
        <v>20</v>
      </c>
      <c r="C6" s="4">
        <v>4989.0219999999999</v>
      </c>
      <c r="D6" s="4"/>
      <c r="E6" s="4"/>
      <c r="F6" s="4"/>
      <c r="G6" s="4">
        <v>5014.7460000000001</v>
      </c>
      <c r="H6" s="4"/>
      <c r="I6" s="4"/>
      <c r="J6" s="4"/>
      <c r="M6" s="2">
        <v>13639.249</v>
      </c>
      <c r="N6" s="2">
        <v>17195.852999999999</v>
      </c>
      <c r="O6" s="2">
        <v>14239.563</v>
      </c>
      <c r="P6" s="2">
        <v>14423.677</v>
      </c>
      <c r="Q6" s="2">
        <v>17089.713</v>
      </c>
      <c r="R6" s="2">
        <v>20447.681</v>
      </c>
    </row>
    <row r="7" spans="1:18" s="2" customFormat="1" x14ac:dyDescent="0.25">
      <c r="B7" s="2" t="s">
        <v>21</v>
      </c>
      <c r="C7" s="4">
        <v>2984.5</v>
      </c>
      <c r="D7" s="4"/>
      <c r="E7" s="4"/>
      <c r="F7" s="4"/>
      <c r="G7" s="4">
        <v>2804.33</v>
      </c>
      <c r="H7" s="4"/>
      <c r="I7" s="4"/>
      <c r="J7" s="4"/>
      <c r="M7" s="2">
        <v>7344.1080000000002</v>
      </c>
      <c r="N7" s="2">
        <v>10287.281000000001</v>
      </c>
      <c r="O7" s="2">
        <v>13001.319</v>
      </c>
      <c r="P7" s="2">
        <v>9703.2559999999994</v>
      </c>
      <c r="Q7" s="2">
        <v>11946.996999999999</v>
      </c>
      <c r="R7" s="2">
        <v>10856.762000000001</v>
      </c>
    </row>
    <row r="8" spans="1:18" s="2" customFormat="1" x14ac:dyDescent="0.25">
      <c r="B8" s="2" t="s">
        <v>22</v>
      </c>
      <c r="C8" s="4">
        <v>35782.07</v>
      </c>
      <c r="D8" s="4"/>
      <c r="E8" s="4"/>
      <c r="F8" s="4"/>
      <c r="G8" s="4">
        <v>38345.071000000004</v>
      </c>
      <c r="H8" s="4"/>
      <c r="I8" s="4"/>
      <c r="J8" s="4"/>
      <c r="M8" s="2">
        <v>77324.827999999994</v>
      </c>
      <c r="N8" s="2">
        <v>96080.760999999999</v>
      </c>
      <c r="O8" s="2">
        <v>116874.655</v>
      </c>
      <c r="P8" s="2">
        <v>111384.93</v>
      </c>
      <c r="Q8" s="2">
        <v>131993.13500000001</v>
      </c>
      <c r="R8" s="2">
        <v>148306.389</v>
      </c>
    </row>
    <row r="9" spans="1:18" s="2" customFormat="1" x14ac:dyDescent="0.25">
      <c r="B9" s="2" t="s">
        <v>23</v>
      </c>
      <c r="C9" s="4">
        <f t="shared" ref="C9:F9" si="1">SUM(C6:C8)</f>
        <v>43755.591999999997</v>
      </c>
      <c r="D9" s="4">
        <f t="shared" si="1"/>
        <v>0</v>
      </c>
      <c r="E9" s="4">
        <f t="shared" si="1"/>
        <v>0</v>
      </c>
      <c r="F9" s="4">
        <f t="shared" si="1"/>
        <v>0</v>
      </c>
      <c r="G9" s="4">
        <f>SUM(G6:G8)</f>
        <v>46164.147000000004</v>
      </c>
      <c r="H9" s="4"/>
      <c r="I9" s="4"/>
      <c r="J9" s="4"/>
      <c r="M9" s="4">
        <f t="shared" ref="M9:P9" si="2">SUM(M6:M8)</f>
        <v>98308.184999999998</v>
      </c>
      <c r="N9" s="4">
        <f t="shared" si="2"/>
        <v>123563.89499999999</v>
      </c>
      <c r="O9" s="4">
        <f t="shared" si="2"/>
        <v>144115.53700000001</v>
      </c>
      <c r="P9" s="4">
        <f t="shared" si="2"/>
        <v>135511.86299999998</v>
      </c>
      <c r="Q9" s="4">
        <f>SUM(Q6:Q8)</f>
        <v>161029.845</v>
      </c>
      <c r="R9" s="4">
        <f>SUM(R6:R8)</f>
        <v>179610.83199999999</v>
      </c>
    </row>
    <row r="10" spans="1:18" s="2" customFormat="1" x14ac:dyDescent="0.25">
      <c r="B10" s="2" t="s">
        <v>24</v>
      </c>
      <c r="C10" s="4">
        <f t="shared" ref="C10:F10" si="3">C5-C9</f>
        <v>30053.9</v>
      </c>
      <c r="D10" s="4">
        <f t="shared" si="3"/>
        <v>0</v>
      </c>
      <c r="E10" s="4">
        <f t="shared" si="3"/>
        <v>0</v>
      </c>
      <c r="F10" s="4">
        <f t="shared" si="3"/>
        <v>0</v>
      </c>
      <c r="G10" s="4">
        <f>G5-G9</f>
        <v>22891.205999999998</v>
      </c>
      <c r="H10" s="4"/>
      <c r="I10" s="4"/>
      <c r="J10" s="4"/>
      <c r="M10" s="4">
        <f t="shared" ref="M10:P10" si="4">M5-M9</f>
        <v>43227.331000000006</v>
      </c>
      <c r="N10" s="4">
        <f t="shared" si="4"/>
        <v>108040.70000000001</v>
      </c>
      <c r="O10" s="4">
        <f t="shared" si="4"/>
        <v>126788.89800000004</v>
      </c>
      <c r="P10" s="4">
        <f t="shared" si="4"/>
        <v>71855.075000000041</v>
      </c>
      <c r="Q10" s="4">
        <f>Q5-Q9</f>
        <v>102355.85600000006</v>
      </c>
      <c r="R10" s="4">
        <f>R5-R9</f>
        <v>103469.10900000005</v>
      </c>
    </row>
    <row r="11" spans="1:18" s="2" customFormat="1" x14ac:dyDescent="0.25">
      <c r="B11" s="2" t="s">
        <v>25</v>
      </c>
      <c r="C11" s="4">
        <v>2839.752</v>
      </c>
      <c r="D11" s="4">
        <v>0</v>
      </c>
      <c r="E11" s="4">
        <v>0</v>
      </c>
      <c r="F11" s="4">
        <v>0</v>
      </c>
      <c r="G11" s="4">
        <v>2396.489</v>
      </c>
      <c r="H11" s="4"/>
      <c r="I11" s="4"/>
      <c r="J11" s="4"/>
      <c r="M11" s="4">
        <v>2482.1990000000001</v>
      </c>
      <c r="N11" s="4">
        <v>1650.6980000000001</v>
      </c>
      <c r="O11" s="4">
        <v>7307.8310000000001</v>
      </c>
      <c r="P11" s="4">
        <v>7307.8310000000001</v>
      </c>
      <c r="Q11" s="4">
        <v>11149.734</v>
      </c>
      <c r="R11" s="4">
        <v>10819.306</v>
      </c>
    </row>
    <row r="12" spans="1:18" s="2" customFormat="1" x14ac:dyDescent="0.25">
      <c r="B12" s="2" t="s">
        <v>26</v>
      </c>
      <c r="C12" s="4">
        <f t="shared" ref="C12:F12" si="5">+C11+C10</f>
        <v>32893.652000000002</v>
      </c>
      <c r="D12" s="4">
        <f t="shared" si="5"/>
        <v>0</v>
      </c>
      <c r="E12" s="4">
        <f t="shared" si="5"/>
        <v>0</v>
      </c>
      <c r="F12" s="4">
        <f t="shared" si="5"/>
        <v>0</v>
      </c>
      <c r="G12" s="4">
        <f>+G11+G10</f>
        <v>25287.695</v>
      </c>
      <c r="H12" s="4"/>
      <c r="I12" s="4"/>
      <c r="J12" s="4"/>
      <c r="M12" s="4">
        <f t="shared" ref="M12:P12" si="6">+M11+M10</f>
        <v>45709.530000000006</v>
      </c>
      <c r="N12" s="4">
        <f t="shared" si="6"/>
        <v>109691.39800000002</v>
      </c>
      <c r="O12" s="4">
        <f t="shared" si="6"/>
        <v>134096.72900000005</v>
      </c>
      <c r="P12" s="4">
        <f t="shared" si="6"/>
        <v>79162.906000000046</v>
      </c>
      <c r="Q12" s="4">
        <f>+Q11+Q10</f>
        <v>113505.59000000005</v>
      </c>
      <c r="R12" s="4">
        <f>+R11+R10</f>
        <v>114288.41500000005</v>
      </c>
    </row>
    <row r="13" spans="1:18" s="2" customFormat="1" x14ac:dyDescent="0.25">
      <c r="B13" s="2" t="s">
        <v>27</v>
      </c>
      <c r="C13" s="4">
        <v>5024.2629999999999</v>
      </c>
      <c r="D13" s="4"/>
      <c r="E13" s="4"/>
      <c r="F13" s="4"/>
      <c r="G13" s="4">
        <v>2643.0059999999999</v>
      </c>
      <c r="H13" s="4"/>
      <c r="I13" s="4"/>
      <c r="J13" s="4"/>
      <c r="M13" s="4">
        <v>6144.1130000000003</v>
      </c>
      <c r="N13" s="4">
        <v>14979.25</v>
      </c>
      <c r="O13" s="4">
        <v>9591.4979999999996</v>
      </c>
      <c r="P13" s="4">
        <v>9591.4979999999996</v>
      </c>
      <c r="Q13" s="4">
        <v>12378.156999999999</v>
      </c>
      <c r="R13" s="4">
        <v>18770.236000000001</v>
      </c>
    </row>
    <row r="14" spans="1:18" s="2" customFormat="1" x14ac:dyDescent="0.25">
      <c r="B14" s="2" t="s">
        <v>28</v>
      </c>
      <c r="C14" s="4">
        <f t="shared" ref="C14:F14" si="7">+C12-C13</f>
        <v>27869.389000000003</v>
      </c>
      <c r="D14" s="4">
        <f t="shared" si="7"/>
        <v>0</v>
      </c>
      <c r="E14" s="4">
        <f t="shared" si="7"/>
        <v>0</v>
      </c>
      <c r="F14" s="4">
        <f t="shared" si="7"/>
        <v>0</v>
      </c>
      <c r="G14" s="4">
        <f>+G12-G13</f>
        <v>22644.688999999998</v>
      </c>
      <c r="H14" s="4"/>
      <c r="I14" s="4"/>
      <c r="J14" s="4"/>
      <c r="M14" s="4">
        <f t="shared" ref="M14:P14" si="8">+M12-M13</f>
        <v>39565.417000000009</v>
      </c>
      <c r="N14" s="4">
        <f t="shared" si="8"/>
        <v>94712.148000000016</v>
      </c>
      <c r="O14" s="4">
        <f t="shared" si="8"/>
        <v>124505.23100000006</v>
      </c>
      <c r="P14" s="4">
        <f t="shared" si="8"/>
        <v>69571.408000000054</v>
      </c>
      <c r="Q14" s="4">
        <f>+Q12-Q13</f>
        <v>101127.43300000005</v>
      </c>
      <c r="R14" s="4">
        <f>+R12-R13</f>
        <v>95518.179000000047</v>
      </c>
    </row>
    <row r="15" spans="1:18" s="6" customFormat="1" x14ac:dyDescent="0.25">
      <c r="B15" s="6" t="s">
        <v>29</v>
      </c>
      <c r="C15" s="5">
        <f>+C14/C16</f>
        <v>17.400293570054107</v>
      </c>
      <c r="D15" s="5"/>
      <c r="E15" s="5"/>
      <c r="F15" s="5"/>
      <c r="G15" s="5">
        <f>+G14/G16</f>
        <v>14.118481530066637</v>
      </c>
      <c r="H15" s="5"/>
      <c r="I15" s="5"/>
      <c r="J15" s="5"/>
      <c r="M15" s="6">
        <f t="shared" ref="M15:P15" si="9">+M14/M16</f>
        <v>24.882936920964436</v>
      </c>
      <c r="N15" s="6">
        <f t="shared" si="9"/>
        <v>59.23796605197758</v>
      </c>
      <c r="O15" s="6">
        <f t="shared" si="9"/>
        <v>77.843241860569492</v>
      </c>
      <c r="P15" s="6">
        <f t="shared" si="9"/>
        <v>43.491711305547604</v>
      </c>
      <c r="Q15" s="6">
        <f>+Q14/Q16</f>
        <v>63.138034998077053</v>
      </c>
      <c r="R15" s="6">
        <f>+R14/R16</f>
        <v>59.553254168557906</v>
      </c>
    </row>
    <row r="16" spans="1:18" s="2" customFormat="1" x14ac:dyDescent="0.25">
      <c r="B16" s="2" t="s">
        <v>1</v>
      </c>
      <c r="C16" s="4">
        <v>1601.662</v>
      </c>
      <c r="D16" s="4"/>
      <c r="E16" s="4"/>
      <c r="F16" s="4"/>
      <c r="G16" s="4">
        <v>1603.904</v>
      </c>
      <c r="H16" s="4"/>
      <c r="I16" s="4"/>
      <c r="J16" s="4"/>
      <c r="M16" s="4">
        <v>1590.062183</v>
      </c>
      <c r="N16" s="4">
        <v>1598.8419980000001</v>
      </c>
      <c r="O16" s="4">
        <v>1599.4353269999999</v>
      </c>
      <c r="P16" s="4">
        <v>1599.6475170000001</v>
      </c>
      <c r="Q16" s="4">
        <v>1601.6880000000001</v>
      </c>
      <c r="R16" s="2">
        <v>1603.912</v>
      </c>
    </row>
    <row r="18" spans="2:18" x14ac:dyDescent="0.25">
      <c r="B18" s="1" t="s">
        <v>30</v>
      </c>
      <c r="N18" s="9">
        <f>+N3/M3-1</f>
        <v>0.53164900504674284</v>
      </c>
      <c r="O18" s="9">
        <f>+O3/N3-1</f>
        <v>0.11224120652356406</v>
      </c>
      <c r="P18" s="9">
        <f>+P3/O3-1</f>
        <v>-0.2101868338952817</v>
      </c>
      <c r="Q18" s="9">
        <f>+Q3/P3-1</f>
        <v>0.22410976694623308</v>
      </c>
      <c r="R18" s="9">
        <f>+R3/Q3-1</f>
        <v>0.12322189060264588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2026-07-10T23:34:47Z</dcterms:created>
  <dcterms:modified xsi:type="dcterms:W3CDTF">2026-07-10T23:57:34Z</dcterms:modified>
</cp:coreProperties>
</file>