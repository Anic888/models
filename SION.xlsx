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2CB1313C-D57B-4D26-AC8D-53BD8CFF5FF6}" xr6:coauthVersionLast="47" xr6:coauthVersionMax="47" xr10:uidLastSave="{00000000-0000-0000-0000-000000000000}"/>
  <bookViews>
    <workbookView xWindow="10470" yWindow="3840" windowWidth="22360" windowHeight="13710" activeTab="1" xr2:uid="{36B3AE1C-5BA6-4045-AE7F-A46F41D2B3EA}"/>
  </bookViews>
  <sheets>
    <sheet name="Main" sheetId="1" r:id="rId1"/>
    <sheet name="SION-719" sheetId="3" r:id="rId2"/>
    <sheet name="Mode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1" i="1" l="1"/>
  <c r="H30" i="1"/>
  <c r="H32" i="1"/>
  <c r="H29" i="1" s="1"/>
  <c r="I5" i="1"/>
  <c r="I26" i="1" s="1"/>
  <c r="D33" i="1" s="1"/>
  <c r="I31" i="1" s="1"/>
  <c r="J31" i="1" s="1"/>
  <c r="I4" i="1"/>
  <c r="I7" i="1" l="1"/>
  <c r="D43" i="1"/>
  <c r="E43" i="1" s="1"/>
  <c r="D50" i="1"/>
  <c r="E50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1" i="1"/>
  <c r="E51" i="1" s="1"/>
  <c r="D31" i="1"/>
  <c r="E31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D32" i="1"/>
  <c r="E33" i="1"/>
  <c r="E32" i="1" l="1"/>
  <c r="I30" i="1"/>
  <c r="J30" i="1" s="1"/>
  <c r="E34" i="1"/>
  <c r="I32" i="1"/>
  <c r="J32" i="1" s="1"/>
  <c r="J29" i="1" l="1"/>
</calcChain>
</file>

<file path=xl/sharedStrings.xml><?xml version="1.0" encoding="utf-8"?>
<sst xmlns="http://schemas.openxmlformats.org/spreadsheetml/2006/main" count="49" uniqueCount="32">
  <si>
    <t>Price</t>
  </si>
  <si>
    <t>Shares</t>
  </si>
  <si>
    <t>MC</t>
  </si>
  <si>
    <t>Cash</t>
  </si>
  <si>
    <t>Debt</t>
  </si>
  <si>
    <t>EV</t>
  </si>
  <si>
    <t>Q126</t>
  </si>
  <si>
    <t>Founded: 2019</t>
  </si>
  <si>
    <t>Main</t>
  </si>
  <si>
    <t>Name</t>
  </si>
  <si>
    <t>SION-719</t>
  </si>
  <si>
    <t>SION-451</t>
  </si>
  <si>
    <t>Indication</t>
  </si>
  <si>
    <t>Cystic Fibrosis</t>
  </si>
  <si>
    <t>AUG/21/26 PUTS</t>
  </si>
  <si>
    <t>SEP/18/26 PUTS</t>
  </si>
  <si>
    <t>Phase</t>
  </si>
  <si>
    <t>II</t>
  </si>
  <si>
    <t>Summer 2026: SION-719 data</t>
  </si>
  <si>
    <t>ABBV</t>
  </si>
  <si>
    <t>Economics</t>
  </si>
  <si>
    <t>I</t>
  </si>
  <si>
    <t>SION-109</t>
  </si>
  <si>
    <t>MOA</t>
  </si>
  <si>
    <t>TMD1</t>
  </si>
  <si>
    <t>NBD1</t>
  </si>
  <si>
    <t>ICL4</t>
  </si>
  <si>
    <t>SION-638</t>
  </si>
  <si>
    <t>1st-gen NBD1</t>
  </si>
  <si>
    <t>galicaftor (SION-2222)</t>
  </si>
  <si>
    <t>SION-2851</t>
  </si>
  <si>
    <t>SNY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</si>
</sst>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3" fillId="0" borderId="0" xfId="1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9" fontId="1" fillId="0" borderId="0" xfId="0" applyNumberFormat="1" applyFont="1"/>
    <xf numFmtId="14" fontId="1" fillId="0" borderId="0" xfId="0" applyNumberFormat="1" applyFont="1"/>
    <xf numFmtId="0" fontId="4" fillId="0" borderId="0" xfId="0" applyFont="1"/>
    <xf numFmtId="3" fontId="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313895</xdr:colOff>
      <xdr:row>5</xdr:row>
      <xdr:rowOff>107949</xdr:rowOff>
    </xdr:from>
    <xdr:to>
      <xdr:col>11</xdr:col>
      <xdr:colOff>473764</xdr:colOff>
      <xdr:row>28</xdr:row>
      <xdr:rowOff>76199</xdr:rowOff>
    </xdr:to>
    <xdr:pic>
      <xdr:nvPicPr>
        <xdr:cNvPr id="2" name="Picture 1" descr="LOGO">
          <a:extLst>
            <a:ext uri="{FF2B5EF4-FFF2-40B4-BE49-F238E27FC236}">
              <a16:creationId xmlns:a16="http://schemas.microsoft.com/office/drawing/2014/main" id="{87C8BA4C-833C-BFE7-26C0-B9B2F5295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069" y="908601"/>
          <a:ext cx="5626391" cy="365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A0D1-0E64-4460-8C37-03B3A36C3FDA}">
  <dimension ref="B2:J51"/>
  <sheetViews>
    <sheetView zoomScale="160" zoomScaleNormal="160" workbookViewId="0">
      <selection activeCell="E8" sqref="E8"/>
    </sheetView>
  </sheetViews>
  <sheetFormatPr defaultRowHeight="12.5" x14ac:dyDescent="0.25"/>
  <cols>
    <col min="1" max="1" width="3.90625" style="1" customWidth="1"/>
    <col min="2" max="2" width="9.81640625" style="1" bestFit="1" customWidth="1"/>
    <col min="3" max="3" width="14.08984375" style="1" customWidth="1"/>
    <col min="4" max="16384" width="8.7265625" style="1"/>
  </cols>
  <sheetData>
    <row r="2" spans="2:10" x14ac:dyDescent="0.25">
      <c r="B2" s="11" t="s">
        <v>9</v>
      </c>
      <c r="C2" s="12" t="s">
        <v>12</v>
      </c>
      <c r="D2" s="12" t="s">
        <v>16</v>
      </c>
      <c r="E2" s="12" t="s">
        <v>20</v>
      </c>
      <c r="F2" s="13" t="s">
        <v>23</v>
      </c>
      <c r="H2" s="1" t="s">
        <v>0</v>
      </c>
      <c r="I2" s="2">
        <v>50</v>
      </c>
    </row>
    <row r="3" spans="2:10" x14ac:dyDescent="0.25">
      <c r="B3" s="6" t="s">
        <v>10</v>
      </c>
      <c r="C3" s="1" t="s">
        <v>13</v>
      </c>
      <c r="D3" s="1" t="s">
        <v>17</v>
      </c>
      <c r="E3" s="1" t="s">
        <v>31</v>
      </c>
      <c r="F3" s="7" t="s">
        <v>25</v>
      </c>
      <c r="H3" s="1" t="s">
        <v>1</v>
      </c>
      <c r="I3" s="3">
        <v>45.150329999999997</v>
      </c>
      <c r="J3" s="4" t="s">
        <v>6</v>
      </c>
    </row>
    <row r="4" spans="2:10" x14ac:dyDescent="0.25">
      <c r="B4" s="6" t="s">
        <v>11</v>
      </c>
      <c r="C4" s="1" t="s">
        <v>13</v>
      </c>
      <c r="D4" s="1" t="s">
        <v>21</v>
      </c>
      <c r="E4" s="1" t="s">
        <v>31</v>
      </c>
      <c r="F4" s="7" t="s">
        <v>25</v>
      </c>
      <c r="H4" s="1" t="s">
        <v>2</v>
      </c>
      <c r="I4" s="3">
        <f>+I2*I3</f>
        <v>2257.5164999999997</v>
      </c>
    </row>
    <row r="5" spans="2:10" x14ac:dyDescent="0.25">
      <c r="B5" s="6" t="s">
        <v>29</v>
      </c>
      <c r="C5" s="1" t="s">
        <v>13</v>
      </c>
      <c r="D5" s="1" t="s">
        <v>17</v>
      </c>
      <c r="E5" s="1" t="s">
        <v>19</v>
      </c>
      <c r="F5" s="7" t="s">
        <v>24</v>
      </c>
      <c r="H5" s="1" t="s">
        <v>3</v>
      </c>
      <c r="I5" s="3">
        <f>63.324+73.781+152.826</f>
        <v>289.93100000000004</v>
      </c>
      <c r="J5" s="4" t="s">
        <v>6</v>
      </c>
    </row>
    <row r="6" spans="2:10" x14ac:dyDescent="0.25">
      <c r="B6" s="6" t="s">
        <v>27</v>
      </c>
      <c r="C6" s="1" t="s">
        <v>13</v>
      </c>
      <c r="D6" s="1" t="s">
        <v>21</v>
      </c>
      <c r="E6" s="1" t="s">
        <v>31</v>
      </c>
      <c r="F6" s="7" t="s">
        <v>28</v>
      </c>
      <c r="H6" s="1" t="s">
        <v>4</v>
      </c>
      <c r="I6" s="3">
        <v>0</v>
      </c>
      <c r="J6" s="4" t="s">
        <v>6</v>
      </c>
    </row>
    <row r="7" spans="2:10" x14ac:dyDescent="0.25">
      <c r="B7" s="6" t="s">
        <v>30</v>
      </c>
      <c r="C7" s="1" t="s">
        <v>13</v>
      </c>
      <c r="E7" s="1" t="s">
        <v>19</v>
      </c>
      <c r="F7" s="7"/>
      <c r="H7" s="1" t="s">
        <v>5</v>
      </c>
      <c r="I7" s="3">
        <f>+I4-I5+I6</f>
        <v>1967.5854999999997</v>
      </c>
    </row>
    <row r="8" spans="2:10" x14ac:dyDescent="0.25">
      <c r="B8" s="8" t="s">
        <v>22</v>
      </c>
      <c r="C8" s="9" t="s">
        <v>13</v>
      </c>
      <c r="D8" s="9" t="s">
        <v>21</v>
      </c>
      <c r="E8" s="9"/>
      <c r="F8" s="10" t="s">
        <v>26</v>
      </c>
    </row>
    <row r="9" spans="2:10" x14ac:dyDescent="0.25">
      <c r="H9" s="1" t="s">
        <v>7</v>
      </c>
    </row>
    <row r="10" spans="2:10" ht="13" x14ac:dyDescent="0.3">
      <c r="B10" s="16" t="s">
        <v>18</v>
      </c>
    </row>
    <row r="26" spans="2:10" x14ac:dyDescent="0.25">
      <c r="I26" s="2">
        <f>+I5/I3</f>
        <v>6.4214591565554464</v>
      </c>
    </row>
    <row r="29" spans="2:10" ht="13" x14ac:dyDescent="0.3">
      <c r="H29" s="17">
        <f>SUM(H30:H32)</f>
        <v>61735</v>
      </c>
      <c r="J29" s="17">
        <f>SUM(J30:J32)</f>
        <v>327728.52108611382</v>
      </c>
    </row>
    <row r="30" spans="2:10" x14ac:dyDescent="0.25">
      <c r="B30" s="2" t="s">
        <v>14</v>
      </c>
      <c r="G30" s="2">
        <v>1.8325</v>
      </c>
      <c r="H30" s="3">
        <f>+G30*F32*100</f>
        <v>18325</v>
      </c>
      <c r="I30" s="3">
        <f>+D32*100*F32</f>
        <v>135785.40843444553</v>
      </c>
      <c r="J30" s="3">
        <f>+I30-H30</f>
        <v>117460.40843444553</v>
      </c>
    </row>
    <row r="31" spans="2:10" x14ac:dyDescent="0.25">
      <c r="B31" s="2">
        <v>17.5</v>
      </c>
      <c r="C31" s="2">
        <v>1</v>
      </c>
      <c r="D31" s="2">
        <f>+B31-$I$26</f>
        <v>11.078540843444554</v>
      </c>
      <c r="E31" s="14">
        <f>+D31/C31-1</f>
        <v>10.078540843444554</v>
      </c>
      <c r="G31" s="2">
        <v>2.3450000000000002</v>
      </c>
      <c r="H31" s="3">
        <f>+G31*F33*100</f>
        <v>23450.000000000004</v>
      </c>
      <c r="I31" s="3">
        <f>+D33*100*F33</f>
        <v>160785.40843444553</v>
      </c>
      <c r="J31" s="3">
        <f>+I31-H31</f>
        <v>137335.40843444553</v>
      </c>
    </row>
    <row r="32" spans="2:10" x14ac:dyDescent="0.25">
      <c r="B32" s="2">
        <v>20</v>
      </c>
      <c r="C32" s="2">
        <v>1.8325</v>
      </c>
      <c r="D32" s="2">
        <f>+B32-$I$26</f>
        <v>13.578540843444554</v>
      </c>
      <c r="E32" s="14">
        <f>+D32/C32-1</f>
        <v>6.409844935031134</v>
      </c>
      <c r="F32" s="1">
        <v>100</v>
      </c>
      <c r="G32" s="2">
        <v>3.992</v>
      </c>
      <c r="H32" s="3">
        <f>+G32*F34*100</f>
        <v>19960</v>
      </c>
      <c r="I32" s="3">
        <f>+D34*100*F34</f>
        <v>92892.704217222767</v>
      </c>
      <c r="J32" s="3">
        <f t="shared" ref="J32" si="0">+I32-H32</f>
        <v>72932.704217222767</v>
      </c>
    </row>
    <row r="33" spans="2:6" x14ac:dyDescent="0.25">
      <c r="B33" s="2">
        <v>22.5</v>
      </c>
      <c r="C33" s="2">
        <v>2.3450000000000002</v>
      </c>
      <c r="D33" s="2">
        <f>+B33-$I$26</f>
        <v>16.078540843444554</v>
      </c>
      <c r="E33" s="14">
        <f>+D33/C33-1</f>
        <v>5.8565206155413865</v>
      </c>
      <c r="F33" s="1">
        <v>100</v>
      </c>
    </row>
    <row r="34" spans="2:6" x14ac:dyDescent="0.25">
      <c r="B34" s="2">
        <v>25</v>
      </c>
      <c r="C34" s="2">
        <v>3.5</v>
      </c>
      <c r="D34" s="2">
        <f>+B34-$I$26</f>
        <v>18.578540843444554</v>
      </c>
      <c r="E34" s="14">
        <f>+D34/C34-1</f>
        <v>4.308154526698444</v>
      </c>
      <c r="F34" s="1">
        <v>50</v>
      </c>
    </row>
    <row r="35" spans="2:6" x14ac:dyDescent="0.25">
      <c r="B35" s="2">
        <v>30</v>
      </c>
      <c r="C35" s="2">
        <v>6.1</v>
      </c>
      <c r="D35" s="2">
        <f t="shared" ref="D35:D39" si="1">+B35-$I$26</f>
        <v>23.578540843444554</v>
      </c>
      <c r="E35" s="14">
        <f t="shared" ref="E35:E39" si="2">+D35/C35-1</f>
        <v>2.8653345644991073</v>
      </c>
    </row>
    <row r="36" spans="2:6" x14ac:dyDescent="0.25">
      <c r="B36" s="2">
        <v>35</v>
      </c>
      <c r="C36" s="2">
        <v>6.55</v>
      </c>
      <c r="D36" s="2">
        <f t="shared" si="1"/>
        <v>28.578540843444554</v>
      </c>
      <c r="E36" s="14">
        <f t="shared" si="2"/>
        <v>3.3631360066327565</v>
      </c>
    </row>
    <row r="37" spans="2:6" x14ac:dyDescent="0.25">
      <c r="B37" s="2">
        <v>40</v>
      </c>
      <c r="C37" s="2">
        <v>9.4</v>
      </c>
      <c r="D37" s="2">
        <f t="shared" si="1"/>
        <v>33.578540843444557</v>
      </c>
      <c r="E37" s="14">
        <f t="shared" si="2"/>
        <v>2.5721851961111231</v>
      </c>
    </row>
    <row r="38" spans="2:6" x14ac:dyDescent="0.25">
      <c r="B38" s="2">
        <v>45</v>
      </c>
      <c r="C38" s="2">
        <v>11.9</v>
      </c>
      <c r="D38" s="2">
        <f t="shared" si="1"/>
        <v>38.578540843444557</v>
      </c>
      <c r="E38" s="14">
        <f t="shared" si="2"/>
        <v>2.2418941885247525</v>
      </c>
    </row>
    <row r="39" spans="2:6" x14ac:dyDescent="0.25">
      <c r="B39" s="2">
        <v>50</v>
      </c>
      <c r="C39" s="2">
        <v>16.55</v>
      </c>
      <c r="D39" s="2">
        <f t="shared" si="1"/>
        <v>43.578540843444557</v>
      </c>
      <c r="E39" s="14">
        <f t="shared" si="2"/>
        <v>1.6331444618395503</v>
      </c>
    </row>
    <row r="41" spans="2:6" x14ac:dyDescent="0.25">
      <c r="B41" s="15" t="s">
        <v>15</v>
      </c>
    </row>
    <row r="43" spans="2:6" x14ac:dyDescent="0.25">
      <c r="B43" s="2">
        <v>17.5</v>
      </c>
      <c r="C43" s="2">
        <v>2.5</v>
      </c>
      <c r="D43" s="2">
        <f>+B43-$I$26</f>
        <v>11.078540843444554</v>
      </c>
      <c r="E43" s="14">
        <f>+D43/C43-1</f>
        <v>3.4314163373778213</v>
      </c>
    </row>
    <row r="44" spans="2:6" x14ac:dyDescent="0.25">
      <c r="B44" s="2">
        <v>20</v>
      </c>
      <c r="C44" s="2">
        <v>2.9</v>
      </c>
      <c r="D44" s="2">
        <f>+B44-$I$26</f>
        <v>13.578540843444554</v>
      </c>
      <c r="E44" s="14">
        <f>+D44/C44-1</f>
        <v>3.6822554632567428</v>
      </c>
    </row>
    <row r="45" spans="2:6" x14ac:dyDescent="0.25">
      <c r="B45" s="2">
        <v>22.5</v>
      </c>
      <c r="C45" s="2">
        <v>3.95</v>
      </c>
      <c r="D45" s="2">
        <f>+B45-$I$26</f>
        <v>16.078540843444554</v>
      </c>
      <c r="E45" s="14">
        <f>+D45/C45-1</f>
        <v>3.0705166692264694</v>
      </c>
    </row>
    <row r="46" spans="2:6" x14ac:dyDescent="0.25">
      <c r="B46" s="2">
        <v>25</v>
      </c>
      <c r="C46" s="2">
        <v>5.45</v>
      </c>
      <c r="D46" s="2">
        <f>+B46-$I$26</f>
        <v>18.578540843444554</v>
      </c>
      <c r="E46" s="14">
        <f>+D46/C46-1</f>
        <v>2.4089065767788171</v>
      </c>
    </row>
    <row r="47" spans="2:6" x14ac:dyDescent="0.25">
      <c r="B47" s="2">
        <v>30</v>
      </c>
      <c r="C47" s="2">
        <v>7.95</v>
      </c>
      <c r="D47" s="2">
        <f t="shared" ref="D47:D51" si="3">+B47-$I$26</f>
        <v>23.578540843444554</v>
      </c>
      <c r="E47" s="14">
        <f t="shared" ref="E47:E51" si="4">+D47/C47-1</f>
        <v>1.9658541941439691</v>
      </c>
    </row>
    <row r="48" spans="2:6" x14ac:dyDescent="0.25">
      <c r="B48" s="2">
        <v>35</v>
      </c>
      <c r="C48" s="2">
        <v>10.6</v>
      </c>
      <c r="D48" s="2">
        <f t="shared" si="3"/>
        <v>28.578540843444554</v>
      </c>
      <c r="E48" s="14">
        <f t="shared" si="4"/>
        <v>1.6960887588155242</v>
      </c>
    </row>
    <row r="49" spans="2:5" x14ac:dyDescent="0.25">
      <c r="B49" s="2">
        <v>40</v>
      </c>
      <c r="C49" s="2">
        <v>13.9</v>
      </c>
      <c r="D49" s="2">
        <f t="shared" si="3"/>
        <v>33.578540843444557</v>
      </c>
      <c r="E49" s="14">
        <f t="shared" si="4"/>
        <v>1.4157223628377378</v>
      </c>
    </row>
    <row r="50" spans="2:5" x14ac:dyDescent="0.25">
      <c r="B50" s="2">
        <v>45</v>
      </c>
      <c r="C50" s="2">
        <v>17.399999999999999</v>
      </c>
      <c r="D50" s="2">
        <f t="shared" si="3"/>
        <v>38.578540843444557</v>
      </c>
      <c r="E50" s="14">
        <f t="shared" si="4"/>
        <v>1.2171575197381932</v>
      </c>
    </row>
    <row r="51" spans="2:5" x14ac:dyDescent="0.25">
      <c r="B51" s="2">
        <v>50</v>
      </c>
      <c r="C51" s="2">
        <v>21.15</v>
      </c>
      <c r="D51" s="2">
        <f t="shared" si="3"/>
        <v>43.578540843444557</v>
      </c>
      <c r="E51" s="14">
        <f t="shared" si="4"/>
        <v>1.0604511037089628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6E61-F525-4FD3-8CC8-9D5401E576A5}">
  <dimension ref="A1:C2"/>
  <sheetViews>
    <sheetView tabSelected="1" zoomScale="115" zoomScaleNormal="115" workbookViewId="0"/>
  </sheetViews>
  <sheetFormatPr defaultRowHeight="12.5" x14ac:dyDescent="0.25"/>
  <cols>
    <col min="1" max="1" width="4.6328125" style="1" bestFit="1" customWidth="1"/>
    <col min="2" max="16384" width="8.7265625" style="1"/>
  </cols>
  <sheetData>
    <row r="1" spans="1:3" x14ac:dyDescent="0.25">
      <c r="A1" s="5" t="s">
        <v>8</v>
      </c>
    </row>
    <row r="2" spans="1:3" x14ac:dyDescent="0.25">
      <c r="B2" s="1" t="s">
        <v>9</v>
      </c>
      <c r="C2" s="1" t="s">
        <v>10</v>
      </c>
    </row>
  </sheetData>
  <hyperlinks>
    <hyperlink ref="A1" location="Main!A1" display="Main" xr:uid="{22F61C1B-81D0-4EC3-B32B-694CB5A9CC11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A3146-964F-4D62-BCA4-77F5F7D60F64}">
  <dimension ref="A1"/>
  <sheetViews>
    <sheetView workbookViewId="0"/>
  </sheetViews>
  <sheetFormatPr defaultRowHeight="12.5" x14ac:dyDescent="0.25"/>
  <cols>
    <col min="1" max="1" width="4.6328125" style="1" bestFit="1" customWidth="1"/>
    <col min="2" max="16384" width="8.7265625" style="1"/>
  </cols>
  <sheetData>
    <row r="1" spans="1:1" x14ac:dyDescent="0.25">
      <c r="A1" s="5" t="s">
        <v>8</v>
      </c>
    </row>
  </sheetData>
  <hyperlinks>
    <hyperlink ref="A1" location="Main!A1" display="Main" xr:uid="{02281DEA-3EA6-4B46-B2D8-3B42FD1B00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SION-719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2026-07-20T13:25:36Z</dcterms:created>
  <dcterms:modified xsi:type="dcterms:W3CDTF">2026-07-22T17:04:24Z</dcterms:modified>
</cp:coreProperties>
</file>