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21B9A62B-8DB3-41B2-9824-D9447324D047}" xr6:coauthVersionLast="47" xr6:coauthVersionMax="47" xr10:uidLastSave="{00000000-0000-0000-0000-000000000000}"/>
  <bookViews>
    <workbookView xWindow="14080" yWindow="3790" windowWidth="24170" windowHeight="12950" activeTab="1" xr2:uid="{5F5DF802-5A85-4E14-9A3B-0D559800B44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10" i="2"/>
  <c r="F9" i="2"/>
  <c r="F7" i="2"/>
  <c r="F5" i="2"/>
  <c r="F4" i="2"/>
  <c r="F3" i="2"/>
  <c r="J11" i="2"/>
  <c r="J10" i="2"/>
  <c r="J9" i="2"/>
  <c r="J7" i="2"/>
  <c r="J8" i="2" s="1"/>
  <c r="J5" i="2"/>
  <c r="J4" i="2"/>
  <c r="J3" i="2"/>
  <c r="F32" i="2"/>
  <c r="F31" i="2"/>
  <c r="F30" i="2"/>
  <c r="F29" i="2"/>
  <c r="F28" i="2"/>
  <c r="F27" i="2"/>
  <c r="F26" i="2"/>
  <c r="F25" i="2"/>
  <c r="F24" i="2"/>
  <c r="F23" i="2"/>
  <c r="J16" i="2"/>
  <c r="J33" i="2"/>
  <c r="J32" i="2"/>
  <c r="J31" i="2"/>
  <c r="J30" i="2"/>
  <c r="J29" i="2"/>
  <c r="J28" i="2"/>
  <c r="J27" i="2"/>
  <c r="J26" i="2"/>
  <c r="J25" i="2"/>
  <c r="J24" i="2"/>
  <c r="J23" i="2"/>
  <c r="J20" i="2"/>
  <c r="J19" i="2"/>
  <c r="J18" i="2"/>
  <c r="J17" i="2"/>
  <c r="J15" i="2"/>
  <c r="J14" i="2"/>
  <c r="J21" i="2"/>
  <c r="F20" i="2"/>
  <c r="F19" i="2"/>
  <c r="F18" i="2"/>
  <c r="F21" i="2" s="1"/>
  <c r="F17" i="2"/>
  <c r="F16" i="2"/>
  <c r="F15" i="2"/>
  <c r="F14" i="2"/>
  <c r="L6" i="2"/>
  <c r="K6" i="2"/>
  <c r="J6" i="2"/>
  <c r="I6" i="2"/>
  <c r="H6" i="2"/>
  <c r="G6" i="2"/>
  <c r="G8" i="2" s="1"/>
  <c r="G12" i="2" s="1"/>
  <c r="F6" i="2"/>
  <c r="F8" i="2" s="1"/>
  <c r="E6" i="2"/>
  <c r="D6" i="2"/>
  <c r="C6" i="2"/>
  <c r="I8" i="2"/>
  <c r="I12" i="2" s="1"/>
  <c r="I21" i="2"/>
  <c r="I33" i="2"/>
  <c r="C33" i="2"/>
  <c r="C21" i="2"/>
  <c r="C8" i="2"/>
  <c r="C12" i="2" s="1"/>
  <c r="D8" i="2"/>
  <c r="D12" i="2" s="1"/>
  <c r="D21" i="2"/>
  <c r="D33" i="2"/>
  <c r="E33" i="2"/>
  <c r="E21" i="2"/>
  <c r="E8" i="2"/>
  <c r="E12" i="2" s="1"/>
  <c r="F33" i="2"/>
  <c r="K8" i="2"/>
  <c r="K12" i="2" s="1"/>
  <c r="G21" i="2"/>
  <c r="G33" i="2"/>
  <c r="K21" i="2"/>
  <c r="K33" i="2"/>
  <c r="H8" i="2"/>
  <c r="H12" i="2" s="1"/>
  <c r="L8" i="2"/>
  <c r="L12" i="2" s="1"/>
  <c r="H33" i="2"/>
  <c r="H21" i="2"/>
  <c r="L33" i="2"/>
  <c r="L21" i="2"/>
  <c r="L45" i="2"/>
  <c r="F12" i="2" l="1"/>
  <c r="J12" i="2"/>
  <c r="W45" i="2"/>
  <c r="V45" i="2"/>
  <c r="U45" i="2"/>
  <c r="T45" i="2"/>
  <c r="S45" i="2"/>
  <c r="R45" i="2"/>
  <c r="R2" i="2"/>
  <c r="S2" i="2" s="1"/>
  <c r="T2" i="2" s="1"/>
  <c r="U2" i="2" s="1"/>
  <c r="V2" i="2" s="1"/>
  <c r="W2" i="2" s="1"/>
  <c r="H72" i="2"/>
  <c r="H70" i="2"/>
  <c r="H64" i="2"/>
  <c r="H67" i="2"/>
  <c r="H65" i="2"/>
  <c r="H76" i="2"/>
  <c r="H75" i="2"/>
  <c r="Q75" i="2"/>
  <c r="K6" i="1"/>
  <c r="K4" i="1"/>
  <c r="K5" i="1" s="1"/>
  <c r="Q76" i="2"/>
  <c r="Q72" i="2"/>
  <c r="Q70" i="2"/>
  <c r="Q67" i="2"/>
  <c r="Q64" i="2"/>
  <c r="Q65" i="2"/>
  <c r="Q45" i="2"/>
  <c r="P45" i="2"/>
  <c r="O45" i="2"/>
  <c r="Q51" i="2"/>
  <c r="Q59" i="2" s="1"/>
  <c r="Q60" i="2" s="1"/>
  <c r="P51" i="2"/>
  <c r="P59" i="2" s="1"/>
  <c r="P60" i="2" s="1"/>
  <c r="O51" i="2"/>
  <c r="O59" i="2" s="1"/>
  <c r="H81" i="2" l="1"/>
  <c r="Q81" i="2"/>
  <c r="H73" i="2"/>
  <c r="Q73" i="2"/>
  <c r="K8" i="1"/>
  <c r="O6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tc={8FC0D6CF-269C-44FD-BDC8-40A0B27C38D4}</author>
    <author>tc={0038C80A-8825-4E95-9B72-6DDF6122769A}</author>
    <author>tc={12BE89E6-0277-4612-9839-C5F9ED9E035B}</author>
    <author>tc={F7DB9224-ABE9-4DE9-B29F-C65C33758B2F}</author>
    <author>tc={B2C25246-0FF8-4797-965E-9B1BAA943271}</author>
  </authors>
  <commentList>
    <comment ref="Q38" authorId="0" shapeId="0" xr:uid="{8FC0D6CF-269C-44FD-BDC8-40A0B27C38D4}">
      <text>
        <t>[Threaded comment]
Your version of Excel allows you to read this threaded comment; however, any edits to it will get removed if the file is opened in a newer version of Excel. Learn more: https://go.microsoft.com/fwlink/?linkid=870924
Comment:
    PCC, Lubrizol, IMC, Marmon</t>
      </text>
    </comment>
    <comment ref="Q39" authorId="1" shapeId="0" xr:uid="{0038C80A-8825-4E95-9B72-6DDF612276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Clayton Homes, Shaw (flooring), insulation, roofing</t>
      </text>
    </comment>
    <comment ref="Q40" authorId="2" shapeId="0" xr:uid="{12BE89E6-0277-4612-9839-C5F9ED9E035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Forest River, Fruit of the Loom, Duracell</t>
      </text>
    </comment>
    <comment ref="Q41" authorId="3" shapeId="0" xr:uid="{F7DB9224-ABE9-4DE9-B29F-C65C33758B2F}">
      <text>
        <t>[Threaded comment]
Your version of Excel allows you to read this threaded comment; however, any edits to it will get removed if the file is opened in a newer version of Excel. Learn more: https://go.microsoft.com/fwlink/?linkid=870924
Comment:
    NetJets, FlightSafety, TTI, Dairy Queen</t>
      </text>
    </comment>
    <comment ref="Q42" authorId="4" shapeId="0" xr:uid="{B2C25246-0FF8-4797-965E-9B1BAA943271}">
      <text>
        <t>[Threaded comment]
Your version of Excel allows you to read this threaded comment; however, any edits to it will get removed if the file is opened in a newer version of Excel. Learn more: https://go.microsoft.com/fwlink/?linkid=870924
Comment:
    Berkshire Hathaway Automotive (69%) of revenue, a dealership, Nebraska Furniture Mart, Borsheim’s, See’s</t>
      </text>
    </comment>
  </commentList>
</comments>
</file>

<file path=xl/sharedStrings.xml><?xml version="1.0" encoding="utf-8"?>
<sst xmlns="http://schemas.openxmlformats.org/spreadsheetml/2006/main" count="96" uniqueCount="83">
  <si>
    <t>Shares</t>
  </si>
  <si>
    <t>MC</t>
  </si>
  <si>
    <t>Cash</t>
  </si>
  <si>
    <t>Debt</t>
  </si>
  <si>
    <t>EV</t>
  </si>
  <si>
    <t>Employees</t>
  </si>
  <si>
    <t>Insurance</t>
  </si>
  <si>
    <t>Burlington Northern Santa Fe</t>
  </si>
  <si>
    <t>Utilities &amp; Energy</t>
  </si>
  <si>
    <t>Manufacturing: Precision Castparts, Lubrizol, IMC, Marmon</t>
  </si>
  <si>
    <t>Price (A)</t>
  </si>
  <si>
    <t>Price (B)</t>
  </si>
  <si>
    <t>Main</t>
  </si>
  <si>
    <t>Underwriting</t>
  </si>
  <si>
    <t>Insurance Float</t>
  </si>
  <si>
    <t>BNSF</t>
  </si>
  <si>
    <t>BHE</t>
  </si>
  <si>
    <t>Manufacturing</t>
  </si>
  <si>
    <t>Non-control</t>
  </si>
  <si>
    <t>Investments</t>
  </si>
  <si>
    <t>Other</t>
  </si>
  <si>
    <t>Earnings</t>
  </si>
  <si>
    <t xml:space="preserve">  excl investments</t>
  </si>
  <si>
    <t xml:space="preserve">  Primary</t>
  </si>
  <si>
    <t xml:space="preserve">  GEICO</t>
  </si>
  <si>
    <t xml:space="preserve">  Reinsurance</t>
  </si>
  <si>
    <t xml:space="preserve">    Taxes</t>
  </si>
  <si>
    <t>Railroad revenue</t>
  </si>
  <si>
    <t>Industrial Products</t>
  </si>
  <si>
    <t>Building Products</t>
  </si>
  <si>
    <t>Consumer Products</t>
  </si>
  <si>
    <t>Service</t>
  </si>
  <si>
    <t>Retailing</t>
  </si>
  <si>
    <t>McLane</t>
  </si>
  <si>
    <t>Pilot/Flying J</t>
  </si>
  <si>
    <t>Revenue</t>
  </si>
  <si>
    <t>PP&amp;E</t>
  </si>
  <si>
    <t>Loans</t>
  </si>
  <si>
    <t>Assets</t>
  </si>
  <si>
    <t>Receivables</t>
  </si>
  <si>
    <t>Inventories</t>
  </si>
  <si>
    <t>Equipment</t>
  </si>
  <si>
    <t>Goodwill</t>
  </si>
  <si>
    <t>Retroactive Reinsurance</t>
  </si>
  <si>
    <t>AP</t>
  </si>
  <si>
    <t>Aircraft</t>
  </si>
  <si>
    <t>Taxes</t>
  </si>
  <si>
    <t>Regulatory</t>
  </si>
  <si>
    <t>SE</t>
  </si>
  <si>
    <t>L+SE</t>
  </si>
  <si>
    <t>Q225</t>
  </si>
  <si>
    <t>Q125</t>
  </si>
  <si>
    <t>Q325</t>
  </si>
  <si>
    <t>Q425</t>
  </si>
  <si>
    <t>Q126</t>
  </si>
  <si>
    <t>Q226</t>
  </si>
  <si>
    <t>Energy &amp; Utilities</t>
  </si>
  <si>
    <t>BNSF Revenue</t>
  </si>
  <si>
    <t>BHE Revenue</t>
  </si>
  <si>
    <t>Manufacturing Revenue</t>
  </si>
  <si>
    <t>Service &amp; Retailing Revenue</t>
  </si>
  <si>
    <t>Pilot Revenue</t>
  </si>
  <si>
    <t>McLane Revenue</t>
  </si>
  <si>
    <t>Insurance, Corporate &amp; Other</t>
  </si>
  <si>
    <t>Electricity &amp; Natural Gas</t>
  </si>
  <si>
    <t>Retail &amp; Wholesale</t>
  </si>
  <si>
    <t>Auto sales</t>
  </si>
  <si>
    <t>Food &amp; Beverage Distribution</t>
  </si>
  <si>
    <t>Grocery &amp; Convenience Store</t>
  </si>
  <si>
    <t>Industrial &amp; Commercial Products</t>
  </si>
  <si>
    <t>BH Primary Premiums</t>
  </si>
  <si>
    <t>BHRG Premiums</t>
  </si>
  <si>
    <t>Total Underwriting</t>
  </si>
  <si>
    <t>Investment Income</t>
  </si>
  <si>
    <t>Total</t>
  </si>
  <si>
    <t>Losses</t>
  </si>
  <si>
    <t>EBIT</t>
  </si>
  <si>
    <t>Benefits</t>
  </si>
  <si>
    <t>GEICO Premiums</t>
  </si>
  <si>
    <t>Q424</t>
  </si>
  <si>
    <t>Q324</t>
  </si>
  <si>
    <t>Q224</t>
  </si>
  <si>
    <t>Q124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</si>
</sst>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3" fontId="1" fillId="0" borderId="0" xfId="0" applyNumberFormat="1" applyFont="1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9CCE01F-6235-44BE-9C57-08FE0978C5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36DEFB89-B1BB-4F52-8F74-CB8110791D66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38" dT="2025-03-12T19:38:50.81" personId="{36DEFB89-B1BB-4F52-8F74-CB8110791D66}" id="{8FC0D6CF-269C-44FD-BDC8-40A0B27C38D4}">
    <text>PCC, Lubrizol, IMC, Marmon</text>
  </threadedComment>
  <threadedComment ref="Q39" dT="2025-03-12T19:39:24.56" personId="{36DEFB89-B1BB-4F52-8F74-CB8110791D66}" id="{0038C80A-8825-4E95-9B72-6DDF6122769A}">
    <text>Clayton Homes, Shaw (flooring), insulation, roofing</text>
  </threadedComment>
  <threadedComment ref="Q40" dT="2025-03-12T19:40:02.80" personId="{36DEFB89-B1BB-4F52-8F74-CB8110791D66}" id="{12BE89E6-0277-4612-9839-C5F9ED9E035B}">
    <text>Forest River, Fruit of the Loom, Duracell</text>
  </threadedComment>
  <threadedComment ref="Q41" dT="2025-03-12T19:40:48.83" personId="{36DEFB89-B1BB-4F52-8F74-CB8110791D66}" id="{F7DB9224-ABE9-4DE9-B29F-C65C33758B2F}">
    <text>NetJets, FlightSafety, TTI, Dairy Queen</text>
  </threadedComment>
  <threadedComment ref="Q42" dT="2025-03-12T19:42:27.11" personId="{36DEFB89-B1BB-4F52-8F74-CB8110791D66}" id="{B2C25246-0FF8-4797-965E-9B1BAA943271}">
    <text>Berkshire Hathaway Automotive (69%) of revenue, a dealership, Nebraska Furniture Mart, Borsheim’s, See’s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5F68-7343-414B-BF71-41A4482A9714}">
  <dimension ref="B2:L10"/>
  <sheetViews>
    <sheetView zoomScale="130" zoomScaleNormal="130" workbookViewId="0">
      <selection activeCell="I4" sqref="I4"/>
    </sheetView>
  </sheetViews>
  <sheetFormatPr defaultRowHeight="12.5" x14ac:dyDescent="0.25"/>
  <cols>
    <col min="1" max="1" width="3.1796875" customWidth="1"/>
    <col min="2" max="2" width="13.453125" customWidth="1"/>
    <col min="10" max="10" width="12.453125" customWidth="1"/>
    <col min="11" max="11" width="10.453125" bestFit="1" customWidth="1"/>
  </cols>
  <sheetData>
    <row r="2" spans="2:12" x14ac:dyDescent="0.25">
      <c r="B2" t="s">
        <v>6</v>
      </c>
      <c r="J2" t="s">
        <v>10</v>
      </c>
      <c r="K2" s="1">
        <v>715645</v>
      </c>
    </row>
    <row r="3" spans="2:12" x14ac:dyDescent="0.25">
      <c r="B3" t="s">
        <v>7</v>
      </c>
      <c r="J3" t="s">
        <v>11</v>
      </c>
      <c r="K3">
        <v>492.18</v>
      </c>
    </row>
    <row r="4" spans="2:12" x14ac:dyDescent="0.25">
      <c r="B4" t="s">
        <v>8</v>
      </c>
      <c r="J4" t="s">
        <v>0</v>
      </c>
      <c r="K4" s="2">
        <f>0.519193+(1378.545639/1500)</f>
        <v>1.438223426</v>
      </c>
      <c r="L4" s="3" t="s">
        <v>50</v>
      </c>
    </row>
    <row r="5" spans="2:12" x14ac:dyDescent="0.25">
      <c r="B5" t="s">
        <v>9</v>
      </c>
      <c r="J5" t="s">
        <v>1</v>
      </c>
      <c r="K5" s="1">
        <f>+K2*K4</f>
        <v>1029257.40369977</v>
      </c>
    </row>
    <row r="6" spans="2:12" x14ac:dyDescent="0.25">
      <c r="J6" t="s">
        <v>2</v>
      </c>
      <c r="K6" s="1">
        <f>96193+243605+15084+267923+25323+4293</f>
        <v>652421</v>
      </c>
      <c r="L6" s="3" t="s">
        <v>50</v>
      </c>
    </row>
    <row r="7" spans="2:12" x14ac:dyDescent="0.25">
      <c r="J7" t="s">
        <v>3</v>
      </c>
      <c r="K7" s="1">
        <v>338454</v>
      </c>
      <c r="L7" s="3" t="s">
        <v>50</v>
      </c>
    </row>
    <row r="8" spans="2:12" x14ac:dyDescent="0.25">
      <c r="J8" t="s">
        <v>4</v>
      </c>
      <c r="K8" s="1">
        <f>+K5-K6+K7</f>
        <v>715290.40369976999</v>
      </c>
    </row>
    <row r="10" spans="2:12" x14ac:dyDescent="0.25">
      <c r="J10" t="s">
        <v>5</v>
      </c>
      <c r="K10" s="1">
        <v>372000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065D-B1E2-4A1D-AA03-3C34E2EC4704}">
  <dimension ref="A1:W81"/>
  <sheetViews>
    <sheetView tabSelected="1"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9" sqref="C19"/>
    </sheetView>
  </sheetViews>
  <sheetFormatPr defaultRowHeight="12.5" x14ac:dyDescent="0.25"/>
  <cols>
    <col min="1" max="1" width="5" bestFit="1" customWidth="1"/>
    <col min="2" max="2" width="18.1796875" customWidth="1"/>
    <col min="3" max="12" width="9.54296875" style="3" customWidth="1"/>
    <col min="13" max="17" width="9.54296875" customWidth="1"/>
  </cols>
  <sheetData>
    <row r="1" spans="1:23" x14ac:dyDescent="0.25">
      <c r="A1" t="s">
        <v>12</v>
      </c>
    </row>
    <row r="2" spans="1:23" x14ac:dyDescent="0.25">
      <c r="C2" s="3" t="s">
        <v>82</v>
      </c>
      <c r="D2" s="3" t="s">
        <v>81</v>
      </c>
      <c r="E2" s="3" t="s">
        <v>80</v>
      </c>
      <c r="F2" s="3" t="s">
        <v>79</v>
      </c>
      <c r="G2" s="3" t="s">
        <v>51</v>
      </c>
      <c r="H2" s="3" t="s">
        <v>50</v>
      </c>
      <c r="I2" s="3" t="s">
        <v>52</v>
      </c>
      <c r="J2" s="3" t="s">
        <v>53</v>
      </c>
      <c r="K2" s="3" t="s">
        <v>54</v>
      </c>
      <c r="L2" s="3" t="s">
        <v>55</v>
      </c>
      <c r="O2">
        <v>2022</v>
      </c>
      <c r="P2">
        <v>2023</v>
      </c>
      <c r="Q2">
        <v>2024</v>
      </c>
      <c r="R2">
        <f>+Q2+1</f>
        <v>2025</v>
      </c>
      <c r="S2">
        <f>+R2+1</f>
        <v>2026</v>
      </c>
      <c r="T2">
        <f>+S2+1</f>
        <v>2027</v>
      </c>
      <c r="U2">
        <f>+T2+1</f>
        <v>2028</v>
      </c>
      <c r="V2">
        <f>+U2+1</f>
        <v>2029</v>
      </c>
      <c r="W2">
        <f>+V2+1</f>
        <v>2030</v>
      </c>
    </row>
    <row r="3" spans="1:23" s="1" customFormat="1" x14ac:dyDescent="0.25">
      <c r="B3" s="1" t="s">
        <v>78</v>
      </c>
      <c r="C3" s="6">
        <v>10234</v>
      </c>
      <c r="D3" s="6">
        <v>10469</v>
      </c>
      <c r="E3" s="6">
        <v>10699</v>
      </c>
      <c r="F3" s="6">
        <f>42252-E3-D3-C3</f>
        <v>10850</v>
      </c>
      <c r="G3" s="6">
        <v>10752</v>
      </c>
      <c r="H3" s="6">
        <v>11064</v>
      </c>
      <c r="I3" s="6">
        <v>11264</v>
      </c>
      <c r="J3" s="6">
        <f>44481-I3-H3-G3</f>
        <v>11401</v>
      </c>
      <c r="K3" s="6">
        <v>11186</v>
      </c>
      <c r="L3" s="6">
        <v>11291</v>
      </c>
    </row>
    <row r="4" spans="1:23" s="1" customFormat="1" x14ac:dyDescent="0.25">
      <c r="B4" s="1" t="s">
        <v>70</v>
      </c>
      <c r="C4" s="6">
        <v>4541</v>
      </c>
      <c r="D4" s="6">
        <v>4656</v>
      </c>
      <c r="E4" s="6">
        <v>4685</v>
      </c>
      <c r="F4" s="6">
        <f>18733-E4-D4-C4</f>
        <v>4851</v>
      </c>
      <c r="G4" s="6">
        <v>4577</v>
      </c>
      <c r="H4" s="6">
        <v>4677</v>
      </c>
      <c r="I4" s="6">
        <v>4711</v>
      </c>
      <c r="J4" s="6">
        <f>18713-I4-H4-G4</f>
        <v>4748</v>
      </c>
      <c r="K4" s="6">
        <v>4591</v>
      </c>
      <c r="L4" s="6">
        <v>4673</v>
      </c>
    </row>
    <row r="5" spans="1:23" s="1" customFormat="1" x14ac:dyDescent="0.25">
      <c r="B5" s="1" t="s">
        <v>71</v>
      </c>
      <c r="C5" s="6">
        <v>6699</v>
      </c>
      <c r="D5" s="6">
        <v>6828</v>
      </c>
      <c r="E5" s="6">
        <v>6671</v>
      </c>
      <c r="F5" s="6">
        <f>27272-E5-D5-C5</f>
        <v>7074</v>
      </c>
      <c r="G5" s="6">
        <v>6475</v>
      </c>
      <c r="H5" s="6">
        <v>6454</v>
      </c>
      <c r="I5" s="6">
        <v>6470</v>
      </c>
      <c r="J5" s="6">
        <f>25708-I5-H5-G5</f>
        <v>6309</v>
      </c>
      <c r="K5" s="6">
        <v>6228</v>
      </c>
      <c r="L5" s="6">
        <v>6511</v>
      </c>
    </row>
    <row r="6" spans="1:23" s="1" customFormat="1" x14ac:dyDescent="0.25">
      <c r="B6" s="1" t="s">
        <v>72</v>
      </c>
      <c r="C6" s="6">
        <f>+C5+C4+C3</f>
        <v>21474</v>
      </c>
      <c r="D6" s="6">
        <f>+D5+D4+D3</f>
        <v>21953</v>
      </c>
      <c r="E6" s="6">
        <f>+E5+E4+E3</f>
        <v>22055</v>
      </c>
      <c r="F6" s="6">
        <f>+F5+F4+F3</f>
        <v>22775</v>
      </c>
      <c r="G6" s="6">
        <f>+G5+G4+G3</f>
        <v>21804</v>
      </c>
      <c r="H6" s="6">
        <f>+H5+H4+H3</f>
        <v>22195</v>
      </c>
      <c r="I6" s="6">
        <f>+I5+I4+I3</f>
        <v>22445</v>
      </c>
      <c r="J6" s="6">
        <f>+J5+J4+J3</f>
        <v>22458</v>
      </c>
      <c r="K6" s="6">
        <f>+K5+K4+K3</f>
        <v>22005</v>
      </c>
      <c r="L6" s="6">
        <f>+L5+L4+L3</f>
        <v>22475</v>
      </c>
    </row>
    <row r="7" spans="1:23" s="1" customFormat="1" x14ac:dyDescent="0.25">
      <c r="B7" s="1" t="s">
        <v>73</v>
      </c>
      <c r="C7" s="6">
        <v>3164</v>
      </c>
      <c r="D7" s="6">
        <v>4077</v>
      </c>
      <c r="E7" s="6">
        <v>4609</v>
      </c>
      <c r="F7" s="6">
        <f>16812-E7-D7-C7</f>
        <v>4962</v>
      </c>
      <c r="G7" s="6">
        <v>3571</v>
      </c>
      <c r="H7" s="6">
        <v>4053</v>
      </c>
      <c r="I7" s="6">
        <v>3736</v>
      </c>
      <c r="J7" s="6">
        <f>15310-I7-H7-G7</f>
        <v>3950</v>
      </c>
      <c r="K7" s="6">
        <v>3307</v>
      </c>
      <c r="L7" s="6">
        <v>3701</v>
      </c>
    </row>
    <row r="8" spans="1:23" s="5" customFormat="1" ht="13" x14ac:dyDescent="0.3">
      <c r="B8" s="5" t="s">
        <v>74</v>
      </c>
      <c r="C8" s="7">
        <f>+C7+C6</f>
        <v>24638</v>
      </c>
      <c r="D8" s="7">
        <f>+D7+D6</f>
        <v>26030</v>
      </c>
      <c r="E8" s="7">
        <f>+E7+E6</f>
        <v>26664</v>
      </c>
      <c r="F8" s="7">
        <f>+F7+F6</f>
        <v>27737</v>
      </c>
      <c r="G8" s="7">
        <f>+G7+G6</f>
        <v>25375</v>
      </c>
      <c r="H8" s="7">
        <f>+H7+H6</f>
        <v>26248</v>
      </c>
      <c r="I8" s="7">
        <f>+I7+I6</f>
        <v>26181</v>
      </c>
      <c r="J8" s="7">
        <f>+J7+J6</f>
        <v>26408</v>
      </c>
      <c r="K8" s="7">
        <f>+K7+K6</f>
        <v>25312</v>
      </c>
      <c r="L8" s="7">
        <f>+L7+L6</f>
        <v>26176</v>
      </c>
    </row>
    <row r="9" spans="1:23" s="1" customFormat="1" x14ac:dyDescent="0.25">
      <c r="B9" s="1" t="s">
        <v>75</v>
      </c>
      <c r="C9" s="6">
        <v>13448</v>
      </c>
      <c r="D9" s="6">
        <v>14107</v>
      </c>
      <c r="E9" s="6">
        <v>15163</v>
      </c>
      <c r="F9" s="6">
        <f>56186-E9-D9-C9</f>
        <v>13468</v>
      </c>
      <c r="G9" s="6">
        <v>14646</v>
      </c>
      <c r="H9" s="6">
        <v>14073</v>
      </c>
      <c r="I9" s="6">
        <v>13735</v>
      </c>
      <c r="J9" s="6">
        <f>57307-I9-H9-G9</f>
        <v>14853</v>
      </c>
      <c r="K9" s="6">
        <v>14204</v>
      </c>
      <c r="L9" s="6">
        <v>14274</v>
      </c>
    </row>
    <row r="10" spans="1:23" s="1" customFormat="1" x14ac:dyDescent="0.25">
      <c r="B10" s="1" t="s">
        <v>77</v>
      </c>
      <c r="C10" s="6">
        <v>945</v>
      </c>
      <c r="D10" s="6">
        <v>954</v>
      </c>
      <c r="E10" s="6">
        <v>925</v>
      </c>
      <c r="F10" s="6">
        <f>3858-E10-D10-C10</f>
        <v>1034</v>
      </c>
      <c r="G10" s="6">
        <v>1068</v>
      </c>
      <c r="H10" s="6">
        <v>1132</v>
      </c>
      <c r="I10" s="6">
        <v>1116</v>
      </c>
      <c r="J10" s="6">
        <f>4379-I10-H10-G10</f>
        <v>1063</v>
      </c>
      <c r="K10" s="6">
        <v>1019</v>
      </c>
      <c r="L10" s="6">
        <v>1233</v>
      </c>
    </row>
    <row r="11" spans="1:23" s="1" customFormat="1" x14ac:dyDescent="0.25">
      <c r="B11" s="1" t="s">
        <v>20</v>
      </c>
      <c r="C11" s="6">
        <v>3767</v>
      </c>
      <c r="D11" s="6">
        <v>4054</v>
      </c>
      <c r="E11" s="6">
        <v>4948</v>
      </c>
      <c r="F11" s="6">
        <f>16872-E11-D11-C11</f>
        <v>4103</v>
      </c>
      <c r="G11" s="6">
        <v>4378</v>
      </c>
      <c r="H11" s="6">
        <v>4506</v>
      </c>
      <c r="I11" s="6">
        <v>4451</v>
      </c>
      <c r="J11" s="6">
        <f>17805-I11-H11-G11</f>
        <v>4470</v>
      </c>
      <c r="K11" s="6">
        <v>4520</v>
      </c>
      <c r="L11" s="6">
        <v>4804</v>
      </c>
    </row>
    <row r="12" spans="1:23" s="1" customFormat="1" x14ac:dyDescent="0.25">
      <c r="B12" s="1" t="s">
        <v>76</v>
      </c>
      <c r="C12" s="6">
        <f>+C8-C9-C10-C11</f>
        <v>6478</v>
      </c>
      <c r="D12" s="6">
        <f>+D8-D9-D10-D11</f>
        <v>6915</v>
      </c>
      <c r="E12" s="6">
        <f>+E8-E9-E10-E11</f>
        <v>5628</v>
      </c>
      <c r="F12" s="6">
        <f>+F8-F9-F10-F11</f>
        <v>9132</v>
      </c>
      <c r="G12" s="6">
        <f>+G8-G9-G10-G11</f>
        <v>5283</v>
      </c>
      <c r="H12" s="6">
        <f>+H8-H9-H10-H11</f>
        <v>6537</v>
      </c>
      <c r="I12" s="6">
        <f>+I8-I9-I10-I11</f>
        <v>6879</v>
      </c>
      <c r="J12" s="6">
        <f>+J8-J9-J10-J11</f>
        <v>6022</v>
      </c>
      <c r="K12" s="6">
        <f>+K8-K9-K10-K11</f>
        <v>5569</v>
      </c>
      <c r="L12" s="6">
        <f>+L8-L9-L10-L11</f>
        <v>5865</v>
      </c>
    </row>
    <row r="14" spans="1:23" s="1" customFormat="1" x14ac:dyDescent="0.25">
      <c r="B14" s="1" t="s">
        <v>57</v>
      </c>
      <c r="C14" s="6">
        <v>5637</v>
      </c>
      <c r="D14" s="6">
        <v>5787</v>
      </c>
      <c r="E14" s="6">
        <v>5920</v>
      </c>
      <c r="F14" s="6">
        <f>23490-E14-D14-C14</f>
        <v>6146</v>
      </c>
      <c r="G14" s="6">
        <v>5699</v>
      </c>
      <c r="H14" s="6">
        <v>5746</v>
      </c>
      <c r="I14" s="6">
        <v>6013</v>
      </c>
      <c r="J14" s="6">
        <f>23441-I14-H14-G14</f>
        <v>5983</v>
      </c>
      <c r="K14" s="6">
        <v>5965</v>
      </c>
      <c r="L14" s="6">
        <v>6577</v>
      </c>
    </row>
    <row r="15" spans="1:23" s="1" customFormat="1" x14ac:dyDescent="0.25">
      <c r="B15" s="1" t="s">
        <v>58</v>
      </c>
      <c r="C15" s="6">
        <v>6265</v>
      </c>
      <c r="D15" s="6">
        <v>6480</v>
      </c>
      <c r="E15" s="6">
        <v>7323</v>
      </c>
      <c r="F15" s="6">
        <f>26300-E15-D15-C15</f>
        <v>6232</v>
      </c>
      <c r="G15" s="6">
        <v>6344</v>
      </c>
      <c r="H15" s="6">
        <v>6405</v>
      </c>
      <c r="I15" s="6">
        <v>7293</v>
      </c>
      <c r="J15" s="6">
        <f>26282-I15-H15-G15</f>
        <v>6240</v>
      </c>
      <c r="K15" s="6">
        <v>6658</v>
      </c>
      <c r="L15" s="6">
        <v>6730</v>
      </c>
    </row>
    <row r="16" spans="1:23" s="1" customFormat="1" x14ac:dyDescent="0.25">
      <c r="B16" s="1" t="s">
        <v>59</v>
      </c>
      <c r="C16" s="6">
        <v>18511</v>
      </c>
      <c r="D16" s="6">
        <v>19807</v>
      </c>
      <c r="E16" s="6">
        <v>19670</v>
      </c>
      <c r="F16" s="6">
        <f>77148-E16-D16-C16</f>
        <v>19160</v>
      </c>
      <c r="G16" s="6">
        <v>18752</v>
      </c>
      <c r="H16" s="6">
        <v>19940</v>
      </c>
      <c r="I16" s="6">
        <v>20015</v>
      </c>
      <c r="J16" s="6">
        <f>78390-I16-H16-G16</f>
        <v>19683</v>
      </c>
      <c r="K16" s="6">
        <v>20642</v>
      </c>
      <c r="L16" s="6">
        <v>22520</v>
      </c>
    </row>
    <row r="17" spans="2:12" s="1" customFormat="1" x14ac:dyDescent="0.25">
      <c r="B17" s="1" t="s">
        <v>60</v>
      </c>
      <c r="C17" s="6">
        <v>9672</v>
      </c>
      <c r="D17" s="6">
        <v>9922</v>
      </c>
      <c r="E17" s="6">
        <v>9828</v>
      </c>
      <c r="F17" s="6">
        <f>39783-E17-D17-C17</f>
        <v>10361</v>
      </c>
      <c r="G17" s="6">
        <v>10112</v>
      </c>
      <c r="H17" s="6">
        <v>10671</v>
      </c>
      <c r="I17" s="6">
        <v>10568</v>
      </c>
      <c r="J17" s="6">
        <f>42560-I17-H17-G17</f>
        <v>11209</v>
      </c>
      <c r="K17" s="6">
        <v>10961</v>
      </c>
      <c r="L17" s="6">
        <v>11858</v>
      </c>
    </row>
    <row r="18" spans="2:12" s="1" customFormat="1" x14ac:dyDescent="0.25">
      <c r="B18" s="1" t="s">
        <v>61</v>
      </c>
      <c r="C18" s="6">
        <v>12494</v>
      </c>
      <c r="D18" s="6">
        <v>12984</v>
      </c>
      <c r="E18" s="6">
        <v>10623</v>
      </c>
      <c r="F18" s="6">
        <f>46856-E18-D18-C18</f>
        <v>10755</v>
      </c>
      <c r="G18" s="6">
        <v>10422</v>
      </c>
      <c r="H18" s="6">
        <v>10095</v>
      </c>
      <c r="I18" s="6">
        <v>10879</v>
      </c>
      <c r="J18" s="6">
        <f>42166-I18-H18-G18</f>
        <v>10770</v>
      </c>
      <c r="K18" s="6">
        <v>11229</v>
      </c>
      <c r="L18" s="6">
        <v>14925</v>
      </c>
    </row>
    <row r="19" spans="2:12" s="1" customFormat="1" x14ac:dyDescent="0.25">
      <c r="B19" s="1" t="s">
        <v>62</v>
      </c>
      <c r="C19" s="6">
        <v>12300</v>
      </c>
      <c r="D19" s="6">
        <v>12271</v>
      </c>
      <c r="E19" s="6">
        <v>12527</v>
      </c>
      <c r="F19" s="6">
        <f>51086-E19-D19-C19</f>
        <v>13988</v>
      </c>
      <c r="G19" s="6">
        <v>12016</v>
      </c>
      <c r="H19" s="6">
        <v>12399</v>
      </c>
      <c r="I19" s="6">
        <v>12960</v>
      </c>
      <c r="J19" s="6">
        <f>50215-I19-H19-G19</f>
        <v>12840</v>
      </c>
      <c r="K19" s="6">
        <v>11759</v>
      </c>
      <c r="L19" s="6">
        <v>11888</v>
      </c>
    </row>
    <row r="20" spans="2:12" s="1" customFormat="1" x14ac:dyDescent="0.25">
      <c r="B20" s="1" t="s">
        <v>63</v>
      </c>
      <c r="C20" s="6">
        <v>24990</v>
      </c>
      <c r="D20" s="6">
        <v>26402</v>
      </c>
      <c r="E20" s="6">
        <v>27104</v>
      </c>
      <c r="F20" s="6">
        <f>106770-E20-D20-C20</f>
        <v>28274</v>
      </c>
      <c r="G20" s="6">
        <v>26380</v>
      </c>
      <c r="H20" s="6">
        <v>27259</v>
      </c>
      <c r="I20" s="6">
        <v>27244</v>
      </c>
      <c r="J20" s="6">
        <f>108390-I20-H20-G20</f>
        <v>27507</v>
      </c>
      <c r="K20" s="6">
        <v>26461</v>
      </c>
      <c r="L20" s="6">
        <v>27310</v>
      </c>
    </row>
    <row r="21" spans="2:12" s="5" customFormat="1" ht="13" x14ac:dyDescent="0.3">
      <c r="B21" s="5" t="s">
        <v>35</v>
      </c>
      <c r="C21" s="7">
        <f>SUM(C14:C20)</f>
        <v>89869</v>
      </c>
      <c r="D21" s="7">
        <f>SUM(D14:D20)</f>
        <v>93653</v>
      </c>
      <c r="E21" s="7">
        <f>SUM(E14:E20)</f>
        <v>92995</v>
      </c>
      <c r="F21" s="7">
        <f>SUM(F14:F20)</f>
        <v>94916</v>
      </c>
      <c r="G21" s="7">
        <f>SUM(G14:G20)</f>
        <v>89725</v>
      </c>
      <c r="H21" s="7">
        <f>SUM(H14:H20)</f>
        <v>92515</v>
      </c>
      <c r="I21" s="7">
        <f>SUM(I14:I20)</f>
        <v>94972</v>
      </c>
      <c r="J21" s="7">
        <f>SUM(J14:J20)</f>
        <v>94232</v>
      </c>
      <c r="K21" s="7">
        <f>SUM(K14:K20)</f>
        <v>93675</v>
      </c>
      <c r="L21" s="7">
        <f>SUM(L14:L20)</f>
        <v>101808</v>
      </c>
    </row>
    <row r="22" spans="2:12" x14ac:dyDescent="0.25">
      <c r="J22" s="6"/>
    </row>
    <row r="23" spans="2:12" s="1" customFormat="1" x14ac:dyDescent="0.25">
      <c r="B23" s="1" t="s">
        <v>69</v>
      </c>
      <c r="C23" s="6">
        <v>7262</v>
      </c>
      <c r="D23" s="6">
        <v>7514</v>
      </c>
      <c r="E23" s="6">
        <v>7234</v>
      </c>
      <c r="F23" s="6">
        <f>29117-E23-D23-C23</f>
        <v>7107</v>
      </c>
      <c r="G23" s="6">
        <v>7426</v>
      </c>
      <c r="H23" s="6">
        <v>7747</v>
      </c>
      <c r="I23" s="6">
        <v>7664</v>
      </c>
      <c r="J23" s="6">
        <f>30336-I23-H23-G23</f>
        <v>7499</v>
      </c>
      <c r="K23" s="6">
        <v>9223</v>
      </c>
      <c r="L23" s="6">
        <v>9820</v>
      </c>
    </row>
    <row r="24" spans="2:12" s="1" customFormat="1" x14ac:dyDescent="0.25">
      <c r="B24" s="1" t="s">
        <v>29</v>
      </c>
      <c r="C24" s="6">
        <v>4674</v>
      </c>
      <c r="D24" s="6">
        <v>5233</v>
      </c>
      <c r="E24" s="6">
        <v>5176</v>
      </c>
      <c r="F24" s="6">
        <f>19892-E24-D24-C24</f>
        <v>4809</v>
      </c>
      <c r="G24" s="6">
        <v>4588</v>
      </c>
      <c r="H24" s="6">
        <v>5123</v>
      </c>
      <c r="I24" s="6">
        <v>5106</v>
      </c>
      <c r="J24" s="6">
        <f>19609-I24-H24-G24</f>
        <v>4792</v>
      </c>
      <c r="K24" s="6">
        <v>4668</v>
      </c>
      <c r="L24" s="6">
        <v>5255</v>
      </c>
    </row>
    <row r="25" spans="2:12" s="1" customFormat="1" x14ac:dyDescent="0.25">
      <c r="B25" s="1" t="s">
        <v>30</v>
      </c>
      <c r="C25" s="6">
        <v>4193</v>
      </c>
      <c r="D25" s="6">
        <v>4588</v>
      </c>
      <c r="E25" s="6">
        <v>4749</v>
      </c>
      <c r="F25" s="6">
        <f>18204-E25-D25-C25</f>
        <v>4674</v>
      </c>
      <c r="G25" s="6">
        <v>4260</v>
      </c>
      <c r="H25" s="6">
        <v>4361</v>
      </c>
      <c r="I25" s="6">
        <v>4598</v>
      </c>
      <c r="J25" s="6">
        <f>17919-I25-H25-G25</f>
        <v>4700</v>
      </c>
      <c r="K25" s="6">
        <v>4051</v>
      </c>
      <c r="L25" s="6">
        <v>4333</v>
      </c>
    </row>
    <row r="26" spans="2:12" s="1" customFormat="1" x14ac:dyDescent="0.25">
      <c r="B26" s="1" t="s">
        <v>68</v>
      </c>
      <c r="C26" s="6">
        <v>7602</v>
      </c>
      <c r="D26" s="6">
        <v>7500</v>
      </c>
      <c r="E26" s="6">
        <v>7882</v>
      </c>
      <c r="F26" s="6">
        <f>31841-E26-D26-C26</f>
        <v>8857</v>
      </c>
      <c r="G26" s="6">
        <v>7442</v>
      </c>
      <c r="H26" s="6">
        <v>7516</v>
      </c>
      <c r="I26" s="6">
        <v>7884</v>
      </c>
      <c r="J26" s="6">
        <f>30697-I26-H26-G26</f>
        <v>7855</v>
      </c>
      <c r="K26" s="6">
        <v>6790</v>
      </c>
      <c r="L26" s="6">
        <v>6704</v>
      </c>
    </row>
    <row r="27" spans="2:12" s="1" customFormat="1" x14ac:dyDescent="0.25">
      <c r="B27" s="1" t="s">
        <v>67</v>
      </c>
      <c r="C27" s="6">
        <v>4436</v>
      </c>
      <c r="D27" s="6">
        <v>4478</v>
      </c>
      <c r="E27" s="6">
        <v>4372</v>
      </c>
      <c r="F27" s="6">
        <f>18068-E27-D27-C27</f>
        <v>4782</v>
      </c>
      <c r="G27" s="6">
        <v>4373</v>
      </c>
      <c r="H27" s="6">
        <v>4663</v>
      </c>
      <c r="I27" s="6">
        <v>4836</v>
      </c>
      <c r="J27" s="6">
        <f>18585-I27-H27-G27</f>
        <v>4713</v>
      </c>
      <c r="K27" s="6">
        <v>4698</v>
      </c>
      <c r="L27" s="6">
        <v>4902</v>
      </c>
    </row>
    <row r="28" spans="2:12" s="1" customFormat="1" x14ac:dyDescent="0.25">
      <c r="B28" s="1" t="s">
        <v>66</v>
      </c>
      <c r="C28" s="6">
        <v>2552</v>
      </c>
      <c r="D28" s="6">
        <v>2714</v>
      </c>
      <c r="E28" s="6">
        <v>2722</v>
      </c>
      <c r="F28" s="6">
        <f>10802-E28-D28-C28</f>
        <v>2814</v>
      </c>
      <c r="G28" s="6">
        <v>2701</v>
      </c>
      <c r="H28" s="6">
        <v>2991</v>
      </c>
      <c r="I28" s="6">
        <v>2836</v>
      </c>
      <c r="J28" s="6">
        <f>11283-I28-H28-G28</f>
        <v>2755</v>
      </c>
      <c r="K28" s="6">
        <v>2591</v>
      </c>
      <c r="L28" s="6">
        <v>2897</v>
      </c>
    </row>
    <row r="29" spans="2:12" s="1" customFormat="1" x14ac:dyDescent="0.25">
      <c r="B29" s="1" t="s">
        <v>65</v>
      </c>
      <c r="C29" s="6">
        <v>16980</v>
      </c>
      <c r="D29" s="6">
        <v>17461</v>
      </c>
      <c r="E29" s="6">
        <v>14929</v>
      </c>
      <c r="F29" s="6">
        <f>64858-E29-D29-C29</f>
        <v>15488</v>
      </c>
      <c r="G29" s="6">
        <v>14599</v>
      </c>
      <c r="H29" s="6">
        <v>14733</v>
      </c>
      <c r="I29" s="6">
        <v>15384</v>
      </c>
      <c r="J29" s="6">
        <f>60598-I29-H29-G29</f>
        <v>15882</v>
      </c>
      <c r="K29" s="6">
        <v>16262</v>
      </c>
      <c r="L29" s="6">
        <v>20262</v>
      </c>
    </row>
    <row r="30" spans="2:12" s="1" customFormat="1" x14ac:dyDescent="0.25">
      <c r="B30" s="1" t="s">
        <v>31</v>
      </c>
      <c r="C30" s="6">
        <v>8463</v>
      </c>
      <c r="D30" s="6">
        <v>9054</v>
      </c>
      <c r="E30" s="6">
        <v>9150</v>
      </c>
      <c r="F30" s="6">
        <f>35941-E30-D30-C30</f>
        <v>9274</v>
      </c>
      <c r="G30" s="6">
        <v>8622</v>
      </c>
      <c r="H30" s="6">
        <v>9327</v>
      </c>
      <c r="I30" s="6">
        <v>9523</v>
      </c>
      <c r="J30" s="6">
        <f>36879-I30-H30-G30</f>
        <v>9407</v>
      </c>
      <c r="K30" s="6">
        <v>9182</v>
      </c>
      <c r="L30" s="6">
        <v>10644</v>
      </c>
    </row>
    <row r="31" spans="2:12" s="1" customFormat="1" x14ac:dyDescent="0.25">
      <c r="B31" s="1" t="s">
        <v>64</v>
      </c>
      <c r="C31" s="6">
        <v>5129</v>
      </c>
      <c r="D31" s="6">
        <v>4977</v>
      </c>
      <c r="E31" s="6">
        <v>5834</v>
      </c>
      <c r="F31" s="6">
        <f>20991-E31-D31-C31</f>
        <v>5051</v>
      </c>
      <c r="G31" s="6">
        <v>5346</v>
      </c>
      <c r="H31" s="6">
        <v>5025</v>
      </c>
      <c r="I31" s="6">
        <v>5916</v>
      </c>
      <c r="J31" s="6">
        <f>21338-I31-H31-G31</f>
        <v>5051</v>
      </c>
      <c r="K31" s="6">
        <v>5672</v>
      </c>
      <c r="L31" s="6">
        <v>5298</v>
      </c>
    </row>
    <row r="32" spans="2:12" s="1" customFormat="1" x14ac:dyDescent="0.25">
      <c r="B32" s="1" t="s">
        <v>63</v>
      </c>
      <c r="C32" s="6">
        <v>28578</v>
      </c>
      <c r="D32" s="6">
        <v>30134</v>
      </c>
      <c r="E32" s="6">
        <v>30947</v>
      </c>
      <c r="F32" s="6">
        <f>121719-E32-D32-C32</f>
        <v>32060</v>
      </c>
      <c r="G32" s="6">
        <v>30368</v>
      </c>
      <c r="H32" s="6">
        <v>31109</v>
      </c>
      <c r="I32" s="6">
        <v>31225</v>
      </c>
      <c r="J32" s="6">
        <f>124200-I32-H32-G32</f>
        <v>31498</v>
      </c>
      <c r="K32" s="6">
        <v>30538</v>
      </c>
      <c r="L32" s="6">
        <v>31693</v>
      </c>
    </row>
    <row r="33" spans="2:23" s="1" customFormat="1" ht="13" x14ac:dyDescent="0.3">
      <c r="B33" s="1" t="s">
        <v>35</v>
      </c>
      <c r="C33" s="7">
        <f>SUM(C23:C32)</f>
        <v>89869</v>
      </c>
      <c r="D33" s="7">
        <f>SUM(D23:D32)</f>
        <v>93653</v>
      </c>
      <c r="E33" s="7">
        <f>SUM(E23:E32)</f>
        <v>92995</v>
      </c>
      <c r="F33" s="7">
        <f>SUM(F23:F32)</f>
        <v>94916</v>
      </c>
      <c r="G33" s="7">
        <f>SUM(G23:G32)</f>
        <v>89725</v>
      </c>
      <c r="H33" s="7">
        <f>SUM(H23:H32)</f>
        <v>92595</v>
      </c>
      <c r="I33" s="7">
        <f>SUM(I23:I32)</f>
        <v>94972</v>
      </c>
      <c r="J33" s="7">
        <f>SUM(J23:J32)</f>
        <v>94152</v>
      </c>
      <c r="K33" s="7">
        <f>SUM(K23:K32)</f>
        <v>93675</v>
      </c>
      <c r="L33" s="7">
        <f>SUM(L23:L32)</f>
        <v>101808</v>
      </c>
    </row>
    <row r="36" spans="2:23" s="1" customFormat="1" x14ac:dyDescent="0.25">
      <c r="B36" s="1" t="s">
        <v>27</v>
      </c>
      <c r="C36" s="6"/>
      <c r="D36" s="6"/>
      <c r="E36" s="6"/>
      <c r="F36" s="6"/>
      <c r="G36" s="6"/>
      <c r="H36" s="6">
        <v>5718</v>
      </c>
      <c r="I36" s="6"/>
      <c r="J36" s="6"/>
      <c r="K36" s="6"/>
      <c r="L36" s="6">
        <v>6577</v>
      </c>
      <c r="O36" s="1">
        <v>25203</v>
      </c>
      <c r="P36" s="1">
        <v>23474</v>
      </c>
      <c r="Q36" s="1">
        <v>23355</v>
      </c>
    </row>
    <row r="37" spans="2:23" s="1" customFormat="1" x14ac:dyDescent="0.25">
      <c r="B37" s="1" t="s">
        <v>56</v>
      </c>
      <c r="C37" s="6"/>
      <c r="D37" s="6"/>
      <c r="E37" s="6"/>
      <c r="F37" s="6"/>
      <c r="G37" s="6"/>
      <c r="H37" s="6">
        <v>5118</v>
      </c>
      <c r="I37" s="6"/>
      <c r="J37" s="6"/>
      <c r="K37" s="6"/>
      <c r="L37" s="6">
        <v>5408</v>
      </c>
      <c r="O37" s="1">
        <v>21069</v>
      </c>
      <c r="P37" s="1">
        <v>21280</v>
      </c>
      <c r="Q37" s="1">
        <v>21566</v>
      </c>
    </row>
    <row r="38" spans="2:23" s="1" customFormat="1" x14ac:dyDescent="0.25">
      <c r="B38" s="1" t="s">
        <v>28</v>
      </c>
      <c r="C38" s="6"/>
      <c r="D38" s="6"/>
      <c r="E38" s="6"/>
      <c r="F38" s="6"/>
      <c r="G38" s="6"/>
      <c r="H38" s="6"/>
      <c r="I38" s="6"/>
      <c r="J38" s="6"/>
      <c r="K38" s="6"/>
      <c r="L38" s="6">
        <v>9820</v>
      </c>
      <c r="O38" s="1">
        <v>30824</v>
      </c>
      <c r="P38" s="1">
        <v>34884</v>
      </c>
      <c r="Q38" s="1">
        <v>35833</v>
      </c>
    </row>
    <row r="39" spans="2:23" s="1" customFormat="1" x14ac:dyDescent="0.25">
      <c r="B39" s="1" t="s">
        <v>29</v>
      </c>
      <c r="C39" s="6"/>
      <c r="D39" s="6"/>
      <c r="E39" s="6"/>
      <c r="F39" s="6"/>
      <c r="G39" s="6"/>
      <c r="H39" s="6"/>
      <c r="I39" s="6"/>
      <c r="J39" s="6"/>
      <c r="K39" s="6"/>
      <c r="L39" s="6">
        <v>5255</v>
      </c>
      <c r="O39" s="1">
        <v>28896</v>
      </c>
      <c r="P39" s="1">
        <v>25965</v>
      </c>
      <c r="Q39" s="1">
        <v>26525</v>
      </c>
    </row>
    <row r="40" spans="2:23" s="1" customFormat="1" x14ac:dyDescent="0.25">
      <c r="B40" s="1" t="s">
        <v>30</v>
      </c>
      <c r="C40" s="6"/>
      <c r="D40" s="6"/>
      <c r="E40" s="6"/>
      <c r="F40" s="6"/>
      <c r="G40" s="6"/>
      <c r="H40" s="6"/>
      <c r="I40" s="6"/>
      <c r="J40" s="6"/>
      <c r="K40" s="6"/>
      <c r="L40" s="6">
        <v>4333</v>
      </c>
      <c r="O40" s="1">
        <v>16061</v>
      </c>
      <c r="P40" s="1">
        <v>14556</v>
      </c>
      <c r="Q40" s="1">
        <v>14873</v>
      </c>
    </row>
    <row r="41" spans="2:23" s="1" customFormat="1" x14ac:dyDescent="0.25">
      <c r="B41" s="1" t="s">
        <v>31</v>
      </c>
      <c r="C41" s="6"/>
      <c r="D41" s="6"/>
      <c r="E41" s="6"/>
      <c r="F41" s="6"/>
      <c r="G41" s="6"/>
      <c r="H41" s="6">
        <v>1315</v>
      </c>
      <c r="I41" s="6"/>
      <c r="J41" s="6"/>
      <c r="K41" s="6"/>
      <c r="L41" s="6"/>
      <c r="O41" s="1">
        <v>19006</v>
      </c>
      <c r="P41" s="1">
        <v>20588</v>
      </c>
      <c r="Q41" s="1">
        <v>20697</v>
      </c>
    </row>
    <row r="42" spans="2:23" s="1" customFormat="1" x14ac:dyDescent="0.25">
      <c r="B42" s="1" t="s">
        <v>32</v>
      </c>
      <c r="C42" s="6"/>
      <c r="D42" s="6"/>
      <c r="E42" s="6"/>
      <c r="F42" s="6"/>
      <c r="G42" s="6"/>
      <c r="H42" s="6"/>
      <c r="I42" s="6"/>
      <c r="J42" s="6"/>
      <c r="K42" s="6"/>
      <c r="L42" s="6">
        <v>11858</v>
      </c>
      <c r="O42" s="1">
        <v>19297</v>
      </c>
      <c r="P42" s="1">
        <v>19408</v>
      </c>
      <c r="Q42" s="1">
        <v>19177</v>
      </c>
    </row>
    <row r="43" spans="2:23" s="1" customFormat="1" x14ac:dyDescent="0.25">
      <c r="B43" s="1" t="s">
        <v>34</v>
      </c>
      <c r="C43" s="6"/>
      <c r="D43" s="6"/>
      <c r="E43" s="6"/>
      <c r="F43" s="6"/>
      <c r="G43" s="6"/>
      <c r="H43" s="6"/>
      <c r="I43" s="6"/>
      <c r="J43" s="6"/>
      <c r="K43" s="6"/>
      <c r="L43" s="6">
        <v>14925</v>
      </c>
      <c r="O43" s="1">
        <v>0</v>
      </c>
      <c r="P43" s="1">
        <v>51739</v>
      </c>
      <c r="Q43" s="1">
        <v>46891</v>
      </c>
    </row>
    <row r="44" spans="2:23" s="1" customFormat="1" x14ac:dyDescent="0.25">
      <c r="B44" s="1" t="s">
        <v>33</v>
      </c>
      <c r="C44" s="6"/>
      <c r="D44" s="6"/>
      <c r="E44" s="6"/>
      <c r="F44" s="6"/>
      <c r="G44" s="6"/>
      <c r="H44" s="6"/>
      <c r="I44" s="6"/>
      <c r="J44" s="6"/>
      <c r="K44" s="6"/>
      <c r="L44" s="6">
        <v>11888</v>
      </c>
      <c r="O44" s="1">
        <v>53209</v>
      </c>
      <c r="P44" s="1">
        <v>52607</v>
      </c>
      <c r="Q44" s="1">
        <v>51907</v>
      </c>
    </row>
    <row r="45" spans="2:23" s="5" customFormat="1" ht="13" x14ac:dyDescent="0.3">
      <c r="B45" s="5" t="s">
        <v>35</v>
      </c>
      <c r="C45" s="7"/>
      <c r="D45" s="7"/>
      <c r="E45" s="7"/>
      <c r="F45" s="7"/>
      <c r="G45" s="7"/>
      <c r="H45" s="7"/>
      <c r="I45" s="7"/>
      <c r="J45" s="7"/>
      <c r="K45" s="7"/>
      <c r="L45" s="7">
        <f>SUM(L36:L44)</f>
        <v>70064</v>
      </c>
      <c r="O45" s="5">
        <f>SUM(O36:O44)</f>
        <v>213565</v>
      </c>
      <c r="P45" s="5">
        <f>SUM(P36:P44)</f>
        <v>264501</v>
      </c>
      <c r="Q45" s="5">
        <f>SUM(Q36:Q44)</f>
        <v>260824</v>
      </c>
      <c r="R45" s="5">
        <f>SUM(R36:R44)</f>
        <v>0</v>
      </c>
      <c r="S45" s="5">
        <f>SUM(S36:S44)</f>
        <v>0</v>
      </c>
      <c r="T45" s="5">
        <f>SUM(T36:T44)</f>
        <v>0</v>
      </c>
      <c r="U45" s="5">
        <f>SUM(U36:U44)</f>
        <v>0</v>
      </c>
      <c r="V45" s="5">
        <f>SUM(V36:V44)</f>
        <v>0</v>
      </c>
      <c r="W45" s="5">
        <f>SUM(W36:W44)</f>
        <v>0</v>
      </c>
    </row>
    <row r="47" spans="2:23" x14ac:dyDescent="0.25">
      <c r="B47" t="s">
        <v>24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1"/>
      <c r="N47" s="1"/>
      <c r="O47" s="1">
        <v>-1880</v>
      </c>
      <c r="P47" s="1">
        <v>3635</v>
      </c>
      <c r="Q47" s="1">
        <v>7813</v>
      </c>
    </row>
    <row r="48" spans="2:23" x14ac:dyDescent="0.25">
      <c r="B48" t="s">
        <v>23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1"/>
      <c r="N48" s="1"/>
      <c r="O48" s="1">
        <v>393</v>
      </c>
      <c r="P48" s="1">
        <v>1374</v>
      </c>
      <c r="Q48" s="1">
        <v>855</v>
      </c>
    </row>
    <row r="49" spans="2:17" x14ac:dyDescent="0.25">
      <c r="B49" t="s">
        <v>25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1"/>
      <c r="N49" s="1"/>
      <c r="O49" s="1">
        <v>1465</v>
      </c>
      <c r="P49" s="1">
        <v>1904</v>
      </c>
      <c r="Q49" s="1">
        <v>2737</v>
      </c>
    </row>
    <row r="50" spans="2:17" x14ac:dyDescent="0.25">
      <c r="B50" t="s">
        <v>26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1"/>
      <c r="N50" s="1"/>
      <c r="O50" s="1">
        <v>8</v>
      </c>
      <c r="P50" s="1">
        <v>1485</v>
      </c>
      <c r="Q50" s="1">
        <v>2385</v>
      </c>
    </row>
    <row r="51" spans="2:17" s="5" customFormat="1" ht="13" x14ac:dyDescent="0.3">
      <c r="B51" s="5" t="s">
        <v>13</v>
      </c>
      <c r="C51" s="7"/>
      <c r="D51" s="7"/>
      <c r="E51" s="7"/>
      <c r="F51" s="7"/>
      <c r="G51" s="7"/>
      <c r="H51" s="7"/>
      <c r="I51" s="7"/>
      <c r="J51" s="7"/>
      <c r="K51" s="7"/>
      <c r="L51" s="7"/>
      <c r="O51" s="5">
        <f>+O47+O48+O49-O50</f>
        <v>-30</v>
      </c>
      <c r="P51" s="5">
        <f>+P47+P48+P49-P50</f>
        <v>5428</v>
      </c>
      <c r="Q51" s="5">
        <f>+Q47+Q48+Q49-Q50</f>
        <v>9020</v>
      </c>
    </row>
    <row r="52" spans="2:17" s="1" customFormat="1" x14ac:dyDescent="0.25">
      <c r="B52" s="1" t="s">
        <v>14</v>
      </c>
      <c r="C52" s="6"/>
      <c r="D52" s="6"/>
      <c r="E52" s="6"/>
      <c r="F52" s="6"/>
      <c r="G52" s="6"/>
      <c r="H52" s="6"/>
      <c r="I52" s="6"/>
      <c r="J52" s="6"/>
      <c r="K52" s="6"/>
      <c r="L52" s="6"/>
      <c r="O52" s="1">
        <v>6484</v>
      </c>
      <c r="P52" s="1">
        <v>9567</v>
      </c>
      <c r="Q52" s="1">
        <v>13670</v>
      </c>
    </row>
    <row r="53" spans="2:17" s="1" customFormat="1" x14ac:dyDescent="0.25">
      <c r="B53" s="1" t="s">
        <v>15</v>
      </c>
      <c r="C53" s="6"/>
      <c r="D53" s="6"/>
      <c r="E53" s="6"/>
      <c r="F53" s="6"/>
      <c r="G53" s="6"/>
      <c r="H53" s="6"/>
      <c r="I53" s="6"/>
      <c r="J53" s="6"/>
      <c r="K53" s="6"/>
      <c r="L53" s="6"/>
      <c r="O53" s="1">
        <v>5946</v>
      </c>
      <c r="P53" s="1">
        <v>5087</v>
      </c>
      <c r="Q53" s="1">
        <v>5031</v>
      </c>
    </row>
    <row r="54" spans="2:17" x14ac:dyDescent="0.25">
      <c r="B54" s="1" t="s">
        <v>16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1"/>
      <c r="N54" s="1"/>
      <c r="O54" s="1">
        <v>3904</v>
      </c>
      <c r="P54" s="1">
        <v>2331</v>
      </c>
      <c r="Q54" s="1">
        <v>3730</v>
      </c>
    </row>
    <row r="55" spans="2:17" x14ac:dyDescent="0.25">
      <c r="B55" s="1" t="s">
        <v>17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1"/>
      <c r="N55" s="1"/>
      <c r="O55" s="1">
        <v>12512</v>
      </c>
      <c r="P55" s="1">
        <v>13362</v>
      </c>
      <c r="Q55" s="1">
        <v>13072</v>
      </c>
    </row>
    <row r="56" spans="2:17" x14ac:dyDescent="0.25">
      <c r="B56" s="1" t="s">
        <v>18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1"/>
      <c r="N56" s="1"/>
      <c r="O56" s="1">
        <v>1528</v>
      </c>
      <c r="P56" s="1">
        <v>1750</v>
      </c>
      <c r="Q56" s="1">
        <v>1519</v>
      </c>
    </row>
    <row r="57" spans="2:17" x14ac:dyDescent="0.25">
      <c r="B57" s="1" t="s">
        <v>19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1"/>
      <c r="N57" s="1"/>
      <c r="O57" s="1">
        <v>-53612</v>
      </c>
      <c r="P57" s="1">
        <v>58873</v>
      </c>
      <c r="Q57" s="1">
        <v>41558</v>
      </c>
    </row>
    <row r="58" spans="2:17" x14ac:dyDescent="0.25">
      <c r="B58" s="1" t="s">
        <v>20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1"/>
      <c r="N58" s="1"/>
      <c r="O58" s="1">
        <v>509</v>
      </c>
      <c r="P58" s="1">
        <v>-175</v>
      </c>
      <c r="Q58" s="1">
        <v>1395</v>
      </c>
    </row>
    <row r="59" spans="2:17" s="4" customFormat="1" ht="13" x14ac:dyDescent="0.3">
      <c r="B59" s="5" t="s">
        <v>21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5"/>
      <c r="N59" s="5"/>
      <c r="O59" s="5">
        <f>SUM(O51:O58)</f>
        <v>-22759</v>
      </c>
      <c r="P59" s="5">
        <f>SUM(P51:P58)</f>
        <v>96223</v>
      </c>
      <c r="Q59" s="5">
        <f>SUM(Q51:Q58)</f>
        <v>88995</v>
      </c>
    </row>
    <row r="60" spans="2:17" x14ac:dyDescent="0.25">
      <c r="B60" s="1" t="s">
        <v>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1"/>
      <c r="N60" s="1"/>
      <c r="O60" s="1">
        <f>+O59-O57</f>
        <v>30853</v>
      </c>
      <c r="P60" s="1">
        <f>+P59-P57</f>
        <v>37350</v>
      </c>
      <c r="Q60" s="1">
        <f>+Q59-Q57</f>
        <v>47437</v>
      </c>
    </row>
    <row r="64" spans="2:17" s="1" customFormat="1" x14ac:dyDescent="0.25">
      <c r="B64" s="1" t="s">
        <v>2</v>
      </c>
      <c r="C64" s="6"/>
      <c r="D64" s="6"/>
      <c r="E64" s="6"/>
      <c r="F64" s="6"/>
      <c r="G64" s="6"/>
      <c r="H64" s="6">
        <f>96193+243605+15084+267923+25323+4293</f>
        <v>652421</v>
      </c>
      <c r="I64" s="6"/>
      <c r="J64" s="6"/>
      <c r="K64" s="6"/>
      <c r="L64" s="6"/>
      <c r="Q64" s="1">
        <f>44333+286472+15364+271588+31134+3396</f>
        <v>652287</v>
      </c>
    </row>
    <row r="65" spans="2:17" s="1" customFormat="1" x14ac:dyDescent="0.25">
      <c r="B65" s="1" t="s">
        <v>36</v>
      </c>
      <c r="C65" s="6"/>
      <c r="D65" s="6"/>
      <c r="E65" s="6"/>
      <c r="F65" s="6"/>
      <c r="G65" s="6"/>
      <c r="H65" s="6">
        <f>30374+179366</f>
        <v>209740</v>
      </c>
      <c r="I65" s="6"/>
      <c r="J65" s="6"/>
      <c r="K65" s="6"/>
      <c r="L65" s="6"/>
      <c r="Q65" s="1">
        <f>30071+175030</f>
        <v>205101</v>
      </c>
    </row>
    <row r="66" spans="2:17" s="1" customFormat="1" x14ac:dyDescent="0.25">
      <c r="B66" s="1" t="s">
        <v>37</v>
      </c>
      <c r="C66" s="6"/>
      <c r="D66" s="6"/>
      <c r="E66" s="6"/>
      <c r="F66" s="6"/>
      <c r="G66" s="6"/>
      <c r="H66" s="6">
        <v>28722</v>
      </c>
      <c r="I66" s="6"/>
      <c r="J66" s="6"/>
      <c r="K66" s="6"/>
      <c r="L66" s="6"/>
      <c r="Q66" s="1">
        <v>27798</v>
      </c>
    </row>
    <row r="67" spans="2:17" s="1" customFormat="1" x14ac:dyDescent="0.25">
      <c r="B67" s="1" t="s">
        <v>39</v>
      </c>
      <c r="C67" s="6"/>
      <c r="D67" s="6"/>
      <c r="E67" s="6"/>
      <c r="F67" s="6"/>
      <c r="G67" s="6"/>
      <c r="H67" s="6">
        <f>47473+4323</f>
        <v>51796</v>
      </c>
      <c r="I67" s="6"/>
      <c r="J67" s="6"/>
      <c r="K67" s="6"/>
      <c r="L67" s="6"/>
      <c r="Q67" s="1">
        <f>43887+4503</f>
        <v>48390</v>
      </c>
    </row>
    <row r="68" spans="2:17" s="1" customFormat="1" x14ac:dyDescent="0.25">
      <c r="B68" s="1" t="s">
        <v>40</v>
      </c>
      <c r="C68" s="6"/>
      <c r="D68" s="6"/>
      <c r="E68" s="6"/>
      <c r="F68" s="6"/>
      <c r="G68" s="6"/>
      <c r="H68" s="6">
        <v>24371</v>
      </c>
      <c r="I68" s="6"/>
      <c r="J68" s="6"/>
      <c r="K68" s="6"/>
      <c r="L68" s="6"/>
      <c r="Q68" s="1">
        <v>24008</v>
      </c>
    </row>
    <row r="69" spans="2:17" s="1" customFormat="1" x14ac:dyDescent="0.25">
      <c r="B69" s="1" t="s">
        <v>41</v>
      </c>
      <c r="C69" s="6"/>
      <c r="D69" s="6"/>
      <c r="E69" s="6"/>
      <c r="F69" s="6"/>
      <c r="G69" s="6"/>
      <c r="H69" s="6">
        <v>18123</v>
      </c>
      <c r="I69" s="6"/>
      <c r="J69" s="6"/>
      <c r="K69" s="6"/>
      <c r="L69" s="6"/>
      <c r="Q69" s="1">
        <v>17828</v>
      </c>
    </row>
    <row r="70" spans="2:17" s="1" customFormat="1" x14ac:dyDescent="0.25">
      <c r="B70" s="1" t="s">
        <v>42</v>
      </c>
      <c r="C70" s="6"/>
      <c r="D70" s="6"/>
      <c r="E70" s="6"/>
      <c r="F70" s="6"/>
      <c r="G70" s="6"/>
      <c r="H70" s="6">
        <f>57096+34079+27155</f>
        <v>118330</v>
      </c>
      <c r="I70" s="6"/>
      <c r="J70" s="6"/>
      <c r="K70" s="6"/>
      <c r="L70" s="6"/>
      <c r="Q70" s="1">
        <f>56860+34638+27020</f>
        <v>118518</v>
      </c>
    </row>
    <row r="71" spans="2:17" s="1" customFormat="1" x14ac:dyDescent="0.25">
      <c r="B71" s="1" t="s">
        <v>43</v>
      </c>
      <c r="C71" s="6"/>
      <c r="D71" s="6"/>
      <c r="E71" s="6"/>
      <c r="F71" s="6"/>
      <c r="G71" s="6"/>
      <c r="H71" s="6">
        <v>8474</v>
      </c>
      <c r="I71" s="6"/>
      <c r="J71" s="6"/>
      <c r="K71" s="6"/>
      <c r="L71" s="6"/>
      <c r="Q71" s="1">
        <v>8797</v>
      </c>
    </row>
    <row r="72" spans="2:17" s="1" customFormat="1" x14ac:dyDescent="0.25">
      <c r="B72" s="1" t="s">
        <v>20</v>
      </c>
      <c r="C72" s="6"/>
      <c r="D72" s="6"/>
      <c r="E72" s="6"/>
      <c r="F72" s="6"/>
      <c r="G72" s="6"/>
      <c r="H72" s="6">
        <f>25699+21051+5241</f>
        <v>51991</v>
      </c>
      <c r="I72" s="6"/>
      <c r="J72" s="6"/>
      <c r="K72" s="6"/>
      <c r="L72" s="6"/>
      <c r="Q72" s="1">
        <f>20811+24994+5349</f>
        <v>51154</v>
      </c>
    </row>
    <row r="73" spans="2:17" s="1" customFormat="1" x14ac:dyDescent="0.25">
      <c r="B73" s="1" t="s">
        <v>38</v>
      </c>
      <c r="C73" s="6"/>
      <c r="D73" s="6"/>
      <c r="E73" s="6"/>
      <c r="F73" s="6"/>
      <c r="G73" s="6"/>
      <c r="H73" s="6">
        <f>SUM(H64:H72)</f>
        <v>1163968</v>
      </c>
      <c r="I73" s="6"/>
      <c r="J73" s="6"/>
      <c r="K73" s="6"/>
      <c r="L73" s="6"/>
      <c r="Q73" s="1">
        <f>SUM(Q64:Q72)</f>
        <v>1153881</v>
      </c>
    </row>
    <row r="75" spans="2:17" s="1" customFormat="1" x14ac:dyDescent="0.25">
      <c r="B75" s="1" t="s">
        <v>3</v>
      </c>
      <c r="C75" s="6"/>
      <c r="D75" s="6"/>
      <c r="E75" s="6"/>
      <c r="F75" s="6"/>
      <c r="G75" s="6"/>
      <c r="H75" s="6">
        <f>118788+31733+32414+17865+10634+45040+81980</f>
        <v>338454</v>
      </c>
      <c r="I75" s="6"/>
      <c r="J75" s="6"/>
      <c r="K75" s="6"/>
      <c r="L75" s="6"/>
      <c r="Q75" s="1">
        <f>115151+32443+17616+10703+12769+79877+44885+30808</f>
        <v>344252</v>
      </c>
    </row>
    <row r="76" spans="2:17" s="1" customFormat="1" x14ac:dyDescent="0.25">
      <c r="B76" s="1" t="s">
        <v>44</v>
      </c>
      <c r="C76" s="6"/>
      <c r="D76" s="6"/>
      <c r="E76" s="6"/>
      <c r="F76" s="6"/>
      <c r="G76" s="6"/>
      <c r="H76" s="6">
        <f>36988+18382</f>
        <v>55370</v>
      </c>
      <c r="I76" s="6"/>
      <c r="J76" s="6"/>
      <c r="K76" s="6"/>
      <c r="L76" s="6"/>
      <c r="Q76" s="1">
        <f>18226+37489</f>
        <v>55715</v>
      </c>
    </row>
    <row r="77" spans="2:17" s="1" customFormat="1" x14ac:dyDescent="0.25">
      <c r="B77" s="1" t="s">
        <v>45</v>
      </c>
      <c r="C77" s="6"/>
      <c r="D77" s="6"/>
      <c r="E77" s="6"/>
      <c r="F77" s="6"/>
      <c r="G77" s="6"/>
      <c r="H77" s="6">
        <v>9747</v>
      </c>
      <c r="I77" s="6"/>
      <c r="J77" s="6"/>
      <c r="K77" s="6"/>
      <c r="L77" s="6"/>
      <c r="Q77" s="1">
        <v>9356</v>
      </c>
    </row>
    <row r="78" spans="2:17" s="1" customFormat="1" x14ac:dyDescent="0.25">
      <c r="B78" s="1" t="s">
        <v>46</v>
      </c>
      <c r="C78" s="6"/>
      <c r="D78" s="6"/>
      <c r="E78" s="6"/>
      <c r="F78" s="6"/>
      <c r="G78" s="6"/>
      <c r="H78" s="6">
        <v>82991</v>
      </c>
      <c r="I78" s="6"/>
      <c r="J78" s="6"/>
      <c r="K78" s="6"/>
      <c r="L78" s="6"/>
      <c r="Q78" s="1">
        <v>85870</v>
      </c>
    </row>
    <row r="79" spans="2:17" s="1" customFormat="1" x14ac:dyDescent="0.25">
      <c r="B79" s="1" t="s">
        <v>47</v>
      </c>
      <c r="C79" s="6"/>
      <c r="D79" s="6"/>
      <c r="E79" s="6"/>
      <c r="F79" s="6"/>
      <c r="G79" s="6"/>
      <c r="H79" s="6">
        <v>7130</v>
      </c>
      <c r="I79" s="6"/>
      <c r="J79" s="6"/>
      <c r="K79" s="6"/>
      <c r="L79" s="6"/>
      <c r="Q79" s="1">
        <v>7033</v>
      </c>
    </row>
    <row r="80" spans="2:17" s="1" customFormat="1" x14ac:dyDescent="0.25">
      <c r="B80" s="1" t="s">
        <v>48</v>
      </c>
      <c r="C80" s="6"/>
      <c r="D80" s="6"/>
      <c r="E80" s="6"/>
      <c r="F80" s="6"/>
      <c r="G80" s="6"/>
      <c r="H80" s="6">
        <v>670276</v>
      </c>
      <c r="I80" s="6"/>
      <c r="J80" s="6"/>
      <c r="K80" s="6"/>
      <c r="L80" s="6"/>
      <c r="Q80" s="1">
        <v>651655</v>
      </c>
    </row>
    <row r="81" spans="2:17" s="1" customFormat="1" x14ac:dyDescent="0.25">
      <c r="B81" s="1" t="s">
        <v>49</v>
      </c>
      <c r="C81" s="6"/>
      <c r="D81" s="6"/>
      <c r="E81" s="6"/>
      <c r="F81" s="6"/>
      <c r="G81" s="6"/>
      <c r="H81" s="1">
        <f>SUM(H75:H80)</f>
        <v>1163968</v>
      </c>
      <c r="I81" s="6"/>
      <c r="J81" s="6"/>
      <c r="K81" s="6"/>
      <c r="L81" s="6"/>
      <c r="Q81" s="1">
        <f>SUM(Q75:Q80)</f>
        <v>1153881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2023-02-07T21:31:30Z</dcterms:created>
  <dcterms:modified xsi:type="dcterms:W3CDTF">2026-08-18T02:15:43Z</dcterms:modified>
</cp:coreProperties>
</file>