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17B30FE-2D68-4D8B-8E92-5FB39826DD37}" xr6:coauthVersionLast="47" xr6:coauthVersionMax="47" xr10:uidLastSave="{00000000-0000-0000-0000-000000000000}"/>
  <bookViews>
    <workbookView xWindow="18040" yWindow="7930" windowWidth="19890" windowHeight="10280" activeTab="1" xr2:uid="{5ED8D86A-A1D6-40BE-A8D1-3AD681AED52B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G8" i="1"/>
  <c r="H8" i="1"/>
  <c r="I8" i="1"/>
  <c r="M8" i="1"/>
  <c r="L8" i="1"/>
  <c r="K8" i="1"/>
  <c r="J8" i="1"/>
  <c r="N8" i="1"/>
  <c r="K7" i="2"/>
  <c r="K6" i="2"/>
  <c r="K5" i="2"/>
  <c r="K4" i="2"/>
  <c r="U27" i="1" l="1"/>
  <c r="R30" i="1"/>
  <c r="Q24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T27" i="1"/>
  <c r="S27" i="1"/>
  <c r="R27" i="1"/>
  <c r="U2" i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</calcChain>
</file>

<file path=xl/sharedStrings.xml><?xml version="1.0" encoding="utf-8"?>
<sst xmlns="http://schemas.openxmlformats.org/spreadsheetml/2006/main" count="31" uniqueCount="28">
  <si>
    <t>Main</t>
  </si>
  <si>
    <t>Revenue</t>
  </si>
  <si>
    <t>Revenue y/y</t>
  </si>
  <si>
    <t>Stock y/y</t>
  </si>
  <si>
    <t>Price</t>
  </si>
  <si>
    <t>Shares</t>
  </si>
  <si>
    <t>MC</t>
  </si>
  <si>
    <t>Cash</t>
  </si>
  <si>
    <t>Debt</t>
  </si>
  <si>
    <t>EV</t>
  </si>
  <si>
    <t>Q126</t>
  </si>
  <si>
    <t>FQ426</t>
  </si>
  <si>
    <t>FQ425</t>
  </si>
  <si>
    <t>Networking</t>
  </si>
  <si>
    <t>Security</t>
  </si>
  <si>
    <t>Collaboration</t>
  </si>
  <si>
    <t>Observability</t>
  </si>
  <si>
    <t>Services</t>
  </si>
  <si>
    <t>FQ326</t>
  </si>
  <si>
    <t>FQ325</t>
  </si>
  <si>
    <t>FQ226</t>
  </si>
  <si>
    <t>FQ225</t>
  </si>
  <si>
    <t>FQ126</t>
  </si>
  <si>
    <t>FQ125</t>
  </si>
  <si>
    <t>FQ124</t>
  </si>
  <si>
    <t>FQ224</t>
  </si>
  <si>
    <t>FQ324</t>
  </si>
  <si>
    <t>FQ424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</si>
</sst>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9" fontId="2" fillId="0" borderId="0" xfId="0" applyNumberFormat="1" applyFont="1"/>
    <xf numFmtId="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16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FE955E9-E19F-44E9-AF42-2C3CD1C867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Model!$Q$8:$AQ$8</c:f>
              <c:numCache>
                <c:formatCode>#,##0</c:formatCode>
                <c:ptCount val="27"/>
                <c:pt idx="0">
                  <c:v>4101</c:v>
                </c:pt>
                <c:pt idx="1">
                  <c:v>6452</c:v>
                </c:pt>
                <c:pt idx="2">
                  <c:v>8489</c:v>
                </c:pt>
                <c:pt idx="3">
                  <c:v>12173</c:v>
                </c:pt>
                <c:pt idx="4">
                  <c:v>18928</c:v>
                </c:pt>
                <c:pt idx="5">
                  <c:v>22293</c:v>
                </c:pt>
                <c:pt idx="6">
                  <c:v>18915</c:v>
                </c:pt>
                <c:pt idx="7">
                  <c:v>18878</c:v>
                </c:pt>
                <c:pt idx="8">
                  <c:v>22045</c:v>
                </c:pt>
                <c:pt idx="9">
                  <c:v>24801</c:v>
                </c:pt>
                <c:pt idx="10">
                  <c:v>28484</c:v>
                </c:pt>
                <c:pt idx="11">
                  <c:v>34922</c:v>
                </c:pt>
                <c:pt idx="12">
                  <c:v>39540</c:v>
                </c:pt>
                <c:pt idx="13">
                  <c:v>36117</c:v>
                </c:pt>
                <c:pt idx="14">
                  <c:v>40040</c:v>
                </c:pt>
                <c:pt idx="15">
                  <c:v>43218</c:v>
                </c:pt>
                <c:pt idx="16">
                  <c:v>46061</c:v>
                </c:pt>
                <c:pt idx="17">
                  <c:v>48607</c:v>
                </c:pt>
                <c:pt idx="18">
                  <c:v>47142</c:v>
                </c:pt>
                <c:pt idx="19">
                  <c:v>49161</c:v>
                </c:pt>
                <c:pt idx="20">
                  <c:v>49247</c:v>
                </c:pt>
                <c:pt idx="21">
                  <c:v>48005</c:v>
                </c:pt>
                <c:pt idx="22">
                  <c:v>49330</c:v>
                </c:pt>
                <c:pt idx="23">
                  <c:v>51904</c:v>
                </c:pt>
                <c:pt idx="24">
                  <c:v>49301</c:v>
                </c:pt>
                <c:pt idx="25">
                  <c:v>49818</c:v>
                </c:pt>
                <c:pt idx="26">
                  <c:v>51557</c:v>
                </c:pt>
              </c:numCache>
            </c:numRef>
          </c:xVal>
          <c:yVal>
            <c:numRef>
              <c:f>Model!$Q$22:$AQ$22</c:f>
              <c:numCache>
                <c:formatCode>#,##0.00</c:formatCode>
                <c:ptCount val="27"/>
                <c:pt idx="0">
                  <c:v>4.05</c:v>
                </c:pt>
                <c:pt idx="1">
                  <c:v>6.23</c:v>
                </c:pt>
                <c:pt idx="2">
                  <c:v>11.24</c:v>
                </c:pt>
                <c:pt idx="3">
                  <c:v>21.88</c:v>
                </c:pt>
                <c:pt idx="4">
                  <c:v>46.1</c:v>
                </c:pt>
                <c:pt idx="5">
                  <c:v>13.54</c:v>
                </c:pt>
                <c:pt idx="6">
                  <c:v>9.2899999999999991</c:v>
                </c:pt>
                <c:pt idx="7">
                  <c:v>13.73</c:v>
                </c:pt>
                <c:pt idx="8">
                  <c:v>14.74</c:v>
                </c:pt>
                <c:pt idx="9">
                  <c:v>13.49</c:v>
                </c:pt>
                <c:pt idx="10">
                  <c:v>12.6</c:v>
                </c:pt>
                <c:pt idx="11">
                  <c:v>20.37</c:v>
                </c:pt>
                <c:pt idx="12">
                  <c:v>15.49</c:v>
                </c:pt>
                <c:pt idx="13">
                  <c:v>15.51</c:v>
                </c:pt>
                <c:pt idx="14">
                  <c:v>16.25</c:v>
                </c:pt>
                <c:pt idx="15">
                  <c:v>11.33</c:v>
                </c:pt>
                <c:pt idx="16">
                  <c:v>11.5</c:v>
                </c:pt>
                <c:pt idx="17">
                  <c:v>19.010000000000002</c:v>
                </c:pt>
                <c:pt idx="18">
                  <c:v>19.329999999999998</c:v>
                </c:pt>
                <c:pt idx="19">
                  <c:v>22.43</c:v>
                </c:pt>
                <c:pt idx="20">
                  <c:v>24.93</c:v>
                </c:pt>
                <c:pt idx="21">
                  <c:v>26.59</c:v>
                </c:pt>
                <c:pt idx="22">
                  <c:v>36.909999999999997</c:v>
                </c:pt>
                <c:pt idx="23">
                  <c:v>49.67</c:v>
                </c:pt>
                <c:pt idx="24">
                  <c:v>43.61</c:v>
                </c:pt>
                <c:pt idx="25">
                  <c:v>52.9</c:v>
                </c:pt>
                <c:pt idx="26">
                  <c:v>44.6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5-400F-9994-41CEAB27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805935"/>
        <c:axId val="614806351"/>
      </c:scatterChart>
      <c:valAx>
        <c:axId val="61480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806351"/>
        <c:crosses val="autoZero"/>
        <c:crossBetween val="midCat"/>
      </c:valAx>
      <c:valAx>
        <c:axId val="61480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80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201719</xdr:colOff>
      <xdr:row>30</xdr:row>
      <xdr:rowOff>107293</xdr:rowOff>
    </xdr:from>
    <xdr:to>
      <xdr:col>38</xdr:col>
      <xdr:colOff>523186</xdr:colOff>
      <xdr:row>47</xdr:row>
      <xdr:rowOff>118009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A18F9-5579-EF1C-989B-58D735C7D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BF36-96F0-4ABA-801F-D66DDEC3058C}">
  <dimension ref="J2:L7"/>
  <sheetViews>
    <sheetView zoomScale="145" zoomScaleNormal="145" workbookViewId="0">
      <selection activeCell="K8" sqref="K8"/>
    </sheetView>
  </sheetViews>
  <sheetFormatPr defaultRowHeight="12.5" x14ac:dyDescent="0.25"/>
  <sheetData>
    <row r="2" spans="10:12" x14ac:dyDescent="0.25">
      <c r="J2" t="s">
        <v>4</v>
      </c>
      <c r="K2" s="6">
        <v>111.58</v>
      </c>
    </row>
    <row r="3" spans="10:12" x14ac:dyDescent="0.25">
      <c r="J3" t="s">
        <v>5</v>
      </c>
      <c r="K3" s="2">
        <v>3941.4346650000002</v>
      </c>
      <c r="L3" s="8" t="s">
        <v>10</v>
      </c>
    </row>
    <row r="4" spans="10:12" x14ac:dyDescent="0.25">
      <c r="J4" t="s">
        <v>6</v>
      </c>
      <c r="K4" s="2">
        <f>+K2*K3</f>
        <v>439785.27992070001</v>
      </c>
    </row>
    <row r="5" spans="10:12" x14ac:dyDescent="0.25">
      <c r="J5" t="s">
        <v>7</v>
      </c>
      <c r="K5" s="2">
        <f>7083+9557</f>
        <v>16640</v>
      </c>
      <c r="L5" s="8" t="s">
        <v>10</v>
      </c>
    </row>
    <row r="6" spans="10:12" x14ac:dyDescent="0.25">
      <c r="J6" t="s">
        <v>8</v>
      </c>
      <c r="K6" s="2">
        <f>11932+19371</f>
        <v>31303</v>
      </c>
      <c r="L6" s="8" t="s">
        <v>10</v>
      </c>
    </row>
    <row r="7" spans="10:12" x14ac:dyDescent="0.25">
      <c r="J7" t="s">
        <v>9</v>
      </c>
      <c r="K7" s="2">
        <f>+K4-K5+K6</f>
        <v>454448.27992070001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1744-E4D5-4196-B3AF-2B9516536BD5}">
  <dimension ref="A1:AS30"/>
  <sheetViews>
    <sheetView tabSelected="1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7" sqref="D7"/>
    </sheetView>
  </sheetViews>
  <sheetFormatPr defaultRowHeight="12.5" x14ac:dyDescent="0.25"/>
  <cols>
    <col min="1" max="1" width="5" bestFit="1" customWidth="1"/>
    <col min="2" max="2" width="13.1796875" customWidth="1"/>
    <col min="3" max="14" width="8.7265625" style="8"/>
  </cols>
  <sheetData>
    <row r="1" spans="1:45" x14ac:dyDescent="0.25">
      <c r="A1" t="s">
        <v>0</v>
      </c>
      <c r="C1" s="11">
        <v>45225</v>
      </c>
      <c r="D1" s="11">
        <v>45316</v>
      </c>
      <c r="E1" s="11">
        <v>45408</v>
      </c>
      <c r="F1" s="11">
        <v>45499</v>
      </c>
      <c r="G1" s="11">
        <v>45591</v>
      </c>
      <c r="H1" s="11">
        <v>45682</v>
      </c>
      <c r="I1" s="11">
        <v>45773</v>
      </c>
      <c r="J1" s="11">
        <v>45864</v>
      </c>
      <c r="K1" s="11">
        <v>45955</v>
      </c>
      <c r="L1" s="11">
        <v>46046</v>
      </c>
      <c r="M1" s="11">
        <v>46137</v>
      </c>
      <c r="N1" s="11">
        <v>46228</v>
      </c>
      <c r="O1" s="1"/>
      <c r="P1" s="1"/>
      <c r="Q1" s="1">
        <v>35276</v>
      </c>
      <c r="AO1" s="1"/>
      <c r="AQ1" s="1">
        <v>44772</v>
      </c>
      <c r="AR1" s="1"/>
    </row>
    <row r="2" spans="1:45" x14ac:dyDescent="0.25">
      <c r="C2" s="8" t="s">
        <v>24</v>
      </c>
      <c r="D2" s="8" t="s">
        <v>25</v>
      </c>
      <c r="E2" s="8" t="s">
        <v>26</v>
      </c>
      <c r="F2" s="8" t="s">
        <v>27</v>
      </c>
      <c r="G2" s="8" t="s">
        <v>23</v>
      </c>
      <c r="H2" s="8" t="s">
        <v>21</v>
      </c>
      <c r="I2" s="8" t="s">
        <v>19</v>
      </c>
      <c r="J2" s="8" t="s">
        <v>12</v>
      </c>
      <c r="K2" s="8" t="s">
        <v>22</v>
      </c>
      <c r="L2" s="8" t="s">
        <v>20</v>
      </c>
      <c r="M2" s="8" t="s">
        <v>18</v>
      </c>
      <c r="N2" s="8" t="s">
        <v>11</v>
      </c>
      <c r="Q2">
        <v>1996</v>
      </c>
      <c r="R2">
        <v>1997</v>
      </c>
      <c r="S2">
        <v>1998</v>
      </c>
      <c r="T2">
        <v>1999</v>
      </c>
      <c r="U2">
        <f>+T2+1</f>
        <v>2000</v>
      </c>
      <c r="V2">
        <f t="shared" ref="V2:AS2" si="0">+U2+1</f>
        <v>2001</v>
      </c>
      <c r="W2">
        <f t="shared" si="0"/>
        <v>2002</v>
      </c>
      <c r="X2">
        <f t="shared" si="0"/>
        <v>2003</v>
      </c>
      <c r="Y2">
        <f t="shared" si="0"/>
        <v>2004</v>
      </c>
      <c r="Z2">
        <f t="shared" si="0"/>
        <v>2005</v>
      </c>
      <c r="AA2">
        <f t="shared" si="0"/>
        <v>2006</v>
      </c>
      <c r="AB2">
        <f t="shared" si="0"/>
        <v>2007</v>
      </c>
      <c r="AC2">
        <f t="shared" si="0"/>
        <v>2008</v>
      </c>
      <c r="AD2">
        <f t="shared" si="0"/>
        <v>2009</v>
      </c>
      <c r="AE2">
        <f t="shared" si="0"/>
        <v>2010</v>
      </c>
      <c r="AF2">
        <f t="shared" si="0"/>
        <v>2011</v>
      </c>
      <c r="AG2">
        <f t="shared" si="0"/>
        <v>2012</v>
      </c>
      <c r="AH2">
        <f t="shared" si="0"/>
        <v>2013</v>
      </c>
      <c r="AI2">
        <f t="shared" si="0"/>
        <v>2014</v>
      </c>
      <c r="AJ2">
        <f t="shared" si="0"/>
        <v>2015</v>
      </c>
      <c r="AK2">
        <f t="shared" si="0"/>
        <v>2016</v>
      </c>
      <c r="AL2">
        <f t="shared" si="0"/>
        <v>2017</v>
      </c>
      <c r="AM2">
        <f t="shared" si="0"/>
        <v>2018</v>
      </c>
      <c r="AN2">
        <f t="shared" si="0"/>
        <v>2019</v>
      </c>
      <c r="AO2">
        <f t="shared" si="0"/>
        <v>2020</v>
      </c>
      <c r="AP2">
        <f t="shared" si="0"/>
        <v>2021</v>
      </c>
      <c r="AQ2">
        <f t="shared" si="0"/>
        <v>2022</v>
      </c>
      <c r="AR2">
        <f t="shared" si="0"/>
        <v>2023</v>
      </c>
      <c r="AS2">
        <f t="shared" si="0"/>
        <v>2024</v>
      </c>
    </row>
    <row r="3" spans="1:45" s="2" customFormat="1" x14ac:dyDescent="0.25">
      <c r="B3" s="2" t="s">
        <v>13</v>
      </c>
      <c r="C3" s="15">
        <v>8822</v>
      </c>
      <c r="D3" s="15">
        <v>7081</v>
      </c>
      <c r="E3" s="15">
        <v>6522</v>
      </c>
      <c r="F3" s="15">
        <v>6804</v>
      </c>
      <c r="G3" s="15">
        <v>6753</v>
      </c>
      <c r="H3" s="15">
        <v>6850</v>
      </c>
      <c r="I3" s="15">
        <v>7068</v>
      </c>
      <c r="J3" s="15">
        <v>7633</v>
      </c>
      <c r="K3" s="15">
        <v>7768</v>
      </c>
      <c r="L3" s="15">
        <v>8294</v>
      </c>
      <c r="M3" s="15">
        <v>8815</v>
      </c>
      <c r="N3" s="15">
        <v>9791</v>
      </c>
    </row>
    <row r="4" spans="1:45" s="2" customFormat="1" x14ac:dyDescent="0.25">
      <c r="B4" s="2" t="s">
        <v>14</v>
      </c>
      <c r="C4" s="15">
        <v>1010</v>
      </c>
      <c r="D4" s="15">
        <v>973</v>
      </c>
      <c r="E4" s="15">
        <v>1304</v>
      </c>
      <c r="F4" s="15">
        <v>1787</v>
      </c>
      <c r="G4" s="15">
        <v>2017</v>
      </c>
      <c r="H4" s="15">
        <v>2111</v>
      </c>
      <c r="I4" s="15">
        <v>2013</v>
      </c>
      <c r="J4" s="15">
        <v>1952</v>
      </c>
      <c r="K4" s="15">
        <v>1980</v>
      </c>
      <c r="L4" s="15">
        <v>2018</v>
      </c>
      <c r="M4" s="15">
        <v>2008</v>
      </c>
      <c r="N4" s="15">
        <v>2226</v>
      </c>
    </row>
    <row r="5" spans="1:45" s="2" customFormat="1" x14ac:dyDescent="0.25">
      <c r="B5" s="2" t="s">
        <v>15</v>
      </c>
      <c r="C5" s="15">
        <v>1117</v>
      </c>
      <c r="D5" s="15">
        <v>989</v>
      </c>
      <c r="E5" s="15">
        <v>987</v>
      </c>
      <c r="F5" s="15">
        <v>1019</v>
      </c>
      <c r="G5" s="15">
        <v>1085</v>
      </c>
      <c r="H5" s="15">
        <v>996</v>
      </c>
      <c r="I5" s="15">
        <v>1031</v>
      </c>
      <c r="J5" s="15">
        <v>1042</v>
      </c>
      <c r="K5" s="15">
        <v>1055</v>
      </c>
      <c r="L5" s="15">
        <v>1054</v>
      </c>
      <c r="M5" s="15">
        <v>1024</v>
      </c>
      <c r="N5" s="15">
        <v>1167</v>
      </c>
    </row>
    <row r="6" spans="1:45" s="2" customFormat="1" x14ac:dyDescent="0.25">
      <c r="B6" s="2" t="s">
        <v>16</v>
      </c>
      <c r="C6" s="15">
        <v>190</v>
      </c>
      <c r="D6" s="15">
        <v>188</v>
      </c>
      <c r="E6" s="15">
        <v>211</v>
      </c>
      <c r="F6" s="15">
        <v>248</v>
      </c>
      <c r="G6" s="15">
        <v>258</v>
      </c>
      <c r="H6" s="15">
        <v>277</v>
      </c>
      <c r="I6" s="15">
        <v>261</v>
      </c>
      <c r="J6" s="15">
        <v>259</v>
      </c>
      <c r="K6" s="15">
        <v>274</v>
      </c>
      <c r="L6" s="15">
        <v>277</v>
      </c>
      <c r="M6" s="15">
        <v>269</v>
      </c>
      <c r="N6" s="15">
        <v>275</v>
      </c>
    </row>
    <row r="7" spans="1:45" s="2" customFormat="1" x14ac:dyDescent="0.25">
      <c r="B7" s="2" t="s">
        <v>17</v>
      </c>
      <c r="C7" s="15">
        <v>3529</v>
      </c>
      <c r="D7" s="15">
        <v>3559</v>
      </c>
      <c r="E7" s="15">
        <v>3678</v>
      </c>
      <c r="F7" s="15">
        <v>3784</v>
      </c>
      <c r="G7" s="15">
        <v>3727</v>
      </c>
      <c r="H7" s="15">
        <v>3757</v>
      </c>
      <c r="I7" s="15">
        <v>3775</v>
      </c>
      <c r="J7" s="15">
        <v>3787</v>
      </c>
      <c r="K7" s="15">
        <v>3806</v>
      </c>
      <c r="L7" s="15">
        <v>3707</v>
      </c>
      <c r="M7" s="15">
        <v>3724</v>
      </c>
      <c r="N7" s="15">
        <v>3793</v>
      </c>
    </row>
    <row r="8" spans="1:45" s="9" customFormat="1" ht="13" x14ac:dyDescent="0.3">
      <c r="B8" s="9" t="s">
        <v>1</v>
      </c>
      <c r="C8" s="12">
        <f t="shared" ref="C8" si="1">SUM(C3:C7)</f>
        <v>14668</v>
      </c>
      <c r="D8" s="12">
        <f t="shared" ref="D8" si="2">SUM(D3:D7)</f>
        <v>12790</v>
      </c>
      <c r="E8" s="12">
        <f t="shared" ref="E8" si="3">SUM(E3:E7)</f>
        <v>12702</v>
      </c>
      <c r="F8" s="12">
        <f t="shared" ref="F8" si="4">SUM(F3:F7)</f>
        <v>13642</v>
      </c>
      <c r="G8" s="12">
        <f t="shared" ref="G8:M8" si="5">SUM(G3:G7)</f>
        <v>13840</v>
      </c>
      <c r="H8" s="12">
        <f t="shared" si="5"/>
        <v>13991</v>
      </c>
      <c r="I8" s="12">
        <f t="shared" si="5"/>
        <v>14148</v>
      </c>
      <c r="J8" s="12">
        <f t="shared" si="5"/>
        <v>14673</v>
      </c>
      <c r="K8" s="12">
        <f t="shared" si="5"/>
        <v>14883</v>
      </c>
      <c r="L8" s="12">
        <f t="shared" si="5"/>
        <v>15350</v>
      </c>
      <c r="M8" s="12">
        <f t="shared" si="5"/>
        <v>15840</v>
      </c>
      <c r="N8" s="12">
        <f>SUM(N3:N7)</f>
        <v>17252</v>
      </c>
      <c r="O8" s="10"/>
      <c r="P8" s="10"/>
      <c r="Q8" s="10">
        <v>4101</v>
      </c>
      <c r="R8" s="10">
        <v>6452</v>
      </c>
      <c r="S8" s="10">
        <v>8489</v>
      </c>
      <c r="T8" s="10">
        <v>12173</v>
      </c>
      <c r="U8" s="10">
        <v>18928</v>
      </c>
      <c r="V8" s="10">
        <v>22293</v>
      </c>
      <c r="W8" s="10">
        <v>18915</v>
      </c>
      <c r="X8" s="10">
        <v>18878</v>
      </c>
      <c r="Y8" s="10">
        <v>22045</v>
      </c>
      <c r="Z8" s="10">
        <v>24801</v>
      </c>
      <c r="AA8" s="10">
        <v>28484</v>
      </c>
      <c r="AB8" s="10">
        <v>34922</v>
      </c>
      <c r="AC8" s="10">
        <v>39540</v>
      </c>
      <c r="AD8" s="10">
        <v>36117</v>
      </c>
      <c r="AE8" s="10">
        <v>40040</v>
      </c>
      <c r="AF8" s="10">
        <v>43218</v>
      </c>
      <c r="AG8" s="10">
        <v>46061</v>
      </c>
      <c r="AH8" s="10">
        <v>48607</v>
      </c>
      <c r="AI8" s="10">
        <v>47142</v>
      </c>
      <c r="AJ8" s="10">
        <v>49161</v>
      </c>
      <c r="AK8" s="10">
        <v>49247</v>
      </c>
      <c r="AL8" s="10">
        <v>48005</v>
      </c>
      <c r="AM8" s="10">
        <v>49330</v>
      </c>
      <c r="AN8" s="10">
        <v>51904</v>
      </c>
      <c r="AO8" s="10">
        <v>49301</v>
      </c>
      <c r="AP8" s="10">
        <v>49818</v>
      </c>
      <c r="AQ8" s="10">
        <v>51557</v>
      </c>
    </row>
    <row r="9" spans="1:45" s="9" customFormat="1" ht="13" x14ac:dyDescent="0.3"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spans="1:45" s="9" customFormat="1" ht="13" x14ac:dyDescent="0.3"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5" s="9" customFormat="1" ht="13" x14ac:dyDescent="0.3"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spans="1:45" s="9" customFormat="1" ht="13" x14ac:dyDescent="0.3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</row>
    <row r="13" spans="1:45" s="9" customFormat="1" ht="13" x14ac:dyDescent="0.3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</row>
    <row r="14" spans="1:45" s="9" customFormat="1" ht="13" x14ac:dyDescent="0.3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 spans="1:45" s="9" customFormat="1" ht="13" x14ac:dyDescent="0.3"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spans="1:45" s="9" customFormat="1" ht="13" x14ac:dyDescent="0.3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 spans="2:43" s="9" customFormat="1" ht="13" x14ac:dyDescent="0.3"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spans="2:43" s="9" customFormat="1" ht="13" x14ac:dyDescent="0.3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spans="2:43" s="9" customFormat="1" ht="13" x14ac:dyDescent="0.3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spans="2:43" s="9" customFormat="1" ht="13" x14ac:dyDescent="0.3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</row>
    <row r="21" spans="2:43" s="9" customFormat="1" ht="13" x14ac:dyDescent="0.3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 spans="2:43" s="6" customFormat="1" x14ac:dyDescent="0.25">
      <c r="B22" s="6" t="s">
        <v>4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Q22" s="6">
        <v>4.05</v>
      </c>
      <c r="R22" s="6">
        <v>6.23</v>
      </c>
      <c r="S22" s="6">
        <v>11.24</v>
      </c>
      <c r="T22" s="6">
        <v>21.88</v>
      </c>
      <c r="U22" s="6">
        <v>46.1</v>
      </c>
      <c r="V22" s="6">
        <v>13.54</v>
      </c>
      <c r="W22" s="6">
        <v>9.2899999999999991</v>
      </c>
      <c r="X22" s="6">
        <v>13.73</v>
      </c>
      <c r="Y22" s="6">
        <v>14.74</v>
      </c>
      <c r="Z22" s="6">
        <v>13.49</v>
      </c>
      <c r="AA22" s="6">
        <v>12.6</v>
      </c>
      <c r="AB22" s="6">
        <v>20.37</v>
      </c>
      <c r="AC22" s="6">
        <v>15.49</v>
      </c>
      <c r="AD22" s="6">
        <v>15.51</v>
      </c>
      <c r="AE22" s="6">
        <v>16.25</v>
      </c>
      <c r="AF22" s="6">
        <v>11.33</v>
      </c>
      <c r="AG22" s="6">
        <v>11.5</v>
      </c>
      <c r="AH22" s="6">
        <v>19.010000000000002</v>
      </c>
      <c r="AI22" s="6">
        <v>19.329999999999998</v>
      </c>
      <c r="AJ22" s="6">
        <v>22.43</v>
      </c>
      <c r="AK22" s="6">
        <v>24.93</v>
      </c>
      <c r="AL22" s="6">
        <v>26.59</v>
      </c>
      <c r="AM22" s="6">
        <v>36.909999999999997</v>
      </c>
      <c r="AN22" s="6">
        <v>49.67</v>
      </c>
      <c r="AO22" s="6">
        <v>43.61</v>
      </c>
      <c r="AP22" s="6">
        <v>52.9</v>
      </c>
      <c r="AQ22" s="6">
        <v>44.6</v>
      </c>
    </row>
    <row r="23" spans="2:43" x14ac:dyDescent="0.25"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spans="2:43" x14ac:dyDescent="0.25"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7"/>
      <c r="P24" s="7"/>
      <c r="Q24" s="7">
        <f>RATE(2023-1996,0,-Q22,AQ22)</f>
        <v>9.2919417686090272E-2</v>
      </c>
      <c r="T24" s="3"/>
    </row>
    <row r="27" spans="2:43" ht="13" x14ac:dyDescent="0.3">
      <c r="B27" t="s">
        <v>2</v>
      </c>
      <c r="R27" s="4">
        <f>+R8/Q8-1</f>
        <v>0.57327481102170208</v>
      </c>
      <c r="S27" s="4">
        <f t="shared" ref="S27:AQ27" si="6">+S8/R8-1</f>
        <v>0.31571605703657779</v>
      </c>
      <c r="T27" s="4">
        <f t="shared" si="6"/>
        <v>0.43397337731181529</v>
      </c>
      <c r="U27" s="4">
        <f>+U8/T8-1</f>
        <v>0.55491661874640608</v>
      </c>
      <c r="V27" s="4">
        <f t="shared" si="6"/>
        <v>0.17777895181741332</v>
      </c>
      <c r="W27" s="3">
        <f t="shared" si="6"/>
        <v>-0.15152738527788989</v>
      </c>
      <c r="X27" s="3">
        <f t="shared" si="6"/>
        <v>-1.9561194818926708E-3</v>
      </c>
      <c r="Y27" s="4">
        <f t="shared" si="6"/>
        <v>0.16776141540417422</v>
      </c>
      <c r="Z27" s="4">
        <f t="shared" si="6"/>
        <v>0.12501701066001369</v>
      </c>
      <c r="AA27" s="4">
        <f t="shared" si="6"/>
        <v>0.14850207652917224</v>
      </c>
      <c r="AB27" s="4">
        <f t="shared" si="6"/>
        <v>0.22602162617609878</v>
      </c>
      <c r="AC27" s="4">
        <f t="shared" si="6"/>
        <v>0.13223755798636971</v>
      </c>
      <c r="AD27" s="3">
        <f t="shared" si="6"/>
        <v>-8.6570561456752682E-2</v>
      </c>
      <c r="AE27" s="3">
        <f t="shared" si="6"/>
        <v>0.10861920979040351</v>
      </c>
      <c r="AF27" s="3">
        <f t="shared" si="6"/>
        <v>7.9370629370629331E-2</v>
      </c>
      <c r="AG27" s="3">
        <f t="shared" si="6"/>
        <v>6.5782775695312212E-2</v>
      </c>
      <c r="AH27" s="3">
        <f t="shared" si="6"/>
        <v>5.5274527257332728E-2</v>
      </c>
      <c r="AI27" s="5">
        <f t="shared" si="6"/>
        <v>-3.0139691813936276E-2</v>
      </c>
      <c r="AJ27" s="5">
        <f t="shared" si="6"/>
        <v>4.2828051419116608E-2</v>
      </c>
      <c r="AK27" s="5">
        <f t="shared" si="6"/>
        <v>1.749354162852601E-3</v>
      </c>
      <c r="AL27" s="5">
        <f t="shared" si="6"/>
        <v>-2.5219810343777294E-2</v>
      </c>
      <c r="AM27" s="5">
        <f t="shared" si="6"/>
        <v>2.7601291532131977E-2</v>
      </c>
      <c r="AN27" s="5">
        <f t="shared" si="6"/>
        <v>5.2179201297384958E-2</v>
      </c>
      <c r="AO27" s="5">
        <f t="shared" si="6"/>
        <v>-5.0150277435265123E-2</v>
      </c>
      <c r="AP27" s="5">
        <f t="shared" si="6"/>
        <v>1.0486602705827464E-2</v>
      </c>
      <c r="AQ27" s="5">
        <f t="shared" si="6"/>
        <v>3.490706170460478E-2</v>
      </c>
    </row>
    <row r="28" spans="2:43" ht="13" x14ac:dyDescent="0.3">
      <c r="B28" t="s">
        <v>3</v>
      </c>
      <c r="R28" s="3">
        <f t="shared" ref="R28:AQ28" si="7">+R22/Q22-1</f>
        <v>0.53827160493827186</v>
      </c>
      <c r="S28" s="3">
        <f t="shared" si="7"/>
        <v>0.80417335473515239</v>
      </c>
      <c r="T28" s="3">
        <f t="shared" si="7"/>
        <v>0.94661921708185037</v>
      </c>
      <c r="U28" s="3">
        <f t="shared" si="7"/>
        <v>1.1069469835466181</v>
      </c>
      <c r="V28" s="4">
        <f t="shared" si="7"/>
        <v>-0.70629067245119304</v>
      </c>
      <c r="W28" s="3">
        <f t="shared" si="7"/>
        <v>-0.31388478581979318</v>
      </c>
      <c r="X28" s="3">
        <f t="shared" si="7"/>
        <v>0.47793326157158256</v>
      </c>
      <c r="Y28" s="4">
        <f t="shared" si="7"/>
        <v>7.3561544064093098E-2</v>
      </c>
      <c r="Z28" s="4">
        <f t="shared" si="7"/>
        <v>-8.4803256445047492E-2</v>
      </c>
      <c r="AA28" s="4">
        <f t="shared" si="7"/>
        <v>-6.5974796145292891E-2</v>
      </c>
      <c r="AB28" s="4">
        <f t="shared" si="7"/>
        <v>0.6166666666666667</v>
      </c>
      <c r="AC28" s="4">
        <f t="shared" si="7"/>
        <v>-0.23956799214531177</v>
      </c>
      <c r="AD28" s="3">
        <f t="shared" si="7"/>
        <v>1.2911555842478606E-3</v>
      </c>
      <c r="AE28" s="3">
        <f t="shared" si="7"/>
        <v>4.7711154094132846E-2</v>
      </c>
      <c r="AF28" s="3">
        <f t="shared" si="7"/>
        <v>-0.30276923076923079</v>
      </c>
      <c r="AG28" s="3">
        <f t="shared" si="7"/>
        <v>1.5004413062665423E-2</v>
      </c>
      <c r="AH28" s="3">
        <f t="shared" si="7"/>
        <v>0.65304347826086961</v>
      </c>
      <c r="AI28" s="5">
        <f t="shared" si="7"/>
        <v>1.6833245660178742E-2</v>
      </c>
      <c r="AJ28" s="5">
        <f t="shared" si="7"/>
        <v>0.16037247801345078</v>
      </c>
      <c r="AK28" s="5">
        <f t="shared" si="7"/>
        <v>0.1114578689255461</v>
      </c>
      <c r="AL28" s="5">
        <f t="shared" si="7"/>
        <v>6.6586442037705584E-2</v>
      </c>
      <c r="AM28" s="5">
        <f t="shared" si="7"/>
        <v>0.38811583301993213</v>
      </c>
      <c r="AN28" s="5">
        <f t="shared" si="7"/>
        <v>0.34570577079382292</v>
      </c>
      <c r="AO28" s="5">
        <f t="shared" si="7"/>
        <v>-0.12200523454801693</v>
      </c>
      <c r="AP28" s="5">
        <f t="shared" si="7"/>
        <v>0.21302453565695934</v>
      </c>
      <c r="AQ28" s="5">
        <f t="shared" si="7"/>
        <v>-0.15689981096408312</v>
      </c>
    </row>
    <row r="30" spans="2:43" x14ac:dyDescent="0.25">
      <c r="R30" s="6">
        <f>CORREL(Q8:AQ8,Q22:AQ22)</f>
        <v>0.55101552180960389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2023-01-28T04:09:11Z</dcterms:created>
  <dcterms:modified xsi:type="dcterms:W3CDTF">2026-08-18T22:53:57Z</dcterms:modified>
</cp:coreProperties>
</file>