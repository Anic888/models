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0A778CD-CF0E-4CAB-B618-53CDE169DA2E}" xr6:coauthVersionLast="47" xr6:coauthVersionMax="47" xr10:uidLastSave="{00000000-0000-0000-0000-000000000000}"/>
  <bookViews>
    <workbookView xWindow="13160" yWindow="4120" windowWidth="19050" windowHeight="16100" xr2:uid="{F4B82BA6-1387-4F14-BE05-4DFEB516744E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4" i="1"/>
  <c r="J7" i="1" s="1"/>
</calcChain>
</file>

<file path=xl/sharedStrings.xml><?xml version="1.0" encoding="utf-8"?>
<sst xmlns="http://schemas.openxmlformats.org/spreadsheetml/2006/main" count="15" uniqueCount="13">
  <si>
    <t>Price</t>
  </si>
  <si>
    <t>Shares</t>
  </si>
  <si>
    <t>MC</t>
  </si>
  <si>
    <t>Cash</t>
  </si>
  <si>
    <t>Debt</t>
  </si>
  <si>
    <t>EV</t>
  </si>
  <si>
    <t>Q126</t>
  </si>
  <si>
    <t>Name</t>
  </si>
  <si>
    <t>prula-cel</t>
  </si>
  <si>
    <t>CD20 gamma-delta1 CART</t>
  </si>
  <si>
    <t>LN, MS, SS, myositis, vasculitis</t>
  </si>
  <si>
    <t>MOA</t>
  </si>
  <si>
    <t>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</si>
</sst>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E46C-48FE-4143-8EB9-196DD2F84B27}">
  <dimension ref="B2:K7"/>
  <sheetViews>
    <sheetView tabSelected="1" zoomScale="160" zoomScaleNormal="160" workbookViewId="0">
      <selection activeCell="C3" sqref="C3"/>
    </sheetView>
  </sheetViews>
  <sheetFormatPr defaultRowHeight="12.5" x14ac:dyDescent="0.25"/>
  <cols>
    <col min="1" max="16384" width="8.7265625" style="1"/>
  </cols>
  <sheetData>
    <row r="2" spans="2:11" x14ac:dyDescent="0.25">
      <c r="B2" s="11" t="s">
        <v>7</v>
      </c>
      <c r="C2" s="12" t="s">
        <v>11</v>
      </c>
      <c r="D2" s="12" t="s">
        <v>12</v>
      </c>
      <c r="E2" s="12"/>
      <c r="F2" s="12"/>
      <c r="G2" s="13"/>
      <c r="I2" s="1" t="s">
        <v>0</v>
      </c>
      <c r="J2" s="4">
        <v>8.1999999999999993</v>
      </c>
    </row>
    <row r="3" spans="2:11" x14ac:dyDescent="0.25">
      <c r="B3" s="5" t="s">
        <v>8</v>
      </c>
      <c r="C3" s="6" t="s">
        <v>9</v>
      </c>
      <c r="D3" s="6" t="s">
        <v>10</v>
      </c>
      <c r="E3" s="6"/>
      <c r="F3" s="6"/>
      <c r="G3" s="7"/>
      <c r="I3" s="1" t="s">
        <v>1</v>
      </c>
      <c r="J3" s="2">
        <v>9.348236</v>
      </c>
      <c r="K3" s="3" t="s">
        <v>6</v>
      </c>
    </row>
    <row r="4" spans="2:11" x14ac:dyDescent="0.25">
      <c r="B4" s="5"/>
      <c r="C4" s="6"/>
      <c r="D4" s="6"/>
      <c r="E4" s="6"/>
      <c r="F4" s="6"/>
      <c r="G4" s="7"/>
      <c r="I4" s="1" t="s">
        <v>2</v>
      </c>
      <c r="J4" s="2">
        <f>+J2*J3</f>
        <v>76.655535199999989</v>
      </c>
      <c r="K4" s="3"/>
    </row>
    <row r="5" spans="2:11" x14ac:dyDescent="0.25">
      <c r="B5" s="5"/>
      <c r="C5" s="6"/>
      <c r="D5" s="6"/>
      <c r="E5" s="6"/>
      <c r="F5" s="6"/>
      <c r="G5" s="7"/>
      <c r="I5" s="1" t="s">
        <v>3</v>
      </c>
      <c r="J5" s="2">
        <f>101.347+36.245</f>
        <v>137.59199999999998</v>
      </c>
      <c r="K5" s="3" t="s">
        <v>6</v>
      </c>
    </row>
    <row r="6" spans="2:11" x14ac:dyDescent="0.25">
      <c r="B6" s="5"/>
      <c r="C6" s="6"/>
      <c r="D6" s="6"/>
      <c r="E6" s="6"/>
      <c r="F6" s="6"/>
      <c r="G6" s="7"/>
      <c r="I6" s="1" t="s">
        <v>4</v>
      </c>
      <c r="J6" s="2">
        <v>0</v>
      </c>
      <c r="K6" s="3" t="s">
        <v>6</v>
      </c>
    </row>
    <row r="7" spans="2:11" x14ac:dyDescent="0.25">
      <c r="B7" s="8"/>
      <c r="C7" s="9"/>
      <c r="D7" s="9"/>
      <c r="E7" s="9"/>
      <c r="F7" s="9"/>
      <c r="G7" s="10"/>
      <c r="I7" s="1" t="s">
        <v>5</v>
      </c>
      <c r="J7" s="2">
        <f>+J4-J5+J6</f>
        <v>-60.936464799999996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2026-07-13T13:56:11Z</dcterms:created>
  <dcterms:modified xsi:type="dcterms:W3CDTF">2026-07-29T13:24:59Z</dcterms:modified>
</cp:coreProperties>
</file>