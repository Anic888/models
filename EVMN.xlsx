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D5154765-6261-4D53-83D3-B3A06BCB8040}" xr6:coauthVersionLast="47" xr6:coauthVersionMax="47" xr10:uidLastSave="{00000000-0000-0000-0000-000000000000}"/>
  <bookViews>
    <workbookView xWindow="15260" yWindow="2800" windowWidth="19150" windowHeight="9020" activeTab="1" xr2:uid="{91649338-5E91-477A-9B14-1334C9A9BDFA}"/>
  </bookViews>
  <sheets>
    <sheet name="Main" sheetId="1" r:id="rId1"/>
    <sheet name="EVO756" sheetId="3" r:id="rId2"/>
    <sheet name="EVO30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5" i="1" l="1"/>
  <c r="L4" i="1"/>
  <c r="L7" i="1" s="1"/>
</calcChain>
</file>

<file path=xl/sharedStrings.xml><?xml version="1.0" encoding="utf-8"?>
<sst xmlns="http://schemas.openxmlformats.org/spreadsheetml/2006/main" count="35" uniqueCount="24">
  <si>
    <t>Price</t>
  </si>
  <si>
    <t>Shares</t>
  </si>
  <si>
    <t>MC</t>
  </si>
  <si>
    <t>Cash</t>
  </si>
  <si>
    <t>Debt</t>
  </si>
  <si>
    <t>EV</t>
  </si>
  <si>
    <t>Q126</t>
  </si>
  <si>
    <t>Name</t>
  </si>
  <si>
    <t>EVO301</t>
  </si>
  <si>
    <t>MOA</t>
  </si>
  <si>
    <t>IL-18bp</t>
  </si>
  <si>
    <t>Indication</t>
  </si>
  <si>
    <t>atopic dermatitis</t>
  </si>
  <si>
    <t>Main</t>
  </si>
  <si>
    <t>Brand</t>
  </si>
  <si>
    <t>Generic</t>
  </si>
  <si>
    <t>Clinical Trials</t>
  </si>
  <si>
    <t>Atopic Dermatitis</t>
  </si>
  <si>
    <t>Phase II POC AD</t>
  </si>
  <si>
    <t>Week 4: -41% vs. -18% PBO (-23%)</t>
  </si>
  <si>
    <t>Week 8: -34%</t>
  </si>
  <si>
    <t>Week 12: -33%</t>
  </si>
  <si>
    <t xml:space="preserve">MRGPRX2 </t>
  </si>
  <si>
    <t>EVO756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</si>
</sst>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/>
    <xf numFmtId="0" fontId="3" fillId="0" borderId="0" xfId="1"/>
    <xf numFmtId="0" fontId="1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07E1F-5C01-4FBB-A4DE-D41752B46771}">
  <dimension ref="B2:M7"/>
  <sheetViews>
    <sheetView zoomScale="130" zoomScaleNormal="130" workbookViewId="0">
      <selection activeCell="B5" sqref="B5"/>
    </sheetView>
  </sheetViews>
  <sheetFormatPr defaultRowHeight="12.5" x14ac:dyDescent="0.25"/>
  <cols>
    <col min="1" max="1" width="8.7265625" style="1"/>
    <col min="2" max="2" width="11.08984375" style="1" customWidth="1"/>
    <col min="3" max="3" width="14.90625" style="1" customWidth="1"/>
    <col min="4" max="16384" width="8.7265625" style="1"/>
  </cols>
  <sheetData>
    <row r="2" spans="2:13" x14ac:dyDescent="0.25">
      <c r="B2" s="10" t="s">
        <v>7</v>
      </c>
      <c r="C2" s="11" t="s">
        <v>9</v>
      </c>
      <c r="D2" s="11" t="s">
        <v>11</v>
      </c>
      <c r="E2" s="11"/>
      <c r="F2" s="11"/>
      <c r="G2" s="11"/>
      <c r="H2" s="12"/>
      <c r="K2" s="1" t="s">
        <v>0</v>
      </c>
      <c r="L2" s="2">
        <v>13.29</v>
      </c>
    </row>
    <row r="3" spans="2:13" x14ac:dyDescent="0.25">
      <c r="B3" s="5" t="s">
        <v>8</v>
      </c>
      <c r="C3" s="1" t="s">
        <v>10</v>
      </c>
      <c r="D3" s="1" t="s">
        <v>12</v>
      </c>
      <c r="H3" s="6"/>
      <c r="K3" s="1" t="s">
        <v>1</v>
      </c>
      <c r="L3" s="3">
        <v>36.018371999999999</v>
      </c>
      <c r="M3" s="4" t="s">
        <v>6</v>
      </c>
    </row>
    <row r="4" spans="2:13" x14ac:dyDescent="0.25">
      <c r="B4" s="5" t="s">
        <v>23</v>
      </c>
      <c r="C4" s="15" t="s">
        <v>22</v>
      </c>
      <c r="D4" s="1" t="s">
        <v>12</v>
      </c>
      <c r="H4" s="6"/>
      <c r="K4" s="1" t="s">
        <v>2</v>
      </c>
      <c r="L4" s="3">
        <f>+L2*L3</f>
        <v>478.68416387999997</v>
      </c>
    </row>
    <row r="5" spans="2:13" x14ac:dyDescent="0.25">
      <c r="B5" s="5"/>
      <c r="H5" s="6"/>
      <c r="K5" s="1" t="s">
        <v>3</v>
      </c>
      <c r="L5" s="3">
        <f>48.318+163.146+95.548</f>
        <v>307.012</v>
      </c>
      <c r="M5" s="4" t="s">
        <v>6</v>
      </c>
    </row>
    <row r="6" spans="2:13" x14ac:dyDescent="0.25">
      <c r="B6" s="7"/>
      <c r="C6" s="8"/>
      <c r="D6" s="8"/>
      <c r="E6" s="8"/>
      <c r="F6" s="8"/>
      <c r="G6" s="8"/>
      <c r="H6" s="9"/>
      <c r="K6" s="1" t="s">
        <v>4</v>
      </c>
      <c r="L6" s="3">
        <v>0</v>
      </c>
      <c r="M6" s="4" t="s">
        <v>6</v>
      </c>
    </row>
    <row r="7" spans="2:13" x14ac:dyDescent="0.25">
      <c r="K7" s="1" t="s">
        <v>5</v>
      </c>
      <c r="L7" s="3">
        <f>+L4-L5+L6</f>
        <v>171.67216387999997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74730-526C-47E7-AA72-0F602F2940C3}">
  <dimension ref="A1:C3"/>
  <sheetViews>
    <sheetView tabSelected="1" workbookViewId="0">
      <selection activeCell="B4" sqref="B4"/>
    </sheetView>
  </sheetViews>
  <sheetFormatPr defaultRowHeight="12.5" x14ac:dyDescent="0.25"/>
  <cols>
    <col min="1" max="1" width="4.7265625" style="1" bestFit="1" customWidth="1"/>
    <col min="2" max="16384" width="8.7265625" style="1"/>
  </cols>
  <sheetData>
    <row r="1" spans="1:3" x14ac:dyDescent="0.25">
      <c r="A1" s="1" t="s">
        <v>13</v>
      </c>
    </row>
    <row r="2" spans="1:3" x14ac:dyDescent="0.25">
      <c r="B2" s="1" t="s">
        <v>14</v>
      </c>
      <c r="C2" s="1" t="s">
        <v>23</v>
      </c>
    </row>
    <row r="3" spans="1:3" x14ac:dyDescent="0.25">
      <c r="B3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50C0-ADAC-4CFE-8B91-5939DA0A9968}">
  <dimension ref="A1:C10"/>
  <sheetViews>
    <sheetView zoomScale="190" zoomScaleNormal="190" workbookViewId="0"/>
  </sheetViews>
  <sheetFormatPr defaultRowHeight="14.5" x14ac:dyDescent="0.35"/>
  <cols>
    <col min="1" max="1" width="4.7265625" bestFit="1" customWidth="1"/>
  </cols>
  <sheetData>
    <row r="1" spans="1:3" x14ac:dyDescent="0.35">
      <c r="A1" s="14" t="s">
        <v>13</v>
      </c>
    </row>
    <row r="2" spans="1:3" x14ac:dyDescent="0.35">
      <c r="B2" t="s">
        <v>14</v>
      </c>
      <c r="C2" t="s">
        <v>8</v>
      </c>
    </row>
    <row r="3" spans="1:3" x14ac:dyDescent="0.35">
      <c r="B3" t="s">
        <v>15</v>
      </c>
    </row>
    <row r="4" spans="1:3" x14ac:dyDescent="0.35">
      <c r="B4" t="s">
        <v>11</v>
      </c>
      <c r="C4" t="s">
        <v>17</v>
      </c>
    </row>
    <row r="5" spans="1:3" x14ac:dyDescent="0.35">
      <c r="B5" t="s">
        <v>9</v>
      </c>
      <c r="C5" t="s">
        <v>10</v>
      </c>
    </row>
    <row r="6" spans="1:3" x14ac:dyDescent="0.35">
      <c r="B6" t="s">
        <v>16</v>
      </c>
    </row>
    <row r="7" spans="1:3" x14ac:dyDescent="0.35">
      <c r="C7" s="13" t="s">
        <v>18</v>
      </c>
    </row>
    <row r="8" spans="1:3" x14ac:dyDescent="0.35">
      <c r="C8" t="s">
        <v>19</v>
      </c>
    </row>
    <row r="9" spans="1:3" x14ac:dyDescent="0.35">
      <c r="C9" t="s">
        <v>20</v>
      </c>
    </row>
    <row r="10" spans="1:3" x14ac:dyDescent="0.35">
      <c r="C10" t="s">
        <v>21</v>
      </c>
    </row>
  </sheetData>
  <hyperlinks>
    <hyperlink ref="A1" location="Main!A1" display="Main" xr:uid="{F0E48566-57A5-4471-AB15-F17DF8D1A9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EVO756</vt:lpstr>
      <vt:lpstr>EVO301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2026-06-29T12:33:21Z</dcterms:created>
  <dcterms:modified xsi:type="dcterms:W3CDTF">2026-06-30T23:00:58Z</dcterms:modified>
</cp:coreProperties>
</file>