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F6DF7FBD-A3CE-4060-BFCF-5D956237016A}" xr6:coauthVersionLast="47" xr6:coauthVersionMax="47" xr10:uidLastSave="{00000000-0000-0000-0000-000000000000}"/>
  <bookViews>
    <workbookView xWindow="18040" yWindow="7930" windowWidth="19890" windowHeight="10280" activeTab="1" xr2:uid="{235E940A-461A-4F87-ACD7-7942560429D1}"/>
  </bookViews>
  <sheets>
    <sheet name="Main" sheetId="2" r:id="rId1"/>
    <sheet name="Mod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8" i="1" l="1"/>
  <c r="J18" i="1"/>
  <c r="I18" i="1"/>
  <c r="H18" i="1"/>
  <c r="G18" i="1"/>
  <c r="F18" i="1"/>
  <c r="E18" i="1"/>
  <c r="K17" i="1"/>
  <c r="J17" i="1"/>
  <c r="I17" i="1"/>
  <c r="H17" i="1"/>
  <c r="G17" i="1"/>
  <c r="F17" i="1"/>
  <c r="E17" i="1"/>
  <c r="J16" i="1"/>
  <c r="I16" i="1"/>
  <c r="H16" i="1"/>
  <c r="G16" i="1"/>
  <c r="F16" i="1"/>
  <c r="E16" i="1"/>
  <c r="K16" i="1"/>
  <c r="E25" i="1"/>
  <c r="E6" i="1" s="1"/>
  <c r="E24" i="1"/>
  <c r="F25" i="1"/>
  <c r="F7" i="1" s="1"/>
  <c r="F24" i="1"/>
  <c r="K12" i="1"/>
  <c r="J25" i="1"/>
  <c r="J7" i="1" s="1"/>
  <c r="I25" i="1"/>
  <c r="I7" i="1" s="1"/>
  <c r="H25" i="1"/>
  <c r="H7" i="1" s="1"/>
  <c r="G25" i="1"/>
  <c r="G7" i="1" s="1"/>
  <c r="J24" i="1"/>
  <c r="I24" i="1"/>
  <c r="H24" i="1"/>
  <c r="G24" i="1"/>
  <c r="K24" i="1"/>
  <c r="K25" i="1"/>
  <c r="K7" i="1" s="1"/>
  <c r="J44" i="1"/>
  <c r="I44" i="1"/>
  <c r="H44" i="1"/>
  <c r="G44" i="1"/>
  <c r="K44" i="1"/>
  <c r="L35" i="1"/>
  <c r="L43" i="1" s="1"/>
  <c r="K43" i="1"/>
  <c r="R2" i="1"/>
  <c r="S2" i="1" s="1"/>
  <c r="T2" i="1" s="1"/>
  <c r="U2" i="1" s="1"/>
  <c r="V2" i="1" s="1"/>
  <c r="P41" i="1"/>
  <c r="Q41" i="1" s="1"/>
  <c r="R41" i="1" s="1"/>
  <c r="S41" i="1" s="1"/>
  <c r="T41" i="1" s="1"/>
  <c r="U41" i="1" s="1"/>
  <c r="V41" i="1" s="1"/>
  <c r="K38" i="1"/>
  <c r="K39" i="1" s="1"/>
  <c r="J43" i="1"/>
  <c r="J45" i="1"/>
  <c r="I45" i="1"/>
  <c r="H45" i="1"/>
  <c r="G45" i="1"/>
  <c r="F45" i="1"/>
  <c r="E45" i="1"/>
  <c r="D45" i="1"/>
  <c r="C45" i="1"/>
  <c r="I43" i="1"/>
  <c r="H43" i="1"/>
  <c r="G43" i="1"/>
  <c r="D36" i="1"/>
  <c r="E36" i="1"/>
  <c r="D39" i="1"/>
  <c r="E39" i="1"/>
  <c r="C36" i="1"/>
  <c r="C39" i="1"/>
  <c r="G39" i="1"/>
  <c r="G36" i="1"/>
  <c r="H39" i="1"/>
  <c r="H36" i="1"/>
  <c r="F39" i="1"/>
  <c r="F36" i="1"/>
  <c r="J39" i="1"/>
  <c r="I39" i="1"/>
  <c r="I36" i="1"/>
  <c r="J36" i="1"/>
  <c r="L4" i="2"/>
  <c r="L7" i="2" s="1"/>
  <c r="E5" i="1" l="1"/>
  <c r="E7" i="1"/>
  <c r="F5" i="1"/>
  <c r="E3" i="1"/>
  <c r="F3" i="1"/>
  <c r="F6" i="1"/>
  <c r="E4" i="1"/>
  <c r="F4" i="1"/>
  <c r="K4" i="1"/>
  <c r="G5" i="1"/>
  <c r="K3" i="1"/>
  <c r="G3" i="1"/>
  <c r="G4" i="1"/>
  <c r="G6" i="1"/>
  <c r="H6" i="1"/>
  <c r="I6" i="1"/>
  <c r="I3" i="1"/>
  <c r="I4" i="1"/>
  <c r="I5" i="1"/>
  <c r="J6" i="1"/>
  <c r="H3" i="1"/>
  <c r="J3" i="1"/>
  <c r="H4" i="1"/>
  <c r="J4" i="1"/>
  <c r="H5" i="1"/>
  <c r="J5" i="1"/>
  <c r="K5" i="1"/>
  <c r="K6" i="1"/>
  <c r="L44" i="1"/>
  <c r="L9" i="2"/>
  <c r="L38" i="1"/>
  <c r="M38" i="1" s="1"/>
  <c r="P38" i="1"/>
  <c r="Q38" i="1" s="1"/>
  <c r="R38" i="1" s="1"/>
  <c r="S38" i="1" s="1"/>
  <c r="K45" i="1"/>
  <c r="K36" i="1"/>
  <c r="M35" i="1"/>
  <c r="L37" i="1"/>
  <c r="L36" i="1" s="1"/>
  <c r="M43" i="1" l="1"/>
  <c r="M44" i="1"/>
  <c r="L45" i="1"/>
  <c r="L39" i="1"/>
  <c r="M37" i="1"/>
  <c r="P35" i="1"/>
  <c r="T38" i="1"/>
  <c r="Q35" i="1" l="1"/>
  <c r="M39" i="1"/>
  <c r="M45" i="1"/>
  <c r="M36" i="1"/>
  <c r="U38" i="1"/>
  <c r="R36" i="1" l="1"/>
  <c r="Q36" i="1"/>
  <c r="P36" i="1"/>
  <c r="Q37" i="1"/>
  <c r="R35" i="1"/>
  <c r="V38" i="1"/>
  <c r="R37" i="1" l="1"/>
  <c r="S35" i="1"/>
  <c r="T36" i="1"/>
  <c r="Q45" i="1"/>
  <c r="Q39" i="1"/>
  <c r="U36" i="1"/>
  <c r="P37" i="1"/>
  <c r="S36" i="1"/>
  <c r="V36" i="1" s="1"/>
  <c r="P39" i="1" l="1"/>
  <c r="P45" i="1"/>
  <c r="S37" i="1"/>
  <c r="T35" i="1"/>
  <c r="R45" i="1"/>
  <c r="R39" i="1"/>
  <c r="T37" i="1" l="1"/>
  <c r="U35" i="1"/>
  <c r="S45" i="1"/>
  <c r="S39" i="1"/>
  <c r="U37" i="1" l="1"/>
  <c r="V35" i="1"/>
  <c r="V37" i="1" s="1"/>
  <c r="T45" i="1"/>
  <c r="T39" i="1"/>
  <c r="V45" i="1" l="1"/>
  <c r="V39" i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AJ39" i="1" s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V39" i="1" s="1"/>
  <c r="AW39" i="1" s="1"/>
  <c r="AX39" i="1" s="1"/>
  <c r="AY39" i="1" s="1"/>
  <c r="AZ39" i="1" s="1"/>
  <c r="BA39" i="1" s="1"/>
  <c r="BB39" i="1" s="1"/>
  <c r="BC39" i="1" s="1"/>
  <c r="BD39" i="1" s="1"/>
  <c r="BE39" i="1" s="1"/>
  <c r="BF39" i="1" s="1"/>
  <c r="BG39" i="1" s="1"/>
  <c r="BH39" i="1" s="1"/>
  <c r="BI39" i="1" s="1"/>
  <c r="BJ39" i="1" s="1"/>
  <c r="BK39" i="1" s="1"/>
  <c r="BL39" i="1" s="1"/>
  <c r="BM39" i="1" s="1"/>
  <c r="BN39" i="1" s="1"/>
  <c r="BO39" i="1" s="1"/>
  <c r="BP39" i="1" s="1"/>
  <c r="BQ39" i="1" s="1"/>
  <c r="BR39" i="1" s="1"/>
  <c r="BS39" i="1" s="1"/>
  <c r="BT39" i="1" s="1"/>
  <c r="BU39" i="1" s="1"/>
  <c r="BV39" i="1" s="1"/>
  <c r="BW39" i="1" s="1"/>
  <c r="U45" i="1"/>
  <c r="U39" i="1"/>
  <c r="Y46" i="1" l="1"/>
  <c r="Y47" i="1" s="1"/>
</calcChain>
</file>

<file path=xl/sharedStrings.xml><?xml version="1.0" encoding="utf-8"?>
<sst xmlns="http://schemas.openxmlformats.org/spreadsheetml/2006/main" count="57" uniqueCount="51">
  <si>
    <t>Main</t>
  </si>
  <si>
    <t>NAND</t>
  </si>
  <si>
    <t>DRAM</t>
  </si>
  <si>
    <t>Q425</t>
  </si>
  <si>
    <t>Q424</t>
  </si>
  <si>
    <t>Q325</t>
  </si>
  <si>
    <t>Graphics (HBM)</t>
  </si>
  <si>
    <t>Server</t>
  </si>
  <si>
    <t>PC/Consumer/mobile</t>
  </si>
  <si>
    <t>Price KRW</t>
  </si>
  <si>
    <t>Shares</t>
  </si>
  <si>
    <t>MC KRW</t>
  </si>
  <si>
    <t>Cash KRW</t>
  </si>
  <si>
    <t>Debt KRW</t>
  </si>
  <si>
    <t>EV KRW</t>
  </si>
  <si>
    <t>Q126</t>
  </si>
  <si>
    <t>MC USD</t>
  </si>
  <si>
    <t>Revenue</t>
  </si>
  <si>
    <t>COGS</t>
  </si>
  <si>
    <t>Gross Profit</t>
  </si>
  <si>
    <t>SG&amp;A</t>
  </si>
  <si>
    <t>Operating Income</t>
  </si>
  <si>
    <t>S/O</t>
  </si>
  <si>
    <t>Q125</t>
  </si>
  <si>
    <t>Q324</t>
  </si>
  <si>
    <t>Q225</t>
  </si>
  <si>
    <t>Q224</t>
  </si>
  <si>
    <t>Revenue y/y</t>
  </si>
  <si>
    <t>Gross Margin</t>
  </si>
  <si>
    <t>Q226</t>
  </si>
  <si>
    <t>Q326</t>
  </si>
  <si>
    <t>Q426</t>
  </si>
  <si>
    <t>Discount</t>
  </si>
  <si>
    <t>Maturity</t>
  </si>
  <si>
    <t>NPV</t>
  </si>
  <si>
    <t>Share</t>
  </si>
  <si>
    <t>NAND Revenue</t>
  </si>
  <si>
    <t>DRAM Revenue</t>
  </si>
  <si>
    <t>PC %</t>
  </si>
  <si>
    <t>Server %</t>
  </si>
  <si>
    <t>Graphics/HBM %</t>
  </si>
  <si>
    <t>Consumer %</t>
  </si>
  <si>
    <t>Mobile %</t>
  </si>
  <si>
    <t>Mobile DRAM</t>
  </si>
  <si>
    <t>Consumer DRAM</t>
  </si>
  <si>
    <t>Graphics/HBM DRAM</t>
  </si>
  <si>
    <t>Server DRAM</t>
  </si>
  <si>
    <t>PC DRAM</t>
  </si>
  <si>
    <t>NAND SSD</t>
  </si>
  <si>
    <t>NAND Mobile</t>
  </si>
  <si>
    <t>NAND 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</si>
</sst>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3" fillId="0" borderId="0" xfId="1" applyFont="1"/>
    <xf numFmtId="3" fontId="1" fillId="0" borderId="0" xfId="0" applyNumberFormat="1" applyFont="1"/>
    <xf numFmtId="3" fontId="4" fillId="0" borderId="0" xfId="0" applyNumberFormat="1" applyFont="1" applyAlignment="1">
      <alignment horizontal="right"/>
    </xf>
    <xf numFmtId="3" fontId="4" fillId="0" borderId="0" xfId="0" applyNumberFormat="1" applyFont="1"/>
    <xf numFmtId="9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29042</xdr:colOff>
      <xdr:row>0</xdr:row>
      <xdr:rowOff>0</xdr:rowOff>
    </xdr:from>
    <xdr:to>
      <xdr:col>11</xdr:col>
      <xdr:colOff>29042</xdr:colOff>
      <xdr:row>50</xdr:row>
      <xdr:rowOff>137603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E6D2462-A3A9-810F-922F-509A561738D1}"/>
            </a:ext>
          </a:extLst>
        </xdr:cNvPr>
        <xdr:cNvCxnSpPr/>
      </xdr:nvCxnSpPr>
      <xdr:spPr>
        <a:xfrm>
          <a:off x="7049076" y="0"/>
          <a:ext cx="0" cy="424539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52091</xdr:colOff>
      <xdr:row>0</xdr:row>
      <xdr:rowOff>0</xdr:rowOff>
    </xdr:from>
    <xdr:to>
      <xdr:col>16</xdr:col>
      <xdr:colOff>52091</xdr:colOff>
      <xdr:row>50</xdr:row>
      <xdr:rowOff>137603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E84A55-7DFE-45ED-9F9F-5B3AEF71729B}"/>
            </a:ext>
          </a:extLst>
        </xdr:cNvPr>
        <xdr:cNvCxnSpPr/>
      </xdr:nvCxnSpPr>
      <xdr:spPr>
        <a:xfrm>
          <a:off x="10115746" y="0"/>
          <a:ext cx="0" cy="408774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2FBC-9D2A-4490-88F4-8E1A6E60F8A1}">
  <dimension ref="K2:M9"/>
  <sheetViews>
    <sheetView zoomScale="130" zoomScaleNormal="130" workbookViewId="0">
      <selection activeCell="L8" sqref="L8"/>
    </sheetView>
  </sheetViews>
  <sheetFormatPr defaultRowHeight="12.5" x14ac:dyDescent="0.25"/>
  <cols>
    <col min="1" max="10" width="8.7265625" style="1"/>
    <col min="11" max="11" width="10.26953125" style="1" customWidth="1"/>
    <col min="12" max="12" width="12.1796875" style="1" customWidth="1"/>
    <col min="13" max="16384" width="8.7265625" style="1"/>
  </cols>
  <sheetData>
    <row r="2" spans="11:13" x14ac:dyDescent="0.25">
      <c r="K2" s="1" t="s">
        <v>9</v>
      </c>
      <c r="L2" s="6">
        <v>1550000</v>
      </c>
    </row>
    <row r="3" spans="11:13" x14ac:dyDescent="0.25">
      <c r="K3" s="1" t="s">
        <v>10</v>
      </c>
      <c r="L3" s="6">
        <v>712</v>
      </c>
      <c r="M3" s="2" t="s">
        <v>15</v>
      </c>
    </row>
    <row r="4" spans="11:13" x14ac:dyDescent="0.25">
      <c r="K4" s="1" t="s">
        <v>11</v>
      </c>
      <c r="L4" s="6">
        <f>+L2*L3</f>
        <v>1103600000</v>
      </c>
    </row>
    <row r="5" spans="11:13" x14ac:dyDescent="0.25">
      <c r="K5" s="1" t="s">
        <v>12</v>
      </c>
      <c r="L5" s="6">
        <v>87960000</v>
      </c>
      <c r="M5" s="2" t="s">
        <v>15</v>
      </c>
    </row>
    <row r="6" spans="11:13" x14ac:dyDescent="0.25">
      <c r="K6" s="1" t="s">
        <v>13</v>
      </c>
      <c r="L6" s="6">
        <v>18590000</v>
      </c>
      <c r="M6" s="2" t="s">
        <v>15</v>
      </c>
    </row>
    <row r="7" spans="11:13" x14ac:dyDescent="0.25">
      <c r="K7" s="1" t="s">
        <v>14</v>
      </c>
      <c r="L7" s="6">
        <f>+L4-L5+L6</f>
        <v>1034230000</v>
      </c>
    </row>
    <row r="9" spans="11:13" x14ac:dyDescent="0.25">
      <c r="K9" s="1" t="s">
        <v>16</v>
      </c>
      <c r="L9" s="6">
        <f>+L4/1500</f>
        <v>735733.33333333337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B892-F3FC-49FD-A000-5D879B1DBE15}">
  <dimension ref="A1:BW47"/>
  <sheetViews>
    <sheetView tabSelected="1" zoomScale="115" zoomScaleNormal="115" workbookViewId="0">
      <pane xSplit="2" ySplit="2" topLeftCell="C8" activePane="bottomRight" state="frozen"/>
      <selection pane="topRight" activeCell="C1" sqref="C1"/>
      <selection pane="bottomLeft" activeCell="A3" sqref="A3"/>
      <selection pane="bottomRight" activeCell="K7" sqref="A3:XFD7"/>
    </sheetView>
  </sheetViews>
  <sheetFormatPr defaultRowHeight="12.5" x14ac:dyDescent="0.25"/>
  <cols>
    <col min="1" max="1" width="4.7265625" style="1" bestFit="1" customWidth="1"/>
    <col min="2" max="2" width="19.36328125" style="1" customWidth="1"/>
    <col min="3" max="4" width="7.7265625" style="2" customWidth="1"/>
    <col min="5" max="7" width="8.7265625" style="2"/>
    <col min="8" max="8" width="8.7265625" style="1"/>
    <col min="9" max="9" width="8.7265625" style="2"/>
    <col min="10" max="10" width="8.7265625" style="1"/>
    <col min="11" max="14" width="8.7265625" style="2"/>
    <col min="15" max="24" width="8.7265625" style="1"/>
    <col min="25" max="25" width="8.90625" style="1" bestFit="1" customWidth="1"/>
    <col min="26" max="16384" width="8.7265625" style="1"/>
  </cols>
  <sheetData>
    <row r="1" spans="1:22" x14ac:dyDescent="0.25">
      <c r="A1" s="5" t="s">
        <v>0</v>
      </c>
    </row>
    <row r="2" spans="1:22" x14ac:dyDescent="0.25">
      <c r="C2" s="2" t="s">
        <v>26</v>
      </c>
      <c r="D2" s="2" t="s">
        <v>24</v>
      </c>
      <c r="E2" s="2" t="s">
        <v>4</v>
      </c>
      <c r="F2" s="2" t="s">
        <v>23</v>
      </c>
      <c r="G2" s="2" t="s">
        <v>25</v>
      </c>
      <c r="H2" s="2" t="s">
        <v>5</v>
      </c>
      <c r="I2" s="2" t="s">
        <v>3</v>
      </c>
      <c r="J2" s="2" t="s">
        <v>15</v>
      </c>
      <c r="K2" s="2" t="s">
        <v>29</v>
      </c>
      <c r="L2" s="2" t="s">
        <v>30</v>
      </c>
      <c r="M2" s="2" t="s">
        <v>31</v>
      </c>
      <c r="P2" s="1">
        <v>2026</v>
      </c>
      <c r="Q2" s="1">
        <v>2027</v>
      </c>
      <c r="R2" s="1">
        <f>+Q2+1</f>
        <v>2028</v>
      </c>
      <c r="S2" s="1">
        <f>+R2+1</f>
        <v>2029</v>
      </c>
      <c r="T2" s="1">
        <f>+S2+1</f>
        <v>2030</v>
      </c>
      <c r="U2" s="1">
        <f>+T2+1</f>
        <v>2031</v>
      </c>
      <c r="V2" s="1">
        <f>+U2+1</f>
        <v>2032</v>
      </c>
    </row>
    <row r="3" spans="1:22" s="8" customFormat="1" ht="13" x14ac:dyDescent="0.3">
      <c r="B3" s="8" t="s">
        <v>43</v>
      </c>
      <c r="C3" s="7"/>
      <c r="D3" s="7"/>
      <c r="E3" s="7">
        <f t="shared" ref="E3:F3" si="0">E$25*E9</f>
        <v>1462.758</v>
      </c>
      <c r="F3" s="7">
        <f t="shared" si="0"/>
        <v>1270.008</v>
      </c>
      <c r="G3" s="7">
        <f>G$25*G9</f>
        <v>2054.2367999999997</v>
      </c>
      <c r="H3" s="7">
        <f>H$25*H9</f>
        <v>2479.1286000000005</v>
      </c>
      <c r="I3" s="7">
        <f>I$25*I9</f>
        <v>3742.2779999999998</v>
      </c>
      <c r="J3" s="7">
        <f>J$25*J9</f>
        <v>6561.4848000000002</v>
      </c>
      <c r="K3" s="7">
        <f>K$25*K9</f>
        <v>10133.129999999999</v>
      </c>
      <c r="L3" s="7"/>
      <c r="M3" s="7"/>
      <c r="N3" s="7"/>
    </row>
    <row r="4" spans="1:22" s="8" customFormat="1" ht="13" x14ac:dyDescent="0.3">
      <c r="B4" s="8" t="s">
        <v>44</v>
      </c>
      <c r="C4" s="7"/>
      <c r="D4" s="7"/>
      <c r="E4" s="7">
        <f t="shared" ref="E4:F4" si="1">E$25*E10</f>
        <v>292.55160000000001</v>
      </c>
      <c r="F4" s="7">
        <f t="shared" si="1"/>
        <v>282.22400000000005</v>
      </c>
      <c r="G4" s="7">
        <f>G$25*G10</f>
        <v>342.37279999999998</v>
      </c>
      <c r="H4" s="7">
        <f>H$25*H10</f>
        <v>381.40440000000001</v>
      </c>
      <c r="I4" s="7">
        <f>I$25*I10</f>
        <v>748.4556</v>
      </c>
      <c r="J4" s="7">
        <f>J$25*J10</f>
        <v>1640.3712</v>
      </c>
      <c r="K4" s="7">
        <f>K$25*K10</f>
        <v>2895.1800000000003</v>
      </c>
      <c r="L4" s="7"/>
      <c r="M4" s="7"/>
      <c r="N4" s="7"/>
    </row>
    <row r="5" spans="1:22" s="8" customFormat="1" ht="13" x14ac:dyDescent="0.3">
      <c r="B5" s="8" t="s">
        <v>45</v>
      </c>
      <c r="C5" s="7"/>
      <c r="D5" s="7"/>
      <c r="E5" s="7">
        <f t="shared" ref="E5:F5" si="2">E$25*E11</f>
        <v>6874.9625999999998</v>
      </c>
      <c r="F5" s="7">
        <f t="shared" si="2"/>
        <v>7055.6</v>
      </c>
      <c r="G5" s="7">
        <f>G$25*G11</f>
        <v>7703.3879999999999</v>
      </c>
      <c r="H5" s="7">
        <f>H$25*H11</f>
        <v>8009.4924000000001</v>
      </c>
      <c r="I5" s="7">
        <f>I$25*I11</f>
        <v>8731.982</v>
      </c>
      <c r="J5" s="7">
        <f>J$25*J11</f>
        <v>9842.2271999999994</v>
      </c>
      <c r="K5" s="7">
        <f>K$25*K11</f>
        <v>10422.647999999999</v>
      </c>
      <c r="L5" s="7"/>
      <c r="M5" s="7"/>
      <c r="N5" s="7"/>
    </row>
    <row r="6" spans="1:22" s="8" customFormat="1" ht="13" x14ac:dyDescent="0.3">
      <c r="B6" s="8" t="s">
        <v>46</v>
      </c>
      <c r="C6" s="7"/>
      <c r="D6" s="7"/>
      <c r="E6" s="7">
        <f t="shared" ref="E6:F6" si="3">E$25*E12</f>
        <v>4388.2739999999994</v>
      </c>
      <c r="F6" s="7">
        <f t="shared" si="3"/>
        <v>3810.0240000000003</v>
      </c>
      <c r="G6" s="7">
        <f>G$25*G12</f>
        <v>5477.9647999999997</v>
      </c>
      <c r="H6" s="7">
        <f>H$25*H12</f>
        <v>6483.8748000000005</v>
      </c>
      <c r="I6" s="7">
        <f>I$25*I12</f>
        <v>8482.4968000000008</v>
      </c>
      <c r="J6" s="7">
        <f>J$25*J12</f>
        <v>18864.268800000002</v>
      </c>
      <c r="K6" s="7">
        <f>K$25*K12</f>
        <v>27793.727999999999</v>
      </c>
      <c r="L6" s="7"/>
      <c r="M6" s="7"/>
      <c r="N6" s="7"/>
    </row>
    <row r="7" spans="1:22" s="8" customFormat="1" ht="13" x14ac:dyDescent="0.3">
      <c r="B7" s="8" t="s">
        <v>47</v>
      </c>
      <c r="C7" s="7"/>
      <c r="D7" s="7"/>
      <c r="E7" s="7">
        <f t="shared" ref="E7:F7" si="4">E$25*E13</f>
        <v>1609.0337999999999</v>
      </c>
      <c r="F7" s="7">
        <f t="shared" si="4"/>
        <v>1693.3440000000001</v>
      </c>
      <c r="G7" s="7">
        <f>G$25*G13</f>
        <v>1540.6776</v>
      </c>
      <c r="H7" s="7">
        <f>H$25*H13</f>
        <v>2097.7242000000001</v>
      </c>
      <c r="I7" s="7">
        <f>I$25*I13</f>
        <v>3243.3076000000001</v>
      </c>
      <c r="J7" s="7">
        <f>J$25*J13</f>
        <v>4100.9279999999999</v>
      </c>
      <c r="K7" s="7">
        <f>K$25*K13</f>
        <v>6369.3959999999997</v>
      </c>
      <c r="L7" s="7"/>
      <c r="M7" s="7"/>
      <c r="N7" s="7"/>
    </row>
    <row r="8" spans="1:22" x14ac:dyDescent="0.25">
      <c r="H8" s="2"/>
      <c r="J8" s="2"/>
    </row>
    <row r="9" spans="1:22" x14ac:dyDescent="0.25">
      <c r="B9" s="1" t="s">
        <v>42</v>
      </c>
      <c r="E9" s="3">
        <v>0.1</v>
      </c>
      <c r="F9" s="3">
        <v>0.09</v>
      </c>
      <c r="G9" s="3">
        <v>0.12</v>
      </c>
      <c r="H9" s="3">
        <v>0.13</v>
      </c>
      <c r="I9" s="3">
        <v>0.15</v>
      </c>
      <c r="J9" s="3">
        <v>0.16</v>
      </c>
      <c r="K9" s="3">
        <v>0.17499999999999999</v>
      </c>
    </row>
    <row r="10" spans="1:22" x14ac:dyDescent="0.25">
      <c r="B10" s="1" t="s">
        <v>41</v>
      </c>
      <c r="E10" s="3">
        <v>0.02</v>
      </c>
      <c r="F10" s="3">
        <v>0.02</v>
      </c>
      <c r="G10" s="3">
        <v>0.02</v>
      </c>
      <c r="H10" s="3">
        <v>0.02</v>
      </c>
      <c r="I10" s="3">
        <v>0.03</v>
      </c>
      <c r="J10" s="3">
        <v>0.04</v>
      </c>
      <c r="K10" s="3">
        <v>0.05</v>
      </c>
    </row>
    <row r="11" spans="1:22" x14ac:dyDescent="0.25">
      <c r="B11" s="1" t="s">
        <v>40</v>
      </c>
      <c r="E11" s="3">
        <v>0.47</v>
      </c>
      <c r="F11" s="3">
        <v>0.5</v>
      </c>
      <c r="G11" s="3">
        <v>0.45</v>
      </c>
      <c r="H11" s="3">
        <v>0.42</v>
      </c>
      <c r="I11" s="3">
        <v>0.35</v>
      </c>
      <c r="J11" s="3">
        <v>0.24</v>
      </c>
      <c r="K11" s="3">
        <v>0.18</v>
      </c>
    </row>
    <row r="12" spans="1:22" x14ac:dyDescent="0.25">
      <c r="B12" s="1" t="s">
        <v>39</v>
      </c>
      <c r="E12" s="3">
        <v>0.3</v>
      </c>
      <c r="F12" s="3">
        <v>0.27</v>
      </c>
      <c r="G12" s="3">
        <v>0.32</v>
      </c>
      <c r="H12" s="3">
        <v>0.34</v>
      </c>
      <c r="I12" s="3">
        <v>0.34</v>
      </c>
      <c r="J12" s="3">
        <v>0.46</v>
      </c>
      <c r="K12" s="3">
        <f>0.59-K13</f>
        <v>0.48</v>
      </c>
    </row>
    <row r="13" spans="1:22" x14ac:dyDescent="0.25">
      <c r="B13" s="1" t="s">
        <v>38</v>
      </c>
      <c r="E13" s="3">
        <v>0.11</v>
      </c>
      <c r="F13" s="3">
        <v>0.12</v>
      </c>
      <c r="G13" s="3">
        <v>0.09</v>
      </c>
      <c r="H13" s="3">
        <v>0.11</v>
      </c>
      <c r="I13" s="3">
        <v>0.13</v>
      </c>
      <c r="J13" s="3">
        <v>0.1</v>
      </c>
      <c r="K13" s="3">
        <v>0.11</v>
      </c>
    </row>
    <row r="14" spans="1:22" x14ac:dyDescent="0.25">
      <c r="H14" s="2"/>
      <c r="J14" s="2"/>
    </row>
    <row r="15" spans="1:22" x14ac:dyDescent="0.25">
      <c r="H15" s="2"/>
      <c r="J15" s="2"/>
    </row>
    <row r="16" spans="1:22" s="10" customFormat="1" ht="13" x14ac:dyDescent="0.3">
      <c r="B16" s="10" t="s">
        <v>50</v>
      </c>
      <c r="C16" s="11"/>
      <c r="D16" s="11"/>
      <c r="E16" s="7">
        <f t="shared" ref="E16:K16" si="5">+E$24*E20</f>
        <v>142.32239999999999</v>
      </c>
      <c r="F16" s="7">
        <f t="shared" si="5"/>
        <v>635.00400000000002</v>
      </c>
      <c r="G16" s="7">
        <f t="shared" si="5"/>
        <v>980.43119999999999</v>
      </c>
      <c r="H16" s="7">
        <f t="shared" si="5"/>
        <v>733.47</v>
      </c>
      <c r="I16" s="7">
        <f t="shared" si="5"/>
        <v>1057.0294000000001</v>
      </c>
      <c r="J16" s="7">
        <f t="shared" si="5"/>
        <v>1435.3247999999999</v>
      </c>
      <c r="K16" s="7">
        <f>+K$24*K20</f>
        <v>1070.8200000000002</v>
      </c>
      <c r="L16" s="11"/>
      <c r="M16" s="11"/>
      <c r="N16" s="11"/>
    </row>
    <row r="17" spans="2:14" s="10" customFormat="1" ht="13" x14ac:dyDescent="0.3">
      <c r="B17" s="10" t="s">
        <v>49</v>
      </c>
      <c r="C17" s="11"/>
      <c r="D17" s="11"/>
      <c r="E17" s="7">
        <f t="shared" ref="E17:K17" si="6">+E$24*E21</f>
        <v>948.81600000000003</v>
      </c>
      <c r="F17" s="7">
        <f t="shared" si="6"/>
        <v>635.00400000000002</v>
      </c>
      <c r="G17" s="7">
        <f t="shared" si="6"/>
        <v>887.05680000000007</v>
      </c>
      <c r="H17" s="7">
        <f t="shared" si="6"/>
        <v>1075.7560000000001</v>
      </c>
      <c r="I17" s="7">
        <f t="shared" si="6"/>
        <v>1736.5483000000002</v>
      </c>
      <c r="J17" s="7">
        <f t="shared" si="6"/>
        <v>2429.0111999999999</v>
      </c>
      <c r="K17" s="7">
        <f t="shared" si="6"/>
        <v>4283.2800000000007</v>
      </c>
      <c r="L17" s="11"/>
      <c r="M17" s="11"/>
      <c r="N17" s="11"/>
    </row>
    <row r="18" spans="2:14" s="10" customFormat="1" ht="13" x14ac:dyDescent="0.3">
      <c r="B18" s="10" t="s">
        <v>48</v>
      </c>
      <c r="C18" s="11"/>
      <c r="D18" s="11"/>
      <c r="E18" s="7">
        <f t="shared" ref="E18:K18" si="7">+E$24*E22</f>
        <v>3652.9416000000001</v>
      </c>
      <c r="F18" s="7">
        <f t="shared" si="7"/>
        <v>1905.0119999999999</v>
      </c>
      <c r="G18" s="7">
        <f t="shared" si="7"/>
        <v>2801.232</v>
      </c>
      <c r="H18" s="7">
        <f t="shared" si="7"/>
        <v>3031.6759999999999</v>
      </c>
      <c r="I18" s="7">
        <f t="shared" si="7"/>
        <v>4756.6323000000002</v>
      </c>
      <c r="J18" s="7">
        <f t="shared" si="7"/>
        <v>7176.6239999999998</v>
      </c>
      <c r="K18" s="7">
        <f t="shared" si="7"/>
        <v>16062.300000000001</v>
      </c>
      <c r="L18" s="11"/>
      <c r="M18" s="11"/>
      <c r="N18" s="11"/>
    </row>
    <row r="19" spans="2:14" x14ac:dyDescent="0.25">
      <c r="H19" s="2"/>
      <c r="J19" s="2"/>
    </row>
    <row r="20" spans="2:14" x14ac:dyDescent="0.25">
      <c r="B20" s="1" t="s">
        <v>50</v>
      </c>
      <c r="E20" s="3">
        <v>0.03</v>
      </c>
      <c r="F20" s="3">
        <v>0.2</v>
      </c>
      <c r="G20" s="3">
        <v>0.21</v>
      </c>
      <c r="H20" s="3">
        <v>0.15</v>
      </c>
      <c r="I20" s="3">
        <v>0.14000000000000001</v>
      </c>
      <c r="J20" s="3">
        <v>0.13</v>
      </c>
      <c r="K20" s="3">
        <v>0.05</v>
      </c>
    </row>
    <row r="21" spans="2:14" x14ac:dyDescent="0.25">
      <c r="B21" s="1" t="s">
        <v>49</v>
      </c>
      <c r="E21" s="3">
        <v>0.2</v>
      </c>
      <c r="F21" s="3">
        <v>0.2</v>
      </c>
      <c r="G21" s="3">
        <v>0.19</v>
      </c>
      <c r="H21" s="3">
        <v>0.22</v>
      </c>
      <c r="I21" s="3">
        <v>0.23</v>
      </c>
      <c r="J21" s="3">
        <v>0.22</v>
      </c>
      <c r="K21" s="3">
        <v>0.2</v>
      </c>
    </row>
    <row r="22" spans="2:14" x14ac:dyDescent="0.25">
      <c r="B22" s="1" t="s">
        <v>48</v>
      </c>
      <c r="E22" s="3">
        <v>0.77</v>
      </c>
      <c r="F22" s="3">
        <v>0.6</v>
      </c>
      <c r="G22" s="3">
        <v>0.6</v>
      </c>
      <c r="H22" s="3">
        <v>0.62</v>
      </c>
      <c r="I22" s="3">
        <v>0.63</v>
      </c>
      <c r="J22" s="3">
        <v>0.65</v>
      </c>
      <c r="K22" s="3">
        <v>0.75</v>
      </c>
    </row>
    <row r="23" spans="2:14" x14ac:dyDescent="0.25">
      <c r="H23" s="2"/>
      <c r="J23" s="2"/>
    </row>
    <row r="24" spans="2:14" x14ac:dyDescent="0.25">
      <c r="B24" s="1" t="s">
        <v>36</v>
      </c>
      <c r="E24" s="4">
        <f t="shared" ref="E24:F24" si="8">+E27*E35</f>
        <v>4744.08</v>
      </c>
      <c r="F24" s="4">
        <f t="shared" ref="F24:G24" si="9">+F27*F35</f>
        <v>3175.02</v>
      </c>
      <c r="G24" s="4">
        <f t="shared" ref="G24:K24" si="10">+G27*G35</f>
        <v>4668.72</v>
      </c>
      <c r="H24" s="4">
        <f t="shared" si="10"/>
        <v>4889.8</v>
      </c>
      <c r="I24" s="4">
        <f t="shared" si="10"/>
        <v>7550.21</v>
      </c>
      <c r="J24" s="4">
        <f t="shared" si="10"/>
        <v>11040.96</v>
      </c>
      <c r="K24" s="4">
        <f>+K27*K35</f>
        <v>21416.400000000001</v>
      </c>
    </row>
    <row r="25" spans="2:14" x14ac:dyDescent="0.25">
      <c r="B25" s="1" t="s">
        <v>37</v>
      </c>
      <c r="E25" s="4">
        <f t="shared" ref="E25:F25" si="11">+E28*E35</f>
        <v>14627.58</v>
      </c>
      <c r="F25" s="4">
        <f t="shared" ref="F25:G25" si="12">+F28*F35</f>
        <v>14111.2</v>
      </c>
      <c r="G25" s="4">
        <f t="shared" ref="G25:K25" si="13">+G28*G35</f>
        <v>17118.64</v>
      </c>
      <c r="H25" s="4">
        <f t="shared" si="13"/>
        <v>19070.22</v>
      </c>
      <c r="I25" s="4">
        <f t="shared" si="13"/>
        <v>24948.52</v>
      </c>
      <c r="J25" s="4">
        <f t="shared" si="13"/>
        <v>41009.279999999999</v>
      </c>
      <c r="K25" s="4">
        <f>+K28*K35</f>
        <v>57903.6</v>
      </c>
    </row>
    <row r="26" spans="2:14" x14ac:dyDescent="0.25">
      <c r="H26" s="2"/>
      <c r="J26" s="2"/>
    </row>
    <row r="27" spans="2:14" x14ac:dyDescent="0.25">
      <c r="B27" s="1" t="s">
        <v>1</v>
      </c>
      <c r="E27" s="3">
        <v>0.24</v>
      </c>
      <c r="F27" s="3">
        <v>0.18</v>
      </c>
      <c r="G27" s="3">
        <v>0.21</v>
      </c>
      <c r="H27" s="3">
        <v>0.2</v>
      </c>
      <c r="I27" s="3">
        <v>0.23</v>
      </c>
      <c r="J27" s="9">
        <v>0.21</v>
      </c>
      <c r="K27" s="3">
        <v>0.27</v>
      </c>
    </row>
    <row r="28" spans="2:14" x14ac:dyDescent="0.25">
      <c r="B28" s="1" t="s">
        <v>2</v>
      </c>
      <c r="E28" s="3">
        <v>0.74</v>
      </c>
      <c r="F28" s="3">
        <v>0.8</v>
      </c>
      <c r="G28" s="3">
        <v>0.77</v>
      </c>
      <c r="H28" s="3">
        <v>0.78</v>
      </c>
      <c r="I28" s="3">
        <v>0.76</v>
      </c>
      <c r="J28" s="9">
        <v>0.78</v>
      </c>
      <c r="K28" s="3">
        <v>0.73</v>
      </c>
    </row>
    <row r="30" spans="2:14" x14ac:dyDescent="0.25">
      <c r="B30" s="1" t="s">
        <v>6</v>
      </c>
      <c r="I30" s="3">
        <v>0.33</v>
      </c>
    </row>
    <row r="31" spans="2:14" x14ac:dyDescent="0.25">
      <c r="B31" s="1" t="s">
        <v>7</v>
      </c>
      <c r="I31" s="3">
        <v>0.33</v>
      </c>
    </row>
    <row r="32" spans="2:14" x14ac:dyDescent="0.25">
      <c r="B32" s="1" t="s">
        <v>8</v>
      </c>
      <c r="I32" s="3">
        <v>0.33</v>
      </c>
    </row>
    <row r="35" spans="2:75" s="8" customFormat="1" ht="13" x14ac:dyDescent="0.3">
      <c r="B35" s="8" t="s">
        <v>17</v>
      </c>
      <c r="C35" s="7">
        <v>16423</v>
      </c>
      <c r="D35" s="7">
        <v>17573</v>
      </c>
      <c r="E35" s="7">
        <v>19767</v>
      </c>
      <c r="F35" s="7">
        <v>17639</v>
      </c>
      <c r="G35" s="7">
        <v>22232</v>
      </c>
      <c r="H35" s="7">
        <v>24449</v>
      </c>
      <c r="I35" s="7">
        <v>32827</v>
      </c>
      <c r="J35" s="8">
        <v>52576</v>
      </c>
      <c r="K35" s="7">
        <v>79320</v>
      </c>
      <c r="L35" s="7">
        <f>+K35*1.3</f>
        <v>103116</v>
      </c>
      <c r="M35" s="7">
        <f>+L35*1.1</f>
        <v>113427.6</v>
      </c>
      <c r="N35" s="7"/>
      <c r="P35" s="8">
        <f>SUM(J35:M35)</f>
        <v>348439.6</v>
      </c>
      <c r="Q35" s="8">
        <f>+P35*1.5</f>
        <v>522659.39999999997</v>
      </c>
      <c r="R35" s="8">
        <f>+Q35*1.2</f>
        <v>627191.27999999991</v>
      </c>
      <c r="S35" s="8">
        <f>+R35*0.5</f>
        <v>313595.63999999996</v>
      </c>
      <c r="T35" s="8">
        <f>+S35*0.5</f>
        <v>156797.81999999998</v>
      </c>
      <c r="U35" s="8">
        <f>+T35*0.9</f>
        <v>141118.03799999997</v>
      </c>
      <c r="V35" s="8">
        <f>+U35*1.05</f>
        <v>148173.93989999997</v>
      </c>
    </row>
    <row r="36" spans="2:75" s="6" customFormat="1" x14ac:dyDescent="0.25">
      <c r="B36" s="6" t="s">
        <v>18</v>
      </c>
      <c r="C36" s="4">
        <f t="shared" ref="C36:M36" si="14">+C35-C37</f>
        <v>8927</v>
      </c>
      <c r="D36" s="4">
        <f t="shared" si="14"/>
        <v>8402</v>
      </c>
      <c r="E36" s="4">
        <f t="shared" si="14"/>
        <v>9401</v>
      </c>
      <c r="F36" s="4">
        <f t="shared" si="14"/>
        <v>7537</v>
      </c>
      <c r="G36" s="4">
        <f t="shared" si="14"/>
        <v>10249</v>
      </c>
      <c r="H36" s="4">
        <f t="shared" si="14"/>
        <v>10420</v>
      </c>
      <c r="I36" s="4">
        <f t="shared" si="14"/>
        <v>10251</v>
      </c>
      <c r="J36" s="6">
        <f t="shared" si="14"/>
        <v>10897</v>
      </c>
      <c r="K36" s="4">
        <f t="shared" si="14"/>
        <v>13329</v>
      </c>
      <c r="L36" s="4">
        <f t="shared" si="14"/>
        <v>20623.199999999997</v>
      </c>
      <c r="M36" s="4">
        <f t="shared" si="14"/>
        <v>22685.51999999999</v>
      </c>
      <c r="N36" s="4"/>
      <c r="P36" s="6">
        <f>SUM(J36:M36)</f>
        <v>67534.719999999987</v>
      </c>
      <c r="Q36" s="6">
        <f t="shared" ref="Q36:V36" si="15">SUM(K36:N36)</f>
        <v>56637.719999999987</v>
      </c>
      <c r="R36" s="6">
        <f t="shared" si="15"/>
        <v>43308.719999999987</v>
      </c>
      <c r="S36" s="6">
        <f t="shared" si="15"/>
        <v>90220.239999999976</v>
      </c>
      <c r="T36" s="6">
        <f t="shared" si="15"/>
        <v>124172.43999999997</v>
      </c>
      <c r="U36" s="6">
        <f t="shared" si="15"/>
        <v>167481.15999999997</v>
      </c>
      <c r="V36" s="6">
        <f t="shared" si="15"/>
        <v>257701.39999999997</v>
      </c>
    </row>
    <row r="37" spans="2:75" s="6" customFormat="1" x14ac:dyDescent="0.25">
      <c r="B37" s="6" t="s">
        <v>19</v>
      </c>
      <c r="C37" s="4">
        <v>7496</v>
      </c>
      <c r="D37" s="4">
        <v>9171</v>
      </c>
      <c r="E37" s="4">
        <v>10366</v>
      </c>
      <c r="F37" s="4">
        <v>10102</v>
      </c>
      <c r="G37" s="4">
        <v>11983</v>
      </c>
      <c r="H37" s="4">
        <v>14029</v>
      </c>
      <c r="I37" s="4">
        <v>22576</v>
      </c>
      <c r="J37" s="6">
        <v>41679</v>
      </c>
      <c r="K37" s="4">
        <v>65991</v>
      </c>
      <c r="L37" s="4">
        <f>+L35*0.8</f>
        <v>82492.800000000003</v>
      </c>
      <c r="M37" s="4">
        <f>+M35*0.8</f>
        <v>90742.080000000016</v>
      </c>
      <c r="N37" s="4"/>
      <c r="P37" s="6">
        <f>+P35-P36</f>
        <v>280904.88</v>
      </c>
      <c r="Q37" s="6">
        <f>+Q35*0.8</f>
        <v>418127.52</v>
      </c>
      <c r="R37" s="6">
        <f>+R35*0.8</f>
        <v>501753.02399999998</v>
      </c>
      <c r="S37" s="6">
        <f>+S35*0.5</f>
        <v>156797.81999999998</v>
      </c>
      <c r="T37" s="6">
        <f>+T35*0.5</f>
        <v>78398.909999999989</v>
      </c>
      <c r="U37" s="6">
        <f t="shared" ref="U37:V37" si="16">+U35*0.5</f>
        <v>70559.018999999986</v>
      </c>
      <c r="V37" s="6">
        <f t="shared" si="16"/>
        <v>74086.969949999984</v>
      </c>
    </row>
    <row r="38" spans="2:75" s="6" customFormat="1" x14ac:dyDescent="0.25">
      <c r="B38" s="6" t="s">
        <v>20</v>
      </c>
      <c r="C38" s="4">
        <v>2000</v>
      </c>
      <c r="D38" s="4">
        <v>3000</v>
      </c>
      <c r="E38" s="4">
        <v>2500</v>
      </c>
      <c r="F38" s="4">
        <v>3000</v>
      </c>
      <c r="G38" s="4">
        <v>2500</v>
      </c>
      <c r="H38" s="4">
        <v>3000</v>
      </c>
      <c r="I38" s="4">
        <v>4000</v>
      </c>
      <c r="J38" s="4">
        <v>4000</v>
      </c>
      <c r="K38" s="4">
        <f>+J38</f>
        <v>4000</v>
      </c>
      <c r="L38" s="4">
        <f>+K38</f>
        <v>4000</v>
      </c>
      <c r="M38" s="4">
        <f>+L38</f>
        <v>4000</v>
      </c>
      <c r="N38" s="4"/>
      <c r="P38" s="6">
        <f>SUM(J38:M38)</f>
        <v>16000</v>
      </c>
      <c r="Q38" s="6">
        <f>+P38*1.01</f>
        <v>16160</v>
      </c>
      <c r="R38" s="6">
        <f t="shared" ref="R38:V38" si="17">+Q38*1.01</f>
        <v>16321.6</v>
      </c>
      <c r="S38" s="6">
        <f t="shared" si="17"/>
        <v>16484.815999999999</v>
      </c>
      <c r="T38" s="6">
        <f t="shared" si="17"/>
        <v>16649.66416</v>
      </c>
      <c r="U38" s="6">
        <f t="shared" si="17"/>
        <v>16816.160801599999</v>
      </c>
      <c r="V38" s="6">
        <f t="shared" si="17"/>
        <v>16984.322409615997</v>
      </c>
    </row>
    <row r="39" spans="2:75" s="6" customFormat="1" x14ac:dyDescent="0.25">
      <c r="B39" s="6" t="s">
        <v>21</v>
      </c>
      <c r="C39" s="4">
        <f t="shared" ref="C39:M39" si="18">+C37-C38</f>
        <v>5496</v>
      </c>
      <c r="D39" s="4">
        <f t="shared" si="18"/>
        <v>6171</v>
      </c>
      <c r="E39" s="4">
        <f t="shared" si="18"/>
        <v>7866</v>
      </c>
      <c r="F39" s="4">
        <f t="shared" si="18"/>
        <v>7102</v>
      </c>
      <c r="G39" s="4">
        <f t="shared" si="18"/>
        <v>9483</v>
      </c>
      <c r="H39" s="4">
        <f t="shared" si="18"/>
        <v>11029</v>
      </c>
      <c r="I39" s="4">
        <f t="shared" si="18"/>
        <v>18576</v>
      </c>
      <c r="J39" s="4">
        <f t="shared" si="18"/>
        <v>37679</v>
      </c>
      <c r="K39" s="4">
        <f t="shared" si="18"/>
        <v>61991</v>
      </c>
      <c r="L39" s="4">
        <f t="shared" si="18"/>
        <v>78492.800000000003</v>
      </c>
      <c r="M39" s="4">
        <f t="shared" si="18"/>
        <v>86742.080000000016</v>
      </c>
      <c r="N39" s="4"/>
      <c r="P39" s="6">
        <f>+P37-P38</f>
        <v>264904.88</v>
      </c>
      <c r="Q39" s="6">
        <f>+Q37-Q38</f>
        <v>401967.52</v>
      </c>
      <c r="R39" s="6">
        <f t="shared" ref="R39:V39" si="19">+R37-R38</f>
        <v>485431.424</v>
      </c>
      <c r="S39" s="6">
        <f t="shared" si="19"/>
        <v>140313.00399999999</v>
      </c>
      <c r="T39" s="6">
        <f t="shared" si="19"/>
        <v>61749.245839999989</v>
      </c>
      <c r="U39" s="6">
        <f t="shared" si="19"/>
        <v>53742.85819839999</v>
      </c>
      <c r="V39" s="6">
        <f t="shared" si="19"/>
        <v>57102.647540383987</v>
      </c>
      <c r="W39" s="6">
        <f>+V39*(1+$Y$45)</f>
        <v>57673.67401578783</v>
      </c>
      <c r="X39" s="6">
        <f t="shared" ref="X39:BW39" si="20">+W39*(1+$Y$45)</f>
        <v>58250.410755945712</v>
      </c>
      <c r="Y39" s="6">
        <f t="shared" si="20"/>
        <v>58832.914863505168</v>
      </c>
      <c r="Z39" s="6">
        <f t="shared" si="20"/>
        <v>59421.244012140218</v>
      </c>
      <c r="AA39" s="6">
        <f t="shared" si="20"/>
        <v>60015.45645226162</v>
      </c>
      <c r="AB39" s="6">
        <f t="shared" si="20"/>
        <v>60615.611016784234</v>
      </c>
      <c r="AC39" s="6">
        <f t="shared" si="20"/>
        <v>61221.76712695208</v>
      </c>
      <c r="AD39" s="6">
        <f t="shared" si="20"/>
        <v>61833.984798221602</v>
      </c>
      <c r="AE39" s="6">
        <f t="shared" si="20"/>
        <v>62452.324646203815</v>
      </c>
      <c r="AF39" s="6">
        <f t="shared" si="20"/>
        <v>63076.847892665857</v>
      </c>
      <c r="AG39" s="6">
        <f t="shared" si="20"/>
        <v>63707.616371592514</v>
      </c>
      <c r="AH39" s="6">
        <f t="shared" si="20"/>
        <v>64344.692535308437</v>
      </c>
      <c r="AI39" s="6">
        <f t="shared" si="20"/>
        <v>64988.139460661521</v>
      </c>
      <c r="AJ39" s="6">
        <f t="shared" si="20"/>
        <v>65638.020855268143</v>
      </c>
      <c r="AK39" s="6">
        <f t="shared" si="20"/>
        <v>66294.401063820827</v>
      </c>
      <c r="AL39" s="6">
        <f t="shared" si="20"/>
        <v>66957.345074459037</v>
      </c>
      <c r="AM39" s="6">
        <f t="shared" si="20"/>
        <v>67626.918525203626</v>
      </c>
      <c r="AN39" s="6">
        <f t="shared" si="20"/>
        <v>68303.187710455662</v>
      </c>
      <c r="AO39" s="6">
        <f t="shared" si="20"/>
        <v>68986.219587560219</v>
      </c>
      <c r="AP39" s="6">
        <f t="shared" si="20"/>
        <v>69676.081783435817</v>
      </c>
      <c r="AQ39" s="6">
        <f t="shared" si="20"/>
        <v>70372.842601270182</v>
      </c>
      <c r="AR39" s="6">
        <f t="shared" si="20"/>
        <v>71076.571027282887</v>
      </c>
      <c r="AS39" s="6">
        <f t="shared" si="20"/>
        <v>71787.336737555714</v>
      </c>
      <c r="AT39" s="6">
        <f t="shared" si="20"/>
        <v>72505.210104931277</v>
      </c>
      <c r="AU39" s="6">
        <f t="shared" si="20"/>
        <v>73230.262205980587</v>
      </c>
      <c r="AV39" s="6">
        <f t="shared" si="20"/>
        <v>73962.564828040398</v>
      </c>
      <c r="AW39" s="6">
        <f t="shared" si="20"/>
        <v>74702.1904763208</v>
      </c>
      <c r="AX39" s="6">
        <f t="shared" si="20"/>
        <v>75449.212381084013</v>
      </c>
      <c r="AY39" s="6">
        <f t="shared" si="20"/>
        <v>76203.704504894849</v>
      </c>
      <c r="AZ39" s="6">
        <f t="shared" si="20"/>
        <v>76965.741549943792</v>
      </c>
      <c r="BA39" s="6">
        <f t="shared" si="20"/>
        <v>77735.398965443237</v>
      </c>
      <c r="BB39" s="6">
        <f t="shared" si="20"/>
        <v>78512.752955097676</v>
      </c>
      <c r="BC39" s="6">
        <f t="shared" si="20"/>
        <v>79297.88048464866</v>
      </c>
      <c r="BD39" s="6">
        <f t="shared" si="20"/>
        <v>80090.859289495143</v>
      </c>
      <c r="BE39" s="6">
        <f t="shared" si="20"/>
        <v>80891.767882390093</v>
      </c>
      <c r="BF39" s="6">
        <f t="shared" si="20"/>
        <v>81700.685561213992</v>
      </c>
      <c r="BG39" s="6">
        <f t="shared" si="20"/>
        <v>82517.692416826132</v>
      </c>
      <c r="BH39" s="6">
        <f t="shared" si="20"/>
        <v>83342.869340994395</v>
      </c>
      <c r="BI39" s="6">
        <f t="shared" si="20"/>
        <v>84176.298034404346</v>
      </c>
      <c r="BJ39" s="6">
        <f t="shared" si="20"/>
        <v>85018.061014748397</v>
      </c>
      <c r="BK39" s="6">
        <f t="shared" si="20"/>
        <v>85868.241624895876</v>
      </c>
      <c r="BL39" s="6">
        <f t="shared" si="20"/>
        <v>86726.924041144841</v>
      </c>
      <c r="BM39" s="6">
        <f t="shared" si="20"/>
        <v>87594.19328155629</v>
      </c>
      <c r="BN39" s="6">
        <f t="shared" si="20"/>
        <v>88470.135214371854</v>
      </c>
      <c r="BO39" s="6">
        <f t="shared" si="20"/>
        <v>89354.836566515572</v>
      </c>
      <c r="BP39" s="6">
        <f t="shared" si="20"/>
        <v>90248.384932180736</v>
      </c>
      <c r="BQ39" s="6">
        <f t="shared" si="20"/>
        <v>91150.868781502548</v>
      </c>
      <c r="BR39" s="6">
        <f t="shared" si="20"/>
        <v>92062.37746931758</v>
      </c>
      <c r="BS39" s="6">
        <f t="shared" si="20"/>
        <v>92983.001244010753</v>
      </c>
      <c r="BT39" s="6">
        <f t="shared" si="20"/>
        <v>93912.831256450867</v>
      </c>
      <c r="BU39" s="6">
        <f t="shared" si="20"/>
        <v>94851.95956901538</v>
      </c>
      <c r="BV39" s="6">
        <f t="shared" si="20"/>
        <v>95800.479164705539</v>
      </c>
      <c r="BW39" s="6">
        <f t="shared" si="20"/>
        <v>96758.483956352589</v>
      </c>
    </row>
    <row r="40" spans="2:75" s="6" customFormat="1" x14ac:dyDescent="0.25">
      <c r="C40" s="4"/>
      <c r="D40" s="4"/>
      <c r="E40" s="4"/>
      <c r="F40" s="4"/>
      <c r="G40" s="4"/>
      <c r="I40" s="4"/>
      <c r="K40" s="4"/>
      <c r="L40" s="4"/>
      <c r="M40" s="4"/>
      <c r="N40" s="4"/>
    </row>
    <row r="41" spans="2:75" s="6" customFormat="1" x14ac:dyDescent="0.25">
      <c r="B41" s="6" t="s">
        <v>22</v>
      </c>
      <c r="C41" s="4">
        <v>710</v>
      </c>
      <c r="D41" s="4">
        <v>710</v>
      </c>
      <c r="E41" s="4">
        <v>690</v>
      </c>
      <c r="F41" s="4">
        <v>711</v>
      </c>
      <c r="G41" s="4">
        <v>712</v>
      </c>
      <c r="H41" s="4">
        <v>712</v>
      </c>
      <c r="I41" s="4">
        <v>712</v>
      </c>
      <c r="J41" s="6">
        <v>712</v>
      </c>
      <c r="K41" s="6">
        <v>712</v>
      </c>
      <c r="L41" s="6">
        <v>712</v>
      </c>
      <c r="M41" s="6">
        <v>712</v>
      </c>
      <c r="N41" s="4"/>
      <c r="P41" s="6">
        <f>AVERAGE(J41:M41)</f>
        <v>712</v>
      </c>
      <c r="Q41" s="6">
        <f>+P41</f>
        <v>712</v>
      </c>
      <c r="R41" s="6">
        <f t="shared" ref="R41:V41" si="21">+Q41</f>
        <v>712</v>
      </c>
      <c r="S41" s="6">
        <f t="shared" si="21"/>
        <v>712</v>
      </c>
      <c r="T41" s="6">
        <f t="shared" si="21"/>
        <v>712</v>
      </c>
      <c r="U41" s="6">
        <f t="shared" si="21"/>
        <v>712</v>
      </c>
      <c r="V41" s="6">
        <f t="shared" si="21"/>
        <v>712</v>
      </c>
    </row>
    <row r="43" spans="2:75" x14ac:dyDescent="0.25">
      <c r="B43" s="1" t="s">
        <v>27</v>
      </c>
      <c r="G43" s="3">
        <f t="shared" ref="G43:M43" si="22">G35/C35-1</f>
        <v>0.35371125860074293</v>
      </c>
      <c r="H43" s="3">
        <f t="shared" si="22"/>
        <v>0.39128208046434865</v>
      </c>
      <c r="I43" s="3">
        <f t="shared" si="22"/>
        <v>0.66069712146506809</v>
      </c>
      <c r="J43" s="3">
        <f t="shared" si="22"/>
        <v>1.9806678383128293</v>
      </c>
      <c r="K43" s="3">
        <f t="shared" si="22"/>
        <v>2.5678301547319178</v>
      </c>
      <c r="L43" s="3">
        <f t="shared" si="22"/>
        <v>3.2175958116896393</v>
      </c>
      <c r="M43" s="3">
        <f t="shared" si="22"/>
        <v>2.4553142230481009</v>
      </c>
      <c r="X43" s="1" t="s">
        <v>32</v>
      </c>
      <c r="Y43" s="9">
        <v>0.08</v>
      </c>
    </row>
    <row r="44" spans="2:75" x14ac:dyDescent="0.25">
      <c r="G44" s="3">
        <f t="shared" ref="G44:J44" si="23">+G35/F35-1</f>
        <v>0.26038891093599403</v>
      </c>
      <c r="H44" s="3">
        <f t="shared" si="23"/>
        <v>9.9721122706009302E-2</v>
      </c>
      <c r="I44" s="3">
        <f t="shared" si="23"/>
        <v>0.34267250194281984</v>
      </c>
      <c r="J44" s="3">
        <f t="shared" si="23"/>
        <v>0.60160843208334613</v>
      </c>
      <c r="K44" s="3">
        <f>+K35/J35-1</f>
        <v>0.50867315885575159</v>
      </c>
      <c r="L44" s="3">
        <f>+L35/K35-1</f>
        <v>0.30000000000000004</v>
      </c>
      <c r="M44" s="3">
        <f>+M35/L35-1</f>
        <v>0.10000000000000009</v>
      </c>
      <c r="Y44" s="9"/>
    </row>
    <row r="45" spans="2:75" x14ac:dyDescent="0.25">
      <c r="B45" s="1" t="s">
        <v>28</v>
      </c>
      <c r="C45" s="3">
        <f>+C37/C35</f>
        <v>0.45643305120867078</v>
      </c>
      <c r="D45" s="3">
        <f t="shared" ref="D45:M45" si="24">+D37/D35</f>
        <v>0.52188015705912483</v>
      </c>
      <c r="E45" s="3">
        <f t="shared" si="24"/>
        <v>0.52440936915060454</v>
      </c>
      <c r="F45" s="3">
        <f t="shared" si="24"/>
        <v>0.57270820341289186</v>
      </c>
      <c r="G45" s="3">
        <f t="shared" si="24"/>
        <v>0.53899784094998204</v>
      </c>
      <c r="H45" s="3">
        <f t="shared" si="24"/>
        <v>0.57380669966051778</v>
      </c>
      <c r="I45" s="3">
        <f t="shared" si="24"/>
        <v>0.6877265665458312</v>
      </c>
      <c r="J45" s="3">
        <f t="shared" si="24"/>
        <v>0.79273813146682892</v>
      </c>
      <c r="K45" s="3">
        <f t="shared" si="24"/>
        <v>0.83195915279878974</v>
      </c>
      <c r="L45" s="3">
        <f t="shared" si="24"/>
        <v>0.8</v>
      </c>
      <c r="M45" s="3">
        <f t="shared" si="24"/>
        <v>0.80000000000000016</v>
      </c>
      <c r="P45" s="3">
        <f t="shared" ref="P45:V45" si="25">+P37/P35</f>
        <v>0.80617955020037912</v>
      </c>
      <c r="Q45" s="3">
        <f t="shared" si="25"/>
        <v>0.8</v>
      </c>
      <c r="R45" s="3">
        <f t="shared" si="25"/>
        <v>0.8</v>
      </c>
      <c r="S45" s="3">
        <f t="shared" si="25"/>
        <v>0.5</v>
      </c>
      <c r="T45" s="3">
        <f t="shared" si="25"/>
        <v>0.5</v>
      </c>
      <c r="U45" s="3">
        <f t="shared" si="25"/>
        <v>0.5</v>
      </c>
      <c r="V45" s="3">
        <f t="shared" si="25"/>
        <v>0.5</v>
      </c>
      <c r="X45" s="1" t="s">
        <v>33</v>
      </c>
      <c r="Y45" s="9">
        <v>0.01</v>
      </c>
    </row>
    <row r="46" spans="2:75" x14ac:dyDescent="0.25">
      <c r="X46" s="1" t="s">
        <v>34</v>
      </c>
      <c r="Y46" s="6">
        <f>NPV(Y43,Q39:BW39)+K39+L39+M39</f>
        <v>1749242.8691348182</v>
      </c>
    </row>
    <row r="47" spans="2:75" x14ac:dyDescent="0.25">
      <c r="X47" s="1" t="s">
        <v>35</v>
      </c>
      <c r="Y47" s="6">
        <f>Y46/Main!L3*1000</f>
        <v>2456801.7824927224</v>
      </c>
    </row>
  </sheetData>
  <hyperlinks>
    <hyperlink ref="A1" location="Main!A1" display="Main" xr:uid="{3707F253-542C-4243-AE64-AB68C8E1134E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2026-06-26T14:09:41Z</dcterms:created>
  <dcterms:modified xsi:type="dcterms:W3CDTF">2026-08-18T15:12:38Z</dcterms:modified>
</cp:coreProperties>
</file>