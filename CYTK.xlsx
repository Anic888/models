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4BEFA514-1AA9-4BC3-9AE5-D94CCBC94B6C}" xr6:coauthVersionLast="47" xr6:coauthVersionMax="47" xr10:uidLastSave="{00000000-0000-0000-0000-000000000000}"/>
  <bookViews>
    <workbookView xWindow="8980" yWindow="4440" windowWidth="21060" windowHeight="13820" xr2:uid="{A49A7A12-B745-4EC9-B913-D708EFED4797}"/>
  </bookViews>
  <sheets>
    <sheet name="Main" sheetId="1" r:id="rId1"/>
    <sheet name="Model" sheetId="2" r:id="rId2"/>
    <sheet name="aficamte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2" l="1"/>
  <c r="H15" i="2"/>
  <c r="H13" i="2"/>
  <c r="H11" i="2"/>
  <c r="H10" i="2"/>
  <c r="H6" i="2"/>
  <c r="J6" i="2"/>
  <c r="J7" i="2" s="1"/>
  <c r="I7" i="2"/>
  <c r="I6" i="2"/>
  <c r="H7" i="2"/>
  <c r="J3" i="2"/>
  <c r="I3" i="2"/>
  <c r="J5" i="2"/>
  <c r="I5" i="2"/>
  <c r="K6" i="1"/>
  <c r="K5" i="1"/>
  <c r="H5" i="2" l="1"/>
  <c r="G16" i="2"/>
  <c r="G15" i="2"/>
  <c r="G13" i="2"/>
  <c r="G12" i="2"/>
  <c r="G11" i="2"/>
  <c r="G10" i="2"/>
  <c r="G7" i="2"/>
  <c r="G6" i="2"/>
  <c r="G5" i="2"/>
  <c r="G4" i="2"/>
  <c r="K4" i="1"/>
  <c r="K7" i="1" s="1"/>
</calcChain>
</file>

<file path=xl/sharedStrings.xml><?xml version="1.0" encoding="utf-8"?>
<sst xmlns="http://schemas.openxmlformats.org/spreadsheetml/2006/main" count="82" uniqueCount="74">
  <si>
    <t>Price</t>
  </si>
  <si>
    <t>Shares</t>
  </si>
  <si>
    <t>MC</t>
  </si>
  <si>
    <t>Cash</t>
  </si>
  <si>
    <t>Debt</t>
  </si>
  <si>
    <t>EV</t>
  </si>
  <si>
    <t>PIC</t>
  </si>
  <si>
    <t>AD</t>
  </si>
  <si>
    <t>Founded: 1997</t>
  </si>
  <si>
    <t>Name</t>
  </si>
  <si>
    <t>omecamtiv mecarbil</t>
  </si>
  <si>
    <t>Indication</t>
  </si>
  <si>
    <t>MOA</t>
  </si>
  <si>
    <t>cardiac myosin activator</t>
  </si>
  <si>
    <t>aficamten</t>
  </si>
  <si>
    <t>cardiac myosin inhibitor</t>
  </si>
  <si>
    <t>cardiac troponin activator</t>
  </si>
  <si>
    <t>Main</t>
  </si>
  <si>
    <t>Brand</t>
  </si>
  <si>
    <t>Generic</t>
  </si>
  <si>
    <t>HCM</t>
  </si>
  <si>
    <t>Clinical Trials</t>
  </si>
  <si>
    <t>Phase III "SEQUOIA-HCM"</t>
  </si>
  <si>
    <t>68% complete hemodynamic response vs. 7% for placebo</t>
  </si>
  <si>
    <t>Phase III "MAPLE-HCM" vs metoprolol</t>
  </si>
  <si>
    <t>Phase III "CEDAR-HCM"</t>
  </si>
  <si>
    <t>HFpEF</t>
  </si>
  <si>
    <t>CK-586 (CK-4021586)</t>
  </si>
  <si>
    <t>Phase</t>
  </si>
  <si>
    <t>Phase III "FOREST-HCM"</t>
  </si>
  <si>
    <t>CK-136 (CK-3828136)</t>
  </si>
  <si>
    <t>Muscular Dystrophy</t>
  </si>
  <si>
    <t>fast skeletal troponin activator</t>
  </si>
  <si>
    <t>Q126</t>
  </si>
  <si>
    <t>Myqorzo (aficamten)</t>
  </si>
  <si>
    <t>Approved</t>
  </si>
  <si>
    <t>Revenue</t>
  </si>
  <si>
    <t>Q125</t>
  </si>
  <si>
    <t>Q225</t>
  </si>
  <si>
    <t>Q325</t>
  </si>
  <si>
    <t>Q425</t>
  </si>
  <si>
    <t>Q226</t>
  </si>
  <si>
    <t>Q326</t>
  </si>
  <si>
    <t>Q426</t>
  </si>
  <si>
    <t>COGS</t>
  </si>
  <si>
    <t>Gross Profit</t>
  </si>
  <si>
    <t>oHCM</t>
  </si>
  <si>
    <t>Phase III "ACACIA-HCM" nHCM</t>
  </si>
  <si>
    <t>met PE</t>
  </si>
  <si>
    <t>filed</t>
  </si>
  <si>
    <t>CK-089 (CK-4015089)</t>
  </si>
  <si>
    <t>I</t>
  </si>
  <si>
    <t>ulacamten</t>
  </si>
  <si>
    <t>III</t>
  </si>
  <si>
    <t>HFrEF</t>
  </si>
  <si>
    <t>Product</t>
  </si>
  <si>
    <t>Collaboration</t>
  </si>
  <si>
    <t>Net Income</t>
  </si>
  <si>
    <t>EPS</t>
  </si>
  <si>
    <t>Taxes</t>
  </si>
  <si>
    <t>Pretax Income</t>
  </si>
  <si>
    <t>Interest</t>
  </si>
  <si>
    <t>Operating Income</t>
  </si>
  <si>
    <t>Operating Expenses</t>
  </si>
  <si>
    <t>SG&amp;A</t>
  </si>
  <si>
    <t>R&amp;D</t>
  </si>
  <si>
    <t>we will use it more than mavi - Dutch doc</t>
  </si>
  <si>
    <t>RNA/antisense exciting</t>
  </si>
  <si>
    <t>angiotensin inhibitor</t>
  </si>
  <si>
    <t>anticoagulation</t>
  </si>
  <si>
    <t>miRNA</t>
  </si>
  <si>
    <t>chinese LVAD</t>
  </si>
  <si>
    <t>hybrid heart</t>
  </si>
  <si>
    <t>Myqorzo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</si>
</sst>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1"/>
    <xf numFmtId="0" fontId="2" fillId="0" borderId="0" xfId="0" applyFont="1"/>
    <xf numFmtId="0" fontId="1" fillId="0" borderId="1" xfId="1" applyBorder="1"/>
    <xf numFmtId="0" fontId="1" fillId="0" borderId="6" xfId="1" applyBorder="1"/>
    <xf numFmtId="3" fontId="0" fillId="0" borderId="0" xfId="0" applyNumberFormat="1" applyAlignment="1">
      <alignment horizontal="right"/>
    </xf>
    <xf numFmtId="3" fontId="3" fillId="0" borderId="0" xfId="0" applyNumberFormat="1" applyFont="1"/>
    <xf numFmtId="3" fontId="3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9414B3E2-BBFB-4AE2-BF69-22C7FD823BE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56807</xdr:colOff>
      <xdr:row>0</xdr:row>
      <xdr:rowOff>0</xdr:rowOff>
    </xdr:from>
    <xdr:to>
      <xdr:col>8</xdr:col>
      <xdr:colOff>56807</xdr:colOff>
      <xdr:row>32</xdr:row>
      <xdr:rowOff>139512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6ED7A5F-0E9A-95D9-FF9F-987DB5D19C8F}"/>
            </a:ext>
          </a:extLst>
        </xdr:cNvPr>
        <xdr:cNvCxnSpPr/>
      </xdr:nvCxnSpPr>
      <xdr:spPr>
        <a:xfrm>
          <a:off x="5237531" y="0"/>
          <a:ext cx="0" cy="519323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53201-ED6E-407F-99F1-919EDB88A99D}">
  <dimension ref="B2:L13"/>
  <sheetViews>
    <sheetView tabSelected="1" zoomScale="115" zoomScaleNormal="115" workbookViewId="0">
      <selection activeCell="K4" sqref="K4"/>
    </sheetView>
  </sheetViews>
  <sheetFormatPr defaultRowHeight="12.5" x14ac:dyDescent="0.25"/>
  <cols>
    <col min="1" max="1" width="4.54296875" customWidth="1"/>
    <col min="2" max="2" width="20" bestFit="1" customWidth="1"/>
    <col min="3" max="3" width="20.26953125" customWidth="1"/>
    <col min="4" max="4" width="22.26953125" bestFit="1" customWidth="1"/>
  </cols>
  <sheetData>
    <row r="2" spans="2:12" x14ac:dyDescent="0.25">
      <c r="B2" s="9" t="s">
        <v>9</v>
      </c>
      <c r="C2" s="10" t="s">
        <v>11</v>
      </c>
      <c r="D2" s="10" t="s">
        <v>12</v>
      </c>
      <c r="E2" s="10" t="s">
        <v>35</v>
      </c>
      <c r="F2" s="10"/>
      <c r="G2" s="10"/>
      <c r="H2" s="11"/>
      <c r="J2" t="s">
        <v>0</v>
      </c>
      <c r="K2" s="1">
        <v>76.680000000000007</v>
      </c>
    </row>
    <row r="3" spans="2:12" x14ac:dyDescent="0.25">
      <c r="B3" s="14" t="s">
        <v>34</v>
      </c>
      <c r="C3" t="s">
        <v>46</v>
      </c>
      <c r="D3" t="s">
        <v>15</v>
      </c>
      <c r="H3" s="5"/>
      <c r="J3" t="s">
        <v>1</v>
      </c>
      <c r="K3" s="3">
        <v>132.08600000000001</v>
      </c>
      <c r="L3" s="2" t="s">
        <v>41</v>
      </c>
    </row>
    <row r="4" spans="2:12" x14ac:dyDescent="0.25">
      <c r="B4" s="15"/>
      <c r="C4" s="10"/>
      <c r="D4" s="10"/>
      <c r="E4" s="10" t="s">
        <v>28</v>
      </c>
      <c r="F4" s="10"/>
      <c r="G4" s="10"/>
      <c r="H4" s="11"/>
      <c r="J4" t="s">
        <v>2</v>
      </c>
      <c r="K4" s="3">
        <f>+K2*K3</f>
        <v>10128.354480000002</v>
      </c>
    </row>
    <row r="5" spans="2:12" x14ac:dyDescent="0.25">
      <c r="B5" s="4" t="s">
        <v>10</v>
      </c>
      <c r="C5" t="s">
        <v>54</v>
      </c>
      <c r="D5" t="s">
        <v>13</v>
      </c>
      <c r="E5" t="s">
        <v>53</v>
      </c>
      <c r="H5" s="5"/>
      <c r="J5" t="s">
        <v>3</v>
      </c>
      <c r="K5" s="3">
        <f>1165.686+538.317</f>
        <v>1704.0029999999999</v>
      </c>
      <c r="L5" s="2" t="s">
        <v>41</v>
      </c>
    </row>
    <row r="6" spans="2:12" x14ac:dyDescent="0.25">
      <c r="B6" s="4" t="s">
        <v>27</v>
      </c>
      <c r="C6" t="s">
        <v>26</v>
      </c>
      <c r="D6" t="s">
        <v>15</v>
      </c>
      <c r="H6" s="5"/>
      <c r="J6" t="s">
        <v>4</v>
      </c>
      <c r="K6" s="3">
        <f>248.202+27.358+871.527</f>
        <v>1147.087</v>
      </c>
      <c r="L6" s="2" t="s">
        <v>41</v>
      </c>
    </row>
    <row r="7" spans="2:12" x14ac:dyDescent="0.25">
      <c r="B7" s="4" t="s">
        <v>30</v>
      </c>
      <c r="D7" t="s">
        <v>16</v>
      </c>
      <c r="H7" s="5"/>
      <c r="J7" t="s">
        <v>5</v>
      </c>
      <c r="K7" s="3">
        <f>+K4-K5+K6</f>
        <v>9571.4384800000007</v>
      </c>
    </row>
    <row r="8" spans="2:12" x14ac:dyDescent="0.25">
      <c r="B8" s="4"/>
      <c r="C8" t="s">
        <v>31</v>
      </c>
      <c r="D8" t="s">
        <v>32</v>
      </c>
      <c r="H8" s="5"/>
    </row>
    <row r="9" spans="2:12" x14ac:dyDescent="0.25">
      <c r="B9" s="4" t="s">
        <v>50</v>
      </c>
      <c r="D9" t="s">
        <v>32</v>
      </c>
      <c r="E9" t="s">
        <v>51</v>
      </c>
      <c r="H9" s="5"/>
      <c r="J9" t="s">
        <v>6</v>
      </c>
      <c r="K9" s="3">
        <v>2500.654</v>
      </c>
    </row>
    <row r="10" spans="2:12" x14ac:dyDescent="0.25">
      <c r="B10" s="4" t="s">
        <v>52</v>
      </c>
      <c r="H10" s="5"/>
      <c r="J10" t="s">
        <v>7</v>
      </c>
      <c r="K10" s="3">
        <v>2391.1990000000001</v>
      </c>
    </row>
    <row r="11" spans="2:12" x14ac:dyDescent="0.25">
      <c r="B11" s="4"/>
      <c r="H11" s="5"/>
    </row>
    <row r="12" spans="2:12" x14ac:dyDescent="0.25">
      <c r="B12" s="4"/>
      <c r="H12" s="5"/>
      <c r="J12" t="s">
        <v>8</v>
      </c>
    </row>
    <row r="13" spans="2:12" x14ac:dyDescent="0.25">
      <c r="B13" s="6"/>
      <c r="C13" s="7"/>
      <c r="D13" s="7"/>
      <c r="E13" s="7"/>
      <c r="F13" s="7"/>
      <c r="G13" s="7"/>
      <c r="H13" s="8"/>
    </row>
  </sheetData>
  <hyperlinks>
    <hyperlink ref="B3" location="aficamten!A1" display="aficamten" xr:uid="{3C39CB6B-3D31-4CC3-9398-EA66DB1877D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7C984-346A-4931-B9C2-A7ABEF87E26D}">
  <dimension ref="A1:J17"/>
  <sheetViews>
    <sheetView zoomScale="145" zoomScaleNormal="14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17" sqref="H17"/>
    </sheetView>
  </sheetViews>
  <sheetFormatPr defaultRowHeight="12.5" x14ac:dyDescent="0.25"/>
  <cols>
    <col min="1" max="1" width="4.7265625" bestFit="1" customWidth="1"/>
    <col min="2" max="2" width="17.1796875" bestFit="1" customWidth="1"/>
    <col min="3" max="10" width="8.7265625" style="2"/>
  </cols>
  <sheetData>
    <row r="1" spans="1:10" x14ac:dyDescent="0.25">
      <c r="A1" t="s">
        <v>17</v>
      </c>
    </row>
    <row r="2" spans="1:10" x14ac:dyDescent="0.25">
      <c r="C2" s="2" t="s">
        <v>37</v>
      </c>
      <c r="D2" s="2" t="s">
        <v>38</v>
      </c>
      <c r="E2" s="2" t="s">
        <v>39</v>
      </c>
      <c r="F2" s="2" t="s">
        <v>40</v>
      </c>
      <c r="G2" s="2" t="s">
        <v>33</v>
      </c>
      <c r="H2" s="2" t="s">
        <v>41</v>
      </c>
      <c r="I2" s="2" t="s">
        <v>42</v>
      </c>
      <c r="J2" s="2" t="s">
        <v>43</v>
      </c>
    </row>
    <row r="3" spans="1:10" s="3" customFormat="1" x14ac:dyDescent="0.25">
      <c r="B3" s="3" t="s">
        <v>55</v>
      </c>
      <c r="C3" s="16"/>
      <c r="D3" s="16"/>
      <c r="E3" s="16"/>
      <c r="F3" s="16"/>
      <c r="G3" s="16">
        <v>4.7889999999999997</v>
      </c>
      <c r="H3" s="16">
        <v>25</v>
      </c>
      <c r="I3" s="16">
        <f>+H3+25</f>
        <v>50</v>
      </c>
      <c r="J3" s="16">
        <f>+I3+25</f>
        <v>75</v>
      </c>
    </row>
    <row r="4" spans="1:10" s="3" customFormat="1" x14ac:dyDescent="0.25">
      <c r="B4" s="3" t="s">
        <v>56</v>
      </c>
      <c r="C4" s="16"/>
      <c r="D4" s="16"/>
      <c r="E4" s="16"/>
      <c r="F4" s="16"/>
      <c r="G4" s="16">
        <f>2.637+11.929</f>
        <v>14.566000000000001</v>
      </c>
      <c r="H4" s="16">
        <v>3.29</v>
      </c>
      <c r="I4" s="16"/>
      <c r="J4" s="16"/>
    </row>
    <row r="5" spans="1:10" s="17" customFormat="1" ht="13" x14ac:dyDescent="0.3">
      <c r="B5" s="17" t="s">
        <v>36</v>
      </c>
      <c r="C5" s="18"/>
      <c r="D5" s="18"/>
      <c r="E5" s="18"/>
      <c r="F5" s="18"/>
      <c r="G5" s="18">
        <f>+G3+G4</f>
        <v>19.355</v>
      </c>
      <c r="H5" s="18">
        <f>+H4+H3</f>
        <v>28.29</v>
      </c>
      <c r="I5" s="18">
        <f>+I4+I3</f>
        <v>50</v>
      </c>
      <c r="J5" s="18">
        <f>+J4+J3</f>
        <v>75</v>
      </c>
    </row>
    <row r="6" spans="1:10" s="3" customFormat="1" x14ac:dyDescent="0.25">
      <c r="B6" s="3" t="s">
        <v>44</v>
      </c>
      <c r="C6" s="16"/>
      <c r="D6" s="16"/>
      <c r="E6" s="16"/>
      <c r="F6" s="16"/>
      <c r="G6" s="16">
        <f>0.16+2.392</f>
        <v>2.552</v>
      </c>
      <c r="H6" s="16">
        <f>2.731+2.861</f>
        <v>5.5920000000000005</v>
      </c>
      <c r="I6" s="16">
        <f>+I5*0.1</f>
        <v>5</v>
      </c>
      <c r="J6" s="16">
        <f>+J5*0.1</f>
        <v>7.5</v>
      </c>
    </row>
    <row r="7" spans="1:10" s="3" customFormat="1" x14ac:dyDescent="0.25">
      <c r="B7" s="3" t="s">
        <v>45</v>
      </c>
      <c r="C7" s="16"/>
      <c r="D7" s="16"/>
      <c r="E7" s="16"/>
      <c r="F7" s="16"/>
      <c r="G7" s="16">
        <f>+G5-G6</f>
        <v>16.803000000000001</v>
      </c>
      <c r="H7" s="16">
        <f>+H5-H6</f>
        <v>22.698</v>
      </c>
      <c r="I7" s="16">
        <f>+I5-I6</f>
        <v>45</v>
      </c>
      <c r="J7" s="16">
        <f>+J5-J6</f>
        <v>67.5</v>
      </c>
    </row>
    <row r="8" spans="1:10" s="3" customFormat="1" x14ac:dyDescent="0.25">
      <c r="B8" s="3" t="s">
        <v>65</v>
      </c>
      <c r="C8" s="16"/>
      <c r="D8" s="16"/>
      <c r="E8" s="16"/>
      <c r="F8" s="16"/>
      <c r="G8" s="16">
        <v>95.525000000000006</v>
      </c>
      <c r="H8" s="16"/>
      <c r="I8" s="16"/>
      <c r="J8" s="16"/>
    </row>
    <row r="9" spans="1:10" s="3" customFormat="1" x14ac:dyDescent="0.25">
      <c r="B9" s="3" t="s">
        <v>64</v>
      </c>
      <c r="C9" s="16"/>
      <c r="D9" s="16"/>
      <c r="E9" s="16"/>
      <c r="F9" s="16"/>
      <c r="G9" s="16">
        <v>104.896</v>
      </c>
      <c r="H9" s="16"/>
      <c r="I9" s="16"/>
      <c r="J9" s="16"/>
    </row>
    <row r="10" spans="1:10" s="3" customFormat="1" x14ac:dyDescent="0.25">
      <c r="B10" s="3" t="s">
        <v>63</v>
      </c>
      <c r="C10" s="16"/>
      <c r="D10" s="16"/>
      <c r="E10" s="16"/>
      <c r="F10" s="16"/>
      <c r="G10" s="16">
        <f>+G8+G9</f>
        <v>200.42099999999999</v>
      </c>
      <c r="H10" s="16">
        <f>+H8+H9</f>
        <v>0</v>
      </c>
      <c r="I10" s="16"/>
      <c r="J10" s="16"/>
    </row>
    <row r="11" spans="1:10" s="3" customFormat="1" x14ac:dyDescent="0.25">
      <c r="B11" s="3" t="s">
        <v>62</v>
      </c>
      <c r="C11" s="16"/>
      <c r="D11" s="16"/>
      <c r="E11" s="16"/>
      <c r="F11" s="16"/>
      <c r="G11" s="16">
        <f>+G7-G10</f>
        <v>-183.61799999999999</v>
      </c>
      <c r="H11" s="16">
        <f>+H7-H10</f>
        <v>22.698</v>
      </c>
      <c r="I11" s="16"/>
      <c r="J11" s="16"/>
    </row>
    <row r="12" spans="1:10" s="3" customFormat="1" x14ac:dyDescent="0.25">
      <c r="B12" s="3" t="s">
        <v>61</v>
      </c>
      <c r="C12" s="16"/>
      <c r="D12" s="16"/>
      <c r="E12" s="16"/>
      <c r="F12" s="16"/>
      <c r="G12" s="16">
        <f>-14.519+11.022</f>
        <v>-3.4969999999999999</v>
      </c>
      <c r="H12" s="16"/>
      <c r="I12" s="16"/>
      <c r="J12" s="16"/>
    </row>
    <row r="13" spans="1:10" s="3" customFormat="1" x14ac:dyDescent="0.25">
      <c r="B13" s="3" t="s">
        <v>60</v>
      </c>
      <c r="C13" s="16"/>
      <c r="D13" s="16"/>
      <c r="E13" s="16"/>
      <c r="F13" s="16"/>
      <c r="G13" s="16">
        <f>+G11+G12</f>
        <v>-187.11500000000001</v>
      </c>
      <c r="H13" s="16">
        <f>+H11+H12</f>
        <v>22.698</v>
      </c>
      <c r="I13" s="16"/>
      <c r="J13" s="16"/>
    </row>
    <row r="14" spans="1:10" s="3" customFormat="1" x14ac:dyDescent="0.25">
      <c r="B14" s="3" t="s">
        <v>59</v>
      </c>
      <c r="C14" s="16"/>
      <c r="D14" s="16"/>
      <c r="E14" s="16"/>
      <c r="F14" s="16"/>
      <c r="G14" s="16">
        <v>0</v>
      </c>
      <c r="H14" s="16"/>
      <c r="I14" s="16"/>
      <c r="J14" s="16"/>
    </row>
    <row r="15" spans="1:10" s="3" customFormat="1" x14ac:dyDescent="0.25">
      <c r="B15" s="3" t="s">
        <v>57</v>
      </c>
      <c r="C15" s="16"/>
      <c r="D15" s="16"/>
      <c r="E15" s="16"/>
      <c r="F15" s="16"/>
      <c r="G15" s="16">
        <f>+G13-G14</f>
        <v>-187.11500000000001</v>
      </c>
      <c r="H15" s="16">
        <f>+H13-H14</f>
        <v>22.698</v>
      </c>
      <c r="I15" s="16"/>
      <c r="J15" s="16"/>
    </row>
    <row r="16" spans="1:10" x14ac:dyDescent="0.25">
      <c r="B16" t="s">
        <v>58</v>
      </c>
      <c r="G16" s="19">
        <f>+G15/G17</f>
        <v>-1.5166608577241374</v>
      </c>
      <c r="H16" s="19">
        <f>+H15/H17</f>
        <v>0.17184258740517541</v>
      </c>
    </row>
    <row r="17" spans="2:8" x14ac:dyDescent="0.25">
      <c r="B17" t="s">
        <v>1</v>
      </c>
      <c r="G17" s="16">
        <v>123.373</v>
      </c>
      <c r="H17" s="16">
        <v>132.08600000000001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767BF-BF34-44B5-A34D-0C11A3B98053}">
  <dimension ref="A1:D29"/>
  <sheetViews>
    <sheetView zoomScale="205" zoomScaleNormal="205" workbookViewId="0">
      <selection activeCell="D1" sqref="D1"/>
    </sheetView>
  </sheetViews>
  <sheetFormatPr defaultRowHeight="12.5" x14ac:dyDescent="0.25"/>
  <cols>
    <col min="1" max="1" width="5" bestFit="1" customWidth="1"/>
    <col min="2" max="2" width="12.1796875" bestFit="1" customWidth="1"/>
  </cols>
  <sheetData>
    <row r="1" spans="1:4" x14ac:dyDescent="0.25">
      <c r="A1" s="12" t="s">
        <v>17</v>
      </c>
    </row>
    <row r="2" spans="1:4" x14ac:dyDescent="0.25">
      <c r="B2" t="s">
        <v>18</v>
      </c>
      <c r="C2" t="s">
        <v>73</v>
      </c>
    </row>
    <row r="3" spans="1:4" x14ac:dyDescent="0.25">
      <c r="B3" t="s">
        <v>19</v>
      </c>
      <c r="C3" t="s">
        <v>14</v>
      </c>
    </row>
    <row r="4" spans="1:4" x14ac:dyDescent="0.25">
      <c r="B4" t="s">
        <v>11</v>
      </c>
      <c r="C4" t="s">
        <v>20</v>
      </c>
    </row>
    <row r="5" spans="1:4" x14ac:dyDescent="0.25">
      <c r="B5" t="s">
        <v>21</v>
      </c>
    </row>
    <row r="6" spans="1:4" ht="13" x14ac:dyDescent="0.3">
      <c r="C6" s="13" t="s">
        <v>22</v>
      </c>
    </row>
    <row r="7" spans="1:4" x14ac:dyDescent="0.25">
      <c r="C7" t="s">
        <v>23</v>
      </c>
    </row>
    <row r="8" spans="1:4" x14ac:dyDescent="0.25">
      <c r="D8" t="s">
        <v>66</v>
      </c>
    </row>
    <row r="10" spans="1:4" ht="13" x14ac:dyDescent="0.3">
      <c r="C10" s="13" t="s">
        <v>24</v>
      </c>
    </row>
    <row r="11" spans="1:4" x14ac:dyDescent="0.25">
      <c r="C11" t="s">
        <v>49</v>
      </c>
    </row>
    <row r="13" spans="1:4" ht="13" x14ac:dyDescent="0.3">
      <c r="C13" s="13" t="s">
        <v>47</v>
      </c>
    </row>
    <row r="14" spans="1:4" x14ac:dyDescent="0.25">
      <c r="C14" t="s">
        <v>48</v>
      </c>
    </row>
    <row r="16" spans="1:4" ht="13" x14ac:dyDescent="0.3">
      <c r="C16" s="13" t="s">
        <v>25</v>
      </c>
    </row>
    <row r="20" spans="2:3" ht="13" x14ac:dyDescent="0.3">
      <c r="C20" s="13" t="s">
        <v>29</v>
      </c>
    </row>
    <row r="24" spans="2:3" x14ac:dyDescent="0.25">
      <c r="B24" t="s">
        <v>67</v>
      </c>
    </row>
    <row r="25" spans="2:3" x14ac:dyDescent="0.25">
      <c r="C25" t="s">
        <v>68</v>
      </c>
    </row>
    <row r="26" spans="2:3" x14ac:dyDescent="0.25">
      <c r="B26" t="s">
        <v>69</v>
      </c>
    </row>
    <row r="27" spans="2:3" x14ac:dyDescent="0.25">
      <c r="C27" t="s">
        <v>70</v>
      </c>
    </row>
    <row r="28" spans="2:3" x14ac:dyDescent="0.25">
      <c r="B28" t="s">
        <v>71</v>
      </c>
    </row>
    <row r="29" spans="2:3" x14ac:dyDescent="0.25">
      <c r="B29" t="s">
        <v>72</v>
      </c>
    </row>
  </sheetData>
  <hyperlinks>
    <hyperlink ref="A1" location="Main!A1" display="Main" xr:uid="{7D54AC95-4354-4128-99E0-AB248A696F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aficamten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2024-10-05T03:13:10Z</dcterms:created>
  <dcterms:modified xsi:type="dcterms:W3CDTF">2026-08-10T18:16:05Z</dcterms:modified>
</cp:coreProperties>
</file>