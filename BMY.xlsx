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E5D3922A-E4B3-4565-85CA-411A9975A70A}" xr6:coauthVersionLast="47" xr6:coauthVersionMax="47" xr10:uidLastSave="{00000000-0000-0000-0000-000000000000}"/>
  <bookViews>
    <workbookView xWindow="8980" yWindow="4440" windowWidth="21060" windowHeight="13820" activeTab="2" xr2:uid="{00000000-000D-0000-FFFF-FFFF00000000}"/>
  </bookViews>
  <sheets>
    <sheet name="Master" sheetId="23" r:id="rId1"/>
    <sheet name="Main" sheetId="1" r:id="rId2"/>
    <sheet name="Model" sheetId="6" r:id="rId3"/>
    <sheet name="Cobenfy" sheetId="24" r:id="rId4"/>
    <sheet name="Opdivo" sheetId="19" r:id="rId5"/>
    <sheet name="Orencia" sheetId="3" r:id="rId6"/>
    <sheet name="Yervoy" sheetId="10" r:id="rId7"/>
    <sheet name="Eliquis" sheetId="9" r:id="rId8"/>
    <sheet name="Camzyos" sheetId="25" r:id="rId9"/>
    <sheet name="Empliciti" sheetId="22" r:id="rId10"/>
    <sheet name="Avapro" sheetId="17" r:id="rId11"/>
    <sheet name="Plavix" sheetId="2" r:id="rId12"/>
    <sheet name="Abilify" sheetId="11" r:id="rId13"/>
    <sheet name="Reyataz" sheetId="15" r:id="rId14"/>
    <sheet name="Sprycel" sheetId="8" r:id="rId15"/>
    <sheet name="Erbitux" sheetId="12" r:id="rId16"/>
    <sheet name="Onglyza" sheetId="18" r:id="rId17"/>
    <sheet name="Sustiva" sheetId="16" r:id="rId18"/>
    <sheet name="dapagliflozin" sheetId="13" r:id="rId19"/>
    <sheet name="ixabepilone" sheetId="7" r:id="rId20"/>
    <sheet name="790052" sheetId="14" r:id="rId21"/>
    <sheet name="Discontinuations" sheetId="5" r:id="rId22"/>
    <sheet name="brivanib" sheetId="21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6" i="1" l="1"/>
  <c r="K5" i="1"/>
  <c r="CL76" i="6"/>
  <c r="CK76" i="6"/>
  <c r="CJ76" i="6"/>
  <c r="CL75" i="6"/>
  <c r="CK75" i="6"/>
  <c r="CJ75" i="6"/>
  <c r="CL74" i="6"/>
  <c r="CK74" i="6"/>
  <c r="CJ74" i="6"/>
  <c r="CL72" i="6"/>
  <c r="DD72" i="6"/>
  <c r="CK72" i="6"/>
  <c r="CJ72" i="6"/>
  <c r="CK57" i="6"/>
  <c r="CJ57" i="6"/>
  <c r="CJ59" i="6"/>
  <c r="CK59" i="6" s="1"/>
  <c r="CL61" i="6"/>
  <c r="CK61" i="6"/>
  <c r="CJ61" i="6"/>
  <c r="CL70" i="6"/>
  <c r="CK70" i="6"/>
  <c r="CJ70" i="6"/>
  <c r="CJ62" i="6"/>
  <c r="CL57" i="6"/>
  <c r="CL12" i="6"/>
  <c r="CK12" i="6"/>
  <c r="CL17" i="6"/>
  <c r="CK17" i="6"/>
  <c r="CJ17" i="6"/>
  <c r="CL5" i="6"/>
  <c r="CL4" i="6"/>
  <c r="CL14" i="6"/>
  <c r="CK14" i="6"/>
  <c r="CJ14" i="6"/>
  <c r="CI62" i="6"/>
  <c r="CI76" i="6"/>
  <c r="CI75" i="6"/>
  <c r="CI74" i="6"/>
  <c r="CI72" i="6"/>
  <c r="CI14" i="6"/>
  <c r="CP58" i="6"/>
  <c r="CL56" i="6"/>
  <c r="CL58" i="6" s="1"/>
  <c r="CK56" i="6"/>
  <c r="CJ56" i="6"/>
  <c r="CJ58" i="6" s="1"/>
  <c r="CI56" i="6"/>
  <c r="CI58" i="6" s="1"/>
  <c r="CI63" i="6" s="1"/>
  <c r="CI65" i="6" s="1"/>
  <c r="CI68" i="6" s="1"/>
  <c r="CI69" i="6" s="1"/>
  <c r="CE92" i="6"/>
  <c r="CF92" i="6"/>
  <c r="CG92" i="6"/>
  <c r="CH92" i="6"/>
  <c r="CE88" i="6"/>
  <c r="CF88" i="6"/>
  <c r="CG88" i="6"/>
  <c r="CH88" i="6"/>
  <c r="CE66" i="6"/>
  <c r="BY107" i="6"/>
  <c r="BY117" i="6" s="1"/>
  <c r="BY119" i="6" s="1"/>
  <c r="BY96" i="6"/>
  <c r="BY102" i="6"/>
  <c r="BX145" i="6"/>
  <c r="BY145" i="6" s="1"/>
  <c r="BX142" i="6"/>
  <c r="BY142" i="6" s="1"/>
  <c r="BX141" i="6"/>
  <c r="BY141" i="6" s="1"/>
  <c r="BX140" i="6"/>
  <c r="BY140" i="6" s="1"/>
  <c r="BX136" i="6"/>
  <c r="BY136" i="6" s="1"/>
  <c r="BX135" i="6"/>
  <c r="BY135" i="6" s="1"/>
  <c r="BX134" i="6"/>
  <c r="BY134" i="6" s="1"/>
  <c r="BX129" i="6"/>
  <c r="BY129" i="6" s="1"/>
  <c r="BX126" i="6"/>
  <c r="BY126" i="6" s="1"/>
  <c r="BX125" i="6"/>
  <c r="BY125" i="6" s="1"/>
  <c r="BX124" i="6"/>
  <c r="BY124" i="6" s="1"/>
  <c r="BX123" i="6"/>
  <c r="BY123" i="6" s="1"/>
  <c r="BX107" i="6"/>
  <c r="BX117" i="6" s="1"/>
  <c r="BX119" i="6" s="1"/>
  <c r="BX102" i="6"/>
  <c r="BX96" i="6"/>
  <c r="BX95" i="6" s="1"/>
  <c r="BW139" i="6"/>
  <c r="BW143" i="6" s="1"/>
  <c r="BZ137" i="6"/>
  <c r="BW133" i="6"/>
  <c r="BW137" i="6" s="1"/>
  <c r="BW130" i="6"/>
  <c r="BX130" i="6" s="1"/>
  <c r="BY130" i="6" s="1"/>
  <c r="BW128" i="6"/>
  <c r="BX128" i="6" s="1"/>
  <c r="BY128" i="6" s="1"/>
  <c r="BW127" i="6"/>
  <c r="BX127" i="6" s="1"/>
  <c r="BY127" i="6" s="1"/>
  <c r="BZ131" i="6"/>
  <c r="BW107" i="6"/>
  <c r="BW117" i="6" s="1"/>
  <c r="BW119" i="6" s="1"/>
  <c r="BZ105" i="6"/>
  <c r="BW102" i="6"/>
  <c r="BV105" i="6"/>
  <c r="BU105" i="6"/>
  <c r="BW96" i="6"/>
  <c r="BW105" i="6" s="1"/>
  <c r="BZ95" i="6"/>
  <c r="BV95" i="6"/>
  <c r="BU95" i="6"/>
  <c r="DY158" i="6"/>
  <c r="DY159" i="6" s="1"/>
  <c r="DX158" i="6"/>
  <c r="DX159" i="6" s="1"/>
  <c r="DW158" i="6"/>
  <c r="DW159" i="6" s="1"/>
  <c r="DY118" i="6"/>
  <c r="DY115" i="6"/>
  <c r="DY114" i="6"/>
  <c r="DY113" i="6"/>
  <c r="DY112" i="6"/>
  <c r="DY111" i="6"/>
  <c r="DY110" i="6"/>
  <c r="DY109" i="6"/>
  <c r="DY108" i="6"/>
  <c r="DY103" i="6"/>
  <c r="DY101" i="6"/>
  <c r="DY100" i="6"/>
  <c r="DY99" i="6"/>
  <c r="DY98" i="6"/>
  <c r="DY97" i="6"/>
  <c r="CD116" i="6"/>
  <c r="DY116" i="6" s="1"/>
  <c r="CD107" i="6"/>
  <c r="CD96" i="6"/>
  <c r="DY96" i="6" s="1"/>
  <c r="CD104" i="6"/>
  <c r="DY104" i="6" s="1"/>
  <c r="CD102" i="6"/>
  <c r="DY102" i="6" s="1"/>
  <c r="DX26" i="6"/>
  <c r="CK58" i="6" l="1"/>
  <c r="CJ63" i="6"/>
  <c r="CJ65" i="6" s="1"/>
  <c r="CL59" i="6"/>
  <c r="CL62" i="6" s="1"/>
  <c r="CL63" i="6" s="1"/>
  <c r="CL65" i="6" s="1"/>
  <c r="CK62" i="6"/>
  <c r="CK63" i="6" s="1"/>
  <c r="CK65" i="6" s="1"/>
  <c r="CL66" i="6"/>
  <c r="CL68" i="6"/>
  <c r="CL69" i="6" s="1"/>
  <c r="CK66" i="6"/>
  <c r="CK68" i="6" s="1"/>
  <c r="CK69" i="6" s="1"/>
  <c r="CJ66" i="6"/>
  <c r="CJ68" i="6" s="1"/>
  <c r="CJ69" i="6" s="1"/>
  <c r="CD117" i="6"/>
  <c r="CD119" i="6" s="1"/>
  <c r="BZ146" i="6"/>
  <c r="BY131" i="6"/>
  <c r="BX105" i="6"/>
  <c r="BX139" i="6"/>
  <c r="BX143" i="6" s="1"/>
  <c r="BX131" i="6"/>
  <c r="BY95" i="6"/>
  <c r="BX133" i="6"/>
  <c r="BY133" i="6" s="1"/>
  <c r="BY137" i="6" s="1"/>
  <c r="BY105" i="6"/>
  <c r="BW131" i="6"/>
  <c r="BW146" i="6" s="1"/>
  <c r="BW95" i="6"/>
  <c r="DY105" i="6"/>
  <c r="CD105" i="6"/>
  <c r="DY107" i="6"/>
  <c r="DY117" i="6" s="1"/>
  <c r="DY119" i="6" s="1"/>
  <c r="CD95" i="6"/>
  <c r="CC116" i="6"/>
  <c r="CC107" i="6"/>
  <c r="CC102" i="6"/>
  <c r="CC96" i="6"/>
  <c r="CC104" i="6"/>
  <c r="BY139" i="6" l="1"/>
  <c r="BY143" i="6" s="1"/>
  <c r="BY146" i="6" s="1"/>
  <c r="BX137" i="6"/>
  <c r="BX146" i="6" s="1"/>
  <c r="CC95" i="6"/>
  <c r="CC117" i="6"/>
  <c r="CC119" i="6" s="1"/>
  <c r="CC105" i="6"/>
  <c r="CH76" i="6"/>
  <c r="CG76" i="6"/>
  <c r="CF76" i="6"/>
  <c r="CE76" i="6"/>
  <c r="CD76" i="6"/>
  <c r="CC76" i="6"/>
  <c r="CD79" i="6"/>
  <c r="CC79" i="6"/>
  <c r="CD57" i="6"/>
  <c r="AL40" i="6"/>
  <c r="AM66" i="6"/>
  <c r="AS62" i="6" l="1"/>
  <c r="AO62" i="6"/>
  <c r="AO56" i="6"/>
  <c r="AP62" i="6"/>
  <c r="AX79" i="6"/>
  <c r="AX75" i="6"/>
  <c r="AX74" i="6"/>
  <c r="AT62" i="6"/>
  <c r="X11" i="6"/>
  <c r="I11" i="6"/>
  <c r="J11" i="6"/>
  <c r="K11" i="6"/>
  <c r="L11" i="6"/>
  <c r="M11" i="6"/>
  <c r="E11" i="6"/>
  <c r="D11" i="6"/>
  <c r="C11" i="6"/>
  <c r="H11" i="6"/>
  <c r="G11" i="6"/>
  <c r="F11" i="6"/>
  <c r="V11" i="6"/>
  <c r="U11" i="6"/>
  <c r="T11" i="6"/>
  <c r="S11" i="6"/>
  <c r="R11" i="6"/>
  <c r="Q11" i="6"/>
  <c r="P11" i="6"/>
  <c r="O11" i="6"/>
  <c r="N11" i="6"/>
  <c r="AP56" i="6"/>
  <c r="AT56" i="6"/>
  <c r="AT58" i="6" s="1"/>
  <c r="AT63" i="6" s="1"/>
  <c r="AS56" i="6"/>
  <c r="AS58" i="6" s="1"/>
  <c r="AR62" i="6"/>
  <c r="AY79" i="6"/>
  <c r="AY75" i="6"/>
  <c r="AY74" i="6"/>
  <c r="AZ79" i="6"/>
  <c r="AZ75" i="6"/>
  <c r="AZ74" i="6"/>
  <c r="AV62" i="6"/>
  <c r="AR56" i="6"/>
  <c r="AR58" i="6" s="1"/>
  <c r="AQ62" i="6"/>
  <c r="AU62" i="6"/>
  <c r="AQ56" i="6"/>
  <c r="AQ58" i="6" s="1"/>
  <c r="AU56" i="6"/>
  <c r="AU58" i="6" s="1"/>
  <c r="AV56" i="6"/>
  <c r="AV58" i="6" s="1"/>
  <c r="CB145" i="6"/>
  <c r="CB142" i="6"/>
  <c r="CB141" i="6"/>
  <c r="CB136" i="6"/>
  <c r="CB135" i="6"/>
  <c r="CB134" i="6"/>
  <c r="CB129" i="6"/>
  <c r="CB126" i="6"/>
  <c r="CB125" i="6"/>
  <c r="CB124" i="6"/>
  <c r="CB123" i="6"/>
  <c r="CA139" i="6"/>
  <c r="CA143" i="6" s="1"/>
  <c r="CA133" i="6"/>
  <c r="CB133" i="6" s="1"/>
  <c r="CC133" i="6" s="1"/>
  <c r="CA130" i="6"/>
  <c r="CB130" i="6" s="1"/>
  <c r="CC130" i="6" s="1"/>
  <c r="CD130" i="6" s="1"/>
  <c r="CA128" i="6"/>
  <c r="CB128" i="6" s="1"/>
  <c r="CC128" i="6" s="1"/>
  <c r="CD128" i="6" s="1"/>
  <c r="CA127" i="6"/>
  <c r="CB127" i="6" s="1"/>
  <c r="CC127" i="6" s="1"/>
  <c r="CD127" i="6" s="1"/>
  <c r="CA116" i="6"/>
  <c r="CA107" i="6"/>
  <c r="CA117" i="6" s="1"/>
  <c r="CA119" i="6" s="1"/>
  <c r="CA96" i="6"/>
  <c r="CA102" i="6"/>
  <c r="CA104" i="6"/>
  <c r="EB26" i="6"/>
  <c r="EC26" i="6" s="1"/>
  <c r="ED26" i="6" s="1"/>
  <c r="EE26" i="6" s="1"/>
  <c r="EF26" i="6" s="1"/>
  <c r="EG26" i="6" s="1"/>
  <c r="EH26" i="6" s="1"/>
  <c r="EI26" i="6" s="1"/>
  <c r="EJ26" i="6" s="1"/>
  <c r="CB70" i="6"/>
  <c r="CE62" i="6"/>
  <c r="DZ67" i="6"/>
  <c r="DY67" i="6"/>
  <c r="DZ64" i="6"/>
  <c r="DY26" i="6"/>
  <c r="DY13" i="6"/>
  <c r="DZ18" i="6"/>
  <c r="AQ63" i="6" l="1"/>
  <c r="AQ65" i="6" s="1"/>
  <c r="AQ68" i="6" s="1"/>
  <c r="AQ69" i="6" s="1"/>
  <c r="CA105" i="6"/>
  <c r="AT72" i="6"/>
  <c r="CB139" i="6"/>
  <c r="CC139" i="6" s="1"/>
  <c r="CB131" i="6"/>
  <c r="DZ16" i="6"/>
  <c r="DY130" i="6"/>
  <c r="CC136" i="6"/>
  <c r="CD136" i="6" s="1"/>
  <c r="CA137" i="6"/>
  <c r="CC126" i="6"/>
  <c r="CD126" i="6" s="1"/>
  <c r="CC129" i="6"/>
  <c r="CD129" i="6" s="1"/>
  <c r="CC134" i="6"/>
  <c r="CD134" i="6" s="1"/>
  <c r="CB137" i="6"/>
  <c r="CC141" i="6"/>
  <c r="CD141" i="6" s="1"/>
  <c r="CC145" i="6"/>
  <c r="CC125" i="6"/>
  <c r="CD125" i="6" s="1"/>
  <c r="CC135" i="6"/>
  <c r="CD135" i="6" s="1"/>
  <c r="CB143" i="6"/>
  <c r="CB146" i="6" s="1"/>
  <c r="DY128" i="6"/>
  <c r="DZ8" i="6"/>
  <c r="CD133" i="6"/>
  <c r="CD137" i="6" s="1"/>
  <c r="CD139" i="6"/>
  <c r="CC142" i="6"/>
  <c r="CD142" i="6" s="1"/>
  <c r="DY139" i="6"/>
  <c r="CC123" i="6"/>
  <c r="AU63" i="6"/>
  <c r="AU65" i="6" s="1"/>
  <c r="AU68" i="6" s="1"/>
  <c r="AU69" i="6" s="1"/>
  <c r="CA131" i="6"/>
  <c r="DY127" i="6"/>
  <c r="CC124" i="6"/>
  <c r="CD124" i="6" s="1"/>
  <c r="AP58" i="6"/>
  <c r="AP63" i="6" s="1"/>
  <c r="AP65" i="6" s="1"/>
  <c r="AP68" i="6" s="1"/>
  <c r="AP69" i="6" s="1"/>
  <c r="AV72" i="6"/>
  <c r="AS63" i="6"/>
  <c r="AS65" i="6" s="1"/>
  <c r="AS68" i="6" s="1"/>
  <c r="AS69" i="6" s="1"/>
  <c r="AO58" i="6"/>
  <c r="AS72" i="6"/>
  <c r="AU72" i="6"/>
  <c r="AO63" i="6"/>
  <c r="AO65" i="6" s="1"/>
  <c r="AO68" i="6" s="1"/>
  <c r="AO69" i="6" s="1"/>
  <c r="AT65" i="6"/>
  <c r="AT68" i="6" s="1"/>
  <c r="AT69" i="6" s="1"/>
  <c r="AR63" i="6"/>
  <c r="AR65" i="6" s="1"/>
  <c r="AR68" i="6" s="1"/>
  <c r="AR69" i="6" s="1"/>
  <c r="AV63" i="6"/>
  <c r="AV65" i="6" s="1"/>
  <c r="AV68" i="6" s="1"/>
  <c r="AV69" i="6" s="1"/>
  <c r="DY18" i="6"/>
  <c r="DY8" i="6"/>
  <c r="DY16" i="6"/>
  <c r="DZ10" i="6"/>
  <c r="DY15" i="6"/>
  <c r="DY20" i="6"/>
  <c r="DY14" i="6"/>
  <c r="CC70" i="6"/>
  <c r="DY10" i="6"/>
  <c r="DZ13" i="6"/>
  <c r="CA95" i="6"/>
  <c r="DX19" i="6"/>
  <c r="BB79" i="6"/>
  <c r="BA79" i="6"/>
  <c r="BI79" i="6"/>
  <c r="BH79" i="6"/>
  <c r="BG79" i="6"/>
  <c r="BF79" i="6"/>
  <c r="BE79" i="6"/>
  <c r="BD79" i="6"/>
  <c r="BC79" i="6"/>
  <c r="BN79" i="6"/>
  <c r="BM79" i="6"/>
  <c r="BL79" i="6"/>
  <c r="BK79" i="6"/>
  <c r="BJ79" i="6"/>
  <c r="BS79" i="6"/>
  <c r="BR79" i="6"/>
  <c r="BQ79" i="6"/>
  <c r="BP79" i="6"/>
  <c r="BO79" i="6"/>
  <c r="BW79" i="6"/>
  <c r="BV79" i="6"/>
  <c r="BU79" i="6"/>
  <c r="BT79" i="6"/>
  <c r="CA79" i="6"/>
  <c r="BZ79" i="6"/>
  <c r="BY79" i="6"/>
  <c r="BX79" i="6"/>
  <c r="CB79" i="6"/>
  <c r="DY7" i="6"/>
  <c r="DX11" i="6"/>
  <c r="DU6" i="6"/>
  <c r="CF75" i="6"/>
  <c r="CE75" i="6"/>
  <c r="CH75" i="6"/>
  <c r="CD75" i="6"/>
  <c r="CB75" i="6"/>
  <c r="CA75" i="6"/>
  <c r="BZ75" i="6"/>
  <c r="BY75" i="6"/>
  <c r="BX75" i="6"/>
  <c r="CH74" i="6"/>
  <c r="CF74" i="6"/>
  <c r="CE74" i="6"/>
  <c r="CD74" i="6"/>
  <c r="CA146" i="6" l="1"/>
  <c r="DY141" i="6"/>
  <c r="CD145" i="6"/>
  <c r="DY133" i="6"/>
  <c r="DY145" i="6"/>
  <c r="CD123" i="6"/>
  <c r="CD131" i="6" s="1"/>
  <c r="CC131" i="6"/>
  <c r="DY142" i="6"/>
  <c r="DY143" i="6" s="1"/>
  <c r="DY124" i="6"/>
  <c r="DY134" i="6"/>
  <c r="DY123" i="6"/>
  <c r="DY126" i="6"/>
  <c r="CC143" i="6"/>
  <c r="DY125" i="6"/>
  <c r="DY129" i="6"/>
  <c r="CD143" i="6"/>
  <c r="CD146" i="6" s="1"/>
  <c r="DY136" i="6"/>
  <c r="DY135" i="6"/>
  <c r="CC137" i="6"/>
  <c r="DY17" i="6"/>
  <c r="DY9" i="6"/>
  <c r="DY11" i="6"/>
  <c r="DY21" i="6"/>
  <c r="CE56" i="6"/>
  <c r="CE58" i="6" s="1"/>
  <c r="DZ17" i="6"/>
  <c r="CC56" i="6"/>
  <c r="CC75" i="6"/>
  <c r="DY5" i="6"/>
  <c r="DY6" i="6"/>
  <c r="DY12" i="6"/>
  <c r="DZ9" i="6"/>
  <c r="DZ21" i="6"/>
  <c r="EA21" i="6" s="1"/>
  <c r="EB21" i="6" s="1"/>
  <c r="EC21" i="6" s="1"/>
  <c r="ED21" i="6" s="1"/>
  <c r="EE21" i="6" s="1"/>
  <c r="EF21" i="6" s="1"/>
  <c r="EG21" i="6" s="1"/>
  <c r="EH21" i="6" s="1"/>
  <c r="EI21" i="6" s="1"/>
  <c r="EJ21" i="6" s="1"/>
  <c r="DZ6" i="6"/>
  <c r="DZ7" i="6"/>
  <c r="EA7" i="6" s="1"/>
  <c r="EB7" i="6" s="1"/>
  <c r="EC7" i="6" s="1"/>
  <c r="ED7" i="6" s="1"/>
  <c r="EE7" i="6" s="1"/>
  <c r="EF7" i="6" s="1"/>
  <c r="EG7" i="6" s="1"/>
  <c r="EH7" i="6" s="1"/>
  <c r="EI7" i="6" s="1"/>
  <c r="EJ7" i="6" s="1"/>
  <c r="DZ3" i="6"/>
  <c r="DY3" i="6"/>
  <c r="DZ14" i="6"/>
  <c r="DY70" i="6"/>
  <c r="DZ70" i="6" s="1"/>
  <c r="EA70" i="6" s="1"/>
  <c r="EB70" i="6" s="1"/>
  <c r="EC70" i="6" s="1"/>
  <c r="ED70" i="6" s="1"/>
  <c r="EE70" i="6" s="1"/>
  <c r="EF70" i="6" s="1"/>
  <c r="EG70" i="6" s="1"/>
  <c r="EH70" i="6" s="1"/>
  <c r="EI70" i="6" s="1"/>
  <c r="EJ70" i="6" s="1"/>
  <c r="CD56" i="6"/>
  <c r="CD58" i="6" s="1"/>
  <c r="CD88" i="6" s="1"/>
  <c r="DY19" i="6"/>
  <c r="CF70" i="6"/>
  <c r="DZ4" i="6"/>
  <c r="EA4" i="6" s="1"/>
  <c r="EB4" i="6" s="1"/>
  <c r="EC4" i="6" s="1"/>
  <c r="ED4" i="6" s="1"/>
  <c r="EE4" i="6" s="1"/>
  <c r="EF4" i="6" s="1"/>
  <c r="EG4" i="6" s="1"/>
  <c r="EH4" i="6" s="1"/>
  <c r="EI4" i="6" s="1"/>
  <c r="EJ4" i="6" s="1"/>
  <c r="DY4" i="6"/>
  <c r="CC74" i="6"/>
  <c r="CC146" i="6" l="1"/>
  <c r="DY137" i="6"/>
  <c r="DY131" i="6"/>
  <c r="DZ11" i="6"/>
  <c r="EA11" i="6" s="1"/>
  <c r="EB11" i="6" s="1"/>
  <c r="EC11" i="6" s="1"/>
  <c r="ED11" i="6" s="1"/>
  <c r="EE11" i="6" s="1"/>
  <c r="EF11" i="6" s="1"/>
  <c r="EG11" i="6" s="1"/>
  <c r="EH11" i="6" s="1"/>
  <c r="EI11" i="6" s="1"/>
  <c r="EJ11" i="6" s="1"/>
  <c r="DY146" i="6"/>
  <c r="DZ5" i="6"/>
  <c r="CG75" i="6"/>
  <c r="EA6" i="6"/>
  <c r="EB6" i="6" s="1"/>
  <c r="EC6" i="6" s="1"/>
  <c r="ED6" i="6" s="1"/>
  <c r="EE6" i="6" s="1"/>
  <c r="EF6" i="6" s="1"/>
  <c r="EG6" i="6" s="1"/>
  <c r="EH6" i="6" s="1"/>
  <c r="EI6" i="6" s="1"/>
  <c r="EJ6" i="6" s="1"/>
  <c r="DY56" i="6"/>
  <c r="DZ15" i="6"/>
  <c r="CC58" i="6"/>
  <c r="CC88" i="6" s="1"/>
  <c r="CE63" i="6"/>
  <c r="CE65" i="6" s="1"/>
  <c r="CE68" i="6" s="1"/>
  <c r="CE69" i="6" s="1"/>
  <c r="DZ20" i="6"/>
  <c r="EA20" i="6" s="1"/>
  <c r="EB20" i="6" s="1"/>
  <c r="EC20" i="6" s="1"/>
  <c r="ED20" i="6" s="1"/>
  <c r="EE20" i="6" s="1"/>
  <c r="EF20" i="6" s="1"/>
  <c r="EG20" i="6" s="1"/>
  <c r="EH20" i="6" s="1"/>
  <c r="EI20" i="6" s="1"/>
  <c r="EJ20" i="6" s="1"/>
  <c r="DZ12" i="6"/>
  <c r="CF56" i="6"/>
  <c r="CG70" i="6"/>
  <c r="CG74" i="6"/>
  <c r="CC57" i="6" l="1"/>
  <c r="CF58" i="6"/>
  <c r="CG56" i="6"/>
  <c r="CG58" i="6" l="1"/>
  <c r="CG72" i="6"/>
  <c r="CH56" i="6"/>
  <c r="DZ19" i="6"/>
  <c r="EA19" i="6" s="1"/>
  <c r="EB19" i="6" s="1"/>
  <c r="EC19" i="6" s="1"/>
  <c r="ED19" i="6" s="1"/>
  <c r="CF57" i="6"/>
  <c r="CH58" i="6" l="1"/>
  <c r="CH72" i="6"/>
  <c r="CG57" i="6"/>
  <c r="CH57" i="6" l="1"/>
  <c r="DZ57" i="6" s="1"/>
  <c r="CB56" i="6" l="1"/>
  <c r="CB76" i="6"/>
  <c r="CB74" i="6"/>
  <c r="DX20" i="6"/>
  <c r="DX21" i="6"/>
  <c r="CA66" i="6"/>
  <c r="CA64" i="6"/>
  <c r="DY64" i="6" s="1"/>
  <c r="CA57" i="6"/>
  <c r="CA76" i="6"/>
  <c r="CA74" i="6"/>
  <c r="CA62" i="6"/>
  <c r="CA56" i="6"/>
  <c r="CE72" i="6" s="1"/>
  <c r="CB116" i="6"/>
  <c r="CB107" i="6"/>
  <c r="CB104" i="6"/>
  <c r="CB96" i="6"/>
  <c r="CB102" i="6"/>
  <c r="BV76" i="6"/>
  <c r="BV75" i="6"/>
  <c r="BV74" i="6"/>
  <c r="BF75" i="6"/>
  <c r="BE75" i="6"/>
  <c r="BD75" i="6"/>
  <c r="BF74" i="6"/>
  <c r="BE74" i="6"/>
  <c r="BD74" i="6"/>
  <c r="AW57" i="6"/>
  <c r="BA57" i="6"/>
  <c r="BA75" i="6"/>
  <c r="BA74" i="6"/>
  <c r="AW62" i="6"/>
  <c r="BA62" i="6"/>
  <c r="AW56" i="6"/>
  <c r="AW72" i="6" s="1"/>
  <c r="AX57" i="6"/>
  <c r="BB57" i="6"/>
  <c r="BB75" i="6"/>
  <c r="BB74" i="6"/>
  <c r="AX62" i="6"/>
  <c r="BB62" i="6"/>
  <c r="AX56" i="6"/>
  <c r="AX72" i="6" s="1"/>
  <c r="BC75" i="6"/>
  <c r="BC74" i="6"/>
  <c r="BC57" i="6"/>
  <c r="BG75" i="6"/>
  <c r="BG74" i="6"/>
  <c r="BJ75" i="6"/>
  <c r="BI75" i="6"/>
  <c r="BH75" i="6"/>
  <c r="BJ74" i="6"/>
  <c r="BI74" i="6"/>
  <c r="BH74" i="6"/>
  <c r="AY62" i="6"/>
  <c r="BC62" i="6"/>
  <c r="AY56" i="6"/>
  <c r="AY72" i="6" s="1"/>
  <c r="AZ57" i="6"/>
  <c r="BD57" i="6"/>
  <c r="AZ62" i="6"/>
  <c r="BD62" i="6"/>
  <c r="BC56" i="6"/>
  <c r="AZ56" i="6"/>
  <c r="AZ72" i="6" s="1"/>
  <c r="BA56" i="6"/>
  <c r="BB56" i="6"/>
  <c r="BD56" i="6"/>
  <c r="BT107" i="6"/>
  <c r="BT119" i="6" s="1"/>
  <c r="DW19" i="6"/>
  <c r="DW25" i="6"/>
  <c r="DW18" i="6"/>
  <c r="DW9" i="6"/>
  <c r="DW3" i="6"/>
  <c r="DW5" i="6"/>
  <c r="DW10" i="6"/>
  <c r="DW8" i="6"/>
  <c r="DW7" i="6"/>
  <c r="DW4" i="6"/>
  <c r="DW23" i="6"/>
  <c r="EE19" i="6"/>
  <c r="EF19" i="6" s="1"/>
  <c r="DV19" i="6"/>
  <c r="DU19" i="6"/>
  <c r="BT102" i="6"/>
  <c r="BT96" i="6"/>
  <c r="BU74" i="6"/>
  <c r="BW70" i="6"/>
  <c r="BX70" i="6" s="1"/>
  <c r="BY70" i="6" s="1"/>
  <c r="BZ70" i="6" s="1"/>
  <c r="BZ61" i="6"/>
  <c r="CH61" i="6" s="1"/>
  <c r="BU70" i="6"/>
  <c r="BU67" i="6"/>
  <c r="BU61" i="6"/>
  <c r="BY61" i="6" s="1"/>
  <c r="BU76" i="6"/>
  <c r="BN61" i="6"/>
  <c r="BN59" i="6"/>
  <c r="BN57" i="6"/>
  <c r="BR59" i="6"/>
  <c r="BR62" i="6" s="1"/>
  <c r="BO59" i="6"/>
  <c r="BO61" i="6"/>
  <c r="BO57" i="6"/>
  <c r="BS57" i="6"/>
  <c r="BP61" i="6"/>
  <c r="BP59" i="6"/>
  <c r="BP57" i="6"/>
  <c r="BT61" i="6"/>
  <c r="BT59" i="6"/>
  <c r="BT57" i="6"/>
  <c r="BE56" i="6"/>
  <c r="BW75" i="6"/>
  <c r="BU75" i="6"/>
  <c r="BY74" i="6"/>
  <c r="BX74" i="6"/>
  <c r="BW74" i="6"/>
  <c r="BZ74" i="6"/>
  <c r="BZ76" i="6"/>
  <c r="DW24" i="6"/>
  <c r="DW12" i="6"/>
  <c r="DV46" i="6"/>
  <c r="DU46" i="6"/>
  <c r="DV27" i="6"/>
  <c r="DU27" i="6"/>
  <c r="DU17" i="6"/>
  <c r="DU13" i="6"/>
  <c r="DU12" i="6"/>
  <c r="DU25" i="6"/>
  <c r="DU24" i="6"/>
  <c r="DU15" i="6"/>
  <c r="DU16" i="6"/>
  <c r="DU18" i="6"/>
  <c r="DU9" i="6"/>
  <c r="DU14" i="6"/>
  <c r="DU3" i="6"/>
  <c r="DM5" i="6"/>
  <c r="DU5" i="6"/>
  <c r="DU10" i="6"/>
  <c r="DU8" i="6"/>
  <c r="DU7" i="6"/>
  <c r="DU4" i="6"/>
  <c r="DU23" i="6"/>
  <c r="BF56" i="6"/>
  <c r="BK57" i="6"/>
  <c r="BK64" i="6"/>
  <c r="BL75" i="6"/>
  <c r="BK75" i="6"/>
  <c r="BL74" i="6"/>
  <c r="BK74" i="6"/>
  <c r="BO76" i="6"/>
  <c r="BN76" i="6"/>
  <c r="BO75" i="6"/>
  <c r="BN75" i="6"/>
  <c r="BM75" i="6"/>
  <c r="BO74" i="6"/>
  <c r="BN74" i="6"/>
  <c r="BM74" i="6"/>
  <c r="BG64" i="6"/>
  <c r="BG62" i="6"/>
  <c r="BK62" i="6"/>
  <c r="BH64" i="6"/>
  <c r="BL64" i="6"/>
  <c r="BR76" i="6"/>
  <c r="BQ76" i="6"/>
  <c r="BP76" i="6"/>
  <c r="BR75" i="6"/>
  <c r="BQ75" i="6"/>
  <c r="BP75" i="6"/>
  <c r="BR74" i="6"/>
  <c r="BQ74" i="6"/>
  <c r="BP74" i="6"/>
  <c r="BH62" i="6"/>
  <c r="BL62" i="6"/>
  <c r="BT76" i="6"/>
  <c r="BT75" i="6"/>
  <c r="BT74" i="6"/>
  <c r="BM64" i="6"/>
  <c r="BM62" i="6"/>
  <c r="BQ64" i="6"/>
  <c r="BU64" i="6" s="1"/>
  <c r="DW64" i="6" s="1"/>
  <c r="BP56" i="6"/>
  <c r="BO56" i="6"/>
  <c r="BN56" i="6"/>
  <c r="BM56" i="6"/>
  <c r="BM58" i="6" s="1"/>
  <c r="BM88" i="6" s="1"/>
  <c r="BL56" i="6"/>
  <c r="BK56" i="6"/>
  <c r="BJ56" i="6"/>
  <c r="BI56" i="6"/>
  <c r="BH56" i="6"/>
  <c r="BG56" i="6"/>
  <c r="BT56" i="6"/>
  <c r="BS56" i="6"/>
  <c r="BR56" i="6"/>
  <c r="BR58" i="6" s="1"/>
  <c r="BR88" i="6" s="1"/>
  <c r="BQ56" i="6"/>
  <c r="BQ58" i="6" s="1"/>
  <c r="BQ88" i="6" s="1"/>
  <c r="DV17" i="6"/>
  <c r="DV13" i="6"/>
  <c r="DV12" i="6"/>
  <c r="DV25" i="6"/>
  <c r="DV24" i="6"/>
  <c r="DV15" i="6"/>
  <c r="DV16" i="6"/>
  <c r="DV18" i="6"/>
  <c r="DV9" i="6"/>
  <c r="DV14" i="6"/>
  <c r="DV6" i="6"/>
  <c r="DV23" i="6"/>
  <c r="DV4" i="6"/>
  <c r="DV7" i="6"/>
  <c r="DV8" i="6"/>
  <c r="DV10" i="6"/>
  <c r="DV5" i="6"/>
  <c r="DV3" i="6"/>
  <c r="BS76" i="6"/>
  <c r="BS74" i="6"/>
  <c r="BS75" i="6"/>
  <c r="BQ62" i="6"/>
  <c r="BS62" i="6"/>
  <c r="AN62" i="6"/>
  <c r="AM62" i="6"/>
  <c r="AL62" i="6"/>
  <c r="AN56" i="6"/>
  <c r="AM56" i="6"/>
  <c r="AL56" i="6"/>
  <c r="AL58" i="6" s="1"/>
  <c r="AK107" i="6"/>
  <c r="AK96" i="6"/>
  <c r="AK112" i="6"/>
  <c r="AK102" i="6"/>
  <c r="AK77" i="6"/>
  <c r="AK78" i="6"/>
  <c r="AK79" i="6"/>
  <c r="AK80" i="6"/>
  <c r="AK81" i="6"/>
  <c r="AK82" i="6"/>
  <c r="AK83" i="6"/>
  <c r="AK84" i="6"/>
  <c r="AK85" i="6"/>
  <c r="AK86" i="6"/>
  <c r="AK62" i="6"/>
  <c r="AK40" i="6"/>
  <c r="AK56" i="6" s="1"/>
  <c r="AO72" i="6" s="1"/>
  <c r="AJ77" i="6"/>
  <c r="AJ78" i="6"/>
  <c r="AJ79" i="6"/>
  <c r="AJ80" i="6"/>
  <c r="AJ81" i="6"/>
  <c r="AJ82" i="6"/>
  <c r="AJ83" i="6"/>
  <c r="AJ84" i="6"/>
  <c r="AJ85" i="6"/>
  <c r="AJ86" i="6"/>
  <c r="AJ40" i="6"/>
  <c r="AJ56" i="6" s="1"/>
  <c r="AJ62" i="6"/>
  <c r="AI77" i="6"/>
  <c r="AI78" i="6"/>
  <c r="AI79" i="6"/>
  <c r="AI80" i="6"/>
  <c r="AI81" i="6"/>
  <c r="AI82" i="6"/>
  <c r="AI83" i="6"/>
  <c r="AI84" i="6"/>
  <c r="AI85" i="6"/>
  <c r="AI86" i="6"/>
  <c r="AI62" i="6"/>
  <c r="AI40" i="6"/>
  <c r="AI56" i="6" s="1"/>
  <c r="AH61" i="6"/>
  <c r="AH60" i="6"/>
  <c r="AH57" i="6"/>
  <c r="AH11" i="6"/>
  <c r="DM11" i="6" s="1"/>
  <c r="DN11" i="6" s="1"/>
  <c r="DO11" i="6" s="1"/>
  <c r="DP11" i="6" s="1"/>
  <c r="DQ11" i="6" s="1"/>
  <c r="DR11" i="6" s="1"/>
  <c r="AH29" i="6"/>
  <c r="DM29" i="6" s="1"/>
  <c r="AH35" i="6"/>
  <c r="AH80" i="6" s="1"/>
  <c r="AH42" i="6"/>
  <c r="DM42" i="6" s="1"/>
  <c r="DN42" i="6" s="1"/>
  <c r="DO42" i="6" s="1"/>
  <c r="AH38" i="6"/>
  <c r="DM38" i="6" s="1"/>
  <c r="DN38" i="6" s="1"/>
  <c r="DO38" i="6" s="1"/>
  <c r="AH8" i="6"/>
  <c r="DM8" i="6" s="1"/>
  <c r="AH10" i="6"/>
  <c r="DM10" i="6" s="1"/>
  <c r="AH3" i="6"/>
  <c r="DM3" i="6" s="1"/>
  <c r="AH46" i="6"/>
  <c r="DM46" i="6" s="1"/>
  <c r="DN46" i="6" s="1"/>
  <c r="DO46" i="6" s="1"/>
  <c r="AH45" i="6"/>
  <c r="DM45" i="6" s="1"/>
  <c r="DN45" i="6" s="1"/>
  <c r="DO45" i="6" s="1"/>
  <c r="AH44" i="6"/>
  <c r="AH43" i="6"/>
  <c r="AH84" i="6" s="1"/>
  <c r="AH39" i="6"/>
  <c r="DM39" i="6" s="1"/>
  <c r="AG64" i="6"/>
  <c r="AG59" i="6"/>
  <c r="AG62" i="6" s="1"/>
  <c r="AG40" i="6"/>
  <c r="AH40" i="6" s="1"/>
  <c r="AF112" i="6"/>
  <c r="AF110" i="6"/>
  <c r="AF107" i="6"/>
  <c r="AF96" i="6"/>
  <c r="AF102" i="6"/>
  <c r="AF64" i="6"/>
  <c r="AF62" i="6"/>
  <c r="DL8" i="6"/>
  <c r="AF56" i="6"/>
  <c r="AF89" i="6" s="1"/>
  <c r="DL10" i="6"/>
  <c r="DB77" i="6"/>
  <c r="DD77" i="6"/>
  <c r="DE77" i="6"/>
  <c r="DL67" i="6"/>
  <c r="DM67" i="6" s="1"/>
  <c r="DN67" i="6" s="1"/>
  <c r="DO67" i="6" s="1"/>
  <c r="DP67" i="6" s="1"/>
  <c r="DQ67" i="6" s="1"/>
  <c r="DR67" i="6" s="1"/>
  <c r="DS67" i="6" s="1"/>
  <c r="DT67" i="6" s="1"/>
  <c r="DU67" i="6" s="1"/>
  <c r="DV67" i="6" s="1"/>
  <c r="DW67" i="6" s="1"/>
  <c r="DX67" i="6" s="1"/>
  <c r="AH67" i="6"/>
  <c r="AE56" i="6"/>
  <c r="AE58" i="6" s="1"/>
  <c r="AF86" i="6"/>
  <c r="AD86" i="6"/>
  <c r="AC86" i="6"/>
  <c r="AB86" i="6"/>
  <c r="AA86" i="6"/>
  <c r="Z86" i="6"/>
  <c r="AE86" i="6"/>
  <c r="AG85" i="6"/>
  <c r="AF85" i="6"/>
  <c r="AE85" i="6"/>
  <c r="AD85" i="6"/>
  <c r="AC85" i="6"/>
  <c r="AB85" i="6"/>
  <c r="AA85" i="6"/>
  <c r="Z85" i="6"/>
  <c r="Y85" i="6"/>
  <c r="X85" i="6"/>
  <c r="W85" i="6"/>
  <c r="V85" i="6"/>
  <c r="U85" i="6"/>
  <c r="T85" i="6"/>
  <c r="S85" i="6"/>
  <c r="R85" i="6"/>
  <c r="Q85" i="6"/>
  <c r="P85" i="6"/>
  <c r="O85" i="6"/>
  <c r="N85" i="6"/>
  <c r="M85" i="6"/>
  <c r="AG84" i="6"/>
  <c r="AF84" i="6"/>
  <c r="AE84" i="6"/>
  <c r="AD84" i="6"/>
  <c r="AC84" i="6"/>
  <c r="AB84" i="6"/>
  <c r="AA84" i="6"/>
  <c r="Z84" i="6"/>
  <c r="Y84" i="6"/>
  <c r="X84" i="6"/>
  <c r="W84" i="6"/>
  <c r="V84" i="6"/>
  <c r="U84" i="6"/>
  <c r="T84" i="6"/>
  <c r="S84" i="6"/>
  <c r="R84" i="6"/>
  <c r="Q84" i="6"/>
  <c r="P84" i="6"/>
  <c r="O84" i="6"/>
  <c r="N84" i="6"/>
  <c r="M84" i="6"/>
  <c r="L84" i="6"/>
  <c r="K84" i="6"/>
  <c r="J84" i="6"/>
  <c r="I84" i="6"/>
  <c r="H84" i="6"/>
  <c r="G84" i="6"/>
  <c r="AG83" i="6"/>
  <c r="AF83" i="6"/>
  <c r="I83" i="6"/>
  <c r="H83" i="6"/>
  <c r="G83" i="6"/>
  <c r="AE83" i="6"/>
  <c r="AD83" i="6"/>
  <c r="AC83" i="6"/>
  <c r="AB83" i="6"/>
  <c r="AA83" i="6"/>
  <c r="Z83" i="6"/>
  <c r="Y83" i="6"/>
  <c r="X83" i="6"/>
  <c r="W83" i="6"/>
  <c r="V83" i="6"/>
  <c r="U83" i="6"/>
  <c r="T83" i="6"/>
  <c r="S83" i="6"/>
  <c r="R83" i="6"/>
  <c r="Q83" i="6"/>
  <c r="P83" i="6"/>
  <c r="O83" i="6"/>
  <c r="N83" i="6"/>
  <c r="M83" i="6"/>
  <c r="L83" i="6"/>
  <c r="K83" i="6"/>
  <c r="J83" i="6"/>
  <c r="AG82" i="6"/>
  <c r="AF82" i="6"/>
  <c r="AE82" i="6"/>
  <c r="AD82" i="6"/>
  <c r="AC82" i="6"/>
  <c r="AB82" i="6"/>
  <c r="AA82" i="6"/>
  <c r="Z82" i="6"/>
  <c r="Y82" i="6"/>
  <c r="X82" i="6"/>
  <c r="W82" i="6"/>
  <c r="V82" i="6"/>
  <c r="U82" i="6"/>
  <c r="T82" i="6"/>
  <c r="S82" i="6"/>
  <c r="R82" i="6"/>
  <c r="Q82" i="6"/>
  <c r="P82" i="6"/>
  <c r="O82" i="6"/>
  <c r="N82" i="6"/>
  <c r="M82" i="6"/>
  <c r="L82" i="6"/>
  <c r="K82" i="6"/>
  <c r="J82" i="6"/>
  <c r="AF81" i="6"/>
  <c r="AE81" i="6"/>
  <c r="AD81" i="6"/>
  <c r="AC81" i="6"/>
  <c r="AB81" i="6"/>
  <c r="AA81" i="6"/>
  <c r="Z81" i="6"/>
  <c r="Y81" i="6"/>
  <c r="X81" i="6"/>
  <c r="W81" i="6"/>
  <c r="V81" i="6"/>
  <c r="U81" i="6"/>
  <c r="T81" i="6"/>
  <c r="S81" i="6"/>
  <c r="R81" i="6"/>
  <c r="Q81" i="6"/>
  <c r="P81" i="6"/>
  <c r="O81" i="6"/>
  <c r="N81" i="6"/>
  <c r="M81" i="6"/>
  <c r="L81" i="6"/>
  <c r="K81" i="6"/>
  <c r="J81" i="6"/>
  <c r="I81" i="6"/>
  <c r="H81" i="6"/>
  <c r="G81" i="6"/>
  <c r="AF80" i="6"/>
  <c r="J80" i="6"/>
  <c r="I80" i="6"/>
  <c r="H80" i="6"/>
  <c r="G80" i="6"/>
  <c r="AE80" i="6"/>
  <c r="AD80" i="6"/>
  <c r="AC80" i="6"/>
  <c r="AB80" i="6"/>
  <c r="AA80" i="6"/>
  <c r="Z80" i="6"/>
  <c r="Y80" i="6"/>
  <c r="X80" i="6"/>
  <c r="W80" i="6"/>
  <c r="V80" i="6"/>
  <c r="U80" i="6"/>
  <c r="T80" i="6"/>
  <c r="S80" i="6"/>
  <c r="R80" i="6"/>
  <c r="Q80" i="6"/>
  <c r="P80" i="6"/>
  <c r="O80" i="6"/>
  <c r="N80" i="6"/>
  <c r="M80" i="6"/>
  <c r="L80" i="6"/>
  <c r="K80" i="6"/>
  <c r="AF79" i="6"/>
  <c r="AE79" i="6"/>
  <c r="AD79" i="6"/>
  <c r="AC79" i="6"/>
  <c r="AB79" i="6"/>
  <c r="AA79" i="6"/>
  <c r="Z79" i="6"/>
  <c r="Y79" i="6"/>
  <c r="X79" i="6"/>
  <c r="W79" i="6"/>
  <c r="V79" i="6"/>
  <c r="U79" i="6"/>
  <c r="T79" i="6"/>
  <c r="S79" i="6"/>
  <c r="R79" i="6"/>
  <c r="Q79" i="6"/>
  <c r="P79" i="6"/>
  <c r="O79" i="6"/>
  <c r="N79" i="6"/>
  <c r="M79" i="6"/>
  <c r="L79" i="6"/>
  <c r="K79" i="6"/>
  <c r="AF78" i="6"/>
  <c r="AE77" i="6"/>
  <c r="AD77" i="6"/>
  <c r="DI67" i="6"/>
  <c r="DJ70" i="6"/>
  <c r="DJ67" i="6"/>
  <c r="DJ66" i="6"/>
  <c r="DJ61" i="6"/>
  <c r="DJ60" i="6"/>
  <c r="DJ59" i="6"/>
  <c r="DK70" i="6"/>
  <c r="DK67" i="6"/>
  <c r="DK66" i="6"/>
  <c r="DK61" i="6"/>
  <c r="DK60" i="6"/>
  <c r="DK59" i="6"/>
  <c r="DK57" i="6"/>
  <c r="DL70" i="6"/>
  <c r="DM70" i="6" s="1"/>
  <c r="DN70" i="6" s="1"/>
  <c r="DO70" i="6" s="1"/>
  <c r="DP70" i="6" s="1"/>
  <c r="DQ70" i="6" s="1"/>
  <c r="DR70" i="6" s="1"/>
  <c r="DS70" i="6" s="1"/>
  <c r="DT70" i="6" s="1"/>
  <c r="DU70" i="6" s="1"/>
  <c r="DV70" i="6" s="1"/>
  <c r="DW70" i="6" s="1"/>
  <c r="DX70" i="6" s="1"/>
  <c r="DL66" i="6"/>
  <c r="DL61" i="6"/>
  <c r="DL60" i="6"/>
  <c r="DL59" i="6"/>
  <c r="DM59" i="6" s="1"/>
  <c r="DN59" i="6" s="1"/>
  <c r="DL57" i="6"/>
  <c r="DL11" i="6"/>
  <c r="DL29" i="6"/>
  <c r="DL38" i="6"/>
  <c r="DL43" i="6"/>
  <c r="DL42" i="6"/>
  <c r="DL46" i="6"/>
  <c r="DL45" i="6"/>
  <c r="DL35" i="6"/>
  <c r="DL3" i="6"/>
  <c r="DL44" i="6"/>
  <c r="DL39" i="6"/>
  <c r="AE78" i="6"/>
  <c r="AD78" i="6"/>
  <c r="AC78" i="6"/>
  <c r="AB78" i="6"/>
  <c r="AA78" i="6"/>
  <c r="Z78" i="6"/>
  <c r="Y78" i="6"/>
  <c r="X78" i="6"/>
  <c r="W78" i="6"/>
  <c r="V78" i="6"/>
  <c r="U78" i="6"/>
  <c r="T78" i="6"/>
  <c r="S78" i="6"/>
  <c r="R78" i="6"/>
  <c r="Q78" i="6"/>
  <c r="P78" i="6"/>
  <c r="O78" i="6"/>
  <c r="N78" i="6"/>
  <c r="M78" i="6"/>
  <c r="L78" i="6"/>
  <c r="K78" i="6"/>
  <c r="J78" i="6"/>
  <c r="I78" i="6"/>
  <c r="H78" i="6"/>
  <c r="G78" i="6"/>
  <c r="AC77" i="6"/>
  <c r="AB77" i="6"/>
  <c r="AA77" i="6"/>
  <c r="Z77" i="6"/>
  <c r="Y77" i="6"/>
  <c r="X77" i="6"/>
  <c r="W77" i="6"/>
  <c r="V77" i="6"/>
  <c r="U77" i="6"/>
  <c r="T77" i="6"/>
  <c r="S77" i="6"/>
  <c r="R77" i="6"/>
  <c r="Q77" i="6"/>
  <c r="P77" i="6"/>
  <c r="O77" i="6"/>
  <c r="N77" i="6"/>
  <c r="M77" i="6"/>
  <c r="L77" i="6"/>
  <c r="K77" i="6"/>
  <c r="J77" i="6"/>
  <c r="I77" i="6"/>
  <c r="H77" i="6"/>
  <c r="G77" i="6"/>
  <c r="AE112" i="6"/>
  <c r="AE110" i="6"/>
  <c r="AE107" i="6"/>
  <c r="AE96" i="6"/>
  <c r="AE102" i="6"/>
  <c r="AD95" i="6"/>
  <c r="AC95" i="6"/>
  <c r="AB95" i="6"/>
  <c r="Z95" i="6"/>
  <c r="Y95" i="6"/>
  <c r="DK39" i="6"/>
  <c r="DJ39" i="6"/>
  <c r="AB64" i="6"/>
  <c r="AB62" i="6"/>
  <c r="AC64" i="6"/>
  <c r="AC62" i="6"/>
  <c r="Y56" i="6"/>
  <c r="Y89" i="6" s="1"/>
  <c r="Z56" i="6"/>
  <c r="Z91" i="6" s="1"/>
  <c r="Z64" i="6"/>
  <c r="AD64" i="6"/>
  <c r="AD62" i="6"/>
  <c r="AD56" i="6"/>
  <c r="AD91" i="6" s="1"/>
  <c r="AC56" i="6"/>
  <c r="AC91" i="6" s="1"/>
  <c r="AB56" i="6"/>
  <c r="AB58" i="6" s="1"/>
  <c r="AA56" i="6"/>
  <c r="AA90" i="6" s="1"/>
  <c r="AA64" i="6"/>
  <c r="AA62" i="6"/>
  <c r="AE64" i="6"/>
  <c r="AE62" i="6"/>
  <c r="AA110" i="6"/>
  <c r="AA112" i="6"/>
  <c r="AA107" i="6"/>
  <c r="AA102" i="6"/>
  <c r="AA96" i="6"/>
  <c r="X116" i="6"/>
  <c r="X107" i="6"/>
  <c r="X112" i="6"/>
  <c r="X96" i="6"/>
  <c r="X102" i="6"/>
  <c r="X64" i="6"/>
  <c r="DJ10" i="6"/>
  <c r="DJ36" i="6"/>
  <c r="DJ3" i="6"/>
  <c r="DJ43" i="6"/>
  <c r="DJ42" i="6"/>
  <c r="DJ46" i="6"/>
  <c r="DJ45" i="6"/>
  <c r="DJ44" i="6"/>
  <c r="DJ35" i="6"/>
  <c r="X62" i="6"/>
  <c r="DK10" i="6"/>
  <c r="DK3" i="6"/>
  <c r="DK43" i="6"/>
  <c r="DK46" i="6"/>
  <c r="V64" i="6"/>
  <c r="W56" i="6"/>
  <c r="W90" i="6" s="1"/>
  <c r="W64" i="6"/>
  <c r="W62" i="6"/>
  <c r="DJ54" i="6"/>
  <c r="V49" i="6"/>
  <c r="V48" i="6"/>
  <c r="DJ38" i="6"/>
  <c r="V37" i="6"/>
  <c r="R54" i="6"/>
  <c r="S64" i="6"/>
  <c r="S62" i="6"/>
  <c r="U64" i="6"/>
  <c r="U62" i="6"/>
  <c r="T95" i="6"/>
  <c r="T64" i="6"/>
  <c r="T62" i="6"/>
  <c r="Q107" i="6"/>
  <c r="Q112" i="6"/>
  <c r="Q110" i="6"/>
  <c r="Q102" i="6"/>
  <c r="Q96" i="6"/>
  <c r="CT95" i="6"/>
  <c r="CS149" i="6"/>
  <c r="CT149" i="6"/>
  <c r="CP66" i="6"/>
  <c r="CP64" i="6"/>
  <c r="CS66" i="6"/>
  <c r="CS64" i="6"/>
  <c r="CT66" i="6"/>
  <c r="CT64" i="6"/>
  <c r="CT62" i="6"/>
  <c r="CS62" i="6"/>
  <c r="CR62" i="6"/>
  <c r="CQ62" i="6"/>
  <c r="CP62" i="6"/>
  <c r="CT58" i="6"/>
  <c r="CT88" i="6" s="1"/>
  <c r="CS58" i="6"/>
  <c r="CS88" i="6" s="1"/>
  <c r="CR58" i="6"/>
  <c r="CQ58" i="6"/>
  <c r="CQ88" i="6" s="1"/>
  <c r="CP88" i="6"/>
  <c r="DI44" i="6"/>
  <c r="DI45" i="6"/>
  <c r="DI48" i="6"/>
  <c r="DI46" i="6"/>
  <c r="DI49" i="6"/>
  <c r="DI42" i="6"/>
  <c r="DI43" i="6"/>
  <c r="DI37" i="6"/>
  <c r="O54" i="6"/>
  <c r="P54" i="6"/>
  <c r="Q54" i="6"/>
  <c r="DI39" i="6"/>
  <c r="DI3" i="6"/>
  <c r="R59" i="6"/>
  <c r="DI59" i="6" s="1"/>
  <c r="R60" i="6"/>
  <c r="DI60" i="6" s="1"/>
  <c r="R61" i="6"/>
  <c r="P62" i="6"/>
  <c r="Q62" i="6"/>
  <c r="Q64" i="6"/>
  <c r="DI36" i="6"/>
  <c r="R55" i="6"/>
  <c r="DI55" i="6" s="1"/>
  <c r="R70" i="6"/>
  <c r="DI70" i="6" s="1"/>
  <c r="DI10" i="6"/>
  <c r="DP2" i="6"/>
  <c r="DQ2" i="6" s="1"/>
  <c r="DR2" i="6" s="1"/>
  <c r="DS2" i="6" s="1"/>
  <c r="DT2" i="6" s="1"/>
  <c r="DU2" i="6" s="1"/>
  <c r="DV2" i="6" s="1"/>
  <c r="DW2" i="6" s="1"/>
  <c r="DX2" i="6" s="1"/>
  <c r="DY2" i="6" s="1"/>
  <c r="DZ2" i="6" s="1"/>
  <c r="EA2" i="6" s="1"/>
  <c r="EB2" i="6" s="1"/>
  <c r="EC2" i="6" s="1"/>
  <c r="ED2" i="6" s="1"/>
  <c r="EE2" i="6" s="1"/>
  <c r="EF2" i="6" s="1"/>
  <c r="EG2" i="6" s="1"/>
  <c r="EH2" i="6" s="1"/>
  <c r="EI2" i="6" s="1"/>
  <c r="EJ2" i="6" s="1"/>
  <c r="DH55" i="6"/>
  <c r="K54" i="6"/>
  <c r="L54" i="6"/>
  <c r="M54" i="6"/>
  <c r="N54" i="6"/>
  <c r="DH37" i="6"/>
  <c r="DH10" i="6"/>
  <c r="DH36" i="6"/>
  <c r="DH3" i="6"/>
  <c r="DH43" i="6"/>
  <c r="DH42" i="6"/>
  <c r="DH49" i="6"/>
  <c r="DH46" i="6"/>
  <c r="DH48" i="6"/>
  <c r="DH45" i="6"/>
  <c r="DH44" i="6"/>
  <c r="DH35" i="6"/>
  <c r="DH39" i="6"/>
  <c r="J54" i="6"/>
  <c r="I54" i="6"/>
  <c r="G54" i="6"/>
  <c r="F54" i="6"/>
  <c r="E54" i="6"/>
  <c r="D54" i="6"/>
  <c r="C54" i="6"/>
  <c r="H54" i="6"/>
  <c r="DG55" i="6"/>
  <c r="DG39" i="6"/>
  <c r="DG35" i="6"/>
  <c r="DG47" i="6"/>
  <c r="DG33" i="6"/>
  <c r="DG44" i="6"/>
  <c r="DG45" i="6"/>
  <c r="DG50" i="6"/>
  <c r="DG48" i="6"/>
  <c r="DG46" i="6"/>
  <c r="DG51" i="6"/>
  <c r="DG49" i="6"/>
  <c r="DG42" i="6"/>
  <c r="DG43" i="6"/>
  <c r="DG3" i="6"/>
  <c r="DG10" i="6"/>
  <c r="DG37" i="6"/>
  <c r="DF55" i="6"/>
  <c r="DF39" i="6"/>
  <c r="DF77" i="6" s="1"/>
  <c r="DF35" i="6"/>
  <c r="DF47" i="6"/>
  <c r="DF44" i="6"/>
  <c r="DF45" i="6"/>
  <c r="DF50" i="6"/>
  <c r="DF48" i="6"/>
  <c r="DF46" i="6"/>
  <c r="DF51" i="6"/>
  <c r="DF49" i="6"/>
  <c r="DF42" i="6"/>
  <c r="DF43" i="6"/>
  <c r="DF37" i="6"/>
  <c r="C62" i="6"/>
  <c r="C64" i="6"/>
  <c r="D62" i="6"/>
  <c r="D64" i="6"/>
  <c r="E62" i="6"/>
  <c r="E64" i="6"/>
  <c r="F62" i="6"/>
  <c r="F64" i="6"/>
  <c r="G62" i="6"/>
  <c r="G64" i="6"/>
  <c r="H64" i="6"/>
  <c r="L62" i="6"/>
  <c r="I64" i="6"/>
  <c r="I62" i="6"/>
  <c r="M62" i="6"/>
  <c r="M64" i="6"/>
  <c r="J62" i="6"/>
  <c r="J64" i="6"/>
  <c r="N62" i="6"/>
  <c r="N64" i="6"/>
  <c r="K62" i="6"/>
  <c r="K64" i="6"/>
  <c r="O62" i="6"/>
  <c r="O64" i="6"/>
  <c r="K4" i="1"/>
  <c r="C7" i="11"/>
  <c r="C6" i="11"/>
  <c r="DE56" i="6"/>
  <c r="DE88" i="6" s="1"/>
  <c r="DD56" i="6"/>
  <c r="DC56" i="6"/>
  <c r="DC88" i="6" s="1"/>
  <c r="H62" i="6"/>
  <c r="DI35" i="6"/>
  <c r="V62" i="6"/>
  <c r="DK42" i="6"/>
  <c r="DK45" i="6"/>
  <c r="DK35" i="6"/>
  <c r="DK36" i="6"/>
  <c r="DK44" i="6"/>
  <c r="DK38" i="6"/>
  <c r="Y62" i="6"/>
  <c r="Z62" i="6"/>
  <c r="AG77" i="6"/>
  <c r="AF77" i="6"/>
  <c r="AG80" i="6"/>
  <c r="AG86" i="6"/>
  <c r="AG78" i="6"/>
  <c r="AG79" i="6"/>
  <c r="AG81" i="6"/>
  <c r="CB95" i="6" l="1"/>
  <c r="AL63" i="6"/>
  <c r="AL65" i="6" s="1"/>
  <c r="AL68" i="6" s="1"/>
  <c r="AL69" i="6" s="1"/>
  <c r="DW61" i="6"/>
  <c r="AN58" i="6"/>
  <c r="AN72" i="6"/>
  <c r="AR72" i="6"/>
  <c r="AM58" i="6"/>
  <c r="AM63" i="6" s="1"/>
  <c r="AM65" i="6" s="1"/>
  <c r="AM68" i="6" s="1"/>
  <c r="AM69" i="6" s="1"/>
  <c r="AM72" i="6"/>
  <c r="AQ72" i="6"/>
  <c r="AP72" i="6"/>
  <c r="CB58" i="6"/>
  <c r="CF72" i="6"/>
  <c r="EG19" i="6"/>
  <c r="CB117" i="6"/>
  <c r="CB119" i="6" s="1"/>
  <c r="CA58" i="6"/>
  <c r="BR72" i="6"/>
  <c r="BG72" i="6"/>
  <c r="AX58" i="6"/>
  <c r="AX63" i="6" s="1"/>
  <c r="AX65" i="6" s="1"/>
  <c r="AX68" i="6" s="1"/>
  <c r="AX69" i="6" s="1"/>
  <c r="BJ72" i="6"/>
  <c r="CB105" i="6"/>
  <c r="BA72" i="6"/>
  <c r="AZ58" i="6"/>
  <c r="AZ63" i="6" s="1"/>
  <c r="AZ65" i="6" s="1"/>
  <c r="AZ68" i="6" s="1"/>
  <c r="AZ69" i="6" s="1"/>
  <c r="BD58" i="6"/>
  <c r="BD63" i="6" s="1"/>
  <c r="BD65" i="6" s="1"/>
  <c r="BD68" i="6" s="1"/>
  <c r="BD69" i="6" s="1"/>
  <c r="BO62" i="6"/>
  <c r="BB58" i="6"/>
  <c r="BB63" i="6" s="1"/>
  <c r="BB65" i="6" s="1"/>
  <c r="BB68" i="6" s="1"/>
  <c r="BB69" i="6" s="1"/>
  <c r="DX10" i="6"/>
  <c r="EA10" i="6" s="1"/>
  <c r="EB10" i="6" s="1"/>
  <c r="EC10" i="6" s="1"/>
  <c r="ED10" i="6" s="1"/>
  <c r="EE10" i="6" s="1"/>
  <c r="EF10" i="6" s="1"/>
  <c r="EG10" i="6" s="1"/>
  <c r="EH10" i="6" s="1"/>
  <c r="EI10" i="6" s="1"/>
  <c r="EJ10" i="6" s="1"/>
  <c r="BT105" i="6"/>
  <c r="AW58" i="6"/>
  <c r="AW63" i="6" s="1"/>
  <c r="AW65" i="6" s="1"/>
  <c r="AW68" i="6" s="1"/>
  <c r="AW69" i="6" s="1"/>
  <c r="DX7" i="6"/>
  <c r="BF72" i="6"/>
  <c r="BM72" i="6"/>
  <c r="BN72" i="6"/>
  <c r="AK95" i="6"/>
  <c r="AK105" i="6" s="1"/>
  <c r="BP62" i="6"/>
  <c r="BA58" i="6"/>
  <c r="BA63" i="6" s="1"/>
  <c r="BA65" i="6" s="1"/>
  <c r="BA68" i="6" s="1"/>
  <c r="BA69" i="6" s="1"/>
  <c r="BS58" i="6"/>
  <c r="BS88" i="6" s="1"/>
  <c r="DX8" i="6"/>
  <c r="EA8" i="6" s="1"/>
  <c r="EB8" i="6" s="1"/>
  <c r="EC8" i="6" s="1"/>
  <c r="ED8" i="6" s="1"/>
  <c r="EE8" i="6" s="1"/>
  <c r="EF8" i="6" s="1"/>
  <c r="EG8" i="6" s="1"/>
  <c r="EH8" i="6" s="1"/>
  <c r="EI8" i="6" s="1"/>
  <c r="EJ8" i="6" s="1"/>
  <c r="BE72" i="6"/>
  <c r="BO58" i="6"/>
  <c r="BO88" i="6" s="1"/>
  <c r="BD72" i="6"/>
  <c r="BC72" i="6"/>
  <c r="BC58" i="6"/>
  <c r="BC63" i="6" s="1"/>
  <c r="BC65" i="6" s="1"/>
  <c r="BC68" i="6" s="1"/>
  <c r="BC69" i="6" s="1"/>
  <c r="BT62" i="6"/>
  <c r="BQ72" i="6"/>
  <c r="DX16" i="6"/>
  <c r="EA16" i="6" s="1"/>
  <c r="EB16" i="6" s="1"/>
  <c r="EC16" i="6" s="1"/>
  <c r="ED16" i="6" s="1"/>
  <c r="EE16" i="6" s="1"/>
  <c r="EF16" i="6" s="1"/>
  <c r="EG16" i="6" s="1"/>
  <c r="EH16" i="6" s="1"/>
  <c r="EI16" i="6" s="1"/>
  <c r="EJ16" i="6" s="1"/>
  <c r="DX15" i="6"/>
  <c r="EA15" i="6" s="1"/>
  <c r="EB15" i="6" s="1"/>
  <c r="EC15" i="6" s="1"/>
  <c r="ED15" i="6" s="1"/>
  <c r="EE15" i="6" s="1"/>
  <c r="EF15" i="6" s="1"/>
  <c r="EG15" i="6" s="1"/>
  <c r="EH15" i="6" s="1"/>
  <c r="EI15" i="6" s="1"/>
  <c r="EJ15" i="6" s="1"/>
  <c r="BT72" i="6"/>
  <c r="BK72" i="6"/>
  <c r="BT95" i="6"/>
  <c r="BL72" i="6"/>
  <c r="BO72" i="6"/>
  <c r="BN62" i="6"/>
  <c r="BP72" i="6"/>
  <c r="BN58" i="6"/>
  <c r="BN88" i="6" s="1"/>
  <c r="DX3" i="6"/>
  <c r="EA3" i="6" s="1"/>
  <c r="EB3" i="6" s="1"/>
  <c r="EC3" i="6" s="1"/>
  <c r="ED3" i="6" s="1"/>
  <c r="EE3" i="6" s="1"/>
  <c r="EF3" i="6" s="1"/>
  <c r="EG3" i="6" s="1"/>
  <c r="EH3" i="6" s="1"/>
  <c r="EI3" i="6" s="1"/>
  <c r="EJ3" i="6" s="1"/>
  <c r="BI72" i="6"/>
  <c r="BH72" i="6"/>
  <c r="BX61" i="6"/>
  <c r="DX23" i="6"/>
  <c r="DW13" i="6"/>
  <c r="DW17" i="6"/>
  <c r="DX25" i="6"/>
  <c r="DW15" i="6"/>
  <c r="DW16" i="6"/>
  <c r="DX18" i="6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DX9" i="6"/>
  <c r="DW14" i="6"/>
  <c r="DX14" i="6"/>
  <c r="EA14" i="6" s="1"/>
  <c r="EB14" i="6" s="1"/>
  <c r="EC14" i="6" s="1"/>
  <c r="ED14" i="6" s="1"/>
  <c r="EE14" i="6" s="1"/>
  <c r="EF14" i="6" s="1"/>
  <c r="EG14" i="6" s="1"/>
  <c r="EH14" i="6" s="1"/>
  <c r="EI14" i="6" s="1"/>
  <c r="EJ14" i="6" s="1"/>
  <c r="DX4" i="6"/>
  <c r="BB72" i="6"/>
  <c r="AY58" i="6"/>
  <c r="AY63" i="6" s="1"/>
  <c r="AY65" i="6" s="1"/>
  <c r="AY68" i="6" s="1"/>
  <c r="AY69" i="6" s="1"/>
  <c r="DW6" i="6"/>
  <c r="DX6" i="6"/>
  <c r="BT58" i="6"/>
  <c r="BK58" i="6"/>
  <c r="BK88" i="6" s="1"/>
  <c r="BW76" i="6"/>
  <c r="BX76" i="6"/>
  <c r="BY76" i="6"/>
  <c r="BW67" i="6"/>
  <c r="BX67" i="6" s="1"/>
  <c r="BY67" i="6" s="1"/>
  <c r="BW64" i="6"/>
  <c r="BP58" i="6"/>
  <c r="BP88" i="6" s="1"/>
  <c r="O95" i="6"/>
  <c r="BG58" i="6"/>
  <c r="BG63" i="6" s="1"/>
  <c r="BG65" i="6" s="1"/>
  <c r="BG68" i="6" s="1"/>
  <c r="BG69" i="6" s="1"/>
  <c r="BL58" i="6"/>
  <c r="BL88" i="6" s="1"/>
  <c r="BH58" i="6"/>
  <c r="BH63" i="6" s="1"/>
  <c r="BH65" i="6" s="1"/>
  <c r="BH68" i="6" s="1"/>
  <c r="BH69" i="6" s="1"/>
  <c r="BM63" i="6"/>
  <c r="BM92" i="6" s="1"/>
  <c r="BV56" i="6"/>
  <c r="BU56" i="6"/>
  <c r="BU59" i="6" s="1"/>
  <c r="BU62" i="6" s="1"/>
  <c r="DV56" i="6"/>
  <c r="AN63" i="6"/>
  <c r="AN65" i="6" s="1"/>
  <c r="AN68" i="6" s="1"/>
  <c r="AN69" i="6" s="1"/>
  <c r="K7" i="1"/>
  <c r="BS72" i="6"/>
  <c r="BQ63" i="6"/>
  <c r="BR63" i="6"/>
  <c r="AE89" i="6"/>
  <c r="AH81" i="6"/>
  <c r="AE91" i="6"/>
  <c r="AB91" i="6"/>
  <c r="AB90" i="6"/>
  <c r="AH79" i="6"/>
  <c r="AF105" i="6"/>
  <c r="AB89" i="6"/>
  <c r="AH82" i="6"/>
  <c r="AA91" i="6"/>
  <c r="AA89" i="6"/>
  <c r="DJ77" i="6"/>
  <c r="AJ90" i="6"/>
  <c r="AJ91" i="6"/>
  <c r="AJ89" i="6"/>
  <c r="AJ58" i="6"/>
  <c r="AJ63" i="6" s="1"/>
  <c r="AJ92" i="6" s="1"/>
  <c r="AK91" i="6"/>
  <c r="AK58" i="6"/>
  <c r="AK63" i="6" s="1"/>
  <c r="AK90" i="6"/>
  <c r="AK89" i="6"/>
  <c r="AF117" i="6"/>
  <c r="AF119" i="6" s="1"/>
  <c r="DM35" i="6"/>
  <c r="DN35" i="6" s="1"/>
  <c r="DO35" i="6" s="1"/>
  <c r="AH86" i="6"/>
  <c r="AE90" i="6"/>
  <c r="AI58" i="6"/>
  <c r="AI63" i="6" s="1"/>
  <c r="AI65" i="6" s="1"/>
  <c r="AI90" i="6"/>
  <c r="AI91" i="6"/>
  <c r="AI72" i="6"/>
  <c r="AI89" i="6"/>
  <c r="AA58" i="6"/>
  <c r="AA63" i="6" s="1"/>
  <c r="AE105" i="6"/>
  <c r="X105" i="6"/>
  <c r="AE63" i="6"/>
  <c r="AE65" i="6" s="1"/>
  <c r="AE93" i="6" s="1"/>
  <c r="X117" i="6"/>
  <c r="X119" i="6" s="1"/>
  <c r="AE88" i="6"/>
  <c r="CR63" i="6"/>
  <c r="CR65" i="6" s="1"/>
  <c r="CR68" i="6" s="1"/>
  <c r="CR69" i="6" s="1"/>
  <c r="AG56" i="6"/>
  <c r="AG90" i="6" s="1"/>
  <c r="DI77" i="6"/>
  <c r="Z89" i="6"/>
  <c r="CR88" i="6"/>
  <c r="AJ72" i="6"/>
  <c r="X95" i="6"/>
  <c r="Y91" i="6"/>
  <c r="Z58" i="6"/>
  <c r="Z88" i="6" s="1"/>
  <c r="Y58" i="6"/>
  <c r="Y63" i="6" s="1"/>
  <c r="Y92" i="6" s="1"/>
  <c r="Z90" i="6"/>
  <c r="W89" i="6"/>
  <c r="AE117" i="6"/>
  <c r="AE119" i="6" s="1"/>
  <c r="CQ63" i="6"/>
  <c r="CQ65" i="6" s="1"/>
  <c r="CQ68" i="6" s="1"/>
  <c r="CQ69" i="6" s="1"/>
  <c r="AH59" i="6"/>
  <c r="AH62" i="6" s="1"/>
  <c r="Y90" i="6"/>
  <c r="Q95" i="6"/>
  <c r="AF91" i="6"/>
  <c r="AF72" i="6"/>
  <c r="AF58" i="6"/>
  <c r="AF88" i="6" s="1"/>
  <c r="AF90" i="6"/>
  <c r="Q117" i="6"/>
  <c r="DJ62" i="6"/>
  <c r="AD90" i="6"/>
  <c r="DK77" i="6"/>
  <c r="AC72" i="6"/>
  <c r="AH85" i="6"/>
  <c r="DL64" i="6"/>
  <c r="DI54" i="6"/>
  <c r="DJ64" i="6"/>
  <c r="AC89" i="6"/>
  <c r="AC90" i="6"/>
  <c r="AE72" i="6"/>
  <c r="DK62" i="6"/>
  <c r="AC58" i="6"/>
  <c r="AC88" i="6" s="1"/>
  <c r="CT63" i="6"/>
  <c r="CT65" i="6" s="1"/>
  <c r="CT68" i="6" s="1"/>
  <c r="CT69" i="6" s="1"/>
  <c r="DK64" i="6"/>
  <c r="AH83" i="6"/>
  <c r="AE95" i="6"/>
  <c r="DM77" i="6"/>
  <c r="AB63" i="6"/>
  <c r="AB92" i="6" s="1"/>
  <c r="AB88" i="6"/>
  <c r="AH56" i="6"/>
  <c r="AL72" i="6" s="1"/>
  <c r="DL62" i="6"/>
  <c r="AH77" i="6"/>
  <c r="DH54" i="6"/>
  <c r="AD58" i="6"/>
  <c r="Q105" i="6"/>
  <c r="AF95" i="6"/>
  <c r="AD89" i="6"/>
  <c r="DM43" i="6"/>
  <c r="DN43" i="6" s="1"/>
  <c r="DO43" i="6" s="1"/>
  <c r="AD72" i="6"/>
  <c r="DL77" i="6"/>
  <c r="CS63" i="6"/>
  <c r="CS65" i="6" s="1"/>
  <c r="CS68" i="6" s="1"/>
  <c r="CS69" i="6" s="1"/>
  <c r="DI64" i="6"/>
  <c r="DG54" i="6"/>
  <c r="DG77" i="6"/>
  <c r="DH77" i="6"/>
  <c r="DD88" i="6"/>
  <c r="DM44" i="6"/>
  <c r="AH78" i="6"/>
  <c r="AA105" i="6"/>
  <c r="AA95" i="6"/>
  <c r="DF54" i="6"/>
  <c r="W91" i="6"/>
  <c r="W58" i="6"/>
  <c r="AA72" i="6"/>
  <c r="DE72" i="6"/>
  <c r="AA117" i="6"/>
  <c r="AA119" i="6" s="1"/>
  <c r="DL56" i="6"/>
  <c r="DI61" i="6"/>
  <c r="DI62" i="6" s="1"/>
  <c r="R62" i="6"/>
  <c r="R63" i="6" s="1"/>
  <c r="DO59" i="6"/>
  <c r="DN39" i="6"/>
  <c r="CP63" i="6"/>
  <c r="CP65" i="6" s="1"/>
  <c r="CP68" i="6" s="1"/>
  <c r="CP69" i="6" s="1"/>
  <c r="DW59" i="6" l="1"/>
  <c r="DW62" i="6" s="1"/>
  <c r="CB61" i="6"/>
  <c r="DX61" i="6"/>
  <c r="CA63" i="6"/>
  <c r="CA88" i="6"/>
  <c r="CF61" i="6"/>
  <c r="CC61" i="6"/>
  <c r="CG61" i="6" s="1"/>
  <c r="DY61" i="6"/>
  <c r="CB88" i="6"/>
  <c r="CB57" i="6"/>
  <c r="DY57" i="6" s="1"/>
  <c r="DY58" i="6" s="1"/>
  <c r="EH19" i="6"/>
  <c r="EA9" i="6"/>
  <c r="EB9" i="6" s="1"/>
  <c r="EC9" i="6" s="1"/>
  <c r="ED9" i="6" s="1"/>
  <c r="EE9" i="6" s="1"/>
  <c r="EF9" i="6" s="1"/>
  <c r="EG9" i="6" s="1"/>
  <c r="EH9" i="6" s="1"/>
  <c r="EI9" i="6" s="1"/>
  <c r="EJ9" i="6" s="1"/>
  <c r="BL63" i="6"/>
  <c r="BL65" i="6" s="1"/>
  <c r="BL68" i="6" s="1"/>
  <c r="BL69" i="6" s="1"/>
  <c r="BO63" i="6"/>
  <c r="BO92" i="6" s="1"/>
  <c r="BS63" i="6"/>
  <c r="BS65" i="6" s="1"/>
  <c r="BS68" i="6" s="1"/>
  <c r="BS69" i="6" s="1"/>
  <c r="BM65" i="6"/>
  <c r="BM68" i="6" s="1"/>
  <c r="BM69" i="6" s="1"/>
  <c r="BV72" i="6"/>
  <c r="BV58" i="6"/>
  <c r="BV88" i="6" s="1"/>
  <c r="BP63" i="6"/>
  <c r="BP65" i="6" s="1"/>
  <c r="BP68" i="6" s="1"/>
  <c r="BP69" i="6" s="1"/>
  <c r="BK63" i="6"/>
  <c r="BK92" i="6" s="1"/>
  <c r="BN63" i="6"/>
  <c r="BN65" i="6" s="1"/>
  <c r="BN68" i="6" s="1"/>
  <c r="BN69" i="6" s="1"/>
  <c r="DX24" i="6"/>
  <c r="DW56" i="6"/>
  <c r="DX5" i="6"/>
  <c r="EA5" i="6" s="1"/>
  <c r="EB5" i="6" s="1"/>
  <c r="EC5" i="6" s="1"/>
  <c r="ED5" i="6" s="1"/>
  <c r="EE5" i="6" s="1"/>
  <c r="EF5" i="6" s="1"/>
  <c r="BQ65" i="6"/>
  <c r="BQ68" i="6" s="1"/>
  <c r="BQ69" i="6" s="1"/>
  <c r="BQ92" i="6"/>
  <c r="BR65" i="6"/>
  <c r="BR68" i="6" s="1"/>
  <c r="BR69" i="6" s="1"/>
  <c r="BR92" i="6"/>
  <c r="BT63" i="6"/>
  <c r="BT88" i="6"/>
  <c r="BW56" i="6"/>
  <c r="CA72" i="6" s="1"/>
  <c r="BV62" i="6"/>
  <c r="BZ67" i="6"/>
  <c r="BX64" i="6"/>
  <c r="BU72" i="6"/>
  <c r="BU58" i="6"/>
  <c r="BU88" i="6" s="1"/>
  <c r="DX13" i="6"/>
  <c r="EA13" i="6" s="1"/>
  <c r="EB13" i="6" s="1"/>
  <c r="EC13" i="6" s="1"/>
  <c r="ED13" i="6" s="1"/>
  <c r="EE13" i="6" s="1"/>
  <c r="EF13" i="6" s="1"/>
  <c r="EG13" i="6" s="1"/>
  <c r="EH13" i="6" s="1"/>
  <c r="EI13" i="6" s="1"/>
  <c r="EJ13" i="6" s="1"/>
  <c r="BX56" i="6"/>
  <c r="CB72" i="6" s="1"/>
  <c r="DX12" i="6"/>
  <c r="EA12" i="6" s="1"/>
  <c r="EB12" i="6" s="1"/>
  <c r="EC12" i="6" s="1"/>
  <c r="ED12" i="6" s="1"/>
  <c r="EE12" i="6" s="1"/>
  <c r="EF12" i="6" s="1"/>
  <c r="EG12" i="6" s="1"/>
  <c r="EH12" i="6" s="1"/>
  <c r="EI12" i="6" s="1"/>
  <c r="EJ12" i="6" s="1"/>
  <c r="BZ56" i="6"/>
  <c r="CD72" i="6" s="1"/>
  <c r="BY56" i="6"/>
  <c r="AF120" i="6"/>
  <c r="AE68" i="6"/>
  <c r="AE69" i="6" s="1"/>
  <c r="AJ65" i="6"/>
  <c r="AJ68" i="6" s="1"/>
  <c r="AJ69" i="6" s="1"/>
  <c r="X120" i="6"/>
  <c r="AA88" i="6"/>
  <c r="AA92" i="6"/>
  <c r="AA65" i="6"/>
  <c r="AA93" i="6" s="1"/>
  <c r="AK72" i="6"/>
  <c r="AG72" i="6"/>
  <c r="AE92" i="6"/>
  <c r="Y65" i="6"/>
  <c r="Y93" i="6" s="1"/>
  <c r="AG91" i="6"/>
  <c r="AG58" i="6"/>
  <c r="AG63" i="6" s="1"/>
  <c r="AG65" i="6" s="1"/>
  <c r="AG89" i="6"/>
  <c r="Q118" i="6"/>
  <c r="Q119" i="6" s="1"/>
  <c r="Z63" i="6"/>
  <c r="Z65" i="6" s="1"/>
  <c r="Z93" i="6" s="1"/>
  <c r="AB65" i="6"/>
  <c r="AB93" i="6" s="1"/>
  <c r="AH89" i="6"/>
  <c r="AH91" i="6"/>
  <c r="AH72" i="6"/>
  <c r="AC63" i="6"/>
  <c r="AC92" i="6" s="1"/>
  <c r="Y88" i="6"/>
  <c r="AI92" i="6"/>
  <c r="AE120" i="6"/>
  <c r="AF63" i="6"/>
  <c r="Q120" i="6"/>
  <c r="AD88" i="6"/>
  <c r="AD63" i="6"/>
  <c r="AI93" i="6"/>
  <c r="AI68" i="6"/>
  <c r="AI69" i="6" s="1"/>
  <c r="AH58" i="6"/>
  <c r="AH63" i="6" s="1"/>
  <c r="AH90" i="6"/>
  <c r="AK65" i="6"/>
  <c r="AK92" i="6"/>
  <c r="R65" i="6"/>
  <c r="W88" i="6"/>
  <c r="W63" i="6"/>
  <c r="AA120" i="6"/>
  <c r="DO39" i="6"/>
  <c r="DN77" i="6"/>
  <c r="DP59" i="6"/>
  <c r="DN44" i="6"/>
  <c r="DM56" i="6"/>
  <c r="DL89" i="6"/>
  <c r="DL58" i="6"/>
  <c r="DL90" i="6"/>
  <c r="DL91" i="6"/>
  <c r="DZ61" i="6" l="1"/>
  <c r="BL92" i="6"/>
  <c r="DY88" i="6"/>
  <c r="EG5" i="6"/>
  <c r="BO65" i="6"/>
  <c r="BO68" i="6" s="1"/>
  <c r="BO69" i="6" s="1"/>
  <c r="CA92" i="6"/>
  <c r="CA65" i="6"/>
  <c r="CA68" i="6" s="1"/>
  <c r="BY59" i="6"/>
  <c r="CC72" i="6"/>
  <c r="EI19" i="6"/>
  <c r="BS92" i="6"/>
  <c r="BN92" i="6"/>
  <c r="BP92" i="6"/>
  <c r="BK65" i="6"/>
  <c r="BK68" i="6" s="1"/>
  <c r="BK69" i="6" s="1"/>
  <c r="BU63" i="6"/>
  <c r="BU65" i="6" s="1"/>
  <c r="BU66" i="6" s="1"/>
  <c r="BU92" i="6"/>
  <c r="BT65" i="6"/>
  <c r="BT68" i="6" s="1"/>
  <c r="BT69" i="6" s="1"/>
  <c r="BT92" i="6"/>
  <c r="BX72" i="6"/>
  <c r="BX59" i="6"/>
  <c r="BX58" i="6"/>
  <c r="BX88" i="6" s="1"/>
  <c r="BV63" i="6"/>
  <c r="BV92" i="6" s="1"/>
  <c r="BZ72" i="6"/>
  <c r="BZ58" i="6"/>
  <c r="BZ88" i="6" s="1"/>
  <c r="BZ59" i="6"/>
  <c r="BW72" i="6"/>
  <c r="BW62" i="6"/>
  <c r="BW58" i="6"/>
  <c r="BW88" i="6" s="1"/>
  <c r="BY64" i="6"/>
  <c r="BY72" i="6"/>
  <c r="BY58" i="6"/>
  <c r="BY88" i="6" s="1"/>
  <c r="BU57" i="6"/>
  <c r="DW57" i="6" s="1"/>
  <c r="DW58" i="6" s="1"/>
  <c r="DW63" i="6" s="1"/>
  <c r="DX17" i="6"/>
  <c r="EA17" i="6" s="1"/>
  <c r="AJ93" i="6"/>
  <c r="AA68" i="6"/>
  <c r="AA69" i="6" s="1"/>
  <c r="Y68" i="6"/>
  <c r="Y69" i="6" s="1"/>
  <c r="AG92" i="6"/>
  <c r="Z68" i="6"/>
  <c r="Z69" i="6" s="1"/>
  <c r="AC65" i="6"/>
  <c r="AC68" i="6" s="1"/>
  <c r="AC69" i="6" s="1"/>
  <c r="AB68" i="6"/>
  <c r="AB69" i="6" s="1"/>
  <c r="Z92" i="6"/>
  <c r="AF92" i="6"/>
  <c r="AF65" i="6"/>
  <c r="AH92" i="6"/>
  <c r="AH65" i="6"/>
  <c r="AH93" i="6" s="1"/>
  <c r="AK68" i="6"/>
  <c r="AK69" i="6" s="1"/>
  <c r="AK93" i="6"/>
  <c r="AD65" i="6"/>
  <c r="AD92" i="6"/>
  <c r="DQ59" i="6"/>
  <c r="W65" i="6"/>
  <c r="W92" i="6"/>
  <c r="AG68" i="6"/>
  <c r="AG69" i="6" s="1"/>
  <c r="AG93" i="6"/>
  <c r="DL63" i="6"/>
  <c r="DL88" i="6"/>
  <c r="R66" i="6"/>
  <c r="DO77" i="6"/>
  <c r="DM58" i="6"/>
  <c r="DM57" i="6" s="1"/>
  <c r="DM89" i="6"/>
  <c r="DM72" i="6"/>
  <c r="DM91" i="6"/>
  <c r="DM60" i="6"/>
  <c r="DO44" i="6"/>
  <c r="DN56" i="6"/>
  <c r="DX59" i="6" l="1"/>
  <c r="DX62" i="6" s="1"/>
  <c r="BU68" i="6"/>
  <c r="BU69" i="6" s="1"/>
  <c r="DW66" i="6"/>
  <c r="CA69" i="6"/>
  <c r="CA122" i="6"/>
  <c r="BZ62" i="6"/>
  <c r="BX62" i="6"/>
  <c r="CB59" i="6"/>
  <c r="BY62" i="6"/>
  <c r="BY63" i="6" s="1"/>
  <c r="BY92" i="6" s="1"/>
  <c r="CC59" i="6"/>
  <c r="EH5" i="6"/>
  <c r="EJ19" i="6"/>
  <c r="DX56" i="6"/>
  <c r="BZ63" i="6"/>
  <c r="BZ92" i="6" s="1"/>
  <c r="DZ56" i="6"/>
  <c r="DZ58" i="6" s="1"/>
  <c r="EB17" i="6"/>
  <c r="BX57" i="6"/>
  <c r="BZ57" i="6"/>
  <c r="BW57" i="6"/>
  <c r="BW63" i="6"/>
  <c r="BV65" i="6"/>
  <c r="BX63" i="6"/>
  <c r="BZ64" i="6"/>
  <c r="DX64" i="6" s="1"/>
  <c r="BY57" i="6"/>
  <c r="AC93" i="6"/>
  <c r="AF68" i="6"/>
  <c r="AF69" i="6" s="1"/>
  <c r="AF93" i="6"/>
  <c r="AH68" i="6"/>
  <c r="AH69" i="6" s="1"/>
  <c r="AD93" i="6"/>
  <c r="AD68" i="6"/>
  <c r="AD69" i="6" s="1"/>
  <c r="W93" i="6"/>
  <c r="W68" i="6"/>
  <c r="W69" i="6" s="1"/>
  <c r="DI66" i="6"/>
  <c r="R93" i="6"/>
  <c r="DM62" i="6"/>
  <c r="DM63" i="6" s="1"/>
  <c r="DM92" i="6" s="1"/>
  <c r="DM90" i="6"/>
  <c r="DR59" i="6"/>
  <c r="R68" i="6"/>
  <c r="DL92" i="6"/>
  <c r="DL65" i="6"/>
  <c r="DN58" i="6"/>
  <c r="DN57" i="6" s="1"/>
  <c r="DN72" i="6"/>
  <c r="DN91" i="6"/>
  <c r="DN60" i="6"/>
  <c r="DN89" i="6"/>
  <c r="DO56" i="6"/>
  <c r="DP77" i="6"/>
  <c r="DZ88" i="6" l="1"/>
  <c r="DX57" i="6"/>
  <c r="DX58" i="6"/>
  <c r="DX63" i="6" s="1"/>
  <c r="EI5" i="6"/>
  <c r="CG59" i="6"/>
  <c r="CG62" i="6" s="1"/>
  <c r="CG63" i="6" s="1"/>
  <c r="CG65" i="6" s="1"/>
  <c r="CC62" i="6"/>
  <c r="CC63" i="6" s="1"/>
  <c r="CH59" i="6"/>
  <c r="CH62" i="6" s="1"/>
  <c r="CH63" i="6" s="1"/>
  <c r="CH65" i="6" s="1"/>
  <c r="CD62" i="6"/>
  <c r="CD63" i="6" s="1"/>
  <c r="DY59" i="6"/>
  <c r="CF59" i="6"/>
  <c r="CB62" i="6"/>
  <c r="CB63" i="6" s="1"/>
  <c r="BZ65" i="6"/>
  <c r="BZ66" i="6" s="1"/>
  <c r="BZ68" i="6" s="1"/>
  <c r="EA56" i="6"/>
  <c r="EC17" i="6"/>
  <c r="BX92" i="6"/>
  <c r="BX65" i="6"/>
  <c r="BX66" i="6" s="1"/>
  <c r="BX68" i="6" s="1"/>
  <c r="BV68" i="6"/>
  <c r="BV69" i="6" s="1"/>
  <c r="BY65" i="6"/>
  <c r="BY66" i="6" s="1"/>
  <c r="BY68" i="6" s="1"/>
  <c r="BW92" i="6"/>
  <c r="BW65" i="6"/>
  <c r="DN90" i="6"/>
  <c r="DN62" i="6"/>
  <c r="DN63" i="6" s="1"/>
  <c r="DN92" i="6" s="1"/>
  <c r="DS59" i="6"/>
  <c r="DO58" i="6"/>
  <c r="DO72" i="6"/>
  <c r="DO60" i="6"/>
  <c r="DO91" i="6"/>
  <c r="DO89" i="6"/>
  <c r="DL93" i="6"/>
  <c r="DL68" i="6"/>
  <c r="R69" i="6"/>
  <c r="R95" i="6"/>
  <c r="DP56" i="6"/>
  <c r="DQ77" i="6"/>
  <c r="BY69" i="6" l="1"/>
  <c r="BY122" i="6"/>
  <c r="BX69" i="6"/>
  <c r="BX122" i="6"/>
  <c r="BZ69" i="6"/>
  <c r="BZ122" i="6"/>
  <c r="DY62" i="6"/>
  <c r="DY63" i="6" s="1"/>
  <c r="DY65" i="6" s="1"/>
  <c r="CD65" i="6"/>
  <c r="CD92" i="6"/>
  <c r="CC65" i="6"/>
  <c r="CC92" i="6"/>
  <c r="CB92" i="6"/>
  <c r="CB65" i="6"/>
  <c r="CH66" i="6"/>
  <c r="CH68" i="6" s="1"/>
  <c r="CH69" i="6" s="1"/>
  <c r="CF62" i="6"/>
  <c r="CF63" i="6" s="1"/>
  <c r="CF65" i="6" s="1"/>
  <c r="DZ59" i="6"/>
  <c r="DZ62" i="6" s="1"/>
  <c r="DZ63" i="6" s="1"/>
  <c r="EJ5" i="6"/>
  <c r="CD68" i="6"/>
  <c r="CC66" i="6"/>
  <c r="CC68" i="6" s="1"/>
  <c r="CC122" i="6" s="1"/>
  <c r="CG66" i="6"/>
  <c r="CG68" i="6" s="1"/>
  <c r="CG69" i="6" s="1"/>
  <c r="EA58" i="6"/>
  <c r="EA90" i="6"/>
  <c r="EA91" i="6"/>
  <c r="EA59" i="6"/>
  <c r="EA72" i="6"/>
  <c r="EB56" i="6"/>
  <c r="ED17" i="6"/>
  <c r="EE17" i="6" s="1"/>
  <c r="EF17" i="6" s="1"/>
  <c r="BW66" i="6"/>
  <c r="DP58" i="6"/>
  <c r="DP57" i="6" s="1"/>
  <c r="DP91" i="6"/>
  <c r="DP72" i="6"/>
  <c r="DP60" i="6"/>
  <c r="DP89" i="6"/>
  <c r="DT59" i="6"/>
  <c r="DL69" i="6"/>
  <c r="DO57" i="6"/>
  <c r="DQ56" i="6"/>
  <c r="DR77" i="6"/>
  <c r="DO90" i="6"/>
  <c r="DO62" i="6"/>
  <c r="DO63" i="6" s="1"/>
  <c r="DO92" i="6" s="1"/>
  <c r="CD69" i="6" l="1"/>
  <c r="CD122" i="6"/>
  <c r="EA88" i="6"/>
  <c r="BW68" i="6"/>
  <c r="DX66" i="6"/>
  <c r="EA57" i="6"/>
  <c r="CC69" i="6"/>
  <c r="CF66" i="6"/>
  <c r="DZ66" i="6" s="1"/>
  <c r="EG17" i="6"/>
  <c r="EF56" i="6"/>
  <c r="CB66" i="6"/>
  <c r="EB90" i="6"/>
  <c r="EB91" i="6"/>
  <c r="EB59" i="6"/>
  <c r="EB58" i="6"/>
  <c r="EB57" i="6" s="1"/>
  <c r="EB72" i="6"/>
  <c r="EA62" i="6"/>
  <c r="EA63" i="6" s="1"/>
  <c r="EA89" i="6"/>
  <c r="EC56" i="6"/>
  <c r="DP90" i="6"/>
  <c r="DP62" i="6"/>
  <c r="DP63" i="6" s="1"/>
  <c r="DP92" i="6" s="1"/>
  <c r="DS77" i="6"/>
  <c r="DQ91" i="6"/>
  <c r="DQ58" i="6"/>
  <c r="DQ57" i="6" s="1"/>
  <c r="DQ72" i="6"/>
  <c r="DQ60" i="6"/>
  <c r="DQ89" i="6"/>
  <c r="DR56" i="6"/>
  <c r="BW69" i="6" l="1"/>
  <c r="BW122" i="6"/>
  <c r="DY66" i="6"/>
  <c r="DY68" i="6" s="1"/>
  <c r="CF68" i="6"/>
  <c r="CF69" i="6" s="1"/>
  <c r="CB68" i="6"/>
  <c r="EH17" i="6"/>
  <c r="EG56" i="6"/>
  <c r="EF59" i="6"/>
  <c r="EF91" i="6"/>
  <c r="EF58" i="6"/>
  <c r="EF90" i="6"/>
  <c r="DZ95" i="6"/>
  <c r="EC91" i="6"/>
  <c r="EC59" i="6"/>
  <c r="EC90" i="6"/>
  <c r="EC58" i="6"/>
  <c r="EC72" i="6"/>
  <c r="EA65" i="6"/>
  <c r="EA66" i="6" s="1"/>
  <c r="EA92" i="6"/>
  <c r="EB88" i="6"/>
  <c r="EB62" i="6"/>
  <c r="EB63" i="6" s="1"/>
  <c r="EB89" i="6"/>
  <c r="ED56" i="6"/>
  <c r="DT77" i="6"/>
  <c r="DR58" i="6"/>
  <c r="DR57" i="6" s="1"/>
  <c r="DR91" i="6"/>
  <c r="DR72" i="6"/>
  <c r="DR60" i="6"/>
  <c r="DR89" i="6"/>
  <c r="DS56" i="6"/>
  <c r="DQ90" i="6"/>
  <c r="DQ62" i="6"/>
  <c r="DQ63" i="6" s="1"/>
  <c r="DQ92" i="6" s="1"/>
  <c r="EF62" i="6" l="1"/>
  <c r="EF63" i="6" s="1"/>
  <c r="EF92" i="6" s="1"/>
  <c r="EF89" i="6"/>
  <c r="EF88" i="6"/>
  <c r="EF57" i="6"/>
  <c r="EG90" i="6"/>
  <c r="EG72" i="6"/>
  <c r="EG91" i="6"/>
  <c r="EG58" i="6"/>
  <c r="EG88" i="6" s="1"/>
  <c r="EG59" i="6"/>
  <c r="EI17" i="6"/>
  <c r="EH56" i="6"/>
  <c r="CB69" i="6"/>
  <c r="CB122" i="6"/>
  <c r="DY122" i="6" s="1"/>
  <c r="EB92" i="6"/>
  <c r="ED91" i="6"/>
  <c r="ED59" i="6"/>
  <c r="ED58" i="6"/>
  <c r="ED57" i="6" s="1"/>
  <c r="ED72" i="6"/>
  <c r="ED90" i="6"/>
  <c r="EA68" i="6"/>
  <c r="EA93" i="6"/>
  <c r="EC88" i="6"/>
  <c r="EC62" i="6"/>
  <c r="EC63" i="6" s="1"/>
  <c r="EC92" i="6" s="1"/>
  <c r="EC89" i="6"/>
  <c r="EC57" i="6"/>
  <c r="EE56" i="6"/>
  <c r="DT56" i="6"/>
  <c r="DR90" i="6"/>
  <c r="DR62" i="6"/>
  <c r="DR63" i="6" s="1"/>
  <c r="DR92" i="6" s="1"/>
  <c r="DS60" i="6"/>
  <c r="DS91" i="6"/>
  <c r="DS58" i="6"/>
  <c r="DS72" i="6"/>
  <c r="DS89" i="6"/>
  <c r="DU77" i="6"/>
  <c r="EG57" i="6" l="1"/>
  <c r="EH59" i="6"/>
  <c r="EH72" i="6"/>
  <c r="EH58" i="6"/>
  <c r="EH91" i="6"/>
  <c r="EH90" i="6"/>
  <c r="EG62" i="6"/>
  <c r="EG63" i="6" s="1"/>
  <c r="EG92" i="6" s="1"/>
  <c r="EG89" i="6"/>
  <c r="EJ17" i="6"/>
  <c r="EJ56" i="6" s="1"/>
  <c r="EI56" i="6"/>
  <c r="EA69" i="6"/>
  <c r="EA95" i="6"/>
  <c r="ED88" i="6"/>
  <c r="ED62" i="6"/>
  <c r="ED63" i="6" s="1"/>
  <c r="ED92" i="6" s="1"/>
  <c r="ED89" i="6"/>
  <c r="EE91" i="6"/>
  <c r="EE59" i="6"/>
  <c r="EE58" i="6"/>
  <c r="EE57" i="6" s="1"/>
  <c r="EE90" i="6"/>
  <c r="EE72" i="6"/>
  <c r="EF72" i="6"/>
  <c r="DS57" i="6"/>
  <c r="DS90" i="6"/>
  <c r="DS62" i="6"/>
  <c r="DS63" i="6" s="1"/>
  <c r="DS92" i="6" s="1"/>
  <c r="DT60" i="6"/>
  <c r="DT72" i="6"/>
  <c r="DT91" i="6"/>
  <c r="DT58" i="6"/>
  <c r="DT57" i="6" s="1"/>
  <c r="DT89" i="6"/>
  <c r="DV77" i="6"/>
  <c r="DU56" i="6"/>
  <c r="EI58" i="6" l="1"/>
  <c r="EI88" i="6" s="1"/>
  <c r="EI91" i="6"/>
  <c r="EI59" i="6"/>
  <c r="EI90" i="6"/>
  <c r="EI72" i="6"/>
  <c r="EJ59" i="6"/>
  <c r="EJ58" i="6"/>
  <c r="EJ88" i="6" s="1"/>
  <c r="EJ91" i="6"/>
  <c r="EJ90" i="6"/>
  <c r="EJ72" i="6"/>
  <c r="EH57" i="6"/>
  <c r="EH88" i="6"/>
  <c r="EH89" i="6"/>
  <c r="EH62" i="6"/>
  <c r="EH63" i="6" s="1"/>
  <c r="EH92" i="6" s="1"/>
  <c r="EE88" i="6"/>
  <c r="EE62" i="6"/>
  <c r="EE63" i="6" s="1"/>
  <c r="EE92" i="6" s="1"/>
  <c r="EE89" i="6"/>
  <c r="EB64" i="6"/>
  <c r="EB65" i="6" s="1"/>
  <c r="DW77" i="6"/>
  <c r="DT90" i="6"/>
  <c r="DT62" i="6"/>
  <c r="DT63" i="6" s="1"/>
  <c r="DT92" i="6" s="1"/>
  <c r="DU91" i="6"/>
  <c r="DU72" i="6"/>
  <c r="DU89" i="6"/>
  <c r="EI57" i="6" l="1"/>
  <c r="EJ57" i="6"/>
  <c r="EJ89" i="6"/>
  <c r="EJ62" i="6"/>
  <c r="EJ63" i="6" s="1"/>
  <c r="EJ92" i="6" s="1"/>
  <c r="EI89" i="6"/>
  <c r="EI62" i="6"/>
  <c r="EI63" i="6" s="1"/>
  <c r="EI92" i="6" s="1"/>
  <c r="EB66" i="6"/>
  <c r="EB93" i="6" s="1"/>
  <c r="DV72" i="6"/>
  <c r="DV91" i="6"/>
  <c r="DV89" i="6"/>
  <c r="DU90" i="6"/>
  <c r="DU62" i="6"/>
  <c r="DU63" i="6" s="1"/>
  <c r="DU92" i="6" s="1"/>
  <c r="DX77" i="6"/>
  <c r="EB68" i="6" l="1"/>
  <c r="EB69" i="6" s="1"/>
  <c r="DW91" i="6"/>
  <c r="DW72" i="6"/>
  <c r="DW89" i="6"/>
  <c r="DY77" i="6"/>
  <c r="DZ77" i="6"/>
  <c r="DV90" i="6"/>
  <c r="DV62" i="6"/>
  <c r="DV63" i="6" s="1"/>
  <c r="DV92" i="6" s="1"/>
  <c r="EB95" i="6" l="1"/>
  <c r="EC64" i="6" s="1"/>
  <c r="EC65" i="6" s="1"/>
  <c r="DW90" i="6"/>
  <c r="DW92" i="6"/>
  <c r="DX72" i="6"/>
  <c r="DX91" i="6"/>
  <c r="DX89" i="6"/>
  <c r="EC66" i="6" l="1"/>
  <c r="EC93" i="6" s="1"/>
  <c r="DX90" i="6"/>
  <c r="DX92" i="6"/>
  <c r="DY72" i="6"/>
  <c r="DY91" i="6"/>
  <c r="DY89" i="6"/>
  <c r="DZ91" i="6"/>
  <c r="DZ72" i="6"/>
  <c r="DZ89" i="6"/>
  <c r="EC68" i="6" l="1"/>
  <c r="EC69" i="6" s="1"/>
  <c r="DY90" i="6"/>
  <c r="DY92" i="6"/>
  <c r="DZ90" i="6"/>
  <c r="EC95" i="6" l="1"/>
  <c r="ED64" i="6" s="1"/>
  <c r="ED65" i="6" s="1"/>
  <c r="DZ65" i="6"/>
  <c r="DZ68" i="6" s="1"/>
  <c r="DU65" i="6"/>
  <c r="DU93" i="6" s="1"/>
  <c r="DU69" i="6"/>
  <c r="ED66" i="6" l="1"/>
  <c r="ED93" i="6" s="1"/>
  <c r="DZ92" i="6"/>
  <c r="DV69" i="6"/>
  <c r="DV65" i="6"/>
  <c r="DV93" i="6" s="1"/>
  <c r="ED68" i="6" l="1"/>
  <c r="DW65" i="6"/>
  <c r="DW93" i="6" l="1"/>
  <c r="DW68" i="6"/>
  <c r="DW69" i="6" s="1"/>
  <c r="ED69" i="6"/>
  <c r="ED95" i="6"/>
  <c r="DX65" i="6"/>
  <c r="DX93" i="6" l="1"/>
  <c r="DX68" i="6"/>
  <c r="DX69" i="6" s="1"/>
  <c r="EE64" i="6"/>
  <c r="EE65" i="6" s="1"/>
  <c r="DY69" i="6"/>
  <c r="DY93" i="6"/>
  <c r="EE66" i="6" l="1"/>
  <c r="EE93" i="6" s="1"/>
  <c r="DZ93" i="6"/>
  <c r="DZ69" i="6"/>
  <c r="DT64" i="6"/>
  <c r="DT65" i="6" s="1"/>
  <c r="DT66" i="6" s="1"/>
  <c r="DT93" i="6" s="1"/>
  <c r="DS64" i="6"/>
  <c r="DS65" i="6" s="1"/>
  <c r="DS66" i="6" s="1"/>
  <c r="DS93" i="6" s="1"/>
  <c r="DP64" i="6"/>
  <c r="DP65" i="6" s="1"/>
  <c r="DP66" i="6" s="1"/>
  <c r="DP93" i="6" s="1"/>
  <c r="DQ64" i="6"/>
  <c r="DQ65" i="6" s="1"/>
  <c r="DR64" i="6"/>
  <c r="DR65" i="6" s="1"/>
  <c r="DR66" i="6" s="1"/>
  <c r="DR68" i="6" s="1"/>
  <c r="DR93" i="6" l="1"/>
  <c r="EE68" i="6"/>
  <c r="EE69" i="6" s="1"/>
  <c r="DS68" i="6"/>
  <c r="DR69" i="6"/>
  <c r="DQ66" i="6"/>
  <c r="DQ93" i="6" s="1"/>
  <c r="DP68" i="6"/>
  <c r="DP69" i="6" s="1"/>
  <c r="EE95" i="6" l="1"/>
  <c r="EF64" i="6" s="1"/>
  <c r="EF65" i="6" s="1"/>
  <c r="DQ68" i="6"/>
  <c r="DQ69" i="6" s="1"/>
  <c r="DS69" i="6"/>
  <c r="DT68" i="6"/>
  <c r="DT69" i="6" s="1"/>
  <c r="DO64" i="6"/>
  <c r="DO65" i="6" s="1"/>
  <c r="DN64" i="6"/>
  <c r="DN65" i="6" s="1"/>
  <c r="DO66" i="6" l="1"/>
  <c r="DO93" i="6" s="1"/>
  <c r="EF66" i="6"/>
  <c r="EF93" i="6" s="1"/>
  <c r="DN66" i="6"/>
  <c r="DN93" i="6" s="1"/>
  <c r="DM64" i="6"/>
  <c r="DM65" i="6" s="1"/>
  <c r="EF68" i="6" l="1"/>
  <c r="EF69" i="6" s="1"/>
  <c r="DN68" i="6"/>
  <c r="DN69" i="6" s="1"/>
  <c r="DO68" i="6"/>
  <c r="DO69" i="6" s="1"/>
  <c r="DM66" i="6"/>
  <c r="DM93" i="6" s="1"/>
  <c r="EF95" i="6" l="1"/>
  <c r="EG64" i="6" s="1"/>
  <c r="EG65" i="6" s="1"/>
  <c r="DM68" i="6"/>
  <c r="DM69" i="6" s="1"/>
  <c r="EG66" i="6" l="1"/>
  <c r="EG93" i="6" s="1"/>
  <c r="EG68" i="6" l="1"/>
  <c r="EG69" i="6" s="1"/>
  <c r="EG95" i="6" l="1"/>
  <c r="EH64" i="6" s="1"/>
  <c r="EH65" i="6" s="1"/>
  <c r="EH66" i="6" l="1"/>
  <c r="EH93" i="6" s="1"/>
  <c r="EH68" i="6" l="1"/>
  <c r="EH69" i="6" s="1"/>
  <c r="EH95" i="6" l="1"/>
  <c r="EI64" i="6" s="1"/>
  <c r="EI65" i="6" s="1"/>
  <c r="EI66" i="6" l="1"/>
  <c r="EI93" i="6" s="1"/>
  <c r="EI68" i="6" l="1"/>
  <c r="EI69" i="6" s="1"/>
  <c r="EI95" i="6" l="1"/>
  <c r="EJ64" i="6" s="1"/>
  <c r="EJ65" i="6" s="1"/>
  <c r="EJ66" i="6" l="1"/>
  <c r="EJ93" i="6" s="1"/>
  <c r="EJ68" i="6" l="1"/>
  <c r="EJ69" i="6" s="1"/>
  <c r="EJ95" i="6" l="1"/>
  <c r="EK68" i="6"/>
  <c r="EL68" i="6" s="1"/>
  <c r="EM68" i="6" s="1"/>
  <c r="EN68" i="6" s="1"/>
  <c r="EO68" i="6" s="1"/>
  <c r="EP68" i="6" s="1"/>
  <c r="EQ68" i="6" s="1"/>
  <c r="ER68" i="6" s="1"/>
  <c r="ES68" i="6" s="1"/>
  <c r="ET68" i="6" s="1"/>
  <c r="EU68" i="6" s="1"/>
  <c r="EV68" i="6" s="1"/>
  <c r="EW68" i="6" s="1"/>
  <c r="EX68" i="6" s="1"/>
  <c r="EY68" i="6" s="1"/>
  <c r="EZ68" i="6" s="1"/>
  <c r="FA68" i="6" s="1"/>
  <c r="FB68" i="6" s="1"/>
  <c r="FC68" i="6" s="1"/>
  <c r="FD68" i="6" s="1"/>
  <c r="FE68" i="6" s="1"/>
  <c r="FF68" i="6" s="1"/>
  <c r="FG68" i="6" s="1"/>
  <c r="FH68" i="6" s="1"/>
  <c r="FI68" i="6" s="1"/>
  <c r="FJ68" i="6" s="1"/>
  <c r="FK68" i="6" s="1"/>
  <c r="FL68" i="6" s="1"/>
  <c r="FM68" i="6" s="1"/>
  <c r="FN68" i="6" s="1"/>
  <c r="FO68" i="6" s="1"/>
  <c r="FP68" i="6" s="1"/>
  <c r="FQ68" i="6" s="1"/>
  <c r="FR68" i="6" s="1"/>
  <c r="FS68" i="6" s="1"/>
  <c r="FT68" i="6" s="1"/>
  <c r="FU68" i="6" s="1"/>
  <c r="FV68" i="6" s="1"/>
  <c r="FW68" i="6" s="1"/>
  <c r="FX68" i="6" s="1"/>
  <c r="FY68" i="6" s="1"/>
  <c r="FZ68" i="6" s="1"/>
  <c r="GA68" i="6" s="1"/>
  <c r="GB68" i="6" s="1"/>
  <c r="GC68" i="6" s="1"/>
  <c r="EM75" i="6" s="1"/>
  <c r="EM76" i="6" s="1"/>
  <c r="EM78" i="6" s="1"/>
  <c r="N56" i="6"/>
  <c r="N58" i="6" s="1"/>
  <c r="N89" i="6" l="1"/>
  <c r="N88" i="6"/>
  <c r="N63" i="6"/>
  <c r="N90" i="6"/>
  <c r="N91" i="6"/>
  <c r="N65" i="6" l="1"/>
  <c r="N92" i="6"/>
  <c r="N68" i="6" l="1"/>
  <c r="N69" i="6" s="1"/>
  <c r="N93" i="6"/>
  <c r="O56" i="6"/>
  <c r="O91" i="6" s="1"/>
  <c r="O89" i="6" l="1"/>
  <c r="O90" i="6"/>
  <c r="O58" i="6"/>
  <c r="P56" i="6"/>
  <c r="P58" i="6" s="1"/>
  <c r="P90" i="6" l="1"/>
  <c r="P89" i="6"/>
  <c r="O63" i="6"/>
  <c r="O88" i="6"/>
  <c r="P63" i="6"/>
  <c r="P88" i="6"/>
  <c r="P91" i="6"/>
  <c r="O65" i="6" l="1"/>
  <c r="O92" i="6"/>
  <c r="P92" i="6"/>
  <c r="P65" i="6"/>
  <c r="O68" i="6" l="1"/>
  <c r="O69" i="6" s="1"/>
  <c r="O93" i="6"/>
  <c r="P93" i="6"/>
  <c r="P68" i="6"/>
  <c r="P69" i="6" l="1"/>
  <c r="P95" i="6"/>
  <c r="Q56" i="6"/>
  <c r="Q90" i="6" s="1"/>
  <c r="Q58" i="6" l="1"/>
  <c r="Q89" i="6"/>
  <c r="Q91" i="6"/>
  <c r="DI11" i="6"/>
  <c r="DI56" i="6"/>
  <c r="R56" i="6"/>
  <c r="R57" i="6" s="1"/>
  <c r="R90" i="6" l="1"/>
  <c r="R91" i="6"/>
  <c r="R88" i="6"/>
  <c r="R89" i="6"/>
  <c r="R72" i="6"/>
  <c r="Q88" i="6"/>
  <c r="DI58" i="6"/>
  <c r="Q63" i="6"/>
  <c r="R92" i="6"/>
  <c r="S56" i="6"/>
  <c r="S58" i="6" s="1"/>
  <c r="Q65" i="6" l="1"/>
  <c r="Q92" i="6"/>
  <c r="S72" i="6"/>
  <c r="S89" i="6"/>
  <c r="W72" i="6"/>
  <c r="DI63" i="6"/>
  <c r="DI65" i="6" s="1"/>
  <c r="DI68" i="6" s="1"/>
  <c r="DI69" i="6" s="1"/>
  <c r="DI88" i="6"/>
  <c r="DI57" i="6"/>
  <c r="S63" i="6"/>
  <c r="S88" i="6"/>
  <c r="S91" i="6"/>
  <c r="S90" i="6"/>
  <c r="Q68" i="6" l="1"/>
  <c r="Q69" i="6" s="1"/>
  <c r="Q93" i="6"/>
  <c r="S92" i="6"/>
  <c r="S65" i="6"/>
  <c r="S68" i="6" l="1"/>
  <c r="S69" i="6" s="1"/>
  <c r="S93" i="6"/>
  <c r="T56" i="6"/>
  <c r="T89" i="6" s="1"/>
  <c r="T90" i="6" l="1"/>
  <c r="T72" i="6"/>
  <c r="T91" i="6"/>
  <c r="T58" i="6"/>
  <c r="T63" i="6" l="1"/>
  <c r="T88" i="6"/>
  <c r="T92" i="6" l="1"/>
  <c r="T65" i="6"/>
  <c r="T93" i="6" l="1"/>
  <c r="T68" i="6"/>
  <c r="T69" i="6" s="1"/>
  <c r="U56" i="6"/>
  <c r="U90" i="6" s="1"/>
  <c r="Y72" i="6" l="1"/>
  <c r="U89" i="6"/>
  <c r="U72" i="6"/>
  <c r="U91" i="6"/>
  <c r="U58" i="6"/>
  <c r="U63" i="6" l="1"/>
  <c r="U88" i="6"/>
  <c r="DJ11" i="6"/>
  <c r="DJ56" i="6" s="1"/>
  <c r="V56" i="6"/>
  <c r="Z72" i="6" s="1"/>
  <c r="U65" i="6" l="1"/>
  <c r="U92" i="6"/>
  <c r="DJ89" i="6"/>
  <c r="DJ72" i="6"/>
  <c r="DJ90" i="6"/>
  <c r="V58" i="6"/>
  <c r="V72" i="6"/>
  <c r="V91" i="6"/>
  <c r="V90" i="6"/>
  <c r="V89" i="6"/>
  <c r="U68" i="6" l="1"/>
  <c r="U69" i="6" s="1"/>
  <c r="U93" i="6"/>
  <c r="V63" i="6"/>
  <c r="DJ58" i="6"/>
  <c r="V88" i="6"/>
  <c r="DJ63" i="6" l="1"/>
  <c r="DJ65" i="6" s="1"/>
  <c r="DJ68" i="6" s="1"/>
  <c r="DJ69" i="6" s="1"/>
  <c r="DJ88" i="6"/>
  <c r="DJ57" i="6"/>
  <c r="V92" i="6"/>
  <c r="V65" i="6"/>
  <c r="V68" i="6" l="1"/>
  <c r="V69" i="6" s="1"/>
  <c r="V93" i="6"/>
  <c r="I56" i="6"/>
  <c r="E56" i="6"/>
  <c r="E58" i="6" s="1"/>
  <c r="I72" i="6" l="1"/>
  <c r="I58" i="6"/>
  <c r="E88" i="6"/>
  <c r="E63" i="6"/>
  <c r="E65" i="6" s="1"/>
  <c r="E68" i="6" s="1"/>
  <c r="E69" i="6" s="1"/>
  <c r="F56" i="6"/>
  <c r="F58" i="6" s="1"/>
  <c r="G56" i="6"/>
  <c r="G58" i="6" s="1"/>
  <c r="G88" i="6" s="1"/>
  <c r="F88" i="6" l="1"/>
  <c r="F63" i="6"/>
  <c r="F65" i="6" s="1"/>
  <c r="F68" i="6" s="1"/>
  <c r="F69" i="6" s="1"/>
  <c r="I88" i="6"/>
  <c r="I63" i="6"/>
  <c r="I65" i="6" s="1"/>
  <c r="I68" i="6" s="1"/>
  <c r="I69" i="6" s="1"/>
  <c r="G63" i="6"/>
  <c r="G65" i="6" s="1"/>
  <c r="G68" i="6" s="1"/>
  <c r="G69" i="6" s="1"/>
  <c r="H56" i="6"/>
  <c r="H58" i="6" s="1"/>
  <c r="H88" i="6" l="1"/>
  <c r="H63" i="6"/>
  <c r="H65" i="6" s="1"/>
  <c r="H68" i="6" s="1"/>
  <c r="H69" i="6" s="1"/>
  <c r="C56" i="6"/>
  <c r="G72" i="6" s="1"/>
  <c r="C58" i="6" l="1"/>
  <c r="C88" i="6" l="1"/>
  <c r="C63" i="6"/>
  <c r="C65" i="6" s="1"/>
  <c r="C68" i="6" s="1"/>
  <c r="C69" i="6" s="1"/>
  <c r="D56" i="6"/>
  <c r="D58" i="6" s="1"/>
  <c r="DF11" i="6"/>
  <c r="DF56" i="6" s="1"/>
  <c r="H72" i="6" l="1"/>
  <c r="DF88" i="6"/>
  <c r="DF72" i="6"/>
  <c r="D63" i="6"/>
  <c r="D65" i="6" s="1"/>
  <c r="D68" i="6" s="1"/>
  <c r="D69" i="6" s="1"/>
  <c r="D88" i="6"/>
  <c r="M56" i="6"/>
  <c r="M90" i="6" s="1"/>
  <c r="M58" i="6" l="1"/>
  <c r="M72" i="6"/>
  <c r="M91" i="6"/>
  <c r="M89" i="6"/>
  <c r="Q72" i="6"/>
  <c r="M63" i="6" l="1"/>
  <c r="M88" i="6"/>
  <c r="M65" i="6" l="1"/>
  <c r="M92" i="6"/>
  <c r="M93" i="6" l="1"/>
  <c r="M68" i="6"/>
  <c r="M69" i="6" s="1"/>
  <c r="L56" i="6"/>
  <c r="L90" i="6" s="1"/>
  <c r="P72" i="6" l="1"/>
  <c r="L72" i="6"/>
  <c r="L89" i="6"/>
  <c r="L91" i="6"/>
  <c r="L58" i="6"/>
  <c r="L88" i="6" l="1"/>
  <c r="L63" i="6"/>
  <c r="L65" i="6" l="1"/>
  <c r="L92" i="6"/>
  <c r="L68" i="6" l="1"/>
  <c r="L69" i="6" s="1"/>
  <c r="L93" i="6"/>
  <c r="K56" i="6"/>
  <c r="K72" i="6" s="1"/>
  <c r="DH11" i="6"/>
  <c r="DH56" i="6" s="1"/>
  <c r="DI72" i="6" s="1"/>
  <c r="K58" i="6" l="1"/>
  <c r="K63" i="6" s="1"/>
  <c r="K90" i="6"/>
  <c r="K89" i="6"/>
  <c r="K91" i="6"/>
  <c r="O72" i="6"/>
  <c r="K92" i="6"/>
  <c r="K65" i="6"/>
  <c r="K88" i="6"/>
  <c r="DH58" i="6"/>
  <c r="DH88" i="6" s="1"/>
  <c r="DH57" i="6" l="1"/>
  <c r="K93" i="6"/>
  <c r="K68" i="6"/>
  <c r="K69" i="6" s="1"/>
  <c r="DG11" i="6"/>
  <c r="DG56" i="6" s="1"/>
  <c r="J56" i="6"/>
  <c r="N72" i="6" s="1"/>
  <c r="J58" i="6" l="1"/>
  <c r="J72" i="6"/>
  <c r="DH72" i="6"/>
  <c r="DG88" i="6"/>
  <c r="DG72" i="6"/>
  <c r="DH71" i="6"/>
  <c r="DK11" i="6"/>
  <c r="DK56" i="6" s="1"/>
  <c r="X56" i="6"/>
  <c r="X58" i="6" s="1"/>
  <c r="X90" i="6" l="1"/>
  <c r="X72" i="6"/>
  <c r="AB72" i="6"/>
  <c r="X91" i="6"/>
  <c r="X89" i="6"/>
  <c r="J63" i="6"/>
  <c r="J65" i="6" s="1"/>
  <c r="J68" i="6" s="1"/>
  <c r="J69" i="6" s="1"/>
  <c r="J88" i="6"/>
  <c r="X63" i="6"/>
  <c r="X88" i="6"/>
  <c r="DL72" i="6"/>
  <c r="DK89" i="6"/>
  <c r="DK72" i="6"/>
  <c r="DK90" i="6"/>
  <c r="DK58" i="6"/>
  <c r="DK63" i="6" s="1"/>
  <c r="DK65" i="6" s="1"/>
  <c r="DK68" i="6" s="1"/>
  <c r="DK69" i="6" s="1"/>
  <c r="X92" i="6" l="1"/>
  <c r="X65" i="6"/>
  <c r="X68" i="6" l="1"/>
  <c r="X69" i="6" s="1"/>
  <c r="X9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tc={ADDA9155-6FB6-3645-8EF2-D4112B1B810C}</author>
    <author>tc={5353C74F-3DA1-1142-81DF-85AD5611102E}</author>
    <author>tc={BBE4A942-97F3-8E43-8E0B-1C883A5FE026}</author>
    <author>tc={7F26880F-3692-5C44-ADD1-A74A2543E434}</author>
    <author>tc={D2995CE7-F32D-8C41-A5AF-D8026E4F13CD}</author>
    <author>tc={C5951982-D7F8-2546-AC90-9625AB74AD67}</author>
    <author>tc={DF0CA8EA-E15D-4DCF-8A89-D3F0E51858A5}</author>
    <author>tc={46EAF32E-7A2F-F74A-8EBB-D44B0AFE7F6A}</author>
    <author>tc={1727F93D-8F9D-4AF0-A375-BADEA5A4BCDB}</author>
    <author>tc={946EE862-FE62-45E3-9122-A9E70C0AF3D7}</author>
    <author>tc={DFDA0432-9884-4EBE-96B3-87B7B5D4D515}</author>
    <author>tc={59AADAB3-7D26-4862-B979-01EC18E461EC}</author>
    <author>tc={B6ACDA46-C581-404D-B14B-2295FED7F43F}</author>
    <author>tc={471070A5-B4E3-984C-A531-77ED3482BBEB}</author>
    <author>Martin</author>
    <author>Martin Shkreli</author>
    <author>tc={D43BC2AC-F6DE-41E9-B105-54AC99C72584}</author>
    <author>tc={D001C4B3-37ED-44E4-8556-11B7C0E63283}</author>
    <author>tc={586D2F4C-34A9-4EB0-BCA0-FCD3D665610A}</author>
    <author>Dean Wagner</author>
    <author>MSMB</author>
    <author>tc={6C251F1D-2001-433E-8E0C-B9591BB48B53}</author>
  </authors>
  <commentList>
    <comment ref="DF3" authorId="0" shapeId="0" xr:uid="{ADDA9155-6FB6-3645-8EF2-D4112B1B810C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12/2005 approval</t>
      </text>
    </comment>
    <comment ref="DN4" authorId="1" shapeId="0" xr:uid="{5353C74F-3DA1-1142-81DF-85AD5611102E}">
      <text>
        <t>[Threaded comment]
Your version of Excel allows you to read this threaded comment; however, any edits to it will get removed if the file is opened in a newer version of Excel. Learn more: https://go.microsoft.com/fwlink/?linkid=870924
Comment:
    7/9/13 FDA approval</t>
      </text>
    </comment>
    <comment ref="EA4" authorId="2" shapeId="0" xr:uid="{BBE4A942-97F3-8E43-8E0B-1C883A5FE026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 expiry as per 2017 annual report</t>
      </text>
    </comment>
    <comment ref="EC4" authorId="3" shapeId="0" xr:uid="{7F26880F-3692-5C44-ADD1-A74A2543E434}">
      <text>
        <t>[Threaded comment]
Your version of Excel allows you to read this threaded comment; however, any edits to it will get removed if the file is opened in a newer version of Excel. Learn more: https://go.microsoft.com/fwlink/?linkid=870924
Comment:
    4/1/2028 allowed date of launch as per settlement, 2031 patent upheld</t>
      </text>
    </comment>
    <comment ref="DO5" authorId="4" shapeId="0" xr:uid="{D2995CE7-F32D-8C41-A5AF-D8026E4F13CD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12/22/2014 approval</t>
      </text>
    </comment>
    <comment ref="ED5" authorId="5" shapeId="0" xr:uid="{C5951982-D7F8-2546-AC90-9625AB74AD67}">
      <text>
        <t>[Threaded comment]
Your version of Excel allows you to read this threaded comment; however, any edits to it will get removed if the file is opened in a newer version of Excel. Learn more: https://go.microsoft.com/fwlink/?linkid=870924
Comment:
    Biosimilars, but some credit for subcutaneous</t>
      </text>
    </comment>
    <comment ref="DW6" authorId="6" shapeId="0" xr:uid="{DF0CA8EA-E15D-4DCF-8A89-D3F0E51858A5}">
      <text>
        <t>[Threaded comment]
Your version of Excel allows you to read this threaded comment; however, any edits to it will get removed if the file is opened in a newer version of Excel. Learn more: https://go.microsoft.com/fwlink/?linkid=870924
Comment:
    Q222 call: 9.0B-9.5B</t>
      </text>
    </comment>
    <comment ref="EA6" authorId="7" shapeId="0" xr:uid="{46EAF32E-7A2F-F74A-8EBB-D44B0AFE7F6A}">
      <text>
        <t>[Threaded comment]
Your version of Excel allows you to read this threaded comment; however, any edits to it will get removed if the file is opened in a newer version of Excel. Learn more: https://go.microsoft.com/fwlink/?linkid=870924
Comment:
    1/31/26 unrestricted volume from generics</t>
      </text>
    </comment>
    <comment ref="ED12" authorId="8" shapeId="0" xr:uid="{1727F93D-8F9D-4AF0-A375-BADEA5A4BCDB}">
      <text>
        <t>[Threaded comment]
Your version of Excel allows you to read this threaded comment; however, any edits to it will get removed if the file is opened in a newer version of Excel. Learn more: https://go.microsoft.com/fwlink/?linkid=870924
Comment:
    Q222: 4B peak sales</t>
      </text>
    </comment>
    <comment ref="ED17" authorId="9" shapeId="0" xr:uid="{946EE862-FE62-45E3-9122-A9E70C0AF3D7}">
      <text>
        <t>[Threaded comment]
Your version of Excel allows you to read this threaded comment; however, any edits to it will get removed if the file is opened in a newer version of Excel. Learn more: https://go.microsoft.com/fwlink/?linkid=870924
Comment:
    Q222: 3B peak sales?</t>
      </text>
    </comment>
    <comment ref="BT18" authorId="10" shapeId="0" xr:uid="{DFDA0432-9884-4EBE-96B3-87B7B5D4D515}">
      <text>
        <t>[Threaded comment]
Your version of Excel allows you to read this threaded comment; however, any edits to it will get removed if the file is opened in a newer version of Excel. Learn more: https://go.microsoft.com/fwlink/?linkid=870924
Comment:
    Q222: demand &gt; supply</t>
      </text>
    </comment>
    <comment ref="ED19" authorId="11" shapeId="0" xr:uid="{59AADAB3-7D26-4862-B979-01EC18E461EC}">
      <text>
        <t>[Threaded comment]
Your version of Excel allows you to read this threaded comment; however, any edits to it will get removed if the file is opened in a newer version of Excel. Learn more: https://go.microsoft.com/fwlink/?linkid=870924
Comment:
    Q222: &gt;4B by 2029</t>
      </text>
    </comment>
    <comment ref="EE26" authorId="12" shapeId="0" xr:uid="{B6ACDA46-C581-404D-B14B-2295FED7F43F}">
      <text>
        <t>[Threaded comment]
Your version of Excel allows you to read this threaded comment; however, any edits to it will get removed if the file is opened in a newer version of Excel. Learn more: https://go.microsoft.com/fwlink/?linkid=870924
Comment:
    2030 expiry without PTE</t>
      </text>
    </comment>
    <comment ref="EG26" authorId="13" shapeId="0" xr:uid="{471070A5-B4E3-984C-A531-77ED3482BBE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Possible LTE</t>
      </text>
    </comment>
    <comment ref="AF35" authorId="14" shapeId="0" xr:uid="{00000000-0006-0000-0200-000005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Teva launched?</t>
        </r>
      </text>
    </comment>
    <comment ref="DM35" authorId="14" shapeId="0" xr:uid="{00000000-0006-0000-0200-000006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Teva launched?</t>
        </r>
      </text>
    </comment>
    <comment ref="DV38" authorId="14" shapeId="0" xr:uid="{00000000-0006-0000-0200-000007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OB 2/16/21</t>
        </r>
      </text>
    </comment>
    <comment ref="AF39" authorId="14" shapeId="0" xr:uid="{00000000-0006-0000-0200-000008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Mylan launched in May</t>
        </r>
      </text>
    </comment>
    <comment ref="DP43" authorId="14" shapeId="0" xr:uid="{00000000-0006-0000-0200-000001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April 20th, 2015
Orange book has 5006528 expiring</t>
        </r>
      </text>
    </comment>
    <comment ref="DO44" authorId="15" shapeId="0" xr:uid="{00000000-0006-0000-0200-000002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How will Atripla (Sustiva+Truvada) change Sustiva revenue?</t>
        </r>
      </text>
    </comment>
    <comment ref="DR45" authorId="14" shapeId="0" xr:uid="{00000000-0006-0000-0200-000003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OB has 6/17 or 12/18</t>
        </r>
      </text>
    </comment>
    <comment ref="DP46" authorId="14" shapeId="0" xr:uid="{00000000-0006-0000-0200-000004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OB 2/21/15</t>
        </r>
      </text>
    </comment>
    <comment ref="J55" authorId="15" shapeId="0" xr:uid="{00000000-0006-0000-0200-000009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Medical imaging discontinued op</t>
        </r>
      </text>
    </comment>
    <comment ref="K55" authorId="15" shapeId="0" xr:uid="{00000000-0006-0000-0200-00000A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Medical imaging discontinued op</t>
        </r>
      </text>
    </comment>
    <comment ref="N55" authorId="15" shapeId="0" xr:uid="{00000000-0006-0000-0200-00000B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Medical imaging discontinued op</t>
        </r>
      </text>
    </comment>
    <comment ref="O55" authorId="15" shapeId="0" xr:uid="{00000000-0006-0000-0200-00000C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Medical imaging discontinued op</t>
        </r>
      </text>
    </comment>
    <comment ref="DW57" authorId="16" shapeId="0" xr:uid="{D43BC2AC-F6DE-41E9-B105-54AC99C72584}">
      <text>
        <t>[Threaded comment]
Your version of Excel allows you to read this threaded comment; however, any edits to it will get removed if the file is opened in a newer version of Excel. Learn more: https://go.microsoft.com/fwlink/?linkid=870924
Comment:
    5768 paid to alliance partners</t>
      </text>
    </comment>
    <comment ref="DX57" authorId="17" shapeId="0" xr:uid="{D001C4B3-37ED-44E4-8556-11B7C0E63283}">
      <text>
        <t>[Threaded comment]
Your version of Excel allows you to read this threaded comment; however, any edits to it will get removed if the file is opened in a newer version of Excel. Learn more: https://go.microsoft.com/fwlink/?linkid=870924
Comment:
    6067 paid to alliance partners</t>
      </text>
    </comment>
    <comment ref="DY57" authorId="18" shapeId="0" xr:uid="{586D2F4C-34A9-4EB0-BCA0-FCD3D665610A}">
      <text>
        <t>[Threaded comment]
Your version of Excel allows you to read this threaded comment; however, any edits to it will get removed if the file is opened in a newer version of Excel. Learn more: https://go.microsoft.com/fwlink/?linkid=870924
Comment:
    6597 paid to alliance partners</t>
      </text>
    </comment>
    <comment ref="AG59" authorId="19" shapeId="0" xr:uid="{00000000-0006-0000-0200-00000D000000}">
      <text>
        <r>
          <rPr>
            <b/>
            <sz val="9"/>
            <color indexed="81"/>
            <rFont val="Tahoma"/>
            <family val="2"/>
          </rPr>
          <t>Dean Wagner:</t>
        </r>
        <r>
          <rPr>
            <sz val="9"/>
            <color indexed="81"/>
            <rFont val="Tahoma"/>
            <family val="2"/>
          </rPr>
          <t xml:space="preserve">
includes 1830mm of impairment charge for BMS-986094
</t>
        </r>
      </text>
    </comment>
    <comment ref="DH59" authorId="15" shapeId="0" xr:uid="{00000000-0006-0000-0200-00000E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Flat Y/Y</t>
        </r>
      </text>
    </comment>
    <comment ref="DH60" authorId="15" shapeId="0" xr:uid="{00000000-0006-0000-0200-00000F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Flat Y/Y</t>
        </r>
      </text>
    </comment>
    <comment ref="DH61" authorId="15" shapeId="0" xr:uid="{00000000-0006-0000-0200-000010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USD+</t>
        </r>
      </text>
    </comment>
    <comment ref="DK69" authorId="20" shapeId="0" xr:uid="{00000000-0006-0000-0200-000011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Q210: 2.10-2.20</t>
        </r>
      </text>
    </comment>
    <comment ref="DM69" authorId="14" shapeId="0" xr:uid="{00000000-0006-0000-0200-000012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Q212: 1.90-2.00 guidance
Q112: 1.90-2.00 guidance</t>
        </r>
      </text>
    </comment>
    <comment ref="DN69" authorId="20" shapeId="0" xr:uid="{00000000-0006-0000-0200-000013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Q210: 1.95</t>
        </r>
      </text>
    </comment>
    <comment ref="CD70" authorId="21" shapeId="0" xr:uid="{6C251F1D-2001-433E-8E0C-B9591BB48B53}">
      <text>
        <t>[Threaded comment]
Your version of Excel allows you to read this threaded comment; however, any edits to it will get removed if the file is opened in a newer version of Excel. Learn more: https://go.microsoft.com/fwlink/?linkid=870924
Comment:
    2/6/25 S/O</t>
      </text>
    </comment>
    <comment ref="DH71" authorId="15" shapeId="0" xr:uid="{00000000-0006-0000-0200-000015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increase mid-upper single digit</t>
        </r>
      </text>
    </comment>
    <comment ref="DH88" authorId="15" shapeId="0" xr:uid="{00000000-0006-0000-0200-000014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68.7+</t>
        </r>
      </text>
    </comment>
  </commentList>
</comments>
</file>

<file path=xl/sharedStrings.xml><?xml version="1.0" encoding="utf-8"?>
<sst xmlns="http://schemas.openxmlformats.org/spreadsheetml/2006/main" count="1546" uniqueCount="835">
  <si>
    <t>Name</t>
  </si>
  <si>
    <t>Indication</t>
  </si>
  <si>
    <t>Rights</t>
  </si>
  <si>
    <t>Competition</t>
  </si>
  <si>
    <t>IP</t>
  </si>
  <si>
    <t>Phase</t>
  </si>
  <si>
    <t>Plavix</t>
  </si>
  <si>
    <t>Pravachol</t>
  </si>
  <si>
    <t>Abilify</t>
  </si>
  <si>
    <t>Reyataz</t>
  </si>
  <si>
    <t>Erbitux</t>
  </si>
  <si>
    <t>SNY</t>
  </si>
  <si>
    <t>HBV</t>
  </si>
  <si>
    <t>Zyprexa, Seroquel, Risperdal</t>
  </si>
  <si>
    <t>65%/Otsuka</t>
  </si>
  <si>
    <t>Bristol and Plavix innovator Sanofi-Aventis vs. Apotex (private Candian co) and Dr. Reddy's Labs</t>
  </si>
  <si>
    <t>Patent 4,847,265 in question. SNY has said additional Orange Book patents irrelevant</t>
  </si>
  <si>
    <t>Is Plavix novel? (validity)</t>
  </si>
  <si>
    <t>Was the patent appropriately acquired? (enforceability)</t>
  </si>
  <si>
    <t>Racemic mix patent (4,529,596)</t>
  </si>
  <si>
    <t>Single isomer patent ('265)</t>
  </si>
  <si>
    <t>Single isomer acts differently from '596.</t>
  </si>
  <si>
    <t>No prior art kept from patent examiner, so inequitable conduct argument is weak.</t>
  </si>
  <si>
    <t>Single isomer precedents?</t>
  </si>
  <si>
    <t>Levaquin upheld vs. Mylan</t>
  </si>
  <si>
    <t>Judge Stein ruled against Purdue and for Endo before--but Endo waited for launch because the case wasn’t clear--treble damages.</t>
  </si>
  <si>
    <t>Same thing could happen here. FDA definition of when the 180-day window starts will confuse this further.</t>
  </si>
  <si>
    <t>MEDX</t>
  </si>
  <si>
    <t>Melanoma</t>
  </si>
  <si>
    <t>40% of patients fail TNF</t>
  </si>
  <si>
    <t>IV infusion requires an office visit as opposed to self-administered sc</t>
  </si>
  <si>
    <t>mCRC</t>
  </si>
  <si>
    <t>HIV</t>
  </si>
  <si>
    <t>Schizophrenia</t>
  </si>
  <si>
    <t>semi-synthesis creates a minor difference</t>
  </si>
  <si>
    <t>p2 in indolent and mantle cell lymphoma with no more than 4 prior lines of therapy, n=18</t>
  </si>
  <si>
    <t>qw for 3-4 wks, n=12 eval, 1 CR, 1 PR</t>
  </si>
  <si>
    <t>significant grade 3-4 hematological toxicity</t>
  </si>
  <si>
    <t>Glivec-resistant CML and Ph+ ALL patients</t>
  </si>
  <si>
    <t>grade 3/4 myelosuppression and pleural effusion</t>
  </si>
  <si>
    <t>28-52% of patients had dose reductions</t>
  </si>
  <si>
    <t>p2 START trial in Glivec-refractory CML- ASH 2005</t>
  </si>
  <si>
    <t>Sprycel (dasatinib)</t>
  </si>
  <si>
    <t>Orencia (abatacept)</t>
  </si>
  <si>
    <t>mBC</t>
  </si>
  <si>
    <t>III</t>
  </si>
  <si>
    <t>40% complete cytogenic response for patients who are Gleevec-refractory</t>
  </si>
  <si>
    <t>Gleevec IRIS showed 83% of patients on low-dose Gleevec remain stable after 5 years.</t>
  </si>
  <si>
    <t>6/7/2006 - BOFA estimates 525m in 2010</t>
  </si>
  <si>
    <t>90% CHR and 51% MCyR vs 90%/45% at ASH</t>
  </si>
  <si>
    <t>17% pleural effusion, 33% GI. 63% had dose interruptions</t>
  </si>
  <si>
    <t>35% response vs 29% for Gleevec. Complete repsonse 21% vs 8%</t>
  </si>
  <si>
    <t>18% discontinued Gleevec vs 7% for Sprycel</t>
  </si>
  <si>
    <t>neutropenia and neuropathy previously seen in</t>
  </si>
  <si>
    <t>drug has a distinct binding mode to tubulin, may be less susceptible to resistance</t>
  </si>
  <si>
    <t>trial 081 in triple refractory mBC - 18%/11% ORR - investigator/central</t>
  </si>
  <si>
    <t>5.7 duration of response and mPFS 3.1mo, MOS 8.6mo</t>
  </si>
  <si>
    <t>studying in RCC, CLL, prostate, pancreatic</t>
  </si>
  <si>
    <t>325m in 2010 - b of a</t>
  </si>
  <si>
    <t>CML/Ph+ALL is 4,800 patients/year. Bear says 45% become resistant. Assume 50k cost of therapy.</t>
  </si>
  <si>
    <t>combo with Gleevec might be useful</t>
  </si>
  <si>
    <t>AMN-107 is competition</t>
  </si>
  <si>
    <t>CML</t>
  </si>
  <si>
    <t>Main</t>
  </si>
  <si>
    <t>Brand Name</t>
  </si>
  <si>
    <t>Generic Name</t>
  </si>
  <si>
    <t>abatacept</t>
  </si>
  <si>
    <t>Manufacturing</t>
  </si>
  <si>
    <t>Administration</t>
  </si>
  <si>
    <t>Clinical Studies</t>
  </si>
  <si>
    <t>p3 AIM (abatacept in Inadequate responders to Methotrexate)</t>
  </si>
  <si>
    <t>54% achieved ACR50 at year 1 and 56% achieved ACR50 responses in year 2.</t>
  </si>
  <si>
    <t>Orencia+MTX for two years, 82% achieved ACR20 at year 1 and 80% achieved ACR20 in year 2.</t>
  </si>
  <si>
    <t>32% achieved ACR70 at year 1 and 34% achieved ACR70 responses in year 2.</t>
  </si>
  <si>
    <t>Sales Force</t>
  </si>
  <si>
    <t>150 reps, 2/3 have TNF selling experience</t>
  </si>
  <si>
    <t>dasatinib</t>
  </si>
  <si>
    <t>Price</t>
  </si>
  <si>
    <t>head-to-head against 800mg Gleevec in patients who have failed low-dose - data at ASH 2007??? - p2/3??</t>
  </si>
  <si>
    <t>1L CML p2 single-arm study ongoing with larger SWOG trial vs gleevec being planned. 1L data at ASCO 2007?</t>
  </si>
  <si>
    <t>AMN-107 TOP study suspended following 6 deaths</t>
  </si>
  <si>
    <t>IV</t>
  </si>
  <si>
    <t>Admin</t>
  </si>
  <si>
    <t>Baraclude (entecavir)</t>
  </si>
  <si>
    <t>Oral</t>
  </si>
  <si>
    <t>expires 5/17/2012</t>
  </si>
  <si>
    <t>Monopril</t>
  </si>
  <si>
    <t>Coumadin</t>
  </si>
  <si>
    <t>Other Cardio</t>
  </si>
  <si>
    <t>Sustiva</t>
  </si>
  <si>
    <t>Zerit</t>
  </si>
  <si>
    <t>Other Infectious</t>
  </si>
  <si>
    <t>Cefzil</t>
  </si>
  <si>
    <t>Other Virology</t>
  </si>
  <si>
    <t>Taxol</t>
  </si>
  <si>
    <t>Other Onc</t>
  </si>
  <si>
    <t>Other CNS</t>
  </si>
  <si>
    <t>Other Pharma</t>
  </si>
  <si>
    <t>Nutritionals</t>
  </si>
  <si>
    <t>Other HC</t>
  </si>
  <si>
    <t>COGS</t>
  </si>
  <si>
    <t>A&amp;P</t>
  </si>
  <si>
    <t>R&amp;D</t>
  </si>
  <si>
    <t>Other</t>
  </si>
  <si>
    <t>Pretax</t>
  </si>
  <si>
    <t>Taxes</t>
  </si>
  <si>
    <t>Minority</t>
  </si>
  <si>
    <t>EPS</t>
  </si>
  <si>
    <t>Shares</t>
  </si>
  <si>
    <t>Approved</t>
  </si>
  <si>
    <t>Factor Xa inhibitor</t>
  </si>
  <si>
    <t>Anti-EGFR antibody</t>
  </si>
  <si>
    <t>Atypical Antipsychotic</t>
  </si>
  <si>
    <t>Kinase Inhibitor</t>
  </si>
  <si>
    <t>Nucleoside polymerase</t>
  </si>
  <si>
    <t>Protease Inhibitor</t>
  </si>
  <si>
    <t>Anticoagulant</t>
  </si>
  <si>
    <t>Sprycel, BMS-354825</t>
  </si>
  <si>
    <t>CA180031 - Japan Phase I/II in CML-Resistant/Intolerant to Imatinib patients.</t>
  </si>
  <si>
    <t>CA180018 Phase I/II Children/Adolescent R/R Leukemia</t>
  </si>
  <si>
    <t>CA180-005 START-A Phase II: Patients with CML in Accelerated Phaes that is Imatinib-Resistant or Intolerant</t>
  </si>
  <si>
    <t>Sprycel in pts with Previously Untreated CML in Chronic Phase</t>
  </si>
  <si>
    <t>Safety</t>
  </si>
  <si>
    <t>Pleural Effusion</t>
  </si>
  <si>
    <t>Gleevec-resistant/intolerant CML - approved</t>
  </si>
  <si>
    <t>Dosage</t>
  </si>
  <si>
    <t>50mg or 70mg BID, 100mg or 140mg QD</t>
  </si>
  <si>
    <t>CA180-034 - Sprycel in CML in Chronic Phase Resistant or Intolerant to Imatinib</t>
  </si>
  <si>
    <t>START-L: CA180-015: Sprycel in PH+ ALL who are Imatinib Resistant or Intolerant.</t>
  </si>
  <si>
    <t>START-C: Chronic CML Patients who have failed Gleevec - Updated at ASH 2006</t>
  </si>
  <si>
    <t>START-R (CA180-017): Sprycel vs Higher-Dose Imatinib in Chronic Phase CML patients resistant to Imatinib.</t>
  </si>
  <si>
    <t>Sprycel in patients who are in Lymphoid or Myeloid Blast Phase of CML and are Imatinib-Resistant or Intolerant</t>
  </si>
  <si>
    <t>CA-180-035: Sprycel 140mg QD vs 70mg BID in Advanced Phase CML or Ph+ ALL who are resistant or intolerant to Imatinib</t>
  </si>
  <si>
    <t>Tasigna: Sprycel likely more effective but less tolerable.</t>
  </si>
  <si>
    <t>$47k based on 70mg bid/140mg qd. 30% higher in EU.</t>
  </si>
  <si>
    <t>Q406</t>
  </si>
  <si>
    <t>Q306</t>
  </si>
  <si>
    <t>Q206</t>
  </si>
  <si>
    <t>apixaban</t>
  </si>
  <si>
    <t>Clinical Trials</t>
  </si>
  <si>
    <t>Mechanism</t>
  </si>
  <si>
    <t>Phase II data n=1217 - ASH 2006</t>
  </si>
  <si>
    <t>Apixaban had 8.6% VTE+death vs 15.6% for enoxaparin and 26.6% for warfarin.</t>
  </si>
  <si>
    <t>0%-3% major bleeding for apixaban vs 0% bleeding for control groups.</t>
  </si>
  <si>
    <t>ADVANCE-1 Phase III</t>
  </si>
  <si>
    <t>ADVANCE-2 Phase III</t>
  </si>
  <si>
    <t>ADVANCE-3 Phase III</t>
  </si>
  <si>
    <t>ARISTOTLE Phase III n=15,000</t>
  </si>
  <si>
    <t>ipilimumab</t>
  </si>
  <si>
    <t>Economics</t>
  </si>
  <si>
    <t>Phase I/II mixed leukemias/lymphomas n=17 single-dose, dose-escalation</t>
  </si>
  <si>
    <t>1 NHL patient had ongoing CR, 1 MCL with PR</t>
  </si>
  <si>
    <t>Phase I/II relapsed/refractory follicular lymphoma n=12</t>
  </si>
  <si>
    <t>1 patient with a PR</t>
  </si>
  <si>
    <t>CTLA4 antibody</t>
  </si>
  <si>
    <t>2L melanoma</t>
  </si>
  <si>
    <t>Type 2 Diabetes</t>
  </si>
  <si>
    <t>DPPIV inhibitor</t>
  </si>
  <si>
    <t>AZN</t>
  </si>
  <si>
    <t>II</t>
  </si>
  <si>
    <t>SGLT2 inhibitor</t>
  </si>
  <si>
    <t>January 22nd 2007: Plavix trial begins</t>
  </si>
  <si>
    <t>Q107</t>
  </si>
  <si>
    <t>Q207</t>
  </si>
  <si>
    <t>Gross Margin</t>
  </si>
  <si>
    <t>Case began 1/22/2007. '265 patent likely valid &amp; enforceable - comments from Judge Stein</t>
  </si>
  <si>
    <t>Q106</t>
  </si>
  <si>
    <t>Q405</t>
  </si>
  <si>
    <t>prevention of DVT in patients undergoing knee replacement surgery. VTE prevention following orthopedic surgery and prevention of stroke and systemic embolism in AF. ACS</t>
  </si>
  <si>
    <t>Phase II ACS</t>
  </si>
  <si>
    <t>Phase III ACS - to start in 2007</t>
  </si>
  <si>
    <t>VTE, DVT, AF, ACS</t>
  </si>
  <si>
    <t>BMS-690514</t>
  </si>
  <si>
    <t>Cancer</t>
  </si>
  <si>
    <t>I</t>
  </si>
  <si>
    <t>Epothilone</t>
  </si>
  <si>
    <t>BMS-488043</t>
  </si>
  <si>
    <t>BMS-587101</t>
  </si>
  <si>
    <t>LFA-1 antagonist</t>
  </si>
  <si>
    <t>BMS-582949</t>
  </si>
  <si>
    <t>Oral?</t>
  </si>
  <si>
    <t>RA, Psoriasis</t>
  </si>
  <si>
    <t>I/II</t>
  </si>
  <si>
    <t>BMS-562086</t>
  </si>
  <si>
    <t>ixabepilone</t>
  </si>
  <si>
    <t>Metastatic Breast Cancer</t>
  </si>
  <si>
    <t>Novel analog of epothilone B</t>
  </si>
  <si>
    <t>BMS-247550</t>
  </si>
  <si>
    <t>Phase 3 for mBC - hoping for 2h07 filing</t>
  </si>
  <si>
    <t>5.8m PFS for ixabepilone, 4.2m for capecitabine</t>
  </si>
  <si>
    <t>MC</t>
  </si>
  <si>
    <t>Cash</t>
  </si>
  <si>
    <t>Debt</t>
  </si>
  <si>
    <t>EV</t>
  </si>
  <si>
    <t>Rx</t>
  </si>
  <si>
    <t>NRx</t>
  </si>
  <si>
    <t>TRx</t>
  </si>
  <si>
    <t>Prasugrel, AZD6140, SCH530348</t>
  </si>
  <si>
    <t>Market</t>
  </si>
  <si>
    <t>Drug-eluting stent panic may increase duration of Plavix use.</t>
  </si>
  <si>
    <t>Prasugrel.</t>
  </si>
  <si>
    <t>Antiplatelet that inhibits the aggregation of platelets, suppressing the formation of blood clots.</t>
  </si>
  <si>
    <t>Antithrombotic mostly used in patients with heart attack, stroke, PAD or in conjunction with stenting. Chronic use for prevention of chronic heart disease.</t>
  </si>
  <si>
    <t xml:space="preserve">  Aspirin inhibits the thromboxane-A synthase pathway. Plavix inhibits adenosine diphosphate (ADP).</t>
  </si>
  <si>
    <t>Q307</t>
  </si>
  <si>
    <t>Q407</t>
  </si>
  <si>
    <t>pexacerfont</t>
  </si>
  <si>
    <t>Ixempra (ixabepilone)</t>
  </si>
  <si>
    <t>BMS-626531</t>
  </si>
  <si>
    <t>RA</t>
  </si>
  <si>
    <t>brivanib</t>
  </si>
  <si>
    <t>p38</t>
  </si>
  <si>
    <t xml:space="preserve">  European at-risk filer Schweizerhall -- Germany -- different salt form.</t>
  </si>
  <si>
    <t>Q108</t>
  </si>
  <si>
    <t>ASCO 2008: Erbitux FLEX results.</t>
  </si>
  <si>
    <t>PFE</t>
  </si>
  <si>
    <t>cetuximab</t>
  </si>
  <si>
    <t>ImClone</t>
  </si>
  <si>
    <t>Failed PFS but OS data forthcoming.</t>
  </si>
  <si>
    <t>Phase III BMS099 - NSCLC - ASCO 2008?</t>
  </si>
  <si>
    <t>Erbitux (cetuximab)</t>
  </si>
  <si>
    <t>Phase II prostate study - data available ASCO 2008</t>
  </si>
  <si>
    <t>Potential competition to CGRB MDVN etc?</t>
  </si>
  <si>
    <t>Mid 08: File saxagliptin (was 1H?)</t>
  </si>
  <si>
    <t>Phase IIB 12-week study vs metformin</t>
  </si>
  <si>
    <t>A1C reductions similar to metformin.</t>
  </si>
  <si>
    <t>Q208</t>
  </si>
  <si>
    <t>Q308</t>
  </si>
  <si>
    <t>Q408</t>
  </si>
  <si>
    <t>1.2 month benefit shown. 1.4 months seen in Caucasians. Adenocarcinoma saw 1.8 month benefit.</t>
  </si>
  <si>
    <t>Cisplatin+Vinorelbine+-Erbitux in 1L mNSCLC</t>
  </si>
  <si>
    <t>Phase III FLEX study - 1L NSCLC - Presented ASCO 2008</t>
  </si>
  <si>
    <t>Phase III CRYSTAL mCRC - Full survival data in 2H08</t>
  </si>
  <si>
    <t xml:space="preserve">  Large benefit seen in KRAS wild-type (non-mutant) patients.</t>
  </si>
  <si>
    <t>8.9 month PFS vs 8.0 month for placebo p&lt;0.05. HR=0.85.</t>
  </si>
  <si>
    <t>Enfamil</t>
  </si>
  <si>
    <t>Gross Profit</t>
  </si>
  <si>
    <t>Total Revenues</t>
  </si>
  <si>
    <t>MS&amp;A</t>
  </si>
  <si>
    <t>Q305</t>
  </si>
  <si>
    <t>Q205</t>
  </si>
  <si>
    <t>Q105</t>
  </si>
  <si>
    <t>Thrombosis</t>
  </si>
  <si>
    <t>Operating Income</t>
  </si>
  <si>
    <t>Operating Expenses</t>
  </si>
  <si>
    <t>saxagliptin</t>
  </si>
  <si>
    <t>BMS-741672</t>
  </si>
  <si>
    <t>Neuropathic Pain</t>
  </si>
  <si>
    <t>CCR2 antagonist</t>
  </si>
  <si>
    <t>Onglyza (saxaglipitin)</t>
  </si>
  <si>
    <t>August 1 2008: Sold Convatec.</t>
  </si>
  <si>
    <t>CTLA4</t>
  </si>
  <si>
    <t>Organ transplant rejection</t>
  </si>
  <si>
    <t>BMS-790052</t>
  </si>
  <si>
    <t>HCV</t>
  </si>
  <si>
    <t>NS5A inhibitor</t>
  </si>
  <si>
    <t>Single-dose in HCV</t>
  </si>
  <si>
    <t>1.8log, 3.2log and 3.3log up to 100mg</t>
  </si>
  <si>
    <t>atazanavir</t>
  </si>
  <si>
    <t>Reyataz (atazanavir)</t>
  </si>
  <si>
    <t>Chemistry</t>
  </si>
  <si>
    <t>Azahexane derivative.</t>
  </si>
  <si>
    <t>5849911 - Antivirally active heterocyclic azahexane derivatives. 12/15/1998 issuance.</t>
  </si>
  <si>
    <t>Developer</t>
  </si>
  <si>
    <t>Originally developed by NVS?</t>
  </si>
  <si>
    <t>Kaletra (ABT), Lexiva (GSK), Prezista (JNJ).</t>
  </si>
  <si>
    <t>Sustiva (efavirenz)</t>
  </si>
  <si>
    <t>efavirenz</t>
  </si>
  <si>
    <t>NNRTI</t>
  </si>
  <si>
    <t>9/17/98 first approval.</t>
  </si>
  <si>
    <t>Expiring 2013.</t>
  </si>
  <si>
    <t>Plavix (clopidogrel)</t>
  </si>
  <si>
    <t>clopidogrel</t>
  </si>
  <si>
    <t>2011-2012</t>
  </si>
  <si>
    <t>Avapro (irbesartan)</t>
  </si>
  <si>
    <t>Hypertension</t>
  </si>
  <si>
    <t>ARB</t>
  </si>
  <si>
    <t>Attachment Inhibitor</t>
  </si>
  <si>
    <t>bevirimat (PANC)</t>
  </si>
  <si>
    <t>NCE</t>
  </si>
  <si>
    <t>BMS-767778</t>
  </si>
  <si>
    <t>DPPIV inhibitor?</t>
  </si>
  <si>
    <t>Hepatitis C</t>
  </si>
  <si>
    <t>Muraglitizar</t>
  </si>
  <si>
    <t>Discontinuations</t>
  </si>
  <si>
    <t>tanespimycin</t>
  </si>
  <si>
    <t>2014-2015</t>
  </si>
  <si>
    <t>Abilify (aripiprazole)</t>
  </si>
  <si>
    <t>irbesartan</t>
  </si>
  <si>
    <t>I-PRESERVE Phase III - dHF</t>
  </si>
  <si>
    <t>No beneficial effect.</t>
  </si>
  <si>
    <t>Protein</t>
  </si>
  <si>
    <t>1989: B-M merges with Squibb.</t>
  </si>
  <si>
    <t>Captopril (ACE inhibitor) - Capoten, Capozide</t>
  </si>
  <si>
    <t>pravastatin (Statin) - Pravachol</t>
  </si>
  <si>
    <t>nalodol (beta blocker) - Corgard, Corzide</t>
  </si>
  <si>
    <t>cholestyramine (anti-cholesterol) - Questran</t>
  </si>
  <si>
    <t>sotalol (beta blocker) - Sotacor</t>
  </si>
  <si>
    <t>fosinopril (ACE inhibitor) - Monopril, K-Lyte</t>
  </si>
  <si>
    <t>cefadroxil (cephalosporin) - Duricef</t>
  </si>
  <si>
    <t>amikacin (aminoglycoside) - Cefzil</t>
  </si>
  <si>
    <t>didanosine (ARV) - Videx</t>
  </si>
  <si>
    <t>penicillin - Polycillin, Polymox</t>
  </si>
  <si>
    <t>cefatrizine (cephalosporin) - Cefaperos, Zanitrin</t>
  </si>
  <si>
    <t>etoposide (cancer) - Vepesid</t>
  </si>
  <si>
    <t>carboplatin (cancer) - Paraplatin</t>
  </si>
  <si>
    <t>paclitaxel (cancer) - Taxol, Platinol</t>
  </si>
  <si>
    <t>Buspar - anti-anixety</t>
  </si>
  <si>
    <t>Desyrel - anti-depression</t>
  </si>
  <si>
    <t>Stadol - pain</t>
  </si>
  <si>
    <t>Isovue - cardiology imaging</t>
  </si>
  <si>
    <t>Prohance - MRI imaging</t>
  </si>
  <si>
    <t>Lac-Hydrin - dry skin</t>
  </si>
  <si>
    <t>Dovonex - vitamin D for psoriasis</t>
  </si>
  <si>
    <t>Ovcon - oral contraceptive</t>
  </si>
  <si>
    <t>Estrace - estrogen</t>
  </si>
  <si>
    <t>Orthopedics - Zimmer</t>
  </si>
  <si>
    <t>Enfamil, Prosobee, Gerber , Nutramigen, Lactofree - Baby Formulas</t>
  </si>
  <si>
    <t>Excedrin</t>
  </si>
  <si>
    <t>Sales Growth</t>
  </si>
  <si>
    <t xml:space="preserve">  Volume</t>
  </si>
  <si>
    <t xml:space="preserve">  Pricing</t>
  </si>
  <si>
    <t xml:space="preserve">  Currency</t>
  </si>
  <si>
    <t>Capoten</t>
  </si>
  <si>
    <t>A/R</t>
  </si>
  <si>
    <t>Inventories</t>
  </si>
  <si>
    <t>D/T</t>
  </si>
  <si>
    <t>Prepaid</t>
  </si>
  <si>
    <t>PP&amp;E</t>
  </si>
  <si>
    <t>G/I</t>
  </si>
  <si>
    <t>OA</t>
  </si>
  <si>
    <t>Total</t>
  </si>
  <si>
    <t>A/P</t>
  </si>
  <si>
    <t>Accrued</t>
  </si>
  <si>
    <t>Accrued Rebates</t>
  </si>
  <si>
    <t>Dividends</t>
  </si>
  <si>
    <t>Litigation</t>
  </si>
  <si>
    <t>Pension</t>
  </si>
  <si>
    <t>Shareholder's Equity</t>
  </si>
  <si>
    <t>Tangible Book Value</t>
  </si>
  <si>
    <t>Avapro, Avalide (combination with HCTZ)</t>
  </si>
  <si>
    <t>JV with Sanofi.</t>
  </si>
  <si>
    <t>Hypertension, Diabetic Nephropathy</t>
  </si>
  <si>
    <t>Q109</t>
  </si>
  <si>
    <t>Phase IIB 12-week add-on study vs control</t>
  </si>
  <si>
    <t>-0.6 to -0.7% reduction in A1C after 12 weeks versus +0.1% for control.</t>
  </si>
  <si>
    <t>4.4kg weight loss versus 1.9kg for control.</t>
  </si>
  <si>
    <t>n=71 in each arm, large # of genital tract infections.</t>
  </si>
  <si>
    <t>Phase III metformin add-on - To be presented at EASD (September 2009)</t>
  </si>
  <si>
    <t>24-week placebo-subtracted decline -0.4 to -0.5%. S.S. decreases in weight.</t>
  </si>
  <si>
    <t>Genital fungal infections higher.</t>
  </si>
  <si>
    <t>Onglyza</t>
  </si>
  <si>
    <t>Timeline</t>
  </si>
  <si>
    <t>July 30th 2009: Onglyza PDUFA.</t>
  </si>
  <si>
    <t>Q209</t>
  </si>
  <si>
    <t>Q309</t>
  </si>
  <si>
    <t>Q409</t>
  </si>
  <si>
    <t>-</t>
  </si>
  <si>
    <t>August 30th 2009: ESC meeting with Plavix results.</t>
  </si>
  <si>
    <t>CURRENT OASIS 7</t>
  </si>
  <si>
    <t>n=18,000 High dose vs low dose Plavix.</t>
  </si>
  <si>
    <t>EU filed 7/08, EU CHMP recommendation 6/09. Approved in the US 7/31/2009.</t>
  </si>
  <si>
    <t>BMS-708163</t>
  </si>
  <si>
    <t>Alzheimer's</t>
  </si>
  <si>
    <t>Gamma-secretase</t>
  </si>
  <si>
    <t>Q110</t>
  </si>
  <si>
    <t>Q210</t>
  </si>
  <si>
    <t>Q310</t>
  </si>
  <si>
    <t>Q410</t>
  </si>
  <si>
    <t>MS&amp;A %</t>
  </si>
  <si>
    <t>A&amp;P %</t>
  </si>
  <si>
    <t>R&amp;D %</t>
  </si>
  <si>
    <t>10mg QD/60mg QD RVR of 92%/83%. cEVR 83%/83% (42% placebo). eRVR 83%/75% (8% placebo).</t>
  </si>
  <si>
    <t>PROVE RVR/EVR of 69-81% and 68%-80%.</t>
  </si>
  <si>
    <t>Phase IIa n=48 tx-naïve g1 HCV reported at EASL 2010</t>
  </si>
  <si>
    <t>necitumumab</t>
  </si>
  <si>
    <t>LLY</t>
  </si>
  <si>
    <t>EGFr antibody</t>
  </si>
  <si>
    <t>61%-/LLY</t>
  </si>
  <si>
    <t>2010: Ipilimumab results.</t>
  </si>
  <si>
    <t>Phase III</t>
  </si>
  <si>
    <t>Phase III comparing gp100, ipi+gp100 vs ipi alone</t>
  </si>
  <si>
    <t>Ipi-alone and Ipi+gp100 both S.S. vs. gp100 (HR=0.66, 0.68). 10.0, 10.1 and 6.4 months for Ipi, ipi+gp100 and gp100.</t>
  </si>
  <si>
    <t>NCE.</t>
  </si>
  <si>
    <t>Phase III DASISION vs Gleevec in newly diagnosed Chronic Phase CML</t>
  </si>
  <si>
    <t>Superior MMR/cytogenetic response. 77% vs 66%.</t>
  </si>
  <si>
    <t>Phase III AVERROES n=5600 vs Aspirin in Afib patients intolerant to warfarin</t>
  </si>
  <si>
    <t>Stopped early 6/2010 due to benefit.</t>
  </si>
  <si>
    <t>Tax Rate</t>
  </si>
  <si>
    <t>BMS-824393</t>
  </si>
  <si>
    <t>Operating Margin</t>
  </si>
  <si>
    <t>L+SE</t>
  </si>
  <si>
    <t>Liabilities</t>
  </si>
  <si>
    <t>Net Cash</t>
  </si>
  <si>
    <t>Q111</t>
  </si>
  <si>
    <t>Q211</t>
  </si>
  <si>
    <t>Q311</t>
  </si>
  <si>
    <t>Q411</t>
  </si>
  <si>
    <t>Q112</t>
  </si>
  <si>
    <t>6/29/12: Acquires Amylin.</t>
  </si>
  <si>
    <t>Eliquis (apixaban)</t>
  </si>
  <si>
    <t>Rheumatoid Arthritis</t>
  </si>
  <si>
    <t>Nulojix (belatacept)</t>
  </si>
  <si>
    <t>BMS-936558</t>
  </si>
  <si>
    <t>Ono</t>
  </si>
  <si>
    <t>Anti-PD-1 Antibody</t>
  </si>
  <si>
    <t>Ono has Japanese rights.</t>
  </si>
  <si>
    <t>Phase I "Study 301" n=296 in all cancers</t>
  </si>
  <si>
    <t>n=104 melanoma, n=122 NSCLC, n=34 RCC, n=17 CRPC, n=19 CRC</t>
  </si>
  <si>
    <t>Phase III NSCLC versus Taxotere n=264</t>
  </si>
  <si>
    <t>Primary endpoint: ORR/OS</t>
  </si>
  <si>
    <t>Yervoy (ipilimumab)</t>
  </si>
  <si>
    <t>elotuzumab</t>
  </si>
  <si>
    <t>Myeloma</t>
  </si>
  <si>
    <t>Q212</t>
  </si>
  <si>
    <t>Q312</t>
  </si>
  <si>
    <t>Q412</t>
  </si>
  <si>
    <t>Nulojix</t>
  </si>
  <si>
    <t>daclatasvir</t>
  </si>
  <si>
    <t>asunaprevir (BMS-650032)</t>
  </si>
  <si>
    <t>NS3 Protease Inhibitor</t>
  </si>
  <si>
    <t>peg-interferon lambda 1A</t>
  </si>
  <si>
    <t>SQ</t>
  </si>
  <si>
    <t>Interferon</t>
  </si>
  <si>
    <t>2/12: Acquires Inhibitex for 2.5bn.</t>
  </si>
  <si>
    <t>IPF</t>
  </si>
  <si>
    <t>BMS-986202/AM152</t>
  </si>
  <si>
    <t>Failed in December 2011.</t>
  </si>
  <si>
    <t>BMS-777607</t>
  </si>
  <si>
    <t>MET Inhibitor</t>
  </si>
  <si>
    <t>100%/Aslan</t>
  </si>
  <si>
    <t>BMS-795311</t>
  </si>
  <si>
    <t>Dyslipidemia</t>
  </si>
  <si>
    <t>100%/Simcere</t>
  </si>
  <si>
    <t>CETP</t>
  </si>
  <si>
    <t>Revenue y/y</t>
  </si>
  <si>
    <t>Plavix y/y</t>
  </si>
  <si>
    <t>Sustiva y/y</t>
  </si>
  <si>
    <t>Net Income</t>
  </si>
  <si>
    <t>Orenica (abatacept - Protein)</t>
  </si>
  <si>
    <t>Orencia y/y</t>
  </si>
  <si>
    <t>Avapro y/y</t>
  </si>
  <si>
    <t>Reyataz y/y</t>
  </si>
  <si>
    <t>Baraclude y/y</t>
  </si>
  <si>
    <t>Erbitux (cetuximab - Protein)</t>
  </si>
  <si>
    <t>Yervoy (ipilimumab - Protein)</t>
  </si>
  <si>
    <t>Erbitux y/y</t>
  </si>
  <si>
    <t>Abilify y/y</t>
  </si>
  <si>
    <t>Sprycel y/y</t>
  </si>
  <si>
    <t>Onglyza y/y</t>
  </si>
  <si>
    <t>Plavix (clopidogrel - 97-12)</t>
  </si>
  <si>
    <t>Abilify (aripiprazole - 02-15)</t>
  </si>
  <si>
    <t>Sustiva (efavirenz - 98-??)</t>
  </si>
  <si>
    <t>Reyataz (atazanavir - 03-17)</t>
  </si>
  <si>
    <t>Baraclude (entecavir - 05-15)</t>
  </si>
  <si>
    <t>Sprycel (dasatinib - 06-20)</t>
  </si>
  <si>
    <t>Onglyza (saxagliptin - 09-21)</t>
  </si>
  <si>
    <t>Avapro (irbesartan - 97-12)</t>
  </si>
  <si>
    <t>Phase III lupus</t>
  </si>
  <si>
    <t>Failed: 79.7% new flares versus 82.5% in placebo.</t>
  </si>
  <si>
    <t>Phase III versus Sorafenib n=1050 ("BRISK FL")</t>
  </si>
  <si>
    <t>Phase III TACE Adjuvant HCC versus placebo n=870 "BRISK TA"</t>
  </si>
  <si>
    <t>Phase III HCC post-sorafenib n=414 versus placebo ("BRISK PS")</t>
  </si>
  <si>
    <t>Phase III HCC Asian patients post-sorafenib "BRISK APS" n=252</t>
  </si>
  <si>
    <t>dapagliflozin</t>
  </si>
  <si>
    <t>CRL, EU Positive in Q112</t>
  </si>
  <si>
    <t>Mead Johnson</t>
  </si>
  <si>
    <t>Forxiga</t>
  </si>
  <si>
    <t>4/19/12 EMEA summary of opinion positive. FDA gave CRL, AdCom voted 6-9 for approval based on safety issues.</t>
  </si>
  <si>
    <t>SGLT2 inhibitor - blocks glucose reabsorption in the kidney. Class plagued by UTIs. Dapa also has cancer signal: 0.4% of women got breast cancer versus 0.1% in placebo.</t>
  </si>
  <si>
    <t>Liver toxicity</t>
  </si>
  <si>
    <t>7 bladder cancer cases versus 0 in control. 207/100,000 for dapa versus 53/100,000 for placebo.</t>
  </si>
  <si>
    <t>9 breast cancer (0.4% of women) versus 0.0% or 0.1% in placebo.</t>
  </si>
  <si>
    <t>canagliflozin</t>
  </si>
  <si>
    <t>Phase 3</t>
  </si>
  <si>
    <t>9/52 response rate in melanoma</t>
  </si>
  <si>
    <t>2/17 in RCC</t>
  </si>
  <si>
    <t>5/49 in NSCLC</t>
  </si>
  <si>
    <t>1/17 in ovarian cancer</t>
  </si>
  <si>
    <t>8/16 responses lasted longer than 1 year</t>
  </si>
  <si>
    <t>Dose ranging from 0.3mg/kg to 10.0mg/kg</t>
  </si>
  <si>
    <t>Phase III n=640 Revlimid+dex+-elotuzumab</t>
  </si>
  <si>
    <t>Primary endpoint is PFS</t>
  </si>
  <si>
    <t>Phase II n=73 Revlimid+dex+elotuzumab 10mg or 20mg</t>
  </si>
  <si>
    <t>92% ORR in 10mg and 73% ORR in 20mg</t>
  </si>
  <si>
    <t>All patients had previously failed 1-3 prior therapies.</t>
  </si>
  <si>
    <t>Multiple Myeloma</t>
  </si>
  <si>
    <t>Status</t>
  </si>
  <si>
    <t>Discontinued - No Longer in Pipeline as of 7/19/12</t>
  </si>
  <si>
    <t>Generalized Anxiety Disorder</t>
  </si>
  <si>
    <t>Irritable Bowel Syndrome</t>
  </si>
  <si>
    <t>Major Depressive Disorder</t>
  </si>
  <si>
    <t>II/III</t>
  </si>
  <si>
    <t>CRF-1 antagonist</t>
  </si>
  <si>
    <t>Results</t>
  </si>
  <si>
    <t>Failed</t>
  </si>
  <si>
    <t>Q312: Refile Eliquis?</t>
  </si>
  <si>
    <t>Q113: Eliquis PDUFA?</t>
  </si>
  <si>
    <t>Megace</t>
  </si>
  <si>
    <t>alvespimycin</t>
  </si>
  <si>
    <t>KOS-1022</t>
  </si>
  <si>
    <t>Discontinued????</t>
  </si>
  <si>
    <t>Breast Cancer</t>
  </si>
  <si>
    <t>Study Terminated</t>
  </si>
  <si>
    <t>apixiban</t>
  </si>
  <si>
    <t>Protocol</t>
  </si>
  <si>
    <t>Filed at FDA, CRL</t>
  </si>
  <si>
    <t>Acute Coronary Syndrome</t>
  </si>
  <si>
    <t>Dates</t>
  </si>
  <si>
    <t>n=1715 placebo-controlled</t>
  </si>
  <si>
    <t>2006-2008</t>
  </si>
  <si>
    <t>Eliquis</t>
  </si>
  <si>
    <t>Unclear</t>
  </si>
  <si>
    <t>n=4</t>
  </si>
  <si>
    <t>Study Withdrawn</t>
  </si>
  <si>
    <t>Terminated?</t>
  </si>
  <si>
    <t>n=0 versus peg/ribavirin</t>
  </si>
  <si>
    <t>Orencia, fka BMS-188667</t>
  </si>
  <si>
    <t>Ongoing</t>
  </si>
  <si>
    <t>n=4816 placebo-controlled</t>
  </si>
  <si>
    <t>2008-2013</t>
  </si>
  <si>
    <t>DVT/PE</t>
  </si>
  <si>
    <t>n=6524 vs. enox</t>
  </si>
  <si>
    <t>2007-2011</t>
  </si>
  <si>
    <t>Acute Medical Illness "ADOPT"</t>
  </si>
  <si>
    <t>BMS-779788</t>
  </si>
  <si>
    <t>Completed</t>
  </si>
  <si>
    <t>MAD</t>
  </si>
  <si>
    <t>Unknown</t>
  </si>
  <si>
    <t>Unknown/Atherosclerosis</t>
  </si>
  <si>
    <t>BMS-833923/XL139</t>
  </si>
  <si>
    <t>Exelixis</t>
  </si>
  <si>
    <t>Gastric Cancers</t>
  </si>
  <si>
    <t>n=36 combo chemo</t>
  </si>
  <si>
    <t>2009-2012</t>
  </si>
  <si>
    <t>Forthcoming</t>
  </si>
  <si>
    <t>Smoothened/Hedgehog</t>
  </si>
  <si>
    <t>2011-2013</t>
  </si>
  <si>
    <t>n=108 Gem+Cis</t>
  </si>
  <si>
    <t>NSCLC</t>
  </si>
  <si>
    <t>PD1</t>
  </si>
  <si>
    <t>BMS-823778</t>
  </si>
  <si>
    <t>2012-2013</t>
  </si>
  <si>
    <t>n=271 vs placebo</t>
  </si>
  <si>
    <t>Hypertension, Obesity, Dyslipidemia</t>
  </si>
  <si>
    <t>BMS-582664</t>
  </si>
  <si>
    <t>Terminated</t>
  </si>
  <si>
    <t>Cancers</t>
  </si>
  <si>
    <t>VEGFR2</t>
  </si>
  <si>
    <t>n=0</t>
  </si>
  <si>
    <t>n=725</t>
  </si>
  <si>
    <t>2012-2014</t>
  </si>
  <si>
    <t>BMS-650032</t>
  </si>
  <si>
    <t>asunaprevir</t>
  </si>
  <si>
    <t>Seattle Genetics???</t>
  </si>
  <si>
    <t>MDX-060</t>
  </si>
  <si>
    <t>Hodgkin's Disease</t>
  </si>
  <si>
    <t>Anti-CD30 Antibody</t>
  </si>
  <si>
    <t>n=74</t>
  </si>
  <si>
    <t>2005-2009</t>
  </si>
  <si>
    <t>n=89</t>
  </si>
  <si>
    <t>2006-2009</t>
  </si>
  <si>
    <t>EGF/VEGF Kinase (Oral)</t>
  </si>
  <si>
    <t>n=1-40 processed</t>
  </si>
  <si>
    <t>Q114</t>
  </si>
  <si>
    <t>Q113</t>
  </si>
  <si>
    <t>Q213</t>
  </si>
  <si>
    <t>Q313</t>
  </si>
  <si>
    <t>Q413</t>
  </si>
  <si>
    <t>Q214</t>
  </si>
  <si>
    <t>Farxiga (dapagliflozin)</t>
  </si>
  <si>
    <t>Byetta/Bydureon</t>
  </si>
  <si>
    <t>Q314</t>
  </si>
  <si>
    <t>Q414</t>
  </si>
  <si>
    <t>Q115</t>
  </si>
  <si>
    <t>Q215</t>
  </si>
  <si>
    <t>Q315</t>
  </si>
  <si>
    <t>Q415</t>
  </si>
  <si>
    <t>Diabetes Alliance</t>
  </si>
  <si>
    <t>Q122</t>
  </si>
  <si>
    <t>Q116</t>
  </si>
  <si>
    <t>Q216</t>
  </si>
  <si>
    <t>Q316</t>
  </si>
  <si>
    <t>Q416</t>
  </si>
  <si>
    <t>Q117</t>
  </si>
  <si>
    <t>Q217</t>
  </si>
  <si>
    <t>Q317</t>
  </si>
  <si>
    <t>Q417</t>
  </si>
  <si>
    <t>Q118</t>
  </si>
  <si>
    <t>Q218</t>
  </si>
  <si>
    <t>Q318</t>
  </si>
  <si>
    <t>Q418</t>
  </si>
  <si>
    <t>Q119</t>
  </si>
  <si>
    <t>Q219</t>
  </si>
  <si>
    <t>Q319</t>
  </si>
  <si>
    <t>Q419</t>
  </si>
  <si>
    <t>Q120</t>
  </si>
  <si>
    <t>Q220</t>
  </si>
  <si>
    <t>Q320</t>
  </si>
  <si>
    <t>Q420</t>
  </si>
  <si>
    <t>Q121</t>
  </si>
  <si>
    <t>Q221</t>
  </si>
  <si>
    <t>Q321</t>
  </si>
  <si>
    <t>Q421</t>
  </si>
  <si>
    <t>Q222</t>
  </si>
  <si>
    <t>Q322</t>
  </si>
  <si>
    <t>Q422</t>
  </si>
  <si>
    <t>Opdivo (nivolumab - Protein)</t>
  </si>
  <si>
    <t>Q123</t>
  </si>
  <si>
    <t>Q223</t>
  </si>
  <si>
    <t>Q323</t>
  </si>
  <si>
    <t>Q423</t>
  </si>
  <si>
    <t>Revlimid (lenalidomide)</t>
  </si>
  <si>
    <t>Mature Products</t>
  </si>
  <si>
    <t>Abecma</t>
  </si>
  <si>
    <t>Zeposia</t>
  </si>
  <si>
    <t>Breyanzi</t>
  </si>
  <si>
    <t>Inrebic</t>
  </si>
  <si>
    <t>Onureg</t>
  </si>
  <si>
    <t>Opdualag</t>
  </si>
  <si>
    <t>Abraxane</t>
  </si>
  <si>
    <t>Opdivo y/y</t>
  </si>
  <si>
    <t>Eliquis y/y</t>
  </si>
  <si>
    <t>Revlimid y/y</t>
  </si>
  <si>
    <t>Reblozyl (luspatercept)</t>
  </si>
  <si>
    <t>MRK</t>
  </si>
  <si>
    <t>Opdivo, fka BMS-936558</t>
  </si>
  <si>
    <t>Opdivo (nivolumab)</t>
  </si>
  <si>
    <t>7/26/19: Positive CHMP opinion for Empliciti</t>
  </si>
  <si>
    <t>Empliciti (elotuzumab)</t>
  </si>
  <si>
    <t>ABBV co-development, BMY solely responsible for commercial activities</t>
  </si>
  <si>
    <t>ABBV</t>
  </si>
  <si>
    <t>Phase II "ELOQUENT-3" pom+dex+-elotuzumab n=113 3L+ lenalidomide-refractory</t>
  </si>
  <si>
    <t>CS1/SLAMF7 mab</t>
  </si>
  <si>
    <t>Empliciti fka HuLuc63</t>
  </si>
  <si>
    <t>SLAMF7 mab</t>
  </si>
  <si>
    <t>PD-1 mab</t>
  </si>
  <si>
    <t>CTLA4 mab</t>
  </si>
  <si>
    <t>Pomalyst (pomalidomide)</t>
  </si>
  <si>
    <t>VEGFR inhibitor, FGFR2?</t>
  </si>
  <si>
    <t>Camzyos</t>
  </si>
  <si>
    <t>Vidaza</t>
  </si>
  <si>
    <t>200</t>
  </si>
  <si>
    <t>Revenue lc</t>
  </si>
  <si>
    <t>Approval</t>
  </si>
  <si>
    <t>Opdualag (relatlimab/nivolumab)</t>
  </si>
  <si>
    <t>Breyanzi (lisocabtagene maraleucel)</t>
  </si>
  <si>
    <t>Zeposia (ozanimod)</t>
  </si>
  <si>
    <t>Multiple Sclerosis</t>
  </si>
  <si>
    <t>CD19 CART</t>
  </si>
  <si>
    <t>PROTAC</t>
  </si>
  <si>
    <t>GDF</t>
  </si>
  <si>
    <t>LAG3</t>
  </si>
  <si>
    <t>iberdomide</t>
  </si>
  <si>
    <t>mezigdomide</t>
  </si>
  <si>
    <t>Psoriasis</t>
  </si>
  <si>
    <t>Beta Thalassemia, MDS</t>
  </si>
  <si>
    <t>SC</t>
  </si>
  <si>
    <t>CFO: David Elkins</t>
  </si>
  <si>
    <t>CMO: Samit Hirawat</t>
  </si>
  <si>
    <t>CCO: Chris Boerner</t>
  </si>
  <si>
    <t>ROS1 inhibitor</t>
  </si>
  <si>
    <t>Camzyos (mavacamten)</t>
  </si>
  <si>
    <t>oHCM</t>
  </si>
  <si>
    <t>myosin inhibitor</t>
  </si>
  <si>
    <t>milvexian</t>
  </si>
  <si>
    <t>FXIa inhibitor</t>
  </si>
  <si>
    <t>S1P agonist</t>
  </si>
  <si>
    <t>TYK2</t>
  </si>
  <si>
    <t>cendakimab</t>
  </si>
  <si>
    <t>IL-13 mab</t>
  </si>
  <si>
    <t>EoE, AD</t>
  </si>
  <si>
    <t>BCMA CART</t>
  </si>
  <si>
    <t>Sotyktu (deucravacitinib)</t>
  </si>
  <si>
    <t>daclatasvir/HCV</t>
  </si>
  <si>
    <t>Sotyktu</t>
  </si>
  <si>
    <t>Q124</t>
  </si>
  <si>
    <t>Q224</t>
  </si>
  <si>
    <t>Q324</t>
  </si>
  <si>
    <t>Q424</t>
  </si>
  <si>
    <t>Q125</t>
  </si>
  <si>
    <t>Q225</t>
  </si>
  <si>
    <t>Q325</t>
  </si>
  <si>
    <t>Q425</t>
  </si>
  <si>
    <t>Krazati</t>
  </si>
  <si>
    <t>Augtyro</t>
  </si>
  <si>
    <t>Augtyro (repotrectinib)</t>
  </si>
  <si>
    <t>ROS1+ Cancer</t>
  </si>
  <si>
    <t>2022: Acquires Turning Point for $4.1 billion.</t>
  </si>
  <si>
    <t xml:space="preserve"> </t>
  </si>
  <si>
    <t>Krazati (adagrasib)</t>
  </si>
  <si>
    <t>3/18/2024: Completes Karuna deal.</t>
  </si>
  <si>
    <t>CEO: Chris Boerner replaced Giovanni Caforio.</t>
  </si>
  <si>
    <t>1/23/2024: Completes Mirati deal.</t>
  </si>
  <si>
    <t>12/26/2023: Announces RayzeBio deal.</t>
  </si>
  <si>
    <t>Reblozyl (luspatercept - Protein)</t>
  </si>
  <si>
    <t>2026 - COM</t>
  </si>
  <si>
    <t>2031 - formulation</t>
  </si>
  <si>
    <t>Settled with some generic companies, but litigated successfully 2026, 2031 patents.</t>
  </si>
  <si>
    <t>International</t>
  </si>
  <si>
    <t>70% of revenue in US</t>
  </si>
  <si>
    <t>BMY books US, Europe, China, Japan, Australia, pays profit share, ~50%. 2023 gross margins 52%.</t>
  </si>
  <si>
    <t>warfarin, rivaroxaban (BAY-59-7939), edoxaban</t>
  </si>
  <si>
    <t>Eliquis (apixaban - 2028)</t>
  </si>
  <si>
    <t>Origin</t>
  </si>
  <si>
    <t>Medarex</t>
  </si>
  <si>
    <t>2019: Celgene merger.</t>
  </si>
  <si>
    <t>Revlimid (lenalidomide - 2026)</t>
  </si>
  <si>
    <t>Pomalyst (pomalidomide - 2026)</t>
  </si>
  <si>
    <t>$60,000/year</t>
  </si>
  <si>
    <t>Expressed on T cells, can bind CD80/CD86 so that those agents are unavailable to stimulate T cells.</t>
  </si>
  <si>
    <t>CTLA-4 (CD152) soluble receptor. CTLA-4 is homologous to CD28, both molecules bind to CD80 (B7-1) and CD86 (B7-2).</t>
  </si>
  <si>
    <t>Dr. Reddy's biosimilar.</t>
  </si>
  <si>
    <t>Mylan biosimilar.</t>
  </si>
  <si>
    <t>recombinant fusion protein of humanCTLA-4 and FcIgG1</t>
  </si>
  <si>
    <t>CHO cells</t>
  </si>
  <si>
    <t>BMY's first internal biologic - Syracuse, NY</t>
  </si>
  <si>
    <t>CD80 co-stimulates with CD28.</t>
  </si>
  <si>
    <t>12/22/2023: Announces Karuna deal, $12.7 billion ($14 billion gross).</t>
  </si>
  <si>
    <t>Brand</t>
  </si>
  <si>
    <t>Generic</t>
  </si>
  <si>
    <t>MOA</t>
  </si>
  <si>
    <t>xanomeline-trospium</t>
  </si>
  <si>
    <t>M1/M4 agonist (xanomeline), M1/M4 peripheral antagonist (trospium)</t>
  </si>
  <si>
    <t>Maturity</t>
  </si>
  <si>
    <t>ROIC</t>
  </si>
  <si>
    <t>Discount</t>
  </si>
  <si>
    <t>NPV</t>
  </si>
  <si>
    <t>Share</t>
  </si>
  <si>
    <t>Return</t>
  </si>
  <si>
    <t>Model NI</t>
  </si>
  <si>
    <t>Reported NI</t>
  </si>
  <si>
    <t>CFFO</t>
  </si>
  <si>
    <t>D&amp;A</t>
  </si>
  <si>
    <t>DT</t>
  </si>
  <si>
    <t>SBC</t>
  </si>
  <si>
    <t>IPRD</t>
  </si>
  <si>
    <t>Investment/Divest/Royalty</t>
  </si>
  <si>
    <t>WC</t>
  </si>
  <si>
    <t>Acquisition</t>
  </si>
  <si>
    <t>Divestiture</t>
  </si>
  <si>
    <t>CapEx</t>
  </si>
  <si>
    <t>Investments</t>
  </si>
  <si>
    <t>CFFI</t>
  </si>
  <si>
    <t>ESOP</t>
  </si>
  <si>
    <t>FX</t>
  </si>
  <si>
    <t>CIC</t>
  </si>
  <si>
    <t>mavacamten</t>
  </si>
  <si>
    <t>HCM</t>
  </si>
  <si>
    <t>$100k/year</t>
  </si>
  <si>
    <t>Cobenfy, fka KarXT</t>
  </si>
  <si>
    <t>Cobenfy (xanomeline/trospium)</t>
  </si>
  <si>
    <t>Cobenfy</t>
  </si>
  <si>
    <t>Founded: 1887</t>
  </si>
  <si>
    <t>Abecma (idecabtagene vicleucel)</t>
  </si>
  <si>
    <t>None</t>
  </si>
  <si>
    <t>generic</t>
  </si>
  <si>
    <t>2028-2031</t>
  </si>
  <si>
    <t>2030-2031</t>
  </si>
  <si>
    <t>Q126</t>
  </si>
  <si>
    <t>2033-2034</t>
  </si>
  <si>
    <t>2035-2037</t>
  </si>
  <si>
    <t>2029-2034</t>
  </si>
  <si>
    <t>2030-2033</t>
  </si>
  <si>
    <t>golcadomide</t>
  </si>
  <si>
    <t>DLBCL</t>
  </si>
  <si>
    <t>arlo-cel</t>
  </si>
  <si>
    <t>GPRC5D CAR T</t>
  </si>
  <si>
    <t>AR LDD</t>
  </si>
  <si>
    <t>mCRPC</t>
  </si>
  <si>
    <t>atigotatug</t>
  </si>
  <si>
    <t>SCLC</t>
  </si>
  <si>
    <t>Anti-fucosyl GM1</t>
  </si>
  <si>
    <t>RYZ101</t>
  </si>
  <si>
    <t>GPNET</t>
  </si>
  <si>
    <t>SOS1</t>
  </si>
  <si>
    <t>RYZ801</t>
  </si>
  <si>
    <t>HCC</t>
  </si>
  <si>
    <t>PRMT5</t>
  </si>
  <si>
    <t>Oncology</t>
  </si>
  <si>
    <t>EGFRxHER3 ADC</t>
  </si>
  <si>
    <t>BMS-986490</t>
  </si>
  <si>
    <t>BMS-986488</t>
  </si>
  <si>
    <t>BMS-986484</t>
  </si>
  <si>
    <t>HELIOS CELMoD</t>
  </si>
  <si>
    <t>BMS-986482</t>
  </si>
  <si>
    <t>BMS-986463</t>
  </si>
  <si>
    <t>BMS-986460</t>
  </si>
  <si>
    <t>Prostate Cancer</t>
  </si>
  <si>
    <t>CCR8</t>
  </si>
  <si>
    <t>admilparant</t>
  </si>
  <si>
    <t>LPA1 antagonist</t>
  </si>
  <si>
    <t>obexelimab</t>
  </si>
  <si>
    <t>IgG4-RD</t>
  </si>
  <si>
    <t>afimetoran</t>
  </si>
  <si>
    <t>SLE</t>
  </si>
  <si>
    <t>BMS-986454</t>
  </si>
  <si>
    <t>Autoimmune</t>
  </si>
  <si>
    <t>PKCtheta inhibitor</t>
  </si>
  <si>
    <t>PKCtheta</t>
  </si>
  <si>
    <t>IL2-CD25</t>
  </si>
  <si>
    <t>CD19 NEX T</t>
  </si>
  <si>
    <t>CD19</t>
  </si>
  <si>
    <t>BMS-986322</t>
  </si>
  <si>
    <t>MYK-224</t>
  </si>
  <si>
    <t>HFpEF</t>
  </si>
  <si>
    <t>BMS-986495</t>
  </si>
  <si>
    <t>Neurodegenerative</t>
  </si>
  <si>
    <t>SLE, Autoimmune, MS</t>
  </si>
  <si>
    <t>eIF2B activator</t>
  </si>
  <si>
    <t>eIF2B</t>
  </si>
  <si>
    <t>TRPC4/5 inhibitor</t>
  </si>
  <si>
    <t>Mood/Anxiety</t>
  </si>
  <si>
    <t>TRCP4/5</t>
  </si>
  <si>
    <t>FAAH/MGLL inhibitor</t>
  </si>
  <si>
    <t>Agitation, Spasticity</t>
  </si>
  <si>
    <t>FAAH/MGLL dual inhibitor</t>
  </si>
  <si>
    <t>Anti-MTBR Tau</t>
  </si>
  <si>
    <t>Discontinued</t>
  </si>
  <si>
    <t>Medicaid/Medicare Rebates</t>
  </si>
  <si>
    <t>Chargebacks/Cash Discounts</t>
  </si>
  <si>
    <t>Gross</t>
  </si>
  <si>
    <t>Total Adjustments</t>
  </si>
  <si>
    <t>Product</t>
  </si>
  <si>
    <t>SystImmune</t>
  </si>
  <si>
    <t>Paid $800m upfront</t>
  </si>
  <si>
    <t>BL-B01D1 (iza-bren)</t>
  </si>
  <si>
    <t>BAN1503</t>
  </si>
  <si>
    <t>BAN2803</t>
  </si>
  <si>
    <t>Buyback</t>
  </si>
  <si>
    <t>Opdivo Qvantig</t>
  </si>
  <si>
    <t>Q226</t>
  </si>
  <si>
    <t>Q326</t>
  </si>
  <si>
    <t>Q426</t>
  </si>
  <si>
    <t>5/13/27 PDUFA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</si>
</sst>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15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b/>
      <i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trike/>
      <sz val="10"/>
      <name val="Arial"/>
      <family val="2"/>
    </font>
    <font>
      <b/>
      <strike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7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/>
    <xf numFmtId="9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/>
    <xf numFmtId="0" fontId="0" fillId="2" borderId="7" xfId="0" applyFill="1" applyBorder="1" applyAlignment="1">
      <alignment horizontal="center"/>
    </xf>
    <xf numFmtId="9" fontId="0" fillId="2" borderId="7" xfId="0" applyNumberForma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1" fillId="2" borderId="4" xfId="1" applyFill="1" applyBorder="1" applyAlignment="1" applyProtection="1"/>
    <xf numFmtId="0" fontId="1" fillId="2" borderId="0" xfId="1" applyFill="1" applyAlignment="1" applyProtection="1"/>
    <xf numFmtId="0" fontId="0" fillId="2" borderId="2" xfId="0" applyFill="1" applyBorder="1"/>
    <xf numFmtId="14" fontId="0" fillId="2" borderId="0" xfId="0" applyNumberFormat="1" applyFill="1" applyAlignment="1">
      <alignment horizontal="center"/>
    </xf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3" fontId="0" fillId="2" borderId="0" xfId="0" applyNumberFormat="1" applyFill="1" applyAlignment="1">
      <alignment horizontal="center"/>
    </xf>
    <xf numFmtId="0" fontId="3" fillId="2" borderId="0" xfId="0" applyFont="1" applyFill="1"/>
    <xf numFmtId="0" fontId="9" fillId="2" borderId="0" xfId="0" applyFont="1" applyFill="1"/>
    <xf numFmtId="2" fontId="0" fillId="2" borderId="0" xfId="0" applyNumberFormat="1" applyFill="1"/>
    <xf numFmtId="3" fontId="0" fillId="2" borderId="0" xfId="0" applyNumberFormat="1" applyFill="1"/>
    <xf numFmtId="0" fontId="9" fillId="2" borderId="0" xfId="0" applyFont="1" applyFill="1" applyAlignment="1">
      <alignment horizontal="center"/>
    </xf>
    <xf numFmtId="9" fontId="9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right"/>
    </xf>
    <xf numFmtId="0" fontId="1" fillId="0" borderId="0" xfId="1" applyAlignment="1" applyProtection="1"/>
    <xf numFmtId="3" fontId="0" fillId="2" borderId="0" xfId="0" applyNumberFormat="1" applyFill="1" applyAlignment="1">
      <alignment horizontal="right"/>
    </xf>
    <xf numFmtId="0" fontId="9" fillId="2" borderId="0" xfId="0" quotePrefix="1" applyFont="1" applyFill="1"/>
    <xf numFmtId="0" fontId="9" fillId="0" borderId="0" xfId="0" applyFont="1"/>
    <xf numFmtId="0" fontId="9" fillId="2" borderId="0" xfId="0" applyFont="1" applyFill="1" applyAlignment="1">
      <alignment horizontal="right"/>
    </xf>
    <xf numFmtId="0" fontId="10" fillId="2" borderId="0" xfId="0" applyFont="1" applyFill="1"/>
    <xf numFmtId="3" fontId="9" fillId="2" borderId="0" xfId="0" applyNumberFormat="1" applyFont="1" applyFill="1" applyAlignment="1">
      <alignment horizontal="right"/>
    </xf>
    <xf numFmtId="3" fontId="5" fillId="2" borderId="0" xfId="0" applyNumberFormat="1" applyFont="1" applyFill="1" applyAlignment="1">
      <alignment horizontal="right"/>
    </xf>
    <xf numFmtId="0" fontId="5" fillId="2" borderId="0" xfId="0" applyFont="1" applyFill="1" applyAlignment="1">
      <alignment horizontal="right"/>
    </xf>
    <xf numFmtId="4" fontId="5" fillId="2" borderId="0" xfId="0" applyNumberFormat="1" applyFont="1" applyFill="1" applyAlignment="1">
      <alignment horizontal="right"/>
    </xf>
    <xf numFmtId="164" fontId="0" fillId="2" borderId="0" xfId="0" applyNumberFormat="1" applyFill="1" applyAlignment="1">
      <alignment horizontal="right"/>
    </xf>
    <xf numFmtId="9" fontId="5" fillId="2" borderId="0" xfId="0" applyNumberFormat="1" applyFont="1" applyFill="1" applyAlignment="1">
      <alignment horizontal="right"/>
    </xf>
    <xf numFmtId="9" fontId="9" fillId="2" borderId="0" xfId="0" applyNumberFormat="1" applyFont="1" applyFill="1" applyAlignment="1">
      <alignment horizontal="right"/>
    </xf>
    <xf numFmtId="0" fontId="9" fillId="2" borderId="5" xfId="0" applyFont="1" applyFill="1" applyBorder="1" applyAlignment="1">
      <alignment horizontal="center"/>
    </xf>
    <xf numFmtId="0" fontId="0" fillId="0" borderId="4" xfId="0" applyBorder="1"/>
    <xf numFmtId="3" fontId="9" fillId="2" borderId="0" xfId="0" applyNumberFormat="1" applyFont="1" applyFill="1"/>
    <xf numFmtId="14" fontId="9" fillId="2" borderId="0" xfId="0" applyNumberFormat="1" applyFont="1" applyFill="1" applyAlignment="1">
      <alignment horizontal="center"/>
    </xf>
    <xf numFmtId="0" fontId="9" fillId="2" borderId="4" xfId="0" applyFont="1" applyFill="1" applyBorder="1"/>
    <xf numFmtId="0" fontId="4" fillId="0" borderId="0" xfId="0" applyFont="1"/>
    <xf numFmtId="0" fontId="0" fillId="3" borderId="0" xfId="0" applyFill="1" applyAlignment="1">
      <alignment horizontal="right"/>
    </xf>
    <xf numFmtId="0" fontId="9" fillId="3" borderId="0" xfId="0" applyFont="1" applyFill="1" applyAlignment="1">
      <alignment horizontal="right"/>
    </xf>
    <xf numFmtId="3" fontId="0" fillId="3" borderId="0" xfId="0" applyNumberFormat="1" applyFill="1" applyAlignment="1">
      <alignment horizontal="right"/>
    </xf>
    <xf numFmtId="3" fontId="5" fillId="3" borderId="0" xfId="0" applyNumberFormat="1" applyFont="1" applyFill="1" applyAlignment="1">
      <alignment horizontal="right"/>
    </xf>
    <xf numFmtId="4" fontId="5" fillId="3" borderId="0" xfId="0" applyNumberFormat="1" applyFont="1" applyFill="1" applyAlignment="1">
      <alignment horizontal="right"/>
    </xf>
    <xf numFmtId="9" fontId="5" fillId="3" borderId="0" xfId="0" applyNumberFormat="1" applyFont="1" applyFill="1" applyAlignment="1">
      <alignment horizontal="right"/>
    </xf>
    <xf numFmtId="3" fontId="9" fillId="3" borderId="0" xfId="0" applyNumberFormat="1" applyFont="1" applyFill="1" applyAlignment="1">
      <alignment horizontal="right"/>
    </xf>
    <xf numFmtId="164" fontId="0" fillId="3" borderId="0" xfId="0" applyNumberFormat="1" applyFill="1" applyAlignment="1">
      <alignment horizontal="right"/>
    </xf>
    <xf numFmtId="0" fontId="5" fillId="3" borderId="0" xfId="0" applyFont="1" applyFill="1" applyAlignment="1">
      <alignment horizontal="right"/>
    </xf>
    <xf numFmtId="9" fontId="0" fillId="2" borderId="0" xfId="0" applyNumberFormat="1" applyFill="1" applyAlignment="1">
      <alignment horizontal="right"/>
    </xf>
    <xf numFmtId="9" fontId="9" fillId="3" borderId="0" xfId="0" applyNumberFormat="1" applyFont="1" applyFill="1" applyAlignment="1">
      <alignment horizontal="right"/>
    </xf>
    <xf numFmtId="9" fontId="9" fillId="2" borderId="0" xfId="0" applyNumberFormat="1" applyFont="1" applyFill="1"/>
    <xf numFmtId="0" fontId="9" fillId="2" borderId="2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left"/>
    </xf>
    <xf numFmtId="3" fontId="0" fillId="4" borderId="0" xfId="0" applyNumberFormat="1" applyFill="1" applyAlignment="1">
      <alignment horizontal="right"/>
    </xf>
    <xf numFmtId="3" fontId="9" fillId="4" borderId="0" xfId="0" applyNumberFormat="1" applyFont="1" applyFill="1" applyAlignment="1">
      <alignment horizontal="right"/>
    </xf>
    <xf numFmtId="3" fontId="5" fillId="4" borderId="0" xfId="0" applyNumberFormat="1" applyFont="1" applyFill="1" applyAlignment="1">
      <alignment horizontal="right"/>
    </xf>
    <xf numFmtId="4" fontId="5" fillId="4" borderId="0" xfId="0" applyNumberFormat="1" applyFont="1" applyFill="1" applyAlignment="1">
      <alignment horizontal="right"/>
    </xf>
    <xf numFmtId="0" fontId="0" fillId="4" borderId="0" xfId="0" applyFill="1" applyAlignment="1">
      <alignment horizontal="right"/>
    </xf>
    <xf numFmtId="9" fontId="5" fillId="4" borderId="0" xfId="0" applyNumberFormat="1" applyFont="1" applyFill="1" applyAlignment="1">
      <alignment horizontal="right"/>
    </xf>
    <xf numFmtId="9" fontId="9" fillId="4" borderId="0" xfId="0" applyNumberFormat="1" applyFont="1" applyFill="1" applyAlignment="1">
      <alignment horizontal="right"/>
    </xf>
    <xf numFmtId="164" fontId="9" fillId="2" borderId="0" xfId="0" applyNumberFormat="1" applyFont="1" applyFill="1" applyAlignment="1">
      <alignment horizontal="right"/>
    </xf>
    <xf numFmtId="0" fontId="9" fillId="2" borderId="4" xfId="1" applyFont="1" applyFill="1" applyBorder="1" applyAlignment="1" applyProtection="1"/>
    <xf numFmtId="0" fontId="13" fillId="2" borderId="0" xfId="0" applyFont="1" applyFill="1"/>
    <xf numFmtId="0" fontId="13" fillId="2" borderId="0" xfId="0" applyFont="1" applyFill="1" applyAlignment="1">
      <alignment horizontal="right"/>
    </xf>
    <xf numFmtId="9" fontId="13" fillId="2" borderId="0" xfId="0" applyNumberFormat="1" applyFont="1" applyFill="1" applyAlignment="1">
      <alignment horizontal="right"/>
    </xf>
    <xf numFmtId="9" fontId="13" fillId="3" borderId="0" xfId="0" applyNumberFormat="1" applyFont="1" applyFill="1" applyAlignment="1">
      <alignment horizontal="right"/>
    </xf>
    <xf numFmtId="9" fontId="13" fillId="4" borderId="0" xfId="0" applyNumberFormat="1" applyFont="1" applyFill="1" applyAlignment="1">
      <alignment horizontal="right"/>
    </xf>
    <xf numFmtId="3" fontId="13" fillId="2" borderId="0" xfId="0" applyNumberFormat="1" applyFont="1" applyFill="1" applyAlignment="1">
      <alignment horizontal="right"/>
    </xf>
    <xf numFmtId="0" fontId="14" fillId="2" borderId="0" xfId="0" applyFont="1" applyFill="1" applyAlignment="1">
      <alignment horizontal="right"/>
    </xf>
    <xf numFmtId="0" fontId="13" fillId="3" borderId="0" xfId="0" applyFont="1" applyFill="1" applyAlignment="1">
      <alignment horizontal="right"/>
    </xf>
    <xf numFmtId="0" fontId="13" fillId="4" borderId="0" xfId="0" applyFont="1" applyFill="1" applyAlignment="1">
      <alignment horizontal="right"/>
    </xf>
    <xf numFmtId="9" fontId="14" fillId="2" borderId="0" xfId="0" applyNumberFormat="1" applyFont="1" applyFill="1" applyAlignment="1">
      <alignment horizontal="right"/>
    </xf>
    <xf numFmtId="4" fontId="13" fillId="2" borderId="0" xfId="0" applyNumberFormat="1" applyFont="1" applyFill="1" applyAlignment="1">
      <alignment horizontal="right"/>
    </xf>
    <xf numFmtId="3" fontId="9" fillId="2" borderId="0" xfId="0" quotePrefix="1" applyNumberFormat="1" applyFont="1" applyFill="1" applyAlignment="1">
      <alignment horizontal="right"/>
    </xf>
    <xf numFmtId="0" fontId="0" fillId="2" borderId="5" xfId="0" applyFill="1" applyBorder="1"/>
    <xf numFmtId="0" fontId="1" fillId="2" borderId="6" xfId="1" applyFill="1" applyBorder="1" applyAlignment="1" applyProtection="1"/>
    <xf numFmtId="14" fontId="9" fillId="2" borderId="7" xfId="0" applyNumberFormat="1" applyFont="1" applyFill="1" applyBorder="1" applyAlignment="1">
      <alignment horizontal="center"/>
    </xf>
    <xf numFmtId="3" fontId="0" fillId="0" borderId="0" xfId="0" applyNumberFormat="1"/>
    <xf numFmtId="3" fontId="9" fillId="0" borderId="0" xfId="0" applyNumberFormat="1" applyFont="1"/>
    <xf numFmtId="37" fontId="0" fillId="2" borderId="0" xfId="0" applyNumberFormat="1" applyFill="1"/>
    <xf numFmtId="9" fontId="5" fillId="2" borderId="0" xfId="0" applyNumberFormat="1" applyFont="1" applyFill="1"/>
    <xf numFmtId="4" fontId="9" fillId="2" borderId="0" xfId="0" applyNumberFormat="1" applyFont="1" applyFill="1"/>
    <xf numFmtId="3" fontId="9" fillId="5" borderId="0" xfId="0" applyNumberFormat="1" applyFont="1" applyFill="1" applyAlignment="1">
      <alignment horizontal="right"/>
    </xf>
    <xf numFmtId="3" fontId="0" fillId="5" borderId="0" xfId="0" applyNumberFormat="1" applyFill="1" applyAlignment="1">
      <alignment horizontal="right"/>
    </xf>
    <xf numFmtId="0" fontId="0" fillId="5" borderId="0" xfId="0" applyFill="1" applyAlignment="1">
      <alignment horizontal="right"/>
    </xf>
    <xf numFmtId="0" fontId="9" fillId="2" borderId="5" xfId="0" applyFont="1" applyFill="1" applyBorder="1"/>
  </cellXfs>
  <cellStyles count="2">
    <cellStyle name="Hyperlink" xfId="1" builtinId="8"/>
    <cellStyle name="Normal" xfId="0" builtinId="0"/>
  </cellStyles>
  <dxfs count="0"/>
  <tableStyles count="1" defaultTableStyle="TableStyleMedium9" defaultPivotStyle="PivotStyleLight16">
    <tableStyle name="Invisible" pivot="0" table="0" count="0" xr9:uid="{45350580-FF7D-4035-AA96-D92D9395DB2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17/10/relationships/person" Target="persons/person.xml"/><Relationship Id="rId30" Type="http://schemas.openxmlformats.org/officeDocument/2006/relationships/customXml" Target="../customXml/item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87</xdr:col>
      <xdr:colOff>33794</xdr:colOff>
      <xdr:row>0</xdr:row>
      <xdr:rowOff>0</xdr:rowOff>
    </xdr:from>
    <xdr:to>
      <xdr:col>87</xdr:col>
      <xdr:colOff>33794</xdr:colOff>
      <xdr:row>155</xdr:row>
      <xdr:rowOff>23813</xdr:rowOff>
    </xdr:to>
    <xdr:sp macro="" textlink="">
      <xdr:nvSpPr>
        <xdr:cNvPr id="23557" name="Line 6">
          <a:extLst>
            <a:ext uri="{FF2B5EF4-FFF2-40B4-BE49-F238E27FC236}">
              <a16:creationId xmlns:a16="http://schemas.microsoft.com/office/drawing/2014/main" id="{B2BC525F-A724-7F55-9CE0-858F0F2500EB}"/>
            </a:ext>
          </a:extLst>
        </xdr:cNvPr>
        <xdr:cNvSpPr>
          <a:spLocks noChangeShapeType="1"/>
        </xdr:cNvSpPr>
      </xdr:nvSpPr>
      <xdr:spPr bwMode="auto">
        <a:xfrm flipH="1">
          <a:off x="44293294" y="0"/>
          <a:ext cx="0" cy="2365375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129</xdr:col>
      <xdr:colOff>37871</xdr:colOff>
      <xdr:row>0</xdr:row>
      <xdr:rowOff>0</xdr:rowOff>
    </xdr:from>
    <xdr:to>
      <xdr:col>129</xdr:col>
      <xdr:colOff>37871</xdr:colOff>
      <xdr:row>147</xdr:row>
      <xdr:rowOff>148827</xdr:rowOff>
    </xdr:to>
    <xdr:sp macro="" textlink="">
      <xdr:nvSpPr>
        <xdr:cNvPr id="23558" name="Line 12">
          <a:extLst>
            <a:ext uri="{FF2B5EF4-FFF2-40B4-BE49-F238E27FC236}">
              <a16:creationId xmlns:a16="http://schemas.microsoft.com/office/drawing/2014/main" id="{9C5D3C83-C419-3E58-B84C-434F85F5D33D}"/>
            </a:ext>
          </a:extLst>
        </xdr:cNvPr>
        <xdr:cNvSpPr>
          <a:spLocks noChangeShapeType="1"/>
        </xdr:cNvSpPr>
      </xdr:nvSpPr>
      <xdr:spPr bwMode="auto">
        <a:xfrm flipH="1">
          <a:off x="59372668" y="0"/>
          <a:ext cx="0" cy="2236589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95250</xdr:colOff>
      <xdr:row>7</xdr:row>
      <xdr:rowOff>23822</xdr:rowOff>
    </xdr:from>
    <xdr:to>
      <xdr:col>9</xdr:col>
      <xdr:colOff>760413</xdr:colOff>
      <xdr:row>26</xdr:row>
      <xdr:rowOff>7938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784173-A1AE-ACC8-2FB1-099C1F44A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5250" y="1190635"/>
          <a:ext cx="6500813" cy="31511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9F68C8B4-E179-4E5B-B186-EECC601E0E41}" userId="9ffda80931a57275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F3" dT="2024-08-19T19:11:59.33" personId="{9F68C8B4-E179-4E5B-B186-EECC601E0E41}" id="{ADDA9155-6FB6-3645-8EF2-D4112B1B810C}">
    <text>12/2005 approval</text>
  </threadedComment>
  <threadedComment ref="DN4" dT="2024-08-19T18:28:47.82" personId="{9F68C8B4-E179-4E5B-B186-EECC601E0E41}" id="{5353C74F-3DA1-1142-81DF-85AD5611102E}">
    <text>7/9/13 FDA approval</text>
  </threadedComment>
  <threadedComment ref="EA4" dT="2024-08-19T18:32:11.14" personId="{9F68C8B4-E179-4E5B-B186-EECC601E0E41}" id="{BBE4A942-97F3-8E43-8E0B-1C883A5FE026}">
    <text>2026 expiry as per 2017 annual report</text>
  </threadedComment>
  <threadedComment ref="EC4" dT="2024-08-19T18:40:55.51" personId="{9F68C8B4-E179-4E5B-B186-EECC601E0E41}" id="{7F26880F-3692-5C44-ADD1-A74A2543E434}">
    <text>4/1/2028 allowed date of launch as per settlement, 2031 patent upheld</text>
  </threadedComment>
  <threadedComment ref="DO5" dT="2024-08-19T18:52:24.58" personId="{9F68C8B4-E179-4E5B-B186-EECC601E0E41}" id="{D2995CE7-F32D-8C41-A5AF-D8026E4F13CD}">
    <text>12/22/2014 approval</text>
  </threadedComment>
  <threadedComment ref="ED5" dT="2024-08-19T19:40:45.77" personId="{9F68C8B4-E179-4E5B-B186-EECC601E0E41}" id="{C5951982-D7F8-2546-AC90-9625AB74AD67}">
    <text>Biosimilars, but some credit for subcutaneous</text>
  </threadedComment>
  <threadedComment ref="DW6" dT="2022-09-06T16:09:34.65" personId="{9F68C8B4-E179-4E5B-B186-EECC601E0E41}" id="{DF0CA8EA-E15D-4DCF-8A89-D3F0E51858A5}">
    <text>Q222 call: 9.0B-9.5B</text>
  </threadedComment>
  <threadedComment ref="EA6" dT="2024-08-19T19:07:31.77" personId="{9F68C8B4-E179-4E5B-B186-EECC601E0E41}" id="{46EAF32E-7A2F-F74A-8EBB-D44B0AFE7F6A}">
    <text>1/31/26 unrestricted volume from generics</text>
  </threadedComment>
  <threadedComment ref="ED12" dT="2022-09-06T16:58:28.46" personId="{9F68C8B4-E179-4E5B-B186-EECC601E0E41}" id="{1727F93D-8F9D-4AF0-A375-BADEA5A4BCDB}">
    <text>Q222: 4B peak sales</text>
  </threadedComment>
  <threadedComment ref="ED17" dT="2022-09-06T15:58:32.95" personId="{9F68C8B4-E179-4E5B-B186-EECC601E0E41}" id="{946EE862-FE62-45E3-9122-A9E70C0AF3D7}">
    <text>Q222: 3B peak sales?</text>
  </threadedComment>
  <threadedComment ref="BT18" dT="2022-09-06T16:10:39.10" personId="{9F68C8B4-E179-4E5B-B186-EECC601E0E41}" id="{DFDA0432-9884-4EBE-96B3-87B7B5D4D515}">
    <text>Q222: demand &gt; supply</text>
  </threadedComment>
  <threadedComment ref="ED19" dT="2022-09-06T16:02:11.56" personId="{9F68C8B4-E179-4E5B-B186-EECC601E0E41}" id="{59AADAB3-7D26-4862-B979-01EC18E461EC}">
    <text>Q222: &gt;4B by 2029</text>
  </threadedComment>
  <threadedComment ref="EE26" dT="2024-08-19T19:52:59.83" personId="{9F68C8B4-E179-4E5B-B186-EECC601E0E41}" id="{B6ACDA46-C581-404D-B14B-2295FED7F43F}">
    <text>2030 expiry without PTE</text>
  </threadedComment>
  <threadedComment ref="EG26" dT="2024-08-19T20:01:15.24" personId="{9F68C8B4-E179-4E5B-B186-EECC601E0E41}" id="{471070A5-B4E3-984C-A531-77ED3482BBEB}">
    <text>Possible LTE</text>
  </threadedComment>
  <threadedComment ref="DW57" dT="2025-04-21T23:10:55.31" personId="{9F68C8B4-E179-4E5B-B186-EECC601E0E41}" id="{D43BC2AC-F6DE-41E9-B105-54AC99C72584}">
    <text>5768 paid to alliance partners</text>
  </threadedComment>
  <threadedComment ref="DX57" dT="2025-04-21T23:10:44.91" personId="{9F68C8B4-E179-4E5B-B186-EECC601E0E41}" id="{D001C4B3-37ED-44E4-8556-11B7C0E63283}">
    <text>6067 paid to alliance partners</text>
  </threadedComment>
  <threadedComment ref="DY57" dT="2025-04-21T23:10:36.19" personId="{9F68C8B4-E179-4E5B-B186-EECC601E0E41}" id="{586D2F4C-34A9-4EB0-BCA0-FCD3D665610A}">
    <text>6597 paid to alliance partners</text>
  </threadedComment>
  <threadedComment ref="CD70" dT="2025-04-21T20:26:14.10" personId="{9F68C8B4-E179-4E5B-B186-EECC601E0E41}" id="{6C251F1D-2001-433E-8E0C-B9591BB48B53}">
    <text>2/6/25 S/O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4"/>
  <sheetViews>
    <sheetView workbookViewId="0">
      <pane xSplit="7" ySplit="2" topLeftCell="H3" activePane="bottomRight" state="frozen"/>
      <selection pane="topRight" activeCell="G1" sqref="G1"/>
      <selection pane="bottomLeft" activeCell="A3" sqref="A3"/>
      <selection pane="bottomRight" activeCell="H13" sqref="H13"/>
    </sheetView>
  </sheetViews>
  <sheetFormatPr defaultColWidth="8.81640625" defaultRowHeight="12.5" x14ac:dyDescent="0.25"/>
  <cols>
    <col min="1" max="1" width="5" bestFit="1" customWidth="1"/>
    <col min="2" max="2" width="17.453125" bestFit="1" customWidth="1"/>
    <col min="3" max="3" width="14.7265625" customWidth="1"/>
    <col min="4" max="4" width="43.453125" bestFit="1" customWidth="1"/>
    <col min="5" max="5" width="34.453125" bestFit="1" customWidth="1"/>
    <col min="6" max="6" width="23.453125" customWidth="1"/>
    <col min="8" max="8" width="15.7265625" bestFit="1" customWidth="1"/>
    <col min="9" max="9" width="23.1796875" bestFit="1" customWidth="1"/>
    <col min="10" max="10" width="12.453125" style="60" customWidth="1"/>
    <col min="11" max="11" width="10.26953125" bestFit="1" customWidth="1"/>
  </cols>
  <sheetData>
    <row r="1" spans="1:16" x14ac:dyDescent="0.25">
      <c r="A1" s="28" t="s">
        <v>63</v>
      </c>
    </row>
    <row r="2" spans="1:16" x14ac:dyDescent="0.25">
      <c r="B2" s="31" t="s">
        <v>64</v>
      </c>
      <c r="C2" s="31" t="s">
        <v>65</v>
      </c>
      <c r="D2" s="31" t="s">
        <v>487</v>
      </c>
      <c r="E2" s="31" t="s">
        <v>1</v>
      </c>
      <c r="F2" s="31" t="s">
        <v>140</v>
      </c>
      <c r="G2" s="31" t="s">
        <v>644</v>
      </c>
      <c r="H2" s="31" t="s">
        <v>494</v>
      </c>
      <c r="I2" s="31" t="s">
        <v>505</v>
      </c>
      <c r="J2" s="61" t="s">
        <v>508</v>
      </c>
      <c r="K2" s="31" t="s">
        <v>149</v>
      </c>
      <c r="L2" s="31" t="s">
        <v>3</v>
      </c>
    </row>
    <row r="3" spans="1:16" x14ac:dyDescent="0.25">
      <c r="B3" s="13" t="s">
        <v>274</v>
      </c>
      <c r="E3" s="7" t="s">
        <v>275</v>
      </c>
      <c r="F3" s="7" t="s">
        <v>276</v>
      </c>
      <c r="G3" s="16">
        <v>35703</v>
      </c>
      <c r="K3" s="6" t="s">
        <v>11</v>
      </c>
      <c r="L3" s="6"/>
      <c r="O3" s="7"/>
      <c r="P3" s="8"/>
    </row>
    <row r="4" spans="1:16" x14ac:dyDescent="0.25">
      <c r="B4" s="13" t="s">
        <v>266</v>
      </c>
      <c r="E4" s="7" t="s">
        <v>32</v>
      </c>
      <c r="F4" s="7" t="s">
        <v>268</v>
      </c>
      <c r="G4" s="16">
        <v>37288</v>
      </c>
      <c r="K4" s="6">
        <v>1</v>
      </c>
      <c r="L4" s="6"/>
      <c r="O4" s="7"/>
      <c r="P4" s="8"/>
    </row>
    <row r="5" spans="1:16" x14ac:dyDescent="0.25">
      <c r="B5" s="13" t="s">
        <v>259</v>
      </c>
      <c r="E5" s="7" t="s">
        <v>32</v>
      </c>
      <c r="F5" s="7" t="s">
        <v>115</v>
      </c>
      <c r="G5" s="16">
        <v>37792</v>
      </c>
      <c r="K5" s="6">
        <v>1</v>
      </c>
      <c r="L5" s="6"/>
      <c r="O5" s="7"/>
      <c r="P5" s="8"/>
    </row>
    <row r="6" spans="1:16" x14ac:dyDescent="0.25">
      <c r="B6" s="13" t="s">
        <v>207</v>
      </c>
      <c r="E6" s="7" t="s">
        <v>44</v>
      </c>
      <c r="F6" s="7" t="s">
        <v>175</v>
      </c>
      <c r="G6" s="16">
        <v>39371</v>
      </c>
      <c r="I6" s="8"/>
      <c r="J6" s="61"/>
      <c r="K6" s="6">
        <v>1</v>
      </c>
      <c r="L6" s="31"/>
    </row>
    <row r="7" spans="1:16" x14ac:dyDescent="0.25">
      <c r="B7" s="13" t="s">
        <v>271</v>
      </c>
      <c r="C7" s="7" t="s">
        <v>242</v>
      </c>
      <c r="D7" s="6" t="s">
        <v>11</v>
      </c>
      <c r="E7" s="6" t="s">
        <v>84</v>
      </c>
      <c r="F7" s="16">
        <v>35751</v>
      </c>
      <c r="G7" s="7" t="s">
        <v>116</v>
      </c>
      <c r="H7" s="7" t="s">
        <v>197</v>
      </c>
      <c r="I7" s="8" t="s">
        <v>273</v>
      </c>
      <c r="J7" s="61"/>
      <c r="K7" s="31"/>
      <c r="L7" s="31"/>
    </row>
    <row r="8" spans="1:16" x14ac:dyDescent="0.25">
      <c r="B8" s="13" t="s">
        <v>287</v>
      </c>
      <c r="C8" s="7" t="s">
        <v>33</v>
      </c>
      <c r="D8" s="6" t="s">
        <v>14</v>
      </c>
      <c r="E8" s="6" t="s">
        <v>84</v>
      </c>
      <c r="F8" s="16">
        <v>37575</v>
      </c>
      <c r="G8" s="7" t="s">
        <v>112</v>
      </c>
      <c r="H8" s="7" t="s">
        <v>13</v>
      </c>
      <c r="I8" s="8" t="s">
        <v>286</v>
      </c>
      <c r="J8" s="61"/>
      <c r="K8" s="31"/>
      <c r="L8" s="31"/>
    </row>
    <row r="9" spans="1:16" x14ac:dyDescent="0.25">
      <c r="B9" s="45" t="s">
        <v>402</v>
      </c>
      <c r="C9" s="7" t="s">
        <v>252</v>
      </c>
      <c r="D9" s="6">
        <v>1</v>
      </c>
      <c r="E9" s="26" t="s">
        <v>81</v>
      </c>
      <c r="F9" s="44">
        <v>40709</v>
      </c>
      <c r="G9" s="7"/>
      <c r="H9" s="7"/>
      <c r="I9" s="8" t="s">
        <v>291</v>
      </c>
      <c r="J9" s="61"/>
      <c r="K9" s="31"/>
      <c r="L9" s="31"/>
    </row>
    <row r="10" spans="1:16" x14ac:dyDescent="0.25">
      <c r="B10" s="5" t="s">
        <v>249</v>
      </c>
      <c r="C10" s="7" t="s">
        <v>156</v>
      </c>
      <c r="D10" s="6" t="s">
        <v>158</v>
      </c>
      <c r="E10" s="7" t="s">
        <v>84</v>
      </c>
      <c r="F10" s="16">
        <v>40025</v>
      </c>
      <c r="G10" s="7" t="s">
        <v>157</v>
      </c>
      <c r="H10" s="7"/>
      <c r="I10" s="7"/>
      <c r="J10" s="61"/>
      <c r="K10" s="31"/>
      <c r="L10" s="31"/>
    </row>
    <row r="11" spans="1:16" x14ac:dyDescent="0.25">
      <c r="B11" s="31"/>
      <c r="C11" s="31"/>
      <c r="D11" s="31"/>
      <c r="E11" s="31"/>
      <c r="F11" s="31"/>
      <c r="G11" s="31"/>
      <c r="H11" s="31"/>
      <c r="I11" s="31"/>
      <c r="J11" s="61"/>
      <c r="K11" s="31"/>
      <c r="L11" s="31"/>
    </row>
    <row r="12" spans="1:16" x14ac:dyDescent="0.25">
      <c r="B12" s="45" t="s">
        <v>665</v>
      </c>
      <c r="D12" s="1"/>
      <c r="E12" s="25" t="s">
        <v>171</v>
      </c>
      <c r="F12" s="25"/>
      <c r="G12" s="25" t="s">
        <v>666</v>
      </c>
      <c r="H12" s="31"/>
      <c r="I12" s="31"/>
      <c r="J12" s="61"/>
      <c r="K12" s="31"/>
      <c r="L12" s="31"/>
    </row>
    <row r="13" spans="1:16" s="1" customFormat="1" x14ac:dyDescent="0.25">
      <c r="B13" s="45" t="s">
        <v>280</v>
      </c>
      <c r="D13" s="26" t="s">
        <v>818</v>
      </c>
      <c r="E13" s="7" t="s">
        <v>156</v>
      </c>
      <c r="F13" s="7" t="s">
        <v>281</v>
      </c>
      <c r="G13" s="22" t="s">
        <v>174</v>
      </c>
      <c r="H13" s="8"/>
    </row>
    <row r="14" spans="1:16" x14ac:dyDescent="0.25">
      <c r="B14" s="31" t="s">
        <v>183</v>
      </c>
      <c r="C14" s="31" t="s">
        <v>206</v>
      </c>
      <c r="D14" s="31" t="s">
        <v>488</v>
      </c>
      <c r="E14" s="31" t="s">
        <v>489</v>
      </c>
      <c r="F14" s="31" t="s">
        <v>493</v>
      </c>
      <c r="G14" s="31" t="s">
        <v>492</v>
      </c>
      <c r="H14" s="31" t="s">
        <v>495</v>
      </c>
    </row>
    <row r="15" spans="1:16" x14ac:dyDescent="0.25">
      <c r="B15" s="31" t="s">
        <v>183</v>
      </c>
      <c r="C15" s="31" t="s">
        <v>206</v>
      </c>
      <c r="D15" s="31" t="s">
        <v>488</v>
      </c>
      <c r="E15" s="31" t="s">
        <v>490</v>
      </c>
      <c r="F15" s="31" t="s">
        <v>493</v>
      </c>
      <c r="G15" s="31" t="s">
        <v>159</v>
      </c>
    </row>
    <row r="16" spans="1:16" x14ac:dyDescent="0.25">
      <c r="B16" s="31" t="s">
        <v>183</v>
      </c>
      <c r="C16" s="31" t="s">
        <v>206</v>
      </c>
      <c r="D16" s="31" t="s">
        <v>488</v>
      </c>
      <c r="E16" s="31" t="s">
        <v>491</v>
      </c>
      <c r="F16" s="31" t="s">
        <v>493</v>
      </c>
      <c r="G16" s="31" t="s">
        <v>182</v>
      </c>
    </row>
    <row r="17" spans="2:12" x14ac:dyDescent="0.25">
      <c r="B17" s="31" t="s">
        <v>500</v>
      </c>
      <c r="C17" s="31" t="s">
        <v>499</v>
      </c>
      <c r="D17" s="31" t="s">
        <v>501</v>
      </c>
      <c r="E17" s="31" t="s">
        <v>502</v>
      </c>
      <c r="G17" s="31" t="s">
        <v>159</v>
      </c>
      <c r="H17" s="31" t="s">
        <v>503</v>
      </c>
      <c r="I17" s="31" t="s">
        <v>513</v>
      </c>
      <c r="J17" s="60">
        <v>2008</v>
      </c>
    </row>
    <row r="18" spans="2:12" x14ac:dyDescent="0.25">
      <c r="B18" s="31" t="s">
        <v>511</v>
      </c>
      <c r="C18" s="31" t="s">
        <v>504</v>
      </c>
      <c r="D18" s="31" t="s">
        <v>506</v>
      </c>
      <c r="E18" s="31" t="s">
        <v>521</v>
      </c>
      <c r="F18" s="31" t="s">
        <v>110</v>
      </c>
      <c r="G18" s="31" t="s">
        <v>45</v>
      </c>
      <c r="H18" s="31" t="s">
        <v>518</v>
      </c>
      <c r="I18" s="31" t="s">
        <v>519</v>
      </c>
      <c r="J18" s="60" t="s">
        <v>520</v>
      </c>
    </row>
    <row r="19" spans="2:12" x14ac:dyDescent="0.25">
      <c r="B19" s="31" t="s">
        <v>511</v>
      </c>
      <c r="C19" s="31" t="s">
        <v>504</v>
      </c>
      <c r="D19" s="31" t="s">
        <v>506</v>
      </c>
      <c r="E19" s="31" t="s">
        <v>507</v>
      </c>
      <c r="F19" s="31" t="s">
        <v>110</v>
      </c>
      <c r="G19" s="31" t="s">
        <v>159</v>
      </c>
      <c r="H19" s="31" t="s">
        <v>512</v>
      </c>
      <c r="I19" t="s">
        <v>509</v>
      </c>
      <c r="J19" s="60" t="s">
        <v>510</v>
      </c>
    </row>
    <row r="20" spans="2:12" x14ac:dyDescent="0.25">
      <c r="B20" s="31" t="s">
        <v>511</v>
      </c>
      <c r="C20" s="31" t="s">
        <v>504</v>
      </c>
      <c r="D20" s="31" t="s">
        <v>506</v>
      </c>
      <c r="E20" s="31" t="s">
        <v>524</v>
      </c>
      <c r="F20" s="31" t="s">
        <v>110</v>
      </c>
      <c r="G20" s="31" t="s">
        <v>45</v>
      </c>
      <c r="H20" s="31" t="s">
        <v>512</v>
      </c>
      <c r="I20" t="s">
        <v>522</v>
      </c>
      <c r="J20" s="60" t="s">
        <v>523</v>
      </c>
    </row>
    <row r="21" spans="2:12" x14ac:dyDescent="0.25">
      <c r="B21" s="31" t="s">
        <v>389</v>
      </c>
      <c r="D21" s="31" t="s">
        <v>514</v>
      </c>
      <c r="E21" t="s">
        <v>282</v>
      </c>
      <c r="G21" t="s">
        <v>159</v>
      </c>
      <c r="H21" s="31" t="s">
        <v>515</v>
      </c>
      <c r="I21" s="31" t="s">
        <v>516</v>
      </c>
      <c r="J21" s="60">
        <v>2010</v>
      </c>
    </row>
    <row r="22" spans="2:12" s="62" customFormat="1" ht="13" x14ac:dyDescent="0.3">
      <c r="B22" s="62" t="s">
        <v>525</v>
      </c>
      <c r="D22" s="62" t="s">
        <v>526</v>
      </c>
      <c r="E22" s="62" t="s">
        <v>529</v>
      </c>
      <c r="F22" s="62" t="s">
        <v>528</v>
      </c>
      <c r="G22" s="62" t="s">
        <v>174</v>
      </c>
      <c r="H22" s="62" t="s">
        <v>528</v>
      </c>
      <c r="I22" s="62" t="s">
        <v>527</v>
      </c>
      <c r="J22" s="63">
        <v>2009</v>
      </c>
    </row>
    <row r="23" spans="2:12" x14ac:dyDescent="0.25">
      <c r="B23" s="31" t="s">
        <v>530</v>
      </c>
      <c r="D23" s="31" t="s">
        <v>518</v>
      </c>
      <c r="E23" s="31" t="s">
        <v>532</v>
      </c>
      <c r="F23" s="31" t="s">
        <v>536</v>
      </c>
      <c r="G23" s="31" t="s">
        <v>174</v>
      </c>
      <c r="H23" s="31" t="s">
        <v>535</v>
      </c>
      <c r="I23" s="31" t="s">
        <v>533</v>
      </c>
      <c r="J23" s="61" t="s">
        <v>534</v>
      </c>
      <c r="K23" s="31" t="s">
        <v>531</v>
      </c>
    </row>
    <row r="24" spans="2:12" x14ac:dyDescent="0.25">
      <c r="B24" s="31" t="s">
        <v>403</v>
      </c>
      <c r="D24" s="31" t="s">
        <v>518</v>
      </c>
      <c r="E24" s="31" t="s">
        <v>539</v>
      </c>
      <c r="F24" s="31" t="s">
        <v>540</v>
      </c>
      <c r="G24" s="31" t="s">
        <v>174</v>
      </c>
      <c r="H24" s="31" t="s">
        <v>535</v>
      </c>
      <c r="I24" s="31" t="s">
        <v>538</v>
      </c>
      <c r="J24" s="61" t="s">
        <v>537</v>
      </c>
      <c r="K24" s="31" t="s">
        <v>404</v>
      </c>
    </row>
    <row r="25" spans="2:12" x14ac:dyDescent="0.25">
      <c r="B25" s="31" t="s">
        <v>403</v>
      </c>
      <c r="D25" s="31" t="s">
        <v>518</v>
      </c>
      <c r="E25" s="31" t="s">
        <v>28</v>
      </c>
      <c r="F25" s="31" t="s">
        <v>540</v>
      </c>
      <c r="G25" s="31" t="s">
        <v>174</v>
      </c>
      <c r="H25" s="31" t="s">
        <v>535</v>
      </c>
      <c r="I25" s="31" t="s">
        <v>549</v>
      </c>
      <c r="J25" s="61" t="s">
        <v>537</v>
      </c>
      <c r="K25" s="31" t="s">
        <v>404</v>
      </c>
    </row>
    <row r="26" spans="2:12" s="62" customFormat="1" ht="13" x14ac:dyDescent="0.3">
      <c r="B26" s="62" t="s">
        <v>541</v>
      </c>
      <c r="D26" s="62" t="s">
        <v>518</v>
      </c>
      <c r="E26" s="62" t="s">
        <v>544</v>
      </c>
      <c r="F26" s="62" t="s">
        <v>528</v>
      </c>
      <c r="G26" s="62" t="s">
        <v>159</v>
      </c>
      <c r="H26" s="62" t="s">
        <v>535</v>
      </c>
      <c r="I26" s="62" t="s">
        <v>543</v>
      </c>
      <c r="J26" s="63" t="s">
        <v>542</v>
      </c>
    </row>
    <row r="27" spans="2:12" x14ac:dyDescent="0.25">
      <c r="B27" s="31" t="s">
        <v>545</v>
      </c>
      <c r="C27" s="31" t="s">
        <v>210</v>
      </c>
      <c r="D27" s="31" t="s">
        <v>546</v>
      </c>
      <c r="E27" s="31" t="s">
        <v>547</v>
      </c>
      <c r="F27" s="31" t="s">
        <v>548</v>
      </c>
      <c r="G27" s="31" t="s">
        <v>45</v>
      </c>
      <c r="H27" s="31" t="s">
        <v>495</v>
      </c>
    </row>
    <row r="28" spans="2:12" x14ac:dyDescent="0.25">
      <c r="B28" s="31" t="s">
        <v>253</v>
      </c>
      <c r="C28" s="31" t="s">
        <v>418</v>
      </c>
      <c r="D28" s="31" t="s">
        <v>518</v>
      </c>
      <c r="E28" s="31" t="s">
        <v>282</v>
      </c>
      <c r="G28" s="31" t="s">
        <v>45</v>
      </c>
      <c r="H28" s="31" t="s">
        <v>535</v>
      </c>
      <c r="I28" s="31" t="s">
        <v>550</v>
      </c>
      <c r="J28" s="61" t="s">
        <v>551</v>
      </c>
    </row>
    <row r="29" spans="2:12" x14ac:dyDescent="0.25">
      <c r="B29" s="31" t="s">
        <v>552</v>
      </c>
      <c r="C29" s="31" t="s">
        <v>553</v>
      </c>
      <c r="D29" s="31" t="s">
        <v>518</v>
      </c>
      <c r="E29" s="31" t="s">
        <v>282</v>
      </c>
      <c r="G29" s="31" t="s">
        <v>45</v>
      </c>
      <c r="H29" s="31" t="s">
        <v>535</v>
      </c>
      <c r="I29" s="31" t="s">
        <v>550</v>
      </c>
      <c r="J29" s="61" t="s">
        <v>551</v>
      </c>
    </row>
    <row r="30" spans="2:12" x14ac:dyDescent="0.25">
      <c r="B30" s="31" t="s">
        <v>555</v>
      </c>
      <c r="D30" s="31" t="s">
        <v>526</v>
      </c>
      <c r="E30" s="31" t="s">
        <v>556</v>
      </c>
      <c r="F30" s="31" t="s">
        <v>557</v>
      </c>
      <c r="G30" s="31" t="s">
        <v>159</v>
      </c>
      <c r="H30" s="31" t="s">
        <v>512</v>
      </c>
      <c r="I30" s="31" t="s">
        <v>558</v>
      </c>
      <c r="J30" s="61" t="s">
        <v>559</v>
      </c>
      <c r="L30" s="31" t="s">
        <v>554</v>
      </c>
    </row>
    <row r="31" spans="2:12" x14ac:dyDescent="0.25">
      <c r="B31" s="31" t="s">
        <v>172</v>
      </c>
      <c r="D31" s="31" t="s">
        <v>526</v>
      </c>
      <c r="E31" s="31" t="s">
        <v>547</v>
      </c>
      <c r="F31" s="31" t="s">
        <v>562</v>
      </c>
      <c r="G31" s="31" t="s">
        <v>174</v>
      </c>
      <c r="H31" s="31" t="s">
        <v>512</v>
      </c>
      <c r="I31" s="31" t="s">
        <v>560</v>
      </c>
      <c r="J31" s="61" t="s">
        <v>561</v>
      </c>
    </row>
    <row r="32" spans="2:12" x14ac:dyDescent="0.25">
      <c r="B32" s="13" t="s">
        <v>464</v>
      </c>
      <c r="C32" s="7" t="s">
        <v>156</v>
      </c>
      <c r="D32" s="6" t="s">
        <v>158</v>
      </c>
      <c r="E32" s="7" t="s">
        <v>84</v>
      </c>
      <c r="F32" s="25" t="s">
        <v>465</v>
      </c>
      <c r="G32" s="25" t="s">
        <v>160</v>
      </c>
      <c r="H32" s="25" t="s">
        <v>473</v>
      </c>
      <c r="I32" s="8" t="s">
        <v>279</v>
      </c>
    </row>
    <row r="33" spans="2:8" x14ac:dyDescent="0.25">
      <c r="B33" s="45" t="s">
        <v>419</v>
      </c>
      <c r="C33" s="7" t="s">
        <v>254</v>
      </c>
      <c r="D33" s="6">
        <v>1</v>
      </c>
      <c r="E33" s="25" t="s">
        <v>84</v>
      </c>
      <c r="F33" s="25" t="s">
        <v>159</v>
      </c>
      <c r="G33" s="25" t="s">
        <v>420</v>
      </c>
    </row>
    <row r="34" spans="2:8" x14ac:dyDescent="0.25">
      <c r="B34" s="45" t="s">
        <v>421</v>
      </c>
      <c r="C34" s="25" t="s">
        <v>254</v>
      </c>
      <c r="D34" s="6">
        <v>1</v>
      </c>
      <c r="E34" s="25" t="s">
        <v>422</v>
      </c>
      <c r="F34" s="25" t="s">
        <v>159</v>
      </c>
      <c r="G34" s="25" t="s">
        <v>423</v>
      </c>
    </row>
    <row r="35" spans="2:8" x14ac:dyDescent="0.25">
      <c r="B35" s="45" t="s">
        <v>389</v>
      </c>
      <c r="C35" s="7" t="s">
        <v>282</v>
      </c>
      <c r="D35" s="6">
        <v>1</v>
      </c>
      <c r="E35" s="7"/>
      <c r="F35" s="7" t="s">
        <v>174</v>
      </c>
      <c r="G35" s="25" t="s">
        <v>255</v>
      </c>
    </row>
    <row r="36" spans="2:8" x14ac:dyDescent="0.25">
      <c r="B36" s="5" t="s">
        <v>176</v>
      </c>
      <c r="C36" s="7" t="s">
        <v>32</v>
      </c>
      <c r="D36" s="6">
        <v>1</v>
      </c>
      <c r="E36" s="7" t="s">
        <v>84</v>
      </c>
      <c r="F36" s="7" t="s">
        <v>174</v>
      </c>
      <c r="G36" s="7" t="s">
        <v>277</v>
      </c>
      <c r="H36" s="7" t="s">
        <v>278</v>
      </c>
    </row>
    <row r="37" spans="2:8" x14ac:dyDescent="0.25">
      <c r="B37" s="13" t="s">
        <v>418</v>
      </c>
      <c r="C37" s="7" t="s">
        <v>254</v>
      </c>
      <c r="D37" s="6">
        <v>1</v>
      </c>
      <c r="E37" s="7" t="s">
        <v>84</v>
      </c>
      <c r="F37" s="25" t="s">
        <v>45</v>
      </c>
      <c r="G37" s="7" t="s">
        <v>255</v>
      </c>
      <c r="H37" s="41" t="s">
        <v>279</v>
      </c>
    </row>
    <row r="38" spans="2:8" x14ac:dyDescent="0.25">
      <c r="B38" s="5" t="s">
        <v>285</v>
      </c>
      <c r="C38" s="7" t="s">
        <v>173</v>
      </c>
      <c r="D38" s="6">
        <v>1</v>
      </c>
      <c r="E38" s="7"/>
      <c r="F38" s="7" t="s">
        <v>159</v>
      </c>
      <c r="G38" s="7"/>
      <c r="H38" s="8" t="s">
        <v>291</v>
      </c>
    </row>
    <row r="39" spans="2:8" x14ac:dyDescent="0.25">
      <c r="B39" s="5" t="s">
        <v>177</v>
      </c>
      <c r="C39" s="7"/>
      <c r="D39" s="6"/>
      <c r="E39" s="7"/>
      <c r="F39" s="7"/>
      <c r="G39" s="7" t="s">
        <v>178</v>
      </c>
      <c r="H39" s="8" t="s">
        <v>279</v>
      </c>
    </row>
    <row r="40" spans="2:8" x14ac:dyDescent="0.25">
      <c r="B40" s="5" t="s">
        <v>375</v>
      </c>
      <c r="C40" s="7" t="s">
        <v>173</v>
      </c>
      <c r="D40" s="6" t="s">
        <v>376</v>
      </c>
      <c r="E40" s="7" t="s">
        <v>81</v>
      </c>
      <c r="F40" s="7" t="s">
        <v>159</v>
      </c>
      <c r="G40" s="7" t="s">
        <v>377</v>
      </c>
      <c r="H40" s="8"/>
    </row>
    <row r="41" spans="2:8" x14ac:dyDescent="0.25">
      <c r="B41" s="1"/>
      <c r="C41" s="7"/>
      <c r="D41" s="6"/>
      <c r="E41" s="7"/>
      <c r="F41" s="7"/>
      <c r="G41" s="7"/>
      <c r="H41" s="7"/>
    </row>
    <row r="42" spans="2:8" x14ac:dyDescent="0.25">
      <c r="B42" s="1"/>
      <c r="C42" s="7"/>
      <c r="D42" s="6"/>
      <c r="E42" s="7"/>
      <c r="F42" s="7"/>
      <c r="G42" s="7"/>
      <c r="H42" s="7"/>
    </row>
    <row r="43" spans="2:8" x14ac:dyDescent="0.25">
      <c r="B43" s="31" t="s">
        <v>563</v>
      </c>
    </row>
    <row r="45" spans="2:8" x14ac:dyDescent="0.25">
      <c r="B45" s="14" t="s">
        <v>284</v>
      </c>
    </row>
    <row r="46" spans="2:8" x14ac:dyDescent="0.25">
      <c r="B46" s="1"/>
    </row>
    <row r="47" spans="2:8" x14ac:dyDescent="0.25">
      <c r="B47" s="1" t="s">
        <v>292</v>
      </c>
    </row>
    <row r="48" spans="2:8" x14ac:dyDescent="0.25">
      <c r="B48" s="1" t="s">
        <v>293</v>
      </c>
    </row>
    <row r="49" spans="2:2" x14ac:dyDescent="0.25">
      <c r="B49" s="1" t="s">
        <v>294</v>
      </c>
    </row>
    <row r="50" spans="2:2" x14ac:dyDescent="0.25">
      <c r="B50" s="22" t="s">
        <v>295</v>
      </c>
    </row>
    <row r="51" spans="2:2" x14ac:dyDescent="0.25">
      <c r="B51" s="1" t="s">
        <v>296</v>
      </c>
    </row>
    <row r="52" spans="2:2" x14ac:dyDescent="0.25">
      <c r="B52" s="1" t="s">
        <v>297</v>
      </c>
    </row>
    <row r="53" spans="2:2" x14ac:dyDescent="0.25">
      <c r="B53" s="1" t="s">
        <v>298</v>
      </c>
    </row>
    <row r="54" spans="2:2" x14ac:dyDescent="0.25">
      <c r="B54" s="1" t="s">
        <v>299</v>
      </c>
    </row>
    <row r="55" spans="2:2" x14ac:dyDescent="0.25">
      <c r="B55" s="22" t="s">
        <v>300</v>
      </c>
    </row>
    <row r="56" spans="2:2" x14ac:dyDescent="0.25">
      <c r="B56" s="1" t="s">
        <v>301</v>
      </c>
    </row>
    <row r="57" spans="2:2" x14ac:dyDescent="0.25">
      <c r="B57" s="1" t="s">
        <v>302</v>
      </c>
    </row>
    <row r="58" spans="2:2" x14ac:dyDescent="0.25">
      <c r="B58" s="1" t="s">
        <v>303</v>
      </c>
    </row>
    <row r="59" spans="2:2" x14ac:dyDescent="0.25">
      <c r="B59" s="1" t="s">
        <v>304</v>
      </c>
    </row>
    <row r="60" spans="2:2" x14ac:dyDescent="0.25">
      <c r="B60" s="1" t="s">
        <v>305</v>
      </c>
    </row>
    <row r="61" spans="2:2" x14ac:dyDescent="0.25">
      <c r="B61" s="1" t="s">
        <v>306</v>
      </c>
    </row>
    <row r="62" spans="2:2" x14ac:dyDescent="0.25">
      <c r="B62" s="1" t="s">
        <v>307</v>
      </c>
    </row>
    <row r="63" spans="2:2" x14ac:dyDescent="0.25">
      <c r="B63" s="1" t="s">
        <v>308</v>
      </c>
    </row>
    <row r="64" spans="2:2" x14ac:dyDescent="0.25">
      <c r="B64" s="1" t="s">
        <v>309</v>
      </c>
    </row>
    <row r="65" spans="2:2" x14ac:dyDescent="0.25">
      <c r="B65" s="1" t="s">
        <v>310</v>
      </c>
    </row>
    <row r="66" spans="2:2" x14ac:dyDescent="0.25">
      <c r="B66" s="1" t="s">
        <v>311</v>
      </c>
    </row>
    <row r="67" spans="2:2" x14ac:dyDescent="0.25">
      <c r="B67" s="1" t="s">
        <v>312</v>
      </c>
    </row>
    <row r="68" spans="2:2" x14ac:dyDescent="0.25">
      <c r="B68" s="1" t="s">
        <v>313</v>
      </c>
    </row>
    <row r="69" spans="2:2" x14ac:dyDescent="0.25">
      <c r="B69" s="1" t="s">
        <v>314</v>
      </c>
    </row>
    <row r="70" spans="2:2" x14ac:dyDescent="0.25">
      <c r="B70" s="1" t="s">
        <v>315</v>
      </c>
    </row>
    <row r="71" spans="2:2" x14ac:dyDescent="0.25">
      <c r="B71" s="1" t="s">
        <v>316</v>
      </c>
    </row>
    <row r="72" spans="2:2" x14ac:dyDescent="0.25">
      <c r="B72" s="1" t="s">
        <v>317</v>
      </c>
    </row>
    <row r="73" spans="2:2" x14ac:dyDescent="0.25">
      <c r="B73" s="1" t="s">
        <v>318</v>
      </c>
    </row>
    <row r="74" spans="2:2" x14ac:dyDescent="0.25">
      <c r="B74" s="1" t="s">
        <v>498</v>
      </c>
    </row>
  </sheetData>
  <hyperlinks>
    <hyperlink ref="A1" location="Main!A1" display="Main" xr:uid="{00000000-0004-0000-0000-000000000000}"/>
    <hyperlink ref="B3" location="Avapro!A1" display="Avapro (irbesartan)" xr:uid="{00000000-0004-0000-0100-00000B000000}"/>
    <hyperlink ref="B4" location="Sustiva!A1" display="Sustiva (efavirenz)" xr:uid="{00000000-0004-0000-0100-000009000000}"/>
    <hyperlink ref="B5" location="Reyataz!A1" display="Reyataz" xr:uid="{00000000-0004-0000-0100-000008000000}"/>
    <hyperlink ref="B6" location="ixabepilone!A1" display="Ixabepilone" xr:uid="{00000000-0004-0000-0100-000001000000}"/>
    <hyperlink ref="B7" location="Plavix!A1" display="Plavix" xr:uid="{00000000-0004-0000-0100-000003000000}"/>
    <hyperlink ref="B8" location="Abilify!A1" display="Abilify" xr:uid="{00000000-0004-0000-0100-000007000000}"/>
    <hyperlink ref="B45" location="Discontinuations!A1" display="Discontinuations" xr:uid="{00000000-0004-0000-0100-00000A000000}"/>
    <hyperlink ref="B32" location="dapagliflozin!A1" display="dapagliflozin" xr:uid="{00000000-0004-0000-0100-000006000000}"/>
    <hyperlink ref="B37" location="'790052'!A1" display="BMS-790052" xr:uid="{00000000-0004-0000-0100-00000C000000}"/>
  </hyperlink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9"/>
  <sheetViews>
    <sheetView zoomScaleNormal="100" workbookViewId="0">
      <selection activeCell="K2" sqref="K2"/>
    </sheetView>
  </sheetViews>
  <sheetFormatPr defaultColWidth="9.1796875" defaultRowHeight="12.5" x14ac:dyDescent="0.25"/>
  <cols>
    <col min="1" max="1" width="2.453125" style="1" customWidth="1"/>
    <col min="2" max="2" width="31.81640625" style="1" customWidth="1"/>
    <col min="3" max="3" width="22.26953125" style="1" bestFit="1" customWidth="1"/>
    <col min="4" max="4" width="11.26953125" style="1" bestFit="1" customWidth="1"/>
    <col min="5" max="5" width="6.26953125" style="1" bestFit="1" customWidth="1"/>
    <col min="6" max="6" width="14.453125" style="1" customWidth="1"/>
    <col min="7" max="7" width="20.26953125" style="1" bestFit="1" customWidth="1"/>
    <col min="8" max="8" width="10.26953125" style="1" customWidth="1"/>
    <col min="9" max="9" width="2.7265625" style="1" customWidth="1"/>
    <col min="10" max="10" width="8" style="1" customWidth="1"/>
    <col min="11" max="11" width="8.26953125" style="1" customWidth="1"/>
    <col min="12" max="12" width="7.26953125" style="1" customWidth="1"/>
    <col min="13" max="16384" width="9.1796875" style="1"/>
  </cols>
  <sheetData>
    <row r="1" spans="1:12" x14ac:dyDescent="0.25">
      <c r="A1" s="22" t="s">
        <v>689</v>
      </c>
    </row>
    <row r="2" spans="1:12" x14ac:dyDescent="0.25">
      <c r="B2" s="2" t="s">
        <v>0</v>
      </c>
      <c r="C2" s="3" t="s">
        <v>1</v>
      </c>
      <c r="D2" s="3" t="s">
        <v>2</v>
      </c>
      <c r="E2" s="3" t="s">
        <v>82</v>
      </c>
      <c r="F2" s="3" t="s">
        <v>109</v>
      </c>
      <c r="G2" s="59" t="s">
        <v>140</v>
      </c>
      <c r="H2" s="4" t="s">
        <v>4</v>
      </c>
      <c r="J2" s="1" t="s">
        <v>77</v>
      </c>
      <c r="K2" s="23">
        <v>59.2</v>
      </c>
    </row>
    <row r="3" spans="1:12" x14ac:dyDescent="0.25">
      <c r="B3" s="13" t="s">
        <v>43</v>
      </c>
      <c r="C3" s="25" t="s">
        <v>401</v>
      </c>
      <c r="D3" s="6">
        <v>1</v>
      </c>
      <c r="E3" s="6" t="s">
        <v>81</v>
      </c>
      <c r="F3" s="16">
        <v>38709</v>
      </c>
      <c r="G3" s="25" t="s">
        <v>637</v>
      </c>
      <c r="H3" s="41" t="s">
        <v>755</v>
      </c>
      <c r="J3" s="1" t="s">
        <v>108</v>
      </c>
      <c r="K3" s="24">
        <v>2042.0712470000001</v>
      </c>
      <c r="L3" s="32" t="s">
        <v>759</v>
      </c>
    </row>
    <row r="4" spans="1:12" x14ac:dyDescent="0.25">
      <c r="B4" s="72" t="s">
        <v>612</v>
      </c>
      <c r="C4" s="25" t="s">
        <v>486</v>
      </c>
      <c r="D4" s="6"/>
      <c r="E4" s="26" t="s">
        <v>84</v>
      </c>
      <c r="F4" s="16">
        <v>38713</v>
      </c>
      <c r="G4" s="25" t="s">
        <v>650</v>
      </c>
      <c r="H4" s="41" t="s">
        <v>756</v>
      </c>
      <c r="J4" s="1" t="s">
        <v>190</v>
      </c>
      <c r="K4" s="24">
        <f>K2*K3</f>
        <v>120890.61782240002</v>
      </c>
    </row>
    <row r="5" spans="1:12" x14ac:dyDescent="0.25">
      <c r="B5" s="13" t="s">
        <v>627</v>
      </c>
      <c r="C5" s="25" t="s">
        <v>173</v>
      </c>
      <c r="D5" s="26" t="s">
        <v>404</v>
      </c>
      <c r="E5" s="25" t="s">
        <v>81</v>
      </c>
      <c r="F5" s="44">
        <v>41995</v>
      </c>
      <c r="G5" s="25" t="s">
        <v>636</v>
      </c>
      <c r="H5" s="41" t="s">
        <v>757</v>
      </c>
      <c r="J5" s="1" t="s">
        <v>191</v>
      </c>
      <c r="K5" s="24">
        <f>9574+912+366</f>
        <v>10852</v>
      </c>
      <c r="L5" s="32" t="s">
        <v>759</v>
      </c>
    </row>
    <row r="6" spans="1:12" x14ac:dyDescent="0.25">
      <c r="B6" s="13" t="s">
        <v>629</v>
      </c>
      <c r="C6" s="25" t="s">
        <v>413</v>
      </c>
      <c r="D6" s="26" t="s">
        <v>631</v>
      </c>
      <c r="E6" s="25" t="s">
        <v>81</v>
      </c>
      <c r="F6" s="44">
        <v>42338</v>
      </c>
      <c r="G6" s="25" t="s">
        <v>635</v>
      </c>
      <c r="H6" s="41" t="s">
        <v>291</v>
      </c>
      <c r="J6" s="1" t="s">
        <v>192</v>
      </c>
      <c r="K6" s="24">
        <f>42152+2308</f>
        <v>44460</v>
      </c>
      <c r="L6" s="32" t="s">
        <v>759</v>
      </c>
    </row>
    <row r="7" spans="1:12" x14ac:dyDescent="0.25">
      <c r="B7" s="72" t="s">
        <v>624</v>
      </c>
      <c r="C7" s="25" t="s">
        <v>656</v>
      </c>
      <c r="D7" s="26" t="s">
        <v>625</v>
      </c>
      <c r="E7" s="26" t="s">
        <v>81</v>
      </c>
      <c r="F7" s="16">
        <v>43777</v>
      </c>
      <c r="G7" s="25" t="s">
        <v>651</v>
      </c>
      <c r="H7" s="41" t="s">
        <v>758</v>
      </c>
      <c r="J7" s="1" t="s">
        <v>193</v>
      </c>
      <c r="K7" s="24">
        <f>K4-K5+K6</f>
        <v>154498.6178224</v>
      </c>
      <c r="L7" s="27"/>
    </row>
    <row r="8" spans="1:12" x14ac:dyDescent="0.25">
      <c r="B8" s="72" t="s">
        <v>638</v>
      </c>
      <c r="C8" s="25" t="s">
        <v>486</v>
      </c>
      <c r="D8" s="6"/>
      <c r="E8" s="26" t="s">
        <v>84</v>
      </c>
      <c r="F8" s="16">
        <v>41313</v>
      </c>
      <c r="G8" s="25" t="s">
        <v>650</v>
      </c>
      <c r="H8" s="41" t="s">
        <v>759</v>
      </c>
      <c r="K8" s="24"/>
      <c r="L8" s="29"/>
    </row>
    <row r="9" spans="1:12" x14ac:dyDescent="0.25">
      <c r="B9" s="72" t="s">
        <v>662</v>
      </c>
      <c r="C9" s="25" t="s">
        <v>663</v>
      </c>
      <c r="D9" s="6"/>
      <c r="E9" s="26" t="s">
        <v>84</v>
      </c>
      <c r="F9" s="16"/>
      <c r="G9" s="25" t="s">
        <v>664</v>
      </c>
      <c r="H9" s="8">
        <v>2034</v>
      </c>
      <c r="K9" s="24"/>
      <c r="L9" s="29"/>
    </row>
    <row r="10" spans="1:12" x14ac:dyDescent="0.25">
      <c r="B10" s="45" t="s">
        <v>645</v>
      </c>
      <c r="C10" s="25" t="s">
        <v>28</v>
      </c>
      <c r="E10" s="25" t="s">
        <v>657</v>
      </c>
      <c r="G10" s="25" t="s">
        <v>652</v>
      </c>
      <c r="H10" s="96" t="s">
        <v>760</v>
      </c>
    </row>
    <row r="11" spans="1:12" x14ac:dyDescent="0.25">
      <c r="B11" s="45" t="s">
        <v>754</v>
      </c>
      <c r="C11" s="25" t="s">
        <v>486</v>
      </c>
      <c r="E11" s="25" t="s">
        <v>81</v>
      </c>
      <c r="G11" s="25" t="s">
        <v>672</v>
      </c>
      <c r="H11" s="96" t="s">
        <v>761</v>
      </c>
      <c r="J11" s="22" t="s">
        <v>753</v>
      </c>
    </row>
    <row r="12" spans="1:12" x14ac:dyDescent="0.25">
      <c r="B12" s="45" t="s">
        <v>647</v>
      </c>
      <c r="C12" s="25" t="s">
        <v>648</v>
      </c>
      <c r="E12" s="25" t="s">
        <v>84</v>
      </c>
      <c r="G12" s="25" t="s">
        <v>667</v>
      </c>
      <c r="H12" s="96" t="s">
        <v>762</v>
      </c>
      <c r="J12" s="22" t="s">
        <v>692</v>
      </c>
    </row>
    <row r="13" spans="1:12" x14ac:dyDescent="0.25">
      <c r="B13" s="13" t="s">
        <v>42</v>
      </c>
      <c r="C13" s="7" t="s">
        <v>62</v>
      </c>
      <c r="D13" s="6">
        <v>1</v>
      </c>
      <c r="E13" s="6" t="s">
        <v>84</v>
      </c>
      <c r="F13" s="16">
        <v>38896</v>
      </c>
      <c r="G13" s="7" t="s">
        <v>113</v>
      </c>
      <c r="H13" s="41" t="s">
        <v>756</v>
      </c>
      <c r="J13" s="22" t="s">
        <v>658</v>
      </c>
    </row>
    <row r="14" spans="1:12" x14ac:dyDescent="0.25">
      <c r="B14" s="45" t="s">
        <v>646</v>
      </c>
      <c r="E14" s="25" t="s">
        <v>81</v>
      </c>
      <c r="G14" s="25" t="s">
        <v>649</v>
      </c>
      <c r="H14" s="8">
        <v>2033</v>
      </c>
      <c r="J14" s="22" t="s">
        <v>659</v>
      </c>
    </row>
    <row r="15" spans="1:12" x14ac:dyDescent="0.25">
      <c r="B15" s="13" t="s">
        <v>220</v>
      </c>
      <c r="C15" s="7" t="s">
        <v>31</v>
      </c>
      <c r="D15" s="26" t="s">
        <v>378</v>
      </c>
      <c r="E15" s="6" t="s">
        <v>81</v>
      </c>
      <c r="F15" s="16">
        <v>38029</v>
      </c>
      <c r="G15" s="7" t="s">
        <v>111</v>
      </c>
      <c r="H15" s="41" t="s">
        <v>755</v>
      </c>
      <c r="J15" s="22" t="s">
        <v>660</v>
      </c>
    </row>
    <row r="16" spans="1:12" x14ac:dyDescent="0.25">
      <c r="B16" s="42" t="s">
        <v>83</v>
      </c>
      <c r="C16" s="7" t="s">
        <v>12</v>
      </c>
      <c r="D16" s="6">
        <v>1</v>
      </c>
      <c r="E16" s="6" t="s">
        <v>84</v>
      </c>
      <c r="F16" s="16">
        <v>38501</v>
      </c>
      <c r="G16" s="7" t="s">
        <v>114</v>
      </c>
      <c r="H16" s="8"/>
    </row>
    <row r="17" spans="2:8" x14ac:dyDescent="0.25">
      <c r="B17" s="13" t="s">
        <v>400</v>
      </c>
      <c r="C17" s="25" t="s">
        <v>171</v>
      </c>
      <c r="D17" s="26" t="s">
        <v>215</v>
      </c>
      <c r="E17" s="26" t="s">
        <v>84</v>
      </c>
      <c r="F17" s="44">
        <v>41464</v>
      </c>
      <c r="G17" s="25" t="s">
        <v>110</v>
      </c>
      <c r="H17" s="41">
        <v>2028</v>
      </c>
    </row>
    <row r="18" spans="2:8" x14ac:dyDescent="0.25">
      <c r="B18" s="72" t="s">
        <v>686</v>
      </c>
      <c r="C18" s="25" t="s">
        <v>687</v>
      </c>
      <c r="D18" s="26"/>
      <c r="E18" s="26" t="s">
        <v>84</v>
      </c>
      <c r="F18" s="44">
        <v>45456</v>
      </c>
      <c r="G18" s="25" t="s">
        <v>661</v>
      </c>
      <c r="H18" s="41">
        <v>2035</v>
      </c>
    </row>
    <row r="19" spans="2:8" x14ac:dyDescent="0.25">
      <c r="B19" s="72" t="s">
        <v>690</v>
      </c>
      <c r="C19" s="25"/>
      <c r="D19" s="26"/>
      <c r="E19" s="26"/>
      <c r="F19" s="44"/>
      <c r="G19" s="25"/>
      <c r="H19" s="41">
        <v>2037</v>
      </c>
    </row>
    <row r="20" spans="2:8" x14ac:dyDescent="0.25">
      <c r="B20" s="13" t="s">
        <v>751</v>
      </c>
      <c r="C20" s="25" t="s">
        <v>33</v>
      </c>
      <c r="F20" s="16">
        <v>45561</v>
      </c>
      <c r="G20" s="25"/>
      <c r="H20" s="41" t="s">
        <v>763</v>
      </c>
    </row>
    <row r="21" spans="2:8" x14ac:dyDescent="0.25">
      <c r="B21" s="72" t="s">
        <v>673</v>
      </c>
      <c r="C21" s="25" t="s">
        <v>655</v>
      </c>
      <c r="D21" s="26"/>
      <c r="E21" s="26" t="s">
        <v>84</v>
      </c>
      <c r="F21" s="44">
        <v>44813</v>
      </c>
      <c r="G21" s="25" t="s">
        <v>668</v>
      </c>
      <c r="H21" s="41">
        <v>2033</v>
      </c>
    </row>
    <row r="22" spans="2:8" x14ac:dyDescent="0.25">
      <c r="B22" s="86" t="s">
        <v>411</v>
      </c>
      <c r="C22" s="10" t="s">
        <v>28</v>
      </c>
      <c r="D22" s="11" t="s">
        <v>27</v>
      </c>
      <c r="E22" s="11" t="s">
        <v>81</v>
      </c>
      <c r="F22" s="87">
        <v>40627</v>
      </c>
      <c r="G22" s="10" t="s">
        <v>251</v>
      </c>
      <c r="H22" s="12">
        <v>2025</v>
      </c>
    </row>
    <row r="23" spans="2:8" x14ac:dyDescent="0.25">
      <c r="B23" s="2"/>
      <c r="C23" s="3"/>
      <c r="D23" s="3"/>
      <c r="E23" s="3"/>
      <c r="F23" s="3" t="s">
        <v>5</v>
      </c>
      <c r="G23" s="15"/>
      <c r="H23" s="4"/>
    </row>
    <row r="24" spans="2:8" x14ac:dyDescent="0.25">
      <c r="B24" s="45" t="s">
        <v>653</v>
      </c>
      <c r="C24" s="25" t="s">
        <v>486</v>
      </c>
      <c r="E24" s="25" t="s">
        <v>84</v>
      </c>
      <c r="F24" s="25" t="s">
        <v>45</v>
      </c>
      <c r="G24" s="25" t="s">
        <v>650</v>
      </c>
      <c r="H24" s="85"/>
    </row>
    <row r="25" spans="2:8" x14ac:dyDescent="0.25">
      <c r="B25" s="45" t="s">
        <v>654</v>
      </c>
      <c r="C25" s="25" t="s">
        <v>486</v>
      </c>
      <c r="E25" s="25" t="s">
        <v>84</v>
      </c>
      <c r="F25" s="25" t="s">
        <v>834</v>
      </c>
      <c r="G25" s="25" t="s">
        <v>650</v>
      </c>
      <c r="H25" s="85"/>
    </row>
    <row r="26" spans="2:8" x14ac:dyDescent="0.25">
      <c r="B26" s="45" t="s">
        <v>764</v>
      </c>
      <c r="C26" s="25" t="s">
        <v>765</v>
      </c>
      <c r="E26" s="25" t="s">
        <v>84</v>
      </c>
      <c r="F26" s="25" t="s">
        <v>45</v>
      </c>
      <c r="G26" s="25" t="s">
        <v>650</v>
      </c>
      <c r="H26" s="85"/>
    </row>
    <row r="27" spans="2:8" x14ac:dyDescent="0.25">
      <c r="B27" s="45" t="s">
        <v>766</v>
      </c>
      <c r="C27" s="25" t="s">
        <v>486</v>
      </c>
      <c r="E27" s="25" t="s">
        <v>81</v>
      </c>
      <c r="F27" s="25" t="s">
        <v>45</v>
      </c>
      <c r="G27" s="25" t="s">
        <v>767</v>
      </c>
      <c r="H27" s="85"/>
    </row>
    <row r="28" spans="2:8" x14ac:dyDescent="0.25">
      <c r="B28" s="45" t="s">
        <v>768</v>
      </c>
      <c r="C28" s="25" t="s">
        <v>769</v>
      </c>
      <c r="E28" s="25"/>
      <c r="F28" s="25" t="s">
        <v>45</v>
      </c>
      <c r="G28" s="25" t="s">
        <v>768</v>
      </c>
      <c r="H28" s="85"/>
    </row>
    <row r="29" spans="2:8" x14ac:dyDescent="0.25">
      <c r="B29" s="45" t="s">
        <v>770</v>
      </c>
      <c r="C29" s="25" t="s">
        <v>771</v>
      </c>
      <c r="E29" s="25"/>
      <c r="F29" s="25" t="s">
        <v>45</v>
      </c>
      <c r="G29" s="25" t="s">
        <v>772</v>
      </c>
      <c r="H29" s="85"/>
    </row>
    <row r="30" spans="2:8" x14ac:dyDescent="0.25">
      <c r="B30" s="45"/>
      <c r="C30" s="25"/>
      <c r="E30" s="25"/>
      <c r="F30" s="25" t="s">
        <v>174</v>
      </c>
      <c r="G30" s="25" t="s">
        <v>775</v>
      </c>
      <c r="H30" s="85"/>
    </row>
    <row r="31" spans="2:8" x14ac:dyDescent="0.25">
      <c r="B31" s="45" t="s">
        <v>773</v>
      </c>
      <c r="C31" s="25" t="s">
        <v>774</v>
      </c>
      <c r="E31" s="25"/>
      <c r="F31" s="25" t="s">
        <v>45</v>
      </c>
      <c r="G31" s="25"/>
      <c r="H31" s="85"/>
    </row>
    <row r="32" spans="2:8" x14ac:dyDescent="0.25">
      <c r="B32" s="45" t="s">
        <v>776</v>
      </c>
      <c r="C32" s="25" t="s">
        <v>777</v>
      </c>
      <c r="E32" s="25"/>
      <c r="F32" s="25" t="s">
        <v>174</v>
      </c>
      <c r="G32" s="25"/>
      <c r="H32" s="85"/>
    </row>
    <row r="33" spans="2:8" x14ac:dyDescent="0.25">
      <c r="B33" s="45" t="s">
        <v>778</v>
      </c>
      <c r="C33" s="25" t="s">
        <v>779</v>
      </c>
      <c r="E33" s="25"/>
      <c r="F33" s="25" t="s">
        <v>174</v>
      </c>
      <c r="G33" s="25"/>
      <c r="H33" s="85"/>
    </row>
    <row r="34" spans="2:8" x14ac:dyDescent="0.25">
      <c r="B34" s="45" t="s">
        <v>826</v>
      </c>
      <c r="C34" s="25" t="s">
        <v>779</v>
      </c>
      <c r="D34" s="22" t="s">
        <v>824</v>
      </c>
      <c r="E34" s="25" t="s">
        <v>81</v>
      </c>
      <c r="F34" s="25" t="s">
        <v>174</v>
      </c>
      <c r="G34" s="25" t="s">
        <v>780</v>
      </c>
      <c r="H34" s="96" t="s">
        <v>825</v>
      </c>
    </row>
    <row r="35" spans="2:8" x14ac:dyDescent="0.25">
      <c r="B35" s="45" t="s">
        <v>781</v>
      </c>
      <c r="C35" s="25" t="s">
        <v>779</v>
      </c>
      <c r="E35" s="25"/>
      <c r="F35" s="25" t="s">
        <v>174</v>
      </c>
      <c r="G35" s="25"/>
      <c r="H35" s="85"/>
    </row>
    <row r="36" spans="2:8" x14ac:dyDescent="0.25">
      <c r="B36" s="45" t="s">
        <v>782</v>
      </c>
      <c r="C36" s="25" t="s">
        <v>779</v>
      </c>
      <c r="E36" s="25"/>
      <c r="F36" s="25" t="s">
        <v>174</v>
      </c>
      <c r="G36" s="25"/>
      <c r="H36" s="85"/>
    </row>
    <row r="37" spans="2:8" x14ac:dyDescent="0.25">
      <c r="B37" s="45" t="s">
        <v>783</v>
      </c>
      <c r="C37" s="25" t="s">
        <v>779</v>
      </c>
      <c r="E37" s="25"/>
      <c r="F37" s="25" t="s">
        <v>174</v>
      </c>
      <c r="G37" s="25"/>
      <c r="H37" s="85"/>
    </row>
    <row r="38" spans="2:8" x14ac:dyDescent="0.25">
      <c r="B38" s="45" t="s">
        <v>785</v>
      </c>
      <c r="C38" s="25" t="s">
        <v>779</v>
      </c>
      <c r="E38" s="25"/>
      <c r="F38" s="25" t="s">
        <v>174</v>
      </c>
      <c r="G38" s="25"/>
      <c r="H38" s="85"/>
    </row>
    <row r="39" spans="2:8" x14ac:dyDescent="0.25">
      <c r="B39" s="45" t="s">
        <v>786</v>
      </c>
      <c r="C39" s="25" t="s">
        <v>779</v>
      </c>
      <c r="E39" s="25"/>
      <c r="F39" s="25" t="s">
        <v>174</v>
      </c>
      <c r="G39" s="25"/>
      <c r="H39" s="85"/>
    </row>
    <row r="40" spans="2:8" x14ac:dyDescent="0.25">
      <c r="B40" s="45" t="s">
        <v>787</v>
      </c>
      <c r="C40" s="25" t="s">
        <v>788</v>
      </c>
      <c r="E40" s="25"/>
      <c r="F40" s="25" t="s">
        <v>174</v>
      </c>
      <c r="G40" s="25"/>
      <c r="H40" s="85"/>
    </row>
    <row r="41" spans="2:8" x14ac:dyDescent="0.25">
      <c r="B41" s="45"/>
      <c r="C41" s="25" t="s">
        <v>779</v>
      </c>
      <c r="E41" s="25"/>
      <c r="F41" s="25" t="s">
        <v>174</v>
      </c>
      <c r="G41" s="25" t="s">
        <v>789</v>
      </c>
      <c r="H41" s="85"/>
    </row>
    <row r="42" spans="2:8" x14ac:dyDescent="0.25">
      <c r="B42" s="45" t="s">
        <v>784</v>
      </c>
      <c r="C42" s="25" t="s">
        <v>779</v>
      </c>
      <c r="E42" s="25"/>
      <c r="F42" s="25" t="s">
        <v>174</v>
      </c>
      <c r="G42" s="25"/>
      <c r="H42" s="85"/>
    </row>
    <row r="43" spans="2:8" x14ac:dyDescent="0.25">
      <c r="B43" s="45" t="s">
        <v>790</v>
      </c>
      <c r="C43" s="25" t="s">
        <v>425</v>
      </c>
      <c r="E43" s="25"/>
      <c r="F43" s="25" t="s">
        <v>45</v>
      </c>
      <c r="G43" s="25" t="s">
        <v>791</v>
      </c>
      <c r="H43" s="85"/>
    </row>
    <row r="44" spans="2:8" x14ac:dyDescent="0.25">
      <c r="B44" s="45" t="s">
        <v>792</v>
      </c>
      <c r="C44" s="25" t="s">
        <v>793</v>
      </c>
      <c r="E44" s="25"/>
      <c r="F44" s="25" t="s">
        <v>45</v>
      </c>
      <c r="G44" s="25"/>
      <c r="H44" s="85"/>
    </row>
    <row r="45" spans="2:8" x14ac:dyDescent="0.25">
      <c r="B45" s="45" t="s">
        <v>827</v>
      </c>
      <c r="C45" s="25" t="s">
        <v>363</v>
      </c>
      <c r="E45" s="25"/>
      <c r="F45" s="25"/>
      <c r="G45" s="25"/>
      <c r="H45" s="85"/>
    </row>
    <row r="46" spans="2:8" x14ac:dyDescent="0.25">
      <c r="B46" s="45" t="s">
        <v>828</v>
      </c>
      <c r="C46" s="25" t="s">
        <v>363</v>
      </c>
      <c r="E46" s="25"/>
      <c r="F46" s="25"/>
      <c r="G46" s="25"/>
      <c r="H46" s="85"/>
    </row>
    <row r="47" spans="2:8" x14ac:dyDescent="0.25">
      <c r="B47" s="45" t="s">
        <v>794</v>
      </c>
      <c r="C47" s="25" t="s">
        <v>795</v>
      </c>
      <c r="E47" s="25"/>
      <c r="F47" s="25" t="s">
        <v>159</v>
      </c>
      <c r="G47" s="25"/>
      <c r="H47" s="85"/>
    </row>
    <row r="48" spans="2:8" x14ac:dyDescent="0.25">
      <c r="B48" s="45" t="s">
        <v>796</v>
      </c>
      <c r="C48" s="25" t="s">
        <v>797</v>
      </c>
      <c r="E48" s="25"/>
      <c r="F48" s="25" t="s">
        <v>174</v>
      </c>
      <c r="G48" s="25"/>
      <c r="H48" s="85"/>
    </row>
    <row r="49" spans="2:12" x14ac:dyDescent="0.25">
      <c r="B49" s="45" t="s">
        <v>799</v>
      </c>
      <c r="C49" s="25" t="s">
        <v>797</v>
      </c>
      <c r="E49" s="25"/>
      <c r="F49" s="25" t="s">
        <v>174</v>
      </c>
      <c r="G49" s="25" t="s">
        <v>798</v>
      </c>
      <c r="H49" s="85"/>
    </row>
    <row r="50" spans="2:12" x14ac:dyDescent="0.25">
      <c r="B50" s="45" t="s">
        <v>800</v>
      </c>
      <c r="C50" s="25" t="s">
        <v>797</v>
      </c>
      <c r="E50" s="22"/>
      <c r="F50" s="25" t="s">
        <v>174</v>
      </c>
      <c r="G50" s="25"/>
      <c r="H50" s="85"/>
    </row>
    <row r="51" spans="2:12" x14ac:dyDescent="0.25">
      <c r="B51" s="45" t="s">
        <v>801</v>
      </c>
      <c r="C51" s="25" t="s">
        <v>808</v>
      </c>
      <c r="E51" s="22"/>
      <c r="F51" s="25" t="s">
        <v>174</v>
      </c>
      <c r="G51" s="25" t="s">
        <v>802</v>
      </c>
      <c r="H51" s="85"/>
    </row>
    <row r="52" spans="2:12" x14ac:dyDescent="0.25">
      <c r="B52" s="45" t="s">
        <v>669</v>
      </c>
      <c r="C52" s="25" t="s">
        <v>671</v>
      </c>
      <c r="E52" s="22"/>
      <c r="F52" s="25" t="s">
        <v>45</v>
      </c>
      <c r="G52" s="25" t="s">
        <v>670</v>
      </c>
      <c r="H52" s="85"/>
    </row>
    <row r="53" spans="2:12" customFormat="1" x14ac:dyDescent="0.25">
      <c r="B53" s="45" t="s">
        <v>665</v>
      </c>
      <c r="C53" s="25" t="s">
        <v>171</v>
      </c>
      <c r="D53" s="1"/>
      <c r="E53" s="1"/>
      <c r="F53" s="25" t="s">
        <v>45</v>
      </c>
      <c r="G53" s="25" t="s">
        <v>666</v>
      </c>
      <c r="H53" s="31"/>
      <c r="I53" s="31"/>
      <c r="J53" s="61"/>
      <c r="K53" s="31"/>
      <c r="L53" s="31"/>
    </row>
    <row r="54" spans="2:12" customFormat="1" x14ac:dyDescent="0.25">
      <c r="B54" s="45" t="s">
        <v>804</v>
      </c>
      <c r="C54" s="25" t="s">
        <v>805</v>
      </c>
      <c r="D54" s="1"/>
      <c r="E54" s="1"/>
      <c r="F54" s="25" t="s">
        <v>159</v>
      </c>
      <c r="G54" s="25"/>
      <c r="H54" s="31"/>
      <c r="I54" s="31"/>
      <c r="J54" s="61"/>
      <c r="K54" s="31"/>
      <c r="L54" s="31"/>
    </row>
    <row r="55" spans="2:12" customFormat="1" x14ac:dyDescent="0.25">
      <c r="B55" s="45" t="s">
        <v>806</v>
      </c>
      <c r="C55" s="25" t="s">
        <v>807</v>
      </c>
      <c r="D55" s="1"/>
      <c r="E55" s="1"/>
      <c r="F55" s="25"/>
      <c r="G55" s="25"/>
      <c r="H55" s="31"/>
      <c r="I55" s="31"/>
      <c r="J55" s="61"/>
      <c r="K55" s="31"/>
      <c r="L55" s="31"/>
    </row>
    <row r="56" spans="2:12" x14ac:dyDescent="0.25">
      <c r="B56" s="45" t="s">
        <v>803</v>
      </c>
      <c r="C56" s="25" t="s">
        <v>655</v>
      </c>
      <c r="E56" s="22"/>
      <c r="F56" s="25" t="s">
        <v>159</v>
      </c>
      <c r="G56" s="25" t="s">
        <v>668</v>
      </c>
      <c r="H56" s="85"/>
    </row>
    <row r="57" spans="2:12" x14ac:dyDescent="0.25">
      <c r="B57" s="45" t="s">
        <v>809</v>
      </c>
      <c r="C57" s="25" t="s">
        <v>363</v>
      </c>
      <c r="E57" s="22"/>
      <c r="F57" s="25" t="s">
        <v>174</v>
      </c>
      <c r="G57" s="25" t="s">
        <v>810</v>
      </c>
      <c r="H57" s="85"/>
    </row>
    <row r="58" spans="2:12" x14ac:dyDescent="0.25">
      <c r="B58" s="45" t="s">
        <v>811</v>
      </c>
      <c r="C58" s="25" t="s">
        <v>812</v>
      </c>
      <c r="E58" s="22"/>
      <c r="F58" s="25" t="s">
        <v>174</v>
      </c>
      <c r="G58" s="25" t="s">
        <v>813</v>
      </c>
      <c r="H58" s="85"/>
    </row>
    <row r="59" spans="2:12" x14ac:dyDescent="0.25">
      <c r="B59" s="45" t="s">
        <v>814</v>
      </c>
      <c r="C59" s="25" t="s">
        <v>815</v>
      </c>
      <c r="E59" s="22"/>
      <c r="F59" s="25" t="s">
        <v>174</v>
      </c>
      <c r="G59" s="25" t="s">
        <v>816</v>
      </c>
      <c r="H59" s="85"/>
    </row>
    <row r="60" spans="2:12" x14ac:dyDescent="0.25">
      <c r="B60" s="45"/>
      <c r="C60" s="25" t="s">
        <v>363</v>
      </c>
      <c r="E60" s="22"/>
      <c r="F60" s="25" t="s">
        <v>159</v>
      </c>
      <c r="G60" s="25" t="s">
        <v>817</v>
      </c>
      <c r="H60" s="85"/>
    </row>
    <row r="61" spans="2:12" x14ac:dyDescent="0.25">
      <c r="B61" s="5" t="s">
        <v>179</v>
      </c>
      <c r="C61" s="7" t="s">
        <v>181</v>
      </c>
      <c r="D61" s="6">
        <v>1</v>
      </c>
      <c r="E61" s="7" t="s">
        <v>180</v>
      </c>
      <c r="F61" s="7" t="s">
        <v>182</v>
      </c>
      <c r="G61" s="7"/>
      <c r="H61" s="8"/>
    </row>
    <row r="62" spans="2:12" x14ac:dyDescent="0.25">
      <c r="B62" s="45" t="s">
        <v>426</v>
      </c>
      <c r="C62" s="25" t="s">
        <v>425</v>
      </c>
      <c r="D62" s="6">
        <v>1</v>
      </c>
      <c r="E62" s="7"/>
      <c r="F62" s="7"/>
      <c r="G62" s="7"/>
      <c r="H62" s="8"/>
    </row>
    <row r="63" spans="2:12" x14ac:dyDescent="0.25">
      <c r="B63" s="45" t="s">
        <v>428</v>
      </c>
      <c r="C63" s="25" t="s">
        <v>173</v>
      </c>
      <c r="D63" s="26" t="s">
        <v>430</v>
      </c>
      <c r="E63" s="25" t="s">
        <v>84</v>
      </c>
      <c r="F63" s="25" t="s">
        <v>159</v>
      </c>
      <c r="G63" s="25" t="s">
        <v>429</v>
      </c>
      <c r="H63" s="8"/>
    </row>
    <row r="64" spans="2:12" x14ac:dyDescent="0.25">
      <c r="B64" s="5" t="s">
        <v>362</v>
      </c>
      <c r="C64" s="7" t="s">
        <v>363</v>
      </c>
      <c r="D64" s="6">
        <v>1</v>
      </c>
      <c r="E64" s="7" t="s">
        <v>84</v>
      </c>
      <c r="F64" s="25" t="s">
        <v>159</v>
      </c>
      <c r="G64" s="7" t="s">
        <v>364</v>
      </c>
      <c r="H64" s="8"/>
    </row>
    <row r="65" spans="2:8" x14ac:dyDescent="0.25">
      <c r="B65" s="45" t="s">
        <v>431</v>
      </c>
      <c r="C65" s="25" t="s">
        <v>432</v>
      </c>
      <c r="D65" s="26" t="s">
        <v>433</v>
      </c>
      <c r="E65" s="25" t="s">
        <v>84</v>
      </c>
      <c r="F65" s="25" t="s">
        <v>159</v>
      </c>
      <c r="G65" s="25" t="s">
        <v>434</v>
      </c>
      <c r="H65" s="8"/>
    </row>
    <row r="66" spans="2:8" x14ac:dyDescent="0.25">
      <c r="B66" s="5" t="s">
        <v>246</v>
      </c>
      <c r="C66" s="7" t="s">
        <v>247</v>
      </c>
      <c r="D66" s="6">
        <v>1</v>
      </c>
      <c r="E66" s="7" t="s">
        <v>84</v>
      </c>
      <c r="F66" s="7" t="s">
        <v>159</v>
      </c>
      <c r="G66" s="7" t="s">
        <v>248</v>
      </c>
      <c r="H66" s="8"/>
    </row>
    <row r="67" spans="2:8" x14ac:dyDescent="0.25">
      <c r="B67" s="9" t="s">
        <v>208</v>
      </c>
      <c r="C67" s="10" t="s">
        <v>209</v>
      </c>
      <c r="D67" s="11">
        <v>1</v>
      </c>
      <c r="E67" s="10" t="s">
        <v>84</v>
      </c>
      <c r="F67" s="10" t="s">
        <v>174</v>
      </c>
      <c r="G67" s="10" t="s">
        <v>211</v>
      </c>
      <c r="H67" s="12"/>
    </row>
    <row r="69" spans="2:8" x14ac:dyDescent="0.25">
      <c r="G69" s="1" t="s">
        <v>628</v>
      </c>
    </row>
    <row r="72" spans="2:8" ht="13" x14ac:dyDescent="0.3">
      <c r="G72" s="19" t="s">
        <v>161</v>
      </c>
    </row>
    <row r="73" spans="2:8" ht="13" x14ac:dyDescent="0.3">
      <c r="G73" s="19" t="s">
        <v>214</v>
      </c>
    </row>
    <row r="74" spans="2:8" ht="13" x14ac:dyDescent="0.3">
      <c r="G74" s="19" t="s">
        <v>223</v>
      </c>
    </row>
    <row r="75" spans="2:8" x14ac:dyDescent="0.25">
      <c r="G75" s="1" t="s">
        <v>250</v>
      </c>
    </row>
    <row r="76" spans="2:8" ht="13" x14ac:dyDescent="0.3">
      <c r="G76" s="33" t="s">
        <v>353</v>
      </c>
    </row>
    <row r="77" spans="2:8" ht="13" x14ac:dyDescent="0.3">
      <c r="G77" s="19" t="s">
        <v>358</v>
      </c>
    </row>
    <row r="78" spans="2:8" ht="13" x14ac:dyDescent="0.3">
      <c r="G78" s="19" t="s">
        <v>379</v>
      </c>
    </row>
    <row r="79" spans="2:8" x14ac:dyDescent="0.25">
      <c r="G79" s="22" t="s">
        <v>424</v>
      </c>
    </row>
    <row r="80" spans="2:8" x14ac:dyDescent="0.25">
      <c r="G80" s="22" t="s">
        <v>399</v>
      </c>
    </row>
    <row r="81" spans="7:7" x14ac:dyDescent="0.25">
      <c r="G81" s="22" t="s">
        <v>466</v>
      </c>
    </row>
    <row r="82" spans="7:7" x14ac:dyDescent="0.25">
      <c r="G82" s="1" t="s">
        <v>496</v>
      </c>
    </row>
    <row r="83" spans="7:7" x14ac:dyDescent="0.25">
      <c r="G83" s="1" t="s">
        <v>497</v>
      </c>
    </row>
    <row r="84" spans="7:7" x14ac:dyDescent="0.25">
      <c r="G84" s="22" t="s">
        <v>706</v>
      </c>
    </row>
    <row r="85" spans="7:7" x14ac:dyDescent="0.25">
      <c r="G85" s="22" t="s">
        <v>688</v>
      </c>
    </row>
    <row r="86" spans="7:7" x14ac:dyDescent="0.25">
      <c r="G86" s="22" t="s">
        <v>718</v>
      </c>
    </row>
    <row r="87" spans="7:7" x14ac:dyDescent="0.25">
      <c r="G87" s="22" t="s">
        <v>694</v>
      </c>
    </row>
    <row r="88" spans="7:7" x14ac:dyDescent="0.25">
      <c r="G88" s="22" t="s">
        <v>693</v>
      </c>
    </row>
    <row r="89" spans="7:7" x14ac:dyDescent="0.25">
      <c r="G89" s="22" t="s">
        <v>691</v>
      </c>
    </row>
  </sheetData>
  <phoneticPr fontId="2" type="noConversion"/>
  <hyperlinks>
    <hyperlink ref="B13" location="Sprycel!A1" display="Sprycel (dasatinib)" xr:uid="{00000000-0004-0000-0100-000000000000}"/>
    <hyperlink ref="B3" location="Orencia!A1" display="Orencia (abatacept)" xr:uid="{00000000-0004-0000-0100-000002000000}"/>
    <hyperlink ref="B17" location="Eliquis!A1" display="Eliquis (apixaban)" xr:uid="{00000000-0004-0000-0100-000004000000}"/>
    <hyperlink ref="B15" location="Erbitux!A1" display="Erbitux" xr:uid="{00000000-0004-0000-0100-000005000000}"/>
    <hyperlink ref="B22" location="ipilimumab!A1" display="Ipilimumab (MDX-010)" xr:uid="{00000000-0004-0000-0100-00000D000000}"/>
    <hyperlink ref="B5" location="Opdivo!A1" display="BMS-936558 (nivolumab)" xr:uid="{00000000-0004-0000-0100-00000E000000}"/>
    <hyperlink ref="B6" location="Empliciti!A1" display="Empliciti (elotuzumab)" xr:uid="{00000000-0004-0000-0100-000010000000}"/>
    <hyperlink ref="B20" location="KarXT!A1" display="KarXT" xr:uid="{3C50964C-5D2C-4D4F-98DA-A004DC33CD79}"/>
  </hyperlinks>
  <pageMargins left="0.75" right="0.75" top="1" bottom="1" header="0.5" footer="0.5"/>
  <pageSetup scale="6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C159"/>
  <sheetViews>
    <sheetView tabSelected="1" zoomScale="160" zoomScaleNormal="160" workbookViewId="0">
      <pane xSplit="2" ySplit="2" topLeftCell="CF3" activePane="bottomRight" state="frozen"/>
      <selection pane="topRight" activeCell="C1" sqref="C1"/>
      <selection pane="bottomLeft" activeCell="A3" sqref="A3"/>
      <selection pane="bottomRight" activeCell="CI16" sqref="CI16"/>
    </sheetView>
  </sheetViews>
  <sheetFormatPr defaultColWidth="9.1796875" defaultRowHeight="12.5" x14ac:dyDescent="0.25"/>
  <cols>
    <col min="1" max="1" width="5" style="1" bestFit="1" customWidth="1"/>
    <col min="2" max="2" width="25.26953125" style="1" bestFit="1" customWidth="1"/>
    <col min="3" max="21" width="6.453125" style="27" customWidth="1"/>
    <col min="22" max="22" width="6.7265625" style="27" customWidth="1"/>
    <col min="23" max="24" width="7.26953125" style="27" customWidth="1"/>
    <col min="25" max="30" width="7.26953125" style="47" customWidth="1"/>
    <col min="31" max="82" width="7.26953125" style="27" customWidth="1"/>
    <col min="83" max="90" width="7.453125" style="27" customWidth="1"/>
    <col min="91" max="93" width="5.453125" style="27" customWidth="1"/>
    <col min="94" max="105" width="6.453125" style="27" customWidth="1"/>
    <col min="106" max="106" width="7" style="27" bestFit="1" customWidth="1"/>
    <col min="107" max="108" width="6.453125" style="27" bestFit="1" customWidth="1"/>
    <col min="109" max="113" width="7" style="27" customWidth="1"/>
    <col min="114" max="116" width="7" style="47" customWidth="1"/>
    <col min="117" max="122" width="7.1796875" style="27" customWidth="1"/>
    <col min="123" max="130" width="7.1796875" style="1" customWidth="1"/>
    <col min="131" max="133" width="7.453125" style="1" customWidth="1"/>
    <col min="134" max="140" width="7.81640625" style="1" customWidth="1"/>
    <col min="141" max="142" width="9.1796875" style="1"/>
    <col min="143" max="143" width="8.453125" style="1" customWidth="1"/>
    <col min="144" max="16384" width="9.1796875" style="1"/>
  </cols>
  <sheetData>
    <row r="1" spans="1:141" x14ac:dyDescent="0.25">
      <c r="A1" s="14" t="s">
        <v>63</v>
      </c>
      <c r="EA1" s="90"/>
    </row>
    <row r="2" spans="1:141" x14ac:dyDescent="0.25">
      <c r="C2" s="27" t="s">
        <v>241</v>
      </c>
      <c r="D2" s="27" t="s">
        <v>240</v>
      </c>
      <c r="E2" s="27" t="s">
        <v>239</v>
      </c>
      <c r="F2" s="27" t="s">
        <v>167</v>
      </c>
      <c r="G2" s="27" t="s">
        <v>166</v>
      </c>
      <c r="H2" s="27" t="s">
        <v>137</v>
      </c>
      <c r="I2" s="27" t="s">
        <v>136</v>
      </c>
      <c r="J2" s="27" t="s">
        <v>135</v>
      </c>
      <c r="K2" s="27" t="s">
        <v>162</v>
      </c>
      <c r="L2" s="27" t="s">
        <v>163</v>
      </c>
      <c r="M2" s="27" t="s">
        <v>204</v>
      </c>
      <c r="N2" s="27" t="s">
        <v>205</v>
      </c>
      <c r="O2" s="27" t="s">
        <v>213</v>
      </c>
      <c r="P2" s="27" t="s">
        <v>226</v>
      </c>
      <c r="Q2" s="27" t="s">
        <v>227</v>
      </c>
      <c r="R2" s="27" t="s">
        <v>228</v>
      </c>
      <c r="S2" s="32" t="s">
        <v>343</v>
      </c>
      <c r="T2" s="32" t="s">
        <v>354</v>
      </c>
      <c r="U2" s="32" t="s">
        <v>355</v>
      </c>
      <c r="V2" s="32" t="s">
        <v>356</v>
      </c>
      <c r="W2" s="32" t="s">
        <v>365</v>
      </c>
      <c r="X2" s="32" t="s">
        <v>366</v>
      </c>
      <c r="Y2" s="48" t="s">
        <v>367</v>
      </c>
      <c r="Z2" s="48" t="s">
        <v>368</v>
      </c>
      <c r="AA2" s="48" t="s">
        <v>394</v>
      </c>
      <c r="AB2" s="48" t="s">
        <v>395</v>
      </c>
      <c r="AC2" s="48" t="s">
        <v>396</v>
      </c>
      <c r="AD2" s="48" t="s">
        <v>397</v>
      </c>
      <c r="AE2" s="32" t="s">
        <v>398</v>
      </c>
      <c r="AF2" s="32" t="s">
        <v>414</v>
      </c>
      <c r="AG2" s="32" t="s">
        <v>415</v>
      </c>
      <c r="AH2" s="32" t="s">
        <v>416</v>
      </c>
      <c r="AI2" s="32" t="s">
        <v>565</v>
      </c>
      <c r="AJ2" s="32" t="s">
        <v>566</v>
      </c>
      <c r="AK2" s="32" t="s">
        <v>567</v>
      </c>
      <c r="AL2" s="32" t="s">
        <v>568</v>
      </c>
      <c r="AM2" s="32" t="s">
        <v>564</v>
      </c>
      <c r="AN2" s="32" t="s">
        <v>569</v>
      </c>
      <c r="AO2" s="32" t="s">
        <v>572</v>
      </c>
      <c r="AP2" s="32" t="s">
        <v>573</v>
      </c>
      <c r="AQ2" s="32" t="s">
        <v>574</v>
      </c>
      <c r="AR2" s="32" t="s">
        <v>575</v>
      </c>
      <c r="AS2" s="32" t="s">
        <v>576</v>
      </c>
      <c r="AT2" s="27" t="s">
        <v>577</v>
      </c>
      <c r="AU2" s="32" t="s">
        <v>580</v>
      </c>
      <c r="AV2" s="32" t="s">
        <v>581</v>
      </c>
      <c r="AW2" s="32" t="s">
        <v>582</v>
      </c>
      <c r="AX2" s="32" t="s">
        <v>583</v>
      </c>
      <c r="AY2" s="32" t="s">
        <v>584</v>
      </c>
      <c r="AZ2" s="32" t="s">
        <v>585</v>
      </c>
      <c r="BA2" s="32" t="s">
        <v>586</v>
      </c>
      <c r="BB2" s="32" t="s">
        <v>587</v>
      </c>
      <c r="BC2" s="32" t="s">
        <v>588</v>
      </c>
      <c r="BD2" s="32" t="s">
        <v>589</v>
      </c>
      <c r="BE2" s="32" t="s">
        <v>590</v>
      </c>
      <c r="BF2" s="32" t="s">
        <v>591</v>
      </c>
      <c r="BG2" s="32" t="s">
        <v>592</v>
      </c>
      <c r="BH2" s="32" t="s">
        <v>593</v>
      </c>
      <c r="BI2" s="32" t="s">
        <v>594</v>
      </c>
      <c r="BJ2" s="32" t="s">
        <v>595</v>
      </c>
      <c r="BK2" s="32" t="s">
        <v>596</v>
      </c>
      <c r="BL2" s="32" t="s">
        <v>597</v>
      </c>
      <c r="BM2" s="32" t="s">
        <v>598</v>
      </c>
      <c r="BN2" s="32" t="s">
        <v>599</v>
      </c>
      <c r="BO2" s="32" t="s">
        <v>600</v>
      </c>
      <c r="BP2" s="32" t="s">
        <v>601</v>
      </c>
      <c r="BQ2" s="32" t="s">
        <v>602</v>
      </c>
      <c r="BR2" s="32" t="s">
        <v>603</v>
      </c>
      <c r="BS2" s="32" t="s">
        <v>579</v>
      </c>
      <c r="BT2" s="32" t="s">
        <v>604</v>
      </c>
      <c r="BU2" s="32" t="s">
        <v>605</v>
      </c>
      <c r="BV2" s="32" t="s">
        <v>606</v>
      </c>
      <c r="BW2" s="32" t="s">
        <v>608</v>
      </c>
      <c r="BX2" s="32" t="s">
        <v>609</v>
      </c>
      <c r="BY2" s="32" t="s">
        <v>610</v>
      </c>
      <c r="BZ2" s="32" t="s">
        <v>611</v>
      </c>
      <c r="CA2" s="32" t="s">
        <v>676</v>
      </c>
      <c r="CB2" s="32" t="s">
        <v>677</v>
      </c>
      <c r="CC2" s="32" t="s">
        <v>678</v>
      </c>
      <c r="CD2" s="32" t="s">
        <v>679</v>
      </c>
      <c r="CE2" s="32" t="s">
        <v>680</v>
      </c>
      <c r="CF2" s="32" t="s">
        <v>681</v>
      </c>
      <c r="CG2" s="32" t="s">
        <v>682</v>
      </c>
      <c r="CH2" s="32" t="s">
        <v>683</v>
      </c>
      <c r="CI2" s="32" t="s">
        <v>759</v>
      </c>
      <c r="CJ2" s="32" t="s">
        <v>831</v>
      </c>
      <c r="CK2" s="32" t="s">
        <v>832</v>
      </c>
      <c r="CL2" s="32" t="s">
        <v>833</v>
      </c>
      <c r="CP2" s="27">
        <v>1989</v>
      </c>
      <c r="CQ2" s="27">
        <v>1990</v>
      </c>
      <c r="CR2" s="27">
        <v>1991</v>
      </c>
      <c r="CS2" s="27">
        <v>1992</v>
      </c>
      <c r="CT2" s="27">
        <v>1993</v>
      </c>
      <c r="CU2" s="27">
        <v>1994</v>
      </c>
      <c r="CV2" s="27">
        <v>1995</v>
      </c>
      <c r="CW2" s="27">
        <v>1996</v>
      </c>
      <c r="CX2" s="27">
        <v>1997</v>
      </c>
      <c r="CY2" s="27">
        <v>1998</v>
      </c>
      <c r="CZ2" s="27">
        <v>1999</v>
      </c>
      <c r="DA2" s="27">
        <v>2000</v>
      </c>
      <c r="DB2" s="27">
        <v>2001</v>
      </c>
      <c r="DC2" s="27">
        <v>2002</v>
      </c>
      <c r="DD2" s="27">
        <v>2003</v>
      </c>
      <c r="DE2" s="27">
        <v>2004</v>
      </c>
      <c r="DF2" s="27">
        <v>2005</v>
      </c>
      <c r="DG2" s="27">
        <v>2006</v>
      </c>
      <c r="DH2" s="27">
        <v>2007</v>
      </c>
      <c r="DI2" s="27">
        <v>2008</v>
      </c>
      <c r="DJ2" s="47">
        <v>2009</v>
      </c>
      <c r="DK2" s="47">
        <v>2010</v>
      </c>
      <c r="DL2" s="47">
        <v>2011</v>
      </c>
      <c r="DM2" s="27">
        <v>2012</v>
      </c>
      <c r="DN2" s="68">
        <v>2013</v>
      </c>
      <c r="DO2" s="68">
        <v>2014</v>
      </c>
      <c r="DP2" s="27">
        <f t="shared" ref="DP2:DU2" si="0">DO2+1</f>
        <v>2015</v>
      </c>
      <c r="DQ2" s="27">
        <f t="shared" si="0"/>
        <v>2016</v>
      </c>
      <c r="DR2" s="27">
        <f t="shared" si="0"/>
        <v>2017</v>
      </c>
      <c r="DS2" s="27">
        <f t="shared" si="0"/>
        <v>2018</v>
      </c>
      <c r="DT2" s="27">
        <f t="shared" si="0"/>
        <v>2019</v>
      </c>
      <c r="DU2" s="27">
        <f t="shared" si="0"/>
        <v>2020</v>
      </c>
      <c r="DV2" s="27">
        <f>DU2+1</f>
        <v>2021</v>
      </c>
      <c r="DW2" s="27">
        <f>DV2+1</f>
        <v>2022</v>
      </c>
      <c r="DX2" s="27">
        <f>DW2+1</f>
        <v>2023</v>
      </c>
      <c r="DY2" s="27">
        <f>DX2+1</f>
        <v>2024</v>
      </c>
      <c r="DZ2" s="27">
        <f>DY2+1</f>
        <v>2025</v>
      </c>
      <c r="EA2" s="27">
        <f t="shared" ref="EA2:EJ2" si="1">DZ2+1</f>
        <v>2026</v>
      </c>
      <c r="EB2" s="27">
        <f t="shared" si="1"/>
        <v>2027</v>
      </c>
      <c r="EC2" s="27">
        <f t="shared" si="1"/>
        <v>2028</v>
      </c>
      <c r="ED2" s="27">
        <f t="shared" si="1"/>
        <v>2029</v>
      </c>
      <c r="EE2" s="27">
        <f t="shared" si="1"/>
        <v>2030</v>
      </c>
      <c r="EF2" s="27">
        <f t="shared" si="1"/>
        <v>2031</v>
      </c>
      <c r="EG2" s="27">
        <f t="shared" si="1"/>
        <v>2032</v>
      </c>
      <c r="EH2" s="27">
        <f t="shared" si="1"/>
        <v>2033</v>
      </c>
      <c r="EI2" s="27">
        <f t="shared" si="1"/>
        <v>2034</v>
      </c>
      <c r="EJ2" s="27">
        <f t="shared" si="1"/>
        <v>2035</v>
      </c>
    </row>
    <row r="3" spans="1:141" s="43" customFormat="1" x14ac:dyDescent="0.25">
      <c r="B3" s="43" t="s">
        <v>439</v>
      </c>
      <c r="C3" s="34"/>
      <c r="D3" s="34"/>
      <c r="E3" s="34"/>
      <c r="F3" s="34"/>
      <c r="G3" s="34">
        <v>5</v>
      </c>
      <c r="H3" s="34">
        <v>18</v>
      </c>
      <c r="I3" s="34">
        <v>34</v>
      </c>
      <c r="J3" s="34">
        <v>32</v>
      </c>
      <c r="K3" s="34">
        <v>41</v>
      </c>
      <c r="L3" s="34">
        <v>55</v>
      </c>
      <c r="M3" s="34">
        <v>60</v>
      </c>
      <c r="N3" s="34">
        <v>75</v>
      </c>
      <c r="O3" s="34">
        <v>87</v>
      </c>
      <c r="P3" s="34">
        <v>106</v>
      </c>
      <c r="Q3" s="34">
        <v>119</v>
      </c>
      <c r="R3" s="34">
        <v>129</v>
      </c>
      <c r="S3" s="34">
        <v>124</v>
      </c>
      <c r="T3" s="34">
        <v>148</v>
      </c>
      <c r="U3" s="34">
        <v>162</v>
      </c>
      <c r="V3" s="29">
        <v>168</v>
      </c>
      <c r="W3" s="34">
        <v>169</v>
      </c>
      <c r="X3" s="34">
        <v>178</v>
      </c>
      <c r="Y3" s="53">
        <v>184</v>
      </c>
      <c r="Z3" s="53">
        <v>202</v>
      </c>
      <c r="AA3" s="53">
        <v>199</v>
      </c>
      <c r="AB3" s="53">
        <v>228</v>
      </c>
      <c r="AC3" s="53">
        <v>233</v>
      </c>
      <c r="AD3" s="53">
        <v>257</v>
      </c>
      <c r="AE3" s="34">
        <v>254</v>
      </c>
      <c r="AF3" s="34">
        <v>290</v>
      </c>
      <c r="AG3" s="53">
        <v>307</v>
      </c>
      <c r="AH3" s="53">
        <f>1176-AG3-AF3-AE3</f>
        <v>325</v>
      </c>
      <c r="AI3" s="34">
        <v>320</v>
      </c>
      <c r="AJ3" s="34">
        <v>352</v>
      </c>
      <c r="AK3" s="34">
        <v>375</v>
      </c>
      <c r="AL3" s="34">
        <v>397</v>
      </c>
      <c r="AM3" s="34">
        <v>363</v>
      </c>
      <c r="AN3" s="34">
        <v>402</v>
      </c>
      <c r="AO3" s="34">
        <v>444</v>
      </c>
      <c r="AP3" s="34">
        <v>443</v>
      </c>
      <c r="AQ3" s="34">
        <v>400</v>
      </c>
      <c r="AR3" s="34">
        <v>461</v>
      </c>
      <c r="AS3" s="34">
        <v>484</v>
      </c>
      <c r="AT3" s="34">
        <v>540</v>
      </c>
      <c r="AU3" s="34">
        <v>475</v>
      </c>
      <c r="AV3" s="34">
        <v>593</v>
      </c>
      <c r="AW3" s="34">
        <v>572</v>
      </c>
      <c r="AX3" s="34">
        <v>625</v>
      </c>
      <c r="AY3" s="34">
        <v>535</v>
      </c>
      <c r="AZ3" s="34">
        <v>650</v>
      </c>
      <c r="BA3" s="34">
        <v>632</v>
      </c>
      <c r="BB3" s="34">
        <v>662</v>
      </c>
      <c r="BC3" s="34">
        <v>593</v>
      </c>
      <c r="BD3" s="34">
        <v>711</v>
      </c>
      <c r="BE3" s="34">
        <v>675</v>
      </c>
      <c r="BF3" s="34">
        <v>731</v>
      </c>
      <c r="BG3" s="34">
        <v>640</v>
      </c>
      <c r="BH3" s="34">
        <v>778</v>
      </c>
      <c r="BI3" s="34">
        <v>767</v>
      </c>
      <c r="BJ3" s="34">
        <v>792</v>
      </c>
      <c r="BK3" s="34">
        <v>714</v>
      </c>
      <c r="BL3" s="34">
        <v>750</v>
      </c>
      <c r="BM3" s="34">
        <v>826</v>
      </c>
      <c r="BN3" s="34">
        <v>867</v>
      </c>
      <c r="BO3" s="34">
        <v>758</v>
      </c>
      <c r="BP3" s="34">
        <v>814</v>
      </c>
      <c r="BQ3" s="34">
        <v>870</v>
      </c>
      <c r="BR3" s="34">
        <v>864</v>
      </c>
      <c r="BS3" s="34">
        <v>792</v>
      </c>
      <c r="BT3" s="34">
        <v>876</v>
      </c>
      <c r="BU3" s="29">
        <v>883</v>
      </c>
      <c r="BV3" s="29">
        <v>913</v>
      </c>
      <c r="BW3" s="29">
        <v>764</v>
      </c>
      <c r="BX3" s="29">
        <v>927</v>
      </c>
      <c r="BY3" s="29">
        <v>925</v>
      </c>
      <c r="BZ3" s="29">
        <v>985</v>
      </c>
      <c r="CA3" s="29">
        <v>798</v>
      </c>
      <c r="CB3" s="29">
        <v>948</v>
      </c>
      <c r="CC3" s="29">
        <v>936</v>
      </c>
      <c r="CD3" s="29">
        <v>1000</v>
      </c>
      <c r="CE3" s="29">
        <v>770</v>
      </c>
      <c r="CF3" s="29">
        <v>963</v>
      </c>
      <c r="CG3" s="29">
        <v>964</v>
      </c>
      <c r="CH3" s="29">
        <v>1009</v>
      </c>
      <c r="CI3" s="29">
        <v>818</v>
      </c>
      <c r="CJ3" s="29">
        <v>818</v>
      </c>
      <c r="CK3" s="29">
        <v>818</v>
      </c>
      <c r="CL3" s="29">
        <v>818</v>
      </c>
      <c r="CM3" s="34"/>
      <c r="CN3" s="34"/>
      <c r="CO3" s="34"/>
      <c r="CP3" s="34"/>
      <c r="CQ3" s="34"/>
      <c r="CR3" s="34"/>
      <c r="CS3" s="34"/>
      <c r="CT3" s="34"/>
      <c r="CU3" s="34"/>
      <c r="CV3" s="34"/>
      <c r="CW3" s="34"/>
      <c r="CX3" s="34"/>
      <c r="CY3" s="34"/>
      <c r="CZ3" s="34"/>
      <c r="DA3" s="34"/>
      <c r="DB3" s="34"/>
      <c r="DC3" s="34"/>
      <c r="DD3" s="34"/>
      <c r="DE3" s="34"/>
      <c r="DF3" s="34"/>
      <c r="DG3" s="34">
        <f t="shared" ref="DG3:DG10" si="2">SUM(G3:J3)</f>
        <v>89</v>
      </c>
      <c r="DH3" s="34">
        <f t="shared" ref="DH3:DH10" si="3">SUM(K3:N3)</f>
        <v>231</v>
      </c>
      <c r="DI3" s="34">
        <f t="shared" ref="DI3:DI10" si="4">SUM(O3:R3)</f>
        <v>441</v>
      </c>
      <c r="DJ3" s="49">
        <f t="shared" ref="DJ3:DJ10" si="5">SUM(S3:V3)</f>
        <v>602</v>
      </c>
      <c r="DK3" s="49">
        <f t="shared" ref="DK3:DK10" si="6">SUM(W3:Z3)</f>
        <v>733</v>
      </c>
      <c r="DL3" s="49">
        <f t="shared" ref="DL3:DL10" si="7">SUM(AA3:AD3)</f>
        <v>917</v>
      </c>
      <c r="DM3" s="29">
        <f t="shared" ref="DM3:DM10" si="8">SUM(AE3:AH3)</f>
        <v>1176</v>
      </c>
      <c r="DN3" s="88">
        <v>1444</v>
      </c>
      <c r="DO3" s="88">
        <v>1652</v>
      </c>
      <c r="DP3" s="88">
        <v>1885</v>
      </c>
      <c r="DQ3" s="88">
        <v>2265</v>
      </c>
      <c r="DR3" s="88">
        <v>2479</v>
      </c>
      <c r="DS3" s="34">
        <v>2710</v>
      </c>
      <c r="DT3" s="34">
        <v>2977</v>
      </c>
      <c r="DU3" s="29">
        <f t="shared" ref="DU3:DU10" si="9">SUM(BK3:BN3)</f>
        <v>3157</v>
      </c>
      <c r="DV3" s="34">
        <f t="shared" ref="DV3:DV25" si="10">SUM(BO3:BR3)</f>
        <v>3306</v>
      </c>
      <c r="DW3" s="29">
        <f t="shared" ref="DW3" si="11">SUM(BS3:BV3)</f>
        <v>3464</v>
      </c>
      <c r="DX3" s="29">
        <f t="shared" ref="DX3" si="12">SUM(BW3:BZ3)</f>
        <v>3601</v>
      </c>
      <c r="DY3" s="34">
        <f t="shared" ref="DY3" si="13">SUM(CA3:CD3)</f>
        <v>3682</v>
      </c>
      <c r="DZ3" s="34">
        <f t="shared" ref="DZ3" si="14">SUM(CE3:CH3)</f>
        <v>3706</v>
      </c>
      <c r="EA3" s="34">
        <f t="shared" ref="EA3" si="15">+DZ3</f>
        <v>3706</v>
      </c>
      <c r="EB3" s="34">
        <f t="shared" ref="EB3" si="16">+EA3</f>
        <v>3706</v>
      </c>
      <c r="EC3" s="34">
        <f t="shared" ref="EC3" si="17">+EB3</f>
        <v>3706</v>
      </c>
      <c r="ED3" s="34">
        <f t="shared" ref="ED3" si="18">+EC3</f>
        <v>3706</v>
      </c>
      <c r="EE3" s="34">
        <f t="shared" ref="EE3" si="19">+ED3</f>
        <v>3706</v>
      </c>
      <c r="EF3" s="34">
        <f t="shared" ref="EF3" si="20">+EE3</f>
        <v>3706</v>
      </c>
      <c r="EG3" s="34">
        <f>+EF3*0.9</f>
        <v>3335.4</v>
      </c>
      <c r="EH3" s="34">
        <f>+EG3*0.9</f>
        <v>3001.86</v>
      </c>
      <c r="EI3" s="34">
        <f>+EH3*0.9</f>
        <v>2701.674</v>
      </c>
      <c r="EJ3" s="34">
        <f>+EI3*0.9</f>
        <v>2431.5066000000002</v>
      </c>
    </row>
    <row r="4" spans="1:141" s="24" customFormat="1" x14ac:dyDescent="0.25">
      <c r="B4" s="43" t="s">
        <v>703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34" t="s">
        <v>357</v>
      </c>
      <c r="W4" s="34" t="s">
        <v>357</v>
      </c>
      <c r="X4" s="34" t="s">
        <v>357</v>
      </c>
      <c r="Y4" s="53" t="s">
        <v>357</v>
      </c>
      <c r="Z4" s="53" t="s">
        <v>357</v>
      </c>
      <c r="AA4" s="53" t="s">
        <v>357</v>
      </c>
      <c r="AB4" s="53" t="s">
        <v>357</v>
      </c>
      <c r="AC4" s="53" t="s">
        <v>357</v>
      </c>
      <c r="AD4" s="53" t="s">
        <v>357</v>
      </c>
      <c r="AE4" s="53" t="s">
        <v>357</v>
      </c>
      <c r="AF4" s="34">
        <v>1</v>
      </c>
      <c r="AG4" s="53">
        <v>0</v>
      </c>
      <c r="AH4" s="53">
        <v>1</v>
      </c>
      <c r="AI4" s="34">
        <v>22</v>
      </c>
      <c r="AJ4" s="34">
        <v>12</v>
      </c>
      <c r="AK4" s="34">
        <v>41</v>
      </c>
      <c r="AL4" s="34">
        <v>71</v>
      </c>
      <c r="AM4" s="34">
        <v>106</v>
      </c>
      <c r="AN4" s="34">
        <v>171</v>
      </c>
      <c r="AO4" s="34">
        <v>216</v>
      </c>
      <c r="AP4" s="34">
        <v>281</v>
      </c>
      <c r="AQ4" s="34">
        <v>355</v>
      </c>
      <c r="AR4" s="34">
        <v>437</v>
      </c>
      <c r="AS4" s="34">
        <v>466</v>
      </c>
      <c r="AT4" s="29">
        <v>602</v>
      </c>
      <c r="AU4" s="29">
        <v>734</v>
      </c>
      <c r="AV4" s="29">
        <v>777</v>
      </c>
      <c r="AW4" s="29">
        <v>884</v>
      </c>
      <c r="AX4" s="29">
        <v>948</v>
      </c>
      <c r="AY4" s="29">
        <v>1101</v>
      </c>
      <c r="AZ4" s="29">
        <v>1176</v>
      </c>
      <c r="BA4" s="29">
        <v>1232</v>
      </c>
      <c r="BB4" s="29">
        <v>1363</v>
      </c>
      <c r="BC4" s="29">
        <v>1506</v>
      </c>
      <c r="BD4" s="29">
        <v>1650</v>
      </c>
      <c r="BE4" s="29">
        <v>1577</v>
      </c>
      <c r="BF4" s="29">
        <v>1705</v>
      </c>
      <c r="BG4" s="29">
        <v>1925</v>
      </c>
      <c r="BH4" s="29">
        <v>2042</v>
      </c>
      <c r="BI4" s="29">
        <v>1928</v>
      </c>
      <c r="BJ4" s="29">
        <v>2034</v>
      </c>
      <c r="BK4" s="29">
        <v>2641</v>
      </c>
      <c r="BL4" s="29">
        <v>2163</v>
      </c>
      <c r="BM4" s="29">
        <v>2095</v>
      </c>
      <c r="BN4" s="29">
        <v>2269</v>
      </c>
      <c r="BO4" s="29">
        <v>2886</v>
      </c>
      <c r="BP4" s="29">
        <v>2792</v>
      </c>
      <c r="BQ4" s="29">
        <v>2413</v>
      </c>
      <c r="BR4" s="29">
        <v>2671</v>
      </c>
      <c r="BS4" s="29">
        <v>3211</v>
      </c>
      <c r="BT4" s="29">
        <v>3235</v>
      </c>
      <c r="BU4" s="29">
        <v>2655</v>
      </c>
      <c r="BV4" s="29">
        <v>2688</v>
      </c>
      <c r="BW4" s="29">
        <v>3423</v>
      </c>
      <c r="BX4" s="29">
        <v>3204</v>
      </c>
      <c r="BY4" s="29">
        <v>2705</v>
      </c>
      <c r="BZ4" s="29">
        <v>2874</v>
      </c>
      <c r="CA4" s="29">
        <v>3720</v>
      </c>
      <c r="CB4" s="29">
        <v>3416</v>
      </c>
      <c r="CC4" s="29">
        <v>3002</v>
      </c>
      <c r="CD4" s="29">
        <v>3195</v>
      </c>
      <c r="CE4" s="29">
        <v>3565</v>
      </c>
      <c r="CF4" s="29">
        <v>3680</v>
      </c>
      <c r="CG4" s="29">
        <v>3746</v>
      </c>
      <c r="CH4" s="29">
        <v>3453</v>
      </c>
      <c r="CI4" s="29">
        <v>4137</v>
      </c>
      <c r="CJ4" s="29">
        <v>4137</v>
      </c>
      <c r="CK4" s="29">
        <v>4137</v>
      </c>
      <c r="CL4" s="29">
        <f>+CK4*0.1</f>
        <v>413.70000000000005</v>
      </c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/>
      <c r="DG4"/>
      <c r="DH4"/>
      <c r="DI4"/>
      <c r="DJ4"/>
      <c r="DK4"/>
      <c r="DL4"/>
      <c r="DM4"/>
      <c r="DN4">
        <v>146</v>
      </c>
      <c r="DO4">
        <v>774</v>
      </c>
      <c r="DP4" s="88">
        <v>1860</v>
      </c>
      <c r="DQ4" s="88">
        <v>3343</v>
      </c>
      <c r="DR4" s="88">
        <v>4872</v>
      </c>
      <c r="DS4" s="29">
        <v>6438</v>
      </c>
      <c r="DT4" s="29">
        <v>7929</v>
      </c>
      <c r="DU4" s="29">
        <f>SUM(BK4:BN4)</f>
        <v>9168</v>
      </c>
      <c r="DV4" s="34">
        <f>SUM(BO4:BR4)</f>
        <v>10762</v>
      </c>
      <c r="DW4" s="29">
        <f>SUM(BS4:BV4)</f>
        <v>11789</v>
      </c>
      <c r="DX4" s="29">
        <f>SUM(BW4:BZ4)</f>
        <v>12206</v>
      </c>
      <c r="DY4" s="34">
        <f>SUM(CA4:CD4)</f>
        <v>13333</v>
      </c>
      <c r="DZ4" s="34">
        <f>SUM(CE4:CH4)</f>
        <v>14444</v>
      </c>
      <c r="EA4" s="34">
        <f>+DZ4*0.95</f>
        <v>13721.8</v>
      </c>
      <c r="EB4" s="34">
        <f>+EA4*0.95</f>
        <v>13035.71</v>
      </c>
      <c r="EC4" s="34">
        <f>+EB4*0.3</f>
        <v>3910.7129999999997</v>
      </c>
      <c r="ED4" s="34">
        <f>+EC4*0.2</f>
        <v>782.14260000000002</v>
      </c>
      <c r="EE4" s="34">
        <f>+ED4*0.3</f>
        <v>234.64277999999999</v>
      </c>
      <c r="EF4" s="34">
        <f>+EE4*0.3</f>
        <v>70.392833999999993</v>
      </c>
      <c r="EG4" s="34">
        <f t="shared" ref="EG4:EJ4" si="21">+EF4*0.3</f>
        <v>21.117850199999996</v>
      </c>
      <c r="EH4" s="34">
        <f t="shared" si="21"/>
        <v>6.3353550599999986</v>
      </c>
      <c r="EI4" s="34">
        <f t="shared" si="21"/>
        <v>1.9006065179999996</v>
      </c>
      <c r="EJ4" s="34">
        <f t="shared" si="21"/>
        <v>0.57018195539999983</v>
      </c>
    </row>
    <row r="5" spans="1:141" s="24" customFormat="1" x14ac:dyDescent="0.25">
      <c r="B5" s="43" t="s">
        <v>607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34"/>
      <c r="W5" s="34"/>
      <c r="X5" s="34"/>
      <c r="Y5" s="53"/>
      <c r="Z5" s="53"/>
      <c r="AA5" s="5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34">
        <v>1</v>
      </c>
      <c r="AP5" s="34">
        <v>5</v>
      </c>
      <c r="AQ5" s="34">
        <v>40</v>
      </c>
      <c r="AR5" s="34">
        <v>122</v>
      </c>
      <c r="AS5" s="34">
        <v>305</v>
      </c>
      <c r="AT5" s="29">
        <v>475</v>
      </c>
      <c r="AU5" s="29">
        <v>704</v>
      </c>
      <c r="AV5" s="29">
        <v>840</v>
      </c>
      <c r="AW5" s="29">
        <v>920</v>
      </c>
      <c r="AX5" s="29">
        <v>1310</v>
      </c>
      <c r="AY5" s="29">
        <v>1127</v>
      </c>
      <c r="AZ5" s="29">
        <v>1195</v>
      </c>
      <c r="BA5" s="29">
        <v>1265</v>
      </c>
      <c r="BB5" s="29">
        <v>1361</v>
      </c>
      <c r="BC5" s="29">
        <v>1511</v>
      </c>
      <c r="BD5" s="29">
        <v>1627</v>
      </c>
      <c r="BE5" s="29">
        <v>1793</v>
      </c>
      <c r="BF5" s="29">
        <v>1804</v>
      </c>
      <c r="BG5" s="29">
        <v>1801</v>
      </c>
      <c r="BH5" s="29">
        <v>1823</v>
      </c>
      <c r="BI5" s="29">
        <v>1817</v>
      </c>
      <c r="BJ5" s="29">
        <v>1763</v>
      </c>
      <c r="BK5" s="29">
        <v>1766</v>
      </c>
      <c r="BL5" s="29">
        <v>1653</v>
      </c>
      <c r="BM5" s="29">
        <v>1780</v>
      </c>
      <c r="BN5" s="29">
        <v>1793</v>
      </c>
      <c r="BO5" s="29">
        <v>1720</v>
      </c>
      <c r="BP5" s="29">
        <v>1910</v>
      </c>
      <c r="BQ5" s="29">
        <v>1905</v>
      </c>
      <c r="BR5" s="29">
        <v>1988</v>
      </c>
      <c r="BS5" s="29">
        <v>1923</v>
      </c>
      <c r="BT5" s="29">
        <v>2063</v>
      </c>
      <c r="BU5" s="29">
        <v>2047</v>
      </c>
      <c r="BV5" s="29">
        <v>2216</v>
      </c>
      <c r="BW5" s="29">
        <v>2202</v>
      </c>
      <c r="BX5" s="29">
        <v>2145</v>
      </c>
      <c r="BY5" s="29">
        <v>2275</v>
      </c>
      <c r="BZ5" s="29">
        <v>2387</v>
      </c>
      <c r="CA5" s="29">
        <v>2078</v>
      </c>
      <c r="CB5" s="29">
        <v>2387</v>
      </c>
      <c r="CC5" s="29">
        <v>2360</v>
      </c>
      <c r="CD5" s="29">
        <v>2479</v>
      </c>
      <c r="CE5" s="29">
        <v>2265</v>
      </c>
      <c r="CF5" s="29">
        <v>2560</v>
      </c>
      <c r="CG5" s="29">
        <v>2532</v>
      </c>
      <c r="CH5" s="29">
        <v>2693</v>
      </c>
      <c r="CI5" s="29">
        <v>2146</v>
      </c>
      <c r="CJ5" s="29">
        <v>2146</v>
      </c>
      <c r="CK5" s="29">
        <v>2146</v>
      </c>
      <c r="CL5" s="29">
        <f>+CK5*0.1</f>
        <v>214.60000000000002</v>
      </c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/>
      <c r="DF5"/>
      <c r="DG5"/>
      <c r="DH5"/>
      <c r="DI5"/>
      <c r="DJ5"/>
      <c r="DK5"/>
      <c r="DL5"/>
      <c r="DM5" s="29">
        <f t="shared" si="8"/>
        <v>0</v>
      </c>
      <c r="DN5"/>
      <c r="DO5"/>
      <c r="DP5" s="88">
        <v>942</v>
      </c>
      <c r="DQ5" s="88">
        <v>3774</v>
      </c>
      <c r="DR5" s="89">
        <v>4948</v>
      </c>
      <c r="DS5" s="29">
        <v>6735</v>
      </c>
      <c r="DT5" s="29">
        <v>7204</v>
      </c>
      <c r="DU5" s="29">
        <f t="shared" si="9"/>
        <v>6992</v>
      </c>
      <c r="DV5" s="34">
        <f t="shared" si="10"/>
        <v>7523</v>
      </c>
      <c r="DW5" s="29">
        <f t="shared" ref="DW5" si="22">SUM(BS5:BV5)</f>
        <v>8249</v>
      </c>
      <c r="DX5" s="29">
        <f t="shared" ref="DX5" si="23">SUM(BW5:BZ5)</f>
        <v>9009</v>
      </c>
      <c r="DY5" s="34">
        <f t="shared" ref="DY5:DY26" si="24">SUM(CA5:CD5)</f>
        <v>9304</v>
      </c>
      <c r="DZ5" s="34">
        <f t="shared" ref="DZ5:DZ21" si="25">SUM(CE5:CH5)</f>
        <v>10050</v>
      </c>
      <c r="EA5" s="34">
        <f t="shared" ref="EA5:EC5" si="26">+DZ5*1.02</f>
        <v>10251</v>
      </c>
      <c r="EB5" s="34">
        <f t="shared" si="26"/>
        <v>10456.02</v>
      </c>
      <c r="EC5" s="34">
        <f t="shared" si="26"/>
        <v>10665.1404</v>
      </c>
      <c r="ED5" s="34">
        <f>+EC5*0.3</f>
        <v>3199.5421200000001</v>
      </c>
      <c r="EE5" s="34">
        <f>+ED5*0.8</f>
        <v>2559.6336960000003</v>
      </c>
      <c r="EF5" s="34">
        <f t="shared" ref="EF5:EJ5" si="27">+EE5*0.8</f>
        <v>2047.7069568000004</v>
      </c>
      <c r="EG5" s="34">
        <f t="shared" si="27"/>
        <v>1638.1655654400004</v>
      </c>
      <c r="EH5" s="34">
        <f t="shared" si="27"/>
        <v>1310.5324523520003</v>
      </c>
      <c r="EI5" s="34">
        <f t="shared" si="27"/>
        <v>1048.4259618816002</v>
      </c>
      <c r="EJ5" s="34">
        <f t="shared" si="27"/>
        <v>838.74076950528024</v>
      </c>
      <c r="EK5" s="34"/>
    </row>
    <row r="6" spans="1:141" s="24" customFormat="1" x14ac:dyDescent="0.25">
      <c r="B6" s="43" t="s">
        <v>707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34"/>
      <c r="W6" s="34"/>
      <c r="X6" s="34"/>
      <c r="Y6" s="53"/>
      <c r="Z6" s="53"/>
      <c r="AA6" s="53"/>
      <c r="AB6" s="53"/>
      <c r="AC6" s="5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3"/>
      <c r="AQ6" s="93"/>
      <c r="AR6" s="93"/>
      <c r="AS6" s="93"/>
      <c r="AT6" s="93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3"/>
      <c r="BF6" s="93"/>
      <c r="BG6" s="93"/>
      <c r="BH6" s="29">
        <v>0</v>
      </c>
      <c r="BI6" s="29">
        <v>0</v>
      </c>
      <c r="BJ6" s="29">
        <v>1299</v>
      </c>
      <c r="BK6" s="29">
        <v>2915</v>
      </c>
      <c r="BL6" s="29">
        <v>2884</v>
      </c>
      <c r="BM6" s="29">
        <v>3027</v>
      </c>
      <c r="BN6" s="29">
        <v>3280</v>
      </c>
      <c r="BO6" s="29">
        <v>2944</v>
      </c>
      <c r="BP6" s="29">
        <v>3202</v>
      </c>
      <c r="BQ6" s="29">
        <v>3347</v>
      </c>
      <c r="BR6" s="29">
        <v>3328</v>
      </c>
      <c r="BS6" s="29">
        <v>2797</v>
      </c>
      <c r="BT6" s="29">
        <v>2501</v>
      </c>
      <c r="BU6" s="29">
        <v>2420</v>
      </c>
      <c r="BV6" s="29">
        <v>2260</v>
      </c>
      <c r="BW6" s="29">
        <v>1750</v>
      </c>
      <c r="BX6" s="29">
        <v>1468</v>
      </c>
      <c r="BY6" s="29">
        <v>1429</v>
      </c>
      <c r="BZ6" s="29">
        <v>1450</v>
      </c>
      <c r="CA6" s="29">
        <v>1669</v>
      </c>
      <c r="CB6" s="29">
        <v>1353</v>
      </c>
      <c r="CC6" s="29">
        <v>1412</v>
      </c>
      <c r="CD6" s="29">
        <v>1339</v>
      </c>
      <c r="CE6" s="29">
        <v>936</v>
      </c>
      <c r="CF6" s="29">
        <v>838</v>
      </c>
      <c r="CG6" s="29">
        <v>575</v>
      </c>
      <c r="CH6" s="29">
        <v>602</v>
      </c>
      <c r="CI6" s="29">
        <v>349</v>
      </c>
      <c r="CJ6" s="29">
        <v>349</v>
      </c>
      <c r="CK6" s="29">
        <v>349</v>
      </c>
      <c r="CL6" s="29">
        <v>349</v>
      </c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>
        <v>0</v>
      </c>
      <c r="DI6" s="29">
        <v>0</v>
      </c>
      <c r="DJ6" s="29">
        <v>0</v>
      </c>
      <c r="DK6" s="29">
        <v>0</v>
      </c>
      <c r="DL6" s="29">
        <v>0</v>
      </c>
      <c r="DM6" s="29">
        <v>0</v>
      </c>
      <c r="DN6" s="64">
        <v>0</v>
      </c>
      <c r="DO6" s="64">
        <v>0</v>
      </c>
      <c r="DP6" s="64">
        <v>0</v>
      </c>
      <c r="DQ6" s="64">
        <v>0</v>
      </c>
      <c r="DR6" s="64">
        <v>0</v>
      </c>
      <c r="DS6" s="64">
        <v>0</v>
      </c>
      <c r="DT6" s="64">
        <v>1299</v>
      </c>
      <c r="DU6" s="29">
        <f>SUM(BK6:BN6)</f>
        <v>12106</v>
      </c>
      <c r="DV6" s="34">
        <f>SUM(BO6:BR6)</f>
        <v>12821</v>
      </c>
      <c r="DW6" s="29">
        <f t="shared" ref="DW6" si="28">SUM(BS6:BV6)</f>
        <v>9978</v>
      </c>
      <c r="DX6" s="29">
        <f t="shared" ref="DX6" si="29">SUM(BW6:BZ6)</f>
        <v>6097</v>
      </c>
      <c r="DY6" s="34">
        <f t="shared" si="24"/>
        <v>5773</v>
      </c>
      <c r="DZ6" s="34">
        <f t="shared" si="25"/>
        <v>2951</v>
      </c>
      <c r="EA6" s="34">
        <f>+DZ6*0.2</f>
        <v>590.20000000000005</v>
      </c>
      <c r="EB6" s="34">
        <f t="shared" ref="EB6" si="30">+EA6*0.2</f>
        <v>118.04000000000002</v>
      </c>
      <c r="EC6" s="34">
        <f>+EB6*0.4</f>
        <v>47.216000000000008</v>
      </c>
      <c r="ED6" s="34">
        <f t="shared" ref="ED6:EJ6" si="31">+EC6*0.4</f>
        <v>18.886400000000005</v>
      </c>
      <c r="EE6" s="34">
        <f t="shared" si="31"/>
        <v>7.5545600000000022</v>
      </c>
      <c r="EF6" s="34">
        <f t="shared" si="31"/>
        <v>3.021824000000001</v>
      </c>
      <c r="EG6" s="34">
        <f t="shared" si="31"/>
        <v>1.2087296000000005</v>
      </c>
      <c r="EH6" s="34">
        <f t="shared" si="31"/>
        <v>0.48349184000000023</v>
      </c>
      <c r="EI6" s="34">
        <f t="shared" si="31"/>
        <v>0.1933967360000001</v>
      </c>
      <c r="EJ6" s="34">
        <f t="shared" si="31"/>
        <v>7.7358694400000039E-2</v>
      </c>
    </row>
    <row r="7" spans="1:141" s="24" customFormat="1" x14ac:dyDescent="0.25">
      <c r="B7" s="43" t="s">
        <v>708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49"/>
      <c r="Z7" s="49"/>
      <c r="AA7" s="49"/>
      <c r="AB7" s="49"/>
      <c r="AC7" s="49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4"/>
      <c r="AQ7" s="94"/>
      <c r="AR7" s="94"/>
      <c r="AS7" s="94"/>
      <c r="AT7" s="94"/>
      <c r="AU7" s="94"/>
      <c r="AV7" s="94"/>
      <c r="AW7" s="94"/>
      <c r="AX7" s="94"/>
      <c r="AY7" s="94"/>
      <c r="AZ7" s="94"/>
      <c r="BA7" s="94"/>
      <c r="BB7" s="94"/>
      <c r="BC7" s="94"/>
      <c r="BD7" s="94"/>
      <c r="BE7" s="94"/>
      <c r="BF7" s="94"/>
      <c r="BG7" s="94"/>
      <c r="BH7" s="29">
        <v>0</v>
      </c>
      <c r="BI7" s="29">
        <v>0</v>
      </c>
      <c r="BJ7" s="29">
        <v>322</v>
      </c>
      <c r="BK7" s="29">
        <v>713</v>
      </c>
      <c r="BL7" s="29">
        <v>745</v>
      </c>
      <c r="BM7" s="29">
        <v>777</v>
      </c>
      <c r="BN7" s="29">
        <v>835</v>
      </c>
      <c r="BO7" s="29">
        <v>773</v>
      </c>
      <c r="BP7" s="29">
        <v>854</v>
      </c>
      <c r="BQ7" s="29">
        <v>851</v>
      </c>
      <c r="BR7" s="29">
        <v>854</v>
      </c>
      <c r="BS7" s="29">
        <v>826</v>
      </c>
      <c r="BT7" s="29">
        <v>908</v>
      </c>
      <c r="BU7" s="29">
        <v>886</v>
      </c>
      <c r="BV7" s="29">
        <v>877</v>
      </c>
      <c r="BW7" s="29">
        <v>832</v>
      </c>
      <c r="BX7" s="29">
        <v>847</v>
      </c>
      <c r="BY7" s="29">
        <v>872</v>
      </c>
      <c r="BZ7" s="29">
        <v>890</v>
      </c>
      <c r="CA7" s="29">
        <v>865</v>
      </c>
      <c r="CB7" s="29">
        <v>959</v>
      </c>
      <c r="CC7" s="29">
        <v>898</v>
      </c>
      <c r="CD7" s="29">
        <v>823</v>
      </c>
      <c r="CE7" s="29">
        <v>658</v>
      </c>
      <c r="CF7" s="29">
        <v>708</v>
      </c>
      <c r="CG7" s="29">
        <v>675</v>
      </c>
      <c r="CH7" s="29">
        <v>692</v>
      </c>
      <c r="CI7" s="29">
        <v>513</v>
      </c>
      <c r="CJ7" s="29">
        <v>513</v>
      </c>
      <c r="CK7" s="29">
        <v>513</v>
      </c>
      <c r="CL7" s="29">
        <v>513</v>
      </c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/>
      <c r="DF7"/>
      <c r="DG7"/>
      <c r="DH7"/>
      <c r="DI7"/>
      <c r="DJ7"/>
      <c r="DK7"/>
      <c r="DL7"/>
      <c r="DM7"/>
      <c r="DN7"/>
      <c r="DO7"/>
      <c r="DP7" s="88">
        <v>0</v>
      </c>
      <c r="DQ7" s="88">
        <v>0</v>
      </c>
      <c r="DR7" s="88">
        <v>0</v>
      </c>
      <c r="DS7" s="29">
        <v>0</v>
      </c>
      <c r="DT7" s="29">
        <v>322</v>
      </c>
      <c r="DU7" s="29">
        <f>SUM(BK7:BN7)</f>
        <v>3070</v>
      </c>
      <c r="DV7" s="34">
        <f>SUM(BO7:BR7)</f>
        <v>3332</v>
      </c>
      <c r="DW7" s="29">
        <f t="shared" ref="DW7" si="32">SUM(BS7:BV7)</f>
        <v>3497</v>
      </c>
      <c r="DX7" s="29">
        <f t="shared" ref="DX7" si="33">SUM(BW7:BZ7)</f>
        <v>3441</v>
      </c>
      <c r="DY7" s="34">
        <f t="shared" si="24"/>
        <v>3545</v>
      </c>
      <c r="DZ7" s="34">
        <f t="shared" si="25"/>
        <v>2733</v>
      </c>
      <c r="EA7" s="24">
        <f>+DZ7*0.3</f>
        <v>819.9</v>
      </c>
      <c r="EB7" s="24">
        <f>+EA7*0.3</f>
        <v>245.96999999999997</v>
      </c>
      <c r="EC7" s="24">
        <f>+EB7*0.4</f>
        <v>98.387999999999991</v>
      </c>
      <c r="ED7" s="24">
        <f t="shared" ref="ED7:EJ7" si="34">+EC7*0.4</f>
        <v>39.355199999999996</v>
      </c>
      <c r="EE7" s="24">
        <f t="shared" si="34"/>
        <v>15.74208</v>
      </c>
      <c r="EF7" s="24">
        <f t="shared" si="34"/>
        <v>6.2968320000000002</v>
      </c>
      <c r="EG7" s="24">
        <f t="shared" si="34"/>
        <v>2.5187328000000004</v>
      </c>
      <c r="EH7" s="24">
        <f t="shared" si="34"/>
        <v>1.0074931200000001</v>
      </c>
      <c r="EI7" s="24">
        <f t="shared" si="34"/>
        <v>0.40299724800000009</v>
      </c>
      <c r="EJ7" s="24">
        <f t="shared" si="34"/>
        <v>0.16119889920000005</v>
      </c>
    </row>
    <row r="8" spans="1:141" s="24" customFormat="1" x14ac:dyDescent="0.25">
      <c r="B8" s="43" t="s">
        <v>445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34"/>
      <c r="T8" s="34"/>
      <c r="U8" s="34"/>
      <c r="V8" s="34" t="s">
        <v>357</v>
      </c>
      <c r="W8" s="34" t="s">
        <v>357</v>
      </c>
      <c r="X8" s="34" t="s">
        <v>357</v>
      </c>
      <c r="Y8" s="53" t="s">
        <v>357</v>
      </c>
      <c r="Z8" s="53" t="s">
        <v>357</v>
      </c>
      <c r="AA8" s="53"/>
      <c r="AB8" s="53">
        <v>95</v>
      </c>
      <c r="AC8" s="53">
        <v>121</v>
      </c>
      <c r="AD8" s="53">
        <v>144</v>
      </c>
      <c r="AE8" s="34">
        <v>154</v>
      </c>
      <c r="AF8" s="34">
        <v>162</v>
      </c>
      <c r="AG8" s="53">
        <v>179</v>
      </c>
      <c r="AH8" s="53">
        <f>706-AG8-AF8-AE8</f>
        <v>211</v>
      </c>
      <c r="AI8" s="34">
        <v>229</v>
      </c>
      <c r="AJ8" s="34">
        <v>233</v>
      </c>
      <c r="AK8" s="34">
        <v>238</v>
      </c>
      <c r="AL8" s="34">
        <v>260</v>
      </c>
      <c r="AM8" s="34">
        <v>271</v>
      </c>
      <c r="AN8" s="34">
        <v>321</v>
      </c>
      <c r="AO8" s="34">
        <v>350</v>
      </c>
      <c r="AP8" s="34">
        <v>366</v>
      </c>
      <c r="AQ8" s="34">
        <v>325</v>
      </c>
      <c r="AR8" s="34">
        <v>296</v>
      </c>
      <c r="AS8" s="34">
        <v>240</v>
      </c>
      <c r="AT8" s="29">
        <v>265</v>
      </c>
      <c r="AU8" s="29">
        <v>263</v>
      </c>
      <c r="AV8" s="29">
        <v>241</v>
      </c>
      <c r="AW8" s="29">
        <v>285</v>
      </c>
      <c r="AX8" s="29">
        <v>264</v>
      </c>
      <c r="AY8" s="29">
        <v>330</v>
      </c>
      <c r="AZ8" s="29">
        <v>322</v>
      </c>
      <c r="BA8" s="29">
        <v>323</v>
      </c>
      <c r="BB8" s="29">
        <v>269</v>
      </c>
      <c r="BC8" s="29">
        <v>249</v>
      </c>
      <c r="BD8" s="29">
        <v>315</v>
      </c>
      <c r="BE8" s="29">
        <v>382</v>
      </c>
      <c r="BF8" s="29">
        <v>384</v>
      </c>
      <c r="BG8" s="29">
        <v>384</v>
      </c>
      <c r="BH8" s="29">
        <v>367</v>
      </c>
      <c r="BI8" s="29">
        <v>353</v>
      </c>
      <c r="BJ8" s="29">
        <v>385</v>
      </c>
      <c r="BK8" s="29">
        <v>396</v>
      </c>
      <c r="BL8" s="29">
        <v>369</v>
      </c>
      <c r="BM8" s="29">
        <v>446</v>
      </c>
      <c r="BN8" s="29">
        <v>471</v>
      </c>
      <c r="BO8" s="29">
        <v>456</v>
      </c>
      <c r="BP8" s="29">
        <v>510</v>
      </c>
      <c r="BQ8" s="29">
        <v>515</v>
      </c>
      <c r="BR8" s="29">
        <v>545</v>
      </c>
      <c r="BS8" s="29">
        <v>515</v>
      </c>
      <c r="BT8" s="29">
        <v>525</v>
      </c>
      <c r="BU8" s="29">
        <v>523</v>
      </c>
      <c r="BV8" s="29">
        <v>568</v>
      </c>
      <c r="BW8" s="29">
        <v>508</v>
      </c>
      <c r="BX8" s="29">
        <v>585</v>
      </c>
      <c r="BY8" s="29">
        <v>579</v>
      </c>
      <c r="BZ8" s="29">
        <v>566</v>
      </c>
      <c r="CA8" s="29">
        <v>583</v>
      </c>
      <c r="CB8" s="29">
        <v>630</v>
      </c>
      <c r="CC8" s="29">
        <v>642</v>
      </c>
      <c r="CD8" s="29">
        <v>675</v>
      </c>
      <c r="CE8" s="29">
        <v>624</v>
      </c>
      <c r="CF8" s="29">
        <v>728</v>
      </c>
      <c r="CG8" s="29">
        <v>739</v>
      </c>
      <c r="CH8" s="29">
        <v>810</v>
      </c>
      <c r="CI8" s="29">
        <v>651</v>
      </c>
      <c r="CJ8" s="29">
        <v>651</v>
      </c>
      <c r="CK8" s="29">
        <v>651</v>
      </c>
      <c r="CL8" s="29">
        <v>651</v>
      </c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53" t="s">
        <v>357</v>
      </c>
      <c r="DK8" s="53" t="s">
        <v>357</v>
      </c>
      <c r="DL8" s="49">
        <f>SUM(AA8:AD8)</f>
        <v>360</v>
      </c>
      <c r="DM8" s="29">
        <f>SUM(AE8:AH8)</f>
        <v>706</v>
      </c>
      <c r="DN8"/>
      <c r="DO8"/>
      <c r="DP8" s="88">
        <v>1126</v>
      </c>
      <c r="DQ8" s="88">
        <v>1053</v>
      </c>
      <c r="DR8" s="88">
        <v>1244</v>
      </c>
      <c r="DS8" s="29">
        <v>1330</v>
      </c>
      <c r="DT8" s="29">
        <v>1489</v>
      </c>
      <c r="DU8" s="29">
        <f>SUM(BK8:BN8)</f>
        <v>1682</v>
      </c>
      <c r="DV8" s="34">
        <f>SUM(BO8:BR8)</f>
        <v>2026</v>
      </c>
      <c r="DW8" s="29">
        <f t="shared" ref="DW8" si="35">SUM(BS8:BV8)</f>
        <v>2131</v>
      </c>
      <c r="DX8" s="29">
        <f t="shared" ref="DX8" si="36">SUM(BW8:BZ8)</f>
        <v>2238</v>
      </c>
      <c r="DY8" s="34">
        <f t="shared" si="24"/>
        <v>2530</v>
      </c>
      <c r="DZ8" s="34">
        <f t="shared" si="25"/>
        <v>2901</v>
      </c>
      <c r="EA8" s="29">
        <f t="shared" ref="EA8" si="37">+DZ8</f>
        <v>2901</v>
      </c>
      <c r="EB8" s="29">
        <f t="shared" ref="EB8" si="38">+EA8</f>
        <v>2901</v>
      </c>
      <c r="EC8" s="29">
        <f t="shared" ref="EC8" si="39">+EB8</f>
        <v>2901</v>
      </c>
      <c r="ED8" s="29">
        <f t="shared" ref="ED8" si="40">+EC8</f>
        <v>2901</v>
      </c>
      <c r="EE8" s="29">
        <f t="shared" ref="EE8" si="41">+ED8</f>
        <v>2901</v>
      </c>
      <c r="EF8" s="29">
        <f t="shared" ref="EF8" si="42">+EE8</f>
        <v>2901</v>
      </c>
      <c r="EG8" s="29">
        <f t="shared" ref="EG8" si="43">+EF8</f>
        <v>2901</v>
      </c>
      <c r="EH8" s="29">
        <f t="shared" ref="EH8" si="44">+EG8</f>
        <v>2901</v>
      </c>
      <c r="EI8" s="29">
        <f t="shared" ref="EI8" si="45">+EH8</f>
        <v>2901</v>
      </c>
      <c r="EJ8" s="29">
        <f t="shared" ref="EJ8" si="46">+EI8</f>
        <v>2901</v>
      </c>
    </row>
    <row r="9" spans="1:141" s="24" customFormat="1" x14ac:dyDescent="0.25">
      <c r="B9" s="43" t="s">
        <v>695</v>
      </c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34"/>
      <c r="W9" s="34"/>
      <c r="X9" s="34"/>
      <c r="Y9" s="53"/>
      <c r="Z9" s="53"/>
      <c r="AA9" s="53"/>
      <c r="AB9" s="53"/>
      <c r="AC9" s="53"/>
      <c r="AD9" s="53"/>
      <c r="AE9" s="53"/>
      <c r="AF9" s="34"/>
      <c r="AG9" s="53"/>
      <c r="AH9" s="53"/>
      <c r="AI9" s="34"/>
      <c r="AJ9" s="34"/>
      <c r="AK9" s="34"/>
      <c r="AL9" s="34"/>
      <c r="AM9" s="34"/>
      <c r="AN9" s="34"/>
      <c r="AO9" s="34"/>
      <c r="AP9" s="34"/>
      <c r="AQ9" s="93"/>
      <c r="AR9" s="93"/>
      <c r="AS9" s="93"/>
      <c r="AT9" s="94"/>
      <c r="AU9" s="94"/>
      <c r="AV9" s="94"/>
      <c r="AW9" s="94"/>
      <c r="AX9" s="94"/>
      <c r="AY9" s="94"/>
      <c r="AZ9" s="94"/>
      <c r="BA9" s="94"/>
      <c r="BB9" s="94"/>
      <c r="BC9" s="94"/>
      <c r="BD9" s="94"/>
      <c r="BE9" s="94"/>
      <c r="BF9" s="94"/>
      <c r="BG9" s="94"/>
      <c r="BH9" s="29">
        <v>0</v>
      </c>
      <c r="BI9" s="29">
        <v>0</v>
      </c>
      <c r="BJ9" s="29">
        <v>0</v>
      </c>
      <c r="BK9" s="29">
        <v>8</v>
      </c>
      <c r="BL9" s="29">
        <v>55</v>
      </c>
      <c r="BM9" s="29">
        <v>96</v>
      </c>
      <c r="BN9" s="29">
        <v>115</v>
      </c>
      <c r="BO9" s="29">
        <v>112</v>
      </c>
      <c r="BP9" s="29">
        <v>128</v>
      </c>
      <c r="BQ9" s="29">
        <v>160</v>
      </c>
      <c r="BR9" s="29">
        <v>151</v>
      </c>
      <c r="BS9" s="29">
        <v>156</v>
      </c>
      <c r="BT9" s="29">
        <v>172</v>
      </c>
      <c r="BU9" s="29">
        <v>190</v>
      </c>
      <c r="BV9" s="29">
        <v>199</v>
      </c>
      <c r="BW9" s="29">
        <v>206</v>
      </c>
      <c r="BX9" s="29">
        <v>234</v>
      </c>
      <c r="BY9" s="29">
        <v>248</v>
      </c>
      <c r="BZ9" s="29">
        <v>320</v>
      </c>
      <c r="CA9" s="29">
        <v>354</v>
      </c>
      <c r="CB9" s="29">
        <v>425</v>
      </c>
      <c r="CC9" s="29">
        <v>447</v>
      </c>
      <c r="CD9" s="29">
        <v>547</v>
      </c>
      <c r="CE9" s="29">
        <v>478</v>
      </c>
      <c r="CF9" s="29">
        <v>568</v>
      </c>
      <c r="CG9" s="29">
        <v>615</v>
      </c>
      <c r="CH9" s="29">
        <v>666</v>
      </c>
      <c r="CI9" s="29">
        <v>555</v>
      </c>
      <c r="CJ9" s="29">
        <v>555</v>
      </c>
      <c r="CK9" s="29">
        <v>555</v>
      </c>
      <c r="CL9" s="29">
        <v>555</v>
      </c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53"/>
      <c r="DK9" s="49"/>
      <c r="DL9" s="53"/>
      <c r="DM9" s="34"/>
      <c r="DN9" s="65"/>
      <c r="DO9" s="65"/>
      <c r="DP9" s="34">
        <v>0</v>
      </c>
      <c r="DQ9" s="34">
        <v>0</v>
      </c>
      <c r="DR9" s="29">
        <v>0</v>
      </c>
      <c r="DS9" s="29">
        <v>0</v>
      </c>
      <c r="DT9" s="29">
        <v>0</v>
      </c>
      <c r="DU9" s="29">
        <f>SUM(BK9:BN9)</f>
        <v>274</v>
      </c>
      <c r="DV9" s="34">
        <f>SUM(BO9:BR9)</f>
        <v>551</v>
      </c>
      <c r="DW9" s="29">
        <f>SUM(BS9:BV9)</f>
        <v>717</v>
      </c>
      <c r="DX9" s="29">
        <f>SUM(BW9:BZ9)</f>
        <v>1008</v>
      </c>
      <c r="DY9" s="34">
        <f t="shared" si="24"/>
        <v>1773</v>
      </c>
      <c r="DZ9" s="34">
        <f t="shared" si="25"/>
        <v>2327</v>
      </c>
      <c r="EA9" s="29">
        <f t="shared" ref="EA9" si="47">+DZ9*1.1</f>
        <v>2559.7000000000003</v>
      </c>
      <c r="EB9" s="34">
        <f>+EA9*1.07</f>
        <v>2738.8790000000004</v>
      </c>
      <c r="EC9" s="34">
        <f t="shared" ref="EC9" si="48">+EB9*1.07</f>
        <v>2930.6005300000006</v>
      </c>
      <c r="ED9" s="34">
        <f>+EC9</f>
        <v>2930.6005300000006</v>
      </c>
      <c r="EE9" s="24">
        <f>+ED9</f>
        <v>2930.6005300000006</v>
      </c>
      <c r="EF9" s="24">
        <f>+EE9*0.95</f>
        <v>2784.0705035000005</v>
      </c>
      <c r="EG9" s="24">
        <f>+EF9*0.95</f>
        <v>2644.8669783250002</v>
      </c>
      <c r="EH9" s="24">
        <f>+EG9*0.95</f>
        <v>2512.6236294087503</v>
      </c>
      <c r="EI9" s="24">
        <f>+EH9*0.95</f>
        <v>2386.9924479383126</v>
      </c>
      <c r="EJ9" s="24">
        <f>+EI9*0.95</f>
        <v>2267.6428255413966</v>
      </c>
    </row>
    <row r="10" spans="1:141" s="24" customFormat="1" x14ac:dyDescent="0.25">
      <c r="B10" s="43" t="s">
        <v>455</v>
      </c>
      <c r="C10" s="29"/>
      <c r="D10" s="29"/>
      <c r="E10" s="29"/>
      <c r="F10" s="29"/>
      <c r="G10" s="29"/>
      <c r="H10" s="29"/>
      <c r="I10" s="29">
        <v>11</v>
      </c>
      <c r="J10" s="29">
        <v>14</v>
      </c>
      <c r="K10" s="29">
        <v>21</v>
      </c>
      <c r="L10" s="29">
        <v>35</v>
      </c>
      <c r="M10" s="29">
        <v>46</v>
      </c>
      <c r="N10" s="29">
        <v>56</v>
      </c>
      <c r="O10" s="29">
        <v>66</v>
      </c>
      <c r="P10" s="29">
        <v>76</v>
      </c>
      <c r="Q10" s="29">
        <v>82</v>
      </c>
      <c r="R10" s="29">
        <v>86</v>
      </c>
      <c r="S10" s="29">
        <v>88</v>
      </c>
      <c r="T10" s="29">
        <v>107</v>
      </c>
      <c r="U10" s="29">
        <v>107</v>
      </c>
      <c r="V10" s="29">
        <v>119</v>
      </c>
      <c r="W10" s="29">
        <v>131</v>
      </c>
      <c r="X10" s="34">
        <v>132</v>
      </c>
      <c r="Y10" s="53">
        <v>144</v>
      </c>
      <c r="Z10" s="53">
        <v>169</v>
      </c>
      <c r="AA10" s="53">
        <v>172</v>
      </c>
      <c r="AB10" s="53">
        <v>193</v>
      </c>
      <c r="AC10" s="53">
        <v>211</v>
      </c>
      <c r="AD10" s="53">
        <v>227</v>
      </c>
      <c r="AE10" s="34">
        <v>231</v>
      </c>
      <c r="AF10" s="34">
        <v>244</v>
      </c>
      <c r="AG10" s="53">
        <v>263</v>
      </c>
      <c r="AH10" s="53">
        <f>1019-AG10-AF10-AE10</f>
        <v>281</v>
      </c>
      <c r="AI10" s="34">
        <v>287</v>
      </c>
      <c r="AJ10" s="34">
        <v>312</v>
      </c>
      <c r="AK10" s="34">
        <v>316</v>
      </c>
      <c r="AL10" s="34">
        <v>365</v>
      </c>
      <c r="AM10" s="34">
        <v>342</v>
      </c>
      <c r="AN10" s="34">
        <v>368</v>
      </c>
      <c r="AO10" s="34">
        <v>385</v>
      </c>
      <c r="AP10" s="34">
        <v>398</v>
      </c>
      <c r="AQ10" s="34">
        <v>375</v>
      </c>
      <c r="AR10" s="34">
        <v>405</v>
      </c>
      <c r="AS10" s="34">
        <v>411</v>
      </c>
      <c r="AT10" s="29">
        <v>429</v>
      </c>
      <c r="AU10" s="29">
        <v>407</v>
      </c>
      <c r="AV10" s="29">
        <v>451</v>
      </c>
      <c r="AW10" s="29">
        <v>472</v>
      </c>
      <c r="AX10" s="29">
        <v>494</v>
      </c>
      <c r="AY10" s="29">
        <v>463</v>
      </c>
      <c r="AZ10" s="29">
        <v>506</v>
      </c>
      <c r="BA10" s="29">
        <v>509</v>
      </c>
      <c r="BB10" s="29">
        <v>527</v>
      </c>
      <c r="BC10" s="29">
        <v>438</v>
      </c>
      <c r="BD10" s="29">
        <v>535</v>
      </c>
      <c r="BE10" s="29">
        <v>491</v>
      </c>
      <c r="BF10" s="29">
        <v>536</v>
      </c>
      <c r="BG10" s="29">
        <v>459</v>
      </c>
      <c r="BH10" s="29">
        <v>544</v>
      </c>
      <c r="BI10" s="29">
        <v>558</v>
      </c>
      <c r="BJ10" s="29">
        <v>549</v>
      </c>
      <c r="BK10" s="29">
        <v>521</v>
      </c>
      <c r="BL10" s="29">
        <v>511</v>
      </c>
      <c r="BM10" s="29">
        <v>544</v>
      </c>
      <c r="BN10" s="29">
        <v>564</v>
      </c>
      <c r="BO10" s="29">
        <v>470</v>
      </c>
      <c r="BP10" s="29">
        <v>541</v>
      </c>
      <c r="BQ10" s="29">
        <v>551</v>
      </c>
      <c r="BR10" s="29">
        <v>555</v>
      </c>
      <c r="BS10" s="29">
        <v>483</v>
      </c>
      <c r="BT10" s="29">
        <v>544</v>
      </c>
      <c r="BU10" s="29">
        <v>560</v>
      </c>
      <c r="BV10" s="29">
        <v>578</v>
      </c>
      <c r="BW10" s="29">
        <v>429</v>
      </c>
      <c r="BX10" s="29">
        <v>458</v>
      </c>
      <c r="BY10" s="29">
        <v>517</v>
      </c>
      <c r="BZ10" s="29">
        <v>526</v>
      </c>
      <c r="CA10" s="29">
        <v>374</v>
      </c>
      <c r="CB10" s="29">
        <v>424</v>
      </c>
      <c r="CC10" s="29">
        <v>290</v>
      </c>
      <c r="CD10" s="29">
        <v>198</v>
      </c>
      <c r="CE10" s="29">
        <v>175</v>
      </c>
      <c r="CF10" s="29">
        <v>120</v>
      </c>
      <c r="CG10" s="29">
        <v>119</v>
      </c>
      <c r="CH10" s="29">
        <v>79</v>
      </c>
      <c r="CI10" s="29">
        <v>73</v>
      </c>
      <c r="CJ10" s="29">
        <v>73</v>
      </c>
      <c r="CK10" s="29">
        <v>73</v>
      </c>
      <c r="CL10" s="29">
        <v>73</v>
      </c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  <c r="CX10" s="29"/>
      <c r="CY10" s="29"/>
      <c r="CZ10" s="29"/>
      <c r="DA10" s="29"/>
      <c r="DB10" s="29"/>
      <c r="DC10" s="29"/>
      <c r="DD10" s="29"/>
      <c r="DE10" s="29"/>
      <c r="DF10" s="29"/>
      <c r="DG10" s="29">
        <f t="shared" si="2"/>
        <v>25</v>
      </c>
      <c r="DH10" s="29">
        <f t="shared" si="3"/>
        <v>158</v>
      </c>
      <c r="DI10" s="29">
        <f t="shared" si="4"/>
        <v>310</v>
      </c>
      <c r="DJ10" s="49">
        <f t="shared" si="5"/>
        <v>421</v>
      </c>
      <c r="DK10" s="49">
        <f t="shared" si="6"/>
        <v>576</v>
      </c>
      <c r="DL10" s="49">
        <f t="shared" si="7"/>
        <v>803</v>
      </c>
      <c r="DM10" s="29">
        <f t="shared" si="8"/>
        <v>1019</v>
      </c>
      <c r="DN10"/>
      <c r="DO10"/>
      <c r="DP10" s="88">
        <v>1620</v>
      </c>
      <c r="DQ10" s="88">
        <v>1824</v>
      </c>
      <c r="DR10" s="88">
        <v>2005</v>
      </c>
      <c r="DS10" s="29">
        <v>2000</v>
      </c>
      <c r="DT10" s="29">
        <v>2110</v>
      </c>
      <c r="DU10" s="29">
        <f t="shared" si="9"/>
        <v>2140</v>
      </c>
      <c r="DV10" s="34">
        <f t="shared" si="10"/>
        <v>2117</v>
      </c>
      <c r="DW10" s="29">
        <f t="shared" ref="DW10" si="49">SUM(BS10:BV10)</f>
        <v>2165</v>
      </c>
      <c r="DX10" s="29">
        <f t="shared" ref="DX10:DX11" si="50">SUM(BW10:BZ10)</f>
        <v>1930</v>
      </c>
      <c r="DY10" s="34">
        <f t="shared" si="24"/>
        <v>1286</v>
      </c>
      <c r="DZ10" s="34">
        <f t="shared" si="25"/>
        <v>493</v>
      </c>
      <c r="EA10" s="29">
        <f t="shared" ref="EA10:EE10" si="51">+DZ10*0.5</f>
        <v>246.5</v>
      </c>
      <c r="EB10" s="29">
        <f t="shared" si="51"/>
        <v>123.25</v>
      </c>
      <c r="EC10" s="29">
        <f t="shared" si="51"/>
        <v>61.625</v>
      </c>
      <c r="ED10" s="29">
        <f t="shared" si="51"/>
        <v>30.8125</v>
      </c>
      <c r="EE10" s="29">
        <f t="shared" si="51"/>
        <v>15.40625</v>
      </c>
      <c r="EF10" s="29">
        <f t="shared" ref="EF10" si="52">+EE10*0.5</f>
        <v>7.703125</v>
      </c>
      <c r="EG10" s="29">
        <f t="shared" ref="EG10" si="53">+EF10*0.5</f>
        <v>3.8515625</v>
      </c>
      <c r="EH10" s="29">
        <f t="shared" ref="EH10" si="54">+EG10*0.5</f>
        <v>1.92578125</v>
      </c>
      <c r="EI10" s="29">
        <f t="shared" ref="EI10" si="55">+EH10*0.5</f>
        <v>0.962890625</v>
      </c>
      <c r="EJ10" s="29">
        <f t="shared" ref="EJ10" si="56">+EI10*0.5</f>
        <v>0.4814453125</v>
      </c>
    </row>
    <row r="11" spans="1:141" x14ac:dyDescent="0.25">
      <c r="B11" s="1" t="s">
        <v>97</v>
      </c>
      <c r="C11" s="29">
        <f>3578-SUM(C3:C10)-C48-C49</f>
        <v>2853</v>
      </c>
      <c r="D11" s="29">
        <f>3886-SUM(D3:D10)-C48-C49</f>
        <v>3161</v>
      </c>
      <c r="E11" s="29">
        <f>3778-SUM(E3:E10)-C48-C49</f>
        <v>3053</v>
      </c>
      <c r="F11" s="29">
        <f>4012-SUM(F3:F10)-C48-C49</f>
        <v>3287</v>
      </c>
      <c r="G11" s="29">
        <f>3700-SUM(G3:G10)-C48-C49</f>
        <v>2970</v>
      </c>
      <c r="H11" s="29">
        <f>3859-SUM(H3:H10)-C48-C49</f>
        <v>3116</v>
      </c>
      <c r="I11" s="29">
        <f>3154-SUM(I3:I10)-C48-C49</f>
        <v>2384</v>
      </c>
      <c r="J11" s="29">
        <f>3145-SUM(J3:J10)-C48-C49</f>
        <v>2374</v>
      </c>
      <c r="K11" s="29">
        <f>3457-SUM(K2:K10)-C48-C49</f>
        <v>2670</v>
      </c>
      <c r="L11" s="29">
        <f>3851-SUM(L3:L10)-C48-C49</f>
        <v>3036</v>
      </c>
      <c r="M11" s="29">
        <f>3926-SUM(M3:M10)-M48-M49</f>
        <v>3632</v>
      </c>
      <c r="N11" s="29">
        <f>4388-SUM(N3:N10)-N48-N49</f>
        <v>4053</v>
      </c>
      <c r="O11" s="29">
        <f>4188-SUM(O3:O10)-O48-O49</f>
        <v>3868</v>
      </c>
      <c r="P11" s="29">
        <f>4475-SUM(P3:P10)-P48-P49</f>
        <v>4123</v>
      </c>
      <c r="Q11" s="29">
        <f>4510-SUM(Q3:Q10)-Q48-Q49</f>
        <v>4184</v>
      </c>
      <c r="R11" s="29">
        <f>4542-SUM(R3:R10)-R48-R49</f>
        <v>4201</v>
      </c>
      <c r="S11" s="29">
        <f>4322-SUM(S3:S10)</f>
        <v>4110</v>
      </c>
      <c r="T11" s="29">
        <f>4665-SUM(T3:T10)</f>
        <v>4410</v>
      </c>
      <c r="U11" s="29">
        <f>4788-SUM(U3:U10)</f>
        <v>4519</v>
      </c>
      <c r="V11" s="29">
        <f>5033-SUM(V3:V10)</f>
        <v>4746</v>
      </c>
      <c r="W11" s="29">
        <v>781</v>
      </c>
      <c r="X11" s="29">
        <f>4768-SUM(X3:X10)</f>
        <v>4458</v>
      </c>
      <c r="Y11" s="49">
        <v>721</v>
      </c>
      <c r="Z11" s="49">
        <v>830</v>
      </c>
      <c r="AA11" s="49">
        <v>734</v>
      </c>
      <c r="AB11" s="49">
        <v>750</v>
      </c>
      <c r="AC11" s="49">
        <v>725</v>
      </c>
      <c r="AD11" s="49">
        <v>741</v>
      </c>
      <c r="AE11" s="34">
        <v>681</v>
      </c>
      <c r="AF11" s="29">
        <v>672</v>
      </c>
      <c r="AG11" s="49">
        <v>644</v>
      </c>
      <c r="AH11" s="49">
        <f>2695-SUM(AE11:AG11)</f>
        <v>698</v>
      </c>
      <c r="AI11" s="29">
        <v>691</v>
      </c>
      <c r="AJ11" s="29">
        <v>671</v>
      </c>
      <c r="AK11" s="29">
        <v>670</v>
      </c>
      <c r="AL11" s="29">
        <v>733</v>
      </c>
      <c r="AM11" s="29">
        <v>772</v>
      </c>
      <c r="AN11" s="29">
        <v>767</v>
      </c>
      <c r="AO11" s="29">
        <v>778</v>
      </c>
      <c r="AP11" s="29"/>
      <c r="AQ11" s="94"/>
      <c r="AR11" s="94"/>
      <c r="AS11" s="94"/>
      <c r="AT11" s="95"/>
      <c r="AU11" s="95"/>
      <c r="AV11" s="95"/>
      <c r="AW11" s="95"/>
      <c r="AX11" s="95"/>
      <c r="AY11" s="95"/>
      <c r="AZ11" s="95"/>
      <c r="BA11" s="95"/>
      <c r="BB11" s="95"/>
      <c r="BC11" s="95"/>
      <c r="BD11" s="95"/>
      <c r="BE11" s="95"/>
      <c r="BF11" s="95"/>
      <c r="BG11" s="95"/>
      <c r="CA11" s="27">
        <v>319</v>
      </c>
      <c r="CB11" s="27">
        <v>341</v>
      </c>
      <c r="CC11" s="29">
        <v>433</v>
      </c>
      <c r="CD11" s="29">
        <v>512</v>
      </c>
      <c r="CE11" s="29">
        <v>403</v>
      </c>
      <c r="CF11" s="29">
        <v>470</v>
      </c>
      <c r="CG11" s="29">
        <v>514</v>
      </c>
      <c r="CH11" s="29">
        <v>537</v>
      </c>
      <c r="CI11" s="29">
        <v>581</v>
      </c>
      <c r="CJ11" s="29">
        <v>581</v>
      </c>
      <c r="CK11" s="29">
        <v>581</v>
      </c>
      <c r="CL11" s="29">
        <v>581</v>
      </c>
      <c r="CP11" s="29"/>
      <c r="CQ11" s="29"/>
      <c r="CR11" s="29"/>
      <c r="CS11" s="29"/>
      <c r="CT11" s="29"/>
      <c r="CU11" s="29"/>
      <c r="CV11" s="29"/>
      <c r="CW11" s="29"/>
      <c r="CX11" s="29"/>
      <c r="CY11" s="29"/>
      <c r="CZ11" s="29"/>
      <c r="DA11" s="29"/>
      <c r="DB11" s="29"/>
      <c r="DC11" s="29">
        <v>1878</v>
      </c>
      <c r="DD11" s="29">
        <v>3087</v>
      </c>
      <c r="DE11" s="29">
        <v>2667</v>
      </c>
      <c r="DF11" s="29">
        <f>SUM(C11:F11)</f>
        <v>12354</v>
      </c>
      <c r="DG11" s="29">
        <f>SUM(G11:J11)</f>
        <v>10844</v>
      </c>
      <c r="DH11" s="29">
        <f>SUM(K11:N11)</f>
        <v>13391</v>
      </c>
      <c r="DI11" s="29">
        <f>SUM(O11:R11)</f>
        <v>16376</v>
      </c>
      <c r="DJ11" s="49">
        <f>SUM(S11:V11)</f>
        <v>17785</v>
      </c>
      <c r="DK11" s="49">
        <f>SUM(W11:Z11)</f>
        <v>6790</v>
      </c>
      <c r="DL11" s="49">
        <f>SUM(AA11:AD11)</f>
        <v>2950</v>
      </c>
      <c r="DM11" s="29">
        <f>SUM(AE11:AH11)</f>
        <v>2695</v>
      </c>
      <c r="DN11" s="64">
        <f>DM11*0.95</f>
        <v>2560.25</v>
      </c>
      <c r="DO11" s="64">
        <f>DN11*0.95</f>
        <v>2432.2374999999997</v>
      </c>
      <c r="DP11" s="29">
        <f>DO11*0.95</f>
        <v>2310.6256249999997</v>
      </c>
      <c r="DQ11" s="29">
        <f>DP11*0.95</f>
        <v>2195.0943437499996</v>
      </c>
      <c r="DR11" s="29">
        <f>DQ11*0.95</f>
        <v>2085.3396265624997</v>
      </c>
      <c r="DX11" s="29">
        <f t="shared" si="50"/>
        <v>0</v>
      </c>
      <c r="DY11" s="34">
        <f t="shared" si="24"/>
        <v>1605</v>
      </c>
      <c r="DZ11" s="34">
        <f t="shared" si="25"/>
        <v>1924</v>
      </c>
      <c r="EA11" s="34">
        <f>+DZ11*0.9</f>
        <v>1731.6000000000001</v>
      </c>
      <c r="EB11" s="34">
        <f t="shared" ref="EB11:EJ11" si="57">+EA11*0.9</f>
        <v>1558.44</v>
      </c>
      <c r="EC11" s="34">
        <f t="shared" si="57"/>
        <v>1402.596</v>
      </c>
      <c r="ED11" s="34">
        <f t="shared" si="57"/>
        <v>1262.3364000000001</v>
      </c>
      <c r="EE11" s="34">
        <f t="shared" si="57"/>
        <v>1136.1027600000002</v>
      </c>
      <c r="EF11" s="34">
        <f t="shared" si="57"/>
        <v>1022.4924840000002</v>
      </c>
      <c r="EG11" s="34">
        <f t="shared" si="57"/>
        <v>920.24323560000016</v>
      </c>
      <c r="EH11" s="34">
        <f t="shared" si="57"/>
        <v>828.21891204000019</v>
      </c>
      <c r="EI11" s="34">
        <f t="shared" si="57"/>
        <v>745.39702083600014</v>
      </c>
      <c r="EJ11" s="34">
        <f t="shared" si="57"/>
        <v>670.85731875240015</v>
      </c>
    </row>
    <row r="12" spans="1:141" s="24" customFormat="1" x14ac:dyDescent="0.25">
      <c r="B12" s="43" t="s">
        <v>619</v>
      </c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34"/>
      <c r="W12" s="34"/>
      <c r="X12" s="34"/>
      <c r="Y12" s="53"/>
      <c r="Z12" s="53"/>
      <c r="AA12" s="53"/>
      <c r="AB12" s="53"/>
      <c r="AC12" s="53"/>
      <c r="AD12" s="53"/>
      <c r="AE12" s="93"/>
      <c r="AF12" s="93"/>
      <c r="AG12" s="93"/>
      <c r="AH12" s="93"/>
      <c r="AI12" s="93"/>
      <c r="AJ12" s="93"/>
      <c r="AK12" s="93"/>
      <c r="AL12" s="93"/>
      <c r="AM12" s="93"/>
      <c r="AN12" s="93"/>
      <c r="AO12" s="93"/>
      <c r="AP12" s="93"/>
      <c r="AQ12" s="93"/>
      <c r="AR12" s="93"/>
      <c r="AS12" s="93"/>
      <c r="AT12" s="94"/>
      <c r="AU12" s="94"/>
      <c r="AV12" s="94"/>
      <c r="AW12" s="94"/>
      <c r="AX12" s="94"/>
      <c r="AY12" s="94"/>
      <c r="AZ12" s="94"/>
      <c r="BA12" s="94"/>
      <c r="BB12" s="94"/>
      <c r="BC12" s="94"/>
      <c r="BD12" s="94"/>
      <c r="BE12" s="94"/>
      <c r="BF12" s="94"/>
      <c r="BG12" s="94"/>
      <c r="BH12" s="29">
        <v>0</v>
      </c>
      <c r="BI12" s="29">
        <v>0</v>
      </c>
      <c r="BJ12" s="29">
        <v>0</v>
      </c>
      <c r="BK12" s="29">
        <v>0</v>
      </c>
      <c r="BL12" s="29">
        <v>0</v>
      </c>
      <c r="BM12" s="29">
        <v>0</v>
      </c>
      <c r="BN12" s="29">
        <v>0</v>
      </c>
      <c r="BO12" s="29">
        <v>0</v>
      </c>
      <c r="BP12" s="29">
        <v>0</v>
      </c>
      <c r="BQ12" s="29">
        <v>0</v>
      </c>
      <c r="BR12" s="29">
        <v>0</v>
      </c>
      <c r="BS12" s="29">
        <v>6</v>
      </c>
      <c r="BT12" s="29">
        <v>58</v>
      </c>
      <c r="BU12" s="29">
        <v>84</v>
      </c>
      <c r="BV12" s="29">
        <v>104</v>
      </c>
      <c r="BW12" s="29">
        <v>117</v>
      </c>
      <c r="BX12" s="29">
        <v>154</v>
      </c>
      <c r="BY12" s="29">
        <v>166</v>
      </c>
      <c r="BZ12" s="29">
        <v>190</v>
      </c>
      <c r="CA12" s="29">
        <v>206</v>
      </c>
      <c r="CB12" s="29">
        <v>235</v>
      </c>
      <c r="CC12" s="29">
        <v>233</v>
      </c>
      <c r="CD12" s="29">
        <v>254</v>
      </c>
      <c r="CE12" s="29">
        <v>252</v>
      </c>
      <c r="CF12" s="29">
        <v>284</v>
      </c>
      <c r="CG12" s="29">
        <v>299</v>
      </c>
      <c r="CH12" s="29">
        <v>350</v>
      </c>
      <c r="CI12" s="29">
        <v>295</v>
      </c>
      <c r="CJ12" s="29">
        <v>295</v>
      </c>
      <c r="CK12" s="29">
        <f>+CJ12+5</f>
        <v>300</v>
      </c>
      <c r="CL12" s="29">
        <f>+CK12+5</f>
        <v>305</v>
      </c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  <c r="CX12" s="29"/>
      <c r="CY12" s="29"/>
      <c r="CZ12" s="29"/>
      <c r="DA12" s="29"/>
      <c r="DB12" s="29"/>
      <c r="DC12" s="29"/>
      <c r="DD12" s="29"/>
      <c r="DE12" s="29"/>
      <c r="DF12" s="29"/>
      <c r="DG12" s="29"/>
      <c r="DH12" s="29"/>
      <c r="DI12" s="29"/>
      <c r="DJ12" s="53"/>
      <c r="DK12" s="49"/>
      <c r="DL12" s="53"/>
      <c r="DM12" s="34"/>
      <c r="DN12" s="65"/>
      <c r="DO12" s="65"/>
      <c r="DP12" s="34">
        <v>0</v>
      </c>
      <c r="DQ12" s="34">
        <v>0</v>
      </c>
      <c r="DR12" s="34">
        <v>0</v>
      </c>
      <c r="DS12" s="34">
        <v>0</v>
      </c>
      <c r="DT12" s="29">
        <v>0</v>
      </c>
      <c r="DU12" s="29">
        <f>SUM(BK12:BN12)</f>
        <v>0</v>
      </c>
      <c r="DV12" s="34">
        <f>SUM(BO12:BR12)</f>
        <v>0</v>
      </c>
      <c r="DW12" s="29">
        <f>SUM(BS12:BV12)</f>
        <v>252</v>
      </c>
      <c r="DX12" s="29">
        <f t="shared" ref="DX12" si="58">SUM(BW12:BZ12)</f>
        <v>627</v>
      </c>
      <c r="DY12" s="34">
        <f t="shared" si="24"/>
        <v>928</v>
      </c>
      <c r="DZ12" s="34">
        <f t="shared" si="25"/>
        <v>1185</v>
      </c>
      <c r="EA12" s="29">
        <f t="shared" ref="EA12:EB12" si="59">+DZ12*1.2</f>
        <v>1422</v>
      </c>
      <c r="EB12" s="29">
        <f t="shared" si="59"/>
        <v>1706.3999999999999</v>
      </c>
      <c r="EC12" s="29">
        <f>+EB12*1.1</f>
        <v>1877.04</v>
      </c>
      <c r="ED12" s="29">
        <f>+EC12*1.05</f>
        <v>1970.8920000000001</v>
      </c>
      <c r="EE12" s="29">
        <f>+ED12*1.01</f>
        <v>1990.6009200000001</v>
      </c>
      <c r="EF12" s="29">
        <f t="shared" ref="EF12:EJ12" si="60">+EE12*1.01</f>
        <v>2010.5069292000001</v>
      </c>
      <c r="EG12" s="29">
        <f t="shared" si="60"/>
        <v>2030.6119984920001</v>
      </c>
      <c r="EH12" s="29">
        <f t="shared" si="60"/>
        <v>2050.91811847692</v>
      </c>
      <c r="EI12" s="29">
        <f t="shared" si="60"/>
        <v>2071.4272996616892</v>
      </c>
      <c r="EJ12" s="29">
        <f t="shared" si="60"/>
        <v>2092.1415726583059</v>
      </c>
    </row>
    <row r="13" spans="1:141" s="24" customFormat="1" x14ac:dyDescent="0.25">
      <c r="B13" s="43" t="s">
        <v>620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34"/>
      <c r="W13" s="34"/>
      <c r="X13" s="34"/>
      <c r="Y13" s="53"/>
      <c r="Z13" s="53"/>
      <c r="AA13" s="53"/>
      <c r="AB13" s="53"/>
      <c r="AC13" s="53"/>
      <c r="AD13" s="53"/>
      <c r="AE13" s="93"/>
      <c r="AF13" s="93"/>
      <c r="AG13" s="93"/>
      <c r="AH13" s="93"/>
      <c r="AI13" s="93"/>
      <c r="AJ13" s="93"/>
      <c r="AK13" s="93"/>
      <c r="AL13" s="93"/>
      <c r="AM13" s="93"/>
      <c r="AN13" s="93"/>
      <c r="AO13" s="93"/>
      <c r="AP13" s="93"/>
      <c r="AQ13" s="93"/>
      <c r="AR13" s="93"/>
      <c r="AS13" s="93"/>
      <c r="AT13" s="94"/>
      <c r="AU13" s="94"/>
      <c r="AV13" s="94"/>
      <c r="AW13" s="94"/>
      <c r="AX13" s="94"/>
      <c r="AY13" s="94"/>
      <c r="AZ13" s="94"/>
      <c r="BA13" s="94"/>
      <c r="BB13" s="94"/>
      <c r="BC13" s="94"/>
      <c r="BD13" s="94"/>
      <c r="BE13" s="94"/>
      <c r="BF13" s="94"/>
      <c r="BG13" s="94"/>
      <c r="BH13" s="29">
        <v>0</v>
      </c>
      <c r="BI13" s="29">
        <v>0</v>
      </c>
      <c r="BJ13" s="29">
        <v>166</v>
      </c>
      <c r="BK13" s="29">
        <v>300</v>
      </c>
      <c r="BL13" s="29">
        <v>308</v>
      </c>
      <c r="BM13" s="29">
        <v>342</v>
      </c>
      <c r="BN13" s="29">
        <v>297</v>
      </c>
      <c r="BO13" s="29">
        <v>314</v>
      </c>
      <c r="BP13" s="29">
        <v>296</v>
      </c>
      <c r="BQ13" s="29">
        <v>266</v>
      </c>
      <c r="BR13" s="29">
        <v>305</v>
      </c>
      <c r="BS13" s="29">
        <v>214</v>
      </c>
      <c r="BT13" s="29">
        <v>241</v>
      </c>
      <c r="BU13" s="29">
        <v>177</v>
      </c>
      <c r="BV13" s="29">
        <v>179</v>
      </c>
      <c r="BW13" s="29">
        <v>239</v>
      </c>
      <c r="BX13" s="29">
        <v>258</v>
      </c>
      <c r="BY13" s="29">
        <v>260</v>
      </c>
      <c r="BZ13" s="29">
        <v>247</v>
      </c>
      <c r="CA13" s="29">
        <v>217</v>
      </c>
      <c r="CB13" s="29">
        <v>231</v>
      </c>
      <c r="CC13" s="29">
        <v>253</v>
      </c>
      <c r="CD13" s="29">
        <v>174</v>
      </c>
      <c r="CE13" s="29">
        <v>105</v>
      </c>
      <c r="CF13" s="29">
        <v>105</v>
      </c>
      <c r="CG13" s="29">
        <v>74</v>
      </c>
      <c r="CH13" s="29">
        <v>84</v>
      </c>
      <c r="CI13" s="29">
        <v>50</v>
      </c>
      <c r="CJ13" s="29">
        <v>50</v>
      </c>
      <c r="CK13" s="29">
        <v>50</v>
      </c>
      <c r="CL13" s="29">
        <v>50</v>
      </c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  <c r="CX13" s="29"/>
      <c r="CY13" s="29"/>
      <c r="CZ13" s="29"/>
      <c r="DA13" s="29"/>
      <c r="DB13" s="29"/>
      <c r="DC13" s="29"/>
      <c r="DD13" s="29"/>
      <c r="DE13" s="29"/>
      <c r="DF13" s="29"/>
      <c r="DG13" s="29"/>
      <c r="DH13" s="29"/>
      <c r="DI13" s="29"/>
      <c r="DJ13" s="53"/>
      <c r="DK13" s="49"/>
      <c r="DL13" s="53"/>
      <c r="DM13" s="34"/>
      <c r="DN13" s="65"/>
      <c r="DO13" s="65"/>
      <c r="DP13" s="34">
        <v>0</v>
      </c>
      <c r="DQ13" s="34">
        <v>0</v>
      </c>
      <c r="DR13" s="34">
        <v>0</v>
      </c>
      <c r="DS13" s="34">
        <v>0</v>
      </c>
      <c r="DT13" s="29">
        <v>166</v>
      </c>
      <c r="DU13" s="29">
        <f>SUM(BK13:BN13)</f>
        <v>1247</v>
      </c>
      <c r="DV13" s="34">
        <f>SUM(BO13:BR13)</f>
        <v>1181</v>
      </c>
      <c r="DW13" s="29">
        <f>SUM(BS13:BV13)</f>
        <v>811</v>
      </c>
      <c r="DX13" s="29">
        <f>SUM(BW13:BZ13)</f>
        <v>1004</v>
      </c>
      <c r="DY13" s="34">
        <f t="shared" si="24"/>
        <v>875</v>
      </c>
      <c r="DZ13" s="34">
        <f t="shared" si="25"/>
        <v>368</v>
      </c>
      <c r="EA13" s="29">
        <f t="shared" ref="EA13:ED13" si="61">+DZ13*0.9</f>
        <v>331.2</v>
      </c>
      <c r="EB13" s="29">
        <f t="shared" si="61"/>
        <v>298.08</v>
      </c>
      <c r="EC13" s="29">
        <f t="shared" si="61"/>
        <v>268.27199999999999</v>
      </c>
      <c r="ED13" s="29">
        <f t="shared" si="61"/>
        <v>241.44479999999999</v>
      </c>
      <c r="EE13" s="29">
        <f t="shared" ref="EE13" si="62">+ED13*0.9</f>
        <v>217.30032</v>
      </c>
      <c r="EF13" s="29">
        <f t="shared" ref="EF13:EF14" si="63">+EE13*0.9</f>
        <v>195.57028800000001</v>
      </c>
      <c r="EG13" s="29">
        <f t="shared" ref="EG13:EG14" si="64">+EF13*0.9</f>
        <v>176.01325920000002</v>
      </c>
      <c r="EH13" s="29">
        <f t="shared" ref="EH13:EH14" si="65">+EG13*0.9</f>
        <v>158.41193328000003</v>
      </c>
      <c r="EI13" s="29">
        <f t="shared" ref="EI13:EI14" si="66">+EH13*0.9</f>
        <v>142.57073995200003</v>
      </c>
      <c r="EJ13" s="29">
        <f t="shared" ref="EJ13:EJ14" si="67">+EI13*0.9</f>
        <v>128.31366595680004</v>
      </c>
    </row>
    <row r="14" spans="1:141" s="24" customFormat="1" x14ac:dyDescent="0.25">
      <c r="B14" s="43" t="s">
        <v>613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34"/>
      <c r="W14" s="34"/>
      <c r="X14" s="34"/>
      <c r="Y14" s="53"/>
      <c r="Z14" s="53"/>
      <c r="AA14" s="53"/>
      <c r="AB14" s="53"/>
      <c r="AC14" s="53"/>
      <c r="AD14" s="53"/>
      <c r="AE14" s="53"/>
      <c r="AF14" s="34"/>
      <c r="AG14" s="53"/>
      <c r="AH14" s="53"/>
      <c r="AI14" s="34"/>
      <c r="AJ14" s="34"/>
      <c r="AK14" s="34"/>
      <c r="AL14" s="34"/>
      <c r="AM14" s="34"/>
      <c r="AN14" s="34"/>
      <c r="AO14" s="34">
        <v>820</v>
      </c>
      <c r="AP14" s="34">
        <v>835</v>
      </c>
      <c r="AQ14" s="34">
        <v>639</v>
      </c>
      <c r="AR14" s="34">
        <v>724</v>
      </c>
      <c r="AS14" s="34">
        <v>625</v>
      </c>
      <c r="AT14" s="29">
        <v>583</v>
      </c>
      <c r="AU14" s="29">
        <v>535</v>
      </c>
      <c r="AV14" s="29">
        <v>537</v>
      </c>
      <c r="AW14" s="29">
        <v>550</v>
      </c>
      <c r="AX14" s="29">
        <v>581</v>
      </c>
      <c r="AY14" s="29">
        <v>499</v>
      </c>
      <c r="AZ14" s="29">
        <v>479</v>
      </c>
      <c r="BA14" s="29">
        <v>539</v>
      </c>
      <c r="BB14" s="29">
        <v>595</v>
      </c>
      <c r="BC14" s="29">
        <v>405</v>
      </c>
      <c r="BD14" s="29">
        <v>421</v>
      </c>
      <c r="BE14" s="29">
        <v>539</v>
      </c>
      <c r="BF14" s="29">
        <v>579</v>
      </c>
      <c r="BG14" s="29">
        <v>487</v>
      </c>
      <c r="BH14" s="29">
        <v>481</v>
      </c>
      <c r="BI14" s="29">
        <v>350</v>
      </c>
      <c r="BJ14" s="29">
        <v>356</v>
      </c>
      <c r="BK14" s="29">
        <v>418</v>
      </c>
      <c r="BL14" s="29">
        <v>331</v>
      </c>
      <c r="BM14" s="29">
        <v>287</v>
      </c>
      <c r="BN14" s="29">
        <v>448</v>
      </c>
      <c r="BO14" s="29">
        <v>506</v>
      </c>
      <c r="BP14" s="29">
        <v>473</v>
      </c>
      <c r="BQ14" s="29">
        <v>339</v>
      </c>
      <c r="BR14" s="29">
        <v>441</v>
      </c>
      <c r="BS14" s="29">
        <v>462</v>
      </c>
      <c r="BT14" s="29">
        <v>435</v>
      </c>
      <c r="BU14" s="29">
        <v>441</v>
      </c>
      <c r="BV14" s="29">
        <v>411</v>
      </c>
      <c r="BW14" s="29">
        <v>467</v>
      </c>
      <c r="BX14" s="29">
        <v>472</v>
      </c>
      <c r="BY14" s="29">
        <v>476</v>
      </c>
      <c r="BZ14" s="29">
        <v>480</v>
      </c>
      <c r="CA14" s="29">
        <v>228</v>
      </c>
      <c r="CB14" s="29">
        <v>222</v>
      </c>
      <c r="CC14" s="29">
        <v>225</v>
      </c>
      <c r="CD14" s="29">
        <v>250</v>
      </c>
      <c r="CE14" s="29">
        <v>199</v>
      </c>
      <c r="CF14" s="29">
        <v>223</v>
      </c>
      <c r="CG14" s="29">
        <v>177</v>
      </c>
      <c r="CH14" s="29">
        <v>199</v>
      </c>
      <c r="CI14" s="29">
        <f>156-15</f>
        <v>141</v>
      </c>
      <c r="CJ14" s="29">
        <f t="shared" ref="CJ14:CL14" si="68">156-15</f>
        <v>141</v>
      </c>
      <c r="CK14" s="29">
        <f t="shared" si="68"/>
        <v>141</v>
      </c>
      <c r="CL14" s="29">
        <f t="shared" si="68"/>
        <v>141</v>
      </c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  <c r="CX14" s="29"/>
      <c r="CY14" s="29"/>
      <c r="CZ14" s="29"/>
      <c r="DA14" s="29"/>
      <c r="DB14" s="29"/>
      <c r="DC14" s="29"/>
      <c r="DD14" s="29"/>
      <c r="DE14" s="29"/>
      <c r="DF14" s="29"/>
      <c r="DG14" s="29"/>
      <c r="DH14" s="29"/>
      <c r="DI14" s="29"/>
      <c r="DJ14" s="53"/>
      <c r="DK14" s="49"/>
      <c r="DL14" s="53"/>
      <c r="DM14" s="34"/>
      <c r="DN14" s="65"/>
      <c r="DO14" s="65"/>
      <c r="DP14" s="34"/>
      <c r="DQ14" s="34"/>
      <c r="DR14" s="29"/>
      <c r="DS14" s="29">
        <v>2357</v>
      </c>
      <c r="DT14" s="29">
        <v>1674</v>
      </c>
      <c r="DU14" s="29">
        <f t="shared" ref="DU14:DU27" si="69">SUM(BK14:BN14)</f>
        <v>1484</v>
      </c>
      <c r="DV14" s="34">
        <f t="shared" si="10"/>
        <v>1759</v>
      </c>
      <c r="DW14" s="29">
        <f t="shared" ref="DW14:DW25" si="70">SUM(BS14:BV14)</f>
        <v>1749</v>
      </c>
      <c r="DX14" s="29">
        <f t="shared" ref="DX14:DX26" si="71">SUM(BW14:BZ14)</f>
        <v>1895</v>
      </c>
      <c r="DY14" s="34">
        <f t="shared" si="24"/>
        <v>925</v>
      </c>
      <c r="DZ14" s="34">
        <f t="shared" si="25"/>
        <v>798</v>
      </c>
      <c r="EA14" s="29">
        <f t="shared" ref="EA14:ED14" si="72">+DZ14*0.95</f>
        <v>758.09999999999991</v>
      </c>
      <c r="EB14" s="29">
        <f t="shared" si="72"/>
        <v>720.19499999999994</v>
      </c>
      <c r="EC14" s="29">
        <f t="shared" si="72"/>
        <v>684.18524999999988</v>
      </c>
      <c r="ED14" s="29">
        <f t="shared" si="72"/>
        <v>649.97598749999986</v>
      </c>
      <c r="EE14" s="29">
        <f t="shared" ref="EE14" si="73">+ED14*0.9</f>
        <v>584.97838874999991</v>
      </c>
      <c r="EF14" s="29">
        <f t="shared" si="63"/>
        <v>526.48054987499995</v>
      </c>
      <c r="EG14" s="29">
        <f t="shared" si="64"/>
        <v>473.83249488749999</v>
      </c>
      <c r="EH14" s="29">
        <f t="shared" si="65"/>
        <v>426.44924539875001</v>
      </c>
      <c r="EI14" s="29">
        <f t="shared" si="66"/>
        <v>383.80432085887503</v>
      </c>
      <c r="EJ14" s="29">
        <f t="shared" si="67"/>
        <v>345.42388877298754</v>
      </c>
    </row>
    <row r="15" spans="1:141" s="24" customFormat="1" x14ac:dyDescent="0.25">
      <c r="B15" s="43" t="s">
        <v>616</v>
      </c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34"/>
      <c r="W15" s="34"/>
      <c r="X15" s="34"/>
      <c r="Y15" s="53"/>
      <c r="Z15" s="53"/>
      <c r="AA15" s="53"/>
      <c r="AB15" s="53"/>
      <c r="AC15" s="53"/>
      <c r="AD15" s="53"/>
      <c r="AE15" s="53"/>
      <c r="AF15" s="34"/>
      <c r="AG15" s="53"/>
      <c r="AH15" s="93"/>
      <c r="AI15" s="93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94"/>
      <c r="AU15" s="94"/>
      <c r="AV15" s="94"/>
      <c r="AW15" s="94"/>
      <c r="AX15" s="94"/>
      <c r="AY15" s="94"/>
      <c r="AZ15" s="94"/>
      <c r="BA15" s="94"/>
      <c r="BB15" s="94"/>
      <c r="BC15" s="94"/>
      <c r="BD15" s="94"/>
      <c r="BE15" s="94"/>
      <c r="BF15" s="94"/>
      <c r="BG15" s="94"/>
      <c r="BH15" s="29">
        <v>0</v>
      </c>
      <c r="BI15" s="29">
        <v>0</v>
      </c>
      <c r="BJ15" s="29">
        <v>0</v>
      </c>
      <c r="BK15" s="29">
        <v>0</v>
      </c>
      <c r="BL15" s="29">
        <v>0</v>
      </c>
      <c r="BM15" s="29">
        <v>0</v>
      </c>
      <c r="BN15" s="29">
        <v>0</v>
      </c>
      <c r="BO15" s="29">
        <v>0</v>
      </c>
      <c r="BP15" s="29">
        <v>17</v>
      </c>
      <c r="BQ15" s="29">
        <v>30</v>
      </c>
      <c r="BR15" s="29">
        <v>40</v>
      </c>
      <c r="BS15" s="29">
        <v>44</v>
      </c>
      <c r="BT15" s="29">
        <v>39</v>
      </c>
      <c r="BU15" s="29">
        <v>44</v>
      </c>
      <c r="BV15" s="29">
        <v>55</v>
      </c>
      <c r="BW15" s="29">
        <v>71</v>
      </c>
      <c r="BX15" s="29">
        <v>100</v>
      </c>
      <c r="BY15" s="29">
        <v>92</v>
      </c>
      <c r="BZ15" s="29">
        <v>101</v>
      </c>
      <c r="CA15" s="29">
        <v>107</v>
      </c>
      <c r="CB15" s="29">
        <v>153</v>
      </c>
      <c r="CC15" s="29">
        <v>224</v>
      </c>
      <c r="CD15" s="29">
        <v>263</v>
      </c>
      <c r="CE15" s="29">
        <v>263</v>
      </c>
      <c r="CF15" s="29">
        <v>344</v>
      </c>
      <c r="CG15" s="29">
        <v>359</v>
      </c>
      <c r="CH15" s="29">
        <v>392</v>
      </c>
      <c r="CI15" s="29">
        <v>411</v>
      </c>
      <c r="CJ15" s="29">
        <v>411</v>
      </c>
      <c r="CK15" s="29">
        <v>411</v>
      </c>
      <c r="CL15" s="29">
        <v>411</v>
      </c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  <c r="CX15" s="29"/>
      <c r="CY15" s="29"/>
      <c r="CZ15" s="29"/>
      <c r="DA15" s="29"/>
      <c r="DB15" s="29"/>
      <c r="DC15" s="29"/>
      <c r="DD15" s="29"/>
      <c r="DE15" s="29"/>
      <c r="DF15" s="29"/>
      <c r="DG15" s="29"/>
      <c r="DH15" s="29"/>
      <c r="DI15" s="29"/>
      <c r="DJ15" s="53"/>
      <c r="DK15" s="49"/>
      <c r="DL15" s="53"/>
      <c r="DM15" s="34"/>
      <c r="DN15" s="65"/>
      <c r="DO15" s="65"/>
      <c r="DP15" s="34">
        <v>0</v>
      </c>
      <c r="DQ15" s="34">
        <v>0</v>
      </c>
      <c r="DR15" s="34">
        <v>0</v>
      </c>
      <c r="DS15" s="34">
        <v>0</v>
      </c>
      <c r="DT15" s="29">
        <v>0</v>
      </c>
      <c r="DU15" s="29">
        <f>SUM(BK15:BN15)</f>
        <v>0</v>
      </c>
      <c r="DV15" s="34">
        <f>SUM(BO15:BR15)</f>
        <v>87</v>
      </c>
      <c r="DW15" s="29">
        <f>SUM(BS15:BV15)</f>
        <v>182</v>
      </c>
      <c r="DX15" s="29">
        <f>SUM(BW15:BZ15)</f>
        <v>364</v>
      </c>
      <c r="DY15" s="34">
        <f t="shared" si="24"/>
        <v>747</v>
      </c>
      <c r="DZ15" s="34">
        <f t="shared" si="25"/>
        <v>1358</v>
      </c>
      <c r="EA15" s="29">
        <f>+DZ15*1.2</f>
        <v>1629.6</v>
      </c>
      <c r="EB15" s="29">
        <f>+EA15*1.2</f>
        <v>1955.5199999999998</v>
      </c>
      <c r="EC15" s="34">
        <f>+EB15*1.05</f>
        <v>2053.2959999999998</v>
      </c>
      <c r="ED15" s="34">
        <f>+EC15*1.05</f>
        <v>2155.9607999999998</v>
      </c>
      <c r="EE15" s="24">
        <f>+ED15*1.01</f>
        <v>2177.5204079999999</v>
      </c>
      <c r="EF15" s="24">
        <f t="shared" ref="EF15:EJ15" si="74">+EE15*1.01</f>
        <v>2199.29561208</v>
      </c>
      <c r="EG15" s="24">
        <f t="shared" si="74"/>
        <v>2221.2885682008</v>
      </c>
      <c r="EH15" s="24">
        <f t="shared" si="74"/>
        <v>2243.5014538828082</v>
      </c>
      <c r="EI15" s="24">
        <f t="shared" si="74"/>
        <v>2265.9364684216362</v>
      </c>
      <c r="EJ15" s="24">
        <f t="shared" si="74"/>
        <v>2288.5958331058528</v>
      </c>
    </row>
    <row r="16" spans="1:141" s="24" customFormat="1" x14ac:dyDescent="0.25">
      <c r="B16" s="43" t="s">
        <v>615</v>
      </c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34"/>
      <c r="W16" s="34"/>
      <c r="X16" s="34"/>
      <c r="Y16" s="53"/>
      <c r="Z16" s="53"/>
      <c r="AA16" s="53"/>
      <c r="AB16" s="53"/>
      <c r="AC16" s="53"/>
      <c r="AD16" s="53"/>
      <c r="AE16" s="53"/>
      <c r="AF16" s="34"/>
      <c r="AG16" s="53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4"/>
      <c r="AU16" s="94"/>
      <c r="AV16" s="94"/>
      <c r="AW16" s="94"/>
      <c r="AX16" s="94"/>
      <c r="AY16" s="94"/>
      <c r="AZ16" s="94"/>
      <c r="BA16" s="94"/>
      <c r="BB16" s="94"/>
      <c r="BC16" s="94"/>
      <c r="BD16" s="94"/>
      <c r="BE16" s="94"/>
      <c r="BF16" s="94"/>
      <c r="BG16" s="94"/>
      <c r="BH16" s="29">
        <v>0</v>
      </c>
      <c r="BI16" s="29">
        <v>0</v>
      </c>
      <c r="BJ16" s="29">
        <v>0</v>
      </c>
      <c r="BK16" s="29">
        <v>0</v>
      </c>
      <c r="BL16" s="29">
        <v>1</v>
      </c>
      <c r="BM16" s="29">
        <v>2</v>
      </c>
      <c r="BN16" s="29">
        <v>9</v>
      </c>
      <c r="BO16" s="29">
        <v>18</v>
      </c>
      <c r="BP16" s="29">
        <v>28</v>
      </c>
      <c r="BQ16" s="29">
        <v>40</v>
      </c>
      <c r="BR16" s="29">
        <v>48</v>
      </c>
      <c r="BS16" s="29">
        <v>36</v>
      </c>
      <c r="BT16" s="29">
        <v>66</v>
      </c>
      <c r="BU16" s="29">
        <v>69</v>
      </c>
      <c r="BV16" s="29">
        <v>79</v>
      </c>
      <c r="BW16" s="29">
        <v>78</v>
      </c>
      <c r="BX16" s="29">
        <v>100</v>
      </c>
      <c r="BY16" s="29">
        <v>123</v>
      </c>
      <c r="BZ16" s="29">
        <v>133</v>
      </c>
      <c r="CA16" s="29">
        <v>110</v>
      </c>
      <c r="CB16" s="29">
        <v>151</v>
      </c>
      <c r="CC16" s="29">
        <v>147</v>
      </c>
      <c r="CD16" s="29">
        <v>158</v>
      </c>
      <c r="CE16" s="29">
        <v>107</v>
      </c>
      <c r="CF16" s="29">
        <v>150</v>
      </c>
      <c r="CG16" s="29">
        <v>161</v>
      </c>
      <c r="CH16" s="29">
        <v>160</v>
      </c>
      <c r="CI16" s="29">
        <v>118</v>
      </c>
      <c r="CJ16" s="29">
        <v>118</v>
      </c>
      <c r="CK16" s="29">
        <v>118</v>
      </c>
      <c r="CL16" s="29">
        <v>118</v>
      </c>
      <c r="CM16" s="29"/>
      <c r="CN16" s="29"/>
      <c r="CO16" s="29"/>
      <c r="CP16" s="29"/>
      <c r="CQ16" s="29"/>
      <c r="CR16" s="29"/>
      <c r="CS16" s="29"/>
      <c r="CT16" s="29"/>
      <c r="CU16" s="29"/>
      <c r="CV16" s="29"/>
      <c r="CW16" s="29"/>
      <c r="CX16" s="29"/>
      <c r="CY16" s="29"/>
      <c r="CZ16" s="29"/>
      <c r="DA16" s="29"/>
      <c r="DB16" s="29"/>
      <c r="DC16" s="29"/>
      <c r="DD16" s="29"/>
      <c r="DE16" s="29"/>
      <c r="DF16" s="29"/>
      <c r="DG16" s="29"/>
      <c r="DH16" s="29"/>
      <c r="DI16" s="29"/>
      <c r="DJ16" s="53"/>
      <c r="DK16" s="49"/>
      <c r="DL16" s="53"/>
      <c r="DM16" s="34"/>
      <c r="DN16" s="65"/>
      <c r="DO16" s="65"/>
      <c r="DP16" s="34">
        <v>0</v>
      </c>
      <c r="DQ16" s="34">
        <v>0</v>
      </c>
      <c r="DR16" s="34">
        <v>0</v>
      </c>
      <c r="DS16" s="34">
        <v>0</v>
      </c>
      <c r="DT16" s="29">
        <v>0</v>
      </c>
      <c r="DU16" s="29">
        <f>SUM(BK16:BN16)</f>
        <v>12</v>
      </c>
      <c r="DV16" s="34">
        <f>SUM(BO16:BR16)</f>
        <v>134</v>
      </c>
      <c r="DW16" s="29">
        <f>SUM(BS16:BV16)</f>
        <v>250</v>
      </c>
      <c r="DX16" s="29">
        <f>SUM(BW16:BZ16)</f>
        <v>434</v>
      </c>
      <c r="DY16" s="34">
        <f t="shared" si="24"/>
        <v>566</v>
      </c>
      <c r="DZ16" s="34">
        <f t="shared" si="25"/>
        <v>578</v>
      </c>
      <c r="EA16" s="29">
        <f t="shared" ref="EA16:EB16" si="75">+DZ16*1.2</f>
        <v>693.6</v>
      </c>
      <c r="EB16" s="29">
        <f t="shared" si="75"/>
        <v>832.32</v>
      </c>
      <c r="EC16" s="34">
        <f>+EB16*1.05</f>
        <v>873.93600000000004</v>
      </c>
      <c r="ED16" s="34">
        <f>+EC16*1.05</f>
        <v>917.63280000000009</v>
      </c>
      <c r="EE16" s="24">
        <f>+ED16*1.01</f>
        <v>926.8091280000001</v>
      </c>
      <c r="EF16" s="24">
        <f>+EE16*0.9</f>
        <v>834.12821520000011</v>
      </c>
      <c r="EG16" s="24">
        <f>+EF16*0.5</f>
        <v>417.06410760000006</v>
      </c>
      <c r="EH16" s="24">
        <f t="shared" ref="EH16:EJ16" si="76">+EG16*0.5</f>
        <v>208.53205380000003</v>
      </c>
      <c r="EI16" s="24">
        <f t="shared" si="76"/>
        <v>104.26602690000001</v>
      </c>
      <c r="EJ16" s="24">
        <f t="shared" si="76"/>
        <v>52.133013450000007</v>
      </c>
    </row>
    <row r="17" spans="2:140" s="24" customFormat="1" x14ac:dyDescent="0.25">
      <c r="B17" s="43" t="s">
        <v>640</v>
      </c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34"/>
      <c r="W17" s="34"/>
      <c r="X17" s="34"/>
      <c r="Y17" s="53"/>
      <c r="Z17" s="53"/>
      <c r="AA17" s="53"/>
      <c r="AB17" s="53"/>
      <c r="AC17" s="53"/>
      <c r="AD17" s="53"/>
      <c r="AE17" s="53"/>
      <c r="AF17" s="34"/>
      <c r="AG17" s="53"/>
      <c r="AH17" s="93"/>
      <c r="AI17" s="93"/>
      <c r="AJ17" s="93"/>
      <c r="AK17" s="93"/>
      <c r="AL17" s="93"/>
      <c r="AM17" s="93"/>
      <c r="AN17" s="93"/>
      <c r="AO17" s="93"/>
      <c r="AP17" s="93"/>
      <c r="AQ17" s="93"/>
      <c r="AR17" s="93"/>
      <c r="AS17" s="93"/>
      <c r="AT17" s="94"/>
      <c r="AU17" s="94"/>
      <c r="AV17" s="94"/>
      <c r="AW17" s="94"/>
      <c r="AX17" s="94"/>
      <c r="AY17" s="94"/>
      <c r="AZ17" s="94"/>
      <c r="BA17" s="94"/>
      <c r="BB17" s="94"/>
      <c r="BC17" s="94"/>
      <c r="BD17" s="94"/>
      <c r="BE17" s="94"/>
      <c r="BF17" s="94"/>
      <c r="BG17" s="94"/>
      <c r="BH17" s="29">
        <v>0</v>
      </c>
      <c r="BI17" s="29">
        <v>0</v>
      </c>
      <c r="BJ17" s="29">
        <v>0</v>
      </c>
      <c r="BK17" s="29">
        <v>0</v>
      </c>
      <c r="BL17" s="29">
        <v>0</v>
      </c>
      <c r="BM17" s="29">
        <v>0</v>
      </c>
      <c r="BN17" s="29">
        <v>0</v>
      </c>
      <c r="BO17" s="29">
        <v>0</v>
      </c>
      <c r="BP17" s="29">
        <v>0</v>
      </c>
      <c r="BQ17" s="29">
        <v>0</v>
      </c>
      <c r="BR17" s="29">
        <v>0</v>
      </c>
      <c r="BS17" s="29">
        <v>0</v>
      </c>
      <c r="BT17" s="29">
        <v>3</v>
      </c>
      <c r="BU17" s="29">
        <v>5</v>
      </c>
      <c r="BV17" s="29">
        <v>16</v>
      </c>
      <c r="BW17" s="29">
        <v>29</v>
      </c>
      <c r="BX17" s="29">
        <v>46</v>
      </c>
      <c r="BY17" s="29">
        <v>68</v>
      </c>
      <c r="BZ17" s="29">
        <v>88</v>
      </c>
      <c r="CA17" s="29">
        <v>84</v>
      </c>
      <c r="CB17" s="29">
        <v>139</v>
      </c>
      <c r="CC17" s="29">
        <v>156</v>
      </c>
      <c r="CD17" s="29">
        <v>223</v>
      </c>
      <c r="CE17" s="29">
        <v>159</v>
      </c>
      <c r="CF17" s="29">
        <v>260</v>
      </c>
      <c r="CG17" s="29">
        <v>296</v>
      </c>
      <c r="CH17" s="29">
        <v>353</v>
      </c>
      <c r="CI17" s="29">
        <v>314</v>
      </c>
      <c r="CJ17" s="29">
        <f>+CI17+25</f>
        <v>339</v>
      </c>
      <c r="CK17" s="29">
        <f>+CJ17+25</f>
        <v>364</v>
      </c>
      <c r="CL17" s="29">
        <f>+CK17+25</f>
        <v>389</v>
      </c>
      <c r="CM17" s="29"/>
      <c r="CN17" s="29"/>
      <c r="CO17" s="29"/>
      <c r="CP17" s="29"/>
      <c r="CQ17" s="29"/>
      <c r="CR17" s="29"/>
      <c r="CS17" s="29"/>
      <c r="CT17" s="29"/>
      <c r="CU17" s="29"/>
      <c r="CV17" s="29"/>
      <c r="CW17" s="29"/>
      <c r="CX17" s="29"/>
      <c r="CY17" s="29"/>
      <c r="CZ17" s="29"/>
      <c r="DA17" s="29"/>
      <c r="DB17" s="29"/>
      <c r="DC17" s="29"/>
      <c r="DD17" s="29"/>
      <c r="DE17" s="29"/>
      <c r="DF17" s="29"/>
      <c r="DG17" s="29"/>
      <c r="DH17" s="29"/>
      <c r="DI17" s="29"/>
      <c r="DJ17" s="53"/>
      <c r="DK17" s="49"/>
      <c r="DL17" s="53"/>
      <c r="DM17" s="34"/>
      <c r="DN17" s="65"/>
      <c r="DO17" s="65"/>
      <c r="DP17" s="34">
        <v>0</v>
      </c>
      <c r="DQ17" s="34">
        <v>0</v>
      </c>
      <c r="DR17" s="34">
        <v>0</v>
      </c>
      <c r="DS17" s="34">
        <v>0</v>
      </c>
      <c r="DT17" s="29">
        <v>0</v>
      </c>
      <c r="DU17" s="29">
        <f>SUM(BK17:BN17)</f>
        <v>0</v>
      </c>
      <c r="DV17" s="34">
        <f>SUM(BO17:BR17)</f>
        <v>0</v>
      </c>
      <c r="DW17" s="29">
        <f>SUM(BS17:BV17)</f>
        <v>24</v>
      </c>
      <c r="DX17" s="29">
        <f>SUM(BW17:BZ17)</f>
        <v>231</v>
      </c>
      <c r="DY17" s="34">
        <f t="shared" si="24"/>
        <v>602</v>
      </c>
      <c r="DZ17" s="34">
        <f t="shared" si="25"/>
        <v>1068</v>
      </c>
      <c r="EA17" s="34">
        <f>+DZ17*1.3</f>
        <v>1388.4</v>
      </c>
      <c r="EB17" s="34">
        <f>+EA17*1.3</f>
        <v>1804.92</v>
      </c>
      <c r="EC17" s="34">
        <f>+EB17*1.2</f>
        <v>2165.904</v>
      </c>
      <c r="ED17" s="34">
        <f>+EC17*1.15</f>
        <v>2490.7895999999996</v>
      </c>
      <c r="EE17" s="24">
        <f>+ED17*1.1</f>
        <v>2739.8685599999999</v>
      </c>
      <c r="EF17" s="24">
        <f>+EE17</f>
        <v>2739.8685599999999</v>
      </c>
      <c r="EG17" s="24">
        <f>+EF17</f>
        <v>2739.8685599999999</v>
      </c>
      <c r="EH17" s="24">
        <f>+EG17</f>
        <v>2739.8685599999999</v>
      </c>
      <c r="EI17" s="24">
        <f>+EH17*0.1</f>
        <v>273.98685599999999</v>
      </c>
      <c r="EJ17" s="24">
        <f>+EI17*0.1</f>
        <v>27.3986856</v>
      </c>
    </row>
    <row r="18" spans="2:140" s="24" customFormat="1" x14ac:dyDescent="0.25">
      <c r="B18" s="43" t="s">
        <v>614</v>
      </c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34"/>
      <c r="W18" s="34"/>
      <c r="X18" s="34"/>
      <c r="Y18" s="53"/>
      <c r="Z18" s="53"/>
      <c r="AA18" s="53"/>
      <c r="AB18" s="53"/>
      <c r="AC18" s="53"/>
      <c r="AD18" s="53"/>
      <c r="AE18" s="53"/>
      <c r="AF18" s="34"/>
      <c r="AG18" s="53"/>
      <c r="AH18" s="93"/>
      <c r="AI18" s="93"/>
      <c r="AJ18" s="93"/>
      <c r="AK18" s="93"/>
      <c r="AL18" s="93"/>
      <c r="AM18" s="93"/>
      <c r="AN18" s="93"/>
      <c r="AO18" s="93"/>
      <c r="AP18" s="93"/>
      <c r="AQ18" s="93"/>
      <c r="AR18" s="93"/>
      <c r="AS18" s="93"/>
      <c r="AT18" s="94"/>
      <c r="AU18" s="94"/>
      <c r="AV18" s="94"/>
      <c r="AW18" s="94"/>
      <c r="AX18" s="94"/>
      <c r="AY18" s="94"/>
      <c r="AZ18" s="94"/>
      <c r="BA18" s="94"/>
      <c r="BB18" s="94"/>
      <c r="BC18" s="94"/>
      <c r="BD18" s="94"/>
      <c r="BE18" s="94"/>
      <c r="BF18" s="94"/>
      <c r="BG18" s="94"/>
      <c r="BH18" s="29">
        <v>0</v>
      </c>
      <c r="BI18" s="29">
        <v>0</v>
      </c>
      <c r="BJ18" s="29">
        <v>0</v>
      </c>
      <c r="BK18" s="29">
        <v>0</v>
      </c>
      <c r="BL18" s="29">
        <v>0</v>
      </c>
      <c r="BM18" s="29">
        <v>0</v>
      </c>
      <c r="BN18" s="29">
        <v>0</v>
      </c>
      <c r="BO18" s="29">
        <v>0</v>
      </c>
      <c r="BP18" s="29">
        <v>24</v>
      </c>
      <c r="BQ18" s="29">
        <v>71</v>
      </c>
      <c r="BR18" s="29">
        <v>69</v>
      </c>
      <c r="BS18" s="29">
        <v>67</v>
      </c>
      <c r="BT18" s="29">
        <v>89</v>
      </c>
      <c r="BU18" s="29">
        <v>107</v>
      </c>
      <c r="BV18" s="29">
        <v>125</v>
      </c>
      <c r="BW18" s="29">
        <v>147</v>
      </c>
      <c r="BX18" s="29">
        <v>132</v>
      </c>
      <c r="BY18" s="29">
        <v>93</v>
      </c>
      <c r="BZ18" s="29">
        <v>100</v>
      </c>
      <c r="CA18" s="29">
        <v>82</v>
      </c>
      <c r="CB18" s="29">
        <v>95</v>
      </c>
      <c r="CC18" s="29">
        <v>124</v>
      </c>
      <c r="CD18" s="29">
        <v>105</v>
      </c>
      <c r="CE18" s="29">
        <v>103</v>
      </c>
      <c r="CF18" s="29">
        <v>87</v>
      </c>
      <c r="CG18" s="29">
        <v>137</v>
      </c>
      <c r="CH18" s="29">
        <v>100</v>
      </c>
      <c r="CI18" s="29">
        <v>0</v>
      </c>
      <c r="CJ18" s="29">
        <v>0</v>
      </c>
      <c r="CK18" s="29">
        <v>0</v>
      </c>
      <c r="CL18" s="29">
        <v>0</v>
      </c>
      <c r="CM18" s="29"/>
      <c r="CN18" s="29"/>
      <c r="CO18" s="29"/>
      <c r="CP18" s="29"/>
      <c r="CQ18" s="29"/>
      <c r="CR18" s="29"/>
      <c r="CS18" s="29"/>
      <c r="CT18" s="29"/>
      <c r="CU18" s="29"/>
      <c r="CV18" s="29"/>
      <c r="CW18" s="29"/>
      <c r="CX18" s="29"/>
      <c r="CY18" s="29"/>
      <c r="CZ18" s="29"/>
      <c r="DA18" s="29"/>
      <c r="DB18" s="29"/>
      <c r="DC18" s="29"/>
      <c r="DD18" s="29"/>
      <c r="DE18" s="29"/>
      <c r="DF18" s="29"/>
      <c r="DG18" s="29"/>
      <c r="DH18" s="29"/>
      <c r="DI18" s="29"/>
      <c r="DJ18" s="53"/>
      <c r="DK18" s="49"/>
      <c r="DL18" s="53"/>
      <c r="DM18" s="34"/>
      <c r="DN18" s="65"/>
      <c r="DO18" s="65"/>
      <c r="DP18" s="34">
        <v>0</v>
      </c>
      <c r="DQ18" s="34">
        <v>0</v>
      </c>
      <c r="DR18" s="34">
        <v>0</v>
      </c>
      <c r="DS18" s="34">
        <v>0</v>
      </c>
      <c r="DT18" s="29">
        <v>0</v>
      </c>
      <c r="DU18" s="29">
        <f t="shared" si="69"/>
        <v>0</v>
      </c>
      <c r="DV18" s="34">
        <f t="shared" si="10"/>
        <v>164</v>
      </c>
      <c r="DW18" s="29">
        <f t="shared" si="70"/>
        <v>388</v>
      </c>
      <c r="DX18" s="29">
        <f t="shared" si="71"/>
        <v>472</v>
      </c>
      <c r="DY18" s="34">
        <f t="shared" si="24"/>
        <v>406</v>
      </c>
      <c r="DZ18" s="34">
        <f t="shared" si="25"/>
        <v>427</v>
      </c>
      <c r="EA18" s="29">
        <f t="shared" ref="EA18:EB18" si="77">+DZ18*1.2</f>
        <v>512.4</v>
      </c>
      <c r="EB18" s="29">
        <f t="shared" si="77"/>
        <v>614.88</v>
      </c>
      <c r="EC18" s="34">
        <f>+EB18*1.05</f>
        <v>645.62400000000002</v>
      </c>
      <c r="ED18" s="34">
        <f t="shared" ref="ED18" si="78">+EC18*1.05</f>
        <v>677.90520000000004</v>
      </c>
      <c r="EE18" s="24">
        <f>+ED18*1.01</f>
        <v>684.68425200000001</v>
      </c>
      <c r="EF18" s="24">
        <f>+EE18</f>
        <v>684.68425200000001</v>
      </c>
      <c r="EG18" s="24">
        <f t="shared" ref="EG18:EJ18" si="79">+EF18</f>
        <v>684.68425200000001</v>
      </c>
      <c r="EH18" s="24">
        <f t="shared" si="79"/>
        <v>684.68425200000001</v>
      </c>
      <c r="EI18" s="24">
        <f t="shared" si="79"/>
        <v>684.68425200000001</v>
      </c>
      <c r="EJ18" s="24">
        <f t="shared" si="79"/>
        <v>684.68425200000001</v>
      </c>
    </row>
    <row r="19" spans="2:140" s="24" customFormat="1" x14ac:dyDescent="0.25">
      <c r="B19" s="43" t="s">
        <v>675</v>
      </c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34"/>
      <c r="W19" s="34"/>
      <c r="X19" s="34"/>
      <c r="Y19" s="53"/>
      <c r="Z19" s="53"/>
      <c r="AA19" s="53"/>
      <c r="AB19" s="53"/>
      <c r="AC19" s="53"/>
      <c r="AD19" s="53"/>
      <c r="AE19" s="53"/>
      <c r="AF19" s="34"/>
      <c r="AG19" s="53"/>
      <c r="AH19" s="93"/>
      <c r="AI19" s="93"/>
      <c r="AJ19" s="93"/>
      <c r="AK19" s="93"/>
      <c r="AL19" s="93"/>
      <c r="AM19" s="93"/>
      <c r="AN19" s="93"/>
      <c r="AO19" s="93"/>
      <c r="AP19" s="93"/>
      <c r="AQ19" s="93"/>
      <c r="AR19" s="93"/>
      <c r="AS19" s="93"/>
      <c r="AT19" s="94"/>
      <c r="AU19" s="94"/>
      <c r="AV19" s="94"/>
      <c r="AW19" s="94"/>
      <c r="AX19" s="94"/>
      <c r="AY19" s="94"/>
      <c r="AZ19" s="94"/>
      <c r="BA19" s="94"/>
      <c r="BB19" s="94"/>
      <c r="BC19" s="94"/>
      <c r="BD19" s="94"/>
      <c r="BE19" s="94"/>
      <c r="BF19" s="94"/>
      <c r="BG19" s="94"/>
      <c r="BH19" s="29">
        <v>0</v>
      </c>
      <c r="BI19" s="29">
        <v>0</v>
      </c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>
        <v>1</v>
      </c>
      <c r="BV19" s="29">
        <v>7</v>
      </c>
      <c r="BW19" s="29">
        <v>16</v>
      </c>
      <c r="BX19" s="29">
        <v>25</v>
      </c>
      <c r="BY19" s="29">
        <v>66</v>
      </c>
      <c r="BZ19" s="29">
        <v>63</v>
      </c>
      <c r="CA19" s="29">
        <v>44</v>
      </c>
      <c r="CB19" s="29">
        <v>53</v>
      </c>
      <c r="CC19" s="29">
        <v>66</v>
      </c>
      <c r="CD19" s="29">
        <v>83</v>
      </c>
      <c r="CE19" s="29">
        <v>55</v>
      </c>
      <c r="CF19" s="29">
        <v>70</v>
      </c>
      <c r="CG19" s="29">
        <v>80</v>
      </c>
      <c r="CH19" s="29">
        <v>86</v>
      </c>
      <c r="CI19" s="29">
        <v>69</v>
      </c>
      <c r="CJ19" s="29">
        <v>69</v>
      </c>
      <c r="CK19" s="29">
        <v>69</v>
      </c>
      <c r="CL19" s="29">
        <v>69</v>
      </c>
      <c r="CM19" s="29"/>
      <c r="CN19" s="29"/>
      <c r="CO19" s="29"/>
      <c r="CP19" s="29"/>
      <c r="CQ19" s="29"/>
      <c r="CR19" s="29"/>
      <c r="CS19" s="29"/>
      <c r="CT19" s="29"/>
      <c r="CU19" s="29"/>
      <c r="CV19" s="29"/>
      <c r="CW19" s="29"/>
      <c r="CX19" s="29"/>
      <c r="CY19" s="29"/>
      <c r="CZ19" s="29"/>
      <c r="DA19" s="29"/>
      <c r="DB19" s="29"/>
      <c r="DC19" s="29"/>
      <c r="DD19" s="29"/>
      <c r="DE19" s="29"/>
      <c r="DF19" s="29"/>
      <c r="DG19" s="29"/>
      <c r="DH19" s="29"/>
      <c r="DI19" s="29"/>
      <c r="DJ19" s="53"/>
      <c r="DK19" s="49"/>
      <c r="DL19" s="53"/>
      <c r="DM19" s="34"/>
      <c r="DN19" s="65"/>
      <c r="DO19" s="65"/>
      <c r="DP19" s="34">
        <v>0</v>
      </c>
      <c r="DQ19" s="34">
        <v>0</v>
      </c>
      <c r="DR19" s="34">
        <v>0</v>
      </c>
      <c r="DS19" s="34">
        <v>0</v>
      </c>
      <c r="DT19" s="29">
        <v>0</v>
      </c>
      <c r="DU19" s="29">
        <f t="shared" ref="DU19" si="80">SUM(BK19:BN19)</f>
        <v>0</v>
      </c>
      <c r="DV19" s="34">
        <f t="shared" ref="DV19" si="81">SUM(BO19:BR19)</f>
        <v>0</v>
      </c>
      <c r="DW19" s="29">
        <f>SUM(BS19:BV19)</f>
        <v>8</v>
      </c>
      <c r="DX19" s="29">
        <f>SUM(BW19:BZ19)</f>
        <v>170</v>
      </c>
      <c r="DY19" s="34">
        <f t="shared" si="24"/>
        <v>246</v>
      </c>
      <c r="DZ19" s="34">
        <f t="shared" si="25"/>
        <v>291</v>
      </c>
      <c r="EA19" s="29">
        <f>+DZ19*1.8</f>
        <v>523.80000000000007</v>
      </c>
      <c r="EB19" s="29">
        <f>+EA19*1.8</f>
        <v>942.84000000000015</v>
      </c>
      <c r="EC19" s="34">
        <f>+EB19*1.5</f>
        <v>1414.2600000000002</v>
      </c>
      <c r="ED19" s="34">
        <f>+EC19*1.5</f>
        <v>2121.3900000000003</v>
      </c>
      <c r="EE19" s="24">
        <f>+ED19*1.05</f>
        <v>2227.4595000000004</v>
      </c>
      <c r="EF19" s="24">
        <f>+EE19*1.1</f>
        <v>2450.2054500000008</v>
      </c>
      <c r="EG19" s="24">
        <f>+EF19*1.1</f>
        <v>2695.2259950000011</v>
      </c>
      <c r="EH19" s="24">
        <f>+EG19*1.1</f>
        <v>2964.7485945000017</v>
      </c>
      <c r="EI19" s="24">
        <f>+EH19*1.1</f>
        <v>3261.2234539500023</v>
      </c>
      <c r="EJ19" s="24">
        <f>+EI19*0.1</f>
        <v>326.12234539500025</v>
      </c>
    </row>
    <row r="20" spans="2:140" s="24" customFormat="1" x14ac:dyDescent="0.25">
      <c r="B20" s="43" t="s">
        <v>684</v>
      </c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34"/>
      <c r="W20" s="34"/>
      <c r="X20" s="34"/>
      <c r="Y20" s="53"/>
      <c r="Z20" s="53"/>
      <c r="AA20" s="53"/>
      <c r="AB20" s="53"/>
      <c r="AC20" s="53"/>
      <c r="AD20" s="53"/>
      <c r="AE20" s="53"/>
      <c r="AF20" s="34"/>
      <c r="AG20" s="53"/>
      <c r="AH20" s="93"/>
      <c r="AI20" s="93"/>
      <c r="AJ20" s="93"/>
      <c r="AK20" s="93"/>
      <c r="AL20" s="93"/>
      <c r="AM20" s="93"/>
      <c r="AN20" s="93"/>
      <c r="AO20" s="93"/>
      <c r="AP20" s="93"/>
      <c r="AQ20" s="93"/>
      <c r="AR20" s="93"/>
      <c r="AS20" s="93"/>
      <c r="AT20" s="94"/>
      <c r="AU20" s="94"/>
      <c r="AV20" s="94"/>
      <c r="AW20" s="94"/>
      <c r="AX20" s="94"/>
      <c r="AY20" s="94"/>
      <c r="AZ20" s="94"/>
      <c r="BA20" s="94"/>
      <c r="BB20" s="94"/>
      <c r="BC20" s="94"/>
      <c r="BD20" s="94"/>
      <c r="BE20" s="94"/>
      <c r="BF20" s="94"/>
      <c r="BG20" s="94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>
        <v>0</v>
      </c>
      <c r="BW20" s="29">
        <v>0</v>
      </c>
      <c r="BX20" s="29">
        <v>0</v>
      </c>
      <c r="BY20" s="29">
        <v>0</v>
      </c>
      <c r="BZ20" s="29">
        <v>0</v>
      </c>
      <c r="CA20" s="29">
        <v>21</v>
      </c>
      <c r="CB20" s="29">
        <v>32</v>
      </c>
      <c r="CC20" s="29">
        <v>34</v>
      </c>
      <c r="CD20" s="29">
        <v>39</v>
      </c>
      <c r="CE20" s="29">
        <v>48</v>
      </c>
      <c r="CF20" s="29">
        <v>48</v>
      </c>
      <c r="CG20" s="29">
        <v>53</v>
      </c>
      <c r="CH20" s="29">
        <v>55</v>
      </c>
      <c r="CI20" s="29">
        <v>50</v>
      </c>
      <c r="CJ20" s="29">
        <v>50</v>
      </c>
      <c r="CK20" s="29">
        <v>50</v>
      </c>
      <c r="CL20" s="29">
        <v>50</v>
      </c>
      <c r="CM20" s="29"/>
      <c r="CN20" s="29"/>
      <c r="CO20" s="29"/>
      <c r="CP20" s="29"/>
      <c r="CQ20" s="29"/>
      <c r="CR20" s="29"/>
      <c r="CS20" s="29"/>
      <c r="CT20" s="29"/>
      <c r="CU20" s="29"/>
      <c r="CV20" s="29"/>
      <c r="CW20" s="29"/>
      <c r="CX20" s="29"/>
      <c r="CY20" s="29"/>
      <c r="CZ20" s="29"/>
      <c r="DA20" s="29"/>
      <c r="DB20" s="29"/>
      <c r="DC20" s="29"/>
      <c r="DD20" s="29"/>
      <c r="DE20" s="29"/>
      <c r="DF20" s="29"/>
      <c r="DG20" s="29"/>
      <c r="DH20" s="29"/>
      <c r="DI20" s="29"/>
      <c r="DJ20" s="53"/>
      <c r="DK20" s="49"/>
      <c r="DL20" s="53"/>
      <c r="DM20" s="34"/>
      <c r="DN20" s="65"/>
      <c r="DO20" s="65"/>
      <c r="DP20" s="34">
        <v>0</v>
      </c>
      <c r="DQ20" s="34">
        <v>0</v>
      </c>
      <c r="DR20" s="34">
        <v>0</v>
      </c>
      <c r="DS20" s="34">
        <v>0</v>
      </c>
      <c r="DT20" s="29">
        <v>0</v>
      </c>
      <c r="DU20" s="29"/>
      <c r="DV20" s="34"/>
      <c r="DW20" s="29"/>
      <c r="DX20" s="29">
        <f t="shared" ref="DX20" si="82">SUM(BW20:BZ20)</f>
        <v>0</v>
      </c>
      <c r="DY20" s="34">
        <f t="shared" si="24"/>
        <v>126</v>
      </c>
      <c r="DZ20" s="34">
        <f t="shared" si="25"/>
        <v>204</v>
      </c>
      <c r="EA20" s="34">
        <f>+DZ20*1.1</f>
        <v>224.4</v>
      </c>
      <c r="EB20" s="34">
        <f t="shared" ref="EB20:EI20" si="83">+EA20*1.1</f>
        <v>246.84000000000003</v>
      </c>
      <c r="EC20" s="34">
        <f t="shared" si="83"/>
        <v>271.52400000000006</v>
      </c>
      <c r="ED20" s="34">
        <f t="shared" si="83"/>
        <v>298.67640000000011</v>
      </c>
      <c r="EE20" s="34">
        <f t="shared" si="83"/>
        <v>328.54404000000017</v>
      </c>
      <c r="EF20" s="34">
        <f t="shared" si="83"/>
        <v>361.39844400000021</v>
      </c>
      <c r="EG20" s="34">
        <f t="shared" si="83"/>
        <v>397.53828840000028</v>
      </c>
      <c r="EH20" s="34">
        <f t="shared" si="83"/>
        <v>437.29211724000032</v>
      </c>
      <c r="EI20" s="34">
        <f t="shared" si="83"/>
        <v>481.02132896400042</v>
      </c>
      <c r="EJ20" s="24">
        <f>+EI20*0.1</f>
        <v>48.102132896400043</v>
      </c>
    </row>
    <row r="21" spans="2:140" s="24" customFormat="1" x14ac:dyDescent="0.25">
      <c r="B21" s="43" t="s">
        <v>685</v>
      </c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34"/>
      <c r="W21" s="34"/>
      <c r="X21" s="34"/>
      <c r="Y21" s="53"/>
      <c r="Z21" s="53"/>
      <c r="AA21" s="53"/>
      <c r="AB21" s="53"/>
      <c r="AC21" s="53"/>
      <c r="AD21" s="53"/>
      <c r="AE21" s="53"/>
      <c r="AF21" s="34"/>
      <c r="AG21" s="53"/>
      <c r="AH21" s="93"/>
      <c r="AI21" s="93"/>
      <c r="AJ21" s="93"/>
      <c r="AK21" s="93"/>
      <c r="AL21" s="93"/>
      <c r="AM21" s="93"/>
      <c r="AN21" s="93"/>
      <c r="AO21" s="93"/>
      <c r="AP21" s="93"/>
      <c r="AQ21" s="93"/>
      <c r="AR21" s="93"/>
      <c r="AS21" s="93"/>
      <c r="AT21" s="94"/>
      <c r="AU21" s="94"/>
      <c r="AV21" s="94"/>
      <c r="AW21" s="94"/>
      <c r="AX21" s="94"/>
      <c r="AY21" s="94"/>
      <c r="AZ21" s="94"/>
      <c r="BA21" s="94"/>
      <c r="BB21" s="94"/>
      <c r="BC21" s="94"/>
      <c r="BD21" s="94"/>
      <c r="BE21" s="94"/>
      <c r="BF21" s="94"/>
      <c r="BG21" s="94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>
        <v>0</v>
      </c>
      <c r="BW21" s="29">
        <v>0</v>
      </c>
      <c r="BX21" s="29">
        <v>0</v>
      </c>
      <c r="BY21" s="29">
        <v>0</v>
      </c>
      <c r="BZ21" s="29">
        <v>1</v>
      </c>
      <c r="CA21" s="29">
        <v>6</v>
      </c>
      <c r="CB21" s="29">
        <v>7</v>
      </c>
      <c r="CC21" s="29">
        <v>10</v>
      </c>
      <c r="CD21" s="29">
        <v>15</v>
      </c>
      <c r="CE21" s="29">
        <v>0</v>
      </c>
      <c r="CF21" s="29"/>
      <c r="CG21" s="29"/>
      <c r="CH21" s="29"/>
      <c r="CI21" s="29"/>
      <c r="CJ21" s="29"/>
      <c r="CK21" s="29"/>
      <c r="CL21" s="29"/>
      <c r="CM21" s="29"/>
      <c r="CN21" s="29"/>
      <c r="CO21" s="29"/>
      <c r="CP21" s="29"/>
      <c r="CQ21" s="29"/>
      <c r="CR21" s="29"/>
      <c r="CS21" s="29"/>
      <c r="CT21" s="29"/>
      <c r="CU21" s="29"/>
      <c r="CV21" s="29"/>
      <c r="CW21" s="29"/>
      <c r="CX21" s="29"/>
      <c r="CY21" s="29"/>
      <c r="CZ21" s="29"/>
      <c r="DA21" s="29"/>
      <c r="DB21" s="29"/>
      <c r="DC21" s="29"/>
      <c r="DD21" s="29"/>
      <c r="DE21" s="29"/>
      <c r="DF21" s="29"/>
      <c r="DG21" s="29"/>
      <c r="DH21" s="29"/>
      <c r="DI21" s="29"/>
      <c r="DJ21" s="53"/>
      <c r="DK21" s="49"/>
      <c r="DL21" s="53"/>
      <c r="DM21" s="34"/>
      <c r="DN21" s="65"/>
      <c r="DO21" s="65"/>
      <c r="DP21" s="34">
        <v>0</v>
      </c>
      <c r="DQ21" s="34">
        <v>0</v>
      </c>
      <c r="DR21" s="34">
        <v>0</v>
      </c>
      <c r="DS21" s="34">
        <v>0</v>
      </c>
      <c r="DT21" s="29">
        <v>0</v>
      </c>
      <c r="DU21" s="29"/>
      <c r="DV21" s="34"/>
      <c r="DW21" s="29"/>
      <c r="DX21" s="29">
        <f>SUM(BW21:BZ21)</f>
        <v>1</v>
      </c>
      <c r="DY21" s="34">
        <f t="shared" si="24"/>
        <v>38</v>
      </c>
      <c r="DZ21" s="34">
        <f t="shared" si="25"/>
        <v>0</v>
      </c>
      <c r="EA21" s="29">
        <f>+DZ21</f>
        <v>0</v>
      </c>
      <c r="EB21" s="29">
        <f t="shared" ref="EB21:EJ21" si="84">+EA21</f>
        <v>0</v>
      </c>
      <c r="EC21" s="29">
        <f t="shared" si="84"/>
        <v>0</v>
      </c>
      <c r="ED21" s="29">
        <f t="shared" si="84"/>
        <v>0</v>
      </c>
      <c r="EE21" s="29">
        <f t="shared" si="84"/>
        <v>0</v>
      </c>
      <c r="EF21" s="29">
        <f t="shared" si="84"/>
        <v>0</v>
      </c>
      <c r="EG21" s="29">
        <f t="shared" si="84"/>
        <v>0</v>
      </c>
      <c r="EH21" s="29">
        <f t="shared" si="84"/>
        <v>0</v>
      </c>
      <c r="EI21" s="29">
        <f t="shared" si="84"/>
        <v>0</v>
      </c>
      <c r="EJ21" s="29">
        <f t="shared" si="84"/>
        <v>0</v>
      </c>
    </row>
    <row r="22" spans="2:140" s="24" customFormat="1" x14ac:dyDescent="0.25">
      <c r="B22" s="43" t="s">
        <v>830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34"/>
      <c r="W22" s="34"/>
      <c r="X22" s="34"/>
      <c r="Y22" s="53"/>
      <c r="Z22" s="53"/>
      <c r="AA22" s="53"/>
      <c r="AB22" s="53"/>
      <c r="AC22" s="53"/>
      <c r="AD22" s="53"/>
      <c r="AE22" s="53"/>
      <c r="AF22" s="34"/>
      <c r="AG22" s="5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4"/>
      <c r="AU22" s="94"/>
      <c r="AV22" s="94"/>
      <c r="AW22" s="94"/>
      <c r="AX22" s="94"/>
      <c r="AY22" s="94"/>
      <c r="AZ22" s="94"/>
      <c r="BA22" s="94"/>
      <c r="BB22" s="94"/>
      <c r="BC22" s="94"/>
      <c r="BD22" s="94"/>
      <c r="BE22" s="94"/>
      <c r="BF22" s="94"/>
      <c r="BG22" s="94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>
        <v>9</v>
      </c>
      <c r="CF22" s="29">
        <v>30</v>
      </c>
      <c r="CG22" s="29">
        <v>67</v>
      </c>
      <c r="CH22" s="29">
        <v>133</v>
      </c>
      <c r="CI22" s="29">
        <v>163</v>
      </c>
      <c r="CJ22" s="29">
        <v>163</v>
      </c>
      <c r="CK22" s="29">
        <v>163</v>
      </c>
      <c r="CL22" s="29">
        <v>163</v>
      </c>
      <c r="CM22" s="29"/>
      <c r="CN22" s="29"/>
      <c r="CO22" s="29"/>
      <c r="CP22" s="29"/>
      <c r="CQ22" s="29"/>
      <c r="CR22" s="29"/>
      <c r="CS22" s="29"/>
      <c r="CT22" s="29"/>
      <c r="CU22" s="29"/>
      <c r="CV22" s="29"/>
      <c r="CW22" s="29"/>
      <c r="CX22" s="29"/>
      <c r="CY22" s="29"/>
      <c r="CZ22" s="29"/>
      <c r="DA22" s="29"/>
      <c r="DB22" s="29"/>
      <c r="DC22" s="29"/>
      <c r="DD22" s="29"/>
      <c r="DE22" s="29"/>
      <c r="DF22" s="29"/>
      <c r="DG22" s="29"/>
      <c r="DH22" s="29"/>
      <c r="DI22" s="29"/>
      <c r="DJ22" s="53"/>
      <c r="DK22" s="49"/>
      <c r="DL22" s="53"/>
      <c r="DM22" s="34"/>
      <c r="DN22" s="65"/>
      <c r="DO22" s="65"/>
      <c r="DP22" s="34"/>
      <c r="DQ22" s="34"/>
      <c r="DR22" s="34"/>
      <c r="DS22" s="34"/>
      <c r="DT22" s="29"/>
      <c r="DU22" s="29"/>
      <c r="DV22" s="34"/>
      <c r="DW22" s="29"/>
      <c r="DX22" s="29"/>
      <c r="DY22" s="34"/>
      <c r="DZ22" s="34"/>
      <c r="EA22" s="29"/>
      <c r="EB22" s="29"/>
      <c r="EC22" s="29"/>
      <c r="ED22" s="29"/>
      <c r="EE22" s="29"/>
      <c r="EF22" s="29"/>
      <c r="EG22" s="29"/>
      <c r="EH22" s="29"/>
      <c r="EI22" s="29"/>
      <c r="EJ22" s="29"/>
    </row>
    <row r="23" spans="2:140" s="24" customFormat="1" x14ac:dyDescent="0.25">
      <c r="B23" s="43" t="s">
        <v>629</v>
      </c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34"/>
      <c r="W23" s="34"/>
      <c r="X23" s="34"/>
      <c r="Y23" s="53"/>
      <c r="Z23" s="53"/>
      <c r="AA23" s="53"/>
      <c r="AB23" s="53"/>
      <c r="AC23" s="53"/>
      <c r="AD23" s="53"/>
      <c r="AE23" s="53"/>
      <c r="AF23" s="34"/>
      <c r="AG23" s="53"/>
      <c r="AH23" s="93"/>
      <c r="AI23" s="93"/>
      <c r="AJ23" s="93"/>
      <c r="AK23" s="93"/>
      <c r="AL23" s="93"/>
      <c r="AM23" s="93"/>
      <c r="AN23" s="93"/>
      <c r="AO23" s="93"/>
      <c r="AP23" s="93"/>
      <c r="AQ23" s="93"/>
      <c r="AR23" s="93"/>
      <c r="AS23" s="93"/>
      <c r="AT23" s="29">
        <v>3</v>
      </c>
      <c r="AU23" s="29">
        <v>28</v>
      </c>
      <c r="AV23" s="29">
        <v>34</v>
      </c>
      <c r="AW23" s="29">
        <v>41</v>
      </c>
      <c r="AX23" s="29">
        <v>47</v>
      </c>
      <c r="AY23" s="29">
        <v>53</v>
      </c>
      <c r="AZ23" s="29">
        <v>55</v>
      </c>
      <c r="BA23" s="29">
        <v>60</v>
      </c>
      <c r="BB23" s="29">
        <v>63</v>
      </c>
      <c r="BC23" s="29">
        <v>55</v>
      </c>
      <c r="BD23" s="29">
        <v>64</v>
      </c>
      <c r="BE23" s="29">
        <v>59</v>
      </c>
      <c r="BF23" s="29">
        <v>69</v>
      </c>
      <c r="BG23" s="29">
        <v>83</v>
      </c>
      <c r="BH23" s="29">
        <v>91</v>
      </c>
      <c r="BI23" s="29">
        <v>89</v>
      </c>
      <c r="BJ23" s="29">
        <v>94</v>
      </c>
      <c r="BK23" s="29">
        <v>97</v>
      </c>
      <c r="BL23" s="29">
        <v>97</v>
      </c>
      <c r="BM23" s="29">
        <v>96</v>
      </c>
      <c r="BN23" s="29">
        <v>91</v>
      </c>
      <c r="BO23" s="29">
        <v>85</v>
      </c>
      <c r="BP23" s="29">
        <v>86</v>
      </c>
      <c r="BQ23" s="29">
        <v>82</v>
      </c>
      <c r="BR23" s="29">
        <v>81</v>
      </c>
      <c r="BS23" s="29">
        <v>75</v>
      </c>
      <c r="BT23" s="29">
        <v>77</v>
      </c>
      <c r="BU23" s="29">
        <v>73</v>
      </c>
      <c r="BV23" s="29">
        <v>71</v>
      </c>
      <c r="BW23" s="29"/>
      <c r="BX23" s="29"/>
      <c r="BY23" s="29"/>
      <c r="BZ23" s="29"/>
      <c r="CA23" s="29"/>
      <c r="CB23" s="29"/>
      <c r="CC23" s="29"/>
      <c r="CD23" s="29"/>
      <c r="CE23" s="29"/>
      <c r="CF23" s="29"/>
      <c r="CG23" s="29"/>
      <c r="CH23" s="29"/>
      <c r="CI23" s="29"/>
      <c r="CJ23" s="29"/>
      <c r="CK23" s="29"/>
      <c r="CL23" s="29"/>
      <c r="CM23" s="29"/>
      <c r="CN23" s="29"/>
      <c r="CO23" s="29"/>
      <c r="CP23" s="29"/>
      <c r="CQ23" s="29"/>
      <c r="CR23" s="29"/>
      <c r="CS23" s="29"/>
      <c r="CT23" s="29"/>
      <c r="CU23" s="29"/>
      <c r="CV23" s="29"/>
      <c r="CW23" s="29"/>
      <c r="CX23" s="29"/>
      <c r="CY23" s="29"/>
      <c r="CZ23" s="29"/>
      <c r="DA23" s="29"/>
      <c r="DB23" s="29"/>
      <c r="DC23" s="29"/>
      <c r="DD23" s="29"/>
      <c r="DE23"/>
      <c r="DF23"/>
      <c r="DG23"/>
      <c r="DH23"/>
      <c r="DI23"/>
      <c r="DJ23"/>
      <c r="DK23"/>
      <c r="DL23"/>
      <c r="DM23"/>
      <c r="DN23"/>
      <c r="DO23"/>
      <c r="DP23" s="34">
        <v>3</v>
      </c>
      <c r="DQ23" s="34">
        <v>150</v>
      </c>
      <c r="DR23" s="34">
        <v>231</v>
      </c>
      <c r="DS23" s="29">
        <v>247</v>
      </c>
      <c r="DT23" s="29">
        <v>357</v>
      </c>
      <c r="DU23" s="29">
        <f>SUM(BK23:BN23)</f>
        <v>381</v>
      </c>
      <c r="DV23" s="34">
        <f>SUM(BO23:BR23)</f>
        <v>334</v>
      </c>
      <c r="DW23" s="29">
        <f t="shared" ref="DW23" si="85">SUM(BS23:BV23)</f>
        <v>296</v>
      </c>
      <c r="DX23" s="29">
        <f t="shared" ref="DX23" si="86">SUM(BW23:BZ23)</f>
        <v>0</v>
      </c>
      <c r="DY23" s="34"/>
      <c r="DZ23" s="34"/>
      <c r="EA23" s="29"/>
      <c r="EB23" s="29"/>
      <c r="EC23" s="29"/>
      <c r="ED23" s="29"/>
      <c r="EE23" s="29"/>
    </row>
    <row r="24" spans="2:140" s="24" customFormat="1" x14ac:dyDescent="0.25">
      <c r="B24" s="43" t="s">
        <v>617</v>
      </c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34"/>
      <c r="W24" s="34"/>
      <c r="X24" s="34"/>
      <c r="Y24" s="53"/>
      <c r="Z24" s="53"/>
      <c r="AA24" s="53"/>
      <c r="AB24" s="53"/>
      <c r="AC24" s="53"/>
      <c r="AD24" s="53"/>
      <c r="AE24" s="53"/>
      <c r="AF24" s="34"/>
      <c r="AG24" s="53"/>
      <c r="AH24" s="93"/>
      <c r="AI24" s="93"/>
      <c r="AJ24" s="93"/>
      <c r="AK24" s="93"/>
      <c r="AL24" s="93"/>
      <c r="AM24" s="93"/>
      <c r="AN24" s="93"/>
      <c r="AO24" s="93"/>
      <c r="AP24" s="93"/>
      <c r="AQ24" s="93"/>
      <c r="AR24" s="93"/>
      <c r="AS24" s="93"/>
      <c r="AT24" s="94"/>
      <c r="AU24" s="94"/>
      <c r="AV24" s="94"/>
      <c r="AW24" s="94"/>
      <c r="AX24" s="94"/>
      <c r="AY24" s="94"/>
      <c r="AZ24" s="94"/>
      <c r="BA24" s="94"/>
      <c r="BB24" s="94"/>
      <c r="BC24" s="94"/>
      <c r="BD24" s="94"/>
      <c r="BE24" s="94"/>
      <c r="BF24" s="94"/>
      <c r="BG24" s="94"/>
      <c r="BH24" s="29">
        <v>0</v>
      </c>
      <c r="BI24" s="29">
        <v>0</v>
      </c>
      <c r="BJ24" s="29">
        <v>5</v>
      </c>
      <c r="BK24" s="29">
        <v>12</v>
      </c>
      <c r="BL24" s="29">
        <v>15</v>
      </c>
      <c r="BM24" s="29">
        <v>13</v>
      </c>
      <c r="BN24" s="29">
        <v>15</v>
      </c>
      <c r="BO24" s="29">
        <v>16</v>
      </c>
      <c r="BP24" s="29">
        <v>16</v>
      </c>
      <c r="BQ24" s="29">
        <v>22</v>
      </c>
      <c r="BR24" s="29">
        <v>20</v>
      </c>
      <c r="BS24" s="29">
        <v>18</v>
      </c>
      <c r="BT24" s="29">
        <v>23</v>
      </c>
      <c r="BU24" s="29">
        <v>21</v>
      </c>
      <c r="BV24" s="29">
        <v>23</v>
      </c>
      <c r="BW24" s="29">
        <v>25</v>
      </c>
      <c r="BX24" s="29">
        <v>27</v>
      </c>
      <c r="BY24" s="29">
        <v>29</v>
      </c>
      <c r="BZ24" s="29">
        <v>29</v>
      </c>
      <c r="CA24" s="29"/>
      <c r="CB24" s="29"/>
      <c r="CC24" s="29"/>
      <c r="CD24" s="29"/>
      <c r="CE24" s="29"/>
      <c r="CF24" s="29"/>
      <c r="CG24" s="29"/>
      <c r="CH24" s="29"/>
      <c r="CI24" s="29"/>
      <c r="CJ24" s="29"/>
      <c r="CK24" s="29"/>
      <c r="CL24" s="29"/>
      <c r="CM24" s="29"/>
      <c r="CN24" s="29"/>
      <c r="CO24" s="29"/>
      <c r="CP24" s="29"/>
      <c r="CQ24" s="29"/>
      <c r="CR24" s="29"/>
      <c r="CS24" s="29"/>
      <c r="CT24" s="29"/>
      <c r="CU24" s="29"/>
      <c r="CV24" s="29"/>
      <c r="CW24" s="29"/>
      <c r="CX24" s="29"/>
      <c r="CY24" s="29"/>
      <c r="CZ24" s="29"/>
      <c r="DA24" s="29"/>
      <c r="DB24" s="29"/>
      <c r="DC24" s="29"/>
      <c r="DD24" s="29"/>
      <c r="DE24" s="29"/>
      <c r="DF24" s="29"/>
      <c r="DG24" s="29"/>
      <c r="DH24" s="29"/>
      <c r="DI24" s="29"/>
      <c r="DJ24" s="53"/>
      <c r="DK24" s="49"/>
      <c r="DL24" s="53"/>
      <c r="DM24" s="34"/>
      <c r="DN24" s="65"/>
      <c r="DO24" s="65"/>
      <c r="DP24" s="34">
        <v>0</v>
      </c>
      <c r="DQ24" s="34">
        <v>0</v>
      </c>
      <c r="DR24" s="34">
        <v>0</v>
      </c>
      <c r="DS24" s="29">
        <v>0</v>
      </c>
      <c r="DT24" s="29">
        <v>5</v>
      </c>
      <c r="DU24" s="29">
        <f t="shared" si="69"/>
        <v>55</v>
      </c>
      <c r="DV24" s="34">
        <f t="shared" si="10"/>
        <v>74</v>
      </c>
      <c r="DW24" s="29">
        <f t="shared" si="70"/>
        <v>85</v>
      </c>
      <c r="DX24" s="29">
        <f t="shared" si="71"/>
        <v>110</v>
      </c>
      <c r="DY24" s="34"/>
      <c r="DZ24" s="34"/>
      <c r="EA24" s="29"/>
      <c r="EB24" s="29"/>
      <c r="EC24" s="29"/>
      <c r="ED24" s="29"/>
      <c r="EE24" s="29"/>
    </row>
    <row r="25" spans="2:140" s="24" customFormat="1" x14ac:dyDescent="0.25">
      <c r="B25" s="43" t="s">
        <v>618</v>
      </c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34"/>
      <c r="W25" s="34"/>
      <c r="X25" s="34"/>
      <c r="Y25" s="53"/>
      <c r="Z25" s="53"/>
      <c r="AA25" s="53"/>
      <c r="AB25" s="53"/>
      <c r="AC25" s="53"/>
      <c r="AD25" s="53"/>
      <c r="AE25" s="53"/>
      <c r="AF25" s="34"/>
      <c r="AG25" s="53"/>
      <c r="AH25" s="93"/>
      <c r="AI25" s="93"/>
      <c r="AJ25" s="93"/>
      <c r="AK25" s="93"/>
      <c r="AL25" s="93"/>
      <c r="AM25" s="93"/>
      <c r="AN25" s="93"/>
      <c r="AO25" s="93"/>
      <c r="AP25" s="93"/>
      <c r="AQ25" s="93"/>
      <c r="AR25" s="93"/>
      <c r="AS25" s="93"/>
      <c r="AT25" s="94"/>
      <c r="AU25" s="94"/>
      <c r="AV25" s="94"/>
      <c r="AW25" s="94"/>
      <c r="AX25" s="94"/>
      <c r="AY25" s="94"/>
      <c r="AZ25" s="94"/>
      <c r="BA25" s="94"/>
      <c r="BB25" s="94"/>
      <c r="BC25" s="94"/>
      <c r="BD25" s="94"/>
      <c r="BE25" s="94"/>
      <c r="BF25" s="94"/>
      <c r="BG25" s="94"/>
      <c r="BH25" s="29">
        <v>0</v>
      </c>
      <c r="BI25" s="29">
        <v>0</v>
      </c>
      <c r="BJ25" s="29">
        <v>0</v>
      </c>
      <c r="BK25" s="29">
        <v>0</v>
      </c>
      <c r="BL25" s="29">
        <v>0</v>
      </c>
      <c r="BM25" s="29">
        <v>3</v>
      </c>
      <c r="BN25" s="29">
        <v>14</v>
      </c>
      <c r="BO25" s="29">
        <v>15</v>
      </c>
      <c r="BP25" s="29">
        <v>12</v>
      </c>
      <c r="BQ25" s="29">
        <v>21</v>
      </c>
      <c r="BR25" s="29">
        <v>25</v>
      </c>
      <c r="BS25" s="29">
        <v>23</v>
      </c>
      <c r="BT25" s="29">
        <v>32</v>
      </c>
      <c r="BU25" s="29">
        <v>32</v>
      </c>
      <c r="BV25" s="29">
        <v>37</v>
      </c>
      <c r="BW25" s="29">
        <v>34</v>
      </c>
      <c r="BX25" s="29">
        <v>44</v>
      </c>
      <c r="BY25" s="29">
        <v>43</v>
      </c>
      <c r="BZ25" s="29">
        <v>47</v>
      </c>
      <c r="CA25" s="29"/>
      <c r="CB25" s="29"/>
      <c r="CC25" s="29"/>
      <c r="CD25" s="29"/>
      <c r="CE25" s="29"/>
      <c r="CF25" s="29"/>
      <c r="CG25" s="29"/>
      <c r="CH25" s="29"/>
      <c r="CI25" s="29"/>
      <c r="CJ25" s="29"/>
      <c r="CK25" s="29"/>
      <c r="CL25" s="29"/>
      <c r="CM25" s="29"/>
      <c r="CN25" s="29"/>
      <c r="CO25" s="29"/>
      <c r="CP25" s="29"/>
      <c r="CQ25" s="29"/>
      <c r="CR25" s="29"/>
      <c r="CS25" s="29"/>
      <c r="CT25" s="29"/>
      <c r="CU25" s="29"/>
      <c r="CV25" s="29"/>
      <c r="CW25" s="29"/>
      <c r="CX25" s="29"/>
      <c r="CY25" s="29"/>
      <c r="CZ25" s="29"/>
      <c r="DA25" s="29"/>
      <c r="DB25" s="29"/>
      <c r="DC25" s="29"/>
      <c r="DD25" s="29"/>
      <c r="DE25" s="29"/>
      <c r="DF25" s="29"/>
      <c r="DG25" s="29"/>
      <c r="DH25" s="29"/>
      <c r="DI25" s="29"/>
      <c r="DJ25" s="53"/>
      <c r="DK25" s="49"/>
      <c r="DL25" s="53"/>
      <c r="DM25" s="34"/>
      <c r="DN25" s="65"/>
      <c r="DO25" s="65"/>
      <c r="DP25" s="34">
        <v>0</v>
      </c>
      <c r="DQ25" s="34">
        <v>0</v>
      </c>
      <c r="DR25" s="34">
        <v>0</v>
      </c>
      <c r="DS25" s="29">
        <v>0</v>
      </c>
      <c r="DT25" s="29">
        <v>0</v>
      </c>
      <c r="DU25" s="29">
        <f t="shared" si="69"/>
        <v>17</v>
      </c>
      <c r="DV25" s="34">
        <f t="shared" si="10"/>
        <v>73</v>
      </c>
      <c r="DW25" s="29">
        <f t="shared" si="70"/>
        <v>124</v>
      </c>
      <c r="DX25" s="29">
        <f t="shared" si="71"/>
        <v>168</v>
      </c>
      <c r="DY25" s="34"/>
      <c r="DZ25" s="34"/>
      <c r="EA25" s="29"/>
      <c r="EB25" s="29"/>
      <c r="EC25" s="34"/>
      <c r="ED25" s="34"/>
    </row>
    <row r="26" spans="2:140" s="24" customFormat="1" x14ac:dyDescent="0.25">
      <c r="B26" s="43" t="s">
        <v>752</v>
      </c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34"/>
      <c r="W26" s="34"/>
      <c r="X26" s="34"/>
      <c r="Y26" s="53"/>
      <c r="Z26" s="53"/>
      <c r="AA26" s="53"/>
      <c r="AB26" s="53"/>
      <c r="AC26" s="53"/>
      <c r="AD26" s="53"/>
      <c r="AE26" s="53"/>
      <c r="AF26" s="34"/>
      <c r="AG26" s="53"/>
      <c r="AH26" s="93"/>
      <c r="AI26" s="93"/>
      <c r="AJ26" s="93"/>
      <c r="AK26" s="93"/>
      <c r="AL26" s="93"/>
      <c r="AM26" s="93"/>
      <c r="AN26" s="93"/>
      <c r="AO26" s="93"/>
      <c r="AP26" s="93"/>
      <c r="AQ26" s="93"/>
      <c r="AR26" s="93"/>
      <c r="AS26" s="93"/>
      <c r="AT26" s="94"/>
      <c r="AU26" s="94"/>
      <c r="AV26" s="94"/>
      <c r="AW26" s="94"/>
      <c r="AX26" s="94"/>
      <c r="AY26" s="94"/>
      <c r="AZ26" s="94"/>
      <c r="BA26" s="94"/>
      <c r="BB26" s="94"/>
      <c r="BC26" s="94"/>
      <c r="BD26" s="94"/>
      <c r="BE26" s="94"/>
      <c r="BF26" s="94"/>
      <c r="BG26" s="94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29"/>
      <c r="CD26" s="29">
        <v>10</v>
      </c>
      <c r="CE26" s="29">
        <v>27</v>
      </c>
      <c r="CF26" s="29">
        <v>35</v>
      </c>
      <c r="CG26" s="29">
        <v>43</v>
      </c>
      <c r="CH26" s="29">
        <v>51</v>
      </c>
      <c r="CI26" s="29">
        <v>56</v>
      </c>
      <c r="CJ26" s="29">
        <v>56</v>
      </c>
      <c r="CK26" s="29">
        <v>56</v>
      </c>
      <c r="CL26" s="29">
        <v>56</v>
      </c>
      <c r="CM26" s="29"/>
      <c r="CN26" s="29"/>
      <c r="CO26" s="29"/>
      <c r="CP26" s="29"/>
      <c r="CQ26" s="29"/>
      <c r="CR26" s="29"/>
      <c r="CS26" s="29"/>
      <c r="CT26" s="29"/>
      <c r="CU26" s="29"/>
      <c r="CV26" s="29"/>
      <c r="CW26" s="29"/>
      <c r="CX26" s="29"/>
      <c r="CY26" s="29"/>
      <c r="CZ26" s="29"/>
      <c r="DA26" s="29"/>
      <c r="DB26" s="29"/>
      <c r="DC26" s="29"/>
      <c r="DD26" s="29"/>
      <c r="DE26" s="29"/>
      <c r="DF26" s="29"/>
      <c r="DG26" s="29"/>
      <c r="DH26" s="29"/>
      <c r="DI26" s="29"/>
      <c r="DJ26" s="53"/>
      <c r="DK26" s="49"/>
      <c r="DL26" s="53"/>
      <c r="DM26" s="34"/>
      <c r="DN26" s="65"/>
      <c r="DO26" s="65"/>
      <c r="DP26" s="34"/>
      <c r="DQ26" s="34"/>
      <c r="DR26" s="34"/>
      <c r="DS26" s="29"/>
      <c r="DT26" s="29"/>
      <c r="DU26" s="29"/>
      <c r="DV26" s="34"/>
      <c r="DW26" s="29"/>
      <c r="DX26" s="29">
        <f t="shared" si="71"/>
        <v>0</v>
      </c>
      <c r="DY26" s="34">
        <f t="shared" si="24"/>
        <v>10</v>
      </c>
      <c r="DZ26" s="34">
        <v>3000</v>
      </c>
      <c r="EA26" s="29">
        <v>6000</v>
      </c>
      <c r="EB26" s="29">
        <f>+EA26*1.3</f>
        <v>7800</v>
      </c>
      <c r="EC26" s="29">
        <f>+EB26*1.3</f>
        <v>10140</v>
      </c>
      <c r="ED26" s="29">
        <f>+EC26*1.3</f>
        <v>13182</v>
      </c>
      <c r="EE26" s="24">
        <f>+ED26*1.1</f>
        <v>14500.2</v>
      </c>
      <c r="EF26" s="24">
        <f>+EE26*1.1</f>
        <v>15950.220000000003</v>
      </c>
      <c r="EG26" s="24">
        <f>+EF26*1.1</f>
        <v>17545.242000000006</v>
      </c>
      <c r="EH26" s="24">
        <f>+EG26*0.1</f>
        <v>1754.5242000000007</v>
      </c>
      <c r="EI26" s="24">
        <f t="shared" ref="EI26:EJ26" si="87">+EH26*0.1</f>
        <v>175.45242000000007</v>
      </c>
      <c r="EJ26" s="24">
        <f t="shared" si="87"/>
        <v>17.545242000000009</v>
      </c>
    </row>
    <row r="27" spans="2:140" s="24" customFormat="1" x14ac:dyDescent="0.25">
      <c r="B27" s="43" t="s">
        <v>641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34"/>
      <c r="W27" s="34"/>
      <c r="X27" s="34"/>
      <c r="Y27" s="53"/>
      <c r="Z27" s="53"/>
      <c r="AA27" s="53"/>
      <c r="AB27" s="53"/>
      <c r="AC27" s="53"/>
      <c r="AD27" s="53"/>
      <c r="AE27" s="53"/>
      <c r="AF27" s="34"/>
      <c r="AG27" s="53"/>
      <c r="AH27" s="93"/>
      <c r="AI27" s="93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4"/>
      <c r="AU27" s="94"/>
      <c r="AV27" s="94"/>
      <c r="AW27" s="94"/>
      <c r="AX27" s="94"/>
      <c r="AY27" s="94"/>
      <c r="AZ27" s="94"/>
      <c r="BA27" s="94"/>
      <c r="BB27" s="94"/>
      <c r="BC27" s="94"/>
      <c r="BD27" s="94"/>
      <c r="BE27" s="94"/>
      <c r="BF27" s="94"/>
      <c r="BG27" s="94"/>
      <c r="BH27" s="29">
        <v>0</v>
      </c>
      <c r="BI27" s="29">
        <v>0</v>
      </c>
      <c r="BJ27" s="29">
        <v>58</v>
      </c>
      <c r="BK27" s="29">
        <v>158</v>
      </c>
      <c r="BL27" s="29">
        <v>126</v>
      </c>
      <c r="BM27" s="29">
        <v>106</v>
      </c>
      <c r="BN27" s="29"/>
      <c r="BO27" s="29"/>
      <c r="BP27" s="29"/>
      <c r="BQ27" s="29">
        <v>36</v>
      </c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53"/>
      <c r="DK27" s="49"/>
      <c r="DL27" s="53"/>
      <c r="DM27" s="34"/>
      <c r="DN27" s="65"/>
      <c r="DO27" s="65"/>
      <c r="DP27" s="34">
        <v>0</v>
      </c>
      <c r="DQ27" s="34">
        <v>0</v>
      </c>
      <c r="DR27" s="34">
        <v>0</v>
      </c>
      <c r="DS27" s="29">
        <v>0</v>
      </c>
      <c r="DT27" s="29">
        <v>58</v>
      </c>
      <c r="DU27" s="29">
        <f t="shared" si="69"/>
        <v>390</v>
      </c>
      <c r="DV27" s="34">
        <f>SUM(BO27:BR27)</f>
        <v>36</v>
      </c>
      <c r="DW27" s="29"/>
      <c r="DX27" s="29"/>
      <c r="DY27" s="34"/>
      <c r="DZ27" s="34"/>
      <c r="EA27" s="29"/>
      <c r="EB27" s="29"/>
      <c r="EC27" s="29"/>
      <c r="ED27" s="29"/>
      <c r="EE27" s="29"/>
    </row>
    <row r="28" spans="2:140" x14ac:dyDescent="0.25">
      <c r="B28" s="22" t="s">
        <v>674</v>
      </c>
      <c r="V28" s="34"/>
      <c r="W28" s="32"/>
      <c r="X28" s="32"/>
      <c r="Y28" s="48"/>
      <c r="Z28" s="48"/>
      <c r="AA28" s="48"/>
      <c r="AB28" s="48"/>
      <c r="AC28" s="48"/>
      <c r="AD28" s="48"/>
      <c r="AE28" s="48"/>
      <c r="AF28" s="34"/>
      <c r="AG28" s="53"/>
      <c r="AH28" s="53"/>
      <c r="AI28" s="34"/>
      <c r="AJ28" s="34"/>
      <c r="AK28" s="34"/>
      <c r="AL28" s="34"/>
      <c r="AM28" s="34"/>
      <c r="AN28" s="34"/>
      <c r="AO28" s="34">
        <v>49</v>
      </c>
      <c r="AP28" s="34">
        <v>207</v>
      </c>
      <c r="AQ28" s="34">
        <v>264</v>
      </c>
      <c r="AR28" s="34">
        <v>479</v>
      </c>
      <c r="AS28" s="34">
        <v>402</v>
      </c>
      <c r="AT28" s="27">
        <v>458</v>
      </c>
      <c r="AU28" s="27">
        <v>427</v>
      </c>
      <c r="AV28" s="27">
        <v>546</v>
      </c>
      <c r="AW28" s="27">
        <v>379</v>
      </c>
      <c r="AX28" s="27">
        <v>226</v>
      </c>
      <c r="AY28" s="27">
        <v>162</v>
      </c>
      <c r="AZ28" s="27">
        <v>112</v>
      </c>
      <c r="BA28" s="27">
        <v>73</v>
      </c>
      <c r="BB28" s="27">
        <v>59</v>
      </c>
      <c r="BC28" s="27">
        <v>3</v>
      </c>
      <c r="BD28" s="27">
        <v>12</v>
      </c>
      <c r="CP28" s="29"/>
      <c r="CQ28" s="29"/>
      <c r="CR28" s="29"/>
      <c r="CS28" s="29"/>
      <c r="CT28" s="29"/>
      <c r="CU28" s="29"/>
      <c r="CV28" s="29"/>
      <c r="CW28" s="29"/>
      <c r="CX28" s="29"/>
      <c r="CY28" s="29"/>
      <c r="CZ28" s="29"/>
      <c r="DA28" s="29"/>
      <c r="DB28" s="29"/>
      <c r="DC28" s="29"/>
      <c r="DD28" s="29"/>
      <c r="DE28" s="29"/>
      <c r="DF28" s="29"/>
      <c r="DG28" s="29"/>
      <c r="DH28" s="29"/>
      <c r="DI28" s="29"/>
      <c r="DJ28" s="53" t="s">
        <v>357</v>
      </c>
      <c r="DK28" s="53" t="s">
        <v>357</v>
      </c>
      <c r="DL28" s="53" t="s">
        <v>357</v>
      </c>
      <c r="DM28" s="34" t="s">
        <v>474</v>
      </c>
      <c r="DN28" s="65" t="s">
        <v>474</v>
      </c>
      <c r="DO28" s="65"/>
      <c r="DP28" s="34">
        <v>1603</v>
      </c>
      <c r="DQ28" s="34">
        <v>1578</v>
      </c>
      <c r="DR28" s="29">
        <v>406</v>
      </c>
      <c r="DS28" s="84"/>
      <c r="DT28" s="84"/>
      <c r="DU28" s="84"/>
      <c r="DV28" s="29"/>
      <c r="DW28" s="29"/>
      <c r="DX28" s="29"/>
      <c r="DY28" s="34"/>
      <c r="DZ28" s="34"/>
      <c r="EB28" s="24"/>
    </row>
    <row r="29" spans="2:140" x14ac:dyDescent="0.25">
      <c r="B29" s="22" t="s">
        <v>417</v>
      </c>
      <c r="V29" s="34" t="s">
        <v>357</v>
      </c>
      <c r="W29" s="32" t="s">
        <v>357</v>
      </c>
      <c r="X29" s="32" t="s">
        <v>357</v>
      </c>
      <c r="Y29" s="48" t="s">
        <v>357</v>
      </c>
      <c r="Z29" s="48" t="s">
        <v>357</v>
      </c>
      <c r="AA29" s="48" t="s">
        <v>357</v>
      </c>
      <c r="AB29" s="48">
        <v>2</v>
      </c>
      <c r="AC29" s="48" t="s">
        <v>357</v>
      </c>
      <c r="AD29" s="47">
        <v>1</v>
      </c>
      <c r="AE29" s="27">
        <v>1</v>
      </c>
      <c r="AF29" s="29">
        <v>3</v>
      </c>
      <c r="AG29" s="49">
        <v>3</v>
      </c>
      <c r="AH29" s="49">
        <f>11-SUM(AE29:AG29)</f>
        <v>4</v>
      </c>
      <c r="AI29" s="29">
        <v>5</v>
      </c>
      <c r="AJ29" s="29">
        <v>6</v>
      </c>
      <c r="AK29" s="29">
        <v>7</v>
      </c>
      <c r="AL29" s="29">
        <v>8</v>
      </c>
      <c r="AM29" s="29"/>
      <c r="AN29" s="29"/>
      <c r="AO29" s="29"/>
      <c r="AP29" s="29"/>
      <c r="AQ29" s="29"/>
      <c r="AR29" s="29"/>
      <c r="AS29" s="29"/>
      <c r="CP29" s="29"/>
      <c r="CQ29" s="29"/>
      <c r="CR29" s="29"/>
      <c r="CS29" s="29"/>
      <c r="CT29" s="29"/>
      <c r="CU29" s="29"/>
      <c r="CV29" s="29"/>
      <c r="CW29" s="29"/>
      <c r="CX29" s="29"/>
      <c r="CY29" s="29"/>
      <c r="CZ29" s="29"/>
      <c r="DA29" s="29"/>
      <c r="DB29" s="29"/>
      <c r="DC29" s="29"/>
      <c r="DD29" s="29"/>
      <c r="DE29" s="29"/>
      <c r="DF29" s="29"/>
      <c r="DG29" s="29"/>
      <c r="DH29" s="29"/>
      <c r="DI29" s="29"/>
      <c r="DJ29" s="49"/>
      <c r="DK29" s="49"/>
      <c r="DL29" s="49">
        <f>SUM(AA29:AD29)</f>
        <v>3</v>
      </c>
      <c r="DM29" s="29">
        <f>SUM(AE29:AH29)</f>
        <v>11</v>
      </c>
      <c r="DN29" s="64">
        <v>15</v>
      </c>
      <c r="DO29" s="64">
        <v>20</v>
      </c>
      <c r="DP29" s="29"/>
      <c r="DQ29" s="29"/>
      <c r="DR29" s="29"/>
      <c r="DS29" s="84"/>
      <c r="DT29" s="84"/>
      <c r="DU29" s="84"/>
      <c r="DV29" s="29"/>
      <c r="DW29" s="29"/>
      <c r="DX29" s="29"/>
      <c r="DY29" s="34"/>
      <c r="DZ29" s="34"/>
    </row>
    <row r="30" spans="2:140" x14ac:dyDescent="0.25">
      <c r="B30" s="1" t="s">
        <v>88</v>
      </c>
      <c r="V30" s="34" t="s">
        <v>357</v>
      </c>
      <c r="W30" s="32" t="s">
        <v>357</v>
      </c>
      <c r="X30" s="32" t="s">
        <v>357</v>
      </c>
      <c r="Y30" s="48" t="s">
        <v>357</v>
      </c>
      <c r="Z30" s="48" t="s">
        <v>357</v>
      </c>
      <c r="AA30" s="48" t="s">
        <v>357</v>
      </c>
      <c r="AB30" s="48" t="s">
        <v>357</v>
      </c>
      <c r="AC30" s="48" t="s">
        <v>357</v>
      </c>
      <c r="AD30" s="48" t="s">
        <v>357</v>
      </c>
      <c r="AE30" s="32" t="s">
        <v>357</v>
      </c>
      <c r="AF30" s="34" t="s">
        <v>357</v>
      </c>
      <c r="AG30" s="53" t="s">
        <v>357</v>
      </c>
      <c r="AH30" s="53" t="s">
        <v>357</v>
      </c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CP30" s="29"/>
      <c r="CQ30" s="29"/>
      <c r="CR30" s="29"/>
      <c r="CS30" s="29"/>
      <c r="CT30" s="29"/>
      <c r="CU30" s="29"/>
      <c r="CV30" s="29"/>
      <c r="CW30" s="29"/>
      <c r="CX30" s="29"/>
      <c r="CY30" s="29"/>
      <c r="CZ30" s="29"/>
      <c r="DA30" s="29"/>
      <c r="DB30" s="29"/>
      <c r="DC30" s="29">
        <v>363</v>
      </c>
      <c r="DD30" s="29">
        <v>336</v>
      </c>
      <c r="DE30" s="29">
        <v>318</v>
      </c>
      <c r="DF30" s="29"/>
      <c r="DG30" s="29"/>
      <c r="DH30" s="29"/>
      <c r="DI30" s="29"/>
      <c r="DJ30" s="53" t="s">
        <v>357</v>
      </c>
      <c r="DK30" s="53" t="s">
        <v>357</v>
      </c>
      <c r="DL30" s="53" t="s">
        <v>357</v>
      </c>
      <c r="DM30" s="34" t="s">
        <v>357</v>
      </c>
      <c r="DN30" s="65" t="s">
        <v>357</v>
      </c>
      <c r="DO30" s="65" t="s">
        <v>357</v>
      </c>
      <c r="DP30" s="34" t="s">
        <v>357</v>
      </c>
      <c r="DQ30" s="34" t="s">
        <v>357</v>
      </c>
      <c r="DR30" s="34" t="s">
        <v>357</v>
      </c>
      <c r="DS30" s="34"/>
      <c r="DT30" s="34"/>
      <c r="DU30" s="34"/>
      <c r="DV30" s="34"/>
      <c r="DW30" s="34"/>
      <c r="DX30" s="34"/>
      <c r="DY30" s="34"/>
      <c r="DZ30" s="34"/>
    </row>
    <row r="31" spans="2:140" x14ac:dyDescent="0.25">
      <c r="B31" s="1" t="s">
        <v>95</v>
      </c>
      <c r="V31" s="34" t="s">
        <v>357</v>
      </c>
      <c r="W31" s="32" t="s">
        <v>357</v>
      </c>
      <c r="X31" s="32" t="s">
        <v>357</v>
      </c>
      <c r="Y31" s="48" t="s">
        <v>357</v>
      </c>
      <c r="Z31" s="48" t="s">
        <v>357</v>
      </c>
      <c r="AA31" s="48" t="s">
        <v>357</v>
      </c>
      <c r="AB31" s="48" t="s">
        <v>357</v>
      </c>
      <c r="AC31" s="48" t="s">
        <v>357</v>
      </c>
      <c r="AD31" s="48" t="s">
        <v>357</v>
      </c>
      <c r="AE31" s="32" t="s">
        <v>357</v>
      </c>
      <c r="AF31" s="34" t="s">
        <v>357</v>
      </c>
      <c r="AG31" s="53" t="s">
        <v>357</v>
      </c>
      <c r="AH31" s="53" t="s">
        <v>357</v>
      </c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CP31" s="29"/>
      <c r="CQ31" s="29"/>
      <c r="CR31" s="29"/>
      <c r="CS31" s="29"/>
      <c r="CT31" s="29"/>
      <c r="CU31" s="29"/>
      <c r="CV31" s="29"/>
      <c r="CW31" s="29"/>
      <c r="CX31" s="29"/>
      <c r="CY31" s="29"/>
      <c r="CZ31" s="29"/>
      <c r="DA31" s="29"/>
      <c r="DB31" s="29"/>
      <c r="DC31" s="29">
        <v>1026</v>
      </c>
      <c r="DD31" s="29">
        <v>1166</v>
      </c>
      <c r="DE31" s="29">
        <v>903</v>
      </c>
      <c r="DF31" s="29"/>
      <c r="DG31" s="29"/>
      <c r="DH31" s="29"/>
      <c r="DI31" s="29"/>
      <c r="DJ31" s="53" t="s">
        <v>357</v>
      </c>
      <c r="DK31" s="53" t="s">
        <v>357</v>
      </c>
      <c r="DL31" s="53" t="s">
        <v>357</v>
      </c>
      <c r="DM31" s="34" t="s">
        <v>357</v>
      </c>
      <c r="DN31" s="65" t="s">
        <v>357</v>
      </c>
      <c r="DO31" s="65" t="s">
        <v>357</v>
      </c>
      <c r="DP31" s="34" t="s">
        <v>357</v>
      </c>
      <c r="DQ31" s="34" t="s">
        <v>357</v>
      </c>
      <c r="DR31" s="34" t="s">
        <v>357</v>
      </c>
      <c r="DS31" s="34"/>
      <c r="DT31" s="34"/>
      <c r="DU31" s="34"/>
      <c r="DV31" s="34"/>
      <c r="DW31" s="34"/>
      <c r="DX31" s="34"/>
      <c r="DY31" s="34"/>
      <c r="DZ31" s="34"/>
    </row>
    <row r="32" spans="2:140" x14ac:dyDescent="0.25">
      <c r="B32" s="1" t="s">
        <v>93</v>
      </c>
      <c r="V32" s="29"/>
      <c r="AF32" s="29"/>
      <c r="AG32" s="49"/>
      <c r="AH32" s="4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CP32" s="29"/>
      <c r="CQ32" s="29"/>
      <c r="CR32" s="29"/>
      <c r="CS32" s="29"/>
      <c r="CT32" s="29"/>
      <c r="CU32" s="29"/>
      <c r="CV32" s="29"/>
      <c r="CW32" s="29"/>
      <c r="CX32" s="29"/>
      <c r="CY32" s="29"/>
      <c r="CZ32" s="29"/>
      <c r="DA32" s="29"/>
      <c r="DB32" s="29"/>
      <c r="DC32" s="29">
        <v>1211</v>
      </c>
      <c r="DD32" s="29">
        <v>1267</v>
      </c>
      <c r="DE32" s="29">
        <v>1343</v>
      </c>
      <c r="DF32" s="29"/>
      <c r="DG32" s="29"/>
      <c r="DH32" s="29">
        <v>897</v>
      </c>
      <c r="DI32" s="29"/>
      <c r="DJ32" s="53" t="s">
        <v>357</v>
      </c>
      <c r="DK32" s="53" t="s">
        <v>357</v>
      </c>
      <c r="DL32" s="53" t="s">
        <v>357</v>
      </c>
      <c r="DM32" s="34" t="s">
        <v>357</v>
      </c>
      <c r="DN32" s="65" t="s">
        <v>357</v>
      </c>
      <c r="DO32" s="65" t="s">
        <v>357</v>
      </c>
      <c r="DP32" s="34" t="s">
        <v>357</v>
      </c>
      <c r="DQ32" s="34" t="s">
        <v>357</v>
      </c>
      <c r="DR32" s="34" t="s">
        <v>357</v>
      </c>
      <c r="DS32" s="34"/>
      <c r="DT32" s="34"/>
      <c r="DU32" s="34"/>
      <c r="DV32" s="34"/>
      <c r="DW32" s="34"/>
      <c r="DX32" s="34"/>
      <c r="DY32" s="34"/>
      <c r="DZ32" s="34"/>
    </row>
    <row r="33" spans="2:131" x14ac:dyDescent="0.25">
      <c r="B33" s="1" t="s">
        <v>87</v>
      </c>
      <c r="C33" s="27">
        <v>49</v>
      </c>
      <c r="D33" s="27">
        <v>50</v>
      </c>
      <c r="E33" s="27">
        <v>53</v>
      </c>
      <c r="F33" s="27">
        <v>56</v>
      </c>
      <c r="G33" s="27">
        <v>55</v>
      </c>
      <c r="H33" s="27">
        <v>55</v>
      </c>
      <c r="I33" s="27">
        <v>53</v>
      </c>
      <c r="J33" s="27">
        <v>57</v>
      </c>
      <c r="K33" s="27">
        <v>46</v>
      </c>
      <c r="L33" s="27">
        <v>52</v>
      </c>
      <c r="M33" s="27">
        <v>50</v>
      </c>
      <c r="N33" s="27">
        <v>53</v>
      </c>
      <c r="V33" s="29"/>
      <c r="AF33" s="29"/>
      <c r="AG33" s="49"/>
      <c r="AH33" s="4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CP33" s="29"/>
      <c r="CQ33" s="29"/>
      <c r="CR33" s="29"/>
      <c r="CS33" s="29"/>
      <c r="CT33" s="29"/>
      <c r="CU33" s="29"/>
      <c r="CV33" s="29"/>
      <c r="CW33" s="29"/>
      <c r="CX33" s="29"/>
      <c r="CY33" s="29"/>
      <c r="CZ33" s="29"/>
      <c r="DA33" s="29"/>
      <c r="DB33" s="29"/>
      <c r="DC33" s="29">
        <v>300</v>
      </c>
      <c r="DD33" s="29">
        <v>303</v>
      </c>
      <c r="DE33" s="29">
        <v>255</v>
      </c>
      <c r="DF33" s="29">
        <v>212</v>
      </c>
      <c r="DG33" s="29">
        <f t="shared" ref="DG33:DG51" si="88">SUM(G33:J33)</f>
        <v>220</v>
      </c>
      <c r="DH33" s="29">
        <v>213</v>
      </c>
      <c r="DI33" s="29"/>
      <c r="DJ33" s="53" t="s">
        <v>357</v>
      </c>
      <c r="DK33" s="53" t="s">
        <v>357</v>
      </c>
      <c r="DL33" s="53" t="s">
        <v>357</v>
      </c>
      <c r="DM33" s="34" t="s">
        <v>357</v>
      </c>
      <c r="DN33" s="65" t="s">
        <v>357</v>
      </c>
      <c r="DO33" s="65" t="s">
        <v>357</v>
      </c>
      <c r="DP33" s="34" t="s">
        <v>357</v>
      </c>
      <c r="DQ33" s="34" t="s">
        <v>357</v>
      </c>
      <c r="DR33" s="34" t="s">
        <v>357</v>
      </c>
      <c r="DS33" s="34"/>
      <c r="DT33" s="34"/>
      <c r="DU33" s="34"/>
      <c r="DV33" s="34"/>
      <c r="DW33" s="34"/>
      <c r="DX33" s="34"/>
      <c r="DY33" s="34"/>
      <c r="DZ33" s="34"/>
    </row>
    <row r="34" spans="2:131" x14ac:dyDescent="0.25">
      <c r="B34" s="22" t="s">
        <v>578</v>
      </c>
      <c r="V34" s="29"/>
      <c r="AF34" s="29"/>
      <c r="AG34" s="49"/>
      <c r="AH34" s="49"/>
      <c r="AI34" s="29">
        <v>358</v>
      </c>
      <c r="AJ34" s="29"/>
      <c r="AK34" s="29">
        <v>432</v>
      </c>
      <c r="AL34" s="29"/>
      <c r="AM34" s="29">
        <v>179</v>
      </c>
      <c r="AN34" s="29">
        <v>27</v>
      </c>
      <c r="AO34" s="29">
        <v>42</v>
      </c>
      <c r="AP34" s="29"/>
      <c r="AQ34" s="29"/>
      <c r="AR34" s="29"/>
      <c r="AS34" s="29"/>
      <c r="CP34" s="29"/>
      <c r="CQ34" s="29"/>
      <c r="CR34" s="29"/>
      <c r="CS34" s="29"/>
      <c r="CT34" s="29"/>
      <c r="CU34" s="29"/>
      <c r="CV34" s="29"/>
      <c r="CW34" s="29"/>
      <c r="CX34" s="29"/>
      <c r="CY34" s="29"/>
      <c r="CZ34" s="29"/>
      <c r="DA34" s="29"/>
      <c r="DB34" s="29"/>
      <c r="DC34" s="29"/>
      <c r="DD34" s="29"/>
      <c r="DE34" s="29"/>
      <c r="DF34" s="29"/>
      <c r="DG34" s="29"/>
      <c r="DH34" s="29"/>
      <c r="DI34" s="29"/>
      <c r="DJ34" s="49"/>
      <c r="DK34" s="49"/>
      <c r="DL34" s="49"/>
      <c r="DM34" s="29"/>
      <c r="DN34" s="64"/>
      <c r="DO34" s="64"/>
      <c r="DP34" s="29"/>
      <c r="DQ34" s="29"/>
      <c r="DR34" s="29"/>
      <c r="DS34" s="29"/>
      <c r="DT34" s="29"/>
      <c r="DU34" s="29"/>
      <c r="DV34" s="29"/>
      <c r="DW34" s="29"/>
      <c r="DX34" s="29"/>
      <c r="DY34" s="29"/>
      <c r="DZ34" s="29"/>
    </row>
    <row r="35" spans="2:131" x14ac:dyDescent="0.25">
      <c r="B35" s="22" t="s">
        <v>457</v>
      </c>
      <c r="C35" s="27">
        <v>196</v>
      </c>
      <c r="D35" s="27">
        <v>258</v>
      </c>
      <c r="E35" s="27">
        <v>251</v>
      </c>
      <c r="F35" s="27">
        <v>277</v>
      </c>
      <c r="G35" s="27">
        <v>233</v>
      </c>
      <c r="H35" s="27">
        <v>280</v>
      </c>
      <c r="I35" s="27">
        <v>277</v>
      </c>
      <c r="J35" s="27">
        <v>307</v>
      </c>
      <c r="K35" s="27">
        <v>270</v>
      </c>
      <c r="L35" s="27">
        <v>297</v>
      </c>
      <c r="M35" s="27">
        <v>309</v>
      </c>
      <c r="N35" s="27">
        <v>328</v>
      </c>
      <c r="O35" s="27">
        <v>305</v>
      </c>
      <c r="P35" s="27">
        <v>335</v>
      </c>
      <c r="Q35" s="27">
        <v>334</v>
      </c>
      <c r="R35" s="27">
        <v>316</v>
      </c>
      <c r="S35" s="27">
        <v>302</v>
      </c>
      <c r="T35" s="27">
        <v>313</v>
      </c>
      <c r="U35" s="27">
        <v>329</v>
      </c>
      <c r="V35" s="29">
        <v>339</v>
      </c>
      <c r="W35" s="27">
        <v>314</v>
      </c>
      <c r="X35" s="29">
        <v>307</v>
      </c>
      <c r="Y35" s="49">
        <v>303</v>
      </c>
      <c r="Z35" s="49">
        <v>252</v>
      </c>
      <c r="AA35" s="49">
        <v>290</v>
      </c>
      <c r="AB35" s="49">
        <v>251</v>
      </c>
      <c r="AC35" s="49">
        <v>216</v>
      </c>
      <c r="AD35" s="49">
        <v>195</v>
      </c>
      <c r="AE35" s="29">
        <v>207</v>
      </c>
      <c r="AF35" s="29">
        <v>117</v>
      </c>
      <c r="AG35" s="49">
        <v>95</v>
      </c>
      <c r="AH35" s="49">
        <f>503-SUM(AE35:AG35)</f>
        <v>84</v>
      </c>
      <c r="AI35" s="29">
        <v>46</v>
      </c>
      <c r="AJ35" s="29">
        <v>56</v>
      </c>
      <c r="AK35" s="29">
        <v>71</v>
      </c>
      <c r="AL35" s="29">
        <v>58</v>
      </c>
      <c r="AM35" s="29"/>
      <c r="AN35" s="29"/>
      <c r="AO35" s="29"/>
      <c r="AP35" s="29"/>
      <c r="AQ35" s="29"/>
      <c r="AR35" s="29"/>
      <c r="AS35" s="29"/>
      <c r="CP35" s="29"/>
      <c r="CQ35" s="29"/>
      <c r="CR35" s="29"/>
      <c r="CT35" s="29" t="s">
        <v>323</v>
      </c>
      <c r="CU35" s="29"/>
      <c r="CV35" s="29"/>
      <c r="CW35" s="29"/>
      <c r="CX35" s="29"/>
      <c r="CY35" s="29"/>
      <c r="CZ35" s="29"/>
      <c r="DA35" s="29"/>
      <c r="DB35" s="29"/>
      <c r="DC35" s="29">
        <v>586</v>
      </c>
      <c r="DD35" s="29">
        <v>757</v>
      </c>
      <c r="DE35" s="29">
        <v>930</v>
      </c>
      <c r="DF35" s="29">
        <f>SUM(C35:F35)</f>
        <v>982</v>
      </c>
      <c r="DG35" s="29">
        <f>SUM(G35:J35)</f>
        <v>1097</v>
      </c>
      <c r="DH35" s="29">
        <f>SUM(K35:N35)</f>
        <v>1204</v>
      </c>
      <c r="DI35" s="29">
        <f>SUM(O35:R35)</f>
        <v>1290</v>
      </c>
      <c r="DJ35" s="49">
        <f>SUM(S35:V35)</f>
        <v>1283</v>
      </c>
      <c r="DK35" s="49">
        <f>SUM(W35:Z35)</f>
        <v>1176</v>
      </c>
      <c r="DL35" s="49">
        <f>SUM(AA35:AD35)</f>
        <v>952</v>
      </c>
      <c r="DM35" s="29">
        <f>SUM(AE35:AH35)</f>
        <v>503</v>
      </c>
      <c r="DN35" s="64">
        <f>DM35*0.5</f>
        <v>251.5</v>
      </c>
      <c r="DO35" s="64">
        <f>DN35*0.9</f>
        <v>226.35</v>
      </c>
      <c r="DP35" s="29"/>
      <c r="DQ35" s="29"/>
      <c r="DR35" s="29"/>
      <c r="DS35" s="29"/>
      <c r="DT35" s="29"/>
      <c r="DU35" s="29"/>
      <c r="DV35" s="29"/>
      <c r="DW35" s="29"/>
      <c r="DX35" s="29"/>
      <c r="DY35" s="29"/>
      <c r="DZ35" s="29"/>
    </row>
    <row r="36" spans="2:131" x14ac:dyDescent="0.25">
      <c r="B36" s="22" t="s">
        <v>207</v>
      </c>
      <c r="N36" s="27">
        <v>15</v>
      </c>
      <c r="O36" s="27">
        <v>25</v>
      </c>
      <c r="P36" s="27">
        <v>26</v>
      </c>
      <c r="Q36" s="27">
        <v>25</v>
      </c>
      <c r="R36" s="27">
        <v>25</v>
      </c>
      <c r="S36" s="27">
        <v>24</v>
      </c>
      <c r="T36" s="27">
        <v>29</v>
      </c>
      <c r="U36" s="27">
        <v>28</v>
      </c>
      <c r="V36" s="29">
        <v>28</v>
      </c>
      <c r="W36" s="27">
        <v>29</v>
      </c>
      <c r="X36" s="32">
        <v>29</v>
      </c>
      <c r="Y36" s="48">
        <v>29</v>
      </c>
      <c r="Z36" s="48" t="s">
        <v>357</v>
      </c>
      <c r="AA36" s="48" t="s">
        <v>357</v>
      </c>
      <c r="AB36" s="48" t="s">
        <v>357</v>
      </c>
      <c r="AC36" s="48" t="s">
        <v>357</v>
      </c>
      <c r="AD36" s="48" t="s">
        <v>357</v>
      </c>
      <c r="AE36" s="32" t="s">
        <v>357</v>
      </c>
      <c r="AF36" s="34" t="s">
        <v>357</v>
      </c>
      <c r="AG36" s="53" t="s">
        <v>357</v>
      </c>
      <c r="AH36" s="53" t="s">
        <v>357</v>
      </c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CP36" s="29"/>
      <c r="CQ36" s="29"/>
      <c r="CR36" s="29"/>
      <c r="CS36" s="29"/>
      <c r="CT36" s="29"/>
      <c r="CU36" s="29"/>
      <c r="CV36" s="29"/>
      <c r="CW36" s="29"/>
      <c r="CX36" s="29"/>
      <c r="CY36" s="29"/>
      <c r="CZ36" s="29"/>
      <c r="DA36" s="29"/>
      <c r="DB36" s="29"/>
      <c r="DC36" s="29"/>
      <c r="DD36" s="29"/>
      <c r="DE36" s="29"/>
      <c r="DF36" s="29"/>
      <c r="DG36" s="29"/>
      <c r="DH36" s="29">
        <f>SUM(K36:N36)</f>
        <v>15</v>
      </c>
      <c r="DI36" s="29">
        <f>SUM(O36:R36)</f>
        <v>101</v>
      </c>
      <c r="DJ36" s="49">
        <f>SUM(S36:V36)</f>
        <v>109</v>
      </c>
      <c r="DK36" s="49">
        <f>SUM(W36:Z36)</f>
        <v>87</v>
      </c>
      <c r="DL36" s="53" t="s">
        <v>357</v>
      </c>
      <c r="DM36" s="34" t="s">
        <v>357</v>
      </c>
      <c r="DN36" s="65" t="s">
        <v>357</v>
      </c>
      <c r="DO36" s="65" t="s">
        <v>357</v>
      </c>
      <c r="DP36" s="34" t="s">
        <v>357</v>
      </c>
      <c r="DQ36" s="34" t="s">
        <v>357</v>
      </c>
      <c r="DR36" s="34" t="s">
        <v>357</v>
      </c>
      <c r="DS36" s="34"/>
      <c r="DT36" s="34"/>
      <c r="DU36" s="34"/>
      <c r="DV36" s="34"/>
      <c r="DW36" s="34"/>
      <c r="DX36" s="34"/>
      <c r="DY36" s="34"/>
      <c r="DZ36" s="34"/>
    </row>
    <row r="37" spans="2:131" x14ac:dyDescent="0.25">
      <c r="B37" s="1" t="s">
        <v>235</v>
      </c>
      <c r="C37" s="27">
        <v>235</v>
      </c>
      <c r="D37" s="27">
        <v>250</v>
      </c>
      <c r="E37" s="27">
        <v>230</v>
      </c>
      <c r="F37" s="27">
        <v>277</v>
      </c>
      <c r="G37" s="27">
        <v>237</v>
      </c>
      <c r="H37" s="27">
        <v>253</v>
      </c>
      <c r="I37" s="27">
        <v>246</v>
      </c>
      <c r="J37" s="27">
        <v>271</v>
      </c>
      <c r="K37" s="27">
        <v>254</v>
      </c>
      <c r="L37" s="27">
        <v>267</v>
      </c>
      <c r="M37" s="27">
        <v>281</v>
      </c>
      <c r="N37" s="27">
        <v>280</v>
      </c>
      <c r="O37" s="27">
        <v>290</v>
      </c>
      <c r="P37" s="27">
        <v>287</v>
      </c>
      <c r="Q37" s="27">
        <v>295</v>
      </c>
      <c r="R37" s="27">
        <v>285</v>
      </c>
      <c r="S37" s="32" t="s">
        <v>357</v>
      </c>
      <c r="T37" s="32" t="s">
        <v>357</v>
      </c>
      <c r="U37" s="32" t="s">
        <v>357</v>
      </c>
      <c r="V37" s="29" t="str">
        <f>U37</f>
        <v>-</v>
      </c>
      <c r="W37" s="32" t="s">
        <v>357</v>
      </c>
      <c r="X37" s="32" t="s">
        <v>357</v>
      </c>
      <c r="Y37" s="48" t="s">
        <v>357</v>
      </c>
      <c r="Z37" s="48" t="s">
        <v>357</v>
      </c>
      <c r="AA37" s="48" t="s">
        <v>357</v>
      </c>
      <c r="AB37" s="48" t="s">
        <v>357</v>
      </c>
      <c r="AC37" s="48" t="s">
        <v>357</v>
      </c>
      <c r="AD37" s="48" t="s">
        <v>357</v>
      </c>
      <c r="AE37" s="48" t="s">
        <v>357</v>
      </c>
      <c r="AF37" s="34" t="s">
        <v>357</v>
      </c>
      <c r="AG37" s="53" t="s">
        <v>357</v>
      </c>
      <c r="AH37" s="53" t="s">
        <v>357</v>
      </c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CP37" s="29"/>
      <c r="CQ37" s="29"/>
      <c r="CR37" s="29"/>
      <c r="CS37" s="29"/>
      <c r="CT37" s="29"/>
      <c r="CU37" s="29"/>
      <c r="CV37" s="29"/>
      <c r="CW37" s="29"/>
      <c r="CX37" s="29"/>
      <c r="CY37" s="29"/>
      <c r="CZ37" s="29"/>
      <c r="DA37" s="29"/>
      <c r="DB37" s="29"/>
      <c r="DC37" s="29"/>
      <c r="DD37" s="29"/>
      <c r="DE37" s="29"/>
      <c r="DF37" s="29">
        <f>SUM(C37:F37)</f>
        <v>992</v>
      </c>
      <c r="DG37" s="29">
        <f>SUM(G37:J37)</f>
        <v>1007</v>
      </c>
      <c r="DH37" s="29">
        <f>SUM(K37:N37)</f>
        <v>1082</v>
      </c>
      <c r="DI37" s="29">
        <f>SUM(O37:R37)</f>
        <v>1157</v>
      </c>
      <c r="DJ37" s="53" t="s">
        <v>357</v>
      </c>
      <c r="DK37" s="53" t="s">
        <v>357</v>
      </c>
      <c r="DL37" s="53" t="s">
        <v>357</v>
      </c>
      <c r="DM37" s="34" t="s">
        <v>357</v>
      </c>
      <c r="DN37" s="65" t="s">
        <v>357</v>
      </c>
      <c r="DO37" s="65" t="s">
        <v>357</v>
      </c>
      <c r="DP37" s="34" t="s">
        <v>357</v>
      </c>
      <c r="DQ37" s="34" t="s">
        <v>357</v>
      </c>
      <c r="DR37" s="34" t="s">
        <v>357</v>
      </c>
      <c r="DS37" s="34"/>
      <c r="DT37" s="34"/>
      <c r="DU37" s="34"/>
      <c r="DV37" s="34"/>
      <c r="DW37" s="34"/>
      <c r="DX37" s="34"/>
      <c r="DY37" s="34"/>
      <c r="DZ37" s="34"/>
    </row>
    <row r="38" spans="2:131" x14ac:dyDescent="0.25">
      <c r="B38" s="22" t="s">
        <v>456</v>
      </c>
      <c r="V38" s="29">
        <v>4</v>
      </c>
      <c r="W38" s="27">
        <v>10</v>
      </c>
      <c r="X38" s="27">
        <v>28</v>
      </c>
      <c r="Y38" s="47">
        <v>47</v>
      </c>
      <c r="Z38" s="47">
        <v>73</v>
      </c>
      <c r="AA38" s="47">
        <v>81</v>
      </c>
      <c r="AB38" s="47">
        <v>112</v>
      </c>
      <c r="AC38" s="47">
        <v>127</v>
      </c>
      <c r="AD38" s="47">
        <v>153</v>
      </c>
      <c r="AE38" s="27">
        <v>161</v>
      </c>
      <c r="AF38" s="29">
        <v>172</v>
      </c>
      <c r="AG38" s="49">
        <v>178</v>
      </c>
      <c r="AH38" s="49">
        <f>709-AG38-AF38-AE38</f>
        <v>198</v>
      </c>
      <c r="AI38" s="29">
        <v>202</v>
      </c>
      <c r="AJ38" s="29">
        <v>240</v>
      </c>
      <c r="AK38" s="29">
        <v>211</v>
      </c>
      <c r="AL38" s="29">
        <v>224</v>
      </c>
      <c r="AM38" s="29"/>
      <c r="AN38" s="29"/>
      <c r="AO38" s="29"/>
      <c r="AP38" s="29"/>
      <c r="AQ38" s="29"/>
      <c r="AR38" s="29"/>
      <c r="AS38" s="29"/>
      <c r="CP38" s="29"/>
      <c r="CQ38" s="29"/>
      <c r="CR38" s="29"/>
      <c r="CS38" s="29"/>
      <c r="CT38" s="29"/>
      <c r="CU38" s="29"/>
      <c r="CV38" s="29"/>
      <c r="CW38" s="29"/>
      <c r="CX38" s="29"/>
      <c r="CY38" s="29"/>
      <c r="CZ38" s="29"/>
      <c r="DA38" s="29"/>
      <c r="DB38" s="29"/>
      <c r="DC38" s="29"/>
      <c r="DD38" s="29"/>
      <c r="DE38" s="29"/>
      <c r="DF38" s="29"/>
      <c r="DG38" s="29"/>
      <c r="DH38" s="29"/>
      <c r="DI38" s="29"/>
      <c r="DJ38" s="49">
        <f>SUM(S38:V38)</f>
        <v>4</v>
      </c>
      <c r="DK38" s="49">
        <f>SUM(W38:Z38)</f>
        <v>158</v>
      </c>
      <c r="DL38" s="49">
        <f>SUM(AA38:AD38)</f>
        <v>473</v>
      </c>
      <c r="DM38" s="29">
        <f>SUM(AE38:AH38)</f>
        <v>709</v>
      </c>
      <c r="DN38" s="64">
        <f>+DM38*1.3</f>
        <v>921.7</v>
      </c>
      <c r="DO38" s="64">
        <f>+DN38*1.15</f>
        <v>1059.9549999999999</v>
      </c>
      <c r="DP38" s="29"/>
      <c r="DQ38" s="29"/>
      <c r="DR38" s="29"/>
      <c r="DS38" s="29"/>
      <c r="DT38" s="29"/>
      <c r="DU38" s="29"/>
      <c r="DV38" s="29"/>
      <c r="DW38" s="29"/>
      <c r="DX38" s="29"/>
      <c r="DY38" s="29"/>
      <c r="DZ38" s="29"/>
      <c r="EA38" s="29"/>
    </row>
    <row r="39" spans="2:131" x14ac:dyDescent="0.25">
      <c r="B39" s="22" t="s">
        <v>450</v>
      </c>
      <c r="C39" s="29">
        <v>814</v>
      </c>
      <c r="D39" s="29">
        <v>968</v>
      </c>
      <c r="E39" s="29">
        <v>980</v>
      </c>
      <c r="F39" s="29">
        <v>1061</v>
      </c>
      <c r="G39" s="29">
        <v>986</v>
      </c>
      <c r="H39" s="29">
        <v>1145</v>
      </c>
      <c r="I39" s="29">
        <v>630</v>
      </c>
      <c r="J39" s="29">
        <v>496</v>
      </c>
      <c r="K39" s="29">
        <v>938</v>
      </c>
      <c r="L39" s="29">
        <v>1189</v>
      </c>
      <c r="M39" s="29">
        <v>1254</v>
      </c>
      <c r="N39" s="29">
        <v>1374</v>
      </c>
      <c r="O39" s="29">
        <v>1308</v>
      </c>
      <c r="P39" s="29">
        <v>1387</v>
      </c>
      <c r="Q39" s="29">
        <v>1439</v>
      </c>
      <c r="R39" s="29">
        <v>1469</v>
      </c>
      <c r="S39" s="29">
        <v>1435</v>
      </c>
      <c r="T39" s="29">
        <v>1539</v>
      </c>
      <c r="U39" s="29">
        <v>1554</v>
      </c>
      <c r="V39" s="29">
        <v>1618</v>
      </c>
      <c r="W39" s="29">
        <v>1666</v>
      </c>
      <c r="X39" s="29">
        <v>1627</v>
      </c>
      <c r="Y39" s="49">
        <v>1658</v>
      </c>
      <c r="Z39" s="49">
        <v>1715</v>
      </c>
      <c r="AA39" s="49">
        <v>1762</v>
      </c>
      <c r="AB39" s="49">
        <v>1865</v>
      </c>
      <c r="AC39" s="49">
        <v>1788</v>
      </c>
      <c r="AD39" s="49">
        <v>1672</v>
      </c>
      <c r="AE39" s="29">
        <v>1693</v>
      </c>
      <c r="AF39" s="29">
        <v>741</v>
      </c>
      <c r="AG39" s="49">
        <v>64</v>
      </c>
      <c r="AH39" s="49">
        <f>2547-AG39-AF39-AE39</f>
        <v>49</v>
      </c>
      <c r="AI39" s="29">
        <v>91</v>
      </c>
      <c r="AJ39" s="29">
        <v>44</v>
      </c>
      <c r="AK39" s="29">
        <v>42</v>
      </c>
      <c r="AL39" s="29">
        <v>81</v>
      </c>
      <c r="AM39" s="29"/>
      <c r="AN39" s="29"/>
      <c r="AO39" s="29"/>
      <c r="AP39" s="29"/>
      <c r="AQ39" s="29"/>
      <c r="AR39" s="29"/>
      <c r="AS39" s="29"/>
      <c r="CP39" s="29"/>
      <c r="CQ39" s="29"/>
      <c r="CR39" s="29"/>
      <c r="CS39" s="29"/>
      <c r="CT39" s="29"/>
      <c r="CU39" s="29"/>
      <c r="CV39" s="29"/>
      <c r="CW39" s="29"/>
      <c r="CX39" s="29"/>
      <c r="CY39" s="29"/>
      <c r="CZ39" s="29"/>
      <c r="DA39" s="29"/>
      <c r="DB39" s="29"/>
      <c r="DC39" s="29">
        <v>1890</v>
      </c>
      <c r="DD39" s="29">
        <v>2467</v>
      </c>
      <c r="DE39" s="29">
        <v>3327</v>
      </c>
      <c r="DF39" s="29">
        <f>SUM(C39:F39)</f>
        <v>3823</v>
      </c>
      <c r="DG39" s="29">
        <f>SUM(G39:J39)</f>
        <v>3257</v>
      </c>
      <c r="DH39" s="29">
        <f>SUM(K39:N39)</f>
        <v>4755</v>
      </c>
      <c r="DI39" s="29">
        <f>SUM(O39:R39)</f>
        <v>5603</v>
      </c>
      <c r="DJ39" s="49">
        <f>SUM(S39:V39)</f>
        <v>6146</v>
      </c>
      <c r="DK39" s="49">
        <f>SUM(W39:Z39)</f>
        <v>6666</v>
      </c>
      <c r="DL39" s="49">
        <f>SUM(AA39:AD39)</f>
        <v>7087</v>
      </c>
      <c r="DM39" s="29">
        <f>SUM(AE39:AH39)</f>
        <v>2547</v>
      </c>
      <c r="DN39" s="64">
        <f>DM39*0.2</f>
        <v>509.40000000000003</v>
      </c>
      <c r="DO39" s="64">
        <f>+DN39*0.5</f>
        <v>254.70000000000002</v>
      </c>
      <c r="DP39" s="29"/>
      <c r="DQ39" s="29"/>
      <c r="DR39" s="29"/>
      <c r="DS39" s="29"/>
      <c r="DT39" s="29"/>
      <c r="DU39" s="29"/>
      <c r="DV39" s="29"/>
      <c r="DW39" s="29"/>
      <c r="DX39" s="29"/>
      <c r="DY39" s="29"/>
      <c r="DZ39" s="29"/>
    </row>
    <row r="40" spans="2:131" x14ac:dyDescent="0.25">
      <c r="B40" s="22" t="s">
        <v>571</v>
      </c>
      <c r="V40" s="34"/>
      <c r="W40" s="32"/>
      <c r="X40" s="32"/>
      <c r="Y40" s="48"/>
      <c r="Z40" s="48"/>
      <c r="AA40" s="48"/>
      <c r="AB40" s="48"/>
      <c r="AC40" s="48"/>
      <c r="AD40" s="48"/>
      <c r="AE40" s="48"/>
      <c r="AF40" s="34"/>
      <c r="AG40" s="53">
        <f>55+20</f>
        <v>75</v>
      </c>
      <c r="AH40" s="53">
        <f>149-AG40</f>
        <v>74</v>
      </c>
      <c r="AI40" s="34">
        <f>52+85</f>
        <v>137</v>
      </c>
      <c r="AJ40" s="34">
        <f>66+104</f>
        <v>170</v>
      </c>
      <c r="AK40" s="34">
        <f>87+106</f>
        <v>193</v>
      </c>
      <c r="AL40" s="34">
        <f>93+105</f>
        <v>198</v>
      </c>
      <c r="AM40" s="34"/>
      <c r="AN40" s="34"/>
      <c r="AO40" s="34"/>
      <c r="AP40" s="34"/>
      <c r="AQ40" s="34"/>
      <c r="AR40" s="34"/>
      <c r="AS40" s="34"/>
      <c r="CP40" s="29"/>
      <c r="CQ40" s="29"/>
      <c r="CR40" s="29"/>
      <c r="CS40" s="29"/>
      <c r="CT40" s="29"/>
      <c r="CU40" s="29"/>
      <c r="CV40" s="29"/>
      <c r="CW40" s="29"/>
      <c r="CX40" s="29"/>
      <c r="CY40" s="29"/>
      <c r="CZ40" s="29"/>
      <c r="DA40" s="29"/>
      <c r="DB40" s="29"/>
      <c r="DC40" s="29"/>
      <c r="DD40" s="29"/>
      <c r="DE40" s="29"/>
      <c r="DF40" s="29"/>
      <c r="DG40" s="29"/>
      <c r="DH40" s="29"/>
      <c r="DI40" s="29"/>
      <c r="DJ40" s="53"/>
      <c r="DK40" s="53"/>
      <c r="DL40" s="53"/>
      <c r="DM40" s="34">
        <v>50</v>
      </c>
      <c r="DN40" s="65">
        <v>800</v>
      </c>
      <c r="DO40" s="65">
        <v>1000</v>
      </c>
      <c r="DP40" s="34"/>
      <c r="DQ40" s="34"/>
      <c r="DR40" s="34"/>
      <c r="DS40" s="34"/>
      <c r="DT40" s="34"/>
      <c r="DU40" s="34"/>
      <c r="DV40" s="34"/>
      <c r="DW40" s="34"/>
      <c r="DX40" s="34"/>
      <c r="DY40" s="34"/>
      <c r="DZ40" s="34"/>
    </row>
    <row r="41" spans="2:131" x14ac:dyDescent="0.25">
      <c r="B41" s="22" t="s">
        <v>570</v>
      </c>
      <c r="V41" s="34"/>
      <c r="W41" s="32"/>
      <c r="X41" s="32"/>
      <c r="Y41" s="48"/>
      <c r="Z41" s="48"/>
      <c r="AA41" s="48"/>
      <c r="AB41" s="48"/>
      <c r="AC41" s="48"/>
      <c r="AD41" s="48"/>
      <c r="AE41" s="48"/>
      <c r="AF41" s="34"/>
      <c r="AG41" s="53"/>
      <c r="AH41" s="53"/>
      <c r="AI41" s="34">
        <v>3</v>
      </c>
      <c r="AJ41" s="34">
        <v>5</v>
      </c>
      <c r="AK41" s="34">
        <v>7</v>
      </c>
      <c r="AL41" s="34">
        <v>8</v>
      </c>
      <c r="AM41" s="34"/>
      <c r="AN41" s="34"/>
      <c r="AO41" s="34"/>
      <c r="AP41" s="34"/>
      <c r="AQ41" s="34"/>
      <c r="AR41" s="34"/>
      <c r="AS41" s="34"/>
      <c r="CP41" s="29"/>
      <c r="CQ41" s="29"/>
      <c r="CR41" s="29"/>
      <c r="CS41" s="29"/>
      <c r="CT41" s="29"/>
      <c r="CU41" s="29"/>
      <c r="CV41" s="29"/>
      <c r="CW41" s="29"/>
      <c r="CX41" s="29"/>
      <c r="CY41" s="29"/>
      <c r="CZ41" s="29"/>
      <c r="DA41" s="29"/>
      <c r="DB41" s="29"/>
      <c r="DC41" s="29"/>
      <c r="DD41" s="29"/>
      <c r="DE41" s="29"/>
      <c r="DF41" s="29"/>
      <c r="DG41" s="29"/>
      <c r="DH41" s="29"/>
      <c r="DI41" s="29"/>
      <c r="DJ41" s="53"/>
      <c r="DK41" s="49"/>
      <c r="DL41" s="53"/>
      <c r="DM41" s="34">
        <v>50</v>
      </c>
      <c r="DN41" s="64">
        <v>100</v>
      </c>
      <c r="DO41" s="64">
        <v>150</v>
      </c>
      <c r="DP41" s="29"/>
      <c r="DQ41" s="29"/>
      <c r="DR41" s="29"/>
      <c r="DS41" s="84" t="s">
        <v>642</v>
      </c>
      <c r="DT41" s="84" t="s">
        <v>642</v>
      </c>
      <c r="DU41" s="84" t="s">
        <v>642</v>
      </c>
      <c r="DV41" s="34"/>
      <c r="DW41" s="34"/>
      <c r="DX41" s="34"/>
      <c r="DY41" s="34"/>
      <c r="DZ41" s="34"/>
    </row>
    <row r="42" spans="2:131" x14ac:dyDescent="0.25">
      <c r="B42" s="22" t="s">
        <v>444</v>
      </c>
      <c r="C42" s="27">
        <v>87</v>
      </c>
      <c r="D42" s="27">
        <v>98</v>
      </c>
      <c r="E42" s="27">
        <v>107</v>
      </c>
      <c r="F42" s="27">
        <v>121</v>
      </c>
      <c r="G42" s="27">
        <v>138</v>
      </c>
      <c r="H42" s="27">
        <v>172</v>
      </c>
      <c r="I42" s="27">
        <v>175</v>
      </c>
      <c r="J42" s="27">
        <v>167</v>
      </c>
      <c r="K42" s="27">
        <v>160</v>
      </c>
      <c r="L42" s="27">
        <v>162</v>
      </c>
      <c r="M42" s="27">
        <v>185</v>
      </c>
      <c r="N42" s="27">
        <v>185</v>
      </c>
      <c r="O42" s="27">
        <v>187</v>
      </c>
      <c r="P42" s="27">
        <v>196</v>
      </c>
      <c r="Q42" s="27">
        <v>184</v>
      </c>
      <c r="R42" s="27">
        <v>182</v>
      </c>
      <c r="S42" s="27">
        <v>164</v>
      </c>
      <c r="T42" s="27">
        <v>173</v>
      </c>
      <c r="U42" s="27">
        <v>179</v>
      </c>
      <c r="V42" s="29">
        <v>167</v>
      </c>
      <c r="W42" s="27">
        <v>166</v>
      </c>
      <c r="X42" s="27">
        <v>172</v>
      </c>
      <c r="Y42" s="47">
        <v>159</v>
      </c>
      <c r="Z42" s="47">
        <v>165</v>
      </c>
      <c r="AA42" s="47">
        <v>165</v>
      </c>
      <c r="AB42" s="47">
        <v>173</v>
      </c>
      <c r="AC42" s="47">
        <v>172</v>
      </c>
      <c r="AD42" s="47">
        <v>181</v>
      </c>
      <c r="AE42" s="27">
        <v>179</v>
      </c>
      <c r="AF42" s="29">
        <v>179</v>
      </c>
      <c r="AG42" s="49">
        <v>173</v>
      </c>
      <c r="AH42" s="49">
        <f>702-AG42-AF42-AE42</f>
        <v>171</v>
      </c>
      <c r="AI42" s="29">
        <v>162</v>
      </c>
      <c r="AJ42" s="29">
        <v>171</v>
      </c>
      <c r="AK42" s="29">
        <v>183</v>
      </c>
      <c r="AL42" s="29">
        <v>180</v>
      </c>
      <c r="AM42" s="29">
        <v>169</v>
      </c>
      <c r="AN42" s="29">
        <v>186</v>
      </c>
      <c r="AO42" s="29">
        <v>187</v>
      </c>
      <c r="AP42" s="29">
        <v>181</v>
      </c>
      <c r="AQ42" s="29">
        <v>165</v>
      </c>
      <c r="AR42" s="29">
        <v>169</v>
      </c>
      <c r="AS42" s="29">
        <v>167</v>
      </c>
      <c r="AT42" s="27">
        <v>0</v>
      </c>
      <c r="AU42" s="27">
        <v>0</v>
      </c>
      <c r="AV42" s="27">
        <v>0</v>
      </c>
      <c r="CP42" s="29"/>
      <c r="CQ42" s="29"/>
      <c r="CR42" s="29"/>
      <c r="CS42" s="29"/>
      <c r="CT42" s="29"/>
      <c r="CU42" s="29"/>
      <c r="CV42" s="29"/>
      <c r="CW42" s="29"/>
      <c r="CX42" s="29"/>
      <c r="CY42" s="29"/>
      <c r="CZ42" s="29"/>
      <c r="DA42" s="29"/>
      <c r="DB42" s="29"/>
      <c r="DC42" s="29"/>
      <c r="DD42" s="29"/>
      <c r="DE42" s="29">
        <v>260</v>
      </c>
      <c r="DF42" s="29">
        <f t="shared" ref="DF42:DF51" si="89">SUM(C42:F42)</f>
        <v>413</v>
      </c>
      <c r="DG42" s="29">
        <f>SUM(G42:J42)</f>
        <v>652</v>
      </c>
      <c r="DH42" s="29">
        <f>SUM(K42:N42)</f>
        <v>692</v>
      </c>
      <c r="DI42" s="29">
        <f>SUM(O42:R42)</f>
        <v>749</v>
      </c>
      <c r="DJ42" s="49">
        <f>SUM(S42:V42)</f>
        <v>683</v>
      </c>
      <c r="DK42" s="49">
        <f>SUM(W42:Z42)</f>
        <v>662</v>
      </c>
      <c r="DL42" s="49">
        <f>SUM(AA42:AD42)</f>
        <v>691</v>
      </c>
      <c r="DM42" s="29">
        <f>SUM(AE42:AH42)</f>
        <v>702</v>
      </c>
      <c r="DN42" s="64">
        <f>DM42*1.05</f>
        <v>737.1</v>
      </c>
      <c r="DO42" s="64">
        <f>DN42*1.05</f>
        <v>773.95500000000004</v>
      </c>
      <c r="DP42" s="29"/>
      <c r="DQ42" s="29"/>
      <c r="DR42" s="29"/>
      <c r="DS42" s="29"/>
      <c r="DT42" s="29"/>
      <c r="DU42" s="29"/>
      <c r="DV42" s="29"/>
      <c r="DW42" s="29"/>
      <c r="DX42" s="29"/>
      <c r="DY42" s="29"/>
      <c r="DZ42" s="29"/>
    </row>
    <row r="43" spans="2:131" x14ac:dyDescent="0.25">
      <c r="B43" s="22" t="s">
        <v>451</v>
      </c>
      <c r="C43" s="27">
        <v>188</v>
      </c>
      <c r="D43" s="27">
        <v>240</v>
      </c>
      <c r="E43" s="27">
        <v>260</v>
      </c>
      <c r="F43" s="27">
        <v>224</v>
      </c>
      <c r="G43" s="27">
        <v>283</v>
      </c>
      <c r="H43" s="27">
        <v>324</v>
      </c>
      <c r="I43" s="27">
        <v>313</v>
      </c>
      <c r="J43" s="27">
        <v>362</v>
      </c>
      <c r="K43" s="27">
        <v>366</v>
      </c>
      <c r="L43" s="27">
        <v>412</v>
      </c>
      <c r="M43" s="27">
        <v>420</v>
      </c>
      <c r="N43" s="27">
        <v>462</v>
      </c>
      <c r="O43" s="27">
        <v>454</v>
      </c>
      <c r="P43" s="27">
        <v>529</v>
      </c>
      <c r="Q43" s="27">
        <v>564</v>
      </c>
      <c r="R43" s="27">
        <v>606</v>
      </c>
      <c r="S43" s="27">
        <v>589</v>
      </c>
      <c r="T43" s="27">
        <v>643</v>
      </c>
      <c r="U43" s="27">
        <v>653</v>
      </c>
      <c r="V43" s="29">
        <v>707</v>
      </c>
      <c r="W43" s="27">
        <v>617</v>
      </c>
      <c r="X43" s="27">
        <v>633</v>
      </c>
      <c r="Y43" s="47">
        <v>608</v>
      </c>
      <c r="Z43" s="47">
        <v>707</v>
      </c>
      <c r="AA43" s="47">
        <v>624</v>
      </c>
      <c r="AB43" s="47">
        <v>706</v>
      </c>
      <c r="AC43" s="47">
        <v>691</v>
      </c>
      <c r="AD43" s="47">
        <v>737</v>
      </c>
      <c r="AE43" s="27">
        <v>621</v>
      </c>
      <c r="AF43" s="29">
        <v>711</v>
      </c>
      <c r="AG43" s="49">
        <v>676</v>
      </c>
      <c r="AH43" s="49">
        <f>2827-AG43-AF43-AE43</f>
        <v>819</v>
      </c>
      <c r="AI43" s="29">
        <v>522</v>
      </c>
      <c r="AJ43" s="29">
        <v>563</v>
      </c>
      <c r="AK43" s="29">
        <v>569</v>
      </c>
      <c r="AL43" s="29">
        <v>635</v>
      </c>
      <c r="AM43" s="29">
        <v>540</v>
      </c>
      <c r="AN43" s="29">
        <v>555</v>
      </c>
      <c r="AO43" s="29">
        <v>449</v>
      </c>
      <c r="AP43" s="29">
        <v>476</v>
      </c>
      <c r="AQ43" s="29">
        <v>554</v>
      </c>
      <c r="AR43" s="29">
        <v>107</v>
      </c>
      <c r="AS43" s="29">
        <v>46</v>
      </c>
      <c r="AT43" s="27">
        <v>39</v>
      </c>
      <c r="AU43" s="27">
        <v>33</v>
      </c>
      <c r="AV43" s="27">
        <v>35</v>
      </c>
      <c r="CP43" s="29"/>
      <c r="CQ43" s="29"/>
      <c r="CR43" s="29"/>
      <c r="CS43" s="29"/>
      <c r="CT43" s="29"/>
      <c r="CU43" s="29"/>
      <c r="CV43" s="29"/>
      <c r="CW43" s="29"/>
      <c r="CX43" s="29"/>
      <c r="CY43" s="29"/>
      <c r="CZ43" s="29"/>
      <c r="DA43" s="29"/>
      <c r="DB43" s="29"/>
      <c r="DC43" s="29"/>
      <c r="DD43" s="29">
        <v>284</v>
      </c>
      <c r="DE43" s="29">
        <v>593</v>
      </c>
      <c r="DF43" s="29">
        <f t="shared" si="89"/>
        <v>912</v>
      </c>
      <c r="DG43" s="29">
        <f>SUM(G43:J43)</f>
        <v>1282</v>
      </c>
      <c r="DH43" s="29">
        <f>SUM(K43:N43)</f>
        <v>1660</v>
      </c>
      <c r="DI43" s="29">
        <f>SUM(O43:R43)</f>
        <v>2153</v>
      </c>
      <c r="DJ43" s="49">
        <f>SUM(S43:V43)</f>
        <v>2592</v>
      </c>
      <c r="DK43" s="49">
        <f>SUM(W43:Z43)</f>
        <v>2565</v>
      </c>
      <c r="DL43" s="49">
        <f>SUM(AA43:AD43)</f>
        <v>2758</v>
      </c>
      <c r="DM43" s="29">
        <f>SUM(AE43:AH43)</f>
        <v>2827</v>
      </c>
      <c r="DN43" s="64">
        <f>DM43*1.05</f>
        <v>2968.35</v>
      </c>
      <c r="DO43" s="64">
        <f>DN43*1</f>
        <v>2968.35</v>
      </c>
      <c r="DP43" s="29"/>
      <c r="DQ43" s="29"/>
      <c r="DR43" s="29"/>
      <c r="DS43" s="29"/>
      <c r="DT43" s="29"/>
      <c r="DU43" s="29"/>
      <c r="DV43" s="29"/>
      <c r="DW43" s="29"/>
      <c r="DX43" s="29"/>
      <c r="DY43" s="29"/>
      <c r="DZ43" s="29"/>
    </row>
    <row r="44" spans="2:131" x14ac:dyDescent="0.25">
      <c r="B44" s="22" t="s">
        <v>452</v>
      </c>
      <c r="C44" s="27">
        <v>173</v>
      </c>
      <c r="D44" s="27">
        <v>167</v>
      </c>
      <c r="E44" s="27">
        <v>170</v>
      </c>
      <c r="F44" s="27">
        <v>170</v>
      </c>
      <c r="G44" s="27">
        <v>175</v>
      </c>
      <c r="H44" s="27">
        <v>193</v>
      </c>
      <c r="I44" s="27">
        <v>201</v>
      </c>
      <c r="J44" s="27">
        <v>222</v>
      </c>
      <c r="K44" s="27">
        <v>226</v>
      </c>
      <c r="L44" s="27">
        <v>233</v>
      </c>
      <c r="M44" s="27">
        <v>237</v>
      </c>
      <c r="N44" s="27">
        <v>260</v>
      </c>
      <c r="O44" s="27">
        <v>273</v>
      </c>
      <c r="P44" s="27">
        <v>282</v>
      </c>
      <c r="Q44" s="27">
        <v>294</v>
      </c>
      <c r="R44" s="27">
        <v>300</v>
      </c>
      <c r="S44" s="27">
        <v>292</v>
      </c>
      <c r="T44" s="27">
        <v>312</v>
      </c>
      <c r="U44" s="27">
        <v>315</v>
      </c>
      <c r="V44" s="29">
        <v>358</v>
      </c>
      <c r="W44" s="27">
        <v>335</v>
      </c>
      <c r="X44" s="27">
        <v>331</v>
      </c>
      <c r="Y44" s="47">
        <v>342</v>
      </c>
      <c r="Z44" s="47">
        <v>360</v>
      </c>
      <c r="AA44" s="47">
        <v>343</v>
      </c>
      <c r="AB44" s="47">
        <v>371</v>
      </c>
      <c r="AC44" s="47">
        <v>359</v>
      </c>
      <c r="AD44" s="49">
        <v>412</v>
      </c>
      <c r="AE44" s="29">
        <v>386</v>
      </c>
      <c r="AF44" s="29">
        <v>388</v>
      </c>
      <c r="AG44" s="49">
        <v>370</v>
      </c>
      <c r="AH44" s="49">
        <f>1527-AG44-AF44-AE44</f>
        <v>383</v>
      </c>
      <c r="AI44" s="29">
        <v>387</v>
      </c>
      <c r="AJ44" s="29">
        <v>411</v>
      </c>
      <c r="AK44" s="29">
        <v>389</v>
      </c>
      <c r="AL44" s="29">
        <v>427</v>
      </c>
      <c r="AM44" s="29">
        <v>319</v>
      </c>
      <c r="AN44" s="29">
        <v>361</v>
      </c>
      <c r="AO44" s="29">
        <v>357</v>
      </c>
      <c r="AP44" s="29">
        <v>407</v>
      </c>
      <c r="AQ44" s="29">
        <v>290</v>
      </c>
      <c r="AR44" s="29">
        <v>317</v>
      </c>
      <c r="AS44" s="29">
        <v>333</v>
      </c>
      <c r="AT44" s="27">
        <v>312</v>
      </c>
      <c r="AU44" s="27">
        <v>273</v>
      </c>
      <c r="AV44" s="27">
        <v>271</v>
      </c>
      <c r="AW44" s="27">
        <v>275</v>
      </c>
      <c r="AX44" s="27">
        <v>246</v>
      </c>
      <c r="AY44" s="27">
        <v>184</v>
      </c>
      <c r="AZ44" s="27">
        <v>188</v>
      </c>
      <c r="BA44" s="27">
        <v>183</v>
      </c>
      <c r="BB44" s="27">
        <v>174</v>
      </c>
      <c r="BC44" s="27">
        <v>84</v>
      </c>
      <c r="BD44" s="27">
        <v>73</v>
      </c>
      <c r="CP44" s="29"/>
      <c r="CQ44" s="29"/>
      <c r="CR44" s="29"/>
      <c r="CS44" s="29"/>
      <c r="CT44" s="29"/>
      <c r="CU44" s="29"/>
      <c r="CV44" s="29"/>
      <c r="CW44" s="29"/>
      <c r="CX44" s="29"/>
      <c r="CY44" s="29"/>
      <c r="CZ44" s="29"/>
      <c r="DA44" s="29"/>
      <c r="DB44" s="29"/>
      <c r="DC44" s="29">
        <v>455</v>
      </c>
      <c r="DD44" s="29">
        <v>544</v>
      </c>
      <c r="DE44" s="29">
        <v>621</v>
      </c>
      <c r="DF44" s="29">
        <f t="shared" si="89"/>
        <v>680</v>
      </c>
      <c r="DG44" s="29">
        <f>SUM(G44:J44)</f>
        <v>791</v>
      </c>
      <c r="DH44" s="29">
        <f>SUM(K44:N44)</f>
        <v>956</v>
      </c>
      <c r="DI44" s="29">
        <f>SUM(O44:R44)</f>
        <v>1149</v>
      </c>
      <c r="DJ44" s="49">
        <f>SUM(S44:V44)</f>
        <v>1277</v>
      </c>
      <c r="DK44" s="49">
        <f>SUM(W44:Z44)</f>
        <v>1368</v>
      </c>
      <c r="DL44" s="49">
        <f>SUM(AA44:AD44)</f>
        <v>1485</v>
      </c>
      <c r="DM44" s="29">
        <f>SUM(AE44:AH44)</f>
        <v>1527</v>
      </c>
      <c r="DN44" s="64">
        <f>DM44*0.8</f>
        <v>1221.6000000000001</v>
      </c>
      <c r="DO44" s="64">
        <f t="shared" ref="DO44" si="90">DN44*0.3</f>
        <v>366.48</v>
      </c>
      <c r="DP44" s="29">
        <v>1252</v>
      </c>
      <c r="DQ44" s="29">
        <v>1065</v>
      </c>
      <c r="DR44" s="29">
        <v>729</v>
      </c>
      <c r="DS44" s="29"/>
      <c r="DT44" s="29"/>
      <c r="DU44" s="29"/>
      <c r="DV44" s="29"/>
      <c r="DW44" s="29"/>
      <c r="DX44" s="29"/>
      <c r="DY44" s="29"/>
      <c r="DZ44" s="29"/>
    </row>
    <row r="45" spans="2:131" x14ac:dyDescent="0.25">
      <c r="B45" s="22" t="s">
        <v>453</v>
      </c>
      <c r="C45" s="27">
        <v>149</v>
      </c>
      <c r="D45" s="27">
        <v>183</v>
      </c>
      <c r="E45" s="27">
        <v>176</v>
      </c>
      <c r="F45" s="27">
        <v>188</v>
      </c>
      <c r="G45" s="27">
        <v>207</v>
      </c>
      <c r="H45" s="27">
        <v>236</v>
      </c>
      <c r="I45" s="27">
        <v>233</v>
      </c>
      <c r="J45" s="27">
        <v>255</v>
      </c>
      <c r="K45" s="27">
        <v>263</v>
      </c>
      <c r="L45" s="27">
        <v>254</v>
      </c>
      <c r="M45" s="27">
        <v>273</v>
      </c>
      <c r="N45" s="27">
        <v>334</v>
      </c>
      <c r="O45" s="27">
        <v>297</v>
      </c>
      <c r="P45" s="27">
        <v>324</v>
      </c>
      <c r="Q45" s="27">
        <v>342</v>
      </c>
      <c r="R45" s="27">
        <v>329</v>
      </c>
      <c r="S45" s="27">
        <v>322</v>
      </c>
      <c r="T45" s="27">
        <v>331</v>
      </c>
      <c r="U45" s="32">
        <v>360</v>
      </c>
      <c r="V45" s="29">
        <v>388</v>
      </c>
      <c r="W45" s="27">
        <v>373</v>
      </c>
      <c r="X45" s="27">
        <v>357</v>
      </c>
      <c r="Y45" s="47">
        <v>375</v>
      </c>
      <c r="Z45" s="47">
        <v>374</v>
      </c>
      <c r="AA45" s="47">
        <v>366</v>
      </c>
      <c r="AB45" s="47">
        <v>396</v>
      </c>
      <c r="AC45" s="47">
        <v>391</v>
      </c>
      <c r="AD45" s="47">
        <v>416</v>
      </c>
      <c r="AE45" s="27">
        <v>358</v>
      </c>
      <c r="AF45" s="29">
        <v>406</v>
      </c>
      <c r="AG45" s="49">
        <v>363</v>
      </c>
      <c r="AH45" s="49">
        <f>1521-AG45-AF45-AE45</f>
        <v>394</v>
      </c>
      <c r="AI45" s="29">
        <v>361</v>
      </c>
      <c r="AJ45" s="29">
        <v>431</v>
      </c>
      <c r="AK45" s="29">
        <v>375</v>
      </c>
      <c r="AL45" s="29">
        <v>384</v>
      </c>
      <c r="AM45" s="29">
        <v>344</v>
      </c>
      <c r="AN45" s="29">
        <v>362</v>
      </c>
      <c r="AO45" s="29">
        <v>338</v>
      </c>
      <c r="AP45" s="29">
        <v>318</v>
      </c>
      <c r="AQ45" s="29">
        <v>294</v>
      </c>
      <c r="AR45" s="29">
        <v>303</v>
      </c>
      <c r="AS45" s="29">
        <v>270</v>
      </c>
      <c r="AT45" s="27">
        <v>272</v>
      </c>
      <c r="AU45" s="27">
        <v>221</v>
      </c>
      <c r="AV45" s="27">
        <v>247</v>
      </c>
      <c r="AW45" s="27">
        <v>238</v>
      </c>
      <c r="AX45" s="27">
        <v>206</v>
      </c>
      <c r="AY45" s="27">
        <v>193</v>
      </c>
      <c r="AZ45" s="27">
        <v>188</v>
      </c>
      <c r="BA45" s="27">
        <v>174</v>
      </c>
      <c r="BB45" s="27">
        <v>143</v>
      </c>
      <c r="BC45" s="27">
        <v>124</v>
      </c>
      <c r="BD45" s="27">
        <v>117</v>
      </c>
      <c r="CP45" s="29"/>
      <c r="CQ45" s="29"/>
      <c r="CR45" s="29"/>
      <c r="CS45" s="29"/>
      <c r="CT45" s="29"/>
      <c r="CU45" s="29"/>
      <c r="CV45" s="29"/>
      <c r="CW45" s="29"/>
      <c r="CX45" s="29"/>
      <c r="CY45" s="29"/>
      <c r="CZ45" s="29"/>
      <c r="DA45" s="29"/>
      <c r="DB45" s="29"/>
      <c r="DC45" s="29"/>
      <c r="DD45" s="29">
        <v>88</v>
      </c>
      <c r="DE45" s="29">
        <v>414</v>
      </c>
      <c r="DF45" s="29">
        <f t="shared" si="89"/>
        <v>696</v>
      </c>
      <c r="DG45" s="29">
        <f>SUM(G45:J45)</f>
        <v>931</v>
      </c>
      <c r="DH45" s="29">
        <f>SUM(K45:N45)</f>
        <v>1124</v>
      </c>
      <c r="DI45" s="29">
        <f>SUM(O45:R45)</f>
        <v>1292</v>
      </c>
      <c r="DJ45" s="49">
        <f>SUM(S45:V45)</f>
        <v>1401</v>
      </c>
      <c r="DK45" s="49">
        <f>SUM(W45:Z45)</f>
        <v>1479</v>
      </c>
      <c r="DL45" s="49">
        <f>SUM(AA45:AD45)</f>
        <v>1569</v>
      </c>
      <c r="DM45" s="29">
        <f>SUM(AE45:AH45)</f>
        <v>1521</v>
      </c>
      <c r="DN45" s="64">
        <f>+DM45*1.05</f>
        <v>1597.05</v>
      </c>
      <c r="DO45" s="64">
        <f>+DN45*1.05</f>
        <v>1676.9024999999999</v>
      </c>
      <c r="DP45" s="29">
        <v>1139</v>
      </c>
      <c r="DQ45" s="29">
        <v>912</v>
      </c>
      <c r="DR45" s="29">
        <v>698</v>
      </c>
      <c r="DS45" s="24"/>
      <c r="DT45" s="24"/>
      <c r="DU45" s="24"/>
      <c r="DV45" s="24"/>
      <c r="DW45" s="24"/>
      <c r="DX45" s="24"/>
      <c r="DY45" s="24"/>
      <c r="DZ45" s="24"/>
    </row>
    <row r="46" spans="2:131" x14ac:dyDescent="0.25">
      <c r="B46" s="22" t="s">
        <v>454</v>
      </c>
      <c r="D46" s="27">
        <v>5</v>
      </c>
      <c r="E46" s="27">
        <v>2</v>
      </c>
      <c r="F46" s="27">
        <v>5</v>
      </c>
      <c r="G46" s="27">
        <v>11</v>
      </c>
      <c r="H46" s="27">
        <v>14</v>
      </c>
      <c r="I46" s="27">
        <v>22</v>
      </c>
      <c r="J46" s="27">
        <v>36</v>
      </c>
      <c r="K46" s="27">
        <v>45</v>
      </c>
      <c r="L46" s="27">
        <v>59</v>
      </c>
      <c r="M46" s="27">
        <v>72</v>
      </c>
      <c r="N46" s="27">
        <v>99</v>
      </c>
      <c r="O46" s="27">
        <v>108</v>
      </c>
      <c r="P46" s="27">
        <v>136</v>
      </c>
      <c r="Q46" s="27">
        <v>144</v>
      </c>
      <c r="R46" s="27">
        <v>153</v>
      </c>
      <c r="S46" s="27">
        <v>152</v>
      </c>
      <c r="T46" s="27">
        <v>179</v>
      </c>
      <c r="U46" s="27">
        <v>191</v>
      </c>
      <c r="V46" s="29">
        <v>212</v>
      </c>
      <c r="W46" s="27">
        <v>216</v>
      </c>
      <c r="X46" s="27">
        <v>223</v>
      </c>
      <c r="Y46" s="47">
        <v>228</v>
      </c>
      <c r="Z46" s="47">
        <v>264</v>
      </c>
      <c r="AA46" s="47">
        <v>275</v>
      </c>
      <c r="AB46" s="47">
        <v>292</v>
      </c>
      <c r="AC46" s="47">
        <v>311</v>
      </c>
      <c r="AD46" s="47">
        <v>318</v>
      </c>
      <c r="AE46" s="27">
        <v>325</v>
      </c>
      <c r="AF46" s="29">
        <v>357</v>
      </c>
      <c r="AG46" s="49">
        <v>346</v>
      </c>
      <c r="AH46" s="49">
        <f>1527-AG46-AF46-AE46</f>
        <v>499</v>
      </c>
      <c r="AI46" s="29">
        <v>366</v>
      </c>
      <c r="AJ46" s="29">
        <v>371</v>
      </c>
      <c r="AK46" s="29">
        <v>378</v>
      </c>
      <c r="AL46" s="29">
        <v>412</v>
      </c>
      <c r="AM46" s="29">
        <v>406</v>
      </c>
      <c r="AN46" s="29">
        <v>369</v>
      </c>
      <c r="AO46" s="29">
        <v>325</v>
      </c>
      <c r="AP46" s="29">
        <v>341</v>
      </c>
      <c r="AQ46" s="29">
        <v>340</v>
      </c>
      <c r="AR46" s="29">
        <v>343</v>
      </c>
      <c r="AS46" s="29">
        <v>320</v>
      </c>
      <c r="AT46" s="27">
        <v>309</v>
      </c>
      <c r="AU46" s="27">
        <v>291</v>
      </c>
      <c r="AV46" s="27">
        <v>299</v>
      </c>
      <c r="AW46" s="27">
        <v>306</v>
      </c>
      <c r="AX46" s="27">
        <v>296</v>
      </c>
      <c r="AY46" s="27">
        <v>282</v>
      </c>
      <c r="AZ46" s="27">
        <v>273</v>
      </c>
      <c r="BA46" s="27">
        <v>264</v>
      </c>
      <c r="BB46" s="27">
        <v>233</v>
      </c>
      <c r="BC46" s="27">
        <v>225</v>
      </c>
      <c r="BD46" s="27">
        <v>179</v>
      </c>
      <c r="BE46" s="27">
        <v>175</v>
      </c>
      <c r="BF46" s="27">
        <v>165</v>
      </c>
      <c r="BG46" s="27">
        <v>141</v>
      </c>
      <c r="BH46" s="27">
        <v>147</v>
      </c>
      <c r="BI46" s="27">
        <v>145</v>
      </c>
      <c r="BJ46" s="27">
        <v>122</v>
      </c>
      <c r="BK46" s="27">
        <v>122</v>
      </c>
      <c r="BL46" s="27">
        <v>121</v>
      </c>
      <c r="BM46" s="27">
        <v>100</v>
      </c>
      <c r="BQ46" s="27">
        <v>105</v>
      </c>
      <c r="CP46" s="29"/>
      <c r="CQ46" s="29"/>
      <c r="CR46" s="29"/>
      <c r="CS46" s="29"/>
      <c r="CT46" s="29"/>
      <c r="CU46" s="29"/>
      <c r="CV46" s="29"/>
      <c r="CW46" s="29"/>
      <c r="CX46" s="29"/>
      <c r="CY46" s="29"/>
      <c r="CZ46" s="29"/>
      <c r="DA46" s="29"/>
      <c r="DB46" s="29"/>
      <c r="DC46" s="29"/>
      <c r="DD46" s="29"/>
      <c r="DE46" s="29"/>
      <c r="DF46" s="29">
        <f t="shared" si="89"/>
        <v>12</v>
      </c>
      <c r="DG46" s="29">
        <f>SUM(G46:J46)</f>
        <v>83</v>
      </c>
      <c r="DH46" s="29">
        <f>SUM(K46:N46)</f>
        <v>275</v>
      </c>
      <c r="DI46" s="29">
        <f>SUM(O46:R46)</f>
        <v>541</v>
      </c>
      <c r="DJ46" s="49">
        <f>SUM(S46:V46)</f>
        <v>734</v>
      </c>
      <c r="DK46" s="49">
        <f>SUM(W46:Z46)</f>
        <v>931</v>
      </c>
      <c r="DL46" s="49">
        <f>SUM(AA46:AD46)</f>
        <v>1196</v>
      </c>
      <c r="DM46" s="29">
        <f>SUM(AE46:AH46)</f>
        <v>1527</v>
      </c>
      <c r="DN46" s="64">
        <f>DM46*1.1</f>
        <v>1679.7</v>
      </c>
      <c r="DO46" s="64">
        <f>DN46*1.1</f>
        <v>1847.6700000000003</v>
      </c>
      <c r="DP46" s="29">
        <v>1312</v>
      </c>
      <c r="DQ46" s="29">
        <v>1192</v>
      </c>
      <c r="DR46" s="29">
        <v>1052</v>
      </c>
      <c r="DS46" s="29">
        <v>744</v>
      </c>
      <c r="DT46" s="29">
        <v>555</v>
      </c>
      <c r="DU46" s="29">
        <f t="shared" ref="DU46" si="91">SUM(BK46:BN46)</f>
        <v>343</v>
      </c>
      <c r="DV46" s="34">
        <f>SUM(BO46:BR46)</f>
        <v>105</v>
      </c>
      <c r="DW46" s="29"/>
      <c r="DX46" s="29"/>
      <c r="DY46" s="29"/>
      <c r="DZ46" s="29"/>
    </row>
    <row r="47" spans="2:131" ht="6.75" customHeight="1" x14ac:dyDescent="0.25">
      <c r="B47" s="1" t="s">
        <v>86</v>
      </c>
      <c r="C47" s="27">
        <v>59</v>
      </c>
      <c r="D47" s="27">
        <v>54</v>
      </c>
      <c r="E47" s="27">
        <v>49</v>
      </c>
      <c r="F47" s="27">
        <v>46</v>
      </c>
      <c r="G47" s="27">
        <v>48</v>
      </c>
      <c r="H47" s="27">
        <v>49</v>
      </c>
      <c r="I47" s="27">
        <v>34</v>
      </c>
      <c r="J47" s="27">
        <v>28</v>
      </c>
      <c r="V47" s="29"/>
      <c r="AF47" s="29"/>
      <c r="AG47" s="49"/>
      <c r="AH47" s="4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CP47" s="29"/>
      <c r="CQ47" s="29"/>
      <c r="CR47" s="29"/>
      <c r="CS47" s="29"/>
      <c r="CT47" s="29"/>
      <c r="CU47" s="29"/>
      <c r="CV47" s="29"/>
      <c r="CW47" s="29"/>
      <c r="CX47" s="29"/>
      <c r="CY47" s="29"/>
      <c r="CZ47" s="29"/>
      <c r="DA47" s="29"/>
      <c r="DB47" s="29"/>
      <c r="DC47" s="29">
        <v>426</v>
      </c>
      <c r="DD47" s="29">
        <v>470</v>
      </c>
      <c r="DE47" s="29">
        <v>275</v>
      </c>
      <c r="DF47" s="29">
        <f t="shared" si="89"/>
        <v>208</v>
      </c>
      <c r="DG47" s="29">
        <f t="shared" si="88"/>
        <v>159</v>
      </c>
      <c r="DH47" s="29">
        <v>156</v>
      </c>
      <c r="DI47" s="29"/>
      <c r="DJ47" s="53" t="s">
        <v>357</v>
      </c>
      <c r="DK47" s="53" t="s">
        <v>357</v>
      </c>
      <c r="DL47" s="53" t="s">
        <v>357</v>
      </c>
      <c r="DM47" s="34" t="s">
        <v>357</v>
      </c>
      <c r="DN47" s="65" t="s">
        <v>357</v>
      </c>
      <c r="DO47" s="65" t="s">
        <v>357</v>
      </c>
      <c r="DP47" s="34" t="s">
        <v>357</v>
      </c>
      <c r="DQ47" s="34" t="s">
        <v>357</v>
      </c>
      <c r="DR47" s="34" t="s">
        <v>357</v>
      </c>
      <c r="DS47" s="34"/>
      <c r="DT47" s="34" t="s">
        <v>357</v>
      </c>
      <c r="DU47" s="34"/>
      <c r="DV47" s="34"/>
      <c r="DW47" s="34"/>
      <c r="DX47" s="34"/>
      <c r="DY47" s="34"/>
      <c r="DZ47" s="34"/>
    </row>
    <row r="48" spans="2:131" ht="6.75" customHeight="1" x14ac:dyDescent="0.25">
      <c r="B48" s="1" t="s">
        <v>7</v>
      </c>
      <c r="C48" s="27">
        <v>520</v>
      </c>
      <c r="D48" s="27">
        <v>625</v>
      </c>
      <c r="E48" s="27">
        <v>527</v>
      </c>
      <c r="F48" s="27">
        <v>584</v>
      </c>
      <c r="G48" s="27">
        <v>536</v>
      </c>
      <c r="H48" s="27">
        <v>323</v>
      </c>
      <c r="I48" s="27">
        <v>192</v>
      </c>
      <c r="J48" s="27">
        <v>146</v>
      </c>
      <c r="K48" s="27">
        <v>135</v>
      </c>
      <c r="L48" s="27">
        <v>135</v>
      </c>
      <c r="M48" s="27">
        <v>86</v>
      </c>
      <c r="N48" s="27">
        <v>90</v>
      </c>
      <c r="O48" s="27">
        <v>73</v>
      </c>
      <c r="P48" s="27">
        <v>69</v>
      </c>
      <c r="Q48" s="27">
        <v>34</v>
      </c>
      <c r="R48" s="27">
        <v>27</v>
      </c>
      <c r="S48" s="32" t="s">
        <v>357</v>
      </c>
      <c r="T48" s="32" t="s">
        <v>357</v>
      </c>
      <c r="U48" s="27" t="s">
        <v>357</v>
      </c>
      <c r="V48" s="29" t="str">
        <f>U48</f>
        <v>-</v>
      </c>
      <c r="W48" s="32" t="s">
        <v>357</v>
      </c>
      <c r="X48" s="27" t="s">
        <v>357</v>
      </c>
      <c r="Y48" s="27" t="s">
        <v>357</v>
      </c>
      <c r="Z48" s="27" t="s">
        <v>357</v>
      </c>
      <c r="AA48" s="47" t="s">
        <v>357</v>
      </c>
      <c r="AB48" s="27" t="s">
        <v>357</v>
      </c>
      <c r="AC48" s="27" t="s">
        <v>357</v>
      </c>
      <c r="AD48" s="27" t="s">
        <v>357</v>
      </c>
      <c r="AE48" s="27" t="s">
        <v>357</v>
      </c>
      <c r="AF48" s="34" t="s">
        <v>357</v>
      </c>
      <c r="AG48" s="53" t="s">
        <v>357</v>
      </c>
      <c r="AH48" s="53" t="s">
        <v>357</v>
      </c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CP48" s="29"/>
      <c r="CQ48" s="29"/>
      <c r="CR48" s="29"/>
      <c r="CS48" s="29"/>
      <c r="CT48" s="29">
        <v>500</v>
      </c>
      <c r="CU48" s="29"/>
      <c r="CV48" s="29"/>
      <c r="CW48" s="29"/>
      <c r="CX48" s="29"/>
      <c r="CY48" s="29"/>
      <c r="CZ48" s="29"/>
      <c r="DA48" s="29"/>
      <c r="DB48" s="29"/>
      <c r="DC48" s="29">
        <v>2266</v>
      </c>
      <c r="DD48" s="29">
        <v>2827</v>
      </c>
      <c r="DE48" s="29">
        <v>2635</v>
      </c>
      <c r="DF48" s="29">
        <f t="shared" si="89"/>
        <v>2256</v>
      </c>
      <c r="DG48" s="29">
        <f t="shared" si="88"/>
        <v>1197</v>
      </c>
      <c r="DH48" s="29">
        <f>SUM(K48:N48)</f>
        <v>446</v>
      </c>
      <c r="DI48" s="29">
        <f>SUM(O48:R48)</f>
        <v>203</v>
      </c>
      <c r="DJ48" s="53" t="s">
        <v>357</v>
      </c>
      <c r="DK48" s="53" t="s">
        <v>357</v>
      </c>
      <c r="DL48" s="53" t="s">
        <v>357</v>
      </c>
      <c r="DM48" s="34" t="s">
        <v>357</v>
      </c>
      <c r="DN48" s="65" t="s">
        <v>357</v>
      </c>
      <c r="DO48" s="65" t="s">
        <v>357</v>
      </c>
      <c r="DP48" s="34" t="s">
        <v>357</v>
      </c>
      <c r="DQ48" s="34" t="s">
        <v>357</v>
      </c>
      <c r="DR48" s="34" t="s">
        <v>357</v>
      </c>
      <c r="DS48" s="34"/>
      <c r="DT48" s="34" t="s">
        <v>357</v>
      </c>
      <c r="DU48" s="34"/>
      <c r="DV48" s="34"/>
      <c r="DW48" s="34"/>
      <c r="DX48" s="34"/>
      <c r="DY48" s="34"/>
      <c r="DZ48" s="34"/>
    </row>
    <row r="49" spans="2:140" ht="5.25" customHeight="1" x14ac:dyDescent="0.25">
      <c r="B49" s="1" t="s">
        <v>94</v>
      </c>
      <c r="C49" s="27">
        <v>205</v>
      </c>
      <c r="D49" s="27">
        <v>186</v>
      </c>
      <c r="E49" s="27">
        <v>175</v>
      </c>
      <c r="F49" s="27">
        <v>181</v>
      </c>
      <c r="G49" s="27">
        <v>147</v>
      </c>
      <c r="H49" s="27">
        <v>149</v>
      </c>
      <c r="I49" s="27">
        <v>137</v>
      </c>
      <c r="J49" s="27">
        <v>130</v>
      </c>
      <c r="K49" s="27">
        <v>111</v>
      </c>
      <c r="L49" s="27">
        <v>95</v>
      </c>
      <c r="M49" s="27">
        <v>102</v>
      </c>
      <c r="N49" s="27">
        <v>114</v>
      </c>
      <c r="O49" s="27">
        <v>94</v>
      </c>
      <c r="P49" s="27">
        <v>101</v>
      </c>
      <c r="Q49" s="27">
        <v>91</v>
      </c>
      <c r="R49" s="27">
        <v>99</v>
      </c>
      <c r="S49" s="32" t="s">
        <v>357</v>
      </c>
      <c r="T49" s="32" t="s">
        <v>357</v>
      </c>
      <c r="U49" s="27" t="s">
        <v>357</v>
      </c>
      <c r="V49" s="29" t="str">
        <f>U49</f>
        <v>-</v>
      </c>
      <c r="W49" s="32" t="s">
        <v>357</v>
      </c>
      <c r="X49" s="27" t="s">
        <v>357</v>
      </c>
      <c r="Y49" s="27" t="s">
        <v>357</v>
      </c>
      <c r="Z49" s="27" t="s">
        <v>357</v>
      </c>
      <c r="AA49" s="47" t="s">
        <v>357</v>
      </c>
      <c r="AB49" s="27" t="s">
        <v>357</v>
      </c>
      <c r="AC49" s="27" t="s">
        <v>357</v>
      </c>
      <c r="AD49" s="27" t="s">
        <v>357</v>
      </c>
      <c r="AE49" s="27" t="s">
        <v>357</v>
      </c>
      <c r="AF49" s="34" t="s">
        <v>357</v>
      </c>
      <c r="AG49" s="53" t="s">
        <v>357</v>
      </c>
      <c r="AH49" s="53" t="s">
        <v>357</v>
      </c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CP49" s="29"/>
      <c r="CQ49" s="29"/>
      <c r="CR49" s="29"/>
      <c r="CS49" s="29"/>
      <c r="CT49" s="29"/>
      <c r="CU49" s="29"/>
      <c r="CV49" s="29"/>
      <c r="CW49" s="29"/>
      <c r="CX49" s="29"/>
      <c r="CY49" s="29"/>
      <c r="CZ49" s="29"/>
      <c r="DA49" s="29"/>
      <c r="DB49" s="29"/>
      <c r="DC49" s="29">
        <v>857</v>
      </c>
      <c r="DD49" s="29">
        <v>934</v>
      </c>
      <c r="DE49" s="29">
        <v>991</v>
      </c>
      <c r="DF49" s="29">
        <f t="shared" si="89"/>
        <v>747</v>
      </c>
      <c r="DG49" s="29">
        <f t="shared" si="88"/>
        <v>563</v>
      </c>
      <c r="DH49" s="29">
        <f>SUM(K49:N49)</f>
        <v>422</v>
      </c>
      <c r="DI49" s="29">
        <f>SUM(O49:R49)</f>
        <v>385</v>
      </c>
      <c r="DJ49" s="53" t="s">
        <v>357</v>
      </c>
      <c r="DK49" s="53" t="s">
        <v>357</v>
      </c>
      <c r="DL49" s="53" t="s">
        <v>357</v>
      </c>
      <c r="DM49" s="34" t="s">
        <v>357</v>
      </c>
      <c r="DN49" s="65" t="s">
        <v>357</v>
      </c>
      <c r="DO49" s="65" t="s">
        <v>357</v>
      </c>
      <c r="DP49" s="34" t="s">
        <v>357</v>
      </c>
      <c r="DQ49" s="34" t="s">
        <v>357</v>
      </c>
      <c r="DR49" s="34" t="s">
        <v>357</v>
      </c>
      <c r="DS49" s="34"/>
      <c r="DT49" s="34" t="s">
        <v>357</v>
      </c>
      <c r="DU49" s="34"/>
      <c r="DV49" s="34"/>
      <c r="DW49" s="34"/>
      <c r="DX49" s="34"/>
      <c r="DY49" s="34"/>
      <c r="DZ49" s="34"/>
    </row>
    <row r="50" spans="2:140" ht="5.25" customHeight="1" x14ac:dyDescent="0.25">
      <c r="B50" s="1" t="s">
        <v>90</v>
      </c>
      <c r="C50" s="27">
        <v>59</v>
      </c>
      <c r="D50" s="27">
        <v>59</v>
      </c>
      <c r="E50" s="27">
        <v>51</v>
      </c>
      <c r="F50" s="27">
        <v>47</v>
      </c>
      <c r="G50" s="27">
        <v>40</v>
      </c>
      <c r="H50" s="27">
        <v>41</v>
      </c>
      <c r="I50" s="27">
        <v>38</v>
      </c>
      <c r="J50" s="27">
        <v>36</v>
      </c>
      <c r="V50" s="29"/>
      <c r="Y50" s="27"/>
      <c r="Z50" s="27"/>
      <c r="AB50" s="27"/>
      <c r="AC50" s="27"/>
      <c r="AD50" s="27"/>
      <c r="AF50" s="29"/>
      <c r="AG50" s="49"/>
      <c r="AH50" s="4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CP50" s="29"/>
      <c r="CQ50" s="29"/>
      <c r="CR50" s="29"/>
      <c r="CS50" s="29"/>
      <c r="CT50" s="29"/>
      <c r="CU50" s="29"/>
      <c r="CV50" s="29"/>
      <c r="CW50" s="29"/>
      <c r="CX50" s="29"/>
      <c r="CY50" s="29"/>
      <c r="CZ50" s="29"/>
      <c r="DA50" s="29"/>
      <c r="DB50" s="29"/>
      <c r="DC50" s="29">
        <v>443</v>
      </c>
      <c r="DD50" s="29">
        <v>354</v>
      </c>
      <c r="DE50" s="29">
        <v>272</v>
      </c>
      <c r="DF50" s="29">
        <f t="shared" si="89"/>
        <v>216</v>
      </c>
      <c r="DG50" s="29">
        <f t="shared" si="88"/>
        <v>155</v>
      </c>
      <c r="DH50" s="29">
        <v>129</v>
      </c>
      <c r="DI50" s="29"/>
      <c r="DJ50" s="53" t="s">
        <v>357</v>
      </c>
      <c r="DK50" s="53" t="s">
        <v>357</v>
      </c>
      <c r="DL50" s="53" t="s">
        <v>357</v>
      </c>
      <c r="DM50" s="34" t="s">
        <v>357</v>
      </c>
      <c r="DN50" s="65" t="s">
        <v>357</v>
      </c>
      <c r="DO50" s="65" t="s">
        <v>357</v>
      </c>
      <c r="DP50" s="34" t="s">
        <v>357</v>
      </c>
      <c r="DQ50" s="34" t="s">
        <v>357</v>
      </c>
      <c r="DR50" s="34" t="s">
        <v>357</v>
      </c>
      <c r="DS50" s="34"/>
      <c r="DT50" s="34" t="s">
        <v>357</v>
      </c>
      <c r="DU50" s="34"/>
      <c r="DV50" s="34"/>
      <c r="DW50" s="34"/>
      <c r="DX50" s="34"/>
      <c r="DY50" s="34"/>
      <c r="DZ50" s="34"/>
    </row>
    <row r="51" spans="2:140" ht="5.25" customHeight="1" x14ac:dyDescent="0.25">
      <c r="B51" s="1" t="s">
        <v>92</v>
      </c>
      <c r="C51" s="27">
        <v>82</v>
      </c>
      <c r="D51" s="27">
        <v>54</v>
      </c>
      <c r="E51" s="27">
        <v>48</v>
      </c>
      <c r="F51" s="27">
        <v>75</v>
      </c>
      <c r="G51" s="27">
        <v>23</v>
      </c>
      <c r="H51" s="27">
        <v>23</v>
      </c>
      <c r="I51" s="27">
        <v>18</v>
      </c>
      <c r="J51" s="27">
        <v>23</v>
      </c>
      <c r="V51" s="29"/>
      <c r="Y51" s="27"/>
      <c r="Z51" s="27"/>
      <c r="AB51" s="27"/>
      <c r="AC51" s="27"/>
      <c r="AD51" s="27"/>
      <c r="AF51" s="29"/>
      <c r="AG51" s="49"/>
      <c r="AH51" s="4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CP51" s="29"/>
      <c r="CQ51" s="29"/>
      <c r="CR51" s="29"/>
      <c r="CS51" s="29"/>
      <c r="CT51" s="29"/>
      <c r="CU51" s="29"/>
      <c r="CV51" s="29"/>
      <c r="CW51" s="29"/>
      <c r="CX51" s="29"/>
      <c r="CY51" s="29"/>
      <c r="CZ51" s="29"/>
      <c r="DA51" s="29"/>
      <c r="DB51" s="29"/>
      <c r="DC51" s="29">
        <v>287</v>
      </c>
      <c r="DD51" s="29">
        <v>327</v>
      </c>
      <c r="DE51" s="29">
        <v>270</v>
      </c>
      <c r="DF51" s="29">
        <f t="shared" si="89"/>
        <v>259</v>
      </c>
      <c r="DG51" s="29">
        <f t="shared" si="88"/>
        <v>87</v>
      </c>
      <c r="DH51" s="29">
        <v>110</v>
      </c>
      <c r="DI51" s="29"/>
      <c r="DJ51" s="53" t="s">
        <v>357</v>
      </c>
      <c r="DK51" s="53" t="s">
        <v>357</v>
      </c>
      <c r="DL51" s="53" t="s">
        <v>357</v>
      </c>
      <c r="DM51" s="34" t="s">
        <v>357</v>
      </c>
      <c r="DN51" s="65" t="s">
        <v>357</v>
      </c>
      <c r="DO51" s="65" t="s">
        <v>357</v>
      </c>
      <c r="DP51" s="34" t="s">
        <v>357</v>
      </c>
      <c r="DQ51" s="34" t="s">
        <v>357</v>
      </c>
      <c r="DR51" s="34" t="s">
        <v>357</v>
      </c>
      <c r="DS51" s="34"/>
      <c r="DT51" s="34" t="s">
        <v>357</v>
      </c>
      <c r="DU51" s="34"/>
      <c r="DV51" s="34"/>
      <c r="DW51" s="34"/>
      <c r="DX51" s="34"/>
      <c r="DY51" s="34"/>
      <c r="DZ51" s="34"/>
    </row>
    <row r="52" spans="2:140" ht="5.25" customHeight="1" x14ac:dyDescent="0.25">
      <c r="B52" s="1" t="s">
        <v>91</v>
      </c>
      <c r="V52" s="29"/>
      <c r="Y52" s="27"/>
      <c r="Z52" s="27"/>
      <c r="AB52" s="27"/>
      <c r="AC52" s="27"/>
      <c r="AD52" s="27"/>
      <c r="AF52" s="29"/>
      <c r="AG52" s="49"/>
      <c r="AH52" s="4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DJ52" s="48" t="s">
        <v>357</v>
      </c>
      <c r="DK52" s="53" t="s">
        <v>357</v>
      </c>
      <c r="DL52" s="53" t="s">
        <v>357</v>
      </c>
      <c r="DM52" s="34" t="s">
        <v>357</v>
      </c>
      <c r="DN52" s="65" t="s">
        <v>357</v>
      </c>
      <c r="DO52" s="65" t="s">
        <v>357</v>
      </c>
      <c r="DP52" s="34" t="s">
        <v>357</v>
      </c>
      <c r="DQ52" s="34" t="s">
        <v>357</v>
      </c>
      <c r="DR52" s="34" t="s">
        <v>357</v>
      </c>
      <c r="DS52" s="34"/>
      <c r="DT52" s="34" t="s">
        <v>357</v>
      </c>
      <c r="DU52" s="34"/>
      <c r="DV52" s="34"/>
      <c r="DW52" s="34"/>
      <c r="DX52" s="34"/>
      <c r="DY52" s="34"/>
      <c r="DZ52" s="34"/>
    </row>
    <row r="53" spans="2:140" ht="5.25" customHeight="1" x14ac:dyDescent="0.25">
      <c r="B53" s="1" t="s">
        <v>96</v>
      </c>
      <c r="V53" s="29"/>
      <c r="Y53" s="27"/>
      <c r="Z53" s="27"/>
      <c r="AB53" s="27"/>
      <c r="AC53" s="27"/>
      <c r="AD53" s="27"/>
      <c r="AF53" s="29"/>
      <c r="AG53" s="49"/>
      <c r="AH53" s="4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DJ53" s="48" t="s">
        <v>357</v>
      </c>
      <c r="DK53" s="53" t="s">
        <v>357</v>
      </c>
      <c r="DL53" s="53" t="s">
        <v>357</v>
      </c>
      <c r="DM53" s="34" t="s">
        <v>357</v>
      </c>
      <c r="DN53" s="65" t="s">
        <v>357</v>
      </c>
      <c r="DO53" s="65" t="s">
        <v>357</v>
      </c>
      <c r="DP53" s="34" t="s">
        <v>357</v>
      </c>
      <c r="DQ53" s="34" t="s">
        <v>357</v>
      </c>
      <c r="DR53" s="34" t="s">
        <v>357</v>
      </c>
      <c r="DS53" s="34"/>
      <c r="DT53" s="34" t="s">
        <v>357</v>
      </c>
      <c r="DU53" s="34"/>
      <c r="DV53" s="34"/>
      <c r="DW53" s="34"/>
      <c r="DX53" s="34"/>
      <c r="DY53" s="34"/>
      <c r="DZ53" s="34"/>
    </row>
    <row r="54" spans="2:140" ht="5.25" customHeight="1" x14ac:dyDescent="0.25">
      <c r="B54" s="1" t="s">
        <v>98</v>
      </c>
      <c r="C54" s="29">
        <f>526-C37</f>
        <v>291</v>
      </c>
      <c r="D54" s="29">
        <f>548-D37</f>
        <v>298</v>
      </c>
      <c r="E54" s="29">
        <f>547-E37</f>
        <v>317</v>
      </c>
      <c r="F54" s="29">
        <f>584-F37</f>
        <v>307</v>
      </c>
      <c r="G54" s="29">
        <f>565-G37</f>
        <v>328</v>
      </c>
      <c r="H54" s="29">
        <f>582-H37</f>
        <v>329</v>
      </c>
      <c r="I54" s="29">
        <f>582-I37</f>
        <v>336</v>
      </c>
      <c r="J54" s="29">
        <f>618-J37</f>
        <v>347</v>
      </c>
      <c r="K54" s="29">
        <f>606-K37</f>
        <v>352</v>
      </c>
      <c r="L54" s="29">
        <f>620-L37</f>
        <v>353</v>
      </c>
      <c r="M54" s="29">
        <f>675-M37</f>
        <v>394</v>
      </c>
      <c r="N54" s="29">
        <f>670-N37</f>
        <v>390</v>
      </c>
      <c r="O54" s="29">
        <f>703-O37</f>
        <v>413</v>
      </c>
      <c r="P54" s="29">
        <f>728-P37</f>
        <v>441</v>
      </c>
      <c r="Q54" s="29">
        <f>744-Q37</f>
        <v>449</v>
      </c>
      <c r="R54" s="29">
        <f>707-R37</f>
        <v>422</v>
      </c>
      <c r="S54" s="29">
        <v>693</v>
      </c>
      <c r="T54" s="29">
        <v>719</v>
      </c>
      <c r="U54" s="29">
        <v>699</v>
      </c>
      <c r="V54" s="34" t="s">
        <v>357</v>
      </c>
      <c r="W54" s="34" t="s">
        <v>357</v>
      </c>
      <c r="X54" s="29" t="s">
        <v>357</v>
      </c>
      <c r="Y54" s="29" t="s">
        <v>357</v>
      </c>
      <c r="Z54" s="29" t="s">
        <v>357</v>
      </c>
      <c r="AA54" s="49" t="s">
        <v>357</v>
      </c>
      <c r="AB54" s="29" t="s">
        <v>357</v>
      </c>
      <c r="AC54" s="29" t="s">
        <v>357</v>
      </c>
      <c r="AD54" s="29" t="s">
        <v>357</v>
      </c>
      <c r="AE54" s="29" t="s">
        <v>357</v>
      </c>
      <c r="AF54" s="34" t="s">
        <v>357</v>
      </c>
      <c r="AG54" s="53" t="s">
        <v>357</v>
      </c>
      <c r="AH54" s="53" t="s">
        <v>357</v>
      </c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DF54" s="29">
        <f>SUM(C54:F54)</f>
        <v>1213</v>
      </c>
      <c r="DG54" s="29">
        <f>SUM(G54:J54)</f>
        <v>1340</v>
      </c>
      <c r="DH54" s="29">
        <f>SUM(K54:N54)</f>
        <v>1489</v>
      </c>
      <c r="DI54" s="29">
        <f>SUM(O54:R54)</f>
        <v>1725</v>
      </c>
      <c r="DJ54" s="49">
        <f>SUM(S54:V54)</f>
        <v>2111</v>
      </c>
      <c r="DK54" s="53" t="s">
        <v>357</v>
      </c>
      <c r="DL54" s="53" t="s">
        <v>357</v>
      </c>
      <c r="DM54" s="34" t="s">
        <v>357</v>
      </c>
      <c r="DN54" s="65" t="s">
        <v>357</v>
      </c>
      <c r="DO54" s="65" t="s">
        <v>357</v>
      </c>
      <c r="DP54" s="34" t="s">
        <v>357</v>
      </c>
      <c r="DQ54" s="34" t="s">
        <v>357</v>
      </c>
      <c r="DR54" s="34" t="s">
        <v>357</v>
      </c>
      <c r="DS54" s="34"/>
      <c r="DT54" s="34" t="s">
        <v>357</v>
      </c>
      <c r="DU54" s="34"/>
      <c r="DV54" s="34"/>
      <c r="DW54" s="34"/>
      <c r="DX54" s="34"/>
      <c r="DY54" s="34"/>
      <c r="DZ54" s="34"/>
    </row>
    <row r="55" spans="2:140" ht="5.25" customHeight="1" x14ac:dyDescent="0.25">
      <c r="B55" s="1" t="s">
        <v>99</v>
      </c>
      <c r="C55" s="29">
        <v>428</v>
      </c>
      <c r="D55" s="29">
        <v>455</v>
      </c>
      <c r="E55" s="29">
        <v>442</v>
      </c>
      <c r="F55" s="29">
        <v>423</v>
      </c>
      <c r="G55" s="29">
        <v>411</v>
      </c>
      <c r="H55" s="29">
        <v>430</v>
      </c>
      <c r="I55" s="29">
        <v>418</v>
      </c>
      <c r="J55" s="29">
        <v>291</v>
      </c>
      <c r="K55" s="29">
        <v>254</v>
      </c>
      <c r="L55" s="29">
        <v>457</v>
      </c>
      <c r="M55" s="29">
        <v>449</v>
      </c>
      <c r="N55" s="29">
        <v>323</v>
      </c>
      <c r="O55" s="29">
        <v>290</v>
      </c>
      <c r="P55" s="29"/>
      <c r="Q55" s="29"/>
      <c r="R55" s="29">
        <f>Q55</f>
        <v>0</v>
      </c>
      <c r="S55" s="29">
        <v>0</v>
      </c>
      <c r="T55" s="29">
        <v>0</v>
      </c>
      <c r="U55" s="29">
        <v>0</v>
      </c>
      <c r="V55" s="34" t="s">
        <v>357</v>
      </c>
      <c r="W55" s="34" t="s">
        <v>357</v>
      </c>
      <c r="X55" s="29" t="s">
        <v>357</v>
      </c>
      <c r="Y55" s="29" t="s">
        <v>357</v>
      </c>
      <c r="Z55" s="29" t="s">
        <v>357</v>
      </c>
      <c r="AA55" s="49" t="s">
        <v>357</v>
      </c>
      <c r="AB55" s="29" t="s">
        <v>357</v>
      </c>
      <c r="AC55" s="29" t="s">
        <v>357</v>
      </c>
      <c r="AD55" s="29" t="s">
        <v>357</v>
      </c>
      <c r="AE55" s="29" t="s">
        <v>357</v>
      </c>
      <c r="AF55" s="34" t="s">
        <v>357</v>
      </c>
      <c r="AG55" s="53" t="s">
        <v>357</v>
      </c>
      <c r="AH55" s="53" t="s">
        <v>357</v>
      </c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DF55" s="29">
        <f>SUM(C55:F55)</f>
        <v>1748</v>
      </c>
      <c r="DG55" s="29">
        <f>SUM(G55:J55)</f>
        <v>1550</v>
      </c>
      <c r="DH55" s="29">
        <f>SUM(K55:N55)</f>
        <v>1483</v>
      </c>
      <c r="DI55" s="29">
        <f>SUM(O55:R55)</f>
        <v>290</v>
      </c>
      <c r="DJ55" s="53" t="s">
        <v>357</v>
      </c>
      <c r="DK55" s="49" t="s">
        <v>357</v>
      </c>
      <c r="DL55" s="49" t="s">
        <v>357</v>
      </c>
      <c r="DM55" s="29" t="s">
        <v>357</v>
      </c>
      <c r="DN55" s="64" t="s">
        <v>357</v>
      </c>
      <c r="DO55" s="64" t="s">
        <v>357</v>
      </c>
      <c r="DP55" s="29" t="s">
        <v>357</v>
      </c>
      <c r="DQ55" s="29" t="s">
        <v>357</v>
      </c>
      <c r="DR55" s="29" t="s">
        <v>357</v>
      </c>
      <c r="DS55" s="29"/>
      <c r="DT55" s="29" t="s">
        <v>357</v>
      </c>
      <c r="DU55" s="29"/>
      <c r="DV55" s="29"/>
      <c r="DW55" s="29"/>
      <c r="DX55" s="29"/>
      <c r="DY55" s="29"/>
      <c r="DZ55" s="29"/>
    </row>
    <row r="56" spans="2:140" s="18" customFormat="1" ht="13" x14ac:dyDescent="0.3">
      <c r="B56" s="18" t="s">
        <v>237</v>
      </c>
      <c r="C56" s="35">
        <f t="shared" ref="C56:AP56" si="92">SUM(C3:C55)</f>
        <v>6388</v>
      </c>
      <c r="D56" s="35">
        <f t="shared" si="92"/>
        <v>7111</v>
      </c>
      <c r="E56" s="35">
        <f t="shared" si="92"/>
        <v>6891</v>
      </c>
      <c r="F56" s="35">
        <f t="shared" si="92"/>
        <v>7329</v>
      </c>
      <c r="G56" s="35">
        <f t="shared" si="92"/>
        <v>6833</v>
      </c>
      <c r="H56" s="35">
        <f t="shared" si="92"/>
        <v>7150</v>
      </c>
      <c r="I56" s="35">
        <f t="shared" si="92"/>
        <v>5752</v>
      </c>
      <c r="J56" s="35">
        <f t="shared" si="92"/>
        <v>5594</v>
      </c>
      <c r="K56" s="35">
        <f t="shared" si="92"/>
        <v>6152</v>
      </c>
      <c r="L56" s="35">
        <f t="shared" si="92"/>
        <v>7091</v>
      </c>
      <c r="M56" s="35">
        <f t="shared" si="92"/>
        <v>7850</v>
      </c>
      <c r="N56" s="35">
        <f t="shared" si="92"/>
        <v>8491</v>
      </c>
      <c r="O56" s="35">
        <f t="shared" si="92"/>
        <v>8138</v>
      </c>
      <c r="P56" s="35">
        <f t="shared" si="92"/>
        <v>8418</v>
      </c>
      <c r="Q56" s="35">
        <f t="shared" si="92"/>
        <v>8580</v>
      </c>
      <c r="R56" s="35">
        <f t="shared" si="92"/>
        <v>8629</v>
      </c>
      <c r="S56" s="35">
        <f t="shared" si="92"/>
        <v>8295</v>
      </c>
      <c r="T56" s="35">
        <f t="shared" si="92"/>
        <v>8903</v>
      </c>
      <c r="U56" s="35">
        <f t="shared" si="92"/>
        <v>9096</v>
      </c>
      <c r="V56" s="35">
        <f t="shared" si="92"/>
        <v>8854</v>
      </c>
      <c r="W56" s="35">
        <f t="shared" si="92"/>
        <v>4807</v>
      </c>
      <c r="X56" s="35">
        <f t="shared" si="92"/>
        <v>8475</v>
      </c>
      <c r="Y56" s="50">
        <f t="shared" si="92"/>
        <v>4798</v>
      </c>
      <c r="Z56" s="50">
        <f t="shared" si="92"/>
        <v>5111</v>
      </c>
      <c r="AA56" s="50">
        <f t="shared" si="92"/>
        <v>5011</v>
      </c>
      <c r="AB56" s="50">
        <f t="shared" si="92"/>
        <v>5434</v>
      </c>
      <c r="AC56" s="50">
        <f t="shared" si="92"/>
        <v>5345</v>
      </c>
      <c r="AD56" s="50">
        <f t="shared" si="92"/>
        <v>5454</v>
      </c>
      <c r="AE56" s="35">
        <f t="shared" si="92"/>
        <v>5251</v>
      </c>
      <c r="AF56" s="35">
        <f t="shared" si="92"/>
        <v>4443</v>
      </c>
      <c r="AG56" s="50">
        <f t="shared" si="92"/>
        <v>3736</v>
      </c>
      <c r="AH56" s="50">
        <f t="shared" si="92"/>
        <v>4191</v>
      </c>
      <c r="AI56" s="50">
        <f t="shared" si="92"/>
        <v>4189</v>
      </c>
      <c r="AJ56" s="50">
        <f t="shared" si="92"/>
        <v>4048</v>
      </c>
      <c r="AK56" s="50">
        <f t="shared" si="92"/>
        <v>4497</v>
      </c>
      <c r="AL56" s="50">
        <f t="shared" si="92"/>
        <v>4441</v>
      </c>
      <c r="AM56" s="50">
        <f t="shared" si="92"/>
        <v>3811</v>
      </c>
      <c r="AN56" s="50">
        <f t="shared" si="92"/>
        <v>3889</v>
      </c>
      <c r="AO56" s="50">
        <f>SUM(AO3:AO55)</f>
        <v>4741</v>
      </c>
      <c r="AP56" s="50">
        <f t="shared" si="92"/>
        <v>4258</v>
      </c>
      <c r="AQ56" s="35">
        <f t="shared" ref="AQ56:AT56" si="93">SUM(AQ3:AQ46)</f>
        <v>4041</v>
      </c>
      <c r="AR56" s="35">
        <f t="shared" si="93"/>
        <v>4163</v>
      </c>
      <c r="AS56" s="35">
        <f t="shared" si="93"/>
        <v>4069</v>
      </c>
      <c r="AT56" s="35">
        <f t="shared" si="93"/>
        <v>4287</v>
      </c>
      <c r="AU56" s="35">
        <f t="shared" ref="AU56:CL56" si="94">SUM(AU3:AU46)</f>
        <v>4391</v>
      </c>
      <c r="AV56" s="35">
        <f t="shared" si="94"/>
        <v>4871</v>
      </c>
      <c r="AW56" s="35">
        <f t="shared" si="94"/>
        <v>4922</v>
      </c>
      <c r="AX56" s="35">
        <f t="shared" si="94"/>
        <v>5243</v>
      </c>
      <c r="AY56" s="35">
        <f t="shared" si="94"/>
        <v>4929</v>
      </c>
      <c r="AZ56" s="35">
        <f t="shared" si="94"/>
        <v>5144</v>
      </c>
      <c r="BA56" s="35">
        <f t="shared" si="94"/>
        <v>5254</v>
      </c>
      <c r="BB56" s="35">
        <f t="shared" si="94"/>
        <v>5449</v>
      </c>
      <c r="BC56" s="35">
        <f t="shared" si="94"/>
        <v>5193</v>
      </c>
      <c r="BD56" s="35">
        <f t="shared" si="94"/>
        <v>5704</v>
      </c>
      <c r="BE56" s="35">
        <f t="shared" si="94"/>
        <v>5691</v>
      </c>
      <c r="BF56" s="35">
        <f t="shared" si="94"/>
        <v>5973</v>
      </c>
      <c r="BG56" s="35">
        <f t="shared" si="94"/>
        <v>5920</v>
      </c>
      <c r="BH56" s="35">
        <f t="shared" si="94"/>
        <v>6273</v>
      </c>
      <c r="BI56" s="35">
        <f t="shared" si="94"/>
        <v>6007</v>
      </c>
      <c r="BJ56" s="35">
        <f t="shared" si="94"/>
        <v>7945</v>
      </c>
      <c r="BK56" s="35">
        <f t="shared" si="94"/>
        <v>10781</v>
      </c>
      <c r="BL56" s="35">
        <f t="shared" si="94"/>
        <v>10129</v>
      </c>
      <c r="BM56" s="35">
        <f t="shared" si="94"/>
        <v>10540</v>
      </c>
      <c r="BN56" s="35">
        <f t="shared" si="94"/>
        <v>11068</v>
      </c>
      <c r="BO56" s="35">
        <f t="shared" si="94"/>
        <v>11073</v>
      </c>
      <c r="BP56" s="35">
        <f t="shared" si="94"/>
        <v>11703</v>
      </c>
      <c r="BQ56" s="35">
        <f t="shared" si="94"/>
        <v>11624</v>
      </c>
      <c r="BR56" s="35">
        <f t="shared" si="94"/>
        <v>11985</v>
      </c>
      <c r="BS56" s="35">
        <f t="shared" si="94"/>
        <v>11648</v>
      </c>
      <c r="BT56" s="35">
        <f t="shared" si="94"/>
        <v>11887</v>
      </c>
      <c r="BU56" s="35">
        <f t="shared" si="94"/>
        <v>11218</v>
      </c>
      <c r="BV56" s="35">
        <f t="shared" si="94"/>
        <v>11406</v>
      </c>
      <c r="BW56" s="35">
        <f t="shared" si="94"/>
        <v>11337</v>
      </c>
      <c r="BX56" s="35">
        <f t="shared" si="94"/>
        <v>11226</v>
      </c>
      <c r="BY56" s="35">
        <f t="shared" si="94"/>
        <v>10966</v>
      </c>
      <c r="BZ56" s="35">
        <f t="shared" si="94"/>
        <v>11477</v>
      </c>
      <c r="CA56" s="35">
        <f t="shared" si="94"/>
        <v>11865</v>
      </c>
      <c r="CB56" s="35">
        <f t="shared" si="94"/>
        <v>12201</v>
      </c>
      <c r="CC56" s="35">
        <f t="shared" si="94"/>
        <v>11892</v>
      </c>
      <c r="CD56" s="35">
        <f t="shared" si="94"/>
        <v>12342</v>
      </c>
      <c r="CE56" s="35">
        <f t="shared" si="94"/>
        <v>11201</v>
      </c>
      <c r="CF56" s="35">
        <f t="shared" si="94"/>
        <v>12271</v>
      </c>
      <c r="CG56" s="35">
        <f t="shared" si="94"/>
        <v>12225</v>
      </c>
      <c r="CH56" s="35">
        <f t="shared" si="94"/>
        <v>12504</v>
      </c>
      <c r="CI56" s="35">
        <f t="shared" si="94"/>
        <v>11490</v>
      </c>
      <c r="CJ56" s="35">
        <f t="shared" si="94"/>
        <v>11515</v>
      </c>
      <c r="CK56" s="35">
        <f t="shared" si="94"/>
        <v>11545</v>
      </c>
      <c r="CL56" s="35">
        <f t="shared" si="94"/>
        <v>5920.3</v>
      </c>
      <c r="CM56" s="35"/>
      <c r="CN56" s="35"/>
      <c r="CO56" s="35"/>
      <c r="CP56" s="35">
        <v>8578</v>
      </c>
      <c r="CQ56" s="35">
        <v>9741</v>
      </c>
      <c r="CR56" s="35">
        <v>10571</v>
      </c>
      <c r="CS56" s="35">
        <v>11156</v>
      </c>
      <c r="CT56" s="35">
        <v>11413</v>
      </c>
      <c r="CU56" s="35"/>
      <c r="CV56" s="35"/>
      <c r="CW56" s="35"/>
      <c r="CX56" s="35"/>
      <c r="CY56" s="35"/>
      <c r="CZ56" s="35"/>
      <c r="DA56" s="35"/>
      <c r="DB56" s="35"/>
      <c r="DC56" s="35">
        <f t="shared" ref="DC56:EJ56" si="95">SUM(DC3:DC55)</f>
        <v>11988</v>
      </c>
      <c r="DD56" s="35">
        <f t="shared" si="95"/>
        <v>15211</v>
      </c>
      <c r="DE56" s="35">
        <f t="shared" si="95"/>
        <v>16074</v>
      </c>
      <c r="DF56" s="35">
        <f t="shared" si="95"/>
        <v>27723</v>
      </c>
      <c r="DG56" s="35">
        <f t="shared" si="95"/>
        <v>25329</v>
      </c>
      <c r="DH56" s="35">
        <f t="shared" si="95"/>
        <v>30888</v>
      </c>
      <c r="DI56" s="35">
        <f t="shared" si="95"/>
        <v>33765</v>
      </c>
      <c r="DJ56" s="50">
        <f t="shared" si="95"/>
        <v>35148</v>
      </c>
      <c r="DK56" s="50">
        <f t="shared" si="95"/>
        <v>23191</v>
      </c>
      <c r="DL56" s="50">
        <f t="shared" si="95"/>
        <v>21244</v>
      </c>
      <c r="DM56" s="35">
        <f t="shared" si="95"/>
        <v>17570</v>
      </c>
      <c r="DN56" s="66">
        <f t="shared" si="95"/>
        <v>14951.65</v>
      </c>
      <c r="DO56" s="66">
        <f t="shared" si="95"/>
        <v>15202.6</v>
      </c>
      <c r="DP56" s="35">
        <f t="shared" si="95"/>
        <v>15052.625625000001</v>
      </c>
      <c r="DQ56" s="35">
        <f t="shared" si="95"/>
        <v>19351.094343749999</v>
      </c>
      <c r="DR56" s="35">
        <f t="shared" si="95"/>
        <v>20749.339626562498</v>
      </c>
      <c r="DS56" s="35">
        <f t="shared" si="95"/>
        <v>22561</v>
      </c>
      <c r="DT56" s="35">
        <f t="shared" si="95"/>
        <v>26145</v>
      </c>
      <c r="DU56" s="35">
        <f t="shared" si="95"/>
        <v>42518</v>
      </c>
      <c r="DV56" s="35">
        <f t="shared" si="95"/>
        <v>46385</v>
      </c>
      <c r="DW56" s="35">
        <f t="shared" si="95"/>
        <v>46159</v>
      </c>
      <c r="DX56" s="35">
        <f t="shared" si="95"/>
        <v>45006</v>
      </c>
      <c r="DY56" s="35">
        <f t="shared" si="95"/>
        <v>48300</v>
      </c>
      <c r="DZ56" s="35">
        <f t="shared" si="95"/>
        <v>50806</v>
      </c>
      <c r="EA56" s="35">
        <f t="shared" si="95"/>
        <v>50011.199999999997</v>
      </c>
      <c r="EB56" s="35">
        <f t="shared" si="95"/>
        <v>51805.303999999989</v>
      </c>
      <c r="EC56" s="35">
        <f t="shared" si="95"/>
        <v>46117.320180000002</v>
      </c>
      <c r="ED56" s="35">
        <f t="shared" si="95"/>
        <v>39577.343337500002</v>
      </c>
      <c r="EE56" s="35">
        <f t="shared" si="95"/>
        <v>39884.64817275</v>
      </c>
      <c r="EF56" s="35">
        <f t="shared" si="95"/>
        <v>40501.042859655005</v>
      </c>
      <c r="EG56" s="35">
        <f t="shared" si="95"/>
        <v>40849.742178245302</v>
      </c>
      <c r="EH56" s="35">
        <f t="shared" si="95"/>
        <v>24232.917643649231</v>
      </c>
      <c r="EI56" s="35">
        <f t="shared" si="95"/>
        <v>19631.322488491121</v>
      </c>
      <c r="EJ56" s="35">
        <f t="shared" si="95"/>
        <v>15121.498330495922</v>
      </c>
    </row>
    <row r="57" spans="2:140" s="24" customFormat="1" x14ac:dyDescent="0.25">
      <c r="B57" s="24" t="s">
        <v>100</v>
      </c>
      <c r="C57" s="29">
        <v>1367</v>
      </c>
      <c r="D57" s="29">
        <v>1483</v>
      </c>
      <c r="E57" s="29">
        <v>1483</v>
      </c>
      <c r="F57" s="29">
        <v>1595</v>
      </c>
      <c r="G57" s="29">
        <v>1476</v>
      </c>
      <c r="H57" s="29">
        <v>1568</v>
      </c>
      <c r="I57" s="29">
        <v>1465</v>
      </c>
      <c r="J57" s="29">
        <v>1395</v>
      </c>
      <c r="K57" s="29">
        <v>1340</v>
      </c>
      <c r="L57" s="29">
        <v>1549</v>
      </c>
      <c r="M57" s="29">
        <v>1622</v>
      </c>
      <c r="N57" s="29">
        <v>1817</v>
      </c>
      <c r="O57" s="29">
        <v>1657</v>
      </c>
      <c r="P57" s="29">
        <v>1612</v>
      </c>
      <c r="Q57" s="29">
        <v>1581</v>
      </c>
      <c r="R57" s="29">
        <f>R56-R58</f>
        <v>8629</v>
      </c>
      <c r="S57" s="29">
        <v>1413</v>
      </c>
      <c r="T57" s="29">
        <v>1461</v>
      </c>
      <c r="U57" s="29">
        <v>1562</v>
      </c>
      <c r="V57" s="29">
        <v>1433</v>
      </c>
      <c r="W57" s="29">
        <v>1306</v>
      </c>
      <c r="X57" s="29">
        <v>1277</v>
      </c>
      <c r="Y57" s="49">
        <v>1280</v>
      </c>
      <c r="Z57" s="49">
        <v>1414</v>
      </c>
      <c r="AA57" s="49">
        <v>1343</v>
      </c>
      <c r="AB57" s="49">
        <v>1481</v>
      </c>
      <c r="AC57" s="49">
        <v>1407</v>
      </c>
      <c r="AD57" s="49">
        <v>1367</v>
      </c>
      <c r="AE57" s="29">
        <v>1303</v>
      </c>
      <c r="AF57" s="29">
        <v>1245</v>
      </c>
      <c r="AG57" s="49">
        <v>987</v>
      </c>
      <c r="AH57" s="49">
        <f>4610-SUM(AE57:AG57)</f>
        <v>1075</v>
      </c>
      <c r="AI57" s="29">
        <v>1063</v>
      </c>
      <c r="AJ57" s="29">
        <v>1108</v>
      </c>
      <c r="AK57" s="29">
        <v>1175</v>
      </c>
      <c r="AL57" s="29">
        <v>1273</v>
      </c>
      <c r="AM57" s="29">
        <v>968</v>
      </c>
      <c r="AN57" s="29">
        <v>991</v>
      </c>
      <c r="AO57" s="29">
        <v>1007</v>
      </c>
      <c r="AP57" s="29">
        <v>966</v>
      </c>
      <c r="AQ57" s="29">
        <v>847</v>
      </c>
      <c r="AR57" s="29">
        <v>1013</v>
      </c>
      <c r="AS57" s="29">
        <v>1097</v>
      </c>
      <c r="AT57" s="29">
        <v>952</v>
      </c>
      <c r="AU57" s="29">
        <v>1052</v>
      </c>
      <c r="AV57" s="29">
        <v>1206</v>
      </c>
      <c r="AW57" s="29">
        <f>1305-7</f>
        <v>1298</v>
      </c>
      <c r="AX57" s="29">
        <f>1383-6</f>
        <v>1377</v>
      </c>
      <c r="AY57" s="29">
        <v>1265</v>
      </c>
      <c r="AZ57" s="29">
        <f>1569-130</f>
        <v>1439</v>
      </c>
      <c r="BA57" s="29">
        <f>1572-1</f>
        <v>1571</v>
      </c>
      <c r="BB57" s="29">
        <f>1673-18</f>
        <v>1655</v>
      </c>
      <c r="BC57" s="29">
        <f>1584-13</f>
        <v>1571</v>
      </c>
      <c r="BD57" s="29">
        <f>1625-14</f>
        <v>1611</v>
      </c>
      <c r="BE57" s="29"/>
      <c r="BF57" s="29"/>
      <c r="BG57" s="29">
        <v>1824</v>
      </c>
      <c r="BH57" s="29">
        <v>1972</v>
      </c>
      <c r="BI57" s="29"/>
      <c r="BJ57" s="29"/>
      <c r="BK57" s="29">
        <f>3662-1438</f>
        <v>2224</v>
      </c>
      <c r="BL57" s="29">
        <v>2699</v>
      </c>
      <c r="BM57" s="29">
        <v>2502</v>
      </c>
      <c r="BN57" s="29">
        <f>2910-675</f>
        <v>2235</v>
      </c>
      <c r="BO57" s="29">
        <f>2841-417</f>
        <v>2424</v>
      </c>
      <c r="BP57" s="29">
        <f>2452-89</f>
        <v>2363</v>
      </c>
      <c r="BQ57" s="29">
        <v>2291</v>
      </c>
      <c r="BR57" s="29">
        <v>2356</v>
      </c>
      <c r="BS57" s="29">
        <f>2471-52</f>
        <v>2419</v>
      </c>
      <c r="BT57" s="29">
        <f>2720-145</f>
        <v>2575</v>
      </c>
      <c r="BU57" s="29">
        <f>+BU56-BU58</f>
        <v>2355.7799999999988</v>
      </c>
      <c r="BV57" s="29">
        <v>2593</v>
      </c>
      <c r="BW57" s="29">
        <f t="shared" ref="BW57:BZ57" si="96">+BW56-BW58</f>
        <v>2380.7700000000004</v>
      </c>
      <c r="BX57" s="29">
        <f t="shared" si="96"/>
        <v>2357.4599999999991</v>
      </c>
      <c r="BY57" s="29">
        <f t="shared" si="96"/>
        <v>2302.8599999999988</v>
      </c>
      <c r="BZ57" s="29">
        <f t="shared" si="96"/>
        <v>2410.17</v>
      </c>
      <c r="CA57" s="29">
        <f>2932-22</f>
        <v>2910</v>
      </c>
      <c r="CB57" s="29">
        <f>+CB56-CB58</f>
        <v>2562.2099999999991</v>
      </c>
      <c r="CC57" s="29">
        <f t="shared" ref="CC57:CH57" si="97">+CC56-CC58</f>
        <v>2497.3199999999997</v>
      </c>
      <c r="CD57" s="29">
        <f>4812-1600</f>
        <v>3212</v>
      </c>
      <c r="CE57" s="29">
        <v>3018</v>
      </c>
      <c r="CF57" s="29">
        <f t="shared" si="97"/>
        <v>2576.91</v>
      </c>
      <c r="CG57" s="29">
        <f t="shared" si="97"/>
        <v>2567.25</v>
      </c>
      <c r="CH57" s="29">
        <f t="shared" si="97"/>
        <v>2625.84</v>
      </c>
      <c r="CI57" s="29">
        <v>3408</v>
      </c>
      <c r="CJ57" s="29">
        <f t="shared" ref="CJ57:CK57" si="98">+CJ56*0.2</f>
        <v>2303</v>
      </c>
      <c r="CK57" s="29">
        <f t="shared" si="98"/>
        <v>2309</v>
      </c>
      <c r="CL57" s="29">
        <f>+CL56*0.2</f>
        <v>1184.0600000000002</v>
      </c>
      <c r="CM57" s="29"/>
      <c r="CN57" s="29"/>
      <c r="CO57" s="29"/>
      <c r="CP57" s="29">
        <v>2418</v>
      </c>
      <c r="CQ57" s="29">
        <v>2665</v>
      </c>
      <c r="CR57" s="29">
        <v>2717</v>
      </c>
      <c r="CS57" s="29">
        <v>2857</v>
      </c>
      <c r="CT57" s="29">
        <v>3029</v>
      </c>
      <c r="CU57" s="29"/>
      <c r="CV57" s="29"/>
      <c r="CW57" s="29"/>
      <c r="CX57" s="29"/>
      <c r="CY57" s="29"/>
      <c r="CZ57" s="29"/>
      <c r="DA57" s="29"/>
      <c r="DB57" s="29"/>
      <c r="DC57" s="29"/>
      <c r="DD57" s="29"/>
      <c r="DE57" s="29"/>
      <c r="DF57" s="29"/>
      <c r="DG57" s="29"/>
      <c r="DH57" s="29">
        <f>DH56-DH58</f>
        <v>9884.16</v>
      </c>
      <c r="DI57" s="29">
        <f>DI56-DI58</f>
        <v>13479</v>
      </c>
      <c r="DJ57" s="49">
        <f>DJ56-DJ58</f>
        <v>5869</v>
      </c>
      <c r="DK57" s="49">
        <f>SUM(W57:Z57)</f>
        <v>5277</v>
      </c>
      <c r="DL57" s="49">
        <f>SUM(AA57:AD57)</f>
        <v>5598</v>
      </c>
      <c r="DM57" s="29">
        <f t="shared" ref="DM57:DT57" si="99">DM56-DM58</f>
        <v>4743.8999999999996</v>
      </c>
      <c r="DN57" s="64">
        <f t="shared" si="99"/>
        <v>4036.9454999999998</v>
      </c>
      <c r="DO57" s="64">
        <f t="shared" si="99"/>
        <v>4104.7020000000011</v>
      </c>
      <c r="DP57" s="29">
        <f t="shared" si="99"/>
        <v>4064.2089187500005</v>
      </c>
      <c r="DQ57" s="29">
        <f t="shared" si="99"/>
        <v>5031.2845293749997</v>
      </c>
      <c r="DR57" s="29">
        <f t="shared" si="99"/>
        <v>5187.3349066406245</v>
      </c>
      <c r="DS57" s="29">
        <f t="shared" si="99"/>
        <v>5640.25</v>
      </c>
      <c r="DT57" s="29">
        <f t="shared" si="99"/>
        <v>26145</v>
      </c>
      <c r="DU57" s="29"/>
      <c r="DV57" s="29"/>
      <c r="DW57" s="29">
        <f t="shared" ref="DW57" si="100">SUM(BS57:BV57)</f>
        <v>9942.7799999999988</v>
      </c>
      <c r="DX57" s="29">
        <f t="shared" ref="DX57" si="101">SUM(BW57:BZ57)</f>
        <v>9451.2599999999984</v>
      </c>
      <c r="DY57" s="34">
        <f t="shared" ref="DY57" si="102">SUM(CA57:CD57)</f>
        <v>11181.529999999999</v>
      </c>
      <c r="DZ57" s="34">
        <f t="shared" ref="DZ57" si="103">SUM(CE57:CH57)</f>
        <v>10788</v>
      </c>
      <c r="EA57" s="24">
        <f>+EA56-EA58</f>
        <v>10002.239999999998</v>
      </c>
      <c r="EB57" s="24">
        <f t="shared" ref="EB57:EJ57" si="104">+EB56-EB58</f>
        <v>10361.060799999992</v>
      </c>
      <c r="EC57" s="24">
        <f t="shared" si="104"/>
        <v>9223.4640359999976</v>
      </c>
      <c r="ED57" s="24">
        <f t="shared" si="104"/>
        <v>7915.4686674999975</v>
      </c>
      <c r="EE57" s="24">
        <f t="shared" si="104"/>
        <v>7976.929634549997</v>
      </c>
      <c r="EF57" s="24">
        <f t="shared" si="104"/>
        <v>8100.208571930998</v>
      </c>
      <c r="EG57" s="24">
        <f t="shared" si="104"/>
        <v>8169.9484356490575</v>
      </c>
      <c r="EH57" s="24">
        <f t="shared" si="104"/>
        <v>4846.5835287298469</v>
      </c>
      <c r="EI57" s="24">
        <f t="shared" si="104"/>
        <v>3926.2644976982228</v>
      </c>
      <c r="EJ57" s="24">
        <f t="shared" si="104"/>
        <v>3024.299666099183</v>
      </c>
    </row>
    <row r="58" spans="2:140" s="24" customFormat="1" x14ac:dyDescent="0.25">
      <c r="B58" s="24" t="s">
        <v>236</v>
      </c>
      <c r="C58" s="29">
        <f t="shared" ref="C58:Q58" si="105">C56-C57</f>
        <v>5021</v>
      </c>
      <c r="D58" s="29">
        <f t="shared" si="105"/>
        <v>5628</v>
      </c>
      <c r="E58" s="29">
        <f t="shared" si="105"/>
        <v>5408</v>
      </c>
      <c r="F58" s="29">
        <f t="shared" si="105"/>
        <v>5734</v>
      </c>
      <c r="G58" s="29">
        <f t="shared" si="105"/>
        <v>5357</v>
      </c>
      <c r="H58" s="29">
        <f t="shared" si="105"/>
        <v>5582</v>
      </c>
      <c r="I58" s="29">
        <f t="shared" si="105"/>
        <v>4287</v>
      </c>
      <c r="J58" s="29">
        <f t="shared" si="105"/>
        <v>4199</v>
      </c>
      <c r="K58" s="29">
        <f t="shared" si="105"/>
        <v>4812</v>
      </c>
      <c r="L58" s="29">
        <f t="shared" si="105"/>
        <v>5542</v>
      </c>
      <c r="M58" s="29">
        <f t="shared" si="105"/>
        <v>6228</v>
      </c>
      <c r="N58" s="29">
        <f t="shared" si="105"/>
        <v>6674</v>
      </c>
      <c r="O58" s="29">
        <f t="shared" si="105"/>
        <v>6481</v>
      </c>
      <c r="P58" s="29">
        <f t="shared" si="105"/>
        <v>6806</v>
      </c>
      <c r="Q58" s="29">
        <f t="shared" si="105"/>
        <v>6999</v>
      </c>
      <c r="R58" s="29"/>
      <c r="S58" s="29">
        <f t="shared" ref="S58:X58" si="106">S56-S57</f>
        <v>6882</v>
      </c>
      <c r="T58" s="29">
        <f t="shared" si="106"/>
        <v>7442</v>
      </c>
      <c r="U58" s="29">
        <f t="shared" si="106"/>
        <v>7534</v>
      </c>
      <c r="V58" s="29">
        <f t="shared" si="106"/>
        <v>7421</v>
      </c>
      <c r="W58" s="29">
        <f t="shared" si="106"/>
        <v>3501</v>
      </c>
      <c r="X58" s="29">
        <f t="shared" si="106"/>
        <v>7198</v>
      </c>
      <c r="Y58" s="29">
        <f>+Y56-Y57</f>
        <v>3518</v>
      </c>
      <c r="Z58" s="29">
        <f>Z56-Z57</f>
        <v>3697</v>
      </c>
      <c r="AA58" s="49">
        <f t="shared" ref="AA58:AF58" si="107">+AA56-AA57</f>
        <v>3668</v>
      </c>
      <c r="AB58" s="29">
        <f t="shared" si="107"/>
        <v>3953</v>
      </c>
      <c r="AC58" s="29">
        <f t="shared" si="107"/>
        <v>3938</v>
      </c>
      <c r="AD58" s="29">
        <f t="shared" si="107"/>
        <v>4087</v>
      </c>
      <c r="AE58" s="29">
        <f t="shared" si="107"/>
        <v>3948</v>
      </c>
      <c r="AF58" s="29">
        <f t="shared" si="107"/>
        <v>3198</v>
      </c>
      <c r="AG58" s="49">
        <f>AG56-AG57</f>
        <v>2749</v>
      </c>
      <c r="AH58" s="49">
        <f>AH56-AH57</f>
        <v>3116</v>
      </c>
      <c r="AI58" s="49">
        <f>AI56-AI57</f>
        <v>3126</v>
      </c>
      <c r="AJ58" s="49">
        <f>AJ56-AJ57</f>
        <v>2940</v>
      </c>
      <c r="AK58" s="49">
        <f>AK56-AK57</f>
        <v>3322</v>
      </c>
      <c r="AL58" s="29">
        <f t="shared" ref="AL58:AV58" si="108">+AL56-AL57</f>
        <v>3168</v>
      </c>
      <c r="AM58" s="29">
        <f t="shared" si="108"/>
        <v>2843</v>
      </c>
      <c r="AN58" s="29">
        <f t="shared" si="108"/>
        <v>2898</v>
      </c>
      <c r="AO58" s="29">
        <f t="shared" si="108"/>
        <v>3734</v>
      </c>
      <c r="AP58" s="29">
        <f t="shared" si="108"/>
        <v>3292</v>
      </c>
      <c r="AQ58" s="29">
        <f t="shared" si="108"/>
        <v>3194</v>
      </c>
      <c r="AR58" s="29">
        <f t="shared" si="108"/>
        <v>3150</v>
      </c>
      <c r="AS58" s="29">
        <f t="shared" si="108"/>
        <v>2972</v>
      </c>
      <c r="AT58" s="29">
        <f t="shared" si="108"/>
        <v>3335</v>
      </c>
      <c r="AU58" s="29">
        <f t="shared" si="108"/>
        <v>3339</v>
      </c>
      <c r="AV58" s="29">
        <f t="shared" si="108"/>
        <v>3665</v>
      </c>
      <c r="AW58" s="29">
        <f t="shared" ref="AW58" si="109">+AW56-AW57</f>
        <v>3624</v>
      </c>
      <c r="AX58" s="29">
        <f>+AX56-AX57</f>
        <v>3866</v>
      </c>
      <c r="AY58" s="29">
        <f>+AY56-AY57</f>
        <v>3664</v>
      </c>
      <c r="AZ58" s="29">
        <f>+AZ56-AZ57</f>
        <v>3705</v>
      </c>
      <c r="BA58" s="29">
        <f t="shared" ref="BA58" si="110">+BA56-BA57</f>
        <v>3683</v>
      </c>
      <c r="BB58" s="29">
        <f>+BB56-BB57</f>
        <v>3794</v>
      </c>
      <c r="BC58" s="29">
        <f>+BC56-BC57</f>
        <v>3622</v>
      </c>
      <c r="BD58" s="29">
        <f>+BD56-BD57</f>
        <v>4093</v>
      </c>
      <c r="BE58" s="29"/>
      <c r="BF58" s="29"/>
      <c r="BG58" s="29">
        <f t="shared" ref="BG58:BH58" si="111">BG56-BG57</f>
        <v>4096</v>
      </c>
      <c r="BH58" s="29">
        <f t="shared" si="111"/>
        <v>4301</v>
      </c>
      <c r="BI58" s="29"/>
      <c r="BJ58" s="29"/>
      <c r="BK58" s="29">
        <f t="shared" ref="BK58" si="112">BK56-BK57</f>
        <v>8557</v>
      </c>
      <c r="BL58" s="29">
        <f t="shared" ref="BL58:BN58" si="113">BL56-BL57</f>
        <v>7430</v>
      </c>
      <c r="BM58" s="29">
        <f t="shared" si="113"/>
        <v>8038</v>
      </c>
      <c r="BN58" s="29">
        <f t="shared" si="113"/>
        <v>8833</v>
      </c>
      <c r="BO58" s="29">
        <f t="shared" ref="BO58:BQ58" si="114">BO56-BO57</f>
        <v>8649</v>
      </c>
      <c r="BP58" s="29">
        <f t="shared" si="114"/>
        <v>9340</v>
      </c>
      <c r="BQ58" s="29">
        <f t="shared" si="114"/>
        <v>9333</v>
      </c>
      <c r="BR58" s="29">
        <f>BR56-BR57</f>
        <v>9629</v>
      </c>
      <c r="BS58" s="29">
        <f>BS56-BS57</f>
        <v>9229</v>
      </c>
      <c r="BT58" s="29">
        <f t="shared" ref="BT58" si="115">BT56-BT57</f>
        <v>9312</v>
      </c>
      <c r="BU58" s="29">
        <f>+BU56*0.79</f>
        <v>8862.2200000000012</v>
      </c>
      <c r="BV58" s="29">
        <f>+BV56-BV57</f>
        <v>8813</v>
      </c>
      <c r="BW58" s="29">
        <f t="shared" ref="BW58:BZ58" si="116">+BW56*0.79</f>
        <v>8956.23</v>
      </c>
      <c r="BX58" s="29">
        <f t="shared" si="116"/>
        <v>8868.5400000000009</v>
      </c>
      <c r="BY58" s="29">
        <f t="shared" si="116"/>
        <v>8663.1400000000012</v>
      </c>
      <c r="BZ58" s="29">
        <f t="shared" si="116"/>
        <v>9066.83</v>
      </c>
      <c r="CA58" s="29">
        <f>+CA56-CA57</f>
        <v>8955</v>
      </c>
      <c r="CB58" s="29">
        <f>+CB56*0.79</f>
        <v>9638.7900000000009</v>
      </c>
      <c r="CC58" s="29">
        <f>+CC56*0.79</f>
        <v>9394.68</v>
      </c>
      <c r="CD58" s="29">
        <f>+CD56-CD57</f>
        <v>9130</v>
      </c>
      <c r="CE58" s="29">
        <f>+CE56-CE57</f>
        <v>8183</v>
      </c>
      <c r="CF58" s="29">
        <f t="shared" ref="CF58:CH58" si="117">+CF56*0.79</f>
        <v>9694.09</v>
      </c>
      <c r="CG58" s="29">
        <f t="shared" si="117"/>
        <v>9657.75</v>
      </c>
      <c r="CH58" s="29">
        <f t="shared" si="117"/>
        <v>9878.16</v>
      </c>
      <c r="CI58" s="29">
        <f>+CI56-CI57</f>
        <v>8082</v>
      </c>
      <c r="CJ58" s="29">
        <f>+CJ56-CJ57</f>
        <v>9212</v>
      </c>
      <c r="CK58" s="29">
        <f>+CK56-CK57</f>
        <v>9236</v>
      </c>
      <c r="CL58" s="29">
        <f>+CL56-CL57</f>
        <v>4736.24</v>
      </c>
      <c r="CM58" s="29"/>
      <c r="CN58" s="29"/>
      <c r="CO58" s="29"/>
      <c r="CP58" s="29">
        <f>CP56-CP57</f>
        <v>6160</v>
      </c>
      <c r="CQ58" s="29">
        <f>CQ56-CQ57</f>
        <v>7076</v>
      </c>
      <c r="CR58" s="29">
        <f>CR56-CR57</f>
        <v>7854</v>
      </c>
      <c r="CS58" s="29">
        <f>CS56-CS57</f>
        <v>8299</v>
      </c>
      <c r="CT58" s="29">
        <f>CT56-CT57</f>
        <v>8384</v>
      </c>
      <c r="CU58" s="29"/>
      <c r="CV58" s="29"/>
      <c r="CW58" s="29"/>
      <c r="CX58" s="29"/>
      <c r="CY58" s="29"/>
      <c r="CZ58" s="29"/>
      <c r="DA58" s="29"/>
      <c r="DB58" s="29"/>
      <c r="DC58" s="29"/>
      <c r="DD58" s="29"/>
      <c r="DE58" s="29"/>
      <c r="DF58" s="29"/>
      <c r="DG58" s="29"/>
      <c r="DH58" s="29">
        <f>DH56*0.68</f>
        <v>21003.84</v>
      </c>
      <c r="DI58" s="29">
        <f>SUM(O58:R58)</f>
        <v>20286</v>
      </c>
      <c r="DJ58" s="49">
        <f>SUM(S58:V58)</f>
        <v>29279</v>
      </c>
      <c r="DK58" s="49">
        <f>DK56-DK57</f>
        <v>17914</v>
      </c>
      <c r="DL58" s="49">
        <f>DL56-DL57</f>
        <v>15646</v>
      </c>
      <c r="DM58" s="29">
        <f t="shared" ref="DM58:DT58" si="118">DM56*DM88</f>
        <v>12826.1</v>
      </c>
      <c r="DN58" s="64">
        <f t="shared" si="118"/>
        <v>10914.7045</v>
      </c>
      <c r="DO58" s="64">
        <f t="shared" si="118"/>
        <v>11097.897999999999</v>
      </c>
      <c r="DP58" s="29">
        <f t="shared" si="118"/>
        <v>10988.41670625</v>
      </c>
      <c r="DQ58" s="29">
        <f t="shared" si="118"/>
        <v>14319.809814374999</v>
      </c>
      <c r="DR58" s="29">
        <f t="shared" si="118"/>
        <v>15562.004719921873</v>
      </c>
      <c r="DS58" s="29">
        <f t="shared" si="118"/>
        <v>16920.75</v>
      </c>
      <c r="DT58" s="29">
        <f t="shared" si="118"/>
        <v>0</v>
      </c>
      <c r="DU58" s="29"/>
      <c r="DV58" s="29"/>
      <c r="DW58" s="29">
        <f>+DW56-DW57</f>
        <v>36216.22</v>
      </c>
      <c r="DX58" s="29">
        <f>+DX56-DX57</f>
        <v>35554.740000000005</v>
      </c>
      <c r="DY58" s="29">
        <f>+DY56-DY57</f>
        <v>37118.47</v>
      </c>
      <c r="DZ58" s="29">
        <f>+DZ56-DZ57</f>
        <v>40018</v>
      </c>
      <c r="EA58" s="24">
        <f>+EA56*0.8</f>
        <v>40008.959999999999</v>
      </c>
      <c r="EB58" s="24">
        <f t="shared" ref="EB58:EJ58" si="119">+EB56*0.8</f>
        <v>41444.243199999997</v>
      </c>
      <c r="EC58" s="24">
        <f t="shared" si="119"/>
        <v>36893.856144000005</v>
      </c>
      <c r="ED58" s="24">
        <f t="shared" si="119"/>
        <v>31661.874670000005</v>
      </c>
      <c r="EE58" s="24">
        <f t="shared" si="119"/>
        <v>31907.718538200003</v>
      </c>
      <c r="EF58" s="24">
        <f t="shared" si="119"/>
        <v>32400.834287724007</v>
      </c>
      <c r="EG58" s="24">
        <f t="shared" si="119"/>
        <v>32679.793742596245</v>
      </c>
      <c r="EH58" s="24">
        <f t="shared" si="119"/>
        <v>19386.334114919384</v>
      </c>
      <c r="EI58" s="24">
        <f t="shared" si="119"/>
        <v>15705.057990792899</v>
      </c>
      <c r="EJ58" s="24">
        <f t="shared" si="119"/>
        <v>12097.198664396739</v>
      </c>
    </row>
    <row r="59" spans="2:140" s="24" customFormat="1" x14ac:dyDescent="0.25">
      <c r="B59" s="24" t="s">
        <v>238</v>
      </c>
      <c r="C59" s="29">
        <v>1183</v>
      </c>
      <c r="D59" s="29">
        <v>1268</v>
      </c>
      <c r="E59" s="29">
        <v>1286</v>
      </c>
      <c r="F59" s="29">
        <v>1369</v>
      </c>
      <c r="G59" s="29">
        <v>1238</v>
      </c>
      <c r="H59" s="29">
        <v>1181</v>
      </c>
      <c r="I59" s="29">
        <v>1189</v>
      </c>
      <c r="J59" s="29">
        <v>1284</v>
      </c>
      <c r="K59" s="29">
        <v>1133</v>
      </c>
      <c r="L59" s="29">
        <v>1209</v>
      </c>
      <c r="M59" s="29">
        <v>1214</v>
      </c>
      <c r="N59" s="29">
        <v>1343</v>
      </c>
      <c r="O59" s="29">
        <v>1223</v>
      </c>
      <c r="P59" s="29">
        <v>1143</v>
      </c>
      <c r="Q59" s="29">
        <v>1171</v>
      </c>
      <c r="R59" s="29">
        <f>Q59</f>
        <v>1171</v>
      </c>
      <c r="S59" s="29">
        <v>1064</v>
      </c>
      <c r="T59" s="29">
        <v>1077</v>
      </c>
      <c r="U59" s="29">
        <v>1117</v>
      </c>
      <c r="V59" s="29">
        <v>1170</v>
      </c>
      <c r="W59" s="29">
        <v>900</v>
      </c>
      <c r="X59" s="29">
        <v>894</v>
      </c>
      <c r="Y59" s="49">
        <v>892</v>
      </c>
      <c r="Z59" s="49">
        <v>1000</v>
      </c>
      <c r="AA59" s="49">
        <v>928</v>
      </c>
      <c r="AB59" s="49">
        <v>1040</v>
      </c>
      <c r="AC59" s="49">
        <v>1019</v>
      </c>
      <c r="AD59" s="49">
        <v>1216</v>
      </c>
      <c r="AE59" s="29">
        <v>1002</v>
      </c>
      <c r="AF59" s="29">
        <v>1004</v>
      </c>
      <c r="AG59" s="49">
        <f>1071+1830</f>
        <v>2901</v>
      </c>
      <c r="AH59" s="49">
        <f>4220-SUM(AE59:AG59)+1830</f>
        <v>1143</v>
      </c>
      <c r="AI59" s="29">
        <v>994</v>
      </c>
      <c r="AJ59" s="29">
        <v>1042</v>
      </c>
      <c r="AK59" s="29">
        <v>980</v>
      </c>
      <c r="AL59" s="29">
        <v>1068</v>
      </c>
      <c r="AM59" s="29">
        <v>957</v>
      </c>
      <c r="AN59" s="29">
        <v>948</v>
      </c>
      <c r="AO59" s="29">
        <v>1029</v>
      </c>
      <c r="AP59" s="29">
        <v>1364</v>
      </c>
      <c r="AQ59" s="29">
        <v>1029</v>
      </c>
      <c r="AR59" s="29">
        <v>1135</v>
      </c>
      <c r="AS59" s="29">
        <v>983</v>
      </c>
      <c r="AT59" s="29">
        <v>1501</v>
      </c>
      <c r="AU59" s="29">
        <v>1068</v>
      </c>
      <c r="AV59" s="29">
        <v>1238</v>
      </c>
      <c r="AW59" s="29">
        <v>1144</v>
      </c>
      <c r="AX59" s="29">
        <v>1461</v>
      </c>
      <c r="AY59" s="29">
        <v>1085</v>
      </c>
      <c r="AZ59" s="29">
        <v>1187</v>
      </c>
      <c r="BA59" s="29">
        <v>1147</v>
      </c>
      <c r="BB59" s="29">
        <v>1299</v>
      </c>
      <c r="BC59" s="29">
        <v>979</v>
      </c>
      <c r="BD59" s="29">
        <v>1131</v>
      </c>
      <c r="BE59" s="29"/>
      <c r="BF59" s="29"/>
      <c r="BG59" s="29">
        <v>1006</v>
      </c>
      <c r="BH59" s="29">
        <v>1076</v>
      </c>
      <c r="BI59" s="29"/>
      <c r="BJ59" s="29"/>
      <c r="BK59" s="29">
        <v>1606</v>
      </c>
      <c r="BL59" s="29">
        <v>1628</v>
      </c>
      <c r="BM59" s="29">
        <v>1706</v>
      </c>
      <c r="BN59" s="29">
        <f>2721-241</f>
        <v>2480</v>
      </c>
      <c r="BO59" s="29">
        <f>1666+1</f>
        <v>1667</v>
      </c>
      <c r="BP59" s="29">
        <f>1882-1</f>
        <v>1881</v>
      </c>
      <c r="BQ59" s="29">
        <v>1788</v>
      </c>
      <c r="BR59" s="29">
        <f>2354-2</f>
        <v>2352</v>
      </c>
      <c r="BS59" s="29">
        <v>1829</v>
      </c>
      <c r="BT59" s="29">
        <f>1787-4</f>
        <v>1783</v>
      </c>
      <c r="BU59" s="29">
        <f>+BU56*0.17</f>
        <v>1907.0600000000002</v>
      </c>
      <c r="BV59" s="29">
        <v>2266</v>
      </c>
      <c r="BW59" s="29">
        <v>1762</v>
      </c>
      <c r="BX59" s="29">
        <f t="shared" ref="BX59:BZ59" si="120">+BX56*0.17</f>
        <v>1908.42</v>
      </c>
      <c r="BY59" s="29">
        <f t="shared" si="120"/>
        <v>1864.22</v>
      </c>
      <c r="BZ59" s="29">
        <f t="shared" si="120"/>
        <v>1951.0900000000001</v>
      </c>
      <c r="CA59" s="29">
        <v>1989</v>
      </c>
      <c r="CB59" s="29">
        <f>+BX59*1.01</f>
        <v>1927.5042000000001</v>
      </c>
      <c r="CC59" s="29">
        <f t="shared" ref="CC59:CH59" si="121">+BY59*1.01</f>
        <v>1882.8622</v>
      </c>
      <c r="CD59" s="29">
        <v>2105</v>
      </c>
      <c r="CE59" s="29">
        <v>1583</v>
      </c>
      <c r="CF59" s="29">
        <f t="shared" si="121"/>
        <v>1946.7792420000001</v>
      </c>
      <c r="CG59" s="29">
        <f t="shared" si="121"/>
        <v>1901.690822</v>
      </c>
      <c r="CH59" s="29">
        <f t="shared" si="121"/>
        <v>2126.0500000000002</v>
      </c>
      <c r="CI59" s="29">
        <v>1616</v>
      </c>
      <c r="CJ59" s="29">
        <f>+CI59</f>
        <v>1616</v>
      </c>
      <c r="CK59" s="29">
        <f>+CJ59</f>
        <v>1616</v>
      </c>
      <c r="CL59" s="29">
        <f>+CK59</f>
        <v>1616</v>
      </c>
      <c r="CM59" s="29"/>
      <c r="CN59" s="29"/>
      <c r="CO59" s="29"/>
      <c r="CP59" s="29">
        <v>2461</v>
      </c>
      <c r="CQ59" s="29">
        <v>2717</v>
      </c>
      <c r="CR59" s="29">
        <v>2946</v>
      </c>
      <c r="CS59" s="29">
        <v>3075</v>
      </c>
      <c r="CT59" s="29">
        <v>3098</v>
      </c>
      <c r="CU59" s="29"/>
      <c r="CV59" s="29"/>
      <c r="CW59" s="29"/>
      <c r="CX59" s="29"/>
      <c r="CY59" s="29"/>
      <c r="CZ59" s="29"/>
      <c r="DA59" s="29"/>
      <c r="DB59" s="29"/>
      <c r="DC59" s="29"/>
      <c r="DD59" s="29"/>
      <c r="DE59" s="29"/>
      <c r="DF59" s="29"/>
      <c r="DG59" s="29"/>
      <c r="DH59" s="29">
        <v>4900</v>
      </c>
      <c r="DI59" s="29">
        <f>SUM(O59:R59)</f>
        <v>4708</v>
      </c>
      <c r="DJ59" s="49">
        <f>SUM(S59:V59)</f>
        <v>4428</v>
      </c>
      <c r="DK59" s="49">
        <f>SUM(W59:Z59)</f>
        <v>3686</v>
      </c>
      <c r="DL59" s="49">
        <f>SUM(AA59:AD59)</f>
        <v>4203</v>
      </c>
      <c r="DM59" s="29">
        <f>+DL59*0.95</f>
        <v>3992.85</v>
      </c>
      <c r="DN59" s="64">
        <f>+DM59*0.95</f>
        <v>3793.2074999999995</v>
      </c>
      <c r="DO59" s="64">
        <f>+DN59*0.95</f>
        <v>3603.5471249999996</v>
      </c>
      <c r="DP59" s="29">
        <f>+DO59*0.75</f>
        <v>2702.6603437499998</v>
      </c>
      <c r="DQ59" s="29">
        <f>+DP59*0.95</f>
        <v>2567.5273265624996</v>
      </c>
      <c r="DR59" s="29">
        <f>+DQ59*0.5</f>
        <v>1283.7636632812498</v>
      </c>
      <c r="DS59" s="29">
        <f t="shared" ref="DS59:DT59" si="122">+DR59*0.5</f>
        <v>641.88183164062491</v>
      </c>
      <c r="DT59" s="29">
        <f t="shared" si="122"/>
        <v>320.94091582031245</v>
      </c>
      <c r="DU59" s="29"/>
      <c r="DV59" s="29"/>
      <c r="DW59" s="29">
        <f t="shared" ref="DW59" si="123">SUM(BS59:BV59)</f>
        <v>7785.06</v>
      </c>
      <c r="DX59" s="29">
        <f t="shared" ref="DX59" si="124">SUM(BW59:BZ59)</f>
        <v>7485.7300000000005</v>
      </c>
      <c r="DY59" s="34">
        <f t="shared" ref="DY59:DY61" si="125">SUM(CA59:CD59)</f>
        <v>7904.3664000000008</v>
      </c>
      <c r="DZ59" s="34">
        <f t="shared" ref="DZ59:DZ61" si="126">SUM(CE59:CH59)</f>
        <v>7557.5200640000003</v>
      </c>
      <c r="EA59" s="24">
        <f>+EA56*0.15</f>
        <v>7501.6799999999994</v>
      </c>
      <c r="EB59" s="24">
        <f t="shared" ref="EB59:EJ59" si="127">+EB56*0.15</f>
        <v>7770.7955999999976</v>
      </c>
      <c r="EC59" s="24">
        <f t="shared" si="127"/>
        <v>6917.598027</v>
      </c>
      <c r="ED59" s="24">
        <f t="shared" si="127"/>
        <v>5936.601500625</v>
      </c>
      <c r="EE59" s="24">
        <f t="shared" si="127"/>
        <v>5982.6972259124996</v>
      </c>
      <c r="EF59" s="24">
        <f t="shared" si="127"/>
        <v>6075.1564289482503</v>
      </c>
      <c r="EG59" s="24">
        <f t="shared" si="127"/>
        <v>6127.4613267367949</v>
      </c>
      <c r="EH59" s="24">
        <f t="shared" si="127"/>
        <v>3634.9376465473847</v>
      </c>
      <c r="EI59" s="24">
        <f t="shared" si="127"/>
        <v>2944.698373273668</v>
      </c>
      <c r="EJ59" s="24">
        <f t="shared" si="127"/>
        <v>2268.2247495743882</v>
      </c>
    </row>
    <row r="60" spans="2:140" s="24" customFormat="1" x14ac:dyDescent="0.25">
      <c r="B60" s="24" t="s">
        <v>101</v>
      </c>
      <c r="C60" s="29">
        <v>318</v>
      </c>
      <c r="D60" s="29">
        <v>365</v>
      </c>
      <c r="E60" s="29">
        <v>349</v>
      </c>
      <c r="F60" s="29">
        <v>444</v>
      </c>
      <c r="G60" s="29">
        <v>295</v>
      </c>
      <c r="H60" s="29">
        <v>352</v>
      </c>
      <c r="I60" s="29">
        <v>286</v>
      </c>
      <c r="J60" s="29">
        <v>415</v>
      </c>
      <c r="K60" s="29">
        <v>268</v>
      </c>
      <c r="L60" s="29">
        <v>368</v>
      </c>
      <c r="M60" s="29">
        <v>351</v>
      </c>
      <c r="N60" s="29">
        <v>483</v>
      </c>
      <c r="O60" s="29">
        <v>330</v>
      </c>
      <c r="P60" s="29">
        <v>420</v>
      </c>
      <c r="Q60" s="29">
        <v>362</v>
      </c>
      <c r="R60" s="29">
        <f>Q60</f>
        <v>362</v>
      </c>
      <c r="S60" s="29">
        <v>324</v>
      </c>
      <c r="T60" s="29">
        <v>400</v>
      </c>
      <c r="U60" s="29">
        <v>361</v>
      </c>
      <c r="V60" s="29">
        <v>334</v>
      </c>
      <c r="W60" s="29">
        <v>212</v>
      </c>
      <c r="X60" s="29">
        <v>263</v>
      </c>
      <c r="Y60" s="49">
        <v>231</v>
      </c>
      <c r="Z60" s="49">
        <v>271</v>
      </c>
      <c r="AA60" s="49">
        <v>214</v>
      </c>
      <c r="AB60" s="49">
        <v>253</v>
      </c>
      <c r="AC60" s="49">
        <v>205</v>
      </c>
      <c r="AD60" s="49">
        <v>285</v>
      </c>
      <c r="AE60" s="29">
        <v>194</v>
      </c>
      <c r="AF60" s="29">
        <v>224</v>
      </c>
      <c r="AG60" s="49">
        <v>167</v>
      </c>
      <c r="AH60" s="49">
        <f>797-SUM(AE60:AG60)</f>
        <v>212</v>
      </c>
      <c r="AI60" s="29">
        <v>189</v>
      </c>
      <c r="AJ60" s="29">
        <v>218</v>
      </c>
      <c r="AK60" s="29">
        <v>194</v>
      </c>
      <c r="AL60" s="29">
        <v>254</v>
      </c>
      <c r="AM60" s="29">
        <v>163</v>
      </c>
      <c r="AN60" s="29">
        <v>187</v>
      </c>
      <c r="AO60" s="29">
        <v>171</v>
      </c>
      <c r="AP60" s="29"/>
      <c r="AQ60" s="29"/>
      <c r="AR60" s="29"/>
      <c r="AS60" s="29">
        <v>193</v>
      </c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  <c r="BG60" s="29"/>
      <c r="BH60" s="29"/>
      <c r="BI60" s="29"/>
      <c r="BJ60" s="29"/>
      <c r="BK60" s="29"/>
      <c r="BL60" s="29"/>
      <c r="BM60" s="29"/>
      <c r="BN60" s="29"/>
      <c r="BO60" s="29"/>
      <c r="BP60" s="29"/>
      <c r="BQ60" s="29"/>
      <c r="BR60" s="29"/>
      <c r="BS60" s="29"/>
      <c r="BT60" s="29"/>
      <c r="BU60" s="29"/>
      <c r="BV60" s="29"/>
      <c r="BW60" s="29"/>
      <c r="BX60" s="29"/>
      <c r="BY60" s="29"/>
      <c r="BZ60" s="29"/>
      <c r="CA60" s="29"/>
      <c r="CB60" s="29"/>
      <c r="CC60" s="29"/>
      <c r="CD60" s="29"/>
      <c r="CE60" s="29"/>
      <c r="CF60" s="29"/>
      <c r="CG60" s="29"/>
      <c r="CH60" s="29"/>
      <c r="CI60" s="29"/>
      <c r="CJ60" s="29"/>
      <c r="CK60" s="29"/>
      <c r="CL60" s="29"/>
      <c r="CM60" s="29"/>
      <c r="CN60" s="29"/>
      <c r="CO60" s="29"/>
      <c r="CP60" s="29">
        <v>1073</v>
      </c>
      <c r="CQ60" s="29">
        <v>1189</v>
      </c>
      <c r="CR60" s="29">
        <v>1263</v>
      </c>
      <c r="CS60" s="29">
        <v>1291</v>
      </c>
      <c r="CT60" s="29">
        <v>1255</v>
      </c>
      <c r="CU60" s="29"/>
      <c r="CV60" s="29"/>
      <c r="CW60" s="29"/>
      <c r="CX60" s="29"/>
      <c r="CY60" s="29"/>
      <c r="CZ60" s="29"/>
      <c r="DA60" s="29"/>
      <c r="DB60" s="29"/>
      <c r="DC60" s="29"/>
      <c r="DD60" s="29"/>
      <c r="DE60" s="29"/>
      <c r="DF60" s="29"/>
      <c r="DG60" s="29"/>
      <c r="DH60" s="29">
        <v>1400</v>
      </c>
      <c r="DI60" s="29">
        <f>SUM(O60:R60)</f>
        <v>1474</v>
      </c>
      <c r="DJ60" s="49">
        <f>SUM(S60:V60)</f>
        <v>1419</v>
      </c>
      <c r="DK60" s="49">
        <f>SUM(W60:Z60)</f>
        <v>977</v>
      </c>
      <c r="DL60" s="49">
        <f>SUM(AA60:AD60)</f>
        <v>957</v>
      </c>
      <c r="DM60" s="29">
        <f t="shared" ref="DM60:DT60" si="128">DM56*0.06</f>
        <v>1054.2</v>
      </c>
      <c r="DN60" s="64">
        <f t="shared" si="128"/>
        <v>897.09899999999993</v>
      </c>
      <c r="DO60" s="64">
        <f t="shared" si="128"/>
        <v>912.15599999999995</v>
      </c>
      <c r="DP60" s="29">
        <f t="shared" si="128"/>
        <v>903.15753749999999</v>
      </c>
      <c r="DQ60" s="29">
        <f t="shared" si="128"/>
        <v>1161.065660625</v>
      </c>
      <c r="DR60" s="29">
        <f t="shared" si="128"/>
        <v>1244.9603775937499</v>
      </c>
      <c r="DS60" s="29">
        <f t="shared" si="128"/>
        <v>1353.6599999999999</v>
      </c>
      <c r="DT60" s="29">
        <f t="shared" si="128"/>
        <v>1568.7</v>
      </c>
      <c r="DU60" s="29"/>
      <c r="DV60" s="29"/>
      <c r="DW60" s="29"/>
      <c r="DX60" s="29"/>
      <c r="DY60" s="34"/>
      <c r="DZ60" s="34"/>
    </row>
    <row r="61" spans="2:140" s="24" customFormat="1" x14ac:dyDescent="0.25">
      <c r="B61" s="24" t="s">
        <v>102</v>
      </c>
      <c r="C61" s="29">
        <v>653</v>
      </c>
      <c r="D61" s="29">
        <v>649</v>
      </c>
      <c r="E61" s="29">
        <v>669</v>
      </c>
      <c r="F61" s="29">
        <v>775</v>
      </c>
      <c r="G61" s="29">
        <v>750</v>
      </c>
      <c r="H61" s="29">
        <v>740</v>
      </c>
      <c r="I61" s="29">
        <v>756</v>
      </c>
      <c r="J61" s="29">
        <v>799</v>
      </c>
      <c r="K61" s="29">
        <v>791</v>
      </c>
      <c r="L61" s="29">
        <v>778</v>
      </c>
      <c r="M61" s="29">
        <v>827</v>
      </c>
      <c r="N61" s="29">
        <v>908</v>
      </c>
      <c r="O61" s="29">
        <v>795</v>
      </c>
      <c r="P61" s="29">
        <v>795</v>
      </c>
      <c r="Q61" s="29">
        <v>797</v>
      </c>
      <c r="R61" s="29">
        <f>Q61</f>
        <v>797</v>
      </c>
      <c r="S61" s="29">
        <v>923</v>
      </c>
      <c r="T61" s="29">
        <v>829</v>
      </c>
      <c r="U61" s="29">
        <v>838</v>
      </c>
      <c r="V61" s="29">
        <v>1108</v>
      </c>
      <c r="W61" s="29">
        <v>910</v>
      </c>
      <c r="X61" s="29">
        <v>822</v>
      </c>
      <c r="Y61" s="49">
        <v>824</v>
      </c>
      <c r="Z61" s="49">
        <v>1010</v>
      </c>
      <c r="AA61" s="49">
        <v>935</v>
      </c>
      <c r="AB61" s="49">
        <v>923</v>
      </c>
      <c r="AC61" s="49">
        <v>973</v>
      </c>
      <c r="AD61" s="49">
        <v>1008</v>
      </c>
      <c r="AE61" s="29">
        <v>909</v>
      </c>
      <c r="AF61" s="29">
        <v>962</v>
      </c>
      <c r="AG61" s="49">
        <v>951</v>
      </c>
      <c r="AH61" s="49">
        <f>3904-SUM(AE61:AG61)</f>
        <v>1082</v>
      </c>
      <c r="AI61" s="29">
        <v>930</v>
      </c>
      <c r="AJ61" s="29">
        <v>951</v>
      </c>
      <c r="AK61" s="29">
        <v>893</v>
      </c>
      <c r="AL61" s="29">
        <v>957</v>
      </c>
      <c r="AM61" s="29">
        <v>946</v>
      </c>
      <c r="AN61" s="29">
        <v>958</v>
      </c>
      <c r="AO61" s="29">
        <v>983</v>
      </c>
      <c r="AP61" s="29">
        <v>1189</v>
      </c>
      <c r="AQ61" s="29">
        <v>1016</v>
      </c>
      <c r="AR61" s="29">
        <v>1856</v>
      </c>
      <c r="AS61" s="29">
        <v>1132</v>
      </c>
      <c r="AT61" s="29">
        <v>1916</v>
      </c>
      <c r="AU61" s="29">
        <v>1136</v>
      </c>
      <c r="AV61" s="29">
        <v>1266</v>
      </c>
      <c r="AW61" s="29">
        <v>1079</v>
      </c>
      <c r="AX61" s="29">
        <v>1214</v>
      </c>
      <c r="AY61" s="29">
        <v>1106</v>
      </c>
      <c r="AZ61" s="29">
        <v>1190</v>
      </c>
      <c r="BA61" s="29">
        <v>1169</v>
      </c>
      <c r="BB61" s="29">
        <v>1393</v>
      </c>
      <c r="BC61" s="29">
        <v>1170</v>
      </c>
      <c r="BD61" s="29">
        <v>1341</v>
      </c>
      <c r="BE61" s="29"/>
      <c r="BF61" s="29"/>
      <c r="BG61" s="29">
        <v>1348</v>
      </c>
      <c r="BH61" s="29">
        <v>1325</v>
      </c>
      <c r="BI61" s="29"/>
      <c r="BJ61" s="29"/>
      <c r="BK61" s="29">
        <v>2372</v>
      </c>
      <c r="BL61" s="29">
        <v>2522</v>
      </c>
      <c r="BM61" s="29">
        <v>2499</v>
      </c>
      <c r="BN61" s="29">
        <f>3750-1213</f>
        <v>2537</v>
      </c>
      <c r="BO61" s="29">
        <f>2219-1</f>
        <v>2218</v>
      </c>
      <c r="BP61" s="29">
        <f>2478-230</f>
        <v>2248</v>
      </c>
      <c r="BQ61" s="29">
        <v>3251</v>
      </c>
      <c r="BR61" s="29">
        <v>2607</v>
      </c>
      <c r="BS61" s="29">
        <v>2133</v>
      </c>
      <c r="BT61" s="29">
        <f>2321-21</f>
        <v>2300</v>
      </c>
      <c r="BU61" s="29">
        <f>+BQ61</f>
        <v>3251</v>
      </c>
      <c r="BV61" s="29">
        <v>2510</v>
      </c>
      <c r="BW61" s="29">
        <v>2206</v>
      </c>
      <c r="BX61" s="29">
        <f t="shared" ref="BX61:BZ61" si="129">+BT61</f>
        <v>2300</v>
      </c>
      <c r="BY61" s="29">
        <f t="shared" si="129"/>
        <v>3251</v>
      </c>
      <c r="BZ61" s="29">
        <f t="shared" si="129"/>
        <v>2510</v>
      </c>
      <c r="CA61" s="29">
        <v>2346</v>
      </c>
      <c r="CB61" s="29">
        <f>+BX61*1.01</f>
        <v>2323</v>
      </c>
      <c r="CC61" s="29">
        <f>+CB61</f>
        <v>2323</v>
      </c>
      <c r="CD61" s="29">
        <v>2788</v>
      </c>
      <c r="CE61" s="29">
        <v>2235</v>
      </c>
      <c r="CF61" s="29">
        <f t="shared" ref="CF61" si="130">+CB61*1.01</f>
        <v>2346.23</v>
      </c>
      <c r="CG61" s="29">
        <f t="shared" ref="CG61" si="131">+CC61*1.01</f>
        <v>2346.23</v>
      </c>
      <c r="CH61" s="29">
        <f t="shared" ref="CH61" si="132">+CD61*1.01</f>
        <v>2815.88</v>
      </c>
      <c r="CI61" s="29">
        <v>2238</v>
      </c>
      <c r="CJ61" s="29">
        <f>+CI61</f>
        <v>2238</v>
      </c>
      <c r="CK61" s="29">
        <f>+CJ61</f>
        <v>2238</v>
      </c>
      <c r="CL61" s="29">
        <f>+CK61</f>
        <v>2238</v>
      </c>
      <c r="CM61" s="29"/>
      <c r="CN61" s="29"/>
      <c r="CO61" s="29"/>
      <c r="CP61" s="29">
        <v>781</v>
      </c>
      <c r="CQ61" s="29">
        <v>873</v>
      </c>
      <c r="CR61" s="29">
        <v>983</v>
      </c>
      <c r="CS61" s="29">
        <v>1083</v>
      </c>
      <c r="CT61" s="29">
        <v>1128</v>
      </c>
      <c r="CU61" s="29"/>
      <c r="CV61" s="29"/>
      <c r="CW61" s="29"/>
      <c r="CX61" s="29"/>
      <c r="CY61" s="29"/>
      <c r="CZ61" s="29"/>
      <c r="DA61" s="29"/>
      <c r="DB61" s="29"/>
      <c r="DC61" s="29"/>
      <c r="DD61" s="29"/>
      <c r="DE61" s="29"/>
      <c r="DF61" s="29"/>
      <c r="DG61" s="29"/>
      <c r="DH61" s="29">
        <v>3300</v>
      </c>
      <c r="DI61" s="29">
        <f>SUM(O61:R61)</f>
        <v>3184</v>
      </c>
      <c r="DJ61" s="49">
        <f>SUM(S61:V61)</f>
        <v>3698</v>
      </c>
      <c r="DK61" s="49">
        <f>SUM(W61:Z61)</f>
        <v>3566</v>
      </c>
      <c r="DL61" s="49">
        <f>SUM(AA61:AD61)</f>
        <v>3839</v>
      </c>
      <c r="DM61" s="29"/>
      <c r="DN61" s="64"/>
      <c r="DO61" s="64"/>
      <c r="DP61" s="29"/>
      <c r="DQ61" s="29"/>
      <c r="DR61" s="29"/>
      <c r="DS61" s="29"/>
      <c r="DT61" s="29"/>
      <c r="DU61" s="29"/>
      <c r="DV61" s="29"/>
      <c r="DW61" s="29">
        <f t="shared" ref="DW61" si="133">SUM(BS61:BV61)</f>
        <v>10194</v>
      </c>
      <c r="DX61" s="29">
        <f t="shared" ref="DX61" si="134">SUM(BW61:BZ61)</f>
        <v>10267</v>
      </c>
      <c r="DY61" s="34">
        <f t="shared" si="125"/>
        <v>9780</v>
      </c>
      <c r="DZ61" s="34">
        <f t="shared" si="126"/>
        <v>9743.34</v>
      </c>
    </row>
    <row r="62" spans="2:140" x14ac:dyDescent="0.25">
      <c r="B62" s="1" t="s">
        <v>244</v>
      </c>
      <c r="C62" s="29">
        <f t="shared" ref="C62:R62" si="135">C61+C60+C59</f>
        <v>2154</v>
      </c>
      <c r="D62" s="29">
        <f t="shared" si="135"/>
        <v>2282</v>
      </c>
      <c r="E62" s="29">
        <f t="shared" si="135"/>
        <v>2304</v>
      </c>
      <c r="F62" s="29">
        <f t="shared" si="135"/>
        <v>2588</v>
      </c>
      <c r="G62" s="29">
        <f t="shared" si="135"/>
        <v>2283</v>
      </c>
      <c r="H62" s="29">
        <f t="shared" si="135"/>
        <v>2273</v>
      </c>
      <c r="I62" s="29">
        <f t="shared" si="135"/>
        <v>2231</v>
      </c>
      <c r="J62" s="29">
        <f t="shared" si="135"/>
        <v>2498</v>
      </c>
      <c r="K62" s="29">
        <f t="shared" si="135"/>
        <v>2192</v>
      </c>
      <c r="L62" s="29">
        <f t="shared" si="135"/>
        <v>2355</v>
      </c>
      <c r="M62" s="29">
        <f t="shared" si="135"/>
        <v>2392</v>
      </c>
      <c r="N62" s="29">
        <f t="shared" si="135"/>
        <v>2734</v>
      </c>
      <c r="O62" s="29">
        <f t="shared" si="135"/>
        <v>2348</v>
      </c>
      <c r="P62" s="29">
        <f>P61+P60+P59</f>
        <v>2358</v>
      </c>
      <c r="Q62" s="29">
        <f>Q61+Q60+Q59</f>
        <v>2330</v>
      </c>
      <c r="R62" s="29">
        <f t="shared" si="135"/>
        <v>2330</v>
      </c>
      <c r="S62" s="29">
        <f t="shared" ref="S62:Z62" si="136">S61+S60+S59</f>
        <v>2311</v>
      </c>
      <c r="T62" s="29">
        <f t="shared" si="136"/>
        <v>2306</v>
      </c>
      <c r="U62" s="29">
        <f t="shared" si="136"/>
        <v>2316</v>
      </c>
      <c r="V62" s="29">
        <f t="shared" si="136"/>
        <v>2612</v>
      </c>
      <c r="W62" s="29">
        <f t="shared" si="136"/>
        <v>2022</v>
      </c>
      <c r="X62" s="29">
        <f t="shared" si="136"/>
        <v>1979</v>
      </c>
      <c r="Y62" s="29">
        <f t="shared" si="136"/>
        <v>1947</v>
      </c>
      <c r="Z62" s="49">
        <f t="shared" si="136"/>
        <v>2281</v>
      </c>
      <c r="AA62" s="49">
        <f t="shared" ref="AA62:AK62" si="137">AA61+AA60+AA59</f>
        <v>2077</v>
      </c>
      <c r="AB62" s="29">
        <f t="shared" si="137"/>
        <v>2216</v>
      </c>
      <c r="AC62" s="29">
        <f t="shared" si="137"/>
        <v>2197</v>
      </c>
      <c r="AD62" s="29">
        <f t="shared" si="137"/>
        <v>2509</v>
      </c>
      <c r="AE62" s="29">
        <f t="shared" si="137"/>
        <v>2105</v>
      </c>
      <c r="AF62" s="29">
        <f>AF61+AF60+AF59</f>
        <v>2190</v>
      </c>
      <c r="AG62" s="49">
        <f t="shared" si="137"/>
        <v>4019</v>
      </c>
      <c r="AH62" s="49">
        <f t="shared" si="137"/>
        <v>2437</v>
      </c>
      <c r="AI62" s="49">
        <f t="shared" si="137"/>
        <v>2113</v>
      </c>
      <c r="AJ62" s="49">
        <f t="shared" si="137"/>
        <v>2211</v>
      </c>
      <c r="AK62" s="49">
        <f t="shared" si="137"/>
        <v>2067</v>
      </c>
      <c r="AL62" s="49">
        <f>AL61+AL60+AL59</f>
        <v>2279</v>
      </c>
      <c r="AM62" s="49">
        <f>AM61+AM60+AM59</f>
        <v>2066</v>
      </c>
      <c r="AN62" s="49">
        <f>AN61+AN60+AN59</f>
        <v>2093</v>
      </c>
      <c r="AO62" s="49">
        <f>AO61+AO60+AO59</f>
        <v>2183</v>
      </c>
      <c r="AP62" s="29">
        <f t="shared" ref="AP62" si="138">SUM(AP59:AP61)</f>
        <v>2553</v>
      </c>
      <c r="AQ62" s="29">
        <f t="shared" ref="AQ62:AR62" si="139">SUM(AQ59:AQ61)</f>
        <v>2045</v>
      </c>
      <c r="AR62" s="29">
        <f t="shared" si="139"/>
        <v>2991</v>
      </c>
      <c r="AS62" s="29">
        <f t="shared" ref="AS62" si="140">SUM(AS59:AS61)</f>
        <v>2308</v>
      </c>
      <c r="AT62" s="29">
        <f t="shared" ref="AT62" si="141">SUM(AT59:AT61)</f>
        <v>3417</v>
      </c>
      <c r="AU62" s="29">
        <f t="shared" ref="AU62:AV62" si="142">SUM(AU59:AU61)</f>
        <v>2204</v>
      </c>
      <c r="AV62" s="29">
        <f t="shared" si="142"/>
        <v>2504</v>
      </c>
      <c r="AW62" s="29">
        <f t="shared" ref="AW62:AX62" si="143">SUM(AW59:AW61)</f>
        <v>2223</v>
      </c>
      <c r="AX62" s="29">
        <f t="shared" si="143"/>
        <v>2675</v>
      </c>
      <c r="AY62" s="29">
        <f t="shared" ref="AY62:AZ62" si="144">SUM(AY59:AY61)</f>
        <v>2191</v>
      </c>
      <c r="AZ62" s="29">
        <f t="shared" si="144"/>
        <v>2377</v>
      </c>
      <c r="BA62" s="29">
        <f t="shared" ref="BA62:BB62" si="145">SUM(BA59:BA61)</f>
        <v>2316</v>
      </c>
      <c r="BB62" s="29">
        <f t="shared" si="145"/>
        <v>2692</v>
      </c>
      <c r="BC62" s="29">
        <f t="shared" ref="BC62:BD62" si="146">SUM(BC59:BC61)</f>
        <v>2149</v>
      </c>
      <c r="BD62" s="29">
        <f t="shared" si="146"/>
        <v>2472</v>
      </c>
      <c r="BG62" s="29">
        <f t="shared" ref="BG62:BH62" si="147">SUM(BG59:BG61)</f>
        <v>2354</v>
      </c>
      <c r="BH62" s="29">
        <f t="shared" si="147"/>
        <v>2401</v>
      </c>
      <c r="BK62" s="29">
        <f t="shared" ref="BK62" si="148">SUM(BK59:BK61)</f>
        <v>3978</v>
      </c>
      <c r="BL62" s="29">
        <f t="shared" ref="BL62:BN62" si="149">SUM(BL59:BL61)</f>
        <v>4150</v>
      </c>
      <c r="BM62" s="29">
        <f t="shared" si="149"/>
        <v>4205</v>
      </c>
      <c r="BN62" s="29">
        <f t="shared" si="149"/>
        <v>5017</v>
      </c>
      <c r="BO62" s="29">
        <f t="shared" ref="BO62:BR62" si="150">SUM(BO59:BO61)</f>
        <v>3885</v>
      </c>
      <c r="BP62" s="29">
        <f t="shared" si="150"/>
        <v>4129</v>
      </c>
      <c r="BQ62" s="29">
        <f t="shared" si="150"/>
        <v>5039</v>
      </c>
      <c r="BR62" s="29">
        <f t="shared" si="150"/>
        <v>4959</v>
      </c>
      <c r="BS62" s="29">
        <f>SUM(BS59:BS61)</f>
        <v>3962</v>
      </c>
      <c r="BT62" s="29">
        <f>SUM(BT59:BT61)</f>
        <v>4083</v>
      </c>
      <c r="BU62" s="29">
        <f>SUM(BU59:BU61)</f>
        <v>5158.0600000000004</v>
      </c>
      <c r="BV62" s="29">
        <f t="shared" ref="BV62:BZ62" si="151">SUM(BV59:BV61)</f>
        <v>4776</v>
      </c>
      <c r="BW62" s="29">
        <f t="shared" si="151"/>
        <v>3968</v>
      </c>
      <c r="BX62" s="29">
        <f t="shared" si="151"/>
        <v>4208.42</v>
      </c>
      <c r="BY62" s="29">
        <f t="shared" si="151"/>
        <v>5115.22</v>
      </c>
      <c r="BZ62" s="29">
        <f t="shared" si="151"/>
        <v>4461.09</v>
      </c>
      <c r="CA62" s="29">
        <f t="shared" ref="CA62:CI62" si="152">SUM(CA59:CA61)</f>
        <v>4335</v>
      </c>
      <c r="CB62" s="29">
        <f t="shared" si="152"/>
        <v>4250.5042000000003</v>
      </c>
      <c r="CC62" s="29">
        <f t="shared" si="152"/>
        <v>4205.8621999999996</v>
      </c>
      <c r="CD62" s="29">
        <f t="shared" si="152"/>
        <v>4893</v>
      </c>
      <c r="CE62" s="29">
        <f t="shared" si="152"/>
        <v>3818</v>
      </c>
      <c r="CF62" s="29">
        <f t="shared" si="152"/>
        <v>4293.0092420000001</v>
      </c>
      <c r="CG62" s="29">
        <f t="shared" si="152"/>
        <v>4247.920822</v>
      </c>
      <c r="CH62" s="29">
        <f t="shared" si="152"/>
        <v>4941.93</v>
      </c>
      <c r="CI62" s="29">
        <f t="shared" si="152"/>
        <v>3854</v>
      </c>
      <c r="CJ62" s="29">
        <f t="shared" ref="CJ62:CL62" si="153">SUM(CJ59:CJ61)</f>
        <v>3854</v>
      </c>
      <c r="CK62" s="29">
        <f t="shared" si="153"/>
        <v>3854</v>
      </c>
      <c r="CL62" s="29">
        <f t="shared" si="153"/>
        <v>3854</v>
      </c>
      <c r="CP62" s="29">
        <f>CP61+CP60+CP59</f>
        <v>4315</v>
      </c>
      <c r="CQ62" s="29">
        <f>CQ61+CQ60+CQ59</f>
        <v>4779</v>
      </c>
      <c r="CR62" s="29">
        <f>CR61+CR60+CR59</f>
        <v>5192</v>
      </c>
      <c r="CS62" s="29">
        <f>CS61+CS60+CS59</f>
        <v>5449</v>
      </c>
      <c r="CT62" s="29">
        <f>CT61+CT60+CT59</f>
        <v>5481</v>
      </c>
      <c r="DH62" s="29"/>
      <c r="DI62" s="29">
        <f t="shared" ref="DI62:DR62" si="154">SUM(DI59:DI61)</f>
        <v>9366</v>
      </c>
      <c r="DJ62" s="49">
        <f t="shared" si="154"/>
        <v>9545</v>
      </c>
      <c r="DK62" s="49">
        <f t="shared" si="154"/>
        <v>8229</v>
      </c>
      <c r="DL62" s="49">
        <f t="shared" si="154"/>
        <v>8999</v>
      </c>
      <c r="DM62" s="29">
        <f t="shared" si="154"/>
        <v>5047.05</v>
      </c>
      <c r="DN62" s="64">
        <f t="shared" si="154"/>
        <v>4690.3064999999997</v>
      </c>
      <c r="DO62" s="64">
        <f t="shared" si="154"/>
        <v>4515.703125</v>
      </c>
      <c r="DP62" s="29">
        <f t="shared" si="154"/>
        <v>3605.81788125</v>
      </c>
      <c r="DQ62" s="29">
        <f t="shared" si="154"/>
        <v>3728.5929871874996</v>
      </c>
      <c r="DR62" s="29">
        <f t="shared" si="154"/>
        <v>2528.7240408749994</v>
      </c>
      <c r="DS62" s="29">
        <f t="shared" ref="DS62:DV62" si="155">SUM(DS59:DS61)</f>
        <v>1995.5418316406249</v>
      </c>
      <c r="DT62" s="29">
        <f t="shared" si="155"/>
        <v>1889.6409158203126</v>
      </c>
      <c r="DU62" s="29">
        <f>SUM(DU59:DU61)</f>
        <v>0</v>
      </c>
      <c r="DV62" s="29">
        <f t="shared" si="155"/>
        <v>0</v>
      </c>
      <c r="DW62" s="29">
        <f>SUM(DW59:DW61)</f>
        <v>17979.060000000001</v>
      </c>
      <c r="DX62" s="29">
        <f>SUM(DX59:DX61)</f>
        <v>17752.73</v>
      </c>
      <c r="DY62" s="29">
        <f>SUM(DY59:DY61)</f>
        <v>17684.366399999999</v>
      </c>
      <c r="DZ62" s="29">
        <f>SUM(DZ59:DZ61)</f>
        <v>17300.860064</v>
      </c>
      <c r="EA62" s="29">
        <f t="shared" ref="EA62:EJ62" si="156">SUM(EA59:EA61)</f>
        <v>7501.6799999999994</v>
      </c>
      <c r="EB62" s="29">
        <f t="shared" si="156"/>
        <v>7770.7955999999976</v>
      </c>
      <c r="EC62" s="29">
        <f t="shared" si="156"/>
        <v>6917.598027</v>
      </c>
      <c r="ED62" s="29">
        <f t="shared" si="156"/>
        <v>5936.601500625</v>
      </c>
      <c r="EE62" s="29">
        <f t="shared" si="156"/>
        <v>5982.6972259124996</v>
      </c>
      <c r="EF62" s="29">
        <f t="shared" si="156"/>
        <v>6075.1564289482503</v>
      </c>
      <c r="EG62" s="29">
        <f t="shared" si="156"/>
        <v>6127.4613267367949</v>
      </c>
      <c r="EH62" s="29">
        <f t="shared" si="156"/>
        <v>3634.9376465473847</v>
      </c>
      <c r="EI62" s="29">
        <f t="shared" si="156"/>
        <v>2944.698373273668</v>
      </c>
      <c r="EJ62" s="29">
        <f t="shared" si="156"/>
        <v>2268.2247495743882</v>
      </c>
    </row>
    <row r="63" spans="2:140" x14ac:dyDescent="0.25">
      <c r="B63" s="1" t="s">
        <v>243</v>
      </c>
      <c r="C63" s="29">
        <f t="shared" ref="C63:R63" si="157">C58-C62</f>
        <v>2867</v>
      </c>
      <c r="D63" s="29">
        <f t="shared" si="157"/>
        <v>3346</v>
      </c>
      <c r="E63" s="29">
        <f t="shared" si="157"/>
        <v>3104</v>
      </c>
      <c r="F63" s="29">
        <f t="shared" si="157"/>
        <v>3146</v>
      </c>
      <c r="G63" s="29">
        <f t="shared" si="157"/>
        <v>3074</v>
      </c>
      <c r="H63" s="29">
        <f t="shared" si="157"/>
        <v>3309</v>
      </c>
      <c r="I63" s="29">
        <f t="shared" si="157"/>
        <v>2056</v>
      </c>
      <c r="J63" s="29">
        <f t="shared" si="157"/>
        <v>1701</v>
      </c>
      <c r="K63" s="29">
        <f t="shared" si="157"/>
        <v>2620</v>
      </c>
      <c r="L63" s="29">
        <f t="shared" si="157"/>
        <v>3187</v>
      </c>
      <c r="M63" s="29">
        <f t="shared" si="157"/>
        <v>3836</v>
      </c>
      <c r="N63" s="29">
        <f t="shared" si="157"/>
        <v>3940</v>
      </c>
      <c r="O63" s="29">
        <f t="shared" si="157"/>
        <v>4133</v>
      </c>
      <c r="P63" s="29">
        <f>P58-P62</f>
        <v>4448</v>
      </c>
      <c r="Q63" s="29">
        <f>Q58-Q62</f>
        <v>4669</v>
      </c>
      <c r="R63" s="29">
        <f t="shared" si="157"/>
        <v>-2330</v>
      </c>
      <c r="S63" s="29">
        <f t="shared" ref="S63:Z63" si="158">S58-S62</f>
        <v>4571</v>
      </c>
      <c r="T63" s="29">
        <f t="shared" si="158"/>
        <v>5136</v>
      </c>
      <c r="U63" s="29">
        <f t="shared" si="158"/>
        <v>5218</v>
      </c>
      <c r="V63" s="29">
        <f t="shared" si="158"/>
        <v>4809</v>
      </c>
      <c r="W63" s="29">
        <f t="shared" si="158"/>
        <v>1479</v>
      </c>
      <c r="X63" s="29">
        <f t="shared" si="158"/>
        <v>5219</v>
      </c>
      <c r="Y63" s="29">
        <f t="shared" si="158"/>
        <v>1571</v>
      </c>
      <c r="Z63" s="49">
        <f t="shared" si="158"/>
        <v>1416</v>
      </c>
      <c r="AA63" s="49">
        <f t="shared" ref="AA63:AK63" si="159">AA58-AA62</f>
        <v>1591</v>
      </c>
      <c r="AB63" s="29">
        <f t="shared" si="159"/>
        <v>1737</v>
      </c>
      <c r="AC63" s="29">
        <f t="shared" si="159"/>
        <v>1741</v>
      </c>
      <c r="AD63" s="29">
        <f t="shared" si="159"/>
        <v>1578</v>
      </c>
      <c r="AE63" s="29">
        <f t="shared" si="159"/>
        <v>1843</v>
      </c>
      <c r="AF63" s="29">
        <f>AF58-AF62</f>
        <v>1008</v>
      </c>
      <c r="AG63" s="49">
        <f t="shared" si="159"/>
        <v>-1270</v>
      </c>
      <c r="AH63" s="49">
        <f t="shared" si="159"/>
        <v>679</v>
      </c>
      <c r="AI63" s="49">
        <f t="shared" si="159"/>
        <v>1013</v>
      </c>
      <c r="AJ63" s="49">
        <f t="shared" si="159"/>
        <v>729</v>
      </c>
      <c r="AK63" s="49">
        <f t="shared" si="159"/>
        <v>1255</v>
      </c>
      <c r="AL63" s="49">
        <f>AL58-AL62</f>
        <v>889</v>
      </c>
      <c r="AM63" s="49">
        <f>AM58-AM62</f>
        <v>777</v>
      </c>
      <c r="AN63" s="49">
        <f>AN58-AN62</f>
        <v>805</v>
      </c>
      <c r="AO63" s="49">
        <f>AO58-AO62</f>
        <v>1551</v>
      </c>
      <c r="AP63" s="29">
        <f t="shared" ref="AP63" si="160">AP58-AP62</f>
        <v>739</v>
      </c>
      <c r="AQ63" s="29">
        <f t="shared" ref="AQ63:AR63" si="161">AQ58-AQ62</f>
        <v>1149</v>
      </c>
      <c r="AR63" s="29">
        <f t="shared" si="161"/>
        <v>159</v>
      </c>
      <c r="AS63" s="29">
        <f t="shared" ref="AS63" si="162">AS58-AS62</f>
        <v>664</v>
      </c>
      <c r="AT63" s="29">
        <f t="shared" ref="AT63:AV63" si="163">AT58-AT62</f>
        <v>-82</v>
      </c>
      <c r="AU63" s="29">
        <f t="shared" si="163"/>
        <v>1135</v>
      </c>
      <c r="AV63" s="29">
        <f t="shared" si="163"/>
        <v>1161</v>
      </c>
      <c r="AW63" s="29">
        <f t="shared" ref="AW63:AX63" si="164">AW58-AW62</f>
        <v>1401</v>
      </c>
      <c r="AX63" s="29">
        <f t="shared" si="164"/>
        <v>1191</v>
      </c>
      <c r="AY63" s="29">
        <f t="shared" ref="AY63:AZ63" si="165">AY58-AY62</f>
        <v>1473</v>
      </c>
      <c r="AZ63" s="29">
        <f t="shared" si="165"/>
        <v>1328</v>
      </c>
      <c r="BA63" s="29">
        <f t="shared" ref="BA63:BB63" si="166">BA58-BA62</f>
        <v>1367</v>
      </c>
      <c r="BB63" s="29">
        <f t="shared" si="166"/>
        <v>1102</v>
      </c>
      <c r="BC63" s="29">
        <f t="shared" ref="BC63:BD63" si="167">BC58-BC62</f>
        <v>1473</v>
      </c>
      <c r="BD63" s="29">
        <f t="shared" si="167"/>
        <v>1621</v>
      </c>
      <c r="BG63" s="29">
        <f t="shared" ref="BG63:BH63" si="168">BG58-BG62</f>
        <v>1742</v>
      </c>
      <c r="BH63" s="29">
        <f t="shared" si="168"/>
        <v>1900</v>
      </c>
      <c r="BK63" s="29">
        <f t="shared" ref="BK63" si="169">BK58-BK62</f>
        <v>4579</v>
      </c>
      <c r="BL63" s="29">
        <f t="shared" ref="BL63:BN63" si="170">BL58-BL62</f>
        <v>3280</v>
      </c>
      <c r="BM63" s="29">
        <f t="shared" si="170"/>
        <v>3833</v>
      </c>
      <c r="BN63" s="29">
        <f t="shared" si="170"/>
        <v>3816</v>
      </c>
      <c r="BO63" s="29">
        <f t="shared" ref="BO63:BR63" si="171">BO58-BO62</f>
        <v>4764</v>
      </c>
      <c r="BP63" s="29">
        <f t="shared" si="171"/>
        <v>5211</v>
      </c>
      <c r="BQ63" s="29">
        <f t="shared" si="171"/>
        <v>4294</v>
      </c>
      <c r="BR63" s="29">
        <f t="shared" si="171"/>
        <v>4670</v>
      </c>
      <c r="BS63" s="29">
        <f>BS58-BS62</f>
        <v>5267</v>
      </c>
      <c r="BT63" s="29">
        <f>BT58-BT62</f>
        <v>5229</v>
      </c>
      <c r="BU63" s="29">
        <f>BU58-BU62</f>
        <v>3704.1600000000008</v>
      </c>
      <c r="BV63" s="29">
        <f t="shared" ref="BV63:BZ63" si="172">BV58-BV62</f>
        <v>4037</v>
      </c>
      <c r="BW63" s="29">
        <f t="shared" si="172"/>
        <v>4988.2299999999996</v>
      </c>
      <c r="BX63" s="29">
        <f t="shared" si="172"/>
        <v>4660.1200000000008</v>
      </c>
      <c r="BY63" s="29">
        <f t="shared" si="172"/>
        <v>3547.920000000001</v>
      </c>
      <c r="BZ63" s="29">
        <f t="shared" si="172"/>
        <v>4605.74</v>
      </c>
      <c r="CA63" s="29">
        <f>CA58-CA62</f>
        <v>4620</v>
      </c>
      <c r="CB63" s="29">
        <f t="shared" ref="CB63:CI63" si="173">CB58-CB62</f>
        <v>5388.2858000000006</v>
      </c>
      <c r="CC63" s="29">
        <f t="shared" si="173"/>
        <v>5188.8178000000007</v>
      </c>
      <c r="CD63" s="29">
        <f t="shared" si="173"/>
        <v>4237</v>
      </c>
      <c r="CE63" s="29">
        <f t="shared" si="173"/>
        <v>4365</v>
      </c>
      <c r="CF63" s="29">
        <f t="shared" si="173"/>
        <v>5401.0807580000001</v>
      </c>
      <c r="CG63" s="29">
        <f t="shared" si="173"/>
        <v>5409.829178</v>
      </c>
      <c r="CH63" s="29">
        <f t="shared" si="173"/>
        <v>4936.2299999999996</v>
      </c>
      <c r="CI63" s="29">
        <f t="shared" si="173"/>
        <v>4228</v>
      </c>
      <c r="CJ63" s="29">
        <f t="shared" ref="CJ63:CL63" si="174">CJ58-CJ62</f>
        <v>5358</v>
      </c>
      <c r="CK63" s="29">
        <f t="shared" si="174"/>
        <v>5382</v>
      </c>
      <c r="CL63" s="29">
        <f t="shared" si="174"/>
        <v>882.23999999999978</v>
      </c>
      <c r="CP63" s="29">
        <f>CP58-CP62</f>
        <v>1845</v>
      </c>
      <c r="CQ63" s="29">
        <f>CQ58-CQ62</f>
        <v>2297</v>
      </c>
      <c r="CR63" s="29">
        <f>CR58-CR62</f>
        <v>2662</v>
      </c>
      <c r="CS63" s="29">
        <f>CS58-CS62</f>
        <v>2850</v>
      </c>
      <c r="CT63" s="29">
        <f>CT58-CT62</f>
        <v>2903</v>
      </c>
      <c r="DI63" s="29">
        <f t="shared" ref="DI63:DR63" si="175">DI58-DI62</f>
        <v>10920</v>
      </c>
      <c r="DJ63" s="49">
        <f t="shared" si="175"/>
        <v>19734</v>
      </c>
      <c r="DK63" s="49">
        <f t="shared" si="175"/>
        <v>9685</v>
      </c>
      <c r="DL63" s="49">
        <f t="shared" si="175"/>
        <v>6647</v>
      </c>
      <c r="DM63" s="29">
        <f t="shared" si="175"/>
        <v>7779.05</v>
      </c>
      <c r="DN63" s="64">
        <f t="shared" si="175"/>
        <v>6224.3980000000001</v>
      </c>
      <c r="DO63" s="64">
        <f t="shared" si="175"/>
        <v>6582.1948749999992</v>
      </c>
      <c r="DP63" s="29">
        <f t="shared" si="175"/>
        <v>7382.598825</v>
      </c>
      <c r="DQ63" s="29">
        <f t="shared" si="175"/>
        <v>10591.2168271875</v>
      </c>
      <c r="DR63" s="29">
        <f t="shared" si="175"/>
        <v>13033.280679046875</v>
      </c>
      <c r="DS63" s="29">
        <f t="shared" ref="DS63:DV63" si="176">DS58-DS62</f>
        <v>14925.208168359375</v>
      </c>
      <c r="DT63" s="29">
        <f t="shared" si="176"/>
        <v>-1889.6409158203126</v>
      </c>
      <c r="DU63" s="29">
        <f t="shared" si="176"/>
        <v>0</v>
      </c>
      <c r="DV63" s="29">
        <f t="shared" si="176"/>
        <v>0</v>
      </c>
      <c r="DW63" s="29">
        <f>DW58-DW62</f>
        <v>18237.16</v>
      </c>
      <c r="DX63" s="29">
        <f>DX58-DX62</f>
        <v>17802.010000000006</v>
      </c>
      <c r="DY63" s="29">
        <f>DY58-DY62</f>
        <v>19434.103600000002</v>
      </c>
      <c r="DZ63" s="29">
        <f>DZ58-DZ62</f>
        <v>22717.139936</v>
      </c>
      <c r="EA63" s="29">
        <f>EA58-EA62</f>
        <v>32507.279999999999</v>
      </c>
      <c r="EB63" s="29">
        <f t="shared" ref="EB63:EJ63" si="177">EB58-EB62</f>
        <v>33673.4476</v>
      </c>
      <c r="EC63" s="29">
        <f t="shared" si="177"/>
        <v>29976.258117000005</v>
      </c>
      <c r="ED63" s="29">
        <f t="shared" si="177"/>
        <v>25725.273169375003</v>
      </c>
      <c r="EE63" s="29">
        <f t="shared" si="177"/>
        <v>25925.021312287503</v>
      </c>
      <c r="EF63" s="29">
        <f t="shared" si="177"/>
        <v>26325.677858775758</v>
      </c>
      <c r="EG63" s="29">
        <f t="shared" si="177"/>
        <v>26552.332415859448</v>
      </c>
      <c r="EH63" s="29">
        <f t="shared" si="177"/>
        <v>15751.396468371999</v>
      </c>
      <c r="EI63" s="29">
        <f t="shared" si="177"/>
        <v>12760.359617519231</v>
      </c>
      <c r="EJ63" s="29">
        <f t="shared" si="177"/>
        <v>9828.9739148223507</v>
      </c>
    </row>
    <row r="64" spans="2:140" s="24" customFormat="1" x14ac:dyDescent="0.25">
      <c r="B64" s="24" t="s">
        <v>103</v>
      </c>
      <c r="C64" s="29">
        <f>69-25</f>
        <v>44</v>
      </c>
      <c r="D64" s="29">
        <f>87-105</f>
        <v>-18</v>
      </c>
      <c r="E64" s="29">
        <f>84-38</f>
        <v>46</v>
      </c>
      <c r="F64" s="29">
        <f>94+131</f>
        <v>225</v>
      </c>
      <c r="G64" s="29">
        <f>93-37</f>
        <v>56</v>
      </c>
      <c r="H64" s="29">
        <f>125-56</f>
        <v>69</v>
      </c>
      <c r="I64" s="29">
        <f>118+34</f>
        <v>152</v>
      </c>
      <c r="J64" s="29">
        <f>138-240</f>
        <v>-102</v>
      </c>
      <c r="K64" s="29">
        <f>126-22</f>
        <v>104</v>
      </c>
      <c r="L64" s="29">
        <v>128</v>
      </c>
      <c r="M64" s="29">
        <f>139-11</f>
        <v>128</v>
      </c>
      <c r="N64" s="29">
        <f>131-331</f>
        <v>-200</v>
      </c>
      <c r="O64" s="29">
        <f>164-39</f>
        <v>125</v>
      </c>
      <c r="P64" s="29">
        <v>161</v>
      </c>
      <c r="Q64" s="29">
        <f>164+57</f>
        <v>221</v>
      </c>
      <c r="R64" s="29">
        <v>120</v>
      </c>
      <c r="S64" s="29">
        <f>146+78</f>
        <v>224</v>
      </c>
      <c r="T64" s="29">
        <f>150+22</f>
        <v>172</v>
      </c>
      <c r="U64" s="29">
        <f>139+30</f>
        <v>169</v>
      </c>
      <c r="V64" s="29">
        <f>115+264</f>
        <v>379</v>
      </c>
      <c r="W64" s="29">
        <f>97-113</f>
        <v>-16</v>
      </c>
      <c r="X64" s="29">
        <f>85+19</f>
        <v>104</v>
      </c>
      <c r="Y64" s="49">
        <v>80</v>
      </c>
      <c r="Z64" s="49">
        <f>61-42</f>
        <v>19</v>
      </c>
      <c r="AA64" s="49">
        <f>82+138</f>
        <v>220</v>
      </c>
      <c r="AB64" s="49">
        <f>62+31</f>
        <v>93</v>
      </c>
      <c r="AC64" s="49">
        <f>71+26</f>
        <v>97</v>
      </c>
      <c r="AD64" s="49">
        <f>66-26</f>
        <v>40</v>
      </c>
      <c r="AE64" s="29">
        <f>57-23</f>
        <v>34</v>
      </c>
      <c r="AF64" s="29">
        <f>53+18</f>
        <v>71</v>
      </c>
      <c r="AG64" s="49">
        <f>546+13-2</f>
        <v>557</v>
      </c>
      <c r="AH64" s="49">
        <v>-80</v>
      </c>
      <c r="AI64" s="29">
        <v>19</v>
      </c>
      <c r="AJ64" s="29">
        <v>-199</v>
      </c>
      <c r="AK64" s="29">
        <v>-5</v>
      </c>
      <c r="AL64" s="29">
        <v>-20</v>
      </c>
      <c r="AM64" s="29">
        <v>208</v>
      </c>
      <c r="AN64" s="29">
        <v>104</v>
      </c>
      <c r="AO64" s="29">
        <v>277</v>
      </c>
      <c r="AP64" s="29">
        <v>-799</v>
      </c>
      <c r="AQ64" s="29">
        <v>299</v>
      </c>
      <c r="AR64" s="29">
        <v>-107</v>
      </c>
      <c r="AS64" s="29">
        <v>323</v>
      </c>
      <c r="AT64" s="29">
        <v>-238</v>
      </c>
      <c r="AU64" s="29">
        <v>520</v>
      </c>
      <c r="AV64" s="29">
        <v>454</v>
      </c>
      <c r="AW64" s="29">
        <v>246</v>
      </c>
      <c r="AX64" s="29">
        <v>170</v>
      </c>
      <c r="AY64" s="29">
        <v>295</v>
      </c>
      <c r="AZ64" s="29">
        <v>249</v>
      </c>
      <c r="BA64" s="29">
        <v>241</v>
      </c>
      <c r="BB64" s="29">
        <v>273</v>
      </c>
      <c r="BC64" s="29">
        <v>407</v>
      </c>
      <c r="BD64" s="29">
        <v>384</v>
      </c>
      <c r="BE64" s="29"/>
      <c r="BF64" s="29"/>
      <c r="BG64" s="29">
        <f t="shared" ref="BG64" si="178">-100+106+10-71-2+15+303</f>
        <v>261</v>
      </c>
      <c r="BH64" s="29">
        <f>-100+106+10-71-2+15+303</f>
        <v>261</v>
      </c>
      <c r="BI64" s="29"/>
      <c r="BJ64" s="29"/>
      <c r="BK64" s="29">
        <f>-1163+556-16+174+160+339+32-61+76</f>
        <v>97</v>
      </c>
      <c r="BL64" s="29">
        <f>736-165-818+166+115-51+21</f>
        <v>4</v>
      </c>
      <c r="BM64" s="29">
        <f>915-988-244+195+176+10-18-13</f>
        <v>33</v>
      </c>
      <c r="BN64" s="29">
        <v>125</v>
      </c>
      <c r="BO64" s="29">
        <v>17</v>
      </c>
      <c r="BP64" s="29">
        <v>39</v>
      </c>
      <c r="BQ64" s="29">
        <f>409-465+141+27+13-6</f>
        <v>119</v>
      </c>
      <c r="BR64" s="29">
        <v>121</v>
      </c>
      <c r="BS64" s="29">
        <v>119</v>
      </c>
      <c r="BT64" s="29">
        <v>179</v>
      </c>
      <c r="BU64" s="29">
        <f>AVERAGE(BQ64:BT64)</f>
        <v>134.5</v>
      </c>
      <c r="BV64" s="29">
        <v>217</v>
      </c>
      <c r="BW64" s="29">
        <f t="shared" ref="BW64:BZ64" si="179">AVERAGE(BS64:BV64)</f>
        <v>162.375</v>
      </c>
      <c r="BX64" s="29">
        <f t="shared" si="179"/>
        <v>173.21875</v>
      </c>
      <c r="BY64" s="29">
        <f t="shared" si="179"/>
        <v>171.7734375</v>
      </c>
      <c r="BZ64" s="29">
        <f t="shared" si="179"/>
        <v>181.091796875</v>
      </c>
      <c r="CA64" s="29">
        <f>-81+235</f>
        <v>154</v>
      </c>
      <c r="CB64" s="29"/>
      <c r="CC64" s="29"/>
      <c r="CD64" s="29">
        <v>53</v>
      </c>
      <c r="CE64" s="29">
        <v>-399</v>
      </c>
      <c r="CF64" s="29"/>
      <c r="CG64" s="29"/>
      <c r="CH64" s="29"/>
      <c r="CI64" s="29"/>
      <c r="CJ64" s="29"/>
      <c r="CK64" s="29"/>
      <c r="CL64" s="29"/>
      <c r="CM64" s="29"/>
      <c r="CN64" s="29"/>
      <c r="CO64" s="29"/>
      <c r="CP64" s="29">
        <f>855-661</f>
        <v>194</v>
      </c>
      <c r="CQ64" s="29">
        <v>136</v>
      </c>
      <c r="CR64" s="29">
        <v>122</v>
      </c>
      <c r="CS64" s="29">
        <f>890-863</f>
        <v>27</v>
      </c>
      <c r="CT64" s="29">
        <f>500-332</f>
        <v>168</v>
      </c>
      <c r="CU64" s="29"/>
      <c r="CV64" s="29"/>
      <c r="CW64" s="29"/>
      <c r="CX64" s="29"/>
      <c r="CY64" s="29"/>
      <c r="CZ64" s="29"/>
      <c r="DA64" s="29"/>
      <c r="DB64" s="29"/>
      <c r="DC64" s="29"/>
      <c r="DD64" s="29"/>
      <c r="DE64" s="29"/>
      <c r="DF64" s="29"/>
      <c r="DG64" s="29"/>
      <c r="DH64" s="29"/>
      <c r="DI64" s="29">
        <f>SUM(O64:R64)</f>
        <v>627</v>
      </c>
      <c r="DJ64" s="49">
        <f>SUM(S64:V64)</f>
        <v>944</v>
      </c>
      <c r="DK64" s="49">
        <f>SUM(W64:Z64)</f>
        <v>187</v>
      </c>
      <c r="DL64" s="49">
        <f>SUM(AA64:AD64)</f>
        <v>450</v>
      </c>
      <c r="DM64" s="29">
        <f t="shared" ref="DM64:DT64" si="180">DL95*$EC$70</f>
        <v>0</v>
      </c>
      <c r="DN64" s="64">
        <f t="shared" si="180"/>
        <v>0</v>
      </c>
      <c r="DO64" s="64">
        <f t="shared" si="180"/>
        <v>0</v>
      </c>
      <c r="DP64" s="29">
        <f t="shared" si="180"/>
        <v>0</v>
      </c>
      <c r="DQ64" s="29">
        <f t="shared" si="180"/>
        <v>0</v>
      </c>
      <c r="DR64" s="29">
        <f t="shared" si="180"/>
        <v>0</v>
      </c>
      <c r="DS64" s="29">
        <f t="shared" si="180"/>
        <v>0</v>
      </c>
      <c r="DT64" s="29">
        <f t="shared" si="180"/>
        <v>0</v>
      </c>
      <c r="DU64" s="29"/>
      <c r="DV64" s="29"/>
      <c r="DW64" s="29">
        <f t="shared" ref="DW64" si="181">SUM(BS64:BV64)</f>
        <v>649.5</v>
      </c>
      <c r="DX64" s="29">
        <f t="shared" ref="DX64" si="182">SUM(BW64:BZ64)</f>
        <v>688.458984375</v>
      </c>
      <c r="DY64" s="34">
        <f t="shared" ref="DY64" si="183">SUM(CA64:CD64)</f>
        <v>207</v>
      </c>
      <c r="DZ64" s="34">
        <f t="shared" ref="DZ64" si="184">SUM(CE64:CH64)</f>
        <v>-399</v>
      </c>
      <c r="EB64" s="24">
        <f>EA95*$EM$73</f>
        <v>-80.371759999999995</v>
      </c>
      <c r="EC64" s="24">
        <f t="shared" ref="EC64:EJ64" si="185">EB95*$EM$73</f>
        <v>188.37284671999998</v>
      </c>
      <c r="ED64" s="24">
        <f t="shared" si="185"/>
        <v>429.68989442976005</v>
      </c>
      <c r="EE64" s="24">
        <f t="shared" si="185"/>
        <v>638.92959894019816</v>
      </c>
      <c r="EF64" s="24">
        <f t="shared" si="185"/>
        <v>851.44120623001982</v>
      </c>
      <c r="EG64" s="24">
        <f t="shared" si="185"/>
        <v>1068.858158750066</v>
      </c>
      <c r="EH64" s="24">
        <f t="shared" si="185"/>
        <v>1289.8276833469422</v>
      </c>
      <c r="EI64" s="24">
        <f t="shared" si="185"/>
        <v>1426.1574765606936</v>
      </c>
      <c r="EJ64" s="24">
        <f t="shared" si="185"/>
        <v>1539.649613313333</v>
      </c>
    </row>
    <row r="65" spans="2:185" x14ac:dyDescent="0.25">
      <c r="B65" s="1" t="s">
        <v>104</v>
      </c>
      <c r="C65" s="29">
        <f t="shared" ref="C65:R65" si="186">C63+C64</f>
        <v>2911</v>
      </c>
      <c r="D65" s="29">
        <f t="shared" si="186"/>
        <v>3328</v>
      </c>
      <c r="E65" s="29">
        <f t="shared" si="186"/>
        <v>3150</v>
      </c>
      <c r="F65" s="29">
        <f t="shared" si="186"/>
        <v>3371</v>
      </c>
      <c r="G65" s="29">
        <f t="shared" si="186"/>
        <v>3130</v>
      </c>
      <c r="H65" s="29">
        <f t="shared" si="186"/>
        <v>3378</v>
      </c>
      <c r="I65" s="29">
        <f t="shared" si="186"/>
        <v>2208</v>
      </c>
      <c r="J65" s="29">
        <f t="shared" si="186"/>
        <v>1599</v>
      </c>
      <c r="K65" s="29">
        <f t="shared" si="186"/>
        <v>2724</v>
      </c>
      <c r="L65" s="29">
        <f t="shared" si="186"/>
        <v>3315</v>
      </c>
      <c r="M65" s="29">
        <f t="shared" si="186"/>
        <v>3964</v>
      </c>
      <c r="N65" s="29">
        <f t="shared" si="186"/>
        <v>3740</v>
      </c>
      <c r="O65" s="29">
        <f t="shared" si="186"/>
        <v>4258</v>
      </c>
      <c r="P65" s="29">
        <f t="shared" si="186"/>
        <v>4609</v>
      </c>
      <c r="Q65" s="29">
        <f>Q63+Q64</f>
        <v>4890</v>
      </c>
      <c r="R65" s="29">
        <f t="shared" si="186"/>
        <v>-2210</v>
      </c>
      <c r="S65" s="29">
        <f t="shared" ref="S65:AA65" si="187">S63+S64</f>
        <v>4795</v>
      </c>
      <c r="T65" s="29">
        <f t="shared" si="187"/>
        <v>5308</v>
      </c>
      <c r="U65" s="29">
        <f t="shared" si="187"/>
        <v>5387</v>
      </c>
      <c r="V65" s="29">
        <f t="shared" si="187"/>
        <v>5188</v>
      </c>
      <c r="W65" s="29">
        <f t="shared" si="187"/>
        <v>1463</v>
      </c>
      <c r="X65" s="29">
        <f t="shared" si="187"/>
        <v>5323</v>
      </c>
      <c r="Y65" s="29">
        <f t="shared" si="187"/>
        <v>1651</v>
      </c>
      <c r="Z65" s="49">
        <f t="shared" si="187"/>
        <v>1435</v>
      </c>
      <c r="AA65" s="49">
        <f t="shared" si="187"/>
        <v>1811</v>
      </c>
      <c r="AB65" s="29">
        <f t="shared" ref="AB65:AN65" si="188">AB63+AB64</f>
        <v>1830</v>
      </c>
      <c r="AC65" s="29">
        <f t="shared" si="188"/>
        <v>1838</v>
      </c>
      <c r="AD65" s="29">
        <f t="shared" si="188"/>
        <v>1618</v>
      </c>
      <c r="AE65" s="29">
        <f t="shared" si="188"/>
        <v>1877</v>
      </c>
      <c r="AF65" s="29">
        <f t="shared" si="188"/>
        <v>1079</v>
      </c>
      <c r="AG65" s="49">
        <f t="shared" si="188"/>
        <v>-713</v>
      </c>
      <c r="AH65" s="49">
        <f t="shared" si="188"/>
        <v>599</v>
      </c>
      <c r="AI65" s="49">
        <f t="shared" si="188"/>
        <v>1032</v>
      </c>
      <c r="AJ65" s="49">
        <f t="shared" si="188"/>
        <v>530</v>
      </c>
      <c r="AK65" s="49">
        <f t="shared" si="188"/>
        <v>1250</v>
      </c>
      <c r="AL65" s="49">
        <f t="shared" si="188"/>
        <v>869</v>
      </c>
      <c r="AM65" s="49">
        <f t="shared" si="188"/>
        <v>985</v>
      </c>
      <c r="AN65" s="49">
        <f t="shared" si="188"/>
        <v>909</v>
      </c>
      <c r="AO65" s="49">
        <f t="shared" ref="AO65" si="189">AO63+AO64</f>
        <v>1828</v>
      </c>
      <c r="AP65" s="29">
        <f t="shared" ref="AP65" si="190">AP63+AP64</f>
        <v>-60</v>
      </c>
      <c r="AQ65" s="29">
        <f t="shared" ref="AQ65:AS65" si="191">AQ63+AQ64</f>
        <v>1448</v>
      </c>
      <c r="AR65" s="29">
        <f t="shared" si="191"/>
        <v>52</v>
      </c>
      <c r="AS65" s="29">
        <f t="shared" si="191"/>
        <v>987</v>
      </c>
      <c r="AT65" s="29">
        <f t="shared" ref="AT65" si="192">AT63+AT64</f>
        <v>-320</v>
      </c>
      <c r="AU65" s="29">
        <f t="shared" ref="AU65:AV65" si="193">AU63+AU64</f>
        <v>1655</v>
      </c>
      <c r="AV65" s="29">
        <f t="shared" si="193"/>
        <v>1615</v>
      </c>
      <c r="AW65" s="29">
        <f t="shared" ref="AW65:AX65" si="194">AW63+AW64</f>
        <v>1647</v>
      </c>
      <c r="AX65" s="29">
        <f t="shared" si="194"/>
        <v>1361</v>
      </c>
      <c r="AY65" s="29">
        <f t="shared" ref="AY65:AZ65" si="195">AY63+AY64</f>
        <v>1768</v>
      </c>
      <c r="AZ65" s="29">
        <f t="shared" si="195"/>
        <v>1577</v>
      </c>
      <c r="BA65" s="29">
        <f t="shared" ref="BA65:BB65" si="196">BA63+BA64</f>
        <v>1608</v>
      </c>
      <c r="BB65" s="29">
        <f t="shared" si="196"/>
        <v>1375</v>
      </c>
      <c r="BC65" s="29">
        <f t="shared" ref="BC65:BD65" si="197">BC63+BC64</f>
        <v>1880</v>
      </c>
      <c r="BD65" s="29">
        <f t="shared" si="197"/>
        <v>2005</v>
      </c>
      <c r="BE65" s="29"/>
      <c r="BF65" s="29"/>
      <c r="BG65" s="29">
        <f t="shared" ref="BG65:BH65" si="198">BG63+BG64</f>
        <v>2003</v>
      </c>
      <c r="BH65" s="29">
        <f t="shared" si="198"/>
        <v>2161</v>
      </c>
      <c r="BI65" s="29"/>
      <c r="BJ65" s="29"/>
      <c r="BK65" s="29">
        <f t="shared" ref="BK65" si="199">BK63+BK64</f>
        <v>4676</v>
      </c>
      <c r="BL65" s="29">
        <f t="shared" ref="BL65:BN65" si="200">BL63+BL64</f>
        <v>3284</v>
      </c>
      <c r="BM65" s="29">
        <f t="shared" si="200"/>
        <v>3866</v>
      </c>
      <c r="BN65" s="29">
        <f t="shared" si="200"/>
        <v>3941</v>
      </c>
      <c r="BO65" s="29">
        <f t="shared" ref="BO65:BR65" si="201">BO63+BO64</f>
        <v>4781</v>
      </c>
      <c r="BP65" s="29">
        <f t="shared" si="201"/>
        <v>5250</v>
      </c>
      <c r="BQ65" s="29">
        <f t="shared" si="201"/>
        <v>4413</v>
      </c>
      <c r="BR65" s="29">
        <f t="shared" si="201"/>
        <v>4791</v>
      </c>
      <c r="BS65" s="29">
        <f>BS63+BS64</f>
        <v>5386</v>
      </c>
      <c r="BT65" s="29">
        <f>BT63+BT64</f>
        <v>5408</v>
      </c>
      <c r="BU65" s="29">
        <f>BU63+BU64</f>
        <v>3838.6600000000008</v>
      </c>
      <c r="BV65" s="29">
        <f t="shared" ref="BV65:CL65" si="202">BV63+BV64</f>
        <v>4254</v>
      </c>
      <c r="BW65" s="29">
        <f t="shared" si="202"/>
        <v>5150.6049999999996</v>
      </c>
      <c r="BX65" s="29">
        <f t="shared" si="202"/>
        <v>4833.3387500000008</v>
      </c>
      <c r="BY65" s="29">
        <f t="shared" si="202"/>
        <v>3719.693437500001</v>
      </c>
      <c r="BZ65" s="29">
        <f t="shared" si="202"/>
        <v>4786.8317968749998</v>
      </c>
      <c r="CA65" s="29">
        <f t="shared" si="202"/>
        <v>4774</v>
      </c>
      <c r="CB65" s="29">
        <f t="shared" si="202"/>
        <v>5388.2858000000006</v>
      </c>
      <c r="CC65" s="29">
        <f t="shared" si="202"/>
        <v>5188.8178000000007</v>
      </c>
      <c r="CD65" s="29">
        <f t="shared" si="202"/>
        <v>4290</v>
      </c>
      <c r="CE65" s="29">
        <f t="shared" si="202"/>
        <v>3966</v>
      </c>
      <c r="CF65" s="29">
        <f t="shared" si="202"/>
        <v>5401.0807580000001</v>
      </c>
      <c r="CG65" s="29">
        <f t="shared" si="202"/>
        <v>5409.829178</v>
      </c>
      <c r="CH65" s="29">
        <f t="shared" si="202"/>
        <v>4936.2299999999996</v>
      </c>
      <c r="CI65" s="29">
        <f t="shared" si="202"/>
        <v>4228</v>
      </c>
      <c r="CJ65" s="29">
        <f t="shared" si="202"/>
        <v>5358</v>
      </c>
      <c r="CK65" s="29">
        <f t="shared" si="202"/>
        <v>5382</v>
      </c>
      <c r="CL65" s="29">
        <f t="shared" si="202"/>
        <v>882.23999999999978</v>
      </c>
      <c r="CM65" s="29"/>
      <c r="CN65" s="29"/>
      <c r="CO65" s="29"/>
      <c r="CP65" s="29">
        <f>CP64+CP63</f>
        <v>2039</v>
      </c>
      <c r="CQ65" s="29">
        <f>CQ64+CQ63</f>
        <v>2433</v>
      </c>
      <c r="CR65" s="29">
        <f>CR64+CR63</f>
        <v>2784</v>
      </c>
      <c r="CS65" s="29">
        <f>CS64+CS63</f>
        <v>2877</v>
      </c>
      <c r="CT65" s="29">
        <f>CT64+CT63</f>
        <v>3071</v>
      </c>
      <c r="DI65" s="29">
        <f t="shared" ref="DI65:DR65" si="203">DI64+DI63</f>
        <v>11547</v>
      </c>
      <c r="DJ65" s="49">
        <f t="shared" si="203"/>
        <v>20678</v>
      </c>
      <c r="DK65" s="49">
        <f t="shared" si="203"/>
        <v>9872</v>
      </c>
      <c r="DL65" s="49">
        <f t="shared" si="203"/>
        <v>7097</v>
      </c>
      <c r="DM65" s="29">
        <f t="shared" si="203"/>
        <v>7779.05</v>
      </c>
      <c r="DN65" s="64">
        <f t="shared" si="203"/>
        <v>6224.3980000000001</v>
      </c>
      <c r="DO65" s="64">
        <f t="shared" si="203"/>
        <v>6582.1948749999992</v>
      </c>
      <c r="DP65" s="29">
        <f t="shared" si="203"/>
        <v>7382.598825</v>
      </c>
      <c r="DQ65" s="29">
        <f t="shared" si="203"/>
        <v>10591.2168271875</v>
      </c>
      <c r="DR65" s="29">
        <f t="shared" si="203"/>
        <v>13033.280679046875</v>
      </c>
      <c r="DS65" s="29">
        <f t="shared" ref="DS65:DX65" si="204">DS64+DS63</f>
        <v>14925.208168359375</v>
      </c>
      <c r="DT65" s="29">
        <f t="shared" si="204"/>
        <v>-1889.6409158203126</v>
      </c>
      <c r="DU65" s="29">
        <f t="shared" si="204"/>
        <v>0</v>
      </c>
      <c r="DV65" s="29">
        <f t="shared" si="204"/>
        <v>0</v>
      </c>
      <c r="DW65" s="29">
        <f t="shared" si="204"/>
        <v>18886.66</v>
      </c>
      <c r="DX65" s="29">
        <f t="shared" si="204"/>
        <v>18490.468984375006</v>
      </c>
      <c r="DY65" s="29">
        <f>DY64+DY63</f>
        <v>19641.103600000002</v>
      </c>
      <c r="DZ65" s="29">
        <f>DZ64+DZ63</f>
        <v>22318.139936</v>
      </c>
      <c r="EA65" s="29">
        <f t="shared" ref="EA65:EJ65" si="205">EA64+EA63</f>
        <v>32507.279999999999</v>
      </c>
      <c r="EB65" s="29">
        <f t="shared" si="205"/>
        <v>33593.075839999998</v>
      </c>
      <c r="EC65" s="29">
        <f t="shared" si="205"/>
        <v>30164.630963720007</v>
      </c>
      <c r="ED65" s="29">
        <f t="shared" si="205"/>
        <v>26154.963063804764</v>
      </c>
      <c r="EE65" s="29">
        <f t="shared" si="205"/>
        <v>26563.950911227701</v>
      </c>
      <c r="EF65" s="29">
        <f t="shared" si="205"/>
        <v>27177.119065005776</v>
      </c>
      <c r="EG65" s="29">
        <f t="shared" si="205"/>
        <v>27621.190574609514</v>
      </c>
      <c r="EH65" s="29">
        <f t="shared" si="205"/>
        <v>17041.22415171894</v>
      </c>
      <c r="EI65" s="29">
        <f t="shared" si="205"/>
        <v>14186.517094079923</v>
      </c>
      <c r="EJ65" s="29">
        <f t="shared" si="205"/>
        <v>11368.623528135684</v>
      </c>
    </row>
    <row r="66" spans="2:185" s="24" customFormat="1" x14ac:dyDescent="0.25">
      <c r="B66" s="24" t="s">
        <v>105</v>
      </c>
      <c r="C66" s="29">
        <v>268</v>
      </c>
      <c r="D66" s="29">
        <v>-21</v>
      </c>
      <c r="E66" s="29">
        <v>507</v>
      </c>
      <c r="F66" s="29">
        <v>178</v>
      </c>
      <c r="G66" s="29">
        <v>328</v>
      </c>
      <c r="H66" s="29">
        <v>256</v>
      </c>
      <c r="I66" s="29">
        <v>193</v>
      </c>
      <c r="J66" s="29">
        <v>-183</v>
      </c>
      <c r="K66" s="29">
        <v>68</v>
      </c>
      <c r="L66" s="29">
        <v>257</v>
      </c>
      <c r="M66" s="29">
        <v>342</v>
      </c>
      <c r="N66" s="29">
        <v>177</v>
      </c>
      <c r="O66" s="29">
        <v>359</v>
      </c>
      <c r="P66" s="29">
        <v>292</v>
      </c>
      <c r="Q66" s="29">
        <v>395</v>
      </c>
      <c r="R66" s="29">
        <f>R65*0.25</f>
        <v>-552.5</v>
      </c>
      <c r="S66" s="29">
        <v>463</v>
      </c>
      <c r="T66" s="29">
        <v>443</v>
      </c>
      <c r="U66" s="29">
        <v>434</v>
      </c>
      <c r="V66" s="29">
        <v>188</v>
      </c>
      <c r="W66" s="29">
        <v>351</v>
      </c>
      <c r="X66" s="29">
        <v>324</v>
      </c>
      <c r="Y66" s="29">
        <v>312</v>
      </c>
      <c r="Z66" s="49">
        <v>571</v>
      </c>
      <c r="AA66" s="49">
        <v>400</v>
      </c>
      <c r="AB66" s="29">
        <v>483</v>
      </c>
      <c r="AC66" s="29">
        <v>475</v>
      </c>
      <c r="AD66" s="29">
        <v>363</v>
      </c>
      <c r="AE66" s="29">
        <v>545</v>
      </c>
      <c r="AF66" s="29">
        <v>251</v>
      </c>
      <c r="AG66" s="49">
        <v>0</v>
      </c>
      <c r="AH66" s="49">
        <v>-161</v>
      </c>
      <c r="AI66" s="29">
        <v>51</v>
      </c>
      <c r="AJ66" s="29">
        <v>0</v>
      </c>
      <c r="AK66" s="29">
        <v>126</v>
      </c>
      <c r="AL66" s="29">
        <v>134</v>
      </c>
      <c r="AM66" s="29">
        <f>49-1</f>
        <v>48</v>
      </c>
      <c r="AN66" s="29">
        <v>114</v>
      </c>
      <c r="AO66" s="29">
        <v>276</v>
      </c>
      <c r="AP66" s="29">
        <v>-87</v>
      </c>
      <c r="AQ66" s="29">
        <v>249</v>
      </c>
      <c r="AR66" s="29">
        <v>162</v>
      </c>
      <c r="AS66" s="29">
        <v>257</v>
      </c>
      <c r="AT66" s="29">
        <v>-191</v>
      </c>
      <c r="AU66" s="29">
        <v>449</v>
      </c>
      <c r="AV66" s="29">
        <v>427</v>
      </c>
      <c r="AW66" s="29">
        <v>347</v>
      </c>
      <c r="AX66" s="29">
        <v>293</v>
      </c>
      <c r="AY66" s="29">
        <v>357</v>
      </c>
      <c r="AZ66" s="29">
        <v>353</v>
      </c>
      <c r="BA66" s="29">
        <v>368</v>
      </c>
      <c r="BB66" s="29">
        <v>254</v>
      </c>
      <c r="BC66" s="29">
        <v>324</v>
      </c>
      <c r="BD66" s="29">
        <v>350</v>
      </c>
      <c r="BE66" s="29"/>
      <c r="BF66" s="29"/>
      <c r="BG66" s="29">
        <v>264</v>
      </c>
      <c r="BH66" s="29">
        <v>337</v>
      </c>
      <c r="BI66" s="29"/>
      <c r="BJ66" s="29"/>
      <c r="BK66" s="29">
        <v>462</v>
      </c>
      <c r="BL66" s="29">
        <v>1707</v>
      </c>
      <c r="BM66" s="29">
        <v>379</v>
      </c>
      <c r="BN66" s="29">
        <v>610</v>
      </c>
      <c r="BO66" s="29">
        <v>804</v>
      </c>
      <c r="BP66" s="29">
        <v>784</v>
      </c>
      <c r="BQ66" s="29">
        <v>605</v>
      </c>
      <c r="BR66" s="29">
        <v>720</v>
      </c>
      <c r="BS66" s="29">
        <v>802</v>
      </c>
      <c r="BT66" s="29">
        <v>850</v>
      </c>
      <c r="BU66" s="29">
        <f>+BU65*0.2</f>
        <v>767.7320000000002</v>
      </c>
      <c r="BV66" s="29">
        <v>0</v>
      </c>
      <c r="BW66" s="29">
        <f t="shared" ref="BW66:BZ66" si="206">+BW65*0.2</f>
        <v>1030.1209999999999</v>
      </c>
      <c r="BX66" s="29">
        <f t="shared" si="206"/>
        <v>966.66775000000018</v>
      </c>
      <c r="BY66" s="29">
        <f t="shared" si="206"/>
        <v>743.93868750000024</v>
      </c>
      <c r="BZ66" s="29">
        <f t="shared" si="206"/>
        <v>957.366359375</v>
      </c>
      <c r="CA66" s="29">
        <f>392+340</f>
        <v>732</v>
      </c>
      <c r="CB66" s="29">
        <f t="shared" ref="CB66:CH66" si="207">+CB65*0.2</f>
        <v>1077.6571600000002</v>
      </c>
      <c r="CC66" s="29">
        <f t="shared" si="207"/>
        <v>1037.7635600000001</v>
      </c>
      <c r="CD66" s="29">
        <v>848</v>
      </c>
      <c r="CE66" s="29">
        <f>509+6</f>
        <v>515</v>
      </c>
      <c r="CF66" s="29">
        <f t="shared" si="207"/>
        <v>1080.2161516000001</v>
      </c>
      <c r="CG66" s="29">
        <f t="shared" si="207"/>
        <v>1081.9658356</v>
      </c>
      <c r="CH66" s="29">
        <f t="shared" si="207"/>
        <v>987.24599999999998</v>
      </c>
      <c r="CI66" s="29">
        <v>561</v>
      </c>
      <c r="CJ66" s="29">
        <f>+CJ65*0.2</f>
        <v>1071.6000000000001</v>
      </c>
      <c r="CK66" s="29">
        <f>+CK65*0.2</f>
        <v>1076.4000000000001</v>
      </c>
      <c r="CL66" s="29">
        <f>+CL65*0.2</f>
        <v>176.44799999999998</v>
      </c>
      <c r="CM66" s="29"/>
      <c r="CN66" s="29"/>
      <c r="CO66" s="29"/>
      <c r="CP66" s="29">
        <f>496+162</f>
        <v>658</v>
      </c>
      <c r="CQ66" s="29">
        <v>742</v>
      </c>
      <c r="CR66" s="29">
        <v>793</v>
      </c>
      <c r="CS66" s="29">
        <f>449+320</f>
        <v>769</v>
      </c>
      <c r="CT66" s="29">
        <f>612+290</f>
        <v>902</v>
      </c>
      <c r="CU66" s="29"/>
      <c r="CV66" s="29"/>
      <c r="CW66" s="29"/>
      <c r="CX66" s="29"/>
      <c r="CY66" s="29"/>
      <c r="CZ66" s="29"/>
      <c r="DA66" s="29"/>
      <c r="DB66" s="29"/>
      <c r="DC66" s="29"/>
      <c r="DD66" s="29"/>
      <c r="DE66" s="29"/>
      <c r="DF66" s="29"/>
      <c r="DG66" s="29"/>
      <c r="DH66" s="29"/>
      <c r="DI66" s="29">
        <f>SUM(O66:R66)</f>
        <v>493.5</v>
      </c>
      <c r="DJ66" s="49">
        <f>SUM(S66:V66)</f>
        <v>1528</v>
      </c>
      <c r="DK66" s="49">
        <f>SUM(W66:Z66)</f>
        <v>1558</v>
      </c>
      <c r="DL66" s="49">
        <f>SUM(AA66:AD66)</f>
        <v>1721</v>
      </c>
      <c r="DM66" s="29">
        <f>DM65*0.29</f>
        <v>2255.9245000000001</v>
      </c>
      <c r="DN66" s="64">
        <f>DN65*0.28</f>
        <v>1742.8314400000002</v>
      </c>
      <c r="DO66" s="64">
        <f>DO65*0.28</f>
        <v>1843.0145649999999</v>
      </c>
      <c r="DP66" s="29">
        <f>DP65*0.28</f>
        <v>2067.1276710000002</v>
      </c>
      <c r="DQ66" s="29">
        <f>DQ65*0.28</f>
        <v>2965.5407116125002</v>
      </c>
      <c r="DR66" s="29">
        <f>DR65*0.28</f>
        <v>3649.3185901331253</v>
      </c>
      <c r="DS66" s="29">
        <f t="shared" ref="DS66:DT66" si="208">DS65*0.28</f>
        <v>4179.058287140625</v>
      </c>
      <c r="DT66" s="29">
        <f t="shared" si="208"/>
        <v>-529.09945642968762</v>
      </c>
      <c r="DU66" s="29"/>
      <c r="DV66" s="29"/>
      <c r="DW66" s="29">
        <f t="shared" ref="DW66" si="209">SUM(BS66:BV66)</f>
        <v>2419.732</v>
      </c>
      <c r="DX66" s="29">
        <f t="shared" ref="DX66" si="210">SUM(BW66:BZ66)</f>
        <v>3698.0937968750004</v>
      </c>
      <c r="DY66" s="34">
        <f t="shared" ref="DY66" si="211">SUM(CA66:CD66)</f>
        <v>3695.4207200000001</v>
      </c>
      <c r="DZ66" s="34">
        <f t="shared" ref="DZ66" si="212">SUM(CE66:CH66)</f>
        <v>3664.4279872000002</v>
      </c>
      <c r="EA66" s="24">
        <f>+EA65*0.2</f>
        <v>6501.4560000000001</v>
      </c>
      <c r="EB66" s="24">
        <f t="shared" ref="EB66:EJ66" si="213">+EB65*0.2</f>
        <v>6718.6151680000003</v>
      </c>
      <c r="EC66" s="24">
        <f t="shared" si="213"/>
        <v>6032.926192744002</v>
      </c>
      <c r="ED66" s="24">
        <f t="shared" si="213"/>
        <v>5230.9926127609533</v>
      </c>
      <c r="EE66" s="24">
        <f t="shared" si="213"/>
        <v>5312.7901822455406</v>
      </c>
      <c r="EF66" s="24">
        <f t="shared" si="213"/>
        <v>5435.4238130011554</v>
      </c>
      <c r="EG66" s="24">
        <f t="shared" si="213"/>
        <v>5524.2381149219036</v>
      </c>
      <c r="EH66" s="24">
        <f t="shared" si="213"/>
        <v>3408.2448303437882</v>
      </c>
      <c r="EI66" s="24">
        <f t="shared" si="213"/>
        <v>2837.303418815985</v>
      </c>
      <c r="EJ66" s="24">
        <f t="shared" si="213"/>
        <v>2273.7247056271367</v>
      </c>
    </row>
    <row r="67" spans="2:185" x14ac:dyDescent="0.25">
      <c r="B67" s="1" t="s">
        <v>106</v>
      </c>
      <c r="C67" s="29">
        <v>122</v>
      </c>
      <c r="D67" s="27">
        <v>160</v>
      </c>
      <c r="E67" s="27">
        <v>155</v>
      </c>
      <c r="F67" s="27">
        <v>155</v>
      </c>
      <c r="G67" s="27">
        <v>151</v>
      </c>
      <c r="H67" s="27">
        <v>187</v>
      </c>
      <c r="I67" s="27">
        <v>86</v>
      </c>
      <c r="J67" s="27">
        <v>16</v>
      </c>
      <c r="K67" s="27">
        <v>141</v>
      </c>
      <c r="L67" s="27">
        <v>194</v>
      </c>
      <c r="M67" s="27">
        <v>211</v>
      </c>
      <c r="N67" s="27">
        <v>217</v>
      </c>
      <c r="O67" s="27">
        <v>230</v>
      </c>
      <c r="P67" s="29">
        <v>241</v>
      </c>
      <c r="Q67" s="29">
        <v>259</v>
      </c>
      <c r="R67" s="29">
        <v>200</v>
      </c>
      <c r="S67" s="29">
        <v>283</v>
      </c>
      <c r="T67" s="29">
        <v>315</v>
      </c>
      <c r="U67" s="29">
        <v>324</v>
      </c>
      <c r="V67" s="29">
        <v>328</v>
      </c>
      <c r="W67" s="29">
        <v>358</v>
      </c>
      <c r="X67" s="29">
        <v>341</v>
      </c>
      <c r="Y67" s="29">
        <v>353</v>
      </c>
      <c r="Z67" s="49">
        <v>359</v>
      </c>
      <c r="AA67" s="49">
        <v>381</v>
      </c>
      <c r="AB67" s="29">
        <v>405</v>
      </c>
      <c r="AC67" s="29">
        <v>386</v>
      </c>
      <c r="AD67" s="29">
        <v>379</v>
      </c>
      <c r="AE67" s="29">
        <v>381</v>
      </c>
      <c r="AF67" s="29">
        <v>163</v>
      </c>
      <c r="AG67" s="49">
        <v>0</v>
      </c>
      <c r="AH67" s="49">
        <f>+AG67</f>
        <v>0</v>
      </c>
      <c r="AI67" s="29">
        <v>14</v>
      </c>
      <c r="AJ67" s="29">
        <v>-6</v>
      </c>
      <c r="AK67" s="29">
        <v>0</v>
      </c>
      <c r="AL67" s="29">
        <v>9</v>
      </c>
      <c r="AM67" s="29">
        <v>0</v>
      </c>
      <c r="AN67" s="29">
        <v>0</v>
      </c>
      <c r="AO67" s="29">
        <v>11</v>
      </c>
      <c r="AP67" s="27">
        <v>14</v>
      </c>
      <c r="AQ67" s="27">
        <v>13</v>
      </c>
      <c r="AR67" s="27">
        <v>20</v>
      </c>
      <c r="AS67" s="29">
        <v>24</v>
      </c>
      <c r="AT67" s="27">
        <v>9</v>
      </c>
      <c r="AU67" s="27">
        <v>11</v>
      </c>
      <c r="AV67" s="27">
        <v>22</v>
      </c>
      <c r="AW67" s="27">
        <v>13</v>
      </c>
      <c r="AX67" s="27">
        <v>4</v>
      </c>
      <c r="AY67" s="27">
        <v>11</v>
      </c>
      <c r="AZ67" s="27">
        <v>6</v>
      </c>
      <c r="BA67" s="27">
        <v>11</v>
      </c>
      <c r="BB67" s="27">
        <v>-1</v>
      </c>
      <c r="BC67" s="27">
        <v>9</v>
      </c>
      <c r="BD67" s="27">
        <v>9</v>
      </c>
      <c r="BG67" s="29">
        <v>5</v>
      </c>
      <c r="BH67" s="29">
        <v>7</v>
      </c>
      <c r="BK67" s="29">
        <v>9</v>
      </c>
      <c r="BL67" s="29">
        <v>5</v>
      </c>
      <c r="BM67" s="29">
        <v>6</v>
      </c>
      <c r="BN67" s="29">
        <v>0</v>
      </c>
      <c r="BO67" s="29">
        <v>8</v>
      </c>
      <c r="BP67" s="29">
        <v>6</v>
      </c>
      <c r="BQ67" s="29">
        <v>6</v>
      </c>
      <c r="BR67" s="29">
        <v>0</v>
      </c>
      <c r="BS67" s="29">
        <v>5</v>
      </c>
      <c r="BT67" s="29">
        <v>8</v>
      </c>
      <c r="BU67" s="29">
        <f>AVERAGE(BQ67:BT67)</f>
        <v>4.75</v>
      </c>
      <c r="BV67" s="29">
        <v>0</v>
      </c>
      <c r="BW67" s="29">
        <f t="shared" ref="BW67:BZ67" si="214">AVERAGE(BS67:BV67)</f>
        <v>4.4375</v>
      </c>
      <c r="BX67" s="29">
        <f t="shared" si="214"/>
        <v>4.296875</v>
      </c>
      <c r="BY67" s="29">
        <f t="shared" si="214"/>
        <v>3.37109375</v>
      </c>
      <c r="BZ67" s="29">
        <f t="shared" si="214"/>
        <v>3.0263671875</v>
      </c>
      <c r="CA67" s="29">
        <v>3</v>
      </c>
      <c r="CB67" s="29"/>
      <c r="CC67" s="29"/>
      <c r="CD67" s="29"/>
      <c r="CE67" s="29"/>
      <c r="CF67" s="29"/>
      <c r="CG67" s="29"/>
      <c r="CH67" s="29"/>
      <c r="CI67" s="29"/>
      <c r="CJ67" s="29"/>
      <c r="CK67" s="29"/>
      <c r="CL67" s="29"/>
      <c r="CP67" s="29">
        <v>0</v>
      </c>
      <c r="CQ67" s="29">
        <v>0</v>
      </c>
      <c r="CR67" s="29">
        <v>0</v>
      </c>
      <c r="CS67" s="29">
        <v>0</v>
      </c>
      <c r="CT67" s="29">
        <v>0</v>
      </c>
      <c r="DI67" s="29">
        <f>SUM(O67:R67)</f>
        <v>930</v>
      </c>
      <c r="DJ67" s="49">
        <f>SUM(S67:V67)</f>
        <v>1250</v>
      </c>
      <c r="DK67" s="49">
        <f>SUM(W67:Z67)</f>
        <v>1411</v>
      </c>
      <c r="DL67" s="49">
        <f>SUM(AA67:AD67)</f>
        <v>1551</v>
      </c>
      <c r="DM67" s="29">
        <f>DL67*0.2</f>
        <v>310.20000000000005</v>
      </c>
      <c r="DN67" s="64">
        <f>DM67*0.1</f>
        <v>31.020000000000007</v>
      </c>
      <c r="DO67" s="64">
        <f>DN67*0.1</f>
        <v>3.1020000000000008</v>
      </c>
      <c r="DP67" s="29">
        <f>DO67*0.1</f>
        <v>0.31020000000000009</v>
      </c>
      <c r="DQ67" s="29">
        <f>DP67*0.1</f>
        <v>3.1020000000000009E-2</v>
      </c>
      <c r="DR67" s="29">
        <f>DQ67*0.1</f>
        <v>3.102000000000001E-3</v>
      </c>
      <c r="DS67" s="29">
        <f t="shared" ref="DS67:DX67" si="215">DR67*0.1</f>
        <v>3.1020000000000011E-4</v>
      </c>
      <c r="DT67" s="29">
        <f t="shared" si="215"/>
        <v>3.1020000000000011E-5</v>
      </c>
      <c r="DU67" s="29">
        <f t="shared" si="215"/>
        <v>3.1020000000000014E-6</v>
      </c>
      <c r="DV67" s="29">
        <f t="shared" si="215"/>
        <v>3.1020000000000017E-7</v>
      </c>
      <c r="DW67" s="29">
        <f t="shared" si="215"/>
        <v>3.1020000000000016E-8</v>
      </c>
      <c r="DX67" s="29">
        <f t="shared" si="215"/>
        <v>3.1020000000000019E-9</v>
      </c>
      <c r="DY67" s="34">
        <f t="shared" ref="DY67" si="216">SUM(CA67:CD67)</f>
        <v>3</v>
      </c>
      <c r="DZ67" s="34">
        <f t="shared" ref="DZ67" si="217">SUM(CE67:CH67)</f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</row>
    <row r="68" spans="2:185" x14ac:dyDescent="0.25">
      <c r="B68" s="22" t="s">
        <v>438</v>
      </c>
      <c r="C68" s="29">
        <f t="shared" ref="C68:R68" si="218">C65-C66-C67</f>
        <v>2521</v>
      </c>
      <c r="D68" s="27">
        <f t="shared" si="218"/>
        <v>3189</v>
      </c>
      <c r="E68" s="27">
        <f t="shared" si="218"/>
        <v>2488</v>
      </c>
      <c r="F68" s="27">
        <f t="shared" si="218"/>
        <v>3038</v>
      </c>
      <c r="G68" s="27">
        <f t="shared" si="218"/>
        <v>2651</v>
      </c>
      <c r="H68" s="27">
        <f t="shared" si="218"/>
        <v>2935</v>
      </c>
      <c r="I68" s="29">
        <f t="shared" si="218"/>
        <v>1929</v>
      </c>
      <c r="J68" s="29">
        <f t="shared" si="218"/>
        <v>1766</v>
      </c>
      <c r="K68" s="29">
        <f t="shared" si="218"/>
        <v>2515</v>
      </c>
      <c r="L68" s="29">
        <f t="shared" si="218"/>
        <v>2864</v>
      </c>
      <c r="M68" s="29">
        <f t="shared" si="218"/>
        <v>3411</v>
      </c>
      <c r="N68" s="29">
        <f t="shared" si="218"/>
        <v>3346</v>
      </c>
      <c r="O68" s="29">
        <f t="shared" si="218"/>
        <v>3669</v>
      </c>
      <c r="P68" s="29">
        <f t="shared" si="218"/>
        <v>4076</v>
      </c>
      <c r="Q68" s="29">
        <f>Q65-Q66-Q67</f>
        <v>4236</v>
      </c>
      <c r="R68" s="29">
        <f t="shared" si="218"/>
        <v>-1857.5</v>
      </c>
      <c r="S68" s="29">
        <f t="shared" ref="S68:Y68" si="219">S65-S66-S67</f>
        <v>4049</v>
      </c>
      <c r="T68" s="29">
        <f t="shared" si="219"/>
        <v>4550</v>
      </c>
      <c r="U68" s="29">
        <f t="shared" si="219"/>
        <v>4629</v>
      </c>
      <c r="V68" s="29">
        <f t="shared" si="219"/>
        <v>4672</v>
      </c>
      <c r="W68" s="29">
        <f t="shared" si="219"/>
        <v>754</v>
      </c>
      <c r="X68" s="29">
        <f>X65-X66-X67</f>
        <v>4658</v>
      </c>
      <c r="Y68" s="29">
        <f t="shared" si="219"/>
        <v>986</v>
      </c>
      <c r="Z68" s="49">
        <f>Z65-Z66-Z67</f>
        <v>505</v>
      </c>
      <c r="AA68" s="49">
        <f>AA65-AA66-AA67</f>
        <v>1030</v>
      </c>
      <c r="AB68" s="29">
        <f t="shared" ref="AB68:AK68" si="220">+AB65-AB66-AB67</f>
        <v>942</v>
      </c>
      <c r="AC68" s="29">
        <f t="shared" si="220"/>
        <v>977</v>
      </c>
      <c r="AD68" s="29">
        <f t="shared" si="220"/>
        <v>876</v>
      </c>
      <c r="AE68" s="29">
        <f t="shared" si="220"/>
        <v>951</v>
      </c>
      <c r="AF68" s="29">
        <f t="shared" si="220"/>
        <v>665</v>
      </c>
      <c r="AG68" s="49">
        <f t="shared" si="220"/>
        <v>-713</v>
      </c>
      <c r="AH68" s="49">
        <f t="shared" si="220"/>
        <v>760</v>
      </c>
      <c r="AI68" s="49">
        <f t="shared" si="220"/>
        <v>967</v>
      </c>
      <c r="AJ68" s="49">
        <f t="shared" si="220"/>
        <v>536</v>
      </c>
      <c r="AK68" s="49">
        <f t="shared" si="220"/>
        <v>1124</v>
      </c>
      <c r="AL68" s="49">
        <f>+AL65-AL66-AL67</f>
        <v>726</v>
      </c>
      <c r="AM68" s="49">
        <f>+AM65-AM66-AM67</f>
        <v>937</v>
      </c>
      <c r="AN68" s="49">
        <f>+AN65-AN66-AN67</f>
        <v>795</v>
      </c>
      <c r="AO68" s="49">
        <f>+AO65-AO66-AO67</f>
        <v>1541</v>
      </c>
      <c r="AP68" s="29">
        <f t="shared" ref="AP68" si="221">AP65-AP66-AP67</f>
        <v>13</v>
      </c>
      <c r="AQ68" s="29">
        <f t="shared" ref="AQ68:AS68" si="222">AQ65-AQ66-AQ67</f>
        <v>1186</v>
      </c>
      <c r="AR68" s="29">
        <f t="shared" si="222"/>
        <v>-130</v>
      </c>
      <c r="AS68" s="29">
        <f t="shared" si="222"/>
        <v>706</v>
      </c>
      <c r="AT68" s="29">
        <f t="shared" ref="AT68" si="223">AT65-AT66-AT67</f>
        <v>-138</v>
      </c>
      <c r="AU68" s="29">
        <f t="shared" ref="AU68:AV68" si="224">AU65-AU66-AU67</f>
        <v>1195</v>
      </c>
      <c r="AV68" s="29">
        <f t="shared" si="224"/>
        <v>1166</v>
      </c>
      <c r="AW68" s="29">
        <f t="shared" ref="AW68:AX68" si="225">AW65-AW66-AW67</f>
        <v>1287</v>
      </c>
      <c r="AX68" s="29">
        <f t="shared" si="225"/>
        <v>1064</v>
      </c>
      <c r="AY68" s="29">
        <f t="shared" ref="AY68:AZ68" si="226">AY65-AY66-AY67</f>
        <v>1400</v>
      </c>
      <c r="AZ68" s="29">
        <f t="shared" si="226"/>
        <v>1218</v>
      </c>
      <c r="BA68" s="29">
        <f t="shared" ref="BA68:BB68" si="227">BA65-BA66-BA67</f>
        <v>1229</v>
      </c>
      <c r="BB68" s="29">
        <f t="shared" si="227"/>
        <v>1122</v>
      </c>
      <c r="BC68" s="29">
        <f t="shared" ref="BC68:BD68" si="228">BC65-BC66-BC67</f>
        <v>1547</v>
      </c>
      <c r="BD68" s="29">
        <f t="shared" si="228"/>
        <v>1646</v>
      </c>
      <c r="BG68" s="29">
        <f t="shared" ref="BG68:BH68" si="229">BG65-BG66-BG67</f>
        <v>1734</v>
      </c>
      <c r="BH68" s="29">
        <f t="shared" si="229"/>
        <v>1817</v>
      </c>
      <c r="BK68" s="29">
        <f t="shared" ref="BK68" si="230">BK65-BK66-BK67</f>
        <v>4205</v>
      </c>
      <c r="BL68" s="29">
        <f t="shared" ref="BL68:BN68" si="231">BL65-BL66-BL67</f>
        <v>1572</v>
      </c>
      <c r="BM68" s="29">
        <f t="shared" si="231"/>
        <v>3481</v>
      </c>
      <c r="BN68" s="29">
        <f t="shared" si="231"/>
        <v>3331</v>
      </c>
      <c r="BO68" s="29">
        <f t="shared" ref="BO68:BR68" si="232">BO65-BO66-BO67</f>
        <v>3969</v>
      </c>
      <c r="BP68" s="29">
        <f t="shared" si="232"/>
        <v>4460</v>
      </c>
      <c r="BQ68" s="29">
        <f t="shared" si="232"/>
        <v>3802</v>
      </c>
      <c r="BR68" s="29">
        <f t="shared" si="232"/>
        <v>4071</v>
      </c>
      <c r="BS68" s="29">
        <f>BS65-BS66-BS67</f>
        <v>4579</v>
      </c>
      <c r="BT68" s="29">
        <f>BT65-BT66-BT67</f>
        <v>4550</v>
      </c>
      <c r="BU68" s="29">
        <f>BU65-BU66-BU67</f>
        <v>3066.1780000000008</v>
      </c>
      <c r="BV68" s="29">
        <f t="shared" ref="BV68:CL68" si="233">BV65-BV66-BV67</f>
        <v>4254</v>
      </c>
      <c r="BW68" s="29">
        <f t="shared" si="233"/>
        <v>4116.0464999999995</v>
      </c>
      <c r="BX68" s="29">
        <f t="shared" si="233"/>
        <v>3862.3741250000007</v>
      </c>
      <c r="BY68" s="29">
        <f t="shared" si="233"/>
        <v>2972.383656250001</v>
      </c>
      <c r="BZ68" s="29">
        <f t="shared" si="233"/>
        <v>3826.4390703125</v>
      </c>
      <c r="CA68" s="29">
        <f t="shared" si="233"/>
        <v>4039</v>
      </c>
      <c r="CB68" s="29">
        <f t="shared" si="233"/>
        <v>4310.6286400000008</v>
      </c>
      <c r="CC68" s="29">
        <f t="shared" si="233"/>
        <v>4151.0542400000004</v>
      </c>
      <c r="CD68" s="29">
        <f t="shared" si="233"/>
        <v>3442</v>
      </c>
      <c r="CE68" s="29">
        <f t="shared" si="233"/>
        <v>3451</v>
      </c>
      <c r="CF68" s="29">
        <f t="shared" si="233"/>
        <v>4320.8646064000004</v>
      </c>
      <c r="CG68" s="29">
        <f t="shared" si="233"/>
        <v>4327.8633424</v>
      </c>
      <c r="CH68" s="29">
        <f t="shared" si="233"/>
        <v>3948.9839999999995</v>
      </c>
      <c r="CI68" s="29">
        <f t="shared" si="233"/>
        <v>3667</v>
      </c>
      <c r="CJ68" s="29">
        <f t="shared" si="233"/>
        <v>4286.3999999999996</v>
      </c>
      <c r="CK68" s="29">
        <f t="shared" si="233"/>
        <v>4305.6000000000004</v>
      </c>
      <c r="CL68" s="29">
        <f t="shared" si="233"/>
        <v>705.7919999999998</v>
      </c>
      <c r="CP68" s="29">
        <f>CP65-CP66-CP67</f>
        <v>1381</v>
      </c>
      <c r="CQ68" s="29">
        <f>CQ65-CQ66-CQ67</f>
        <v>1691</v>
      </c>
      <c r="CR68" s="29">
        <f>CR65-CR66-CR67</f>
        <v>1991</v>
      </c>
      <c r="CS68" s="29">
        <f>CS65-CS66-CS67</f>
        <v>2108</v>
      </c>
      <c r="CT68" s="29">
        <f>CT65-CT66-CT67</f>
        <v>2169</v>
      </c>
      <c r="DI68" s="29">
        <f>DI65-DI66-DI67</f>
        <v>10123.5</v>
      </c>
      <c r="DJ68" s="49">
        <f>DJ65-DJ66-DJ67</f>
        <v>17900</v>
      </c>
      <c r="DK68" s="49">
        <f>DK65-DK66-DK67</f>
        <v>6903</v>
      </c>
      <c r="DL68" s="49">
        <f>DL65-DL66-DL67</f>
        <v>3825</v>
      </c>
      <c r="DM68" s="29">
        <f t="shared" ref="DM68:DR68" si="234">DM65-DM66-DM67</f>
        <v>5212.9255000000003</v>
      </c>
      <c r="DN68" s="64">
        <f t="shared" si="234"/>
        <v>4450.5465599999998</v>
      </c>
      <c r="DO68" s="64">
        <f t="shared" si="234"/>
        <v>4736.0783099999999</v>
      </c>
      <c r="DP68" s="29">
        <f t="shared" si="234"/>
        <v>5315.1609539999999</v>
      </c>
      <c r="DQ68" s="29">
        <f t="shared" si="234"/>
        <v>7625.6450955749988</v>
      </c>
      <c r="DR68" s="29">
        <f t="shared" si="234"/>
        <v>9383.958986913749</v>
      </c>
      <c r="DS68" s="29">
        <f>DR68*(1+EC71)</f>
        <v>9383.958986913749</v>
      </c>
      <c r="DT68" s="29">
        <f t="shared" ref="DT68" si="235">DS68*(1+$EC$71)</f>
        <v>9383.958986913749</v>
      </c>
      <c r="DU68" s="29"/>
      <c r="DV68" s="29"/>
      <c r="DW68" s="29">
        <f t="shared" ref="DW68:DX68" si="236">+DW65-DW66-DW67</f>
        <v>16466.927999968979</v>
      </c>
      <c r="DX68" s="29">
        <f t="shared" si="236"/>
        <v>14792.375187496904</v>
      </c>
      <c r="DY68" s="29">
        <f>+DY65-DY66-DY67</f>
        <v>15942.682880000002</v>
      </c>
      <c r="DZ68" s="29">
        <f>+DZ65-DZ66-DZ67</f>
        <v>18653.711948799999</v>
      </c>
      <c r="EA68" s="29">
        <f t="shared" ref="EA68:EJ68" si="237">+EA65-EA66-EA67</f>
        <v>26005.824000000001</v>
      </c>
      <c r="EB68" s="29">
        <f t="shared" si="237"/>
        <v>26874.460671999997</v>
      </c>
      <c r="EC68" s="29">
        <f t="shared" si="237"/>
        <v>24131.704770976005</v>
      </c>
      <c r="ED68" s="29">
        <f t="shared" si="237"/>
        <v>20923.97045104381</v>
      </c>
      <c r="EE68" s="29">
        <f t="shared" si="237"/>
        <v>21251.160728982162</v>
      </c>
      <c r="EF68" s="29">
        <f t="shared" si="237"/>
        <v>21741.695252004622</v>
      </c>
      <c r="EG68" s="29">
        <f t="shared" si="237"/>
        <v>22096.952459687611</v>
      </c>
      <c r="EH68" s="29">
        <f t="shared" si="237"/>
        <v>13632.979321375151</v>
      </c>
      <c r="EI68" s="29">
        <f t="shared" si="237"/>
        <v>11349.213675263938</v>
      </c>
      <c r="EJ68" s="29">
        <f t="shared" si="237"/>
        <v>9094.8988225085468</v>
      </c>
      <c r="EK68" s="29">
        <f>+EJ68*(1+$EM$72)</f>
        <v>9003.9498342834613</v>
      </c>
      <c r="EL68" s="29">
        <f t="shared" ref="EL68:GC68" si="238">+EK68*(1+$EM$72)</f>
        <v>8913.9103359406272</v>
      </c>
      <c r="EM68" s="29">
        <f t="shared" si="238"/>
        <v>8824.7712325812208</v>
      </c>
      <c r="EN68" s="29">
        <f t="shared" si="238"/>
        <v>8736.5235202554086</v>
      </c>
      <c r="EO68" s="29">
        <f t="shared" si="238"/>
        <v>8649.1582850528539</v>
      </c>
      <c r="EP68" s="29">
        <f t="shared" si="238"/>
        <v>8562.6667022023248</v>
      </c>
      <c r="EQ68" s="29">
        <f t="shared" si="238"/>
        <v>8477.0400351803019</v>
      </c>
      <c r="ER68" s="29">
        <f t="shared" si="238"/>
        <v>8392.269634828499</v>
      </c>
      <c r="ES68" s="29">
        <f t="shared" si="238"/>
        <v>8308.3469384802138</v>
      </c>
      <c r="ET68" s="29">
        <f t="shared" si="238"/>
        <v>8225.263469095411</v>
      </c>
      <c r="EU68" s="29">
        <f t="shared" si="238"/>
        <v>8143.0108344044565</v>
      </c>
      <c r="EV68" s="29">
        <f t="shared" si="238"/>
        <v>8061.5807260604115</v>
      </c>
      <c r="EW68" s="29">
        <f t="shared" si="238"/>
        <v>7980.9649187998075</v>
      </c>
      <c r="EX68" s="29">
        <f t="shared" si="238"/>
        <v>7901.1552696118097</v>
      </c>
      <c r="EY68" s="29">
        <f t="shared" si="238"/>
        <v>7822.1437169156916</v>
      </c>
      <c r="EZ68" s="29">
        <f t="shared" si="238"/>
        <v>7743.9222797465345</v>
      </c>
      <c r="FA68" s="29">
        <f t="shared" si="238"/>
        <v>7666.4830569490687</v>
      </c>
      <c r="FB68" s="29">
        <f t="shared" si="238"/>
        <v>7589.8182263795779</v>
      </c>
      <c r="FC68" s="29">
        <f t="shared" si="238"/>
        <v>7513.9200441157818</v>
      </c>
      <c r="FD68" s="29">
        <f t="shared" si="238"/>
        <v>7438.7808436746236</v>
      </c>
      <c r="FE68" s="29">
        <f t="shared" si="238"/>
        <v>7364.3930352378775</v>
      </c>
      <c r="FF68" s="29">
        <f t="shared" si="238"/>
        <v>7290.749104885499</v>
      </c>
      <c r="FG68" s="29">
        <f t="shared" si="238"/>
        <v>7217.8416138366438</v>
      </c>
      <c r="FH68" s="29">
        <f t="shared" si="238"/>
        <v>7145.6631976982771</v>
      </c>
      <c r="FI68" s="29">
        <f t="shared" si="238"/>
        <v>7074.2065657212943</v>
      </c>
      <c r="FJ68" s="29">
        <f t="shared" si="238"/>
        <v>7003.4645000640812</v>
      </c>
      <c r="FK68" s="29">
        <f t="shared" si="238"/>
        <v>6933.4298550634403</v>
      </c>
      <c r="FL68" s="29">
        <f t="shared" si="238"/>
        <v>6864.0955565128061</v>
      </c>
      <c r="FM68" s="29">
        <f t="shared" si="238"/>
        <v>6795.454600947678</v>
      </c>
      <c r="FN68" s="29">
        <f t="shared" si="238"/>
        <v>6727.5000549382012</v>
      </c>
      <c r="FO68" s="29">
        <f t="shared" si="238"/>
        <v>6660.2250543888194</v>
      </c>
      <c r="FP68" s="29">
        <f t="shared" si="238"/>
        <v>6593.6228038449308</v>
      </c>
      <c r="FQ68" s="29">
        <f t="shared" si="238"/>
        <v>6527.6865758064814</v>
      </c>
      <c r="FR68" s="29">
        <f t="shared" si="238"/>
        <v>6462.4097100484169</v>
      </c>
      <c r="FS68" s="29">
        <f t="shared" si="238"/>
        <v>6397.7856129479323</v>
      </c>
      <c r="FT68" s="29">
        <f t="shared" si="238"/>
        <v>6333.8077568184526</v>
      </c>
      <c r="FU68" s="29">
        <f t="shared" si="238"/>
        <v>6270.4696792502682</v>
      </c>
      <c r="FV68" s="29">
        <f t="shared" si="238"/>
        <v>6207.7649824577657</v>
      </c>
      <c r="FW68" s="29">
        <f t="shared" si="238"/>
        <v>6145.6873326331879</v>
      </c>
      <c r="FX68" s="29">
        <f t="shared" si="238"/>
        <v>6084.2304593068557</v>
      </c>
      <c r="FY68" s="29">
        <f t="shared" si="238"/>
        <v>6023.3881547137871</v>
      </c>
      <c r="FZ68" s="29">
        <f t="shared" si="238"/>
        <v>5963.1542731666495</v>
      </c>
      <c r="GA68" s="29">
        <f t="shared" si="238"/>
        <v>5903.5227304349828</v>
      </c>
      <c r="GB68" s="29">
        <f t="shared" si="238"/>
        <v>5844.4875031306328</v>
      </c>
      <c r="GC68" s="29">
        <f t="shared" si="238"/>
        <v>5786.0426280993261</v>
      </c>
    </row>
    <row r="69" spans="2:185" s="18" customFormat="1" ht="13" x14ac:dyDescent="0.3">
      <c r="B69" s="18" t="s">
        <v>107</v>
      </c>
      <c r="C69" s="37">
        <f t="shared" ref="C69:R69" si="239">C68/C70</f>
        <v>1.2725896012115094</v>
      </c>
      <c r="D69" s="37">
        <f t="shared" si="239"/>
        <v>1.607358870967742</v>
      </c>
      <c r="E69" s="37">
        <f t="shared" si="239"/>
        <v>1.2540322580645162</v>
      </c>
      <c r="F69" s="37">
        <f t="shared" si="239"/>
        <v>1.5320221886031267</v>
      </c>
      <c r="G69" s="37">
        <f t="shared" si="239"/>
        <v>1.3335010060362174</v>
      </c>
      <c r="H69" s="37">
        <f t="shared" si="239"/>
        <v>1.4719157472417252</v>
      </c>
      <c r="I69" s="37">
        <f t="shared" si="239"/>
        <v>0.96837349397590367</v>
      </c>
      <c r="J69" s="37">
        <f t="shared" si="239"/>
        <v>0.90056093829678741</v>
      </c>
      <c r="K69" s="37">
        <f t="shared" si="239"/>
        <v>1.2593890836254382</v>
      </c>
      <c r="L69" s="37">
        <f t="shared" si="239"/>
        <v>1.427716849451645</v>
      </c>
      <c r="M69" s="37">
        <f t="shared" si="239"/>
        <v>1.695328031809145</v>
      </c>
      <c r="N69" s="37">
        <f t="shared" si="239"/>
        <v>1.6941772151898735</v>
      </c>
      <c r="O69" s="37">
        <f t="shared" si="239"/>
        <v>1.827191235059761</v>
      </c>
      <c r="P69" s="37">
        <f>P68/P70</f>
        <v>2.0298804780876494</v>
      </c>
      <c r="Q69" s="37">
        <f>Q68/Q70</f>
        <v>2.1398137967980082</v>
      </c>
      <c r="R69" s="37">
        <f t="shared" si="239"/>
        <v>-0.93878965122764124</v>
      </c>
      <c r="S69" s="37">
        <f t="shared" ref="S69:Y69" si="240">S68/S70</f>
        <v>2.0418557740796772</v>
      </c>
      <c r="T69" s="37">
        <f t="shared" si="240"/>
        <v>2.2945032778618257</v>
      </c>
      <c r="U69" s="37">
        <f t="shared" si="240"/>
        <v>2.333165322580645</v>
      </c>
      <c r="V69" s="37">
        <f t="shared" si="240"/>
        <v>2.3751906456532792</v>
      </c>
      <c r="W69" s="37">
        <f t="shared" si="240"/>
        <v>0.43845519557776647</v>
      </c>
      <c r="X69" s="37">
        <f t="shared" si="240"/>
        <v>2.6956018518518516</v>
      </c>
      <c r="Y69" s="37">
        <f t="shared" si="240"/>
        <v>0.57126303592120509</v>
      </c>
      <c r="Z69" s="51">
        <f t="shared" ref="Z69:AE69" si="241">Z68/Z70</f>
        <v>0.2930934416715032</v>
      </c>
      <c r="AA69" s="51">
        <f t="shared" si="241"/>
        <v>0.60093348891481912</v>
      </c>
      <c r="AB69" s="37">
        <f t="shared" si="241"/>
        <v>0.54703832752613235</v>
      </c>
      <c r="AC69" s="37">
        <f t="shared" si="241"/>
        <v>0.56967930029154523</v>
      </c>
      <c r="AD69" s="37">
        <f t="shared" si="241"/>
        <v>0.51168224299065423</v>
      </c>
      <c r="AE69" s="37">
        <f t="shared" si="241"/>
        <v>0.55744431418522855</v>
      </c>
      <c r="AF69" s="37">
        <f t="shared" ref="AF69:AK69" si="242">AF68/AF70</f>
        <v>0.38980070339976552</v>
      </c>
      <c r="AG69" s="51">
        <f t="shared" si="242"/>
        <v>-0.42364824717765892</v>
      </c>
      <c r="AH69" s="51">
        <f t="shared" si="242"/>
        <v>0.46426389737324375</v>
      </c>
      <c r="AI69" s="51">
        <f t="shared" si="242"/>
        <v>0.58855751673767498</v>
      </c>
      <c r="AJ69" s="51">
        <f t="shared" si="242"/>
        <v>0.32563791008505466</v>
      </c>
      <c r="AK69" s="51">
        <f t="shared" si="242"/>
        <v>0.68245294474802676</v>
      </c>
      <c r="AL69" s="51">
        <f>AL68/AL70</f>
        <v>0.43577430972388953</v>
      </c>
      <c r="AM69" s="51">
        <f>AM68/AM70</f>
        <v>0.56242496998799518</v>
      </c>
      <c r="AN69" s="51">
        <f>AN68/AN70</f>
        <v>0.47633313361294188</v>
      </c>
      <c r="AO69" s="51">
        <f>AO68/AO70</f>
        <v>0.92275449101796403</v>
      </c>
      <c r="AP69" s="37">
        <f t="shared" ref="AP69" si="243">AP68/AP70</f>
        <v>7.7704722056186493E-3</v>
      </c>
      <c r="AQ69" s="37">
        <f t="shared" ref="AQ69:AS69" si="244">AQ68/AQ70</f>
        <v>0.70763723150357993</v>
      </c>
      <c r="AR69" s="37">
        <f t="shared" si="244"/>
        <v>-7.7984403119376128E-2</v>
      </c>
      <c r="AS69" s="37">
        <f t="shared" si="244"/>
        <v>0.42073897497020263</v>
      </c>
      <c r="AT69" s="37">
        <f t="shared" ref="AT69" si="245">AT68/AT70</f>
        <v>-8.2684242061114438E-2</v>
      </c>
      <c r="AU69" s="37">
        <f t="shared" ref="AU69:AV69" si="246">AU68/AU70</f>
        <v>0.71130952380952384</v>
      </c>
      <c r="AV69" s="37">
        <f t="shared" si="246"/>
        <v>0.69446098868374029</v>
      </c>
      <c r="AW69" s="37">
        <f t="shared" ref="AW69:AX69" si="247">AW68/AW70</f>
        <v>0.76652769505658125</v>
      </c>
      <c r="AX69" s="37">
        <f t="shared" si="247"/>
        <v>0.6333333333333333</v>
      </c>
      <c r="AY69" s="37">
        <f t="shared" ref="AY69:AZ69" si="248">AY68/AY70</f>
        <v>0.83782166367444644</v>
      </c>
      <c r="AZ69" s="37">
        <f t="shared" si="248"/>
        <v>0.73818181818181816</v>
      </c>
      <c r="BA69" s="37">
        <f t="shared" ref="BA69:BB69" si="249">BA68/BA70</f>
        <v>0.74711246200607906</v>
      </c>
      <c r="BB69" s="37">
        <f t="shared" si="249"/>
        <v>0.68331303288672351</v>
      </c>
      <c r="BC69" s="37">
        <f t="shared" ref="BC69:BD69" si="250">BC68/BC70</f>
        <v>0.94329268292682922</v>
      </c>
      <c r="BD69" s="37">
        <f t="shared" si="250"/>
        <v>1.0061124694376529</v>
      </c>
      <c r="BE69" s="36"/>
      <c r="BF69" s="36"/>
      <c r="BG69" s="37">
        <f t="shared" ref="BG69" si="251">BG68/BG70</f>
        <v>1.059254734270006</v>
      </c>
      <c r="BH69" s="37">
        <f>BH68/BH70</f>
        <v>1.1099572388515577</v>
      </c>
      <c r="BI69" s="36"/>
      <c r="BJ69" s="36"/>
      <c r="BK69" s="37">
        <f t="shared" ref="BK69" si="252">BK68/BK70</f>
        <v>1.862267493356953</v>
      </c>
      <c r="BL69" s="37">
        <f t="shared" ref="BL69:BS69" si="253">BL68/BL70</f>
        <v>0.69465311533362795</v>
      </c>
      <c r="BM69" s="37">
        <f t="shared" si="253"/>
        <v>1.5200873362445415</v>
      </c>
      <c r="BN69" s="37">
        <f t="shared" si="253"/>
        <v>1.4571303587051618</v>
      </c>
      <c r="BO69" s="37">
        <f t="shared" si="253"/>
        <v>1.752317880794702</v>
      </c>
      <c r="BP69" s="37">
        <f t="shared" si="253"/>
        <v>1.9804618117229129</v>
      </c>
      <c r="BQ69" s="37">
        <f t="shared" si="253"/>
        <v>1.6950512706197058</v>
      </c>
      <c r="BR69" s="37">
        <f t="shared" si="253"/>
        <v>1.8346101847679135</v>
      </c>
      <c r="BS69" s="37">
        <f t="shared" si="253"/>
        <v>2.1159889094269873</v>
      </c>
      <c r="BT69" s="37">
        <f t="shared" ref="BT69:BU69" si="254">BT68/BT70</f>
        <v>2.1172638436482085</v>
      </c>
      <c r="BU69" s="37">
        <f t="shared" si="254"/>
        <v>1.4267929269427644</v>
      </c>
      <c r="BV69" s="37">
        <f t="shared" ref="BV69" si="255">BV68/BV70</f>
        <v>2.0028248587570623</v>
      </c>
      <c r="BW69" s="37">
        <f t="shared" ref="BW69" si="256">BW68/BW70</f>
        <v>1.9378749999999998</v>
      </c>
      <c r="BX69" s="37">
        <f t="shared" ref="BX69" si="257">BX68/BX70</f>
        <v>1.8184435616760832</v>
      </c>
      <c r="BY69" s="37">
        <f t="shared" ref="BY69" si="258">BY68/BY70</f>
        <v>1.3994273334510363</v>
      </c>
      <c r="BZ69" s="37">
        <f t="shared" ref="BZ69:CB69" si="259">BZ68/BZ70</f>
        <v>1.8015249860228342</v>
      </c>
      <c r="CA69" s="37">
        <f t="shared" si="259"/>
        <v>1.9965397923875432</v>
      </c>
      <c r="CB69" s="37">
        <f t="shared" si="259"/>
        <v>2.1308100049431542</v>
      </c>
      <c r="CC69" s="37">
        <f t="shared" ref="CC69:CL69" si="260">CC68/CC70</f>
        <v>2.0519299258526944</v>
      </c>
      <c r="CD69" s="37">
        <f t="shared" si="260"/>
        <v>1.6961413331162234</v>
      </c>
      <c r="CE69" s="37">
        <f t="shared" si="260"/>
        <v>1.6916666666666667</v>
      </c>
      <c r="CF69" s="37">
        <f t="shared" si="260"/>
        <v>2.1180708854901962</v>
      </c>
      <c r="CG69" s="37">
        <f t="shared" si="260"/>
        <v>2.1215016384313725</v>
      </c>
      <c r="CH69" s="37">
        <f t="shared" si="260"/>
        <v>1.9348280254777068</v>
      </c>
      <c r="CI69" s="37">
        <f t="shared" si="260"/>
        <v>1.7914020517830973</v>
      </c>
      <c r="CJ69" s="37">
        <f t="shared" si="260"/>
        <v>2.0939912066438691</v>
      </c>
      <c r="CK69" s="37">
        <f t="shared" si="260"/>
        <v>2.1033707865168543</v>
      </c>
      <c r="CL69" s="37">
        <f t="shared" si="260"/>
        <v>0.34479335613092321</v>
      </c>
      <c r="CM69" s="36"/>
      <c r="CN69" s="36"/>
      <c r="CO69" s="36"/>
      <c r="CP69" s="37">
        <f>CP68/CP70</f>
        <v>2.6405353728489485</v>
      </c>
      <c r="CQ69" s="37">
        <f>CQ68/CQ70</f>
        <v>3.2209523809523808</v>
      </c>
      <c r="CR69" s="37">
        <f>CR68/CR70</f>
        <v>3.8214971209213053</v>
      </c>
      <c r="CS69" s="37">
        <f>CS68/CS70</f>
        <v>4.0694980694980698</v>
      </c>
      <c r="CT69" s="37">
        <f>CT68/CT70</f>
        <v>4.211650485436893</v>
      </c>
      <c r="CU69" s="36"/>
      <c r="CV69" s="36"/>
      <c r="CW69" s="36"/>
      <c r="CX69" s="36"/>
      <c r="CY69" s="36"/>
      <c r="CZ69" s="36"/>
      <c r="DA69" s="36"/>
      <c r="DB69" s="36"/>
      <c r="DC69" s="36"/>
      <c r="DD69" s="36"/>
      <c r="DE69" s="36"/>
      <c r="DF69" s="36"/>
      <c r="DG69" s="36"/>
      <c r="DH69" s="36"/>
      <c r="DI69" s="37">
        <f t="shared" ref="DI69:DR69" si="261">DI68/DI70</f>
        <v>5.0781123126353505</v>
      </c>
      <c r="DJ69" s="51">
        <f t="shared" si="261"/>
        <v>9.0438297334849054</v>
      </c>
      <c r="DK69" s="51">
        <f t="shared" si="261"/>
        <v>4.0036690149483647</v>
      </c>
      <c r="DL69" s="51">
        <f t="shared" si="261"/>
        <v>2.2293457671572199</v>
      </c>
      <c r="DM69" s="37">
        <f t="shared" si="261"/>
        <v>3.0382780125309634</v>
      </c>
      <c r="DN69" s="67">
        <f t="shared" si="261"/>
        <v>2.5939365059012092</v>
      </c>
      <c r="DO69" s="67">
        <f t="shared" si="261"/>
        <v>2.7603545446597697</v>
      </c>
      <c r="DP69" s="37">
        <f t="shared" si="261"/>
        <v>3.0978644639370536</v>
      </c>
      <c r="DQ69" s="37">
        <f t="shared" si="261"/>
        <v>4.4444966315459702</v>
      </c>
      <c r="DR69" s="37">
        <f t="shared" si="261"/>
        <v>5.4693043782099657</v>
      </c>
      <c r="DS69" s="37">
        <f t="shared" ref="DS69:DZ69" si="262">DS68/DS70</f>
        <v>5.4693043782099657</v>
      </c>
      <c r="DT69" s="37">
        <f t="shared" si="262"/>
        <v>5.4693043782099657</v>
      </c>
      <c r="DU69" s="37">
        <f t="shared" si="262"/>
        <v>0</v>
      </c>
      <c r="DV69" s="37">
        <f t="shared" si="262"/>
        <v>0</v>
      </c>
      <c r="DW69" s="37">
        <f t="shared" si="262"/>
        <v>9.5975101267486398</v>
      </c>
      <c r="DX69" s="37">
        <f t="shared" si="262"/>
        <v>8.6215213099209702</v>
      </c>
      <c r="DY69" s="37">
        <f t="shared" si="262"/>
        <v>7.874570816595468</v>
      </c>
      <c r="DZ69" s="37">
        <f t="shared" si="262"/>
        <v>9.2136296531038209</v>
      </c>
      <c r="EA69" s="37">
        <f t="shared" ref="EA69:EJ69" si="263">EA68/EA70</f>
        <v>12.845059032618606</v>
      </c>
      <c r="EB69" s="37">
        <f t="shared" si="263"/>
        <v>13.274104823659002</v>
      </c>
      <c r="EC69" s="37">
        <f t="shared" si="263"/>
        <v>11.91937515000143</v>
      </c>
      <c r="ED69" s="37">
        <f t="shared" si="263"/>
        <v>10.334978643261797</v>
      </c>
      <c r="EE69" s="37">
        <f t="shared" si="263"/>
        <v>10.496587767241756</v>
      </c>
      <c r="EF69" s="37">
        <f t="shared" si="263"/>
        <v>10.738877529172042</v>
      </c>
      <c r="EG69" s="37">
        <f t="shared" si="263"/>
        <v>10.914349754334038</v>
      </c>
      <c r="EH69" s="37">
        <f t="shared" si="263"/>
        <v>6.7337387261227537</v>
      </c>
      <c r="EI69" s="37">
        <f t="shared" si="263"/>
        <v>5.6057181511559735</v>
      </c>
      <c r="EJ69" s="37">
        <f t="shared" si="263"/>
        <v>4.4922442092515782</v>
      </c>
    </row>
    <row r="70" spans="2:185" x14ac:dyDescent="0.25">
      <c r="B70" s="1" t="s">
        <v>108</v>
      </c>
      <c r="C70" s="29">
        <v>1981</v>
      </c>
      <c r="D70" s="29">
        <v>1984</v>
      </c>
      <c r="E70" s="29">
        <v>1984</v>
      </c>
      <c r="F70" s="29">
        <v>1983</v>
      </c>
      <c r="G70" s="29">
        <v>1988</v>
      </c>
      <c r="H70" s="29">
        <v>1994</v>
      </c>
      <c r="I70" s="29">
        <v>1992</v>
      </c>
      <c r="J70" s="29">
        <v>1961</v>
      </c>
      <c r="K70" s="29">
        <v>1997</v>
      </c>
      <c r="L70" s="29">
        <v>2006</v>
      </c>
      <c r="M70" s="29">
        <v>2012</v>
      </c>
      <c r="N70" s="29">
        <v>1975</v>
      </c>
      <c r="O70" s="29">
        <v>2008</v>
      </c>
      <c r="P70" s="29">
        <v>2008</v>
      </c>
      <c r="Q70" s="29">
        <v>1979.6115</v>
      </c>
      <c r="R70" s="29">
        <f>Q70-1</f>
        <v>1978.6115</v>
      </c>
      <c r="S70" s="29">
        <v>1983</v>
      </c>
      <c r="T70" s="29">
        <v>1983</v>
      </c>
      <c r="U70" s="29">
        <v>1984</v>
      </c>
      <c r="V70" s="29">
        <v>1967</v>
      </c>
      <c r="W70" s="29">
        <v>1719.674</v>
      </c>
      <c r="X70" s="29">
        <v>1728</v>
      </c>
      <c r="Y70" s="29">
        <v>1726</v>
      </c>
      <c r="Z70" s="49">
        <v>1723</v>
      </c>
      <c r="AA70" s="49">
        <v>1714</v>
      </c>
      <c r="AB70" s="29">
        <v>1722</v>
      </c>
      <c r="AC70" s="29">
        <v>1715</v>
      </c>
      <c r="AD70" s="29">
        <v>1712</v>
      </c>
      <c r="AE70" s="29">
        <v>1706</v>
      </c>
      <c r="AF70" s="29">
        <v>1706</v>
      </c>
      <c r="AG70" s="49">
        <v>1683</v>
      </c>
      <c r="AH70" s="49">
        <v>1637</v>
      </c>
      <c r="AI70" s="29">
        <v>1643</v>
      </c>
      <c r="AJ70" s="29">
        <v>1646</v>
      </c>
      <c r="AK70" s="29">
        <v>1647</v>
      </c>
      <c r="AL70" s="29">
        <v>1666</v>
      </c>
      <c r="AM70" s="29">
        <v>1666</v>
      </c>
      <c r="AN70" s="29">
        <v>1669</v>
      </c>
      <c r="AO70" s="29">
        <v>1670</v>
      </c>
      <c r="AP70" s="29">
        <v>1673</v>
      </c>
      <c r="AQ70" s="29">
        <v>1676</v>
      </c>
      <c r="AR70" s="29">
        <v>1667</v>
      </c>
      <c r="AS70" s="29">
        <v>1678</v>
      </c>
      <c r="AT70" s="29">
        <v>1669</v>
      </c>
      <c r="AU70" s="29">
        <v>1680</v>
      </c>
      <c r="AV70" s="29">
        <v>1679</v>
      </c>
      <c r="AW70" s="29">
        <v>1679</v>
      </c>
      <c r="AX70" s="29">
        <v>1680</v>
      </c>
      <c r="AY70" s="29">
        <v>1671</v>
      </c>
      <c r="AZ70" s="29">
        <v>1650</v>
      </c>
      <c r="BA70" s="29">
        <v>1645</v>
      </c>
      <c r="BB70" s="29">
        <v>1642</v>
      </c>
      <c r="BC70" s="29">
        <v>1640</v>
      </c>
      <c r="BD70" s="29">
        <v>1636</v>
      </c>
      <c r="BG70" s="29">
        <v>1637</v>
      </c>
      <c r="BH70" s="29">
        <v>1637</v>
      </c>
      <c r="BK70" s="29">
        <v>2258</v>
      </c>
      <c r="BL70" s="29">
        <v>2263</v>
      </c>
      <c r="BM70" s="29">
        <v>2290</v>
      </c>
      <c r="BN70" s="29">
        <v>2286</v>
      </c>
      <c r="BO70" s="29">
        <v>2265</v>
      </c>
      <c r="BP70" s="29">
        <v>2252</v>
      </c>
      <c r="BQ70" s="29">
        <v>2243</v>
      </c>
      <c r="BR70" s="29">
        <v>2219</v>
      </c>
      <c r="BS70" s="29">
        <v>2164</v>
      </c>
      <c r="BT70" s="29">
        <v>2149</v>
      </c>
      <c r="BU70" s="29">
        <f>+BT70</f>
        <v>2149</v>
      </c>
      <c r="BV70" s="29">
        <v>2124</v>
      </c>
      <c r="BW70" s="29">
        <f t="shared" ref="BW70:BZ70" si="264">+BV70</f>
        <v>2124</v>
      </c>
      <c r="BX70" s="29">
        <f t="shared" si="264"/>
        <v>2124</v>
      </c>
      <c r="BY70" s="29">
        <f t="shared" si="264"/>
        <v>2124</v>
      </c>
      <c r="BZ70" s="29">
        <f t="shared" si="264"/>
        <v>2124</v>
      </c>
      <c r="CA70" s="29">
        <v>2023</v>
      </c>
      <c r="CB70" s="64">
        <f>+CA70</f>
        <v>2023</v>
      </c>
      <c r="CC70" s="64">
        <f t="shared" ref="CC70:CG70" si="265">+CB70</f>
        <v>2023</v>
      </c>
      <c r="CD70" s="29">
        <v>2029.312023</v>
      </c>
      <c r="CE70" s="29">
        <v>2040</v>
      </c>
      <c r="CF70" s="29">
        <f t="shared" si="265"/>
        <v>2040</v>
      </c>
      <c r="CG70" s="29">
        <f t="shared" si="265"/>
        <v>2040</v>
      </c>
      <c r="CH70" s="29">
        <v>2041</v>
      </c>
      <c r="CI70" s="29">
        <v>2047</v>
      </c>
      <c r="CJ70" s="29">
        <f>+CI70</f>
        <v>2047</v>
      </c>
      <c r="CK70" s="29">
        <f>+CJ70</f>
        <v>2047</v>
      </c>
      <c r="CL70" s="29">
        <f>+CK70</f>
        <v>2047</v>
      </c>
      <c r="CP70" s="29">
        <v>523</v>
      </c>
      <c r="CQ70" s="29">
        <v>525</v>
      </c>
      <c r="CR70" s="29">
        <v>521</v>
      </c>
      <c r="CS70" s="29">
        <v>518</v>
      </c>
      <c r="CT70" s="29">
        <v>515</v>
      </c>
      <c r="DI70" s="29">
        <f>AVERAGE(O70:R70)</f>
        <v>1993.55575</v>
      </c>
      <c r="DJ70" s="49">
        <f>AVERAGE(S70:V70)</f>
        <v>1979.25</v>
      </c>
      <c r="DK70" s="49">
        <f>AVERAGE(W70:Z70)</f>
        <v>1724.1685</v>
      </c>
      <c r="DL70" s="49">
        <f>AVERAGE(AA70:AD70)</f>
        <v>1715.75</v>
      </c>
      <c r="DM70" s="29">
        <f t="shared" ref="DM70:DR70" si="266">DL70</f>
        <v>1715.75</v>
      </c>
      <c r="DN70" s="64">
        <f t="shared" si="266"/>
        <v>1715.75</v>
      </c>
      <c r="DO70" s="64">
        <f t="shared" si="266"/>
        <v>1715.75</v>
      </c>
      <c r="DP70" s="29">
        <f t="shared" si="266"/>
        <v>1715.75</v>
      </c>
      <c r="DQ70" s="29">
        <f t="shared" si="266"/>
        <v>1715.75</v>
      </c>
      <c r="DR70" s="29">
        <f t="shared" si="266"/>
        <v>1715.75</v>
      </c>
      <c r="DS70" s="29">
        <f t="shared" ref="DS70:DX70" si="267">DR70</f>
        <v>1715.75</v>
      </c>
      <c r="DT70" s="29">
        <f t="shared" si="267"/>
        <v>1715.75</v>
      </c>
      <c r="DU70" s="29">
        <f t="shared" si="267"/>
        <v>1715.75</v>
      </c>
      <c r="DV70" s="29">
        <f t="shared" si="267"/>
        <v>1715.75</v>
      </c>
      <c r="DW70" s="29">
        <f t="shared" si="267"/>
        <v>1715.75</v>
      </c>
      <c r="DX70" s="29">
        <f t="shared" si="267"/>
        <v>1715.75</v>
      </c>
      <c r="DY70" s="29">
        <f>AVERAGE(CA70:CD70)</f>
        <v>2024.5780057500001</v>
      </c>
      <c r="DZ70" s="29">
        <f>+DY70</f>
        <v>2024.5780057500001</v>
      </c>
      <c r="EA70" s="29">
        <f t="shared" ref="EA70:EJ70" si="268">+DZ70</f>
        <v>2024.5780057500001</v>
      </c>
      <c r="EB70" s="29">
        <f t="shared" si="268"/>
        <v>2024.5780057500001</v>
      </c>
      <c r="EC70" s="29">
        <f t="shared" si="268"/>
        <v>2024.5780057500001</v>
      </c>
      <c r="ED70" s="29">
        <f t="shared" si="268"/>
        <v>2024.5780057500001</v>
      </c>
      <c r="EE70" s="29">
        <f t="shared" si="268"/>
        <v>2024.5780057500001</v>
      </c>
      <c r="EF70" s="29">
        <f t="shared" si="268"/>
        <v>2024.5780057500001</v>
      </c>
      <c r="EG70" s="29">
        <f t="shared" si="268"/>
        <v>2024.5780057500001</v>
      </c>
      <c r="EH70" s="29">
        <f t="shared" si="268"/>
        <v>2024.5780057500001</v>
      </c>
      <c r="EI70" s="29">
        <f t="shared" si="268"/>
        <v>2024.5780057500001</v>
      </c>
      <c r="EJ70" s="29">
        <f t="shared" si="268"/>
        <v>2024.5780057500001</v>
      </c>
    </row>
    <row r="71" spans="2:185" ht="13" x14ac:dyDescent="0.3">
      <c r="DH71" s="75">
        <f>DH56/DG56-1</f>
        <v>0.21947175174700928</v>
      </c>
      <c r="DI71" s="36"/>
      <c r="DN71" s="68"/>
      <c r="DO71" s="68"/>
      <c r="EB71" s="32"/>
      <c r="EC71" s="40"/>
    </row>
    <row r="72" spans="2:185" s="18" customFormat="1" ht="13" x14ac:dyDescent="0.3">
      <c r="B72" s="18" t="s">
        <v>435</v>
      </c>
      <c r="C72" s="32" t="s">
        <v>357</v>
      </c>
      <c r="D72" s="32" t="s">
        <v>357</v>
      </c>
      <c r="E72" s="32" t="s">
        <v>357</v>
      </c>
      <c r="F72" s="32" t="s">
        <v>357</v>
      </c>
      <c r="G72" s="39">
        <f t="shared" ref="G72:AK72" si="269">G56/C56-1</f>
        <v>6.9661865998747574E-2</v>
      </c>
      <c r="H72" s="39">
        <f t="shared" si="269"/>
        <v>5.4844606946984342E-3</v>
      </c>
      <c r="I72" s="39">
        <f t="shared" si="269"/>
        <v>-0.16528805688579307</v>
      </c>
      <c r="J72" s="39">
        <f t="shared" si="269"/>
        <v>-0.23673079547005049</v>
      </c>
      <c r="K72" s="39">
        <f t="shared" si="269"/>
        <v>-9.9663398214547061E-2</v>
      </c>
      <c r="L72" s="39">
        <f t="shared" si="269"/>
        <v>-8.2517482517482366E-3</v>
      </c>
      <c r="M72" s="39">
        <f t="shared" si="269"/>
        <v>0.36474269819193328</v>
      </c>
      <c r="N72" s="39">
        <f t="shared" si="269"/>
        <v>0.51787629603146224</v>
      </c>
      <c r="O72" s="39">
        <f t="shared" si="269"/>
        <v>0.32282184655396629</v>
      </c>
      <c r="P72" s="39">
        <f t="shared" si="269"/>
        <v>0.18713862642786627</v>
      </c>
      <c r="Q72" s="39">
        <f t="shared" si="269"/>
        <v>9.2993630573248387E-2</v>
      </c>
      <c r="R72" s="39">
        <f t="shared" si="269"/>
        <v>1.6252502649864553E-2</v>
      </c>
      <c r="S72" s="39">
        <f t="shared" si="269"/>
        <v>1.9292209388056092E-2</v>
      </c>
      <c r="T72" s="39">
        <f t="shared" si="269"/>
        <v>5.7614635305298201E-2</v>
      </c>
      <c r="U72" s="39">
        <f t="shared" si="269"/>
        <v>6.0139860139860168E-2</v>
      </c>
      <c r="V72" s="39">
        <f t="shared" si="269"/>
        <v>2.607486383126667E-2</v>
      </c>
      <c r="W72" s="39">
        <f t="shared" si="269"/>
        <v>-0.42049427365883063</v>
      </c>
      <c r="X72" s="39">
        <f t="shared" si="269"/>
        <v>-4.8073683028192704E-2</v>
      </c>
      <c r="Y72" s="39">
        <f t="shared" si="269"/>
        <v>-0.47251539138082677</v>
      </c>
      <c r="Z72" s="39">
        <f t="shared" si="269"/>
        <v>-0.42274678111587982</v>
      </c>
      <c r="AA72" s="39">
        <f t="shared" si="269"/>
        <v>4.2438111087996777E-2</v>
      </c>
      <c r="AB72" s="39">
        <f t="shared" si="269"/>
        <v>-0.35882005899705016</v>
      </c>
      <c r="AC72" s="39">
        <f t="shared" si="269"/>
        <v>0.11400583576490209</v>
      </c>
      <c r="AD72" s="39">
        <f t="shared" si="269"/>
        <v>6.7110154568577496E-2</v>
      </c>
      <c r="AE72" s="39">
        <f t="shared" si="269"/>
        <v>4.7894631810017962E-2</v>
      </c>
      <c r="AF72" s="39">
        <f t="shared" si="269"/>
        <v>-0.18237026131762979</v>
      </c>
      <c r="AG72" s="39">
        <f t="shared" si="269"/>
        <v>-0.30102899906454628</v>
      </c>
      <c r="AH72" s="39">
        <f t="shared" si="269"/>
        <v>-0.23157315731573158</v>
      </c>
      <c r="AI72" s="39">
        <f t="shared" si="269"/>
        <v>-0.202247191011236</v>
      </c>
      <c r="AJ72" s="39">
        <f t="shared" si="269"/>
        <v>-8.8903893765473807E-2</v>
      </c>
      <c r="AK72" s="39">
        <f t="shared" si="269"/>
        <v>0.20369379014989297</v>
      </c>
      <c r="AL72" s="39">
        <f t="shared" ref="AL72" si="270">AL56/AH56-1</f>
        <v>5.9651634454784164E-2</v>
      </c>
      <c r="AM72" s="39">
        <f t="shared" ref="AM72" si="271">AM56/AI56-1</f>
        <v>-9.0236333253759793E-2</v>
      </c>
      <c r="AN72" s="39">
        <f t="shared" ref="AN72" si="272">AN56/AJ56-1</f>
        <v>-3.9278656126482181E-2</v>
      </c>
      <c r="AO72" s="39">
        <f t="shared" ref="AO72" si="273">AO56/AK56-1</f>
        <v>5.4258394485212413E-2</v>
      </c>
      <c r="AP72" s="39">
        <f t="shared" ref="AP72" si="274">AP56/AL56-1</f>
        <v>-4.1206935374915599E-2</v>
      </c>
      <c r="AQ72" s="39">
        <f t="shared" ref="AQ72" si="275">AQ56/AM56-1</f>
        <v>6.0351613749672017E-2</v>
      </c>
      <c r="AR72" s="39">
        <f t="shared" ref="AR72" si="276">AR56/AN56-1</f>
        <v>7.045512985343283E-2</v>
      </c>
      <c r="AS72" s="39">
        <f t="shared" ref="AS72" si="277">AS56/AO56-1</f>
        <v>-0.14174224847078676</v>
      </c>
      <c r="AT72" s="39">
        <f t="shared" ref="AT72" si="278">AT56/AP56-1</f>
        <v>6.8107092531703994E-3</v>
      </c>
      <c r="AU72" s="39">
        <f t="shared" ref="AU72" si="279">AU56/AQ56-1</f>
        <v>8.6612224696857254E-2</v>
      </c>
      <c r="AV72" s="39">
        <f t="shared" ref="AV72" si="280">AV56/AR56-1</f>
        <v>0.17006966130194567</v>
      </c>
      <c r="AW72" s="39">
        <f t="shared" ref="AW72" si="281">AW56/AS56-1</f>
        <v>0.20963381666257064</v>
      </c>
      <c r="AX72" s="39">
        <f t="shared" ref="AX72" si="282">AX56/AT56-1</f>
        <v>0.22299976673664568</v>
      </c>
      <c r="AY72" s="39">
        <f t="shared" ref="AY72:BA72" si="283">AY56/AU56-1</f>
        <v>0.12252334320200409</v>
      </c>
      <c r="AZ72" s="39">
        <f t="shared" si="283"/>
        <v>5.6045986450420804E-2</v>
      </c>
      <c r="BA72" s="39">
        <f t="shared" si="283"/>
        <v>6.7452255180820764E-2</v>
      </c>
      <c r="BB72" s="39">
        <f t="shared" ref="BB72" si="284">BB56/AX56-1</f>
        <v>3.9290482548159478E-2</v>
      </c>
      <c r="BC72" s="39">
        <f t="shared" ref="BC72:BK72" si="285">BC56/AY56-1</f>
        <v>5.3560559951308484E-2</v>
      </c>
      <c r="BD72" s="39">
        <f t="shared" ref="BD72" si="286">BD56/AZ56-1</f>
        <v>0.10886469673405919</v>
      </c>
      <c r="BE72" s="39">
        <f t="shared" ref="BE72" si="287">BE56/BA56-1</f>
        <v>8.3174724019794422E-2</v>
      </c>
      <c r="BF72" s="39">
        <f t="shared" ref="BF72" si="288">BF56/BB56-1</f>
        <v>9.616443384107165E-2</v>
      </c>
      <c r="BG72" s="39">
        <f t="shared" si="285"/>
        <v>0.13999614866165988</v>
      </c>
      <c r="BH72" s="39">
        <f t="shared" si="285"/>
        <v>9.9754558204768529E-2</v>
      </c>
      <c r="BI72" s="39">
        <f t="shared" si="285"/>
        <v>5.5526269548409779E-2</v>
      </c>
      <c r="BJ72" s="39">
        <f t="shared" si="285"/>
        <v>0.33015235225179973</v>
      </c>
      <c r="BK72" s="39">
        <f t="shared" si="285"/>
        <v>0.82111486486486496</v>
      </c>
      <c r="BL72" s="39">
        <f t="shared" ref="BL72" si="289">BL56/BH56-1</f>
        <v>0.6146979116849991</v>
      </c>
      <c r="BM72" s="39">
        <f t="shared" ref="BM72" si="290">BM56/BI56-1</f>
        <v>0.75461961045446979</v>
      </c>
      <c r="BN72" s="39">
        <f t="shared" ref="BN72" si="291">BN56/BJ56-1</f>
        <v>0.39307740717432349</v>
      </c>
      <c r="BO72" s="39">
        <f t="shared" ref="BO72" si="292">BO56/BK56-1</f>
        <v>2.7084686021704885E-2</v>
      </c>
      <c r="BP72" s="39">
        <f t="shared" ref="BP72:BR72" si="293">BP56/BL56-1</f>
        <v>0.15539539934840563</v>
      </c>
      <c r="BQ72" s="39">
        <f t="shared" si="293"/>
        <v>0.10284629981024662</v>
      </c>
      <c r="BR72" s="39">
        <f t="shared" si="293"/>
        <v>8.2851463679074699E-2</v>
      </c>
      <c r="BS72" s="39">
        <f>BS56/BO56-1</f>
        <v>5.1928113429061673E-2</v>
      </c>
      <c r="BT72" s="39">
        <f t="shared" ref="BT72" si="294">BT56/BP56-1</f>
        <v>1.5722464325386598E-2</v>
      </c>
      <c r="BU72" s="39">
        <f t="shared" ref="BU72" si="295">BU56/BQ56-1</f>
        <v>-3.4927735719201602E-2</v>
      </c>
      <c r="BV72" s="39">
        <f>BV56/BR56-1</f>
        <v>-4.8310387984981218E-2</v>
      </c>
      <c r="BW72" s="39">
        <f t="shared" ref="BW72" si="296">BW56/BS56-1</f>
        <v>-2.6699862637362681E-2</v>
      </c>
      <c r="BX72" s="39">
        <f t="shared" ref="BX72" si="297">BX56/BT56-1</f>
        <v>-5.5606965592664204E-2</v>
      </c>
      <c r="BY72" s="39">
        <f t="shared" ref="BY72" si="298">BY56/BU56-1</f>
        <v>-2.2463897307897995E-2</v>
      </c>
      <c r="BZ72" s="39">
        <f t="shared" ref="BZ72:CL72" si="299">BZ56/BV56-1</f>
        <v>6.2247939680870612E-3</v>
      </c>
      <c r="CA72" s="39">
        <f t="shared" si="299"/>
        <v>4.6573167504630808E-2</v>
      </c>
      <c r="CB72" s="39">
        <f t="shared" si="299"/>
        <v>8.6851950828433999E-2</v>
      </c>
      <c r="CC72" s="39">
        <f t="shared" si="299"/>
        <v>8.4442823271931422E-2</v>
      </c>
      <c r="CD72" s="39">
        <f t="shared" si="299"/>
        <v>7.5368127559466869E-2</v>
      </c>
      <c r="CE72" s="39">
        <f t="shared" si="299"/>
        <v>-5.5962916139907337E-2</v>
      </c>
      <c r="CF72" s="39">
        <f t="shared" si="299"/>
        <v>5.7372346528972162E-3</v>
      </c>
      <c r="CG72" s="39">
        <f t="shared" si="299"/>
        <v>2.8002018163471254E-2</v>
      </c>
      <c r="CH72" s="39">
        <f t="shared" si="299"/>
        <v>1.3125911521633338E-2</v>
      </c>
      <c r="CI72" s="39">
        <f t="shared" si="299"/>
        <v>2.5801267743951417E-2</v>
      </c>
      <c r="CJ72" s="39">
        <f t="shared" si="299"/>
        <v>-6.1608670849971459E-2</v>
      </c>
      <c r="CK72" s="39">
        <f t="shared" si="299"/>
        <v>-5.5623721881390642E-2</v>
      </c>
      <c r="CL72" s="39">
        <f t="shared" si="299"/>
        <v>-0.52652751119641716</v>
      </c>
      <c r="CM72" s="36"/>
      <c r="CN72" s="36"/>
      <c r="CO72" s="36"/>
      <c r="CP72" s="36"/>
      <c r="CQ72" s="36"/>
      <c r="CR72" s="36"/>
      <c r="CS72" s="36"/>
      <c r="CT72" s="36"/>
      <c r="CU72" s="36"/>
      <c r="CV72" s="36"/>
      <c r="CW72" s="36"/>
      <c r="CX72" s="36"/>
      <c r="CY72" s="36"/>
      <c r="CZ72" s="36"/>
      <c r="DA72" s="36"/>
      <c r="DB72" s="36"/>
      <c r="DC72" s="36"/>
      <c r="DD72" s="52">
        <f t="shared" ref="DD72:EJ72" si="300">DD56/DC56-1</f>
        <v>0.26885218551885215</v>
      </c>
      <c r="DE72" s="52">
        <f t="shared" si="300"/>
        <v>5.6735257379527892E-2</v>
      </c>
      <c r="DF72" s="52">
        <f t="shared" si="300"/>
        <v>0.72471071295259426</v>
      </c>
      <c r="DG72" s="52">
        <f t="shared" si="300"/>
        <v>-8.635429066118383E-2</v>
      </c>
      <c r="DH72" s="52">
        <f t="shared" si="300"/>
        <v>0.21947175174700928</v>
      </c>
      <c r="DI72" s="52">
        <f t="shared" si="300"/>
        <v>9.3142968142968074E-2</v>
      </c>
      <c r="DJ72" s="52">
        <f t="shared" si="300"/>
        <v>4.0959573522878712E-2</v>
      </c>
      <c r="DK72" s="52">
        <f t="shared" si="300"/>
        <v>-0.34019005348810738</v>
      </c>
      <c r="DL72" s="52">
        <f t="shared" si="300"/>
        <v>-8.3954982536328715E-2</v>
      </c>
      <c r="DM72" s="52">
        <f t="shared" si="300"/>
        <v>-0.17294294859725101</v>
      </c>
      <c r="DN72" s="69">
        <f t="shared" si="300"/>
        <v>-0.14902390438247015</v>
      </c>
      <c r="DO72" s="69">
        <f t="shared" si="300"/>
        <v>1.6784100751422226E-2</v>
      </c>
      <c r="DP72" s="52">
        <f t="shared" si="300"/>
        <v>-9.865047754989309E-3</v>
      </c>
      <c r="DQ72" s="52">
        <f t="shared" si="300"/>
        <v>0.28556272014172257</v>
      </c>
      <c r="DR72" s="52">
        <f t="shared" si="300"/>
        <v>7.2256651638107572E-2</v>
      </c>
      <c r="DS72" s="52">
        <f t="shared" si="300"/>
        <v>8.7311712374608996E-2</v>
      </c>
      <c r="DT72" s="52">
        <f t="shared" si="300"/>
        <v>0.15885820663977657</v>
      </c>
      <c r="DU72" s="52">
        <f t="shared" si="300"/>
        <v>0.62623828647925039</v>
      </c>
      <c r="DV72" s="52">
        <f t="shared" si="300"/>
        <v>9.0949715414647914E-2</v>
      </c>
      <c r="DW72" s="52">
        <f t="shared" si="300"/>
        <v>-4.8722647407567488E-3</v>
      </c>
      <c r="DX72" s="52">
        <f t="shared" si="300"/>
        <v>-2.4978877358694973E-2</v>
      </c>
      <c r="DY72" s="52">
        <f t="shared" si="300"/>
        <v>7.3190241301159809E-2</v>
      </c>
      <c r="DZ72" s="52">
        <f t="shared" si="300"/>
        <v>5.1884057971014474E-2</v>
      </c>
      <c r="EA72" s="52">
        <f t="shared" si="300"/>
        <v>-1.5643821595874519E-2</v>
      </c>
      <c r="EB72" s="52">
        <f t="shared" si="300"/>
        <v>3.5874044214095901E-2</v>
      </c>
      <c r="EC72" s="52">
        <f t="shared" si="300"/>
        <v>-0.10979539508155356</v>
      </c>
      <c r="ED72" s="52">
        <f t="shared" si="300"/>
        <v>-0.14181172750224624</v>
      </c>
      <c r="EE72" s="52">
        <f t="shared" si="300"/>
        <v>7.7646655721537172E-3</v>
      </c>
      <c r="EF72" s="52">
        <f t="shared" si="300"/>
        <v>1.5454434604393441E-2</v>
      </c>
      <c r="EG72" s="52">
        <f t="shared" si="300"/>
        <v>8.6096380233620096E-3</v>
      </c>
      <c r="EH72" s="52">
        <f t="shared" si="300"/>
        <v>-0.40677917775073325</v>
      </c>
      <c r="EI72" s="52">
        <f t="shared" si="300"/>
        <v>-0.18989026508593188</v>
      </c>
      <c r="EJ72" s="52">
        <f t="shared" si="300"/>
        <v>-0.22972594743115693</v>
      </c>
      <c r="EL72" s="18" t="s">
        <v>724</v>
      </c>
      <c r="EM72" s="91">
        <v>-0.01</v>
      </c>
    </row>
    <row r="73" spans="2:185" s="18" customFormat="1" ht="13" x14ac:dyDescent="0.3">
      <c r="B73" s="22" t="s">
        <v>643</v>
      </c>
      <c r="C73" s="32"/>
      <c r="D73" s="32"/>
      <c r="E73" s="32"/>
      <c r="F73" s="32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39"/>
      <c r="AS73" s="39"/>
      <c r="AT73" s="36"/>
      <c r="AU73" s="36"/>
      <c r="AV73" s="36"/>
      <c r="AW73" s="36"/>
      <c r="AX73" s="36"/>
      <c r="AY73" s="36"/>
      <c r="AZ73" s="36"/>
      <c r="BA73" s="36"/>
      <c r="BB73" s="36"/>
      <c r="BC73" s="36"/>
      <c r="BD73" s="36"/>
      <c r="BE73" s="36"/>
      <c r="BF73" s="36"/>
      <c r="BG73" s="36"/>
      <c r="BH73" s="36"/>
      <c r="BI73" s="36"/>
      <c r="BJ73" s="36"/>
      <c r="BK73" s="39"/>
      <c r="BL73" s="39"/>
      <c r="BM73" s="39"/>
      <c r="BN73" s="39"/>
      <c r="BO73" s="39"/>
      <c r="BP73" s="39"/>
      <c r="BQ73" s="39"/>
      <c r="BR73" s="39"/>
      <c r="BS73" s="39"/>
      <c r="BT73" s="39">
        <v>0.05</v>
      </c>
      <c r="BU73" s="39"/>
      <c r="BV73" s="39"/>
      <c r="BW73" s="39"/>
      <c r="BX73" s="39"/>
      <c r="BY73" s="39"/>
      <c r="BZ73" s="39"/>
      <c r="CA73" s="39"/>
      <c r="CB73" s="39"/>
      <c r="CC73" s="39"/>
      <c r="CD73" s="39">
        <v>0.09</v>
      </c>
      <c r="CE73" s="39"/>
      <c r="CF73" s="39"/>
      <c r="CG73" s="39"/>
      <c r="CH73" s="39"/>
      <c r="CI73" s="39">
        <v>0.01</v>
      </c>
      <c r="CJ73" s="39"/>
      <c r="CK73" s="39"/>
      <c r="CL73" s="39"/>
      <c r="CM73" s="36"/>
      <c r="CN73" s="36"/>
      <c r="CO73" s="36"/>
      <c r="CP73" s="36"/>
      <c r="CQ73" s="36"/>
      <c r="CR73" s="36"/>
      <c r="CS73" s="36"/>
      <c r="CT73" s="36"/>
      <c r="CU73" s="36"/>
      <c r="CV73" s="36"/>
      <c r="CW73" s="36"/>
      <c r="CX73" s="36"/>
      <c r="CY73" s="36"/>
      <c r="CZ73" s="36"/>
      <c r="DA73" s="36"/>
      <c r="DB73" s="36"/>
      <c r="DC73" s="36"/>
      <c r="DD73" s="52"/>
      <c r="DE73" s="52"/>
      <c r="DF73" s="52"/>
      <c r="DG73" s="52"/>
      <c r="DH73" s="52"/>
      <c r="DI73" s="52"/>
      <c r="DJ73" s="52"/>
      <c r="DK73" s="52"/>
      <c r="DL73" s="52"/>
      <c r="DM73" s="52"/>
      <c r="DN73" s="69"/>
      <c r="DO73" s="69"/>
      <c r="DP73" s="52"/>
      <c r="DQ73" s="52"/>
      <c r="DR73" s="52"/>
      <c r="DS73" s="52"/>
      <c r="DT73" s="52"/>
      <c r="DU73" s="52"/>
      <c r="DV73" s="52"/>
      <c r="DW73" s="52"/>
      <c r="DX73" s="52"/>
      <c r="DY73" s="52">
        <v>0.09</v>
      </c>
      <c r="DZ73" s="52"/>
      <c r="EB73" s="32"/>
      <c r="EC73" s="78"/>
      <c r="EL73" s="18" t="s">
        <v>725</v>
      </c>
      <c r="EM73" s="91">
        <v>0.01</v>
      </c>
    </row>
    <row r="74" spans="2:185" s="22" customFormat="1" x14ac:dyDescent="0.25">
      <c r="B74" s="22" t="s">
        <v>622</v>
      </c>
      <c r="C74" s="32"/>
      <c r="D74" s="32"/>
      <c r="E74" s="32"/>
      <c r="F74" s="32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32"/>
      <c r="AU74" s="32"/>
      <c r="AV74" s="32"/>
      <c r="AW74" s="32"/>
      <c r="AX74" s="40">
        <f t="shared" ref="AX74:CI74" si="301">AX4/AT4-1</f>
        <v>0.57475083056478415</v>
      </c>
      <c r="AY74" s="40">
        <f t="shared" si="301"/>
        <v>0.5</v>
      </c>
      <c r="AZ74" s="40">
        <f t="shared" si="301"/>
        <v>0.5135135135135136</v>
      </c>
      <c r="BA74" s="40">
        <f t="shared" si="301"/>
        <v>0.39366515837104066</v>
      </c>
      <c r="BB74" s="40">
        <f t="shared" si="301"/>
        <v>0.43776371308016881</v>
      </c>
      <c r="BC74" s="40">
        <f t="shared" si="301"/>
        <v>0.36784741144414168</v>
      </c>
      <c r="BD74" s="40">
        <f t="shared" si="301"/>
        <v>0.40306122448979598</v>
      </c>
      <c r="BE74" s="40">
        <f t="shared" si="301"/>
        <v>0.28003246753246747</v>
      </c>
      <c r="BF74" s="40">
        <f t="shared" si="301"/>
        <v>0.25091709464416723</v>
      </c>
      <c r="BG74" s="40">
        <f t="shared" si="301"/>
        <v>0.27822045152722441</v>
      </c>
      <c r="BH74" s="40">
        <f t="shared" si="301"/>
        <v>0.23757575757575755</v>
      </c>
      <c r="BI74" s="40">
        <f t="shared" si="301"/>
        <v>0.22257450856055794</v>
      </c>
      <c r="BJ74" s="40">
        <f t="shared" si="301"/>
        <v>0.19296187683284449</v>
      </c>
      <c r="BK74" s="40">
        <f t="shared" si="301"/>
        <v>0.37194805194805203</v>
      </c>
      <c r="BL74" s="40">
        <f t="shared" si="301"/>
        <v>5.9255631733594605E-2</v>
      </c>
      <c r="BM74" s="40">
        <f t="shared" si="301"/>
        <v>8.6618257261410703E-2</v>
      </c>
      <c r="BN74" s="40">
        <f t="shared" si="301"/>
        <v>0.115535889872173</v>
      </c>
      <c r="BO74" s="40">
        <f t="shared" si="301"/>
        <v>9.2767890950397502E-2</v>
      </c>
      <c r="BP74" s="40">
        <f t="shared" si="301"/>
        <v>0.29079981507165975</v>
      </c>
      <c r="BQ74" s="40">
        <f t="shared" si="301"/>
        <v>0.15178997613365164</v>
      </c>
      <c r="BR74" s="40">
        <f t="shared" si="301"/>
        <v>0.17717055971793738</v>
      </c>
      <c r="BS74" s="40">
        <f t="shared" si="301"/>
        <v>0.11261261261261257</v>
      </c>
      <c r="BT74" s="40">
        <f t="shared" si="301"/>
        <v>0.1586676217765044</v>
      </c>
      <c r="BU74" s="40">
        <f t="shared" si="301"/>
        <v>0.1002900953170327</v>
      </c>
      <c r="BV74" s="40">
        <f t="shared" si="301"/>
        <v>6.3646574316735816E-3</v>
      </c>
      <c r="BW74" s="40">
        <f t="shared" si="301"/>
        <v>6.602304578013074E-2</v>
      </c>
      <c r="BX74" s="40">
        <f t="shared" si="301"/>
        <v>-9.582689335394079E-3</v>
      </c>
      <c r="BY74" s="40">
        <f t="shared" si="301"/>
        <v>1.883239171374762E-2</v>
      </c>
      <c r="BZ74" s="40">
        <f t="shared" si="301"/>
        <v>6.9196428571428603E-2</v>
      </c>
      <c r="CA74" s="40">
        <f t="shared" si="301"/>
        <v>8.6765994741454966E-2</v>
      </c>
      <c r="CB74" s="40">
        <f t="shared" si="301"/>
        <v>6.616729088639195E-2</v>
      </c>
      <c r="CC74" s="40">
        <f t="shared" si="301"/>
        <v>0.10979667282809613</v>
      </c>
      <c r="CD74" s="40">
        <f t="shared" si="301"/>
        <v>0.11169102296450939</v>
      </c>
      <c r="CE74" s="40">
        <f t="shared" si="301"/>
        <v>-4.166666666666663E-2</v>
      </c>
      <c r="CF74" s="40">
        <f t="shared" si="301"/>
        <v>7.7283372365339664E-2</v>
      </c>
      <c r="CG74" s="40">
        <f t="shared" si="301"/>
        <v>0.24783477681545629</v>
      </c>
      <c r="CH74" s="40">
        <f t="shared" si="301"/>
        <v>8.0751173708920154E-2</v>
      </c>
      <c r="CI74" s="40">
        <f t="shared" si="301"/>
        <v>0.16044880785413751</v>
      </c>
      <c r="CJ74" s="40">
        <f t="shared" ref="CJ74:CJ76" si="302">CJ4/CF4-1</f>
        <v>0.1241847826086957</v>
      </c>
      <c r="CK74" s="40">
        <f t="shared" ref="CK74:CK76" si="303">CK4/CG4-1</f>
        <v>0.10437800320341695</v>
      </c>
      <c r="CL74" s="40">
        <f t="shared" ref="CL74:CL76" si="304">CL4/CH4-1</f>
        <v>-0.88019113814074712</v>
      </c>
      <c r="CM74" s="32"/>
      <c r="CN74" s="32"/>
      <c r="CO74" s="32"/>
      <c r="CP74" s="32"/>
      <c r="CQ74" s="32"/>
      <c r="CR74" s="32"/>
      <c r="CS74" s="32"/>
      <c r="CT74" s="32"/>
      <c r="CU74" s="32"/>
      <c r="CV74" s="32"/>
      <c r="CW74" s="32"/>
      <c r="CX74" s="32"/>
      <c r="CY74" s="32"/>
      <c r="CZ74" s="32"/>
      <c r="DA74" s="32"/>
      <c r="DB74" s="32"/>
      <c r="DC74" s="32"/>
      <c r="DD74" s="57"/>
      <c r="DE74" s="57"/>
      <c r="DF74" s="57"/>
      <c r="DG74" s="57"/>
      <c r="DH74" s="57"/>
      <c r="DI74" s="57"/>
      <c r="DJ74" s="57"/>
      <c r="DK74" s="57"/>
      <c r="DL74" s="57"/>
      <c r="DM74" s="57"/>
      <c r="DN74" s="70"/>
      <c r="DO74" s="70"/>
      <c r="DP74" s="57"/>
      <c r="DQ74" s="57"/>
      <c r="DR74" s="57"/>
      <c r="DS74" s="57"/>
      <c r="DT74" s="57"/>
      <c r="DU74" s="57"/>
      <c r="DV74" s="57"/>
      <c r="DW74" s="57"/>
      <c r="DX74" s="57"/>
      <c r="DY74" s="57"/>
      <c r="DZ74" s="57"/>
      <c r="EB74" s="74"/>
      <c r="EC74" s="83"/>
      <c r="EL74" s="22" t="s">
        <v>726</v>
      </c>
      <c r="EM74" s="58">
        <v>7.0000000000000007E-2</v>
      </c>
    </row>
    <row r="75" spans="2:185" s="22" customFormat="1" ht="13" customHeight="1" x14ac:dyDescent="0.25">
      <c r="B75" s="22" t="s">
        <v>621</v>
      </c>
      <c r="C75" s="32"/>
      <c r="D75" s="32"/>
      <c r="E75" s="32"/>
      <c r="F75" s="32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32"/>
      <c r="AU75" s="32"/>
      <c r="AV75" s="32"/>
      <c r="AW75" s="32"/>
      <c r="AX75" s="40">
        <f t="shared" ref="AX75:CI75" si="305">AX5/AT5-1</f>
        <v>1.7578947368421054</v>
      </c>
      <c r="AY75" s="40">
        <f t="shared" si="305"/>
        <v>0.60085227272727271</v>
      </c>
      <c r="AZ75" s="40">
        <f t="shared" si="305"/>
        <v>0.42261904761904767</v>
      </c>
      <c r="BA75" s="40">
        <f t="shared" si="305"/>
        <v>0.375</v>
      </c>
      <c r="BB75" s="40">
        <f t="shared" si="305"/>
        <v>3.8931297709923651E-2</v>
      </c>
      <c r="BC75" s="40">
        <f t="shared" si="305"/>
        <v>0.34072759538598052</v>
      </c>
      <c r="BD75" s="40">
        <f t="shared" si="305"/>
        <v>0.36150627615062758</v>
      </c>
      <c r="BE75" s="40">
        <f t="shared" si="305"/>
        <v>0.41739130434782612</v>
      </c>
      <c r="BF75" s="40">
        <f t="shared" si="305"/>
        <v>0.32549595885378402</v>
      </c>
      <c r="BG75" s="40">
        <f t="shared" si="305"/>
        <v>0.19192587690271345</v>
      </c>
      <c r="BH75" s="40">
        <f t="shared" si="305"/>
        <v>0.12046711739397664</v>
      </c>
      <c r="BI75" s="40">
        <f t="shared" si="305"/>
        <v>1.3385387618516376E-2</v>
      </c>
      <c r="BJ75" s="40">
        <f t="shared" si="305"/>
        <v>-2.2727272727272707E-2</v>
      </c>
      <c r="BK75" s="40">
        <f t="shared" si="305"/>
        <v>-1.9433647973348123E-2</v>
      </c>
      <c r="BL75" s="40">
        <f t="shared" si="305"/>
        <v>-9.3252879868348848E-2</v>
      </c>
      <c r="BM75" s="40">
        <f t="shared" si="305"/>
        <v>-2.0363236103467242E-2</v>
      </c>
      <c r="BN75" s="40">
        <f t="shared" si="305"/>
        <v>1.7016449234259712E-2</v>
      </c>
      <c r="BO75" s="40">
        <f t="shared" si="305"/>
        <v>-2.6047565118912819E-2</v>
      </c>
      <c r="BP75" s="40">
        <f t="shared" si="305"/>
        <v>0.15547489413188154</v>
      </c>
      <c r="BQ75" s="40">
        <f t="shared" si="305"/>
        <v>7.02247191011236E-2</v>
      </c>
      <c r="BR75" s="40">
        <f t="shared" si="305"/>
        <v>0.10875627440044622</v>
      </c>
      <c r="BS75" s="40">
        <f t="shared" si="305"/>
        <v>0.11802325581395356</v>
      </c>
      <c r="BT75" s="40">
        <f t="shared" si="305"/>
        <v>8.010471204188474E-2</v>
      </c>
      <c r="BU75" s="40">
        <f t="shared" si="305"/>
        <v>7.4540682414698134E-2</v>
      </c>
      <c r="BV75" s="40">
        <f t="shared" si="305"/>
        <v>0.11468812877263579</v>
      </c>
      <c r="BW75" s="40">
        <f t="shared" si="305"/>
        <v>0.14508580343213739</v>
      </c>
      <c r="BX75" s="40">
        <f t="shared" si="305"/>
        <v>3.9747939893359119E-2</v>
      </c>
      <c r="BY75" s="40">
        <f t="shared" si="305"/>
        <v>0.11138251099169527</v>
      </c>
      <c r="BZ75" s="40">
        <f t="shared" si="305"/>
        <v>7.7166064981949445E-2</v>
      </c>
      <c r="CA75" s="40">
        <f t="shared" si="305"/>
        <v>-5.6312443233424214E-2</v>
      </c>
      <c r="CB75" s="40">
        <f t="shared" si="305"/>
        <v>0.11282051282051286</v>
      </c>
      <c r="CC75" s="40">
        <f t="shared" si="305"/>
        <v>3.7362637362637452E-2</v>
      </c>
      <c r="CD75" s="40">
        <f t="shared" si="305"/>
        <v>3.8542103058232025E-2</v>
      </c>
      <c r="CE75" s="40">
        <f t="shared" si="305"/>
        <v>8.9990375360923913E-2</v>
      </c>
      <c r="CF75" s="40">
        <f t="shared" si="305"/>
        <v>7.2475911185588604E-2</v>
      </c>
      <c r="CG75" s="40">
        <f t="shared" si="305"/>
        <v>7.2881355932203462E-2</v>
      </c>
      <c r="CH75" s="40">
        <f t="shared" si="305"/>
        <v>8.6325131101250507E-2</v>
      </c>
      <c r="CI75" s="40">
        <f t="shared" si="305"/>
        <v>-5.2538631346578324E-2</v>
      </c>
      <c r="CJ75" s="40">
        <f t="shared" si="302"/>
        <v>-0.16171875000000002</v>
      </c>
      <c r="CK75" s="40">
        <f t="shared" si="303"/>
        <v>-0.15244865718799372</v>
      </c>
      <c r="CL75" s="40">
        <f t="shared" si="304"/>
        <v>-0.92031191979205351</v>
      </c>
      <c r="CM75" s="32"/>
      <c r="CN75" s="32"/>
      <c r="CO75" s="32"/>
      <c r="CP75" s="32"/>
      <c r="CQ75" s="32"/>
      <c r="CR75" s="32"/>
      <c r="CS75" s="32"/>
      <c r="CT75" s="32"/>
      <c r="CU75" s="32"/>
      <c r="CV75" s="32"/>
      <c r="CW75" s="32"/>
      <c r="CX75" s="32"/>
      <c r="CY75" s="32"/>
      <c r="CZ75" s="32"/>
      <c r="DA75" s="32"/>
      <c r="DB75" s="32"/>
      <c r="DC75" s="32"/>
      <c r="DD75" s="57"/>
      <c r="DE75" s="57"/>
      <c r="DF75" s="57"/>
      <c r="DG75" s="57"/>
      <c r="DH75" s="57"/>
      <c r="DI75" s="57"/>
      <c r="DJ75" s="57"/>
      <c r="DK75" s="57"/>
      <c r="DL75" s="57"/>
      <c r="DM75" s="57"/>
      <c r="DN75" s="70"/>
      <c r="DO75" s="70"/>
      <c r="DP75" s="57"/>
      <c r="DQ75" s="57"/>
      <c r="DR75" s="57"/>
      <c r="DS75" s="57"/>
      <c r="DT75" s="57"/>
      <c r="DU75" s="57"/>
      <c r="DV75" s="57"/>
      <c r="DW75" s="57"/>
      <c r="DX75" s="57"/>
      <c r="DY75" s="57"/>
      <c r="DZ75" s="57"/>
      <c r="EB75" s="32"/>
      <c r="EC75" s="71"/>
      <c r="EL75" s="22" t="s">
        <v>727</v>
      </c>
      <c r="EM75" s="43">
        <f>NPV(EM74,DZ68:GC68)+Main!K5-Main!K6</f>
        <v>171724.12359232007</v>
      </c>
    </row>
    <row r="76" spans="2:185" s="22" customFormat="1" ht="13" customHeight="1" x14ac:dyDescent="0.25">
      <c r="B76" s="22" t="s">
        <v>623</v>
      </c>
      <c r="C76" s="32"/>
      <c r="D76" s="32"/>
      <c r="E76" s="32"/>
      <c r="F76" s="32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40"/>
      <c r="BL76" s="40"/>
      <c r="BM76" s="40"/>
      <c r="BN76" s="40">
        <f t="shared" ref="BN76:CI76" si="306">BN6/BJ6-1</f>
        <v>1.5250192455735183</v>
      </c>
      <c r="BO76" s="40">
        <f t="shared" si="306"/>
        <v>9.9485420240137401E-3</v>
      </c>
      <c r="BP76" s="40">
        <f t="shared" si="306"/>
        <v>0.11026352288488206</v>
      </c>
      <c r="BQ76" s="40">
        <f t="shared" si="306"/>
        <v>0.10571522960026436</v>
      </c>
      <c r="BR76" s="40">
        <f t="shared" si="306"/>
        <v>1.4634146341463428E-2</v>
      </c>
      <c r="BS76" s="40">
        <f t="shared" si="306"/>
        <v>-4.9932065217391353E-2</v>
      </c>
      <c r="BT76" s="40">
        <f t="shared" si="306"/>
        <v>-0.21892567145534036</v>
      </c>
      <c r="BU76" s="40">
        <f t="shared" si="306"/>
        <v>-0.27696444577233348</v>
      </c>
      <c r="BV76" s="40">
        <f t="shared" si="306"/>
        <v>-0.32091346153846156</v>
      </c>
      <c r="BW76" s="40">
        <f t="shared" si="306"/>
        <v>-0.37432963889882021</v>
      </c>
      <c r="BX76" s="40">
        <f t="shared" si="306"/>
        <v>-0.41303478608556576</v>
      </c>
      <c r="BY76" s="40">
        <f t="shared" si="306"/>
        <v>-0.40950413223140492</v>
      </c>
      <c r="BZ76" s="40">
        <f t="shared" si="306"/>
        <v>-0.3584070796460177</v>
      </c>
      <c r="CA76" s="40">
        <f t="shared" si="306"/>
        <v>-4.6285714285714263E-2</v>
      </c>
      <c r="CB76" s="40">
        <f t="shared" si="306"/>
        <v>-7.8337874659400564E-2</v>
      </c>
      <c r="CC76" s="40">
        <f t="shared" si="306"/>
        <v>-1.1896431070678837E-2</v>
      </c>
      <c r="CD76" s="40">
        <f t="shared" si="306"/>
        <v>-7.6551724137930988E-2</v>
      </c>
      <c r="CE76" s="40">
        <f t="shared" si="306"/>
        <v>-0.43918514080287596</v>
      </c>
      <c r="CF76" s="40">
        <f t="shared" si="306"/>
        <v>-0.38063562453806354</v>
      </c>
      <c r="CG76" s="40">
        <f t="shared" si="306"/>
        <v>-0.59277620396600561</v>
      </c>
      <c r="CH76" s="40">
        <f t="shared" si="306"/>
        <v>-0.55041075429424946</v>
      </c>
      <c r="CI76" s="40">
        <f t="shared" si="306"/>
        <v>-0.62713675213675213</v>
      </c>
      <c r="CJ76" s="40">
        <f t="shared" si="302"/>
        <v>-0.5835322195704058</v>
      </c>
      <c r="CK76" s="40">
        <f t="shared" si="303"/>
        <v>-0.39304347826086961</v>
      </c>
      <c r="CL76" s="40">
        <f t="shared" si="304"/>
        <v>-0.42026578073089704</v>
      </c>
      <c r="CM76" s="32"/>
      <c r="CN76" s="32"/>
      <c r="CO76" s="32"/>
      <c r="CP76" s="32"/>
      <c r="CQ76" s="32"/>
      <c r="CR76" s="32"/>
      <c r="CS76" s="32"/>
      <c r="CT76" s="32"/>
      <c r="CU76" s="32"/>
      <c r="CV76" s="32"/>
      <c r="CW76" s="32"/>
      <c r="CX76" s="32"/>
      <c r="CY76" s="32"/>
      <c r="CZ76" s="32"/>
      <c r="DA76" s="32"/>
      <c r="DB76" s="32"/>
      <c r="DC76" s="32"/>
      <c r="DD76" s="57"/>
      <c r="DE76" s="57"/>
      <c r="DF76" s="57"/>
      <c r="DG76" s="57"/>
      <c r="DH76" s="57"/>
      <c r="DI76" s="57"/>
      <c r="DJ76" s="57"/>
      <c r="DK76" s="57"/>
      <c r="DL76" s="57"/>
      <c r="DM76" s="57"/>
      <c r="DN76" s="70"/>
      <c r="DO76" s="70"/>
      <c r="DP76" s="57"/>
      <c r="DQ76" s="57"/>
      <c r="DR76" s="57"/>
      <c r="DS76" s="57"/>
      <c r="DT76" s="57"/>
      <c r="DU76" s="57"/>
      <c r="DV76" s="57"/>
      <c r="DW76" s="57"/>
      <c r="DX76" s="57"/>
      <c r="DY76" s="57"/>
      <c r="DZ76" s="57"/>
      <c r="EB76" s="32"/>
      <c r="EC76" s="71"/>
      <c r="EL76" s="22" t="s">
        <v>728</v>
      </c>
      <c r="EM76" s="92">
        <f>EM75/Main!K3</f>
        <v>84.093110778871889</v>
      </c>
    </row>
    <row r="77" spans="2:185" s="73" customFormat="1" ht="13" customHeight="1" x14ac:dyDescent="0.25">
      <c r="B77" s="73" t="s">
        <v>436</v>
      </c>
      <c r="C77" s="74" t="s">
        <v>357</v>
      </c>
      <c r="D77" s="74" t="s">
        <v>357</v>
      </c>
      <c r="E77" s="74" t="s">
        <v>357</v>
      </c>
      <c r="F77" s="74" t="s">
        <v>357</v>
      </c>
      <c r="G77" s="75">
        <f t="shared" ref="G77:AK77" si="307">+G39/C39-1</f>
        <v>0.21130221130221138</v>
      </c>
      <c r="H77" s="75">
        <f t="shared" si="307"/>
        <v>0.18285123966942152</v>
      </c>
      <c r="I77" s="75">
        <f t="shared" si="307"/>
        <v>-0.3571428571428571</v>
      </c>
      <c r="J77" s="75">
        <f t="shared" si="307"/>
        <v>-0.53251649387370403</v>
      </c>
      <c r="K77" s="75">
        <f t="shared" si="307"/>
        <v>-4.8681541582150101E-2</v>
      </c>
      <c r="L77" s="75">
        <f t="shared" si="307"/>
        <v>3.8427947598253187E-2</v>
      </c>
      <c r="M77" s="75">
        <f t="shared" si="307"/>
        <v>0.99047619047619051</v>
      </c>
      <c r="N77" s="75">
        <f t="shared" si="307"/>
        <v>1.7701612903225805</v>
      </c>
      <c r="O77" s="75">
        <f t="shared" si="307"/>
        <v>0.3944562899786781</v>
      </c>
      <c r="P77" s="75">
        <f t="shared" si="307"/>
        <v>0.16652649285113541</v>
      </c>
      <c r="Q77" s="75">
        <f t="shared" si="307"/>
        <v>0.1475279106858054</v>
      </c>
      <c r="R77" s="75">
        <f t="shared" si="307"/>
        <v>6.9141193595342099E-2</v>
      </c>
      <c r="S77" s="75">
        <f t="shared" si="307"/>
        <v>9.7094801223241545E-2</v>
      </c>
      <c r="T77" s="75">
        <f t="shared" si="307"/>
        <v>0.1095890410958904</v>
      </c>
      <c r="U77" s="75">
        <f t="shared" si="307"/>
        <v>7.9916608756080532E-2</v>
      </c>
      <c r="V77" s="75">
        <f t="shared" si="307"/>
        <v>0.10142954390741998</v>
      </c>
      <c r="W77" s="75">
        <f t="shared" si="307"/>
        <v>0.16097560975609748</v>
      </c>
      <c r="X77" s="75">
        <f t="shared" si="307"/>
        <v>5.7179987004548405E-2</v>
      </c>
      <c r="Y77" s="75">
        <f t="shared" si="307"/>
        <v>6.6924066924066938E-2</v>
      </c>
      <c r="Z77" s="75">
        <f t="shared" si="307"/>
        <v>5.9950556242274411E-2</v>
      </c>
      <c r="AA77" s="75">
        <f t="shared" si="307"/>
        <v>5.7623049219687861E-2</v>
      </c>
      <c r="AB77" s="75">
        <f t="shared" si="307"/>
        <v>0.146281499692686</v>
      </c>
      <c r="AC77" s="75">
        <f t="shared" si="307"/>
        <v>7.8407720144752613E-2</v>
      </c>
      <c r="AD77" s="75">
        <f t="shared" si="307"/>
        <v>-2.507288629737614E-2</v>
      </c>
      <c r="AE77" s="75">
        <f t="shared" si="307"/>
        <v>-3.9160045402951149E-2</v>
      </c>
      <c r="AF77" s="75">
        <f t="shared" si="307"/>
        <v>-0.60268096514745306</v>
      </c>
      <c r="AG77" s="75">
        <f t="shared" si="307"/>
        <v>-0.96420581655480986</v>
      </c>
      <c r="AH77" s="75">
        <f t="shared" si="307"/>
        <v>-0.97069377990430628</v>
      </c>
      <c r="AI77" s="75">
        <f t="shared" si="307"/>
        <v>-0.94624926166568224</v>
      </c>
      <c r="AJ77" s="75">
        <f t="shared" si="307"/>
        <v>-0.94062078272604588</v>
      </c>
      <c r="AK77" s="75">
        <f t="shared" si="307"/>
        <v>-0.34375</v>
      </c>
      <c r="AL77" s="75"/>
      <c r="AM77" s="75"/>
      <c r="AN77" s="75"/>
      <c r="AO77" s="75"/>
      <c r="AP77" s="75"/>
      <c r="AQ77" s="75"/>
      <c r="AR77" s="75"/>
      <c r="AS77" s="75"/>
      <c r="AT77" s="74"/>
      <c r="AU77" s="74"/>
      <c r="AV77" s="74"/>
      <c r="AW77" s="74"/>
      <c r="AX77" s="74"/>
      <c r="AY77" s="74"/>
      <c r="AZ77" s="74"/>
      <c r="BA77" s="74"/>
      <c r="BB77" s="74"/>
      <c r="BC77" s="74"/>
      <c r="BD77" s="74"/>
      <c r="BE77" s="74"/>
      <c r="BF77" s="74"/>
      <c r="BG77" s="74"/>
      <c r="BH77" s="74"/>
      <c r="BI77" s="74"/>
      <c r="BJ77" s="74"/>
      <c r="BK77" s="74"/>
      <c r="BL77" s="74"/>
      <c r="BM77" s="74"/>
      <c r="BN77" s="74"/>
      <c r="BO77" s="74"/>
      <c r="BP77" s="74"/>
      <c r="BQ77" s="74"/>
      <c r="BR77" s="74"/>
      <c r="BS77" s="74"/>
      <c r="BT77" s="74"/>
      <c r="BU77" s="74"/>
      <c r="BV77" s="74"/>
      <c r="BW77" s="74"/>
      <c r="BX77" s="74"/>
      <c r="BY77" s="74"/>
      <c r="BZ77" s="74"/>
      <c r="CA77" s="74"/>
      <c r="CB77" s="74"/>
      <c r="CC77" s="74"/>
      <c r="CD77" s="74"/>
      <c r="CE77" s="74"/>
      <c r="CF77" s="74"/>
      <c r="CG77" s="74"/>
      <c r="CH77" s="74"/>
      <c r="CI77" s="74"/>
      <c r="CJ77" s="74"/>
      <c r="CK77" s="74"/>
      <c r="CL77" s="74"/>
      <c r="CM77" s="74"/>
      <c r="CN77" s="74"/>
      <c r="CO77" s="74"/>
      <c r="CP77" s="74"/>
      <c r="CQ77" s="74"/>
      <c r="CR77" s="74"/>
      <c r="CS77" s="74"/>
      <c r="CT77" s="74"/>
      <c r="CU77" s="74"/>
      <c r="CV77" s="74"/>
      <c r="CW77" s="74"/>
      <c r="CX77" s="74"/>
      <c r="CY77" s="74"/>
      <c r="CZ77" s="74"/>
      <c r="DA77" s="74"/>
      <c r="DB77" s="76" t="e">
        <f>DB39/DA39-1</f>
        <v>#DIV/0!</v>
      </c>
      <c r="DC77" s="76" t="s">
        <v>357</v>
      </c>
      <c r="DD77" s="76">
        <f t="shared" ref="DD77:DZ77" si="308">DD39/DC39-1</f>
        <v>0.30529100529100539</v>
      </c>
      <c r="DE77" s="76">
        <f t="shared" si="308"/>
        <v>0.34860154033238744</v>
      </c>
      <c r="DF77" s="76">
        <f t="shared" si="308"/>
        <v>0.14908325819056212</v>
      </c>
      <c r="DG77" s="76">
        <f t="shared" si="308"/>
        <v>-0.14805126863719587</v>
      </c>
      <c r="DH77" s="76">
        <f t="shared" si="308"/>
        <v>0.45993245317777087</v>
      </c>
      <c r="DI77" s="76">
        <f t="shared" si="308"/>
        <v>0.17833859095688753</v>
      </c>
      <c r="DJ77" s="76">
        <f t="shared" si="308"/>
        <v>9.6912368374085345E-2</v>
      </c>
      <c r="DK77" s="76">
        <f t="shared" si="308"/>
        <v>8.4607875040676905E-2</v>
      </c>
      <c r="DL77" s="76">
        <f t="shared" si="308"/>
        <v>6.3156315631563098E-2</v>
      </c>
      <c r="DM77" s="76">
        <f t="shared" si="308"/>
        <v>-0.64060956681247361</v>
      </c>
      <c r="DN77" s="77">
        <f t="shared" si="308"/>
        <v>-0.8</v>
      </c>
      <c r="DO77" s="77">
        <f t="shared" si="308"/>
        <v>-0.5</v>
      </c>
      <c r="DP77" s="76">
        <f t="shared" si="308"/>
        <v>-1</v>
      </c>
      <c r="DQ77" s="76" t="e">
        <f t="shared" si="308"/>
        <v>#DIV/0!</v>
      </c>
      <c r="DR77" s="76" t="e">
        <f t="shared" si="308"/>
        <v>#DIV/0!</v>
      </c>
      <c r="DS77" s="76" t="e">
        <f t="shared" si="308"/>
        <v>#DIV/0!</v>
      </c>
      <c r="DT77" s="76" t="e">
        <f t="shared" si="308"/>
        <v>#DIV/0!</v>
      </c>
      <c r="DU77" s="76" t="e">
        <f t="shared" si="308"/>
        <v>#DIV/0!</v>
      </c>
      <c r="DV77" s="76" t="e">
        <f t="shared" si="308"/>
        <v>#DIV/0!</v>
      </c>
      <c r="DW77" s="76" t="e">
        <f t="shared" si="308"/>
        <v>#DIV/0!</v>
      </c>
      <c r="DX77" s="76" t="e">
        <f t="shared" si="308"/>
        <v>#DIV/0!</v>
      </c>
      <c r="DY77" s="76" t="e">
        <f t="shared" si="308"/>
        <v>#DIV/0!</v>
      </c>
      <c r="DZ77" s="76" t="e">
        <f t="shared" si="308"/>
        <v>#DIV/0!</v>
      </c>
      <c r="EL77" s="22" t="s">
        <v>77</v>
      </c>
      <c r="EM77" s="92">
        <v>49</v>
      </c>
    </row>
    <row r="78" spans="2:185" s="73" customFormat="1" ht="13" customHeight="1" x14ac:dyDescent="0.3">
      <c r="B78" s="73" t="s">
        <v>437</v>
      </c>
      <c r="C78" s="74" t="s">
        <v>357</v>
      </c>
      <c r="D78" s="74" t="s">
        <v>357</v>
      </c>
      <c r="E78" s="74" t="s">
        <v>357</v>
      </c>
      <c r="F78" s="74" t="s">
        <v>357</v>
      </c>
      <c r="G78" s="75">
        <f t="shared" ref="G78:AK78" si="309">+G44/C44-1</f>
        <v>1.1560693641618602E-2</v>
      </c>
      <c r="H78" s="75">
        <f t="shared" si="309"/>
        <v>0.15568862275449091</v>
      </c>
      <c r="I78" s="75">
        <f t="shared" si="309"/>
        <v>0.18235294117647061</v>
      </c>
      <c r="J78" s="75">
        <f t="shared" si="309"/>
        <v>0.30588235294117649</v>
      </c>
      <c r="K78" s="75">
        <f t="shared" si="309"/>
        <v>0.29142857142857137</v>
      </c>
      <c r="L78" s="75">
        <f t="shared" si="309"/>
        <v>0.20725388601036276</v>
      </c>
      <c r="M78" s="75">
        <f t="shared" si="309"/>
        <v>0.17910447761194037</v>
      </c>
      <c r="N78" s="75">
        <f t="shared" si="309"/>
        <v>0.1711711711711712</v>
      </c>
      <c r="O78" s="75">
        <f t="shared" si="309"/>
        <v>0.20796460176991149</v>
      </c>
      <c r="P78" s="75">
        <f t="shared" si="309"/>
        <v>0.21030042918454939</v>
      </c>
      <c r="Q78" s="75">
        <f t="shared" si="309"/>
        <v>0.240506329113924</v>
      </c>
      <c r="R78" s="75">
        <f t="shared" si="309"/>
        <v>0.15384615384615374</v>
      </c>
      <c r="S78" s="75">
        <f t="shared" si="309"/>
        <v>6.9597069597069572E-2</v>
      </c>
      <c r="T78" s="75">
        <f t="shared" si="309"/>
        <v>0.1063829787234043</v>
      </c>
      <c r="U78" s="75">
        <f t="shared" si="309"/>
        <v>7.1428571428571397E-2</v>
      </c>
      <c r="V78" s="75">
        <f t="shared" si="309"/>
        <v>0.19333333333333336</v>
      </c>
      <c r="W78" s="75">
        <f t="shared" si="309"/>
        <v>0.14726027397260277</v>
      </c>
      <c r="X78" s="75">
        <f t="shared" si="309"/>
        <v>6.0897435897435903E-2</v>
      </c>
      <c r="Y78" s="75">
        <f t="shared" si="309"/>
        <v>8.5714285714285632E-2</v>
      </c>
      <c r="Z78" s="75">
        <f t="shared" si="309"/>
        <v>5.5865921787709993E-3</v>
      </c>
      <c r="AA78" s="75">
        <f t="shared" si="309"/>
        <v>2.3880597014925398E-2</v>
      </c>
      <c r="AB78" s="75">
        <f t="shared" si="309"/>
        <v>0.12084592145015116</v>
      </c>
      <c r="AC78" s="75">
        <f t="shared" si="309"/>
        <v>4.9707602339181367E-2</v>
      </c>
      <c r="AD78" s="75">
        <f t="shared" si="309"/>
        <v>0.14444444444444438</v>
      </c>
      <c r="AE78" s="75">
        <f t="shared" si="309"/>
        <v>0.12536443148688048</v>
      </c>
      <c r="AF78" s="75">
        <f t="shared" si="309"/>
        <v>4.5822102425876032E-2</v>
      </c>
      <c r="AG78" s="75">
        <f t="shared" si="309"/>
        <v>3.0640668523676862E-2</v>
      </c>
      <c r="AH78" s="75">
        <f t="shared" si="309"/>
        <v>-7.0388349514563076E-2</v>
      </c>
      <c r="AI78" s="75">
        <f t="shared" si="309"/>
        <v>2.5906735751295429E-3</v>
      </c>
      <c r="AJ78" s="75">
        <f t="shared" si="309"/>
        <v>5.9278350515463929E-2</v>
      </c>
      <c r="AK78" s="75">
        <f t="shared" si="309"/>
        <v>5.1351351351351271E-2</v>
      </c>
      <c r="AL78" s="75"/>
      <c r="AM78" s="75"/>
      <c r="AN78" s="75"/>
      <c r="AO78" s="75"/>
      <c r="AP78" s="75"/>
      <c r="AQ78" s="75"/>
      <c r="AR78" s="75"/>
      <c r="AS78" s="75"/>
      <c r="AT78" s="74"/>
      <c r="AU78" s="74"/>
      <c r="AV78" s="74"/>
      <c r="AW78" s="74"/>
      <c r="AX78" s="74"/>
      <c r="AY78" s="74"/>
      <c r="AZ78" s="74"/>
      <c r="BA78" s="74"/>
      <c r="BB78" s="74"/>
      <c r="BC78" s="74"/>
      <c r="BD78" s="74"/>
      <c r="BE78" s="74"/>
      <c r="BF78" s="74"/>
      <c r="BG78" s="74"/>
      <c r="BH78" s="74"/>
      <c r="BI78" s="74"/>
      <c r="BJ78" s="74"/>
      <c r="BK78" s="74"/>
      <c r="BL78" s="74"/>
      <c r="BM78" s="74"/>
      <c r="BN78" s="74"/>
      <c r="BO78" s="74"/>
      <c r="BP78" s="74"/>
      <c r="BQ78" s="74"/>
      <c r="BR78" s="74"/>
      <c r="BS78" s="74"/>
      <c r="BT78" s="74"/>
      <c r="BU78" s="74"/>
      <c r="BV78" s="74"/>
      <c r="BW78" s="74"/>
      <c r="BX78" s="74"/>
      <c r="BY78" s="74"/>
      <c r="BZ78" s="74"/>
      <c r="CA78" s="74"/>
      <c r="CB78" s="74"/>
      <c r="CC78" s="74"/>
      <c r="CD78" s="74"/>
      <c r="CE78" s="74"/>
      <c r="CF78" s="74"/>
      <c r="CG78" s="74"/>
      <c r="CH78" s="74"/>
      <c r="CI78" s="74"/>
      <c r="CJ78" s="74"/>
      <c r="CK78" s="74"/>
      <c r="CL78" s="74"/>
      <c r="CM78" s="74"/>
      <c r="CN78" s="74"/>
      <c r="CO78" s="74"/>
      <c r="CP78" s="74"/>
      <c r="CQ78" s="74"/>
      <c r="CR78" s="74"/>
      <c r="CS78" s="74"/>
      <c r="CT78" s="74"/>
      <c r="CU78" s="74"/>
      <c r="CV78" s="74"/>
      <c r="CW78" s="74"/>
      <c r="CX78" s="74"/>
      <c r="CY78" s="74"/>
      <c r="CZ78" s="74"/>
      <c r="DA78" s="74"/>
      <c r="DB78" s="74"/>
      <c r="DC78" s="74"/>
      <c r="DD78" s="74"/>
      <c r="DE78" s="74"/>
      <c r="DF78" s="74"/>
      <c r="DG78" s="74"/>
      <c r="DH78" s="74"/>
      <c r="DI78" s="79"/>
      <c r="DJ78" s="80"/>
      <c r="DK78" s="80"/>
      <c r="DL78" s="80"/>
      <c r="DM78" s="74"/>
      <c r="DN78" s="81"/>
      <c r="DO78" s="81"/>
      <c r="DP78" s="74"/>
      <c r="DQ78" s="74"/>
      <c r="DR78" s="74"/>
      <c r="DT78" s="79"/>
      <c r="DU78" s="82"/>
      <c r="EL78" s="22" t="s">
        <v>729</v>
      </c>
      <c r="EM78" s="58">
        <f>+EM76/EM77-1</f>
        <v>0.7161859342626915</v>
      </c>
    </row>
    <row r="79" spans="2:185" ht="13" x14ac:dyDescent="0.3">
      <c r="B79" s="22" t="s">
        <v>440</v>
      </c>
      <c r="C79" s="32" t="s">
        <v>357</v>
      </c>
      <c r="D79" s="32" t="s">
        <v>357</v>
      </c>
      <c r="E79" s="32" t="s">
        <v>357</v>
      </c>
      <c r="F79" s="32" t="s">
        <v>357</v>
      </c>
      <c r="G79" s="40" t="s">
        <v>357</v>
      </c>
      <c r="H79" s="40" t="s">
        <v>357</v>
      </c>
      <c r="I79" s="40" t="s">
        <v>357</v>
      </c>
      <c r="J79" s="40" t="s">
        <v>357</v>
      </c>
      <c r="K79" s="56">
        <f t="shared" ref="K79:AK79" si="310">+K3/G3-1</f>
        <v>7.1999999999999993</v>
      </c>
      <c r="L79" s="56">
        <f t="shared" si="310"/>
        <v>2.0555555555555554</v>
      </c>
      <c r="M79" s="56">
        <f t="shared" si="310"/>
        <v>0.76470588235294112</v>
      </c>
      <c r="N79" s="56">
        <f t="shared" si="310"/>
        <v>1.34375</v>
      </c>
      <c r="O79" s="56">
        <f t="shared" si="310"/>
        <v>1.1219512195121952</v>
      </c>
      <c r="P79" s="56">
        <f t="shared" si="310"/>
        <v>0.92727272727272725</v>
      </c>
      <c r="Q79" s="56">
        <f t="shared" si="310"/>
        <v>0.98333333333333339</v>
      </c>
      <c r="R79" s="56">
        <f t="shared" si="310"/>
        <v>0.72</v>
      </c>
      <c r="S79" s="56">
        <f t="shared" si="310"/>
        <v>0.42528735632183912</v>
      </c>
      <c r="T79" s="56">
        <f t="shared" si="310"/>
        <v>0.39622641509433953</v>
      </c>
      <c r="U79" s="56">
        <f t="shared" si="310"/>
        <v>0.3613445378151261</v>
      </c>
      <c r="V79" s="56">
        <f t="shared" si="310"/>
        <v>0.30232558139534893</v>
      </c>
      <c r="W79" s="56">
        <f t="shared" si="310"/>
        <v>0.36290322580645151</v>
      </c>
      <c r="X79" s="56">
        <f t="shared" si="310"/>
        <v>0.20270270270270263</v>
      </c>
      <c r="Y79" s="56">
        <f t="shared" si="310"/>
        <v>0.13580246913580241</v>
      </c>
      <c r="Z79" s="56">
        <f t="shared" si="310"/>
        <v>0.20238095238095233</v>
      </c>
      <c r="AA79" s="56">
        <f t="shared" si="310"/>
        <v>0.1775147928994083</v>
      </c>
      <c r="AB79" s="56">
        <f t="shared" si="310"/>
        <v>0.2808988764044944</v>
      </c>
      <c r="AC79" s="56">
        <f t="shared" si="310"/>
        <v>0.26630434782608692</v>
      </c>
      <c r="AD79" s="56">
        <f t="shared" si="310"/>
        <v>0.2722772277227723</v>
      </c>
      <c r="AE79" s="56">
        <f t="shared" si="310"/>
        <v>0.27638190954773867</v>
      </c>
      <c r="AF79" s="56">
        <f t="shared" si="310"/>
        <v>0.27192982456140347</v>
      </c>
      <c r="AG79" s="56">
        <f t="shared" si="310"/>
        <v>0.31759656652360513</v>
      </c>
      <c r="AH79" s="56">
        <f t="shared" si="310"/>
        <v>0.2645914396887159</v>
      </c>
      <c r="AI79" s="56">
        <f t="shared" si="310"/>
        <v>0.25984251968503935</v>
      </c>
      <c r="AJ79" s="56">
        <f t="shared" si="310"/>
        <v>0.21379310344827585</v>
      </c>
      <c r="AK79" s="56">
        <f t="shared" si="310"/>
        <v>0.22149837133550498</v>
      </c>
      <c r="AL79" s="56"/>
      <c r="AM79" s="56"/>
      <c r="AN79" s="56"/>
      <c r="AO79" s="56"/>
      <c r="AP79" s="56"/>
      <c r="AQ79" s="56"/>
      <c r="AR79" s="56"/>
      <c r="AS79" s="56"/>
      <c r="AV79" s="56"/>
      <c r="AW79" s="56"/>
      <c r="AX79" s="56">
        <f t="shared" ref="AX79:BA79" si="311">+AX3/AT3-1</f>
        <v>0.15740740740740744</v>
      </c>
      <c r="AY79" s="56">
        <f t="shared" si="311"/>
        <v>0.12631578947368416</v>
      </c>
      <c r="AZ79" s="56">
        <f t="shared" si="311"/>
        <v>9.612141652613837E-2</v>
      </c>
      <c r="BA79" s="56">
        <f t="shared" si="311"/>
        <v>0.10489510489510478</v>
      </c>
      <c r="BB79" s="56">
        <f t="shared" ref="BB79" si="312">+BB3/AX3-1</f>
        <v>5.9199999999999919E-2</v>
      </c>
      <c r="BC79" s="56">
        <f t="shared" ref="BC79" si="313">+BC3/AY3-1</f>
        <v>0.108411214953271</v>
      </c>
      <c r="BD79" s="56">
        <f t="shared" ref="BD79" si="314">+BD3/AZ3-1</f>
        <v>9.3846153846153912E-2</v>
      </c>
      <c r="BE79" s="56">
        <f t="shared" ref="BE79" si="315">+BE3/BA3-1</f>
        <v>6.8037974683544222E-2</v>
      </c>
      <c r="BF79" s="56">
        <f t="shared" ref="BF79" si="316">+BF3/BB3-1</f>
        <v>0.10422960725075536</v>
      </c>
      <c r="BG79" s="56">
        <f t="shared" ref="BG79" si="317">+BG3/BC3-1</f>
        <v>7.9258010118043787E-2</v>
      </c>
      <c r="BH79" s="56">
        <f t="shared" ref="BH79" si="318">+BH3/BD3-1</f>
        <v>9.4233473980309457E-2</v>
      </c>
      <c r="BI79" s="56">
        <f t="shared" ref="BI79" si="319">+BI3/BE3-1</f>
        <v>0.13629629629629636</v>
      </c>
      <c r="BJ79" s="56">
        <f t="shared" ref="BJ79" si="320">+BJ3/BF3-1</f>
        <v>8.3447332421340725E-2</v>
      </c>
      <c r="BK79" s="56">
        <f t="shared" ref="BK79" si="321">+BK3/BG3-1</f>
        <v>0.11562500000000009</v>
      </c>
      <c r="BL79" s="56">
        <f t="shared" ref="BL79" si="322">+BL3/BH3-1</f>
        <v>-3.5989717223650408E-2</v>
      </c>
      <c r="BM79" s="56">
        <f t="shared" ref="BM79" si="323">+BM3/BI3-1</f>
        <v>7.6923076923076872E-2</v>
      </c>
      <c r="BN79" s="56">
        <f t="shared" ref="BN79" si="324">+BN3/BJ3-1</f>
        <v>9.4696969696969724E-2</v>
      </c>
      <c r="BO79" s="56">
        <f t="shared" ref="BO79" si="325">+BO3/BK3-1</f>
        <v>6.1624649859943981E-2</v>
      </c>
      <c r="BP79" s="56">
        <f t="shared" ref="BP79" si="326">+BP3/BL3-1</f>
        <v>8.5333333333333261E-2</v>
      </c>
      <c r="BQ79" s="56">
        <f t="shared" ref="BQ79" si="327">+BQ3/BM3-1</f>
        <v>5.3268765133171803E-2</v>
      </c>
      <c r="BR79" s="56">
        <f t="shared" ref="BR79" si="328">+BR3/BN3-1</f>
        <v>-3.4602076124568004E-3</v>
      </c>
      <c r="BS79" s="56">
        <f t="shared" ref="BS79" si="329">+BS3/BO3-1</f>
        <v>4.4854881266490843E-2</v>
      </c>
      <c r="BT79" s="56">
        <f t="shared" ref="BT79" si="330">+BT3/BP3-1</f>
        <v>7.6167076167076075E-2</v>
      </c>
      <c r="BU79" s="56">
        <f t="shared" ref="BU79" si="331">+BU3/BQ3-1</f>
        <v>1.4942528735632177E-2</v>
      </c>
      <c r="BV79" s="56">
        <f t="shared" ref="BV79" si="332">+BV3/BR3-1</f>
        <v>5.6712962962963021E-2</v>
      </c>
      <c r="BW79" s="56">
        <f t="shared" ref="BW79" si="333">+BW3/BS3-1</f>
        <v>-3.5353535353535359E-2</v>
      </c>
      <c r="BX79" s="56">
        <f t="shared" ref="BX79:CA79" si="334">+BX3/BT3-1</f>
        <v>5.821917808219168E-2</v>
      </c>
      <c r="BY79" s="56">
        <f t="shared" si="334"/>
        <v>4.7565118912797244E-2</v>
      </c>
      <c r="BZ79" s="56">
        <f t="shared" si="334"/>
        <v>7.8860898138006563E-2</v>
      </c>
      <c r="CA79" s="56">
        <f t="shared" si="334"/>
        <v>4.4502617801047029E-2</v>
      </c>
      <c r="CB79" s="56">
        <f>+CB3/BX3-1</f>
        <v>2.265372168284796E-2</v>
      </c>
      <c r="CC79" s="56">
        <f>+CC3/BY3-1</f>
        <v>1.1891891891891992E-2</v>
      </c>
      <c r="CD79" s="56">
        <f>+CD3/BZ3-1</f>
        <v>1.5228426395939021E-2</v>
      </c>
      <c r="DI79" s="36"/>
      <c r="DT79" s="36"/>
      <c r="DU79" s="39"/>
    </row>
    <row r="80" spans="2:185" s="73" customFormat="1" ht="8.25" customHeight="1" x14ac:dyDescent="0.3">
      <c r="B80" s="73" t="s">
        <v>441</v>
      </c>
      <c r="C80" s="74" t="s">
        <v>357</v>
      </c>
      <c r="D80" s="74" t="s">
        <v>357</v>
      </c>
      <c r="E80" s="74" t="s">
        <v>357</v>
      </c>
      <c r="F80" s="74" t="s">
        <v>357</v>
      </c>
      <c r="G80" s="75">
        <f t="shared" ref="G80:AK80" si="335">+G35/C35-1</f>
        <v>0.18877551020408156</v>
      </c>
      <c r="H80" s="75">
        <f t="shared" si="335"/>
        <v>8.5271317829457294E-2</v>
      </c>
      <c r="I80" s="75">
        <f t="shared" si="335"/>
        <v>0.10358565737051784</v>
      </c>
      <c r="J80" s="75">
        <f t="shared" si="335"/>
        <v>0.10830324909747291</v>
      </c>
      <c r="K80" s="75">
        <f t="shared" si="335"/>
        <v>0.15879828326180268</v>
      </c>
      <c r="L80" s="75">
        <f t="shared" si="335"/>
        <v>6.0714285714285721E-2</v>
      </c>
      <c r="M80" s="75">
        <f t="shared" si="335"/>
        <v>0.11552346570397121</v>
      </c>
      <c r="N80" s="75">
        <f t="shared" si="335"/>
        <v>6.8403908794788304E-2</v>
      </c>
      <c r="O80" s="75">
        <f t="shared" si="335"/>
        <v>0.12962962962962954</v>
      </c>
      <c r="P80" s="75">
        <f t="shared" si="335"/>
        <v>0.12794612794612803</v>
      </c>
      <c r="Q80" s="75">
        <f t="shared" si="335"/>
        <v>8.0906148867313954E-2</v>
      </c>
      <c r="R80" s="75">
        <f t="shared" si="335"/>
        <v>-3.6585365853658569E-2</v>
      </c>
      <c r="S80" s="75">
        <f t="shared" si="335"/>
        <v>-9.8360655737704805E-3</v>
      </c>
      <c r="T80" s="75">
        <f t="shared" si="335"/>
        <v>-6.5671641791044788E-2</v>
      </c>
      <c r="U80" s="75">
        <f t="shared" si="335"/>
        <v>-1.4970059880239472E-2</v>
      </c>
      <c r="V80" s="75">
        <f t="shared" si="335"/>
        <v>7.2784810126582222E-2</v>
      </c>
      <c r="W80" s="75">
        <f t="shared" si="335"/>
        <v>3.9735099337748325E-2</v>
      </c>
      <c r="X80" s="75">
        <f t="shared" si="335"/>
        <v>-1.9169329073482455E-2</v>
      </c>
      <c r="Y80" s="75">
        <f t="shared" si="335"/>
        <v>-7.9027355623100259E-2</v>
      </c>
      <c r="Z80" s="75">
        <f t="shared" si="335"/>
        <v>-0.25663716814159288</v>
      </c>
      <c r="AA80" s="75">
        <f t="shared" si="335"/>
        <v>-7.6433121019108263E-2</v>
      </c>
      <c r="AB80" s="75">
        <f t="shared" si="335"/>
        <v>-0.1824104234527687</v>
      </c>
      <c r="AC80" s="75">
        <f t="shared" si="335"/>
        <v>-0.28712871287128716</v>
      </c>
      <c r="AD80" s="75">
        <f t="shared" si="335"/>
        <v>-0.22619047619047616</v>
      </c>
      <c r="AE80" s="75">
        <f t="shared" si="335"/>
        <v>-0.28620689655172415</v>
      </c>
      <c r="AF80" s="75">
        <f t="shared" si="335"/>
        <v>-0.53386454183266929</v>
      </c>
      <c r="AG80" s="75">
        <f t="shared" si="335"/>
        <v>-0.56018518518518512</v>
      </c>
      <c r="AH80" s="75">
        <f t="shared" si="335"/>
        <v>-0.56923076923076921</v>
      </c>
      <c r="AI80" s="75">
        <f t="shared" si="335"/>
        <v>-0.77777777777777779</v>
      </c>
      <c r="AJ80" s="75">
        <f t="shared" si="335"/>
        <v>-0.52136752136752129</v>
      </c>
      <c r="AK80" s="75">
        <f t="shared" si="335"/>
        <v>-0.25263157894736843</v>
      </c>
      <c r="AL80" s="75"/>
      <c r="AM80" s="75"/>
      <c r="AN80" s="75"/>
      <c r="AO80" s="75"/>
      <c r="AP80" s="75"/>
      <c r="AQ80" s="75"/>
      <c r="AR80" s="75"/>
      <c r="AS80" s="75"/>
      <c r="AT80" s="74"/>
      <c r="AU80" s="74"/>
      <c r="AV80" s="74"/>
      <c r="AW80" s="74"/>
      <c r="AX80" s="74"/>
      <c r="AY80" s="74"/>
      <c r="AZ80" s="74"/>
      <c r="BA80" s="74"/>
      <c r="BB80" s="74"/>
      <c r="BC80" s="74"/>
      <c r="BD80" s="74"/>
      <c r="BE80" s="74"/>
      <c r="BF80" s="74"/>
      <c r="BG80" s="74"/>
      <c r="BH80" s="74"/>
      <c r="BI80" s="74"/>
      <c r="BJ80" s="74"/>
      <c r="BK80" s="74"/>
      <c r="BL80" s="74"/>
      <c r="BM80" s="74"/>
      <c r="BN80" s="74"/>
      <c r="BO80" s="74"/>
      <c r="BP80" s="74"/>
      <c r="BQ80" s="74"/>
      <c r="BR80" s="74"/>
      <c r="BS80" s="74"/>
      <c r="BT80" s="74"/>
      <c r="BU80" s="74"/>
      <c r="BV80" s="74"/>
      <c r="BW80" s="74"/>
      <c r="BX80" s="74"/>
      <c r="BY80" s="74"/>
      <c r="BZ80" s="74"/>
      <c r="CA80" s="74"/>
      <c r="CB80" s="74"/>
      <c r="CC80" s="74"/>
      <c r="CD80" s="74"/>
      <c r="CE80" s="74"/>
      <c r="CF80" s="74"/>
      <c r="CG80" s="74"/>
      <c r="CH80" s="74"/>
      <c r="CI80" s="74"/>
      <c r="CJ80" s="74"/>
      <c r="CK80" s="74"/>
      <c r="CL80" s="74"/>
      <c r="CM80" s="74"/>
      <c r="CN80" s="74"/>
      <c r="CO80" s="74"/>
      <c r="CP80" s="74"/>
      <c r="CQ80" s="74"/>
      <c r="CR80" s="74"/>
      <c r="CS80" s="74"/>
      <c r="CT80" s="74"/>
      <c r="CU80" s="74"/>
      <c r="CV80" s="74"/>
      <c r="CW80" s="74"/>
      <c r="CX80" s="74"/>
      <c r="CY80" s="74"/>
      <c r="CZ80" s="74"/>
      <c r="DA80" s="74"/>
      <c r="DB80" s="74"/>
      <c r="DC80" s="74"/>
      <c r="DD80" s="74"/>
      <c r="DE80" s="74"/>
      <c r="DF80" s="74"/>
      <c r="DG80" s="74"/>
      <c r="DH80" s="74"/>
      <c r="DI80" s="79"/>
      <c r="DJ80" s="80"/>
      <c r="DK80" s="80"/>
      <c r="DL80" s="80"/>
      <c r="DM80" s="74"/>
      <c r="DN80" s="74"/>
      <c r="DO80" s="74"/>
      <c r="DP80" s="74"/>
      <c r="DQ80" s="74"/>
      <c r="DR80" s="74"/>
      <c r="DT80" s="79"/>
      <c r="DU80" s="82"/>
    </row>
    <row r="81" spans="1:140" s="73" customFormat="1" ht="8.25" customHeight="1" x14ac:dyDescent="0.3">
      <c r="B81" s="73" t="s">
        <v>442</v>
      </c>
      <c r="C81" s="74" t="s">
        <v>357</v>
      </c>
      <c r="D81" s="74" t="s">
        <v>357</v>
      </c>
      <c r="E81" s="74" t="s">
        <v>357</v>
      </c>
      <c r="F81" s="74" t="s">
        <v>357</v>
      </c>
      <c r="G81" s="75">
        <f t="shared" ref="G81:AK81" si="336">+G45/C45-1</f>
        <v>0.38926174496644306</v>
      </c>
      <c r="H81" s="75">
        <f t="shared" si="336"/>
        <v>0.28961748633879791</v>
      </c>
      <c r="I81" s="75">
        <f t="shared" si="336"/>
        <v>0.32386363636363646</v>
      </c>
      <c r="J81" s="75">
        <f t="shared" si="336"/>
        <v>0.3563829787234043</v>
      </c>
      <c r="K81" s="75">
        <f t="shared" si="336"/>
        <v>0.27053140096618367</v>
      </c>
      <c r="L81" s="75">
        <f t="shared" si="336"/>
        <v>7.6271186440677985E-2</v>
      </c>
      <c r="M81" s="75">
        <f t="shared" si="336"/>
        <v>0.17167381974248919</v>
      </c>
      <c r="N81" s="75">
        <f t="shared" si="336"/>
        <v>0.30980392156862746</v>
      </c>
      <c r="O81" s="75">
        <f t="shared" si="336"/>
        <v>0.12927756653992395</v>
      </c>
      <c r="P81" s="75">
        <f t="shared" si="336"/>
        <v>0.27559055118110232</v>
      </c>
      <c r="Q81" s="75">
        <f t="shared" si="336"/>
        <v>0.25274725274725274</v>
      </c>
      <c r="R81" s="75">
        <f t="shared" si="336"/>
        <v>-1.4970059880239472E-2</v>
      </c>
      <c r="S81" s="75">
        <f t="shared" si="336"/>
        <v>8.4175084175084125E-2</v>
      </c>
      <c r="T81" s="75">
        <f t="shared" si="336"/>
        <v>2.1604938271605034E-2</v>
      </c>
      <c r="U81" s="75">
        <f t="shared" si="336"/>
        <v>5.2631578947368363E-2</v>
      </c>
      <c r="V81" s="75">
        <f t="shared" si="336"/>
        <v>0.17933130699088151</v>
      </c>
      <c r="W81" s="75">
        <f t="shared" si="336"/>
        <v>0.15838509316770177</v>
      </c>
      <c r="X81" s="75">
        <f t="shared" si="336"/>
        <v>7.8549848942598199E-2</v>
      </c>
      <c r="Y81" s="75">
        <f t="shared" si="336"/>
        <v>4.1666666666666741E-2</v>
      </c>
      <c r="Z81" s="75">
        <f t="shared" si="336"/>
        <v>-3.6082474226804107E-2</v>
      </c>
      <c r="AA81" s="75">
        <f t="shared" si="336"/>
        <v>-1.8766756032171594E-2</v>
      </c>
      <c r="AB81" s="75">
        <f t="shared" si="336"/>
        <v>0.10924369747899165</v>
      </c>
      <c r="AC81" s="75">
        <f t="shared" si="336"/>
        <v>4.2666666666666631E-2</v>
      </c>
      <c r="AD81" s="75">
        <f t="shared" si="336"/>
        <v>0.11229946524064172</v>
      </c>
      <c r="AE81" s="75">
        <f t="shared" si="336"/>
        <v>-2.1857923497267784E-2</v>
      </c>
      <c r="AF81" s="75">
        <f t="shared" si="336"/>
        <v>2.5252525252525304E-2</v>
      </c>
      <c r="AG81" s="75">
        <f t="shared" si="336"/>
        <v>-7.1611253196930957E-2</v>
      </c>
      <c r="AH81" s="75">
        <f t="shared" si="336"/>
        <v>-5.2884615384615419E-2</v>
      </c>
      <c r="AI81" s="75">
        <f t="shared" si="336"/>
        <v>8.379888268156499E-3</v>
      </c>
      <c r="AJ81" s="75">
        <f t="shared" si="336"/>
        <v>6.1576354679802936E-2</v>
      </c>
      <c r="AK81" s="75">
        <f t="shared" si="336"/>
        <v>3.3057851239669311E-2</v>
      </c>
      <c r="AL81" s="75"/>
      <c r="AM81" s="75"/>
      <c r="AN81" s="75"/>
      <c r="AO81" s="75"/>
      <c r="AP81" s="75"/>
      <c r="AQ81" s="75"/>
      <c r="AR81" s="75"/>
      <c r="AS81" s="75"/>
      <c r="AT81" s="74"/>
      <c r="AU81" s="74"/>
      <c r="AV81" s="74"/>
      <c r="AW81" s="74"/>
      <c r="AX81" s="74"/>
      <c r="AY81" s="74"/>
      <c r="AZ81" s="74"/>
      <c r="BA81" s="74"/>
      <c r="BB81" s="74"/>
      <c r="BC81" s="74"/>
      <c r="BD81" s="74"/>
      <c r="BE81" s="74"/>
      <c r="BF81" s="74"/>
      <c r="BG81" s="74"/>
      <c r="BH81" s="74"/>
      <c r="BI81" s="74"/>
      <c r="BJ81" s="74"/>
      <c r="BK81" s="74"/>
      <c r="BL81" s="74"/>
      <c r="BM81" s="74"/>
      <c r="BN81" s="74"/>
      <c r="BO81" s="74"/>
      <c r="BP81" s="74"/>
      <c r="BQ81" s="74"/>
      <c r="BR81" s="74"/>
      <c r="BS81" s="74"/>
      <c r="BT81" s="74"/>
      <c r="BU81" s="74"/>
      <c r="BV81" s="74"/>
      <c r="BW81" s="74"/>
      <c r="BX81" s="74"/>
      <c r="BY81" s="74"/>
      <c r="BZ81" s="74"/>
      <c r="CA81" s="74"/>
      <c r="CB81" s="74"/>
      <c r="CC81" s="74"/>
      <c r="CD81" s="74"/>
      <c r="CE81" s="74"/>
      <c r="CF81" s="74"/>
      <c r="CG81" s="74"/>
      <c r="CH81" s="74"/>
      <c r="CI81" s="74"/>
      <c r="CJ81" s="74"/>
      <c r="CK81" s="74"/>
      <c r="CL81" s="74"/>
      <c r="CM81" s="74"/>
      <c r="CN81" s="74"/>
      <c r="CO81" s="74"/>
      <c r="CP81" s="74"/>
      <c r="CQ81" s="74"/>
      <c r="CR81" s="74"/>
      <c r="CS81" s="74"/>
      <c r="CT81" s="74"/>
      <c r="CU81" s="74"/>
      <c r="CV81" s="74"/>
      <c r="CW81" s="74"/>
      <c r="CX81" s="74"/>
      <c r="CY81" s="74"/>
      <c r="CZ81" s="74"/>
      <c r="DA81" s="74"/>
      <c r="DB81" s="74"/>
      <c r="DC81" s="74"/>
      <c r="DD81" s="74"/>
      <c r="DE81" s="74"/>
      <c r="DF81" s="74"/>
      <c r="DG81" s="74"/>
      <c r="DH81" s="74"/>
      <c r="DI81" s="79"/>
      <c r="DJ81" s="80"/>
      <c r="DK81" s="80"/>
      <c r="DL81" s="80"/>
      <c r="DM81" s="74"/>
      <c r="DN81" s="74"/>
      <c r="DO81" s="74"/>
      <c r="DP81" s="74"/>
      <c r="DQ81" s="74"/>
      <c r="DR81" s="74"/>
      <c r="DT81" s="79"/>
      <c r="DU81" s="82"/>
    </row>
    <row r="82" spans="1:140" s="73" customFormat="1" ht="8.25" customHeight="1" x14ac:dyDescent="0.3">
      <c r="B82" s="73" t="s">
        <v>443</v>
      </c>
      <c r="C82" s="74" t="s">
        <v>357</v>
      </c>
      <c r="D82" s="74" t="s">
        <v>357</v>
      </c>
      <c r="E82" s="74" t="s">
        <v>357</v>
      </c>
      <c r="F82" s="74" t="s">
        <v>357</v>
      </c>
      <c r="G82" s="75" t="s">
        <v>357</v>
      </c>
      <c r="H82" s="75" t="s">
        <v>357</v>
      </c>
      <c r="I82" s="75" t="s">
        <v>357</v>
      </c>
      <c r="J82" s="75">
        <f t="shared" ref="J82:AK82" si="337">+J46/F46-1</f>
        <v>6.2</v>
      </c>
      <c r="K82" s="75">
        <f t="shared" si="337"/>
        <v>3.0909090909090908</v>
      </c>
      <c r="L82" s="75">
        <f t="shared" si="337"/>
        <v>3.2142857142857144</v>
      </c>
      <c r="M82" s="75">
        <f t="shared" si="337"/>
        <v>2.2727272727272729</v>
      </c>
      <c r="N82" s="75">
        <f t="shared" si="337"/>
        <v>1.75</v>
      </c>
      <c r="O82" s="75">
        <f t="shared" si="337"/>
        <v>1.4</v>
      </c>
      <c r="P82" s="75">
        <f t="shared" si="337"/>
        <v>1.3050847457627119</v>
      </c>
      <c r="Q82" s="75">
        <f t="shared" si="337"/>
        <v>1</v>
      </c>
      <c r="R82" s="75">
        <f t="shared" si="337"/>
        <v>0.54545454545454541</v>
      </c>
      <c r="S82" s="75">
        <f t="shared" si="337"/>
        <v>0.40740740740740744</v>
      </c>
      <c r="T82" s="75">
        <f t="shared" si="337"/>
        <v>0.31617647058823528</v>
      </c>
      <c r="U82" s="75">
        <f t="shared" si="337"/>
        <v>0.32638888888888884</v>
      </c>
      <c r="V82" s="75">
        <f t="shared" si="337"/>
        <v>0.3856209150326797</v>
      </c>
      <c r="W82" s="75">
        <f t="shared" si="337"/>
        <v>0.42105263157894735</v>
      </c>
      <c r="X82" s="75">
        <f t="shared" si="337"/>
        <v>0.24581005586592175</v>
      </c>
      <c r="Y82" s="75">
        <f t="shared" si="337"/>
        <v>0.19371727748691092</v>
      </c>
      <c r="Z82" s="75">
        <f t="shared" si="337"/>
        <v>0.24528301886792447</v>
      </c>
      <c r="AA82" s="75">
        <f t="shared" si="337"/>
        <v>0.27314814814814814</v>
      </c>
      <c r="AB82" s="75">
        <f t="shared" si="337"/>
        <v>0.3094170403587444</v>
      </c>
      <c r="AC82" s="75">
        <f t="shared" si="337"/>
        <v>0.36403508771929816</v>
      </c>
      <c r="AD82" s="75">
        <f t="shared" si="337"/>
        <v>0.20454545454545459</v>
      </c>
      <c r="AE82" s="75">
        <f t="shared" si="337"/>
        <v>0.18181818181818188</v>
      </c>
      <c r="AF82" s="75">
        <f t="shared" si="337"/>
        <v>0.22260273972602729</v>
      </c>
      <c r="AG82" s="75">
        <f t="shared" si="337"/>
        <v>0.112540192926045</v>
      </c>
      <c r="AH82" s="75">
        <f t="shared" si="337"/>
        <v>0.5691823899371069</v>
      </c>
      <c r="AI82" s="75">
        <f t="shared" si="337"/>
        <v>0.12615384615384606</v>
      </c>
      <c r="AJ82" s="75">
        <f t="shared" si="337"/>
        <v>3.9215686274509887E-2</v>
      </c>
      <c r="AK82" s="75">
        <f t="shared" si="337"/>
        <v>9.2485549132947931E-2</v>
      </c>
      <c r="AL82" s="75"/>
      <c r="AM82" s="75"/>
      <c r="AN82" s="75"/>
      <c r="AO82" s="75"/>
      <c r="AP82" s="75"/>
      <c r="AQ82" s="75"/>
      <c r="AR82" s="75"/>
      <c r="AS82" s="75"/>
      <c r="AT82" s="74"/>
      <c r="AU82" s="74"/>
      <c r="AV82" s="74"/>
      <c r="AW82" s="74"/>
      <c r="AX82" s="74"/>
      <c r="AY82" s="74"/>
      <c r="AZ82" s="74"/>
      <c r="BA82" s="74"/>
      <c r="BB82" s="74"/>
      <c r="BC82" s="74"/>
      <c r="BD82" s="74"/>
      <c r="BE82" s="74"/>
      <c r="BF82" s="74"/>
      <c r="BG82" s="74"/>
      <c r="BH82" s="74"/>
      <c r="BI82" s="74"/>
      <c r="BJ82" s="74"/>
      <c r="BK82" s="74"/>
      <c r="BL82" s="74"/>
      <c r="BM82" s="74"/>
      <c r="BN82" s="74"/>
      <c r="BO82" s="74"/>
      <c r="BP82" s="74"/>
      <c r="BQ82" s="74"/>
      <c r="BR82" s="74"/>
      <c r="BS82" s="74"/>
      <c r="BT82" s="74"/>
      <c r="BU82" s="74"/>
      <c r="BV82" s="74"/>
      <c r="BW82" s="74"/>
      <c r="BX82" s="74"/>
      <c r="BY82" s="74"/>
      <c r="BZ82" s="74"/>
      <c r="CA82" s="74"/>
      <c r="CB82" s="74"/>
      <c r="CC82" s="74"/>
      <c r="CD82" s="74"/>
      <c r="CE82" s="74"/>
      <c r="CF82" s="74"/>
      <c r="CG82" s="74"/>
      <c r="CH82" s="74"/>
      <c r="CI82" s="74"/>
      <c r="CJ82" s="74"/>
      <c r="CK82" s="74"/>
      <c r="CL82" s="74"/>
      <c r="CM82" s="74"/>
      <c r="CN82" s="74"/>
      <c r="CO82" s="74"/>
      <c r="CP82" s="74"/>
      <c r="CQ82" s="74"/>
      <c r="CR82" s="74"/>
      <c r="CS82" s="74"/>
      <c r="CT82" s="74"/>
      <c r="CU82" s="74"/>
      <c r="CV82" s="74"/>
      <c r="CW82" s="74"/>
      <c r="CX82" s="74"/>
      <c r="CY82" s="74"/>
      <c r="CZ82" s="74"/>
      <c r="DA82" s="74"/>
      <c r="DB82" s="74"/>
      <c r="DC82" s="74"/>
      <c r="DD82" s="74"/>
      <c r="DE82" s="74"/>
      <c r="DF82" s="74"/>
      <c r="DG82" s="74"/>
      <c r="DH82" s="74"/>
      <c r="DI82" s="79"/>
      <c r="DJ82" s="80"/>
      <c r="DK82" s="80"/>
      <c r="DL82" s="80"/>
      <c r="DM82" s="74"/>
      <c r="DN82" s="74"/>
      <c r="DO82" s="74"/>
      <c r="DP82" s="74"/>
      <c r="DQ82" s="74"/>
      <c r="DR82" s="74"/>
      <c r="DT82" s="79"/>
      <c r="DU82" s="82"/>
    </row>
    <row r="83" spans="1:140" s="73" customFormat="1" ht="8.25" customHeight="1" x14ac:dyDescent="0.3">
      <c r="B83" s="73" t="s">
        <v>446</v>
      </c>
      <c r="C83" s="74" t="s">
        <v>357</v>
      </c>
      <c r="D83" s="74" t="s">
        <v>357</v>
      </c>
      <c r="E83" s="74" t="s">
        <v>357</v>
      </c>
      <c r="F83" s="74" t="s">
        <v>357</v>
      </c>
      <c r="G83" s="75">
        <f t="shared" ref="G83:P84" si="338">+G42/C42-1</f>
        <v>0.5862068965517242</v>
      </c>
      <c r="H83" s="75">
        <f t="shared" si="338"/>
        <v>0.75510204081632648</v>
      </c>
      <c r="I83" s="75">
        <f t="shared" si="338"/>
        <v>0.63551401869158886</v>
      </c>
      <c r="J83" s="75">
        <f t="shared" si="338"/>
        <v>0.38016528925619841</v>
      </c>
      <c r="K83" s="75">
        <f t="shared" si="338"/>
        <v>0.15942028985507251</v>
      </c>
      <c r="L83" s="75">
        <f t="shared" si="338"/>
        <v>-5.8139534883720922E-2</v>
      </c>
      <c r="M83" s="75">
        <f t="shared" si="338"/>
        <v>5.7142857142857162E-2</v>
      </c>
      <c r="N83" s="75">
        <f t="shared" si="338"/>
        <v>0.10778443113772451</v>
      </c>
      <c r="O83" s="75">
        <f t="shared" si="338"/>
        <v>0.16874999999999996</v>
      </c>
      <c r="P83" s="75">
        <f t="shared" si="338"/>
        <v>0.20987654320987659</v>
      </c>
      <c r="Q83" s="75">
        <f t="shared" ref="Q83:Z84" si="339">+Q42/M42-1</f>
        <v>-5.4054054054053502E-3</v>
      </c>
      <c r="R83" s="75">
        <f t="shared" si="339"/>
        <v>-1.6216216216216162E-2</v>
      </c>
      <c r="S83" s="75">
        <f t="shared" si="339"/>
        <v>-0.12299465240641716</v>
      </c>
      <c r="T83" s="75">
        <f t="shared" si="339"/>
        <v>-0.11734693877551017</v>
      </c>
      <c r="U83" s="75">
        <f t="shared" si="339"/>
        <v>-2.7173913043478271E-2</v>
      </c>
      <c r="V83" s="75">
        <f t="shared" si="339"/>
        <v>-8.2417582417582458E-2</v>
      </c>
      <c r="W83" s="75">
        <f t="shared" si="339"/>
        <v>1.2195121951219523E-2</v>
      </c>
      <c r="X83" s="75">
        <f t="shared" si="339"/>
        <v>-5.7803468208093012E-3</v>
      </c>
      <c r="Y83" s="75">
        <f t="shared" si="339"/>
        <v>-0.11173184357541899</v>
      </c>
      <c r="Z83" s="75">
        <f t="shared" si="339"/>
        <v>-1.19760479041916E-2</v>
      </c>
      <c r="AA83" s="75">
        <f t="shared" ref="AA83:AJ84" si="340">+AA42/W42-1</f>
        <v>-6.0240963855421326E-3</v>
      </c>
      <c r="AB83" s="75">
        <f t="shared" si="340"/>
        <v>5.8139534883721034E-3</v>
      </c>
      <c r="AC83" s="75">
        <f t="shared" si="340"/>
        <v>8.1761006289308158E-2</v>
      </c>
      <c r="AD83" s="75">
        <f t="shared" si="340"/>
        <v>9.6969696969696928E-2</v>
      </c>
      <c r="AE83" s="75">
        <f t="shared" si="340"/>
        <v>8.4848484848484951E-2</v>
      </c>
      <c r="AF83" s="75">
        <f t="shared" si="340"/>
        <v>3.4682080924855585E-2</v>
      </c>
      <c r="AG83" s="75">
        <f t="shared" si="340"/>
        <v>5.8139534883721034E-3</v>
      </c>
      <c r="AH83" s="75">
        <f t="shared" si="340"/>
        <v>-5.5248618784530357E-2</v>
      </c>
      <c r="AI83" s="75">
        <f t="shared" si="340"/>
        <v>-9.4972067039106101E-2</v>
      </c>
      <c r="AJ83" s="75">
        <f t="shared" si="340"/>
        <v>-4.4692737430167551E-2</v>
      </c>
      <c r="AK83" s="75">
        <f t="shared" ref="AK83:AK84" si="341">+AK42/AG42-1</f>
        <v>5.7803468208092568E-2</v>
      </c>
      <c r="AL83" s="75"/>
      <c r="AM83" s="75"/>
      <c r="AN83" s="75"/>
      <c r="AO83" s="75"/>
      <c r="AP83" s="75"/>
      <c r="AQ83" s="75"/>
      <c r="AR83" s="75"/>
      <c r="AS83" s="75"/>
      <c r="AT83" s="74"/>
      <c r="AU83" s="74"/>
      <c r="AV83" s="74"/>
      <c r="AW83" s="74"/>
      <c r="AX83" s="74"/>
      <c r="AY83" s="74"/>
      <c r="AZ83" s="74"/>
      <c r="BA83" s="74"/>
      <c r="BB83" s="74"/>
      <c r="BC83" s="74"/>
      <c r="BD83" s="74"/>
      <c r="BE83" s="74"/>
      <c r="BF83" s="74"/>
      <c r="BG83" s="74"/>
      <c r="BH83" s="74"/>
      <c r="BI83" s="74"/>
      <c r="BJ83" s="74"/>
      <c r="BK83" s="74"/>
      <c r="BL83" s="74"/>
      <c r="BM83" s="74"/>
      <c r="BN83" s="74"/>
      <c r="BO83" s="74"/>
      <c r="BP83" s="74"/>
      <c r="BQ83" s="74"/>
      <c r="BR83" s="74"/>
      <c r="BS83" s="74"/>
      <c r="BT83" s="74"/>
      <c r="BU83" s="74"/>
      <c r="BV83" s="74"/>
      <c r="BW83" s="74"/>
      <c r="BX83" s="74"/>
      <c r="BY83" s="74"/>
      <c r="BZ83" s="74"/>
      <c r="CA83" s="74"/>
      <c r="CB83" s="74"/>
      <c r="CC83" s="74"/>
      <c r="CD83" s="74"/>
      <c r="CE83" s="74"/>
      <c r="CF83" s="74"/>
      <c r="CG83" s="74"/>
      <c r="CH83" s="74"/>
      <c r="CI83" s="74"/>
      <c r="CJ83" s="74"/>
      <c r="CK83" s="74"/>
      <c r="CL83" s="74"/>
      <c r="CM83" s="74"/>
      <c r="CN83" s="74"/>
      <c r="CO83" s="74"/>
      <c r="CP83" s="74"/>
      <c r="CQ83" s="74"/>
      <c r="CR83" s="74"/>
      <c r="CS83" s="74"/>
      <c r="CT83" s="74"/>
      <c r="CU83" s="74"/>
      <c r="CV83" s="74"/>
      <c r="CW83" s="74"/>
      <c r="CX83" s="74"/>
      <c r="CY83" s="74"/>
      <c r="CZ83" s="74"/>
      <c r="DA83" s="74"/>
      <c r="DB83" s="74"/>
      <c r="DC83" s="74"/>
      <c r="DD83" s="74"/>
      <c r="DE83" s="74"/>
      <c r="DF83" s="74"/>
      <c r="DG83" s="74"/>
      <c r="DH83" s="74"/>
      <c r="DI83" s="79"/>
      <c r="DJ83" s="80"/>
      <c r="DK83" s="80"/>
      <c r="DL83" s="80"/>
      <c r="DM83" s="74"/>
      <c r="DN83" s="74"/>
      <c r="DO83" s="74"/>
      <c r="DP83" s="74"/>
      <c r="DQ83" s="74"/>
      <c r="DR83" s="74"/>
      <c r="DT83" s="79"/>
      <c r="DU83" s="82"/>
    </row>
    <row r="84" spans="1:140" s="73" customFormat="1" ht="8.25" customHeight="1" x14ac:dyDescent="0.3">
      <c r="B84" s="73" t="s">
        <v>447</v>
      </c>
      <c r="C84" s="74" t="s">
        <v>357</v>
      </c>
      <c r="D84" s="74" t="s">
        <v>357</v>
      </c>
      <c r="E84" s="74" t="s">
        <v>357</v>
      </c>
      <c r="F84" s="74" t="s">
        <v>357</v>
      </c>
      <c r="G84" s="75">
        <f t="shared" si="338"/>
        <v>0.50531914893617014</v>
      </c>
      <c r="H84" s="75">
        <f t="shared" si="338"/>
        <v>0.35000000000000009</v>
      </c>
      <c r="I84" s="75">
        <f t="shared" si="338"/>
        <v>0.20384615384615379</v>
      </c>
      <c r="J84" s="75">
        <f t="shared" si="338"/>
        <v>0.6160714285714286</v>
      </c>
      <c r="K84" s="75">
        <f t="shared" si="338"/>
        <v>0.29328621908127217</v>
      </c>
      <c r="L84" s="75">
        <f t="shared" si="338"/>
        <v>0.27160493827160503</v>
      </c>
      <c r="M84" s="75">
        <f t="shared" si="338"/>
        <v>0.34185303514377008</v>
      </c>
      <c r="N84" s="75">
        <f t="shared" si="338"/>
        <v>0.27624309392265189</v>
      </c>
      <c r="O84" s="75">
        <f t="shared" si="338"/>
        <v>0.2404371584699454</v>
      </c>
      <c r="P84" s="75">
        <f t="shared" si="338"/>
        <v>0.28398058252427183</v>
      </c>
      <c r="Q84" s="75">
        <f t="shared" si="339"/>
        <v>0.34285714285714275</v>
      </c>
      <c r="R84" s="75">
        <f t="shared" si="339"/>
        <v>0.31168831168831179</v>
      </c>
      <c r="S84" s="75">
        <f t="shared" si="339"/>
        <v>0.29735682819383258</v>
      </c>
      <c r="T84" s="75">
        <f t="shared" si="339"/>
        <v>0.21550094517958418</v>
      </c>
      <c r="U84" s="75">
        <f t="shared" si="339"/>
        <v>0.15780141843971629</v>
      </c>
      <c r="V84" s="75">
        <f t="shared" si="339"/>
        <v>0.16666666666666674</v>
      </c>
      <c r="W84" s="75">
        <f t="shared" si="339"/>
        <v>4.7538200339558578E-2</v>
      </c>
      <c r="X84" s="75">
        <f t="shared" si="339"/>
        <v>-1.5552099533437058E-2</v>
      </c>
      <c r="Y84" s="75">
        <f t="shared" si="339"/>
        <v>-6.8912710566615631E-2</v>
      </c>
      <c r="Z84" s="75">
        <f t="shared" si="339"/>
        <v>0</v>
      </c>
      <c r="AA84" s="75">
        <f t="shared" si="340"/>
        <v>1.1345218800648205E-2</v>
      </c>
      <c r="AB84" s="75">
        <f t="shared" si="340"/>
        <v>0.11532385466034745</v>
      </c>
      <c r="AC84" s="75">
        <f t="shared" si="340"/>
        <v>0.13651315789473695</v>
      </c>
      <c r="AD84" s="75">
        <f t="shared" si="340"/>
        <v>4.2432814710042344E-2</v>
      </c>
      <c r="AE84" s="75">
        <f t="shared" si="340"/>
        <v>-4.8076923076922906E-3</v>
      </c>
      <c r="AF84" s="75">
        <f t="shared" si="340"/>
        <v>7.0821529745042078E-3</v>
      </c>
      <c r="AG84" s="75">
        <f t="shared" si="340"/>
        <v>-2.1707670043415339E-2</v>
      </c>
      <c r="AH84" s="75">
        <f t="shared" si="340"/>
        <v>0.11126187245590224</v>
      </c>
      <c r="AI84" s="75">
        <f t="shared" si="340"/>
        <v>-0.15942028985507251</v>
      </c>
      <c r="AJ84" s="75">
        <f t="shared" si="340"/>
        <v>-0.20815752461322079</v>
      </c>
      <c r="AK84" s="75">
        <f t="shared" si="341"/>
        <v>-0.15828402366863903</v>
      </c>
      <c r="AL84" s="75"/>
      <c r="AM84" s="75"/>
      <c r="AN84" s="75"/>
      <c r="AO84" s="75"/>
      <c r="AP84" s="75"/>
      <c r="AQ84" s="75"/>
      <c r="AR84" s="75"/>
      <c r="AS84" s="75"/>
      <c r="AT84" s="74"/>
      <c r="AU84" s="74"/>
      <c r="AV84" s="74"/>
      <c r="AW84" s="74"/>
      <c r="AX84" s="74"/>
      <c r="AY84" s="74"/>
      <c r="AZ84" s="74"/>
      <c r="BA84" s="74"/>
      <c r="BB84" s="74"/>
      <c r="BC84" s="74"/>
      <c r="BD84" s="74"/>
      <c r="BE84" s="74"/>
      <c r="BF84" s="74"/>
      <c r="BG84" s="74"/>
      <c r="BH84" s="74"/>
      <c r="BI84" s="74"/>
      <c r="BJ84" s="74"/>
      <c r="BK84" s="74"/>
      <c r="BL84" s="74"/>
      <c r="BM84" s="74"/>
      <c r="BN84" s="74"/>
      <c r="BO84" s="74"/>
      <c r="BP84" s="74"/>
      <c r="BQ84" s="74"/>
      <c r="BR84" s="74"/>
      <c r="BS84" s="74"/>
      <c r="BT84" s="74"/>
      <c r="BU84" s="74"/>
      <c r="BV84" s="74"/>
      <c r="BW84" s="74"/>
      <c r="BX84" s="74"/>
      <c r="BY84" s="74"/>
      <c r="BZ84" s="74"/>
      <c r="CA84" s="74"/>
      <c r="CB84" s="74"/>
      <c r="CC84" s="74"/>
      <c r="CD84" s="74"/>
      <c r="CE84" s="74"/>
      <c r="CF84" s="74"/>
      <c r="CG84" s="74"/>
      <c r="CH84" s="74"/>
      <c r="CI84" s="74"/>
      <c r="CJ84" s="74"/>
      <c r="CK84" s="74"/>
      <c r="CL84" s="74"/>
      <c r="CM84" s="74"/>
      <c r="CN84" s="74"/>
      <c r="CO84" s="74"/>
      <c r="CP84" s="74"/>
      <c r="CQ84" s="74"/>
      <c r="CR84" s="74"/>
      <c r="CS84" s="74"/>
      <c r="CT84" s="74"/>
      <c r="CU84" s="74"/>
      <c r="CV84" s="74"/>
      <c r="CW84" s="74"/>
      <c r="CX84" s="74"/>
      <c r="CY84" s="74"/>
      <c r="CZ84" s="74"/>
      <c r="DA84" s="74"/>
      <c r="DB84" s="74"/>
      <c r="DC84" s="74"/>
      <c r="DD84" s="74"/>
      <c r="DE84" s="74"/>
      <c r="DF84" s="74"/>
      <c r="DG84" s="74"/>
      <c r="DH84" s="74"/>
      <c r="DI84" s="79"/>
      <c r="DJ84" s="80"/>
      <c r="DK84" s="80"/>
      <c r="DL84" s="80"/>
      <c r="DM84" s="74"/>
      <c r="DN84" s="74"/>
      <c r="DO84" s="74"/>
      <c r="DP84" s="74"/>
      <c r="DQ84" s="74"/>
      <c r="DR84" s="74"/>
      <c r="DT84" s="79"/>
      <c r="DU84" s="82"/>
    </row>
    <row r="85" spans="1:140" ht="13" x14ac:dyDescent="0.3">
      <c r="B85" s="22" t="s">
        <v>448</v>
      </c>
      <c r="C85" s="32" t="s">
        <v>357</v>
      </c>
      <c r="D85" s="32" t="s">
        <v>357</v>
      </c>
      <c r="E85" s="32" t="s">
        <v>357</v>
      </c>
      <c r="F85" s="32" t="s">
        <v>357</v>
      </c>
      <c r="G85" s="32" t="s">
        <v>357</v>
      </c>
      <c r="H85" s="32" t="s">
        <v>357</v>
      </c>
      <c r="I85" s="32" t="s">
        <v>357</v>
      </c>
      <c r="J85" s="32" t="s">
        <v>357</v>
      </c>
      <c r="K85" s="32" t="s">
        <v>357</v>
      </c>
      <c r="L85" s="32" t="s">
        <v>357</v>
      </c>
      <c r="M85" s="40">
        <f t="shared" ref="M85:AK85" si="342">M10/I10-1</f>
        <v>3.1818181818181817</v>
      </c>
      <c r="N85" s="40">
        <f t="shared" si="342"/>
        <v>3</v>
      </c>
      <c r="O85" s="40">
        <f t="shared" si="342"/>
        <v>2.1428571428571428</v>
      </c>
      <c r="P85" s="40">
        <f t="shared" si="342"/>
        <v>1.1714285714285713</v>
      </c>
      <c r="Q85" s="40">
        <f t="shared" si="342"/>
        <v>0.78260869565217384</v>
      </c>
      <c r="R85" s="40">
        <f t="shared" si="342"/>
        <v>0.53571428571428581</v>
      </c>
      <c r="S85" s="40">
        <f t="shared" si="342"/>
        <v>0.33333333333333326</v>
      </c>
      <c r="T85" s="40">
        <f t="shared" si="342"/>
        <v>0.40789473684210531</v>
      </c>
      <c r="U85" s="40">
        <f t="shared" si="342"/>
        <v>0.30487804878048785</v>
      </c>
      <c r="V85" s="40">
        <f t="shared" si="342"/>
        <v>0.38372093023255816</v>
      </c>
      <c r="W85" s="40">
        <f t="shared" si="342"/>
        <v>0.48863636363636354</v>
      </c>
      <c r="X85" s="40">
        <f t="shared" si="342"/>
        <v>0.23364485981308403</v>
      </c>
      <c r="Y85" s="40">
        <f t="shared" si="342"/>
        <v>0.34579439252336441</v>
      </c>
      <c r="Z85" s="40">
        <f t="shared" si="342"/>
        <v>0.42016806722689082</v>
      </c>
      <c r="AA85" s="40">
        <f t="shared" si="342"/>
        <v>0.31297709923664119</v>
      </c>
      <c r="AB85" s="40">
        <f t="shared" si="342"/>
        <v>0.46212121212121215</v>
      </c>
      <c r="AC85" s="40">
        <f t="shared" si="342"/>
        <v>0.46527777777777768</v>
      </c>
      <c r="AD85" s="40">
        <f t="shared" si="342"/>
        <v>0.34319526627218933</v>
      </c>
      <c r="AE85" s="40">
        <f t="shared" si="342"/>
        <v>0.34302325581395343</v>
      </c>
      <c r="AF85" s="40">
        <f t="shared" si="342"/>
        <v>0.26424870466321249</v>
      </c>
      <c r="AG85" s="40">
        <f t="shared" si="342"/>
        <v>0.24644549763033186</v>
      </c>
      <c r="AH85" s="40">
        <f t="shared" si="342"/>
        <v>0.23788546255506615</v>
      </c>
      <c r="AI85" s="40">
        <f t="shared" si="342"/>
        <v>0.24242424242424243</v>
      </c>
      <c r="AJ85" s="40">
        <f t="shared" si="342"/>
        <v>0.27868852459016402</v>
      </c>
      <c r="AK85" s="40">
        <f t="shared" si="342"/>
        <v>0.20152091254752857</v>
      </c>
      <c r="AL85" s="40"/>
      <c r="AM85" s="40"/>
      <c r="AN85" s="40"/>
      <c r="AO85" s="40"/>
      <c r="AP85" s="40"/>
      <c r="AQ85" s="40"/>
      <c r="AR85" s="40"/>
      <c r="AS85" s="40"/>
      <c r="DI85" s="36"/>
    </row>
    <row r="86" spans="1:140" ht="13" x14ac:dyDescent="0.3">
      <c r="B86" s="22" t="s">
        <v>449</v>
      </c>
      <c r="C86" s="32" t="s">
        <v>357</v>
      </c>
      <c r="D86" s="32" t="s">
        <v>357</v>
      </c>
      <c r="E86" s="32" t="s">
        <v>357</v>
      </c>
      <c r="F86" s="32" t="s">
        <v>357</v>
      </c>
      <c r="G86" s="32" t="s">
        <v>357</v>
      </c>
      <c r="H86" s="32" t="s">
        <v>357</v>
      </c>
      <c r="I86" s="32" t="s">
        <v>357</v>
      </c>
      <c r="J86" s="32" t="s">
        <v>357</v>
      </c>
      <c r="K86" s="32" t="s">
        <v>357</v>
      </c>
      <c r="L86" s="32" t="s">
        <v>357</v>
      </c>
      <c r="M86" s="40" t="s">
        <v>357</v>
      </c>
      <c r="N86" s="40" t="s">
        <v>357</v>
      </c>
      <c r="O86" s="40" t="s">
        <v>357</v>
      </c>
      <c r="P86" s="40" t="s">
        <v>357</v>
      </c>
      <c r="Q86" s="40" t="s">
        <v>357</v>
      </c>
      <c r="R86" s="40" t="s">
        <v>357</v>
      </c>
      <c r="S86" s="40" t="s">
        <v>357</v>
      </c>
      <c r="T86" s="40" t="s">
        <v>357</v>
      </c>
      <c r="U86" s="40" t="s">
        <v>357</v>
      </c>
      <c r="V86" s="40" t="s">
        <v>357</v>
      </c>
      <c r="W86" s="40" t="s">
        <v>357</v>
      </c>
      <c r="X86" s="40" t="s">
        <v>357</v>
      </c>
      <c r="Y86" s="40" t="s">
        <v>357</v>
      </c>
      <c r="Z86" s="40">
        <f t="shared" ref="Z86:AK86" si="343">Z38/V38-1</f>
        <v>17.25</v>
      </c>
      <c r="AA86" s="40">
        <f t="shared" si="343"/>
        <v>7.1</v>
      </c>
      <c r="AB86" s="40">
        <f t="shared" si="343"/>
        <v>3</v>
      </c>
      <c r="AC86" s="40">
        <f t="shared" si="343"/>
        <v>1.7021276595744679</v>
      </c>
      <c r="AD86" s="40">
        <f t="shared" si="343"/>
        <v>1.095890410958904</v>
      </c>
      <c r="AE86" s="40">
        <f t="shared" si="343"/>
        <v>0.98765432098765427</v>
      </c>
      <c r="AF86" s="40">
        <f t="shared" si="343"/>
        <v>0.53571428571428581</v>
      </c>
      <c r="AG86" s="40">
        <f t="shared" si="343"/>
        <v>0.40157480314960625</v>
      </c>
      <c r="AH86" s="40">
        <f t="shared" si="343"/>
        <v>0.29411764705882359</v>
      </c>
      <c r="AI86" s="40">
        <f t="shared" si="343"/>
        <v>0.25465838509316763</v>
      </c>
      <c r="AJ86" s="40">
        <f t="shared" si="343"/>
        <v>0.39534883720930236</v>
      </c>
      <c r="AK86" s="40">
        <f t="shared" si="343"/>
        <v>0.18539325842696619</v>
      </c>
      <c r="AL86" s="40"/>
      <c r="AM86" s="40"/>
      <c r="AN86" s="40"/>
      <c r="AO86" s="40"/>
      <c r="AP86" s="40"/>
      <c r="AQ86" s="40"/>
      <c r="AR86" s="40"/>
      <c r="AS86" s="40"/>
      <c r="DI86" s="36"/>
    </row>
    <row r="87" spans="1:140" ht="13" x14ac:dyDescent="0.3">
      <c r="B87" s="22"/>
      <c r="G87" s="40"/>
      <c r="H87" s="40"/>
      <c r="I87" s="40"/>
      <c r="J87" s="40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6"/>
      <c r="AQ87" s="56"/>
      <c r="AR87" s="56"/>
      <c r="AS87" s="56"/>
      <c r="DI87" s="36"/>
    </row>
    <row r="88" spans="1:140" x14ac:dyDescent="0.25">
      <c r="B88" s="1" t="s">
        <v>164</v>
      </c>
      <c r="C88" s="38">
        <f t="shared" ref="C88:AF88" si="344">C58/C56</f>
        <v>0.7860050093926112</v>
      </c>
      <c r="D88" s="38">
        <f t="shared" si="344"/>
        <v>0.79144986640416259</v>
      </c>
      <c r="E88" s="38">
        <f t="shared" si="344"/>
        <v>0.78479175736467854</v>
      </c>
      <c r="F88" s="38">
        <f t="shared" si="344"/>
        <v>0.7823714012825761</v>
      </c>
      <c r="G88" s="38">
        <f t="shared" si="344"/>
        <v>0.78398946290062932</v>
      </c>
      <c r="H88" s="38">
        <f t="shared" si="344"/>
        <v>0.78069930069930071</v>
      </c>
      <c r="I88" s="38">
        <f t="shared" si="344"/>
        <v>0.74530598052851182</v>
      </c>
      <c r="J88" s="38">
        <f t="shared" si="344"/>
        <v>0.75062567036110117</v>
      </c>
      <c r="K88" s="38">
        <f t="shared" si="344"/>
        <v>0.78218465539661897</v>
      </c>
      <c r="L88" s="38">
        <f t="shared" si="344"/>
        <v>0.78155408263996617</v>
      </c>
      <c r="M88" s="38">
        <f t="shared" si="344"/>
        <v>0.79337579617834397</v>
      </c>
      <c r="N88" s="38">
        <f t="shared" si="344"/>
        <v>0.78600871511011661</v>
      </c>
      <c r="O88" s="38">
        <f t="shared" si="344"/>
        <v>0.79638731875153601</v>
      </c>
      <c r="P88" s="38">
        <f t="shared" si="344"/>
        <v>0.80850558327393685</v>
      </c>
      <c r="Q88" s="38">
        <f t="shared" si="344"/>
        <v>0.81573426573426577</v>
      </c>
      <c r="R88" s="38">
        <f t="shared" si="344"/>
        <v>0</v>
      </c>
      <c r="S88" s="38">
        <f t="shared" si="344"/>
        <v>0.82965641952983726</v>
      </c>
      <c r="T88" s="38">
        <f t="shared" si="344"/>
        <v>0.83589801190609903</v>
      </c>
      <c r="U88" s="38">
        <f t="shared" si="344"/>
        <v>0.82827616534740545</v>
      </c>
      <c r="V88" s="38">
        <f t="shared" si="344"/>
        <v>0.83815224757171902</v>
      </c>
      <c r="W88" s="38">
        <f t="shared" si="344"/>
        <v>0.72831287705429582</v>
      </c>
      <c r="X88" s="38">
        <f t="shared" si="344"/>
        <v>0.84932153392330378</v>
      </c>
      <c r="Y88" s="38">
        <f t="shared" si="344"/>
        <v>0.73322217590662775</v>
      </c>
      <c r="Z88" s="38">
        <f t="shared" si="344"/>
        <v>0.72334181177851697</v>
      </c>
      <c r="AA88" s="54">
        <f t="shared" si="344"/>
        <v>0.73198962282977453</v>
      </c>
      <c r="AB88" s="38">
        <f t="shared" si="344"/>
        <v>0.72745675377254326</v>
      </c>
      <c r="AC88" s="38">
        <f t="shared" si="344"/>
        <v>0.73676333021515439</v>
      </c>
      <c r="AD88" s="38">
        <f t="shared" si="344"/>
        <v>0.74935826916024939</v>
      </c>
      <c r="AE88" s="38">
        <f t="shared" si="344"/>
        <v>0.7518567891830128</v>
      </c>
      <c r="AF88" s="38">
        <f t="shared" si="344"/>
        <v>0.71978392977717753</v>
      </c>
      <c r="AG88" s="38">
        <v>0.73</v>
      </c>
      <c r="AH88" s="38">
        <v>0.73</v>
      </c>
      <c r="AI88" s="38">
        <v>0.73</v>
      </c>
      <c r="AJ88" s="38">
        <v>0.73</v>
      </c>
      <c r="AK88" s="38">
        <v>0.73</v>
      </c>
      <c r="AL88" s="38"/>
      <c r="AM88" s="38"/>
      <c r="AN88" s="38"/>
      <c r="AO88" s="38"/>
      <c r="AP88" s="38"/>
      <c r="AQ88" s="38"/>
      <c r="AR88" s="38"/>
      <c r="AS88" s="38"/>
      <c r="BK88" s="56">
        <f t="shared" ref="BK88:BS88" si="345">+BK58/BK56</f>
        <v>0.79371115851961782</v>
      </c>
      <c r="BL88" s="56">
        <f t="shared" si="345"/>
        <v>0.73353736795340108</v>
      </c>
      <c r="BM88" s="56">
        <f t="shared" si="345"/>
        <v>0.7626185958254269</v>
      </c>
      <c r="BN88" s="56">
        <f t="shared" si="345"/>
        <v>0.79806649801228768</v>
      </c>
      <c r="BO88" s="56">
        <f t="shared" si="345"/>
        <v>0.78108913573557304</v>
      </c>
      <c r="BP88" s="56">
        <f t="shared" si="345"/>
        <v>0.79808596086473549</v>
      </c>
      <c r="BQ88" s="56">
        <f t="shared" si="345"/>
        <v>0.80290777701307636</v>
      </c>
      <c r="BR88" s="56">
        <f t="shared" si="345"/>
        <v>0.80342094284522314</v>
      </c>
      <c r="BS88" s="56">
        <f t="shared" si="345"/>
        <v>0.79232486263736268</v>
      </c>
      <c r="BT88" s="56">
        <f>+BT58/BT56</f>
        <v>0.78337679818288886</v>
      </c>
      <c r="BU88" s="56">
        <f t="shared" ref="BU88:CH88" si="346">+BU58/BU56</f>
        <v>0.79000000000000015</v>
      </c>
      <c r="BV88" s="56">
        <f t="shared" si="346"/>
        <v>0.77266351043310544</v>
      </c>
      <c r="BW88" s="56">
        <f t="shared" si="346"/>
        <v>0.78999999999999992</v>
      </c>
      <c r="BX88" s="56">
        <f t="shared" si="346"/>
        <v>0.79</v>
      </c>
      <c r="BY88" s="56">
        <f t="shared" si="346"/>
        <v>0.79000000000000015</v>
      </c>
      <c r="BZ88" s="56">
        <f t="shared" si="346"/>
        <v>0.79</v>
      </c>
      <c r="CA88" s="56">
        <f t="shared" si="346"/>
        <v>0.75474083438685213</v>
      </c>
      <c r="CB88" s="56">
        <f t="shared" si="346"/>
        <v>0.79</v>
      </c>
      <c r="CC88" s="56">
        <f t="shared" si="346"/>
        <v>0.79</v>
      </c>
      <c r="CD88" s="56">
        <f t="shared" si="346"/>
        <v>0.73975044563279857</v>
      </c>
      <c r="CE88" s="56">
        <f t="shared" si="346"/>
        <v>0.73055977144897777</v>
      </c>
      <c r="CF88" s="56">
        <f t="shared" si="346"/>
        <v>0.79</v>
      </c>
      <c r="CG88" s="56">
        <f t="shared" si="346"/>
        <v>0.79</v>
      </c>
      <c r="CH88" s="56">
        <f t="shared" si="346"/>
        <v>0.79</v>
      </c>
      <c r="CI88" s="56"/>
      <c r="CJ88" s="56"/>
      <c r="CK88" s="56"/>
      <c r="CL88" s="56"/>
      <c r="CP88" s="38">
        <f>CP58/CP56</f>
        <v>0.71811611098158079</v>
      </c>
      <c r="CQ88" s="38">
        <f>CQ58/CQ56</f>
        <v>0.72641412585976795</v>
      </c>
      <c r="CR88" s="38">
        <f>CR58/CR56</f>
        <v>0.74297606659729454</v>
      </c>
      <c r="CS88" s="38">
        <f>CS58/CS56</f>
        <v>0.74390462531373247</v>
      </c>
      <c r="CT88" s="38">
        <f>CT58/CT56</f>
        <v>0.73460089371769033</v>
      </c>
      <c r="CU88" s="38"/>
      <c r="CV88" s="38"/>
      <c r="CW88" s="38"/>
      <c r="CX88" s="38"/>
      <c r="CY88" s="38"/>
      <c r="CZ88" s="38"/>
      <c r="DA88" s="38"/>
      <c r="DB88" s="38"/>
      <c r="DC88" s="38">
        <f t="shared" ref="DC88:DJ88" si="347">DC58/DC56</f>
        <v>0</v>
      </c>
      <c r="DD88" s="38">
        <f t="shared" si="347"/>
        <v>0</v>
      </c>
      <c r="DE88" s="38">
        <f t="shared" si="347"/>
        <v>0</v>
      </c>
      <c r="DF88" s="38">
        <f t="shared" si="347"/>
        <v>0</v>
      </c>
      <c r="DG88" s="38">
        <f t="shared" si="347"/>
        <v>0</v>
      </c>
      <c r="DH88" s="38">
        <f t="shared" si="347"/>
        <v>0.68</v>
      </c>
      <c r="DI88" s="38">
        <f t="shared" si="347"/>
        <v>0.60079964460239899</v>
      </c>
      <c r="DJ88" s="54">
        <f t="shared" si="347"/>
        <v>0.8330203710026175</v>
      </c>
      <c r="DK88" s="54">
        <v>0.73</v>
      </c>
      <c r="DL88" s="54">
        <f>DL58/DL56</f>
        <v>0.73649030314441721</v>
      </c>
      <c r="DM88" s="38">
        <v>0.73</v>
      </c>
      <c r="DN88" s="38">
        <v>0.73</v>
      </c>
      <c r="DO88" s="38">
        <v>0.73</v>
      </c>
      <c r="DP88" s="38">
        <v>0.73</v>
      </c>
      <c r="DQ88" s="38">
        <v>0.74</v>
      </c>
      <c r="DR88" s="38">
        <v>0.75</v>
      </c>
      <c r="DS88" s="38">
        <v>0.75</v>
      </c>
      <c r="DT88" s="38"/>
      <c r="DU88" s="38"/>
      <c r="DV88" s="38"/>
      <c r="DW88" s="38"/>
      <c r="DX88" s="38"/>
      <c r="DY88" s="38">
        <f>+DY58/DY56</f>
        <v>0.76849834368530023</v>
      </c>
      <c r="DZ88" s="38">
        <f t="shared" ref="DZ88:EJ88" si="348">+DZ58/DZ56</f>
        <v>0.78766287446364602</v>
      </c>
      <c r="EA88" s="38">
        <f t="shared" si="348"/>
        <v>0.8</v>
      </c>
      <c r="EB88" s="38">
        <f t="shared" si="348"/>
        <v>0.80000000000000016</v>
      </c>
      <c r="EC88" s="38">
        <f t="shared" si="348"/>
        <v>0.8</v>
      </c>
      <c r="ED88" s="38">
        <f t="shared" si="348"/>
        <v>0.8</v>
      </c>
      <c r="EE88" s="38">
        <f t="shared" si="348"/>
        <v>0.8</v>
      </c>
      <c r="EF88" s="38">
        <f t="shared" si="348"/>
        <v>0.8</v>
      </c>
      <c r="EG88" s="38">
        <f t="shared" si="348"/>
        <v>0.8</v>
      </c>
      <c r="EH88" s="38">
        <f t="shared" si="348"/>
        <v>0.79999999999999993</v>
      </c>
      <c r="EI88" s="38">
        <f t="shared" si="348"/>
        <v>0.8</v>
      </c>
      <c r="EJ88" s="38">
        <f t="shared" si="348"/>
        <v>0.8</v>
      </c>
    </row>
    <row r="89" spans="1:140" x14ac:dyDescent="0.25">
      <c r="B89" s="22" t="s">
        <v>369</v>
      </c>
      <c r="C89" s="38"/>
      <c r="D89" s="38"/>
      <c r="E89" s="38"/>
      <c r="F89" s="38"/>
      <c r="G89" s="38"/>
      <c r="H89" s="38"/>
      <c r="I89" s="38"/>
      <c r="J89" s="38"/>
      <c r="K89" s="38">
        <f t="shared" ref="K89:AK89" si="349">+K59/K56</f>
        <v>0.18416775032509752</v>
      </c>
      <c r="L89" s="38">
        <f t="shared" si="349"/>
        <v>0.17049781413058807</v>
      </c>
      <c r="M89" s="38">
        <f t="shared" si="349"/>
        <v>0.15464968152866243</v>
      </c>
      <c r="N89" s="38">
        <f t="shared" si="349"/>
        <v>0.15816747144034859</v>
      </c>
      <c r="O89" s="38">
        <f t="shared" si="349"/>
        <v>0.1502826247235193</v>
      </c>
      <c r="P89" s="38">
        <f t="shared" si="349"/>
        <v>0.13578047042052743</v>
      </c>
      <c r="Q89" s="38">
        <f t="shared" si="349"/>
        <v>0.13648018648018648</v>
      </c>
      <c r="R89" s="38">
        <f t="shared" si="349"/>
        <v>0.13570518020628114</v>
      </c>
      <c r="S89" s="38">
        <f t="shared" si="349"/>
        <v>0.12827004219409283</v>
      </c>
      <c r="T89" s="38">
        <f t="shared" si="349"/>
        <v>0.12097045939570931</v>
      </c>
      <c r="U89" s="38">
        <f t="shared" si="349"/>
        <v>0.12280123131046614</v>
      </c>
      <c r="V89" s="38">
        <f t="shared" si="349"/>
        <v>0.13214366388073187</v>
      </c>
      <c r="W89" s="38">
        <f t="shared" si="349"/>
        <v>0.18722696068233827</v>
      </c>
      <c r="X89" s="38">
        <f t="shared" si="349"/>
        <v>0.10548672566371682</v>
      </c>
      <c r="Y89" s="38">
        <f t="shared" si="349"/>
        <v>0.18591079616506878</v>
      </c>
      <c r="Z89" s="38">
        <f t="shared" si="349"/>
        <v>0.19565642731363725</v>
      </c>
      <c r="AA89" s="54">
        <f t="shared" si="349"/>
        <v>0.18519257633206945</v>
      </c>
      <c r="AB89" s="38">
        <f t="shared" si="349"/>
        <v>0.19138755980861244</v>
      </c>
      <c r="AC89" s="38">
        <f t="shared" si="349"/>
        <v>0.19064546304957905</v>
      </c>
      <c r="AD89" s="38">
        <f t="shared" si="349"/>
        <v>0.22295562889622295</v>
      </c>
      <c r="AE89" s="38">
        <f t="shared" si="349"/>
        <v>0.19082079603884974</v>
      </c>
      <c r="AF89" s="38">
        <f t="shared" si="349"/>
        <v>0.22597344136844474</v>
      </c>
      <c r="AG89" s="38">
        <f t="shared" si="349"/>
        <v>0.77649892933618847</v>
      </c>
      <c r="AH89" s="38">
        <f t="shared" si="349"/>
        <v>0.27272727272727271</v>
      </c>
      <c r="AI89" s="38">
        <f t="shared" si="349"/>
        <v>0.23728813559322035</v>
      </c>
      <c r="AJ89" s="38">
        <f t="shared" si="349"/>
        <v>0.2574110671936759</v>
      </c>
      <c r="AK89" s="38">
        <f t="shared" si="349"/>
        <v>0.21792305981765622</v>
      </c>
      <c r="AL89" s="38"/>
      <c r="AM89" s="38"/>
      <c r="AN89" s="38"/>
      <c r="AO89" s="38"/>
      <c r="AP89" s="38"/>
      <c r="AQ89" s="38"/>
      <c r="AR89" s="38"/>
      <c r="AS89" s="38"/>
      <c r="CP89" s="38"/>
      <c r="CQ89" s="38"/>
      <c r="CR89" s="38"/>
      <c r="CS89" s="38"/>
      <c r="CT89" s="38"/>
      <c r="CU89" s="38"/>
      <c r="CV89" s="38"/>
      <c r="CW89" s="38"/>
      <c r="CX89" s="38"/>
      <c r="CY89" s="38"/>
      <c r="CZ89" s="38"/>
      <c r="DA89" s="38"/>
      <c r="DB89" s="38"/>
      <c r="DC89" s="38"/>
      <c r="DD89" s="38"/>
      <c r="DE89" s="38"/>
      <c r="DF89" s="38"/>
      <c r="DG89" s="38"/>
      <c r="DH89" s="38"/>
      <c r="DI89" s="38"/>
      <c r="DJ89" s="54">
        <f t="shared" ref="DJ89:DZ89" si="350">DJ59/DJ56</f>
        <v>0.12598156367360874</v>
      </c>
      <c r="DK89" s="54">
        <f t="shared" si="350"/>
        <v>0.1589409684791514</v>
      </c>
      <c r="DL89" s="54">
        <f t="shared" si="350"/>
        <v>0.19784409715684428</v>
      </c>
      <c r="DM89" s="38">
        <f t="shared" si="350"/>
        <v>0.22725384177575411</v>
      </c>
      <c r="DN89" s="38">
        <f t="shared" si="350"/>
        <v>0.25369825403885188</v>
      </c>
      <c r="DO89" s="38">
        <f t="shared" si="350"/>
        <v>0.23703492330259293</v>
      </c>
      <c r="DP89" s="38">
        <f t="shared" si="350"/>
        <v>0.17954743651242569</v>
      </c>
      <c r="DQ89" s="38">
        <f t="shared" si="350"/>
        <v>0.1326812469079692</v>
      </c>
      <c r="DR89" s="38">
        <f t="shared" si="350"/>
        <v>6.1870097380729433E-2</v>
      </c>
      <c r="DS89" s="38">
        <f t="shared" si="350"/>
        <v>2.8450947725749076E-2</v>
      </c>
      <c r="DT89" s="38">
        <f t="shared" si="350"/>
        <v>1.2275422291845953E-2</v>
      </c>
      <c r="DU89" s="38">
        <f t="shared" si="350"/>
        <v>0</v>
      </c>
      <c r="DV89" s="38">
        <f t="shared" si="350"/>
        <v>0</v>
      </c>
      <c r="DW89" s="38">
        <f t="shared" si="350"/>
        <v>0.16865746658289826</v>
      </c>
      <c r="DX89" s="38">
        <f t="shared" si="350"/>
        <v>0.16632737857174601</v>
      </c>
      <c r="DY89" s="38">
        <f t="shared" si="350"/>
        <v>0.16365147826086959</v>
      </c>
      <c r="DZ89" s="38">
        <f t="shared" si="350"/>
        <v>0.14875251080581034</v>
      </c>
      <c r="EA89" s="38">
        <f t="shared" ref="EA89:EJ89" si="351">EA59/EA56</f>
        <v>0.15</v>
      </c>
      <c r="EB89" s="38">
        <f t="shared" si="351"/>
        <v>0.15</v>
      </c>
      <c r="EC89" s="38">
        <f t="shared" si="351"/>
        <v>0.15</v>
      </c>
      <c r="ED89" s="38">
        <f t="shared" si="351"/>
        <v>0.15</v>
      </c>
      <c r="EE89" s="38">
        <f t="shared" si="351"/>
        <v>0.15</v>
      </c>
      <c r="EF89" s="38">
        <f t="shared" si="351"/>
        <v>0.15</v>
      </c>
      <c r="EG89" s="38">
        <f t="shared" si="351"/>
        <v>0.15</v>
      </c>
      <c r="EH89" s="38">
        <f t="shared" si="351"/>
        <v>0.15</v>
      </c>
      <c r="EI89" s="38">
        <f t="shared" si="351"/>
        <v>0.15</v>
      </c>
      <c r="EJ89" s="38">
        <f t="shared" si="351"/>
        <v>0.15</v>
      </c>
    </row>
    <row r="90" spans="1:140" x14ac:dyDescent="0.25">
      <c r="B90" s="22" t="s">
        <v>370</v>
      </c>
      <c r="C90" s="38"/>
      <c r="D90" s="38"/>
      <c r="E90" s="38"/>
      <c r="F90" s="38"/>
      <c r="G90" s="38"/>
      <c r="H90" s="38"/>
      <c r="I90" s="38"/>
      <c r="J90" s="38"/>
      <c r="K90" s="38">
        <f t="shared" ref="K90:AK90" si="352">+K60/K56</f>
        <v>4.3563068920676205E-2</v>
      </c>
      <c r="L90" s="38">
        <f t="shared" si="352"/>
        <v>5.1896770554223662E-2</v>
      </c>
      <c r="M90" s="38">
        <f t="shared" si="352"/>
        <v>4.4713375796178345E-2</v>
      </c>
      <c r="N90" s="38">
        <f t="shared" si="352"/>
        <v>5.688375927452597E-2</v>
      </c>
      <c r="O90" s="38">
        <f t="shared" si="352"/>
        <v>4.0550503809289755E-2</v>
      </c>
      <c r="P90" s="38">
        <f t="shared" si="352"/>
        <v>4.9893086243763367E-2</v>
      </c>
      <c r="Q90" s="38">
        <f t="shared" si="352"/>
        <v>4.2191142191142193E-2</v>
      </c>
      <c r="R90" s="38">
        <f t="shared" si="352"/>
        <v>4.1951558697415695E-2</v>
      </c>
      <c r="S90" s="38">
        <f t="shared" si="352"/>
        <v>3.9059674502712478E-2</v>
      </c>
      <c r="T90" s="38">
        <f t="shared" si="352"/>
        <v>4.4928675727282937E-2</v>
      </c>
      <c r="U90" s="38">
        <f t="shared" si="352"/>
        <v>3.9687774846086189E-2</v>
      </c>
      <c r="V90" s="38">
        <f t="shared" si="352"/>
        <v>3.7723063022362772E-2</v>
      </c>
      <c r="W90" s="38">
        <f t="shared" si="352"/>
        <v>4.4102350738506345E-2</v>
      </c>
      <c r="X90" s="38">
        <f t="shared" si="352"/>
        <v>3.103244837758112E-2</v>
      </c>
      <c r="Y90" s="38">
        <f t="shared" si="352"/>
        <v>4.8145060441850768E-2</v>
      </c>
      <c r="Z90" s="38">
        <f t="shared" si="352"/>
        <v>5.3022891801995695E-2</v>
      </c>
      <c r="AA90" s="54">
        <f t="shared" si="352"/>
        <v>4.2706046697266013E-2</v>
      </c>
      <c r="AB90" s="38">
        <f t="shared" si="352"/>
        <v>4.6558704453441298E-2</v>
      </c>
      <c r="AC90" s="38">
        <f t="shared" si="352"/>
        <v>3.8353601496725911E-2</v>
      </c>
      <c r="AD90" s="38">
        <f t="shared" si="352"/>
        <v>5.2255225522552254E-2</v>
      </c>
      <c r="AE90" s="38">
        <f t="shared" si="352"/>
        <v>3.6945343744048752E-2</v>
      </c>
      <c r="AF90" s="38">
        <f t="shared" si="352"/>
        <v>5.0416385325230698E-2</v>
      </c>
      <c r="AG90" s="38">
        <f t="shared" si="352"/>
        <v>4.470021413276231E-2</v>
      </c>
      <c r="AH90" s="38">
        <f t="shared" si="352"/>
        <v>5.0584586017656884E-2</v>
      </c>
      <c r="AI90" s="38">
        <f t="shared" si="352"/>
        <v>4.5118166626879924E-2</v>
      </c>
      <c r="AJ90" s="38">
        <f t="shared" si="352"/>
        <v>5.3853754940711464E-2</v>
      </c>
      <c r="AK90" s="38">
        <f t="shared" si="352"/>
        <v>4.3139871025127861E-2</v>
      </c>
      <c r="AL90" s="38"/>
      <c r="AM90" s="38"/>
      <c r="AN90" s="38"/>
      <c r="AO90" s="38"/>
      <c r="AP90" s="38"/>
      <c r="AQ90" s="38"/>
      <c r="AR90" s="38"/>
      <c r="AS90" s="38"/>
      <c r="CP90" s="38"/>
      <c r="CQ90" s="38"/>
      <c r="CR90" s="38"/>
      <c r="CS90" s="38"/>
      <c r="CT90" s="38"/>
      <c r="CU90" s="38"/>
      <c r="CV90" s="38"/>
      <c r="CW90" s="38"/>
      <c r="CX90" s="38"/>
      <c r="CY90" s="38"/>
      <c r="CZ90" s="38"/>
      <c r="DA90" s="38"/>
      <c r="DB90" s="38"/>
      <c r="DC90" s="38"/>
      <c r="DD90" s="38"/>
      <c r="DE90" s="38"/>
      <c r="DF90" s="38"/>
      <c r="DG90" s="38"/>
      <c r="DH90" s="38"/>
      <c r="DI90" s="38"/>
      <c r="DJ90" s="54">
        <f t="shared" ref="DJ90:DZ90" si="353">DJ60/DJ56</f>
        <v>4.0372140662342099E-2</v>
      </c>
      <c r="DK90" s="54">
        <f t="shared" si="353"/>
        <v>4.2128411883920483E-2</v>
      </c>
      <c r="DL90" s="54">
        <f t="shared" si="353"/>
        <v>4.5048013556768969E-2</v>
      </c>
      <c r="DM90" s="38">
        <f t="shared" si="353"/>
        <v>6.0000000000000005E-2</v>
      </c>
      <c r="DN90" s="38">
        <f t="shared" si="353"/>
        <v>0.06</v>
      </c>
      <c r="DO90" s="38">
        <f t="shared" si="353"/>
        <v>0.06</v>
      </c>
      <c r="DP90" s="38">
        <f t="shared" si="353"/>
        <v>0.06</v>
      </c>
      <c r="DQ90" s="38">
        <f t="shared" si="353"/>
        <v>0.06</v>
      </c>
      <c r="DR90" s="38">
        <f t="shared" si="353"/>
        <v>0.06</v>
      </c>
      <c r="DS90" s="38">
        <f t="shared" si="353"/>
        <v>5.9999999999999991E-2</v>
      </c>
      <c r="DT90" s="38">
        <f t="shared" si="353"/>
        <v>6.0000000000000005E-2</v>
      </c>
      <c r="DU90" s="38">
        <f t="shared" si="353"/>
        <v>0</v>
      </c>
      <c r="DV90" s="38">
        <f t="shared" si="353"/>
        <v>0</v>
      </c>
      <c r="DW90" s="38">
        <f t="shared" si="353"/>
        <v>0</v>
      </c>
      <c r="DX90" s="38">
        <f t="shared" si="353"/>
        <v>0</v>
      </c>
      <c r="DY90" s="38">
        <f t="shared" si="353"/>
        <v>0</v>
      </c>
      <c r="DZ90" s="38">
        <f t="shared" si="353"/>
        <v>0</v>
      </c>
      <c r="EA90" s="38">
        <f t="shared" ref="EA90:EJ90" si="354">EA60/EA56</f>
        <v>0</v>
      </c>
      <c r="EB90" s="38">
        <f t="shared" si="354"/>
        <v>0</v>
      </c>
      <c r="EC90" s="38">
        <f t="shared" si="354"/>
        <v>0</v>
      </c>
      <c r="ED90" s="38">
        <f t="shared" si="354"/>
        <v>0</v>
      </c>
      <c r="EE90" s="38">
        <f t="shared" si="354"/>
        <v>0</v>
      </c>
      <c r="EF90" s="38">
        <f t="shared" si="354"/>
        <v>0</v>
      </c>
      <c r="EG90" s="38">
        <f t="shared" si="354"/>
        <v>0</v>
      </c>
      <c r="EH90" s="38">
        <f t="shared" si="354"/>
        <v>0</v>
      </c>
      <c r="EI90" s="38">
        <f t="shared" si="354"/>
        <v>0</v>
      </c>
      <c r="EJ90" s="38">
        <f t="shared" si="354"/>
        <v>0</v>
      </c>
    </row>
    <row r="91" spans="1:140" x14ac:dyDescent="0.25">
      <c r="B91" s="22" t="s">
        <v>371</v>
      </c>
      <c r="C91" s="38"/>
      <c r="D91" s="38"/>
      <c r="E91" s="38"/>
      <c r="F91" s="38"/>
      <c r="G91" s="38"/>
      <c r="H91" s="38"/>
      <c r="I91" s="38"/>
      <c r="J91" s="38"/>
      <c r="K91" s="38">
        <f t="shared" ref="K91:AK91" si="355">+K61/K56</f>
        <v>0.12857607282184655</v>
      </c>
      <c r="L91" s="38">
        <f t="shared" si="355"/>
        <v>0.10971654209561416</v>
      </c>
      <c r="M91" s="38">
        <f t="shared" si="355"/>
        <v>0.10535031847133758</v>
      </c>
      <c r="N91" s="38">
        <f t="shared" si="355"/>
        <v>0.10693675656577553</v>
      </c>
      <c r="O91" s="38">
        <f t="shared" si="355"/>
        <v>9.7689850086016217E-2</v>
      </c>
      <c r="P91" s="38">
        <f t="shared" si="355"/>
        <v>9.4440484675694936E-2</v>
      </c>
      <c r="Q91" s="38">
        <f t="shared" si="355"/>
        <v>9.289044289044289E-2</v>
      </c>
      <c r="R91" s="38">
        <f t="shared" si="355"/>
        <v>9.2362962104531238E-2</v>
      </c>
      <c r="S91" s="38">
        <f t="shared" si="355"/>
        <v>0.11127185051235684</v>
      </c>
      <c r="T91" s="38">
        <f t="shared" si="355"/>
        <v>9.3114680444793888E-2</v>
      </c>
      <c r="U91" s="38">
        <f t="shared" si="355"/>
        <v>9.2128408091468772E-2</v>
      </c>
      <c r="V91" s="38">
        <f t="shared" si="355"/>
        <v>0.12514117912807771</v>
      </c>
      <c r="W91" s="38">
        <f t="shared" si="355"/>
        <v>0.18930726024547534</v>
      </c>
      <c r="X91" s="38">
        <f t="shared" si="355"/>
        <v>9.6991150442477872E-2</v>
      </c>
      <c r="Y91" s="38">
        <f t="shared" si="355"/>
        <v>0.17173822426010837</v>
      </c>
      <c r="Z91" s="38">
        <f t="shared" si="355"/>
        <v>0.19761299158677362</v>
      </c>
      <c r="AA91" s="54">
        <f t="shared" si="355"/>
        <v>0.18658950309319497</v>
      </c>
      <c r="AB91" s="38">
        <f t="shared" si="355"/>
        <v>0.16985645933014354</v>
      </c>
      <c r="AC91" s="38">
        <f t="shared" si="355"/>
        <v>0.18203928905519176</v>
      </c>
      <c r="AD91" s="38">
        <f t="shared" si="355"/>
        <v>0.18481848184818481</v>
      </c>
      <c r="AE91" s="38">
        <f t="shared" si="355"/>
        <v>0.1731098838316511</v>
      </c>
      <c r="AF91" s="38">
        <f t="shared" si="355"/>
        <v>0.216520369119964</v>
      </c>
      <c r="AG91" s="38">
        <f t="shared" si="355"/>
        <v>0.25455032119914345</v>
      </c>
      <c r="AH91" s="38">
        <f t="shared" si="355"/>
        <v>0.2581722739203054</v>
      </c>
      <c r="AI91" s="38">
        <f t="shared" si="355"/>
        <v>0.22201002625925043</v>
      </c>
      <c r="AJ91" s="38">
        <f t="shared" si="355"/>
        <v>0.2349308300395257</v>
      </c>
      <c r="AK91" s="38">
        <f t="shared" si="355"/>
        <v>0.19857682899710918</v>
      </c>
      <c r="AL91" s="38"/>
      <c r="AM91" s="38"/>
      <c r="AN91" s="38"/>
      <c r="AO91" s="38"/>
      <c r="AP91" s="38"/>
      <c r="AQ91" s="38"/>
      <c r="AR91" s="38"/>
      <c r="AS91" s="38"/>
      <c r="CP91" s="38"/>
      <c r="CQ91" s="38"/>
      <c r="CR91" s="38"/>
      <c r="CS91" s="38"/>
      <c r="CT91" s="38"/>
      <c r="CU91" s="38"/>
      <c r="CV91" s="38"/>
      <c r="CW91" s="38"/>
      <c r="CX91" s="38"/>
      <c r="CY91" s="38"/>
      <c r="CZ91" s="38"/>
      <c r="DA91" s="38"/>
      <c r="DB91" s="38"/>
      <c r="DC91" s="38"/>
      <c r="DD91" s="38"/>
      <c r="DE91" s="38"/>
      <c r="DF91" s="38"/>
      <c r="DG91" s="38"/>
      <c r="DH91" s="38"/>
      <c r="DI91" s="38"/>
      <c r="DJ91" s="54"/>
      <c r="DK91" s="54"/>
      <c r="DL91" s="54">
        <f t="shared" ref="DL91:DZ91" si="356">+DL61/DL56</f>
        <v>0.18070984748634908</v>
      </c>
      <c r="DM91" s="38">
        <f t="shared" si="356"/>
        <v>0</v>
      </c>
      <c r="DN91" s="38">
        <f t="shared" si="356"/>
        <v>0</v>
      </c>
      <c r="DO91" s="38">
        <f t="shared" si="356"/>
        <v>0</v>
      </c>
      <c r="DP91" s="38">
        <f t="shared" si="356"/>
        <v>0</v>
      </c>
      <c r="DQ91" s="38">
        <f t="shared" si="356"/>
        <v>0</v>
      </c>
      <c r="DR91" s="38">
        <f t="shared" si="356"/>
        <v>0</v>
      </c>
      <c r="DS91" s="38">
        <f t="shared" si="356"/>
        <v>0</v>
      </c>
      <c r="DT91" s="38">
        <f t="shared" si="356"/>
        <v>0</v>
      </c>
      <c r="DU91" s="38">
        <f t="shared" si="356"/>
        <v>0</v>
      </c>
      <c r="DV91" s="38">
        <f t="shared" si="356"/>
        <v>0</v>
      </c>
      <c r="DW91" s="38">
        <f t="shared" si="356"/>
        <v>0.22084533893715202</v>
      </c>
      <c r="DX91" s="38">
        <f t="shared" si="356"/>
        <v>0.22812513887037283</v>
      </c>
      <c r="DY91" s="38">
        <f t="shared" si="356"/>
        <v>0.20248447204968945</v>
      </c>
      <c r="DZ91" s="38">
        <f t="shared" si="356"/>
        <v>0.19177538086052828</v>
      </c>
      <c r="EA91" s="38">
        <f t="shared" ref="EA91:EJ91" si="357">+EA61/EA56</f>
        <v>0</v>
      </c>
      <c r="EB91" s="38">
        <f t="shared" si="357"/>
        <v>0</v>
      </c>
      <c r="EC91" s="38">
        <f t="shared" si="357"/>
        <v>0</v>
      </c>
      <c r="ED91" s="38">
        <f t="shared" si="357"/>
        <v>0</v>
      </c>
      <c r="EE91" s="38">
        <f t="shared" si="357"/>
        <v>0</v>
      </c>
      <c r="EF91" s="38">
        <f t="shared" si="357"/>
        <v>0</v>
      </c>
      <c r="EG91" s="38">
        <f t="shared" si="357"/>
        <v>0</v>
      </c>
      <c r="EH91" s="38">
        <f t="shared" si="357"/>
        <v>0</v>
      </c>
      <c r="EI91" s="38">
        <f t="shared" si="357"/>
        <v>0</v>
      </c>
      <c r="EJ91" s="38">
        <f t="shared" si="357"/>
        <v>0</v>
      </c>
    </row>
    <row r="92" spans="1:140" x14ac:dyDescent="0.25">
      <c r="B92" s="22" t="s">
        <v>390</v>
      </c>
      <c r="C92" s="38"/>
      <c r="D92" s="38"/>
      <c r="E92" s="38"/>
      <c r="F92" s="38"/>
      <c r="G92" s="38"/>
      <c r="H92" s="38"/>
      <c r="I92" s="38"/>
      <c r="J92" s="38"/>
      <c r="K92" s="38">
        <f t="shared" ref="K92:AK92" si="358">+K63/K56</f>
        <v>0.42587776332899868</v>
      </c>
      <c r="L92" s="38">
        <f t="shared" si="358"/>
        <v>0.44944295585954025</v>
      </c>
      <c r="M92" s="38">
        <f t="shared" si="358"/>
        <v>0.48866242038216562</v>
      </c>
      <c r="N92" s="38">
        <f t="shared" si="358"/>
        <v>0.46402072782946652</v>
      </c>
      <c r="O92" s="38">
        <f t="shared" si="358"/>
        <v>0.50786434013271076</v>
      </c>
      <c r="P92" s="38">
        <f t="shared" si="358"/>
        <v>0.5283915419339511</v>
      </c>
      <c r="Q92" s="38">
        <f t="shared" si="358"/>
        <v>0.54417249417249414</v>
      </c>
      <c r="R92" s="38">
        <f t="shared" si="358"/>
        <v>-0.27001970100822809</v>
      </c>
      <c r="S92" s="38">
        <f t="shared" si="358"/>
        <v>0.55105485232067508</v>
      </c>
      <c r="T92" s="38">
        <f t="shared" si="358"/>
        <v>0.57688419633831289</v>
      </c>
      <c r="U92" s="38">
        <f t="shared" si="358"/>
        <v>0.57365875109938436</v>
      </c>
      <c r="V92" s="38">
        <f t="shared" si="358"/>
        <v>0.54314434154054669</v>
      </c>
      <c r="W92" s="38">
        <f t="shared" si="358"/>
        <v>0.30767630538797586</v>
      </c>
      <c r="X92" s="38">
        <f t="shared" si="358"/>
        <v>0.61581120943952805</v>
      </c>
      <c r="Y92" s="38">
        <f t="shared" si="358"/>
        <v>0.32742809503959985</v>
      </c>
      <c r="Z92" s="38">
        <f t="shared" si="358"/>
        <v>0.27704950107611037</v>
      </c>
      <c r="AA92" s="54">
        <f t="shared" si="358"/>
        <v>0.31750149670724409</v>
      </c>
      <c r="AB92" s="38">
        <f t="shared" si="358"/>
        <v>0.31965403018034599</v>
      </c>
      <c r="AC92" s="38">
        <f t="shared" si="358"/>
        <v>0.32572497661365762</v>
      </c>
      <c r="AD92" s="38">
        <f t="shared" si="358"/>
        <v>0.28932893289328931</v>
      </c>
      <c r="AE92" s="38">
        <f t="shared" si="358"/>
        <v>0.35098076556846314</v>
      </c>
      <c r="AF92" s="38">
        <f t="shared" si="358"/>
        <v>0.22687373396353816</v>
      </c>
      <c r="AG92" s="38">
        <f t="shared" si="358"/>
        <v>-0.33993576017130622</v>
      </c>
      <c r="AH92" s="38">
        <f t="shared" si="358"/>
        <v>0.16201383917919351</v>
      </c>
      <c r="AI92" s="38">
        <f t="shared" si="358"/>
        <v>0.24182382430174265</v>
      </c>
      <c r="AJ92" s="38">
        <f t="shared" si="358"/>
        <v>0.1800889328063241</v>
      </c>
      <c r="AK92" s="38">
        <f t="shared" si="358"/>
        <v>0.27907493884812096</v>
      </c>
      <c r="AL92" s="38"/>
      <c r="AM92" s="38"/>
      <c r="AN92" s="38"/>
      <c r="AO92" s="38"/>
      <c r="AP92" s="38"/>
      <c r="AQ92" s="38"/>
      <c r="AR92" s="38"/>
      <c r="AS92" s="38"/>
      <c r="BK92" s="56">
        <f t="shared" ref="BK92:BS92" si="359">+BK63/BK56</f>
        <v>0.42472868936091274</v>
      </c>
      <c r="BL92" s="56">
        <f t="shared" si="359"/>
        <v>0.32382268733339914</v>
      </c>
      <c r="BM92" s="56">
        <f t="shared" si="359"/>
        <v>0.36366223908918405</v>
      </c>
      <c r="BN92" s="56">
        <f t="shared" si="359"/>
        <v>0.34477773762197328</v>
      </c>
      <c r="BO92" s="56">
        <f t="shared" si="359"/>
        <v>0.43023570848008669</v>
      </c>
      <c r="BP92" s="56">
        <f t="shared" si="359"/>
        <v>0.44527044347603179</v>
      </c>
      <c r="BQ92" s="56">
        <f t="shared" si="359"/>
        <v>0.36940812112869925</v>
      </c>
      <c r="BR92" s="56">
        <f t="shared" si="359"/>
        <v>0.38965373383395913</v>
      </c>
      <c r="BS92" s="56">
        <f t="shared" si="359"/>
        <v>0.45218063186813184</v>
      </c>
      <c r="BT92" s="56">
        <f>+BT63/BT56</f>
        <v>0.43989231934045597</v>
      </c>
      <c r="BU92" s="56">
        <f t="shared" ref="BU92:CH92" si="360">+BU63/BU56</f>
        <v>0.33019789623818868</v>
      </c>
      <c r="BV92" s="56">
        <f>+BV63/BV56</f>
        <v>0.35393652463615644</v>
      </c>
      <c r="BW92" s="56">
        <f t="shared" si="360"/>
        <v>0.43999558966216806</v>
      </c>
      <c r="BX92" s="56">
        <f t="shared" si="360"/>
        <v>0.41511847496882243</v>
      </c>
      <c r="BY92" s="56">
        <f t="shared" si="360"/>
        <v>0.32353820900966634</v>
      </c>
      <c r="BZ92" s="56">
        <f t="shared" si="360"/>
        <v>0.40130173390258778</v>
      </c>
      <c r="CA92" s="56">
        <f t="shared" si="360"/>
        <v>0.38938053097345132</v>
      </c>
      <c r="CB92" s="56">
        <f t="shared" si="360"/>
        <v>0.44162657159249247</v>
      </c>
      <c r="CC92" s="56">
        <f t="shared" si="360"/>
        <v>0.43632843928691561</v>
      </c>
      <c r="CD92" s="56">
        <f t="shared" si="360"/>
        <v>0.3432993031923513</v>
      </c>
      <c r="CE92" s="56">
        <f t="shared" si="360"/>
        <v>0.38969734845103116</v>
      </c>
      <c r="CF92" s="56">
        <f t="shared" si="360"/>
        <v>0.44015000880123872</v>
      </c>
      <c r="CG92" s="56">
        <f t="shared" si="360"/>
        <v>0.44252181415132924</v>
      </c>
      <c r="CH92" s="56">
        <f t="shared" si="360"/>
        <v>0.39477207293666022</v>
      </c>
      <c r="CI92" s="56"/>
      <c r="CJ92" s="56"/>
      <c r="CK92" s="56"/>
      <c r="CL92" s="56"/>
      <c r="CP92" s="38"/>
      <c r="CQ92" s="38"/>
      <c r="CR92" s="38"/>
      <c r="CS92" s="38"/>
      <c r="CT92" s="38"/>
      <c r="CU92" s="38"/>
      <c r="CV92" s="38"/>
      <c r="CW92" s="38"/>
      <c r="CX92" s="38"/>
      <c r="CY92" s="38"/>
      <c r="CZ92" s="38"/>
      <c r="DA92" s="38"/>
      <c r="DB92" s="38"/>
      <c r="DC92" s="38"/>
      <c r="DD92" s="38"/>
      <c r="DE92" s="38"/>
      <c r="DF92" s="38"/>
      <c r="DG92" s="38"/>
      <c r="DH92" s="38"/>
      <c r="DI92" s="38"/>
      <c r="DJ92" s="54"/>
      <c r="DK92" s="54"/>
      <c r="DL92" s="54">
        <f t="shared" ref="DL92:DZ92" si="361">+DL63/DL56</f>
        <v>0.31288834494445489</v>
      </c>
      <c r="DM92" s="38">
        <f t="shared" si="361"/>
        <v>0.4427461582242459</v>
      </c>
      <c r="DN92" s="38">
        <f t="shared" si="361"/>
        <v>0.41630174596114811</v>
      </c>
      <c r="DO92" s="38">
        <f t="shared" si="361"/>
        <v>0.43296507669740697</v>
      </c>
      <c r="DP92" s="38">
        <f t="shared" si="361"/>
        <v>0.49045256348757427</v>
      </c>
      <c r="DQ92" s="38">
        <f t="shared" si="361"/>
        <v>0.54731875309203082</v>
      </c>
      <c r="DR92" s="38">
        <f t="shared" si="361"/>
        <v>0.6281299026192706</v>
      </c>
      <c r="DS92" s="38">
        <f t="shared" si="361"/>
        <v>0.66154905227425087</v>
      </c>
      <c r="DT92" s="38">
        <f t="shared" si="361"/>
        <v>-7.2275422291845956E-2</v>
      </c>
      <c r="DU92" s="38">
        <f t="shared" si="361"/>
        <v>0</v>
      </c>
      <c r="DV92" s="38">
        <f t="shared" si="361"/>
        <v>0</v>
      </c>
      <c r="DW92" s="38">
        <f t="shared" si="361"/>
        <v>0.39509434779782926</v>
      </c>
      <c r="DX92" s="38">
        <f t="shared" si="361"/>
        <v>0.3955474825578813</v>
      </c>
      <c r="DY92" s="38">
        <f t="shared" si="361"/>
        <v>0.40236239337474122</v>
      </c>
      <c r="DZ92" s="38">
        <f t="shared" si="361"/>
        <v>0.4471349827973074</v>
      </c>
      <c r="EA92" s="38">
        <f t="shared" ref="EA92:EJ92" si="362">+EA63/EA56</f>
        <v>0.65</v>
      </c>
      <c r="EB92" s="38">
        <f t="shared" si="362"/>
        <v>0.65000000000000013</v>
      </c>
      <c r="EC92" s="38">
        <f t="shared" si="362"/>
        <v>0.65</v>
      </c>
      <c r="ED92" s="38">
        <f t="shared" si="362"/>
        <v>0.65</v>
      </c>
      <c r="EE92" s="38">
        <f t="shared" si="362"/>
        <v>0.65000000000000013</v>
      </c>
      <c r="EF92" s="38">
        <f t="shared" si="362"/>
        <v>0.65000000000000013</v>
      </c>
      <c r="EG92" s="38">
        <f t="shared" si="362"/>
        <v>0.65</v>
      </c>
      <c r="EH92" s="38">
        <f t="shared" si="362"/>
        <v>0.64999999999999991</v>
      </c>
      <c r="EI92" s="38">
        <f t="shared" si="362"/>
        <v>0.65000000000000013</v>
      </c>
      <c r="EJ92" s="38">
        <f t="shared" si="362"/>
        <v>0.65000000000000013</v>
      </c>
    </row>
    <row r="93" spans="1:140" x14ac:dyDescent="0.25">
      <c r="B93" s="22" t="s">
        <v>388</v>
      </c>
      <c r="C93" s="38"/>
      <c r="D93" s="38"/>
      <c r="E93" s="38"/>
      <c r="F93" s="38"/>
      <c r="G93" s="38"/>
      <c r="H93" s="38"/>
      <c r="I93" s="38"/>
      <c r="J93" s="38"/>
      <c r="K93" s="38">
        <f t="shared" ref="K93:U93" si="363">K66/K65</f>
        <v>2.4963289280469897E-2</v>
      </c>
      <c r="L93" s="38">
        <f t="shared" si="363"/>
        <v>7.7526395173453999E-2</v>
      </c>
      <c r="M93" s="38">
        <f t="shared" si="363"/>
        <v>8.6276488395560041E-2</v>
      </c>
      <c r="N93" s="38">
        <f t="shared" si="363"/>
        <v>4.7326203208556149E-2</v>
      </c>
      <c r="O93" s="38">
        <f t="shared" si="363"/>
        <v>8.431188351338656E-2</v>
      </c>
      <c r="P93" s="38">
        <f t="shared" si="363"/>
        <v>6.3354306791060966E-2</v>
      </c>
      <c r="Q93" s="38">
        <f t="shared" si="363"/>
        <v>8.0777096114519428E-2</v>
      </c>
      <c r="R93" s="38">
        <f t="shared" si="363"/>
        <v>0.25</v>
      </c>
      <c r="S93" s="38">
        <f t="shared" si="363"/>
        <v>9.6558915537017731E-2</v>
      </c>
      <c r="T93" s="38">
        <f t="shared" si="363"/>
        <v>8.3458929917106253E-2</v>
      </c>
      <c r="U93" s="38">
        <f t="shared" si="363"/>
        <v>8.0564321514757745E-2</v>
      </c>
      <c r="V93" s="38">
        <f t="shared" ref="V93:AA93" si="364">V66/V65</f>
        <v>3.6237471087124135E-2</v>
      </c>
      <c r="W93" s="38">
        <f t="shared" si="364"/>
        <v>0.23991797676008203</v>
      </c>
      <c r="X93" s="38">
        <f t="shared" si="364"/>
        <v>6.0867931617508926E-2</v>
      </c>
      <c r="Y93" s="38">
        <f t="shared" si="364"/>
        <v>0.1889763779527559</v>
      </c>
      <c r="Z93" s="38">
        <f t="shared" si="364"/>
        <v>0.3979094076655052</v>
      </c>
      <c r="AA93" s="54">
        <f t="shared" si="364"/>
        <v>0.22087244616234125</v>
      </c>
      <c r="AB93" s="38">
        <f t="shared" ref="AB93:AH93" si="365">AB66/AB65</f>
        <v>0.26393442622950819</v>
      </c>
      <c r="AC93" s="38">
        <f t="shared" si="365"/>
        <v>0.2584330794341676</v>
      </c>
      <c r="AD93" s="38">
        <f t="shared" si="365"/>
        <v>0.22435105067985167</v>
      </c>
      <c r="AE93" s="38">
        <f t="shared" si="365"/>
        <v>0.29035695258391048</v>
      </c>
      <c r="AF93" s="38">
        <f>AF66/AF65</f>
        <v>0.23262279888785914</v>
      </c>
      <c r="AG93" s="38">
        <f t="shared" si="365"/>
        <v>0</v>
      </c>
      <c r="AH93" s="38">
        <f t="shared" si="365"/>
        <v>-0.26878130217028379</v>
      </c>
      <c r="AI93" s="38">
        <f>AI66/AI65</f>
        <v>4.9418604651162788E-2</v>
      </c>
      <c r="AJ93" s="38">
        <f>AJ66/AJ65</f>
        <v>0</v>
      </c>
      <c r="AK93" s="38">
        <f>AK66/AK65</f>
        <v>0.1008</v>
      </c>
      <c r="AL93" s="38"/>
      <c r="AM93" s="38"/>
      <c r="AN93" s="38"/>
      <c r="AO93" s="38"/>
      <c r="AP93" s="38"/>
      <c r="AQ93" s="38"/>
      <c r="AR93" s="38"/>
      <c r="AS93" s="38"/>
      <c r="CP93" s="38"/>
      <c r="CQ93" s="38"/>
      <c r="CR93" s="38"/>
      <c r="CS93" s="38"/>
      <c r="CT93" s="38"/>
      <c r="CU93" s="38"/>
      <c r="CV93" s="38"/>
      <c r="CW93" s="38"/>
      <c r="CX93" s="38"/>
      <c r="CY93" s="38"/>
      <c r="CZ93" s="38"/>
      <c r="DA93" s="38"/>
      <c r="DB93" s="38"/>
      <c r="DC93" s="38"/>
      <c r="DD93" s="38"/>
      <c r="DE93" s="38"/>
      <c r="DF93" s="38"/>
      <c r="DG93" s="38"/>
      <c r="DH93" s="38"/>
      <c r="DI93" s="38"/>
      <c r="DJ93" s="54"/>
      <c r="DK93" s="54"/>
      <c r="DL93" s="54">
        <f t="shared" ref="DL93:DR93" si="366">DL66/DL65</f>
        <v>0.24249682964632943</v>
      </c>
      <c r="DM93" s="38">
        <f t="shared" si="366"/>
        <v>0.28999999999999998</v>
      </c>
      <c r="DN93" s="38">
        <f t="shared" si="366"/>
        <v>0.28000000000000003</v>
      </c>
      <c r="DO93" s="38">
        <f t="shared" si="366"/>
        <v>0.28000000000000003</v>
      </c>
      <c r="DP93" s="38">
        <f t="shared" si="366"/>
        <v>0.28000000000000003</v>
      </c>
      <c r="DQ93" s="38">
        <f t="shared" si="366"/>
        <v>0.28000000000000003</v>
      </c>
      <c r="DR93" s="38">
        <f t="shared" si="366"/>
        <v>0.28000000000000003</v>
      </c>
      <c r="DS93" s="38">
        <f t="shared" ref="DS93:DZ93" si="367">DS66/DS65</f>
        <v>0.27999999999999997</v>
      </c>
      <c r="DT93" s="38">
        <f t="shared" si="367"/>
        <v>0.28000000000000008</v>
      </c>
      <c r="DU93" s="38" t="e">
        <f t="shared" si="367"/>
        <v>#DIV/0!</v>
      </c>
      <c r="DV93" s="38" t="e">
        <f t="shared" si="367"/>
        <v>#DIV/0!</v>
      </c>
      <c r="DW93" s="38">
        <f t="shared" si="367"/>
        <v>0.12811857681559366</v>
      </c>
      <c r="DX93" s="38">
        <f t="shared" si="367"/>
        <v>0.19999999999999996</v>
      </c>
      <c r="DY93" s="38">
        <f t="shared" si="367"/>
        <v>0.18814730553124315</v>
      </c>
      <c r="DZ93" s="38">
        <f t="shared" si="367"/>
        <v>0.16419056416476446</v>
      </c>
      <c r="EA93" s="38">
        <f t="shared" ref="EA93:EJ93" si="368">EA66/EA65</f>
        <v>0.2</v>
      </c>
      <c r="EB93" s="38">
        <f t="shared" si="368"/>
        <v>0.2</v>
      </c>
      <c r="EC93" s="38">
        <f t="shared" si="368"/>
        <v>0.2</v>
      </c>
      <c r="ED93" s="38">
        <f t="shared" si="368"/>
        <v>0.2</v>
      </c>
      <c r="EE93" s="38">
        <f t="shared" si="368"/>
        <v>0.2</v>
      </c>
      <c r="EF93" s="38">
        <f t="shared" si="368"/>
        <v>0.2</v>
      </c>
      <c r="EG93" s="38">
        <f t="shared" si="368"/>
        <v>0.20000000000000004</v>
      </c>
      <c r="EH93" s="38">
        <f t="shared" si="368"/>
        <v>0.2</v>
      </c>
      <c r="EI93" s="38">
        <f t="shared" si="368"/>
        <v>0.2</v>
      </c>
      <c r="EJ93" s="38">
        <f t="shared" si="368"/>
        <v>0.19999999999999998</v>
      </c>
    </row>
    <row r="94" spans="1:140" s="18" customFormat="1" ht="13" x14ac:dyDescent="0.3">
      <c r="C94" s="36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52"/>
      <c r="Z94" s="52"/>
      <c r="AA94" s="52"/>
      <c r="AB94" s="52"/>
      <c r="AC94" s="52"/>
      <c r="AD94" s="52"/>
      <c r="AE94" s="39"/>
      <c r="AF94" s="39"/>
      <c r="AG94" s="39"/>
      <c r="AH94" s="39"/>
      <c r="AI94" s="39"/>
      <c r="AJ94" s="39"/>
      <c r="AK94" s="39"/>
      <c r="AL94" s="39"/>
      <c r="AM94" s="39"/>
      <c r="AN94" s="39"/>
      <c r="AO94" s="39"/>
      <c r="AP94" s="39"/>
      <c r="AQ94" s="39"/>
      <c r="AR94" s="39"/>
      <c r="AS94" s="39"/>
      <c r="AT94" s="36"/>
      <c r="AU94" s="36"/>
      <c r="AV94" s="36"/>
      <c r="AW94" s="36"/>
      <c r="AX94" s="36"/>
      <c r="AY94" s="36"/>
      <c r="AZ94" s="36"/>
      <c r="BA94" s="36"/>
      <c r="BB94" s="36"/>
      <c r="BC94" s="36"/>
      <c r="BD94" s="36"/>
      <c r="BE94" s="36"/>
      <c r="BF94" s="36"/>
      <c r="BG94" s="36"/>
      <c r="BH94" s="36"/>
      <c r="BI94" s="36"/>
      <c r="BJ94" s="36"/>
      <c r="BK94" s="36"/>
      <c r="BL94" s="36"/>
      <c r="BM94" s="36"/>
      <c r="BN94" s="36"/>
      <c r="BO94" s="36"/>
      <c r="BP94" s="36"/>
      <c r="BQ94" s="36"/>
      <c r="BR94" s="36"/>
      <c r="BS94" s="36"/>
      <c r="BT94" s="36"/>
      <c r="BU94" s="36"/>
      <c r="BV94" s="36"/>
      <c r="BW94" s="36"/>
      <c r="BX94" s="36"/>
      <c r="BY94" s="36"/>
      <c r="BZ94" s="36"/>
      <c r="CA94" s="36"/>
      <c r="CB94" s="36"/>
      <c r="CC94" s="36"/>
      <c r="CD94" s="36"/>
      <c r="CE94" s="36"/>
      <c r="CF94" s="36"/>
      <c r="CG94" s="36"/>
      <c r="CH94" s="36"/>
      <c r="CI94" s="36"/>
      <c r="CJ94" s="36"/>
      <c r="CK94" s="36"/>
      <c r="CL94" s="36"/>
      <c r="CM94" s="36"/>
      <c r="CN94" s="36"/>
      <c r="CO94" s="36"/>
      <c r="CP94" s="36"/>
      <c r="CQ94" s="36"/>
      <c r="CR94" s="36"/>
      <c r="CS94" s="36"/>
      <c r="CT94" s="36"/>
      <c r="CU94" s="36"/>
      <c r="CV94" s="36"/>
      <c r="CW94" s="36"/>
      <c r="CX94" s="36"/>
      <c r="CY94" s="36"/>
      <c r="CZ94" s="36"/>
      <c r="DA94" s="36"/>
      <c r="DB94" s="36"/>
      <c r="DC94" s="36"/>
      <c r="DD94" s="36"/>
      <c r="DE94" s="36"/>
      <c r="DF94" s="36"/>
      <c r="DG94" s="36"/>
      <c r="DH94" s="39"/>
      <c r="DI94" s="36"/>
      <c r="DJ94" s="55"/>
      <c r="DK94" s="55"/>
      <c r="DL94" s="55"/>
      <c r="DM94" s="36"/>
      <c r="DN94" s="36"/>
      <c r="DO94" s="36"/>
      <c r="DP94" s="36"/>
      <c r="DQ94" s="36"/>
      <c r="DR94" s="36"/>
      <c r="DS94" s="36"/>
      <c r="DT94" s="36"/>
      <c r="DU94" s="36"/>
      <c r="DV94" s="36"/>
      <c r="DW94" s="36"/>
      <c r="DX94" s="36"/>
      <c r="DY94" s="36"/>
      <c r="DZ94" s="36"/>
    </row>
    <row r="95" spans="1:140" s="18" customFormat="1" ht="13" x14ac:dyDescent="0.3">
      <c r="A95" s="22"/>
      <c r="B95" s="22" t="s">
        <v>393</v>
      </c>
      <c r="C95" s="32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34">
        <f>Main!K5-Main!K6</f>
        <v>-33608</v>
      </c>
      <c r="P95" s="34">
        <f>O95+P68</f>
        <v>-29532</v>
      </c>
      <c r="Q95" s="34">
        <f>Q96-Q107</f>
        <v>1176</v>
      </c>
      <c r="R95" s="34">
        <f>Q95+R68</f>
        <v>-681.5</v>
      </c>
      <c r="S95" s="34"/>
      <c r="T95" s="34">
        <f>7507+613+983-124-6235</f>
        <v>2744</v>
      </c>
      <c r="U95" s="34"/>
      <c r="V95" s="34"/>
      <c r="W95" s="34"/>
      <c r="X95" s="34">
        <f>+X96-X107</f>
        <v>3711</v>
      </c>
      <c r="Y95" s="34">
        <f t="shared" ref="Y95:AF95" si="369">+Y96-Y107</f>
        <v>0</v>
      </c>
      <c r="Z95" s="34">
        <f t="shared" si="369"/>
        <v>0</v>
      </c>
      <c r="AA95" s="34">
        <f t="shared" si="369"/>
        <v>4447</v>
      </c>
      <c r="AB95" s="34">
        <f t="shared" si="369"/>
        <v>0</v>
      </c>
      <c r="AC95" s="34">
        <f t="shared" si="369"/>
        <v>0</v>
      </c>
      <c r="AD95" s="34">
        <f t="shared" si="369"/>
        <v>0</v>
      </c>
      <c r="AE95" s="34">
        <f t="shared" si="369"/>
        <v>3199</v>
      </c>
      <c r="AF95" s="34">
        <f t="shared" si="369"/>
        <v>3324</v>
      </c>
      <c r="AG95" s="34"/>
      <c r="AH95" s="34"/>
      <c r="AI95" s="34"/>
      <c r="AJ95" s="34"/>
      <c r="AK95" s="34">
        <f>AK96-AK107</f>
        <v>2919</v>
      </c>
      <c r="AL95" s="34"/>
      <c r="AM95" s="34"/>
      <c r="AN95" s="34"/>
      <c r="AO95" s="34"/>
      <c r="AP95" s="34"/>
      <c r="AQ95" s="34"/>
      <c r="AR95" s="34"/>
      <c r="AS95" s="34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2"/>
      <c r="BP95" s="32"/>
      <c r="BQ95" s="32"/>
      <c r="BR95" s="32"/>
      <c r="BS95" s="32"/>
      <c r="BT95" s="34">
        <f t="shared" ref="BT95:CD95" si="370">+BT96-BT107</f>
        <v>-28832</v>
      </c>
      <c r="BU95" s="34">
        <f t="shared" si="370"/>
        <v>0</v>
      </c>
      <c r="BV95" s="34">
        <f t="shared" si="370"/>
        <v>0</v>
      </c>
      <c r="BW95" s="34">
        <f t="shared" si="370"/>
        <v>-28561</v>
      </c>
      <c r="BX95" s="34">
        <f t="shared" si="370"/>
        <v>-28946</v>
      </c>
      <c r="BY95" s="34">
        <f t="shared" si="370"/>
        <v>-29594</v>
      </c>
      <c r="BZ95" s="34">
        <f t="shared" si="370"/>
        <v>0</v>
      </c>
      <c r="CA95" s="34">
        <f t="shared" si="370"/>
        <v>-45640</v>
      </c>
      <c r="CB95" s="34">
        <f t="shared" si="370"/>
        <v>-45379</v>
      </c>
      <c r="CC95" s="34">
        <f t="shared" si="370"/>
        <v>-41334</v>
      </c>
      <c r="CD95" s="34">
        <f t="shared" si="370"/>
        <v>-38470</v>
      </c>
      <c r="CE95" s="34"/>
      <c r="CF95" s="34"/>
      <c r="CG95" s="34"/>
      <c r="CH95" s="34">
        <v>-34043</v>
      </c>
      <c r="CI95" s="34"/>
      <c r="CJ95" s="34"/>
      <c r="CK95" s="34"/>
      <c r="CL95" s="34"/>
      <c r="CM95" s="34"/>
      <c r="CN95" s="32"/>
      <c r="CO95" s="32"/>
      <c r="CP95" s="32"/>
      <c r="CQ95" s="32"/>
      <c r="CR95" s="32"/>
      <c r="CS95" s="32"/>
      <c r="CT95" s="34">
        <f>2421+308-177-588</f>
        <v>1964</v>
      </c>
      <c r="CU95" s="32"/>
      <c r="CV95" s="32"/>
      <c r="CW95" s="32"/>
      <c r="CX95" s="32"/>
      <c r="CY95" s="32"/>
      <c r="CZ95" s="32"/>
      <c r="DA95" s="32"/>
      <c r="DB95" s="32"/>
      <c r="DC95" s="32"/>
      <c r="DD95" s="32"/>
      <c r="DE95" s="32"/>
      <c r="DF95" s="32"/>
      <c r="DG95" s="32"/>
      <c r="DH95" s="40"/>
      <c r="DI95" s="34"/>
      <c r="DJ95" s="53"/>
      <c r="DK95" s="53"/>
      <c r="DL95" s="53"/>
      <c r="DM95" s="34"/>
      <c r="DN95" s="34"/>
      <c r="DO95" s="34"/>
      <c r="DP95" s="34"/>
      <c r="DQ95" s="34"/>
      <c r="DR95" s="34"/>
      <c r="DS95" s="34"/>
      <c r="DT95" s="34"/>
      <c r="DU95" s="34"/>
      <c r="DV95" s="34"/>
      <c r="DW95" s="34"/>
      <c r="DX95" s="34"/>
      <c r="DY95" s="34"/>
      <c r="DZ95" s="34">
        <f>+CH95</f>
        <v>-34043</v>
      </c>
      <c r="EA95" s="43">
        <f t="shared" ref="EA95:EJ95" si="371">+DZ95+EA68</f>
        <v>-8037.1759999999995</v>
      </c>
      <c r="EB95" s="43">
        <f t="shared" si="371"/>
        <v>18837.284671999998</v>
      </c>
      <c r="EC95" s="43">
        <f t="shared" si="371"/>
        <v>42968.989442976002</v>
      </c>
      <c r="ED95" s="43">
        <f t="shared" si="371"/>
        <v>63892.959894019812</v>
      </c>
      <c r="EE95" s="43">
        <f t="shared" si="371"/>
        <v>85144.120623001974</v>
      </c>
      <c r="EF95" s="43">
        <f t="shared" si="371"/>
        <v>106885.81587500659</v>
      </c>
      <c r="EG95" s="43">
        <f t="shared" si="371"/>
        <v>128982.76833469421</v>
      </c>
      <c r="EH95" s="43">
        <f t="shared" si="371"/>
        <v>142615.74765606935</v>
      </c>
      <c r="EI95" s="43">
        <f t="shared" si="371"/>
        <v>153964.9613313333</v>
      </c>
      <c r="EJ95" s="43">
        <f t="shared" si="371"/>
        <v>163059.86015384184</v>
      </c>
    </row>
    <row r="96" spans="1:140" x14ac:dyDescent="0.25">
      <c r="A96" s="24"/>
      <c r="B96" s="24" t="s">
        <v>191</v>
      </c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34">
        <f>7173+258</f>
        <v>7431</v>
      </c>
      <c r="R96" s="29"/>
      <c r="S96" s="29"/>
      <c r="T96" s="29"/>
      <c r="U96" s="29"/>
      <c r="V96" s="29"/>
      <c r="W96" s="29"/>
      <c r="X96" s="29">
        <f>5918+1536+2795</f>
        <v>10249</v>
      </c>
      <c r="Y96" s="49"/>
      <c r="Z96" s="49"/>
      <c r="AA96" s="49">
        <f>3405+3388+3065</f>
        <v>9858</v>
      </c>
      <c r="AB96" s="49"/>
      <c r="AC96" s="49"/>
      <c r="AD96" s="49"/>
      <c r="AE96" s="29">
        <f>2307+2722+3585</f>
        <v>8614</v>
      </c>
      <c r="AF96" s="29">
        <f>2801+2236+3732</f>
        <v>8769</v>
      </c>
      <c r="AG96" s="29"/>
      <c r="AH96" s="29"/>
      <c r="AI96" s="29"/>
      <c r="AJ96" s="29"/>
      <c r="AK96" s="29">
        <f>1771+2036</f>
        <v>3807</v>
      </c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  <c r="BB96" s="29"/>
      <c r="BC96" s="29"/>
      <c r="BD96" s="29"/>
      <c r="BE96" s="29"/>
      <c r="BF96" s="29"/>
      <c r="BG96" s="29"/>
      <c r="BH96" s="29"/>
      <c r="BI96" s="29"/>
      <c r="BJ96" s="29"/>
      <c r="BK96" s="29"/>
      <c r="BL96" s="29"/>
      <c r="BM96" s="29"/>
      <c r="BN96" s="29"/>
      <c r="BO96" s="29"/>
      <c r="BP96" s="29"/>
      <c r="BQ96" s="29"/>
      <c r="BR96" s="29"/>
      <c r="BS96" s="29"/>
      <c r="BT96" s="29">
        <f>10750+2478</f>
        <v>13228</v>
      </c>
      <c r="BU96" s="29"/>
      <c r="BV96" s="29"/>
      <c r="BW96" s="29">
        <f>8995+274</f>
        <v>9269</v>
      </c>
      <c r="BX96" s="29">
        <f>8372+358</f>
        <v>8730</v>
      </c>
      <c r="BY96" s="29">
        <f>7514+171+325</f>
        <v>8010</v>
      </c>
      <c r="BZ96" s="29"/>
      <c r="CA96" s="29">
        <f>9330+340+367</f>
        <v>10037</v>
      </c>
      <c r="CB96" s="29">
        <f>6293+360+357</f>
        <v>7010</v>
      </c>
      <c r="CC96" s="29">
        <f>7890+204+324</f>
        <v>8418</v>
      </c>
      <c r="CD96" s="29">
        <f>10346+513+320</f>
        <v>11179</v>
      </c>
      <c r="CE96" s="29"/>
      <c r="CF96" s="29"/>
      <c r="CG96" s="29"/>
      <c r="CH96" s="29"/>
      <c r="CI96" s="29"/>
      <c r="CJ96" s="29"/>
      <c r="CK96" s="29"/>
      <c r="CL96" s="29"/>
      <c r="CM96" s="29"/>
      <c r="CN96" s="29"/>
      <c r="CO96" s="29"/>
      <c r="CP96" s="29"/>
      <c r="CQ96" s="29"/>
      <c r="CR96" s="29"/>
      <c r="CS96" s="29"/>
      <c r="CT96" s="29"/>
      <c r="CU96" s="29"/>
      <c r="CV96" s="29"/>
      <c r="CW96" s="29"/>
      <c r="CX96" s="29"/>
      <c r="CY96" s="29"/>
      <c r="CZ96" s="29"/>
      <c r="DA96" s="29"/>
      <c r="DB96" s="29"/>
      <c r="DC96" s="29"/>
      <c r="DD96" s="29"/>
      <c r="DE96" s="29"/>
      <c r="DF96" s="29"/>
      <c r="DG96" s="29"/>
      <c r="DH96" s="29"/>
      <c r="DI96" s="29"/>
      <c r="DJ96" s="49"/>
      <c r="DK96" s="49"/>
      <c r="DL96" s="49"/>
      <c r="DM96" s="29"/>
      <c r="DN96" s="29"/>
      <c r="DO96" s="29"/>
      <c r="DP96" s="29"/>
      <c r="DQ96" s="29"/>
      <c r="DR96" s="29"/>
      <c r="DS96" s="24"/>
      <c r="DY96" s="24">
        <f>+CD96</f>
        <v>11179</v>
      </c>
    </row>
    <row r="97" spans="2:129" s="24" customFormat="1" x14ac:dyDescent="0.25">
      <c r="B97" s="24" t="s">
        <v>324</v>
      </c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>
        <v>4224</v>
      </c>
      <c r="R97" s="29"/>
      <c r="S97" s="29"/>
      <c r="T97" s="29"/>
      <c r="U97" s="29"/>
      <c r="V97" s="29"/>
      <c r="W97" s="29"/>
      <c r="X97" s="29">
        <v>3172</v>
      </c>
      <c r="Y97" s="49"/>
      <c r="Z97" s="49"/>
      <c r="AA97" s="49">
        <v>3587</v>
      </c>
      <c r="AB97" s="49"/>
      <c r="AC97" s="49"/>
      <c r="AD97" s="49"/>
      <c r="AE97" s="29">
        <v>3613</v>
      </c>
      <c r="AF97" s="29">
        <v>2825</v>
      </c>
      <c r="AG97" s="29"/>
      <c r="AH97" s="29"/>
      <c r="AI97" s="29"/>
      <c r="AJ97" s="29"/>
      <c r="AK97" s="29">
        <v>3673</v>
      </c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  <c r="BD97" s="29"/>
      <c r="BE97" s="29"/>
      <c r="BF97" s="29"/>
      <c r="BG97" s="29"/>
      <c r="BH97" s="29"/>
      <c r="BI97" s="29"/>
      <c r="BJ97" s="29"/>
      <c r="BK97" s="29"/>
      <c r="BL97" s="29"/>
      <c r="BM97" s="29"/>
      <c r="BN97" s="29"/>
      <c r="BO97" s="29"/>
      <c r="BP97" s="29"/>
      <c r="BQ97" s="29"/>
      <c r="BR97" s="29"/>
      <c r="BS97" s="29"/>
      <c r="BT97" s="29">
        <v>9054</v>
      </c>
      <c r="BU97" s="29"/>
      <c r="BV97" s="29"/>
      <c r="BW97" s="29">
        <v>10054</v>
      </c>
      <c r="BX97" s="29">
        <v>10112</v>
      </c>
      <c r="BY97" s="29">
        <v>10304</v>
      </c>
      <c r="BZ97" s="29"/>
      <c r="CA97" s="29">
        <v>10447</v>
      </c>
      <c r="CB97" s="29">
        <v>11423</v>
      </c>
      <c r="CC97" s="29">
        <v>11026</v>
      </c>
      <c r="CD97" s="29">
        <v>10747</v>
      </c>
      <c r="CE97" s="29"/>
      <c r="CF97" s="29"/>
      <c r="CG97" s="29"/>
      <c r="CH97" s="29"/>
      <c r="CI97" s="29"/>
      <c r="CJ97" s="29"/>
      <c r="CK97" s="29"/>
      <c r="CL97" s="29"/>
      <c r="CM97" s="29"/>
      <c r="CN97" s="29"/>
      <c r="CO97" s="29"/>
      <c r="CP97" s="29"/>
      <c r="CQ97" s="29"/>
      <c r="CR97" s="29"/>
      <c r="CS97" s="29"/>
      <c r="CT97" s="29"/>
      <c r="CU97" s="29"/>
      <c r="CV97" s="29"/>
      <c r="CW97" s="29"/>
      <c r="CX97" s="29"/>
      <c r="CY97" s="29"/>
      <c r="CZ97" s="29"/>
      <c r="DA97" s="29"/>
      <c r="DB97" s="29"/>
      <c r="DC97" s="29"/>
      <c r="DD97" s="29"/>
      <c r="DE97" s="29"/>
      <c r="DF97" s="29"/>
      <c r="DG97" s="29"/>
      <c r="DH97" s="29"/>
      <c r="DI97" s="29"/>
      <c r="DJ97" s="49"/>
      <c r="DK97" s="49"/>
      <c r="DL97" s="49"/>
      <c r="DM97" s="29"/>
      <c r="DN97" s="29"/>
      <c r="DO97" s="29"/>
      <c r="DP97" s="29"/>
      <c r="DQ97" s="29"/>
      <c r="DR97" s="29"/>
      <c r="DY97" s="24">
        <f t="shared" ref="DY97:DY104" si="372">+CD97</f>
        <v>10747</v>
      </c>
    </row>
    <row r="98" spans="2:129" s="24" customFormat="1" x14ac:dyDescent="0.25">
      <c r="B98" s="24" t="s">
        <v>325</v>
      </c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>
        <v>2055</v>
      </c>
      <c r="R98" s="29"/>
      <c r="S98" s="29"/>
      <c r="T98" s="29"/>
      <c r="U98" s="29"/>
      <c r="V98" s="29"/>
      <c r="W98" s="29"/>
      <c r="X98" s="29">
        <v>1265</v>
      </c>
      <c r="Y98" s="49"/>
      <c r="Z98" s="49"/>
      <c r="AA98" s="49">
        <v>1322</v>
      </c>
      <c r="AB98" s="49"/>
      <c r="AC98" s="49"/>
      <c r="AD98" s="49"/>
      <c r="AE98" s="29">
        <v>1463</v>
      </c>
      <c r="AF98" s="29">
        <v>1521</v>
      </c>
      <c r="AG98" s="29"/>
      <c r="AH98" s="29"/>
      <c r="AI98" s="29"/>
      <c r="AJ98" s="29"/>
      <c r="AK98" s="29">
        <v>1640</v>
      </c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9"/>
      <c r="BF98" s="29"/>
      <c r="BG98" s="29"/>
      <c r="BH98" s="29"/>
      <c r="BI98" s="29"/>
      <c r="BJ98" s="29"/>
      <c r="BK98" s="29"/>
      <c r="BL98" s="29"/>
      <c r="BM98" s="29"/>
      <c r="BN98" s="29"/>
      <c r="BO98" s="29"/>
      <c r="BP98" s="29"/>
      <c r="BQ98" s="29"/>
      <c r="BR98" s="29"/>
      <c r="BS98" s="29"/>
      <c r="BT98" s="29">
        <v>2142</v>
      </c>
      <c r="BU98" s="29"/>
      <c r="BV98" s="29"/>
      <c r="BW98" s="29">
        <v>2605</v>
      </c>
      <c r="BX98" s="29">
        <v>2364</v>
      </c>
      <c r="BY98" s="29">
        <v>2436</v>
      </c>
      <c r="BZ98" s="29"/>
      <c r="CA98" s="29">
        <v>2985</v>
      </c>
      <c r="CB98" s="29">
        <v>3077</v>
      </c>
      <c r="CC98" s="29">
        <v>3332</v>
      </c>
      <c r="CD98" s="29">
        <v>2557</v>
      </c>
      <c r="CE98" s="29"/>
      <c r="CF98" s="29"/>
      <c r="CG98" s="29"/>
      <c r="CH98" s="29"/>
      <c r="CI98" s="29"/>
      <c r="CJ98" s="29"/>
      <c r="CK98" s="29"/>
      <c r="CL98" s="29"/>
      <c r="CM98" s="29"/>
      <c r="CN98" s="29"/>
      <c r="CO98" s="29"/>
      <c r="CP98" s="29"/>
      <c r="CQ98" s="29"/>
      <c r="CR98" s="29"/>
      <c r="CS98" s="29"/>
      <c r="CT98" s="29"/>
      <c r="CU98" s="29"/>
      <c r="CV98" s="29"/>
      <c r="CW98" s="29"/>
      <c r="CX98" s="29"/>
      <c r="CY98" s="29"/>
      <c r="CZ98" s="29"/>
      <c r="DA98" s="29"/>
      <c r="DB98" s="29"/>
      <c r="DC98" s="29"/>
      <c r="DD98" s="29"/>
      <c r="DE98" s="29"/>
      <c r="DF98" s="29"/>
      <c r="DG98" s="29"/>
      <c r="DH98" s="29"/>
      <c r="DI98" s="29"/>
      <c r="DJ98" s="49"/>
      <c r="DK98" s="49"/>
      <c r="DL98" s="49"/>
      <c r="DM98" s="29"/>
      <c r="DN98" s="29"/>
      <c r="DO98" s="29"/>
      <c r="DP98" s="29"/>
      <c r="DQ98" s="29"/>
      <c r="DR98" s="29"/>
      <c r="DY98" s="24">
        <f t="shared" si="372"/>
        <v>2557</v>
      </c>
    </row>
    <row r="99" spans="2:129" s="24" customFormat="1" x14ac:dyDescent="0.25">
      <c r="B99" s="24" t="s">
        <v>326</v>
      </c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>
        <v>691</v>
      </c>
      <c r="R99" s="29"/>
      <c r="S99" s="29"/>
      <c r="T99" s="29"/>
      <c r="U99" s="29"/>
      <c r="V99" s="29"/>
      <c r="W99" s="29"/>
      <c r="X99" s="29">
        <v>796</v>
      </c>
      <c r="Y99" s="49"/>
      <c r="Z99" s="49"/>
      <c r="AA99" s="49">
        <v>1143</v>
      </c>
      <c r="AB99" s="49"/>
      <c r="AC99" s="49"/>
      <c r="AD99" s="49"/>
      <c r="AE99" s="29">
        <v>1160</v>
      </c>
      <c r="AF99" s="29">
        <v>1175</v>
      </c>
      <c r="AG99" s="29"/>
      <c r="AH99" s="29"/>
      <c r="AI99" s="29"/>
      <c r="AJ99" s="29"/>
      <c r="AK99" s="29">
        <v>2036</v>
      </c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  <c r="BF99" s="29"/>
      <c r="BG99" s="29"/>
      <c r="BH99" s="29"/>
      <c r="BI99" s="29"/>
      <c r="BJ99" s="29"/>
      <c r="BK99" s="29"/>
      <c r="BL99" s="29"/>
      <c r="BM99" s="29"/>
      <c r="BN99" s="29"/>
      <c r="BO99" s="29"/>
      <c r="BP99" s="29"/>
      <c r="BQ99" s="29"/>
      <c r="BR99" s="29"/>
      <c r="BS99" s="29"/>
      <c r="BT99" s="29">
        <v>0</v>
      </c>
      <c r="BU99" s="29"/>
      <c r="BV99" s="29"/>
      <c r="BW99" s="29">
        <v>0</v>
      </c>
      <c r="BX99" s="29">
        <v>0</v>
      </c>
      <c r="BY99" s="29">
        <v>0</v>
      </c>
      <c r="BZ99" s="29"/>
      <c r="CA99" s="29">
        <v>0</v>
      </c>
      <c r="CB99" s="29">
        <v>0</v>
      </c>
      <c r="CC99" s="29">
        <v>0</v>
      </c>
      <c r="CD99" s="29">
        <v>0</v>
      </c>
      <c r="CE99" s="29"/>
      <c r="CF99" s="29"/>
      <c r="CG99" s="29"/>
      <c r="CH99" s="29"/>
      <c r="CI99" s="29"/>
      <c r="CJ99" s="29"/>
      <c r="CK99" s="29"/>
      <c r="CL99" s="29"/>
      <c r="CM99" s="29"/>
      <c r="CN99" s="29"/>
      <c r="CO99" s="29"/>
      <c r="CP99" s="29"/>
      <c r="CQ99" s="29"/>
      <c r="CR99" s="29"/>
      <c r="CS99" s="29"/>
      <c r="CT99" s="29"/>
      <c r="CU99" s="29"/>
      <c r="CV99" s="29"/>
      <c r="CW99" s="29"/>
      <c r="CX99" s="29"/>
      <c r="CY99" s="29"/>
      <c r="CZ99" s="29"/>
      <c r="DA99" s="29"/>
      <c r="DB99" s="29"/>
      <c r="DC99" s="29"/>
      <c r="DD99" s="29"/>
      <c r="DE99" s="29"/>
      <c r="DF99" s="29"/>
      <c r="DG99" s="29"/>
      <c r="DH99" s="29"/>
      <c r="DI99" s="29"/>
      <c r="DJ99" s="49"/>
      <c r="DK99" s="49"/>
      <c r="DL99" s="49"/>
      <c r="DM99" s="29"/>
      <c r="DN99" s="29"/>
      <c r="DO99" s="29"/>
      <c r="DP99" s="29"/>
      <c r="DQ99" s="29"/>
      <c r="DR99" s="29"/>
      <c r="DY99" s="24">
        <f t="shared" si="372"/>
        <v>0</v>
      </c>
    </row>
    <row r="100" spans="2:129" s="24" customFormat="1" x14ac:dyDescent="0.25">
      <c r="B100" s="24" t="s">
        <v>327</v>
      </c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>
        <v>378</v>
      </c>
      <c r="R100" s="29"/>
      <c r="S100" s="29"/>
      <c r="T100" s="29"/>
      <c r="U100" s="29"/>
      <c r="V100" s="29"/>
      <c r="W100" s="29"/>
      <c r="X100" s="29">
        <v>296</v>
      </c>
      <c r="Y100" s="49"/>
      <c r="Z100" s="49"/>
      <c r="AA100" s="49">
        <v>451</v>
      </c>
      <c r="AB100" s="49"/>
      <c r="AC100" s="49"/>
      <c r="AD100" s="49"/>
      <c r="AE100" s="29">
        <v>500</v>
      </c>
      <c r="AF100" s="29">
        <v>455</v>
      </c>
      <c r="AG100" s="29"/>
      <c r="AH100" s="29"/>
      <c r="AI100" s="29"/>
      <c r="AJ100" s="29"/>
      <c r="AK100" s="29">
        <v>556</v>
      </c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29"/>
      <c r="BG100" s="29"/>
      <c r="BH100" s="29"/>
      <c r="BI100" s="29"/>
      <c r="BJ100" s="29"/>
      <c r="BK100" s="29"/>
      <c r="BL100" s="29"/>
      <c r="BM100" s="29"/>
      <c r="BN100" s="29"/>
      <c r="BO100" s="29"/>
      <c r="BP100" s="29"/>
      <c r="BQ100" s="29"/>
      <c r="BR100" s="29"/>
      <c r="BS100" s="29"/>
      <c r="BT100" s="29">
        <v>5762</v>
      </c>
      <c r="BU100" s="29"/>
      <c r="BV100" s="29"/>
      <c r="BW100" s="29">
        <v>5158</v>
      </c>
      <c r="BX100" s="29">
        <v>6868</v>
      </c>
      <c r="BY100" s="29">
        <v>7207</v>
      </c>
      <c r="BZ100" s="29"/>
      <c r="CA100" s="29">
        <v>0</v>
      </c>
      <c r="CB100" s="29">
        <v>0</v>
      </c>
      <c r="CC100" s="29">
        <v>0</v>
      </c>
      <c r="CD100" s="29">
        <v>0</v>
      </c>
      <c r="CE100" s="29"/>
      <c r="CF100" s="29"/>
      <c r="CG100" s="29"/>
      <c r="CH100" s="29"/>
      <c r="CI100" s="29"/>
      <c r="CJ100" s="29"/>
      <c r="CK100" s="29"/>
      <c r="CL100" s="29"/>
      <c r="CM100" s="29"/>
      <c r="CN100" s="29"/>
      <c r="CO100" s="29"/>
      <c r="CP100" s="29"/>
      <c r="CQ100" s="29"/>
      <c r="CR100" s="29"/>
      <c r="CS100" s="29"/>
      <c r="CT100" s="29"/>
      <c r="CU100" s="29"/>
      <c r="CV100" s="29"/>
      <c r="CW100" s="29"/>
      <c r="CX100" s="29"/>
      <c r="CY100" s="29"/>
      <c r="CZ100" s="29"/>
      <c r="DA100" s="29"/>
      <c r="DB100" s="29"/>
      <c r="DC100" s="29"/>
      <c r="DD100" s="29"/>
      <c r="DE100" s="29"/>
      <c r="DF100" s="29"/>
      <c r="DG100" s="29"/>
      <c r="DH100" s="29"/>
      <c r="DI100" s="29"/>
      <c r="DJ100" s="49"/>
      <c r="DK100" s="49"/>
      <c r="DL100" s="49"/>
      <c r="DM100" s="29"/>
      <c r="DN100" s="29"/>
      <c r="DO100" s="29"/>
      <c r="DP100" s="29"/>
      <c r="DQ100" s="29"/>
      <c r="DR100" s="29"/>
      <c r="DY100" s="24">
        <f t="shared" si="372"/>
        <v>0</v>
      </c>
    </row>
    <row r="101" spans="2:129" s="24" customFormat="1" x14ac:dyDescent="0.25">
      <c r="B101" s="24" t="s">
        <v>328</v>
      </c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>
        <v>5360</v>
      </c>
      <c r="R101" s="29"/>
      <c r="S101" s="29"/>
      <c r="T101" s="29"/>
      <c r="U101" s="29"/>
      <c r="V101" s="29"/>
      <c r="W101" s="29"/>
      <c r="X101" s="29">
        <v>4745</v>
      </c>
      <c r="Y101" s="49"/>
      <c r="Z101" s="49"/>
      <c r="AA101" s="49">
        <v>4604</v>
      </c>
      <c r="AB101" s="49"/>
      <c r="AC101" s="49"/>
      <c r="AD101" s="49"/>
      <c r="AE101" s="29">
        <v>4512</v>
      </c>
      <c r="AF101" s="29">
        <v>4478</v>
      </c>
      <c r="AG101" s="29"/>
      <c r="AH101" s="29"/>
      <c r="AI101" s="29"/>
      <c r="AJ101" s="29"/>
      <c r="AK101" s="29">
        <v>5236</v>
      </c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9"/>
      <c r="BF101" s="29"/>
      <c r="BG101" s="29"/>
      <c r="BH101" s="29"/>
      <c r="BI101" s="29"/>
      <c r="BJ101" s="29"/>
      <c r="BK101" s="29"/>
      <c r="BL101" s="29"/>
      <c r="BM101" s="29"/>
      <c r="BN101" s="29"/>
      <c r="BO101" s="29"/>
      <c r="BP101" s="29"/>
      <c r="BQ101" s="29"/>
      <c r="BR101" s="29"/>
      <c r="BS101" s="29"/>
      <c r="BT101" s="29">
        <v>5970</v>
      </c>
      <c r="BU101" s="29"/>
      <c r="BV101" s="29"/>
      <c r="BW101" s="29">
        <v>6279</v>
      </c>
      <c r="BX101" s="29">
        <v>6355</v>
      </c>
      <c r="BY101" s="29">
        <v>6481</v>
      </c>
      <c r="BZ101" s="29"/>
      <c r="CA101" s="29">
        <v>6750</v>
      </c>
      <c r="CB101" s="29">
        <v>6845</v>
      </c>
      <c r="CC101" s="29">
        <v>6903</v>
      </c>
      <c r="CD101" s="29">
        <v>7136</v>
      </c>
      <c r="CE101" s="29"/>
      <c r="CF101" s="29"/>
      <c r="CG101" s="29"/>
      <c r="CH101" s="29"/>
      <c r="CI101" s="29"/>
      <c r="CJ101" s="29"/>
      <c r="CK101" s="29"/>
      <c r="CL101" s="29"/>
      <c r="CM101" s="29"/>
      <c r="CN101" s="29"/>
      <c r="CO101" s="29"/>
      <c r="CP101" s="29"/>
      <c r="CQ101" s="29"/>
      <c r="CR101" s="29"/>
      <c r="CS101" s="29"/>
      <c r="CT101" s="29"/>
      <c r="CU101" s="29"/>
      <c r="CV101" s="29"/>
      <c r="CW101" s="29"/>
      <c r="CX101" s="29"/>
      <c r="CY101" s="29"/>
      <c r="CZ101" s="29"/>
      <c r="DA101" s="29"/>
      <c r="DB101" s="29"/>
      <c r="DC101" s="29"/>
      <c r="DD101" s="29"/>
      <c r="DE101" s="29"/>
      <c r="DF101" s="29"/>
      <c r="DG101" s="29"/>
      <c r="DH101" s="29"/>
      <c r="DI101" s="29"/>
      <c r="DJ101" s="49"/>
      <c r="DK101" s="49"/>
      <c r="DL101" s="49"/>
      <c r="DM101" s="29"/>
      <c r="DN101" s="29"/>
      <c r="DO101" s="29"/>
      <c r="DP101" s="29"/>
      <c r="DQ101" s="29"/>
      <c r="DR101" s="29"/>
      <c r="DY101" s="24">
        <f t="shared" si="372"/>
        <v>7136</v>
      </c>
    </row>
    <row r="102" spans="2:129" s="24" customFormat="1" x14ac:dyDescent="0.25">
      <c r="B102" s="24" t="s">
        <v>329</v>
      </c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>
        <f>4841+1212</f>
        <v>6053</v>
      </c>
      <c r="R102" s="29"/>
      <c r="S102" s="29"/>
      <c r="T102" s="29"/>
      <c r="U102" s="29"/>
      <c r="V102" s="29"/>
      <c r="W102" s="29"/>
      <c r="X102" s="29">
        <f>5218+2763</f>
        <v>7981</v>
      </c>
      <c r="Y102" s="49"/>
      <c r="Z102" s="49"/>
      <c r="AA102" s="49">
        <f>5233+3299</f>
        <v>8532</v>
      </c>
      <c r="AB102" s="49"/>
      <c r="AC102" s="49"/>
      <c r="AD102" s="49"/>
      <c r="AE102" s="29">
        <f>6799+4816</f>
        <v>11615</v>
      </c>
      <c r="AF102" s="29">
        <f>6799+4569</f>
        <v>11368</v>
      </c>
      <c r="AG102" s="29"/>
      <c r="AH102" s="29"/>
      <c r="AI102" s="29"/>
      <c r="AJ102" s="29"/>
      <c r="AK102" s="29">
        <f>7646+8176</f>
        <v>15822</v>
      </c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29"/>
      <c r="BG102" s="29"/>
      <c r="BH102" s="29"/>
      <c r="BI102" s="29"/>
      <c r="BJ102" s="29"/>
      <c r="BK102" s="29"/>
      <c r="BL102" s="29"/>
      <c r="BM102" s="29"/>
      <c r="BN102" s="29"/>
      <c r="BO102" s="29"/>
      <c r="BP102" s="29"/>
      <c r="BQ102" s="29"/>
      <c r="BR102" s="29"/>
      <c r="BS102" s="29"/>
      <c r="BT102" s="29">
        <f>20446+37690</f>
        <v>58136</v>
      </c>
      <c r="BU102" s="29"/>
      <c r="BV102" s="29"/>
      <c r="BW102" s="29">
        <f>33569+21162</f>
        <v>54731</v>
      </c>
      <c r="BX102" s="29">
        <f>21163+31303</f>
        <v>52466</v>
      </c>
      <c r="BY102" s="29">
        <f>21147+28950</f>
        <v>50097</v>
      </c>
      <c r="BZ102" s="29"/>
      <c r="CA102" s="29">
        <f>21738+32760</f>
        <v>54498</v>
      </c>
      <c r="CB102" s="29">
        <f>21732+29428</f>
        <v>51160</v>
      </c>
      <c r="CC102" s="29">
        <f>21751+26964</f>
        <v>48715</v>
      </c>
      <c r="CD102" s="29">
        <f>21719+23307</f>
        <v>45026</v>
      </c>
      <c r="CE102" s="29"/>
      <c r="CF102" s="29"/>
      <c r="CG102" s="29"/>
      <c r="CH102" s="29"/>
      <c r="CI102" s="29"/>
      <c r="CJ102" s="29"/>
      <c r="CK102" s="29"/>
      <c r="CL102" s="29"/>
      <c r="CM102" s="29"/>
      <c r="CN102" s="29"/>
      <c r="CO102" s="29"/>
      <c r="CP102" s="29"/>
      <c r="CQ102" s="29"/>
      <c r="CR102" s="29"/>
      <c r="CS102" s="29"/>
      <c r="CT102" s="29"/>
      <c r="CU102" s="29"/>
      <c r="CV102" s="29"/>
      <c r="CW102" s="29"/>
      <c r="CX102" s="29"/>
      <c r="CY102" s="29"/>
      <c r="CZ102" s="29"/>
      <c r="DA102" s="29"/>
      <c r="DB102" s="29"/>
      <c r="DC102" s="29"/>
      <c r="DD102" s="29"/>
      <c r="DE102" s="29"/>
      <c r="DF102" s="29"/>
      <c r="DG102" s="29"/>
      <c r="DH102" s="29"/>
      <c r="DI102" s="29"/>
      <c r="DJ102" s="49"/>
      <c r="DK102" s="49"/>
      <c r="DL102" s="49"/>
      <c r="DM102" s="29"/>
      <c r="DN102" s="29"/>
      <c r="DO102" s="29"/>
      <c r="DP102" s="29"/>
      <c r="DQ102" s="29"/>
      <c r="DR102" s="29"/>
      <c r="DY102" s="24">
        <f t="shared" si="372"/>
        <v>45026</v>
      </c>
    </row>
    <row r="103" spans="2:129" s="24" customFormat="1" x14ac:dyDescent="0.25">
      <c r="B103" s="24" t="s">
        <v>326</v>
      </c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>
        <v>1119</v>
      </c>
      <c r="R103" s="29"/>
      <c r="S103" s="29"/>
      <c r="T103" s="29"/>
      <c r="U103" s="29"/>
      <c r="V103" s="29"/>
      <c r="W103" s="29"/>
      <c r="X103" s="29">
        <v>1331</v>
      </c>
      <c r="Y103" s="49"/>
      <c r="Z103" s="49"/>
      <c r="AA103" s="49">
        <v>587</v>
      </c>
      <c r="AB103" s="49"/>
      <c r="AC103" s="49"/>
      <c r="AD103" s="49"/>
      <c r="AE103" s="29">
        <v>108</v>
      </c>
      <c r="AF103" s="29">
        <v>201</v>
      </c>
      <c r="AG103" s="29"/>
      <c r="AH103" s="29"/>
      <c r="AI103" s="29"/>
      <c r="AJ103" s="29"/>
      <c r="AK103" s="29">
        <v>195</v>
      </c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F103" s="29"/>
      <c r="BG103" s="29"/>
      <c r="BH103" s="29"/>
      <c r="BI103" s="29"/>
      <c r="BJ103" s="29"/>
      <c r="BK103" s="29"/>
      <c r="BL103" s="29"/>
      <c r="BM103" s="29"/>
      <c r="BN103" s="29"/>
      <c r="BO103" s="29"/>
      <c r="BP103" s="29"/>
      <c r="BQ103" s="29"/>
      <c r="BR103" s="29"/>
      <c r="BS103" s="29"/>
      <c r="BT103" s="29">
        <v>1337</v>
      </c>
      <c r="BU103" s="29"/>
      <c r="BV103" s="29"/>
      <c r="BW103" s="29">
        <v>1317</v>
      </c>
      <c r="BX103" s="29">
        <v>1572</v>
      </c>
      <c r="BY103" s="29">
        <v>1514</v>
      </c>
      <c r="BZ103" s="29"/>
      <c r="CA103" s="29">
        <v>2723</v>
      </c>
      <c r="CB103" s="29">
        <v>3323</v>
      </c>
      <c r="CC103" s="29">
        <v>3609</v>
      </c>
      <c r="CD103" s="29">
        <v>4236</v>
      </c>
      <c r="CE103" s="29"/>
      <c r="CF103" s="29"/>
      <c r="CG103" s="29"/>
      <c r="CH103" s="29"/>
      <c r="CI103" s="29"/>
      <c r="CJ103" s="29"/>
      <c r="CK103" s="29"/>
      <c r="CL103" s="29"/>
      <c r="CM103" s="29"/>
      <c r="CN103" s="29"/>
      <c r="CO103" s="29"/>
      <c r="CP103" s="29"/>
      <c r="CQ103" s="29"/>
      <c r="CR103" s="29"/>
      <c r="CS103" s="29"/>
      <c r="CT103" s="29"/>
      <c r="CU103" s="29"/>
      <c r="CV103" s="29"/>
      <c r="CW103" s="29"/>
      <c r="CX103" s="29"/>
      <c r="CY103" s="29"/>
      <c r="CZ103" s="29"/>
      <c r="DA103" s="29"/>
      <c r="DB103" s="29"/>
      <c r="DC103" s="29"/>
      <c r="DD103" s="29"/>
      <c r="DE103" s="29"/>
      <c r="DF103" s="29"/>
      <c r="DG103" s="29"/>
      <c r="DH103" s="29"/>
      <c r="DI103" s="29"/>
      <c r="DJ103" s="49"/>
      <c r="DK103" s="49"/>
      <c r="DL103" s="49"/>
      <c r="DM103" s="29"/>
      <c r="DN103" s="29"/>
      <c r="DO103" s="29"/>
      <c r="DP103" s="29"/>
      <c r="DQ103" s="29"/>
      <c r="DR103" s="29"/>
      <c r="DY103" s="24">
        <f t="shared" si="372"/>
        <v>4236</v>
      </c>
    </row>
    <row r="104" spans="2:129" s="24" customFormat="1" x14ac:dyDescent="0.25">
      <c r="B104" s="24" t="s">
        <v>330</v>
      </c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>
        <v>1165</v>
      </c>
      <c r="R104" s="29"/>
      <c r="S104" s="29"/>
      <c r="T104" s="29"/>
      <c r="U104" s="29"/>
      <c r="V104" s="29"/>
      <c r="W104" s="29"/>
      <c r="X104" s="29">
        <v>1216</v>
      </c>
      <c r="Y104" s="49"/>
      <c r="Z104" s="49"/>
      <c r="AA104" s="49">
        <v>767</v>
      </c>
      <c r="AB104" s="49"/>
      <c r="AC104" s="49"/>
      <c r="AD104" s="49"/>
      <c r="AE104" s="29">
        <v>823</v>
      </c>
      <c r="AF104" s="29">
        <v>875</v>
      </c>
      <c r="AG104" s="29"/>
      <c r="AH104" s="29"/>
      <c r="AI104" s="29"/>
      <c r="AJ104" s="29"/>
      <c r="AK104" s="29">
        <v>1301</v>
      </c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29"/>
      <c r="BG104" s="29"/>
      <c r="BH104" s="29"/>
      <c r="BI104" s="29"/>
      <c r="BJ104" s="29"/>
      <c r="BK104" s="29"/>
      <c r="BL104" s="29"/>
      <c r="BM104" s="29"/>
      <c r="BN104" s="29"/>
      <c r="BO104" s="29"/>
      <c r="BP104" s="29"/>
      <c r="BQ104" s="29"/>
      <c r="BR104" s="29"/>
      <c r="BS104" s="29"/>
      <c r="BT104" s="29">
        <v>4728</v>
      </c>
      <c r="BU104" s="29"/>
      <c r="BV104" s="29"/>
      <c r="BW104" s="29">
        <v>4868</v>
      </c>
      <c r="BX104" s="29">
        <v>5022</v>
      </c>
      <c r="BY104" s="29">
        <v>5214</v>
      </c>
      <c r="BZ104" s="29"/>
      <c r="CA104" s="29">
        <f>5567+6024</f>
        <v>11591</v>
      </c>
      <c r="CB104" s="29">
        <f>5737+6071</f>
        <v>11808</v>
      </c>
      <c r="CC104" s="29">
        <f>5623+6044</f>
        <v>11667</v>
      </c>
      <c r="CD104" s="29">
        <f>6105+5617</f>
        <v>11722</v>
      </c>
      <c r="CE104" s="29"/>
      <c r="CF104" s="29"/>
      <c r="CG104" s="29"/>
      <c r="CH104" s="29"/>
      <c r="CI104" s="29"/>
      <c r="CJ104" s="29"/>
      <c r="CK104" s="29"/>
      <c r="CL104" s="29"/>
      <c r="CM104" s="29"/>
      <c r="CN104" s="29"/>
      <c r="CO104" s="29"/>
      <c r="CP104" s="29"/>
      <c r="CQ104" s="29"/>
      <c r="CR104" s="29"/>
      <c r="CS104" s="29"/>
      <c r="CT104" s="29"/>
      <c r="CU104" s="29"/>
      <c r="CV104" s="29"/>
      <c r="CW104" s="29"/>
      <c r="CX104" s="29"/>
      <c r="CY104" s="29"/>
      <c r="CZ104" s="29"/>
      <c r="DA104" s="29"/>
      <c r="DB104" s="29"/>
      <c r="DC104" s="29"/>
      <c r="DD104" s="29"/>
      <c r="DE104" s="29"/>
      <c r="DF104" s="29"/>
      <c r="DG104" s="29"/>
      <c r="DH104" s="29"/>
      <c r="DI104" s="29"/>
      <c r="DJ104" s="49"/>
      <c r="DK104" s="49"/>
      <c r="DL104" s="49"/>
      <c r="DM104" s="29"/>
      <c r="DN104" s="29"/>
      <c r="DO104" s="29"/>
      <c r="DP104" s="29"/>
      <c r="DQ104" s="29"/>
      <c r="DR104" s="29"/>
      <c r="DY104" s="24">
        <f t="shared" si="372"/>
        <v>11722</v>
      </c>
    </row>
    <row r="105" spans="2:129" s="24" customFormat="1" x14ac:dyDescent="0.25">
      <c r="B105" s="24" t="s">
        <v>331</v>
      </c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>
        <f>SUM(Q96:Q104)</f>
        <v>28476</v>
      </c>
      <c r="R105" s="29"/>
      <c r="S105" s="29"/>
      <c r="T105" s="29"/>
      <c r="U105" s="29"/>
      <c r="V105" s="29"/>
      <c r="W105" s="29"/>
      <c r="X105" s="29">
        <f>SUM(X96:X104)</f>
        <v>31051</v>
      </c>
      <c r="Y105" s="49"/>
      <c r="Z105" s="49"/>
      <c r="AA105" s="49">
        <f>SUM(AA96:AA104)</f>
        <v>30851</v>
      </c>
      <c r="AB105" s="49"/>
      <c r="AC105" s="49"/>
      <c r="AD105" s="49"/>
      <c r="AE105" s="49">
        <f>SUM(AE96:AE104)</f>
        <v>32408</v>
      </c>
      <c r="AF105" s="49">
        <f>SUM(AF96:AF104)</f>
        <v>31667</v>
      </c>
      <c r="AG105" s="29"/>
      <c r="AH105" s="29"/>
      <c r="AI105" s="29"/>
      <c r="AJ105" s="29"/>
      <c r="AK105" s="29">
        <f>SUM(AK95:AK104)</f>
        <v>37185</v>
      </c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  <c r="BE105" s="29"/>
      <c r="BF105" s="29"/>
      <c r="BG105" s="29"/>
      <c r="BH105" s="29"/>
      <c r="BI105" s="29"/>
      <c r="BJ105" s="29"/>
      <c r="BK105" s="29"/>
      <c r="BL105" s="29"/>
      <c r="BM105" s="29"/>
      <c r="BN105" s="29"/>
      <c r="BO105" s="29"/>
      <c r="BP105" s="29"/>
      <c r="BQ105" s="29"/>
      <c r="BR105" s="29"/>
      <c r="BS105" s="29"/>
      <c r="BT105" s="29">
        <f t="shared" ref="BT105:CD105" si="373">SUM(BT96:BT104)</f>
        <v>100357</v>
      </c>
      <c r="BU105" s="29">
        <f t="shared" si="373"/>
        <v>0</v>
      </c>
      <c r="BV105" s="29">
        <f t="shared" si="373"/>
        <v>0</v>
      </c>
      <c r="BW105" s="29">
        <f t="shared" si="373"/>
        <v>94281</v>
      </c>
      <c r="BX105" s="29">
        <f t="shared" si="373"/>
        <v>93489</v>
      </c>
      <c r="BY105" s="29">
        <f t="shared" si="373"/>
        <v>91263</v>
      </c>
      <c r="BZ105" s="29">
        <f t="shared" si="373"/>
        <v>0</v>
      </c>
      <c r="CA105" s="29">
        <f t="shared" si="373"/>
        <v>99031</v>
      </c>
      <c r="CB105" s="29">
        <f t="shared" si="373"/>
        <v>94646</v>
      </c>
      <c r="CC105" s="29">
        <f t="shared" si="373"/>
        <v>93670</v>
      </c>
      <c r="CD105" s="29">
        <f t="shared" si="373"/>
        <v>92603</v>
      </c>
      <c r="CE105" s="29"/>
      <c r="CF105" s="29"/>
      <c r="CG105" s="29"/>
      <c r="CH105" s="29"/>
      <c r="CI105" s="29"/>
      <c r="CJ105" s="29"/>
      <c r="CK105" s="29"/>
      <c r="CL105" s="29"/>
      <c r="CM105" s="29"/>
      <c r="CN105" s="29"/>
      <c r="CO105" s="29"/>
      <c r="CP105" s="29"/>
      <c r="CQ105" s="29"/>
      <c r="CR105" s="29"/>
      <c r="CS105" s="29"/>
      <c r="CT105" s="29"/>
      <c r="CU105" s="29"/>
      <c r="CV105" s="29"/>
      <c r="CW105" s="29"/>
      <c r="CX105" s="29"/>
      <c r="CY105" s="29"/>
      <c r="CZ105" s="29"/>
      <c r="DA105" s="29"/>
      <c r="DB105" s="29"/>
      <c r="DC105" s="29"/>
      <c r="DD105" s="29"/>
      <c r="DE105" s="29"/>
      <c r="DF105" s="29"/>
      <c r="DG105" s="29"/>
      <c r="DH105" s="29"/>
      <c r="DI105" s="29"/>
      <c r="DJ105" s="49"/>
      <c r="DK105" s="49"/>
      <c r="DL105" s="49"/>
      <c r="DM105" s="29"/>
      <c r="DN105" s="29"/>
      <c r="DO105" s="29"/>
      <c r="DP105" s="29"/>
      <c r="DQ105" s="29"/>
      <c r="DR105" s="29"/>
      <c r="DY105" s="29">
        <f>SUM(DY96:DY104)</f>
        <v>92603</v>
      </c>
    </row>
    <row r="106" spans="2:129" s="24" customFormat="1" x14ac:dyDescent="0.25"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49"/>
      <c r="Z106" s="49"/>
      <c r="AA106" s="49"/>
      <c r="AB106" s="49"/>
      <c r="AC106" s="49"/>
      <c r="AD106" s="49"/>
      <c r="AE106" s="4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  <c r="BA106" s="29"/>
      <c r="BB106" s="29"/>
      <c r="BC106" s="29"/>
      <c r="BD106" s="29"/>
      <c r="BE106" s="29"/>
      <c r="BF106" s="29"/>
      <c r="BG106" s="29"/>
      <c r="BH106" s="29"/>
      <c r="BI106" s="29"/>
      <c r="BJ106" s="29"/>
      <c r="BK106" s="29"/>
      <c r="BL106" s="29"/>
      <c r="BM106" s="29"/>
      <c r="BN106" s="29"/>
      <c r="BO106" s="29"/>
      <c r="BP106" s="29"/>
      <c r="BQ106" s="29"/>
      <c r="BR106" s="29"/>
      <c r="BS106" s="29"/>
      <c r="BT106" s="29"/>
      <c r="BU106" s="29"/>
      <c r="BV106" s="29"/>
      <c r="BW106" s="29"/>
      <c r="BX106" s="29"/>
      <c r="BY106" s="29"/>
      <c r="BZ106" s="29"/>
      <c r="CA106" s="29"/>
      <c r="CB106" s="29"/>
      <c r="CC106" s="29"/>
      <c r="CD106" s="29"/>
      <c r="CE106" s="29"/>
      <c r="CF106" s="29"/>
      <c r="CG106" s="29"/>
      <c r="CH106" s="29"/>
      <c r="CI106" s="29"/>
      <c r="CJ106" s="29"/>
      <c r="CK106" s="29"/>
      <c r="CL106" s="29"/>
      <c r="CM106" s="29"/>
      <c r="CN106" s="29"/>
      <c r="CO106" s="29"/>
      <c r="CP106" s="29"/>
      <c r="CQ106" s="29"/>
      <c r="CR106" s="29"/>
      <c r="CS106" s="29"/>
      <c r="CT106" s="29"/>
      <c r="CU106" s="29"/>
      <c r="CV106" s="29"/>
      <c r="CW106" s="29"/>
      <c r="CX106" s="29"/>
      <c r="CY106" s="29"/>
      <c r="CZ106" s="29"/>
      <c r="DA106" s="29"/>
      <c r="DB106" s="29"/>
      <c r="DC106" s="29"/>
      <c r="DD106" s="29"/>
      <c r="DE106" s="29"/>
      <c r="DF106" s="29"/>
      <c r="DG106" s="29"/>
      <c r="DH106" s="29"/>
      <c r="DI106" s="29"/>
      <c r="DJ106" s="49"/>
      <c r="DK106" s="49"/>
      <c r="DL106" s="49"/>
      <c r="DM106" s="29"/>
      <c r="DN106" s="29"/>
      <c r="DO106" s="29"/>
      <c r="DP106" s="29"/>
      <c r="DQ106" s="29"/>
      <c r="DR106" s="29"/>
    </row>
    <row r="107" spans="2:129" s="24" customFormat="1" x14ac:dyDescent="0.25">
      <c r="B107" s="24" t="s">
        <v>192</v>
      </c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>
        <f>135+6120</f>
        <v>6255</v>
      </c>
      <c r="R107" s="29"/>
      <c r="S107" s="29"/>
      <c r="T107" s="29"/>
      <c r="U107" s="29"/>
      <c r="V107" s="29"/>
      <c r="W107" s="29"/>
      <c r="X107" s="29">
        <f>290+6248</f>
        <v>6538</v>
      </c>
      <c r="Y107" s="49"/>
      <c r="Z107" s="49"/>
      <c r="AA107" s="49">
        <f>135+5276</f>
        <v>5411</v>
      </c>
      <c r="AB107" s="49"/>
      <c r="AC107" s="49"/>
      <c r="AD107" s="49"/>
      <c r="AE107" s="49">
        <f>145+5270</f>
        <v>5415</v>
      </c>
      <c r="AF107" s="29">
        <f>236+5209</f>
        <v>5445</v>
      </c>
      <c r="AG107" s="29"/>
      <c r="AH107" s="29"/>
      <c r="AI107" s="29"/>
      <c r="AJ107" s="29"/>
      <c r="AK107" s="29">
        <f>208+680</f>
        <v>888</v>
      </c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  <c r="AY107" s="29"/>
      <c r="AZ107" s="29"/>
      <c r="BA107" s="29"/>
      <c r="BB107" s="29"/>
      <c r="BC107" s="29"/>
      <c r="BD107" s="29"/>
      <c r="BE107" s="29"/>
      <c r="BF107" s="29"/>
      <c r="BG107" s="29"/>
      <c r="BH107" s="29"/>
      <c r="BI107" s="29"/>
      <c r="BJ107" s="29"/>
      <c r="BK107" s="29"/>
      <c r="BL107" s="29"/>
      <c r="BM107" s="29"/>
      <c r="BN107" s="29"/>
      <c r="BO107" s="29"/>
      <c r="BP107" s="29"/>
      <c r="BQ107" s="29"/>
      <c r="BR107" s="29"/>
      <c r="BS107" s="29"/>
      <c r="BT107" s="29">
        <f>37107+4953</f>
        <v>42060</v>
      </c>
      <c r="BU107" s="29"/>
      <c r="BV107" s="29"/>
      <c r="BW107" s="29">
        <f>2752+35078</f>
        <v>37830</v>
      </c>
      <c r="BX107" s="29">
        <f>3020+34656</f>
        <v>37676</v>
      </c>
      <c r="BY107" s="29">
        <f>5467+32137</f>
        <v>37604</v>
      </c>
      <c r="BZ107" s="29"/>
      <c r="CA107" s="29">
        <f>6190+49487</f>
        <v>55677</v>
      </c>
      <c r="CB107" s="29">
        <f>3531+48858</f>
        <v>52389</v>
      </c>
      <c r="CC107" s="29">
        <f>1078+48674</f>
        <v>49752</v>
      </c>
      <c r="CD107" s="29">
        <f>47603+2046</f>
        <v>49649</v>
      </c>
      <c r="CE107" s="29"/>
      <c r="CF107" s="29"/>
      <c r="CG107" s="29"/>
      <c r="CH107" s="29"/>
      <c r="CI107" s="29"/>
      <c r="CJ107" s="29"/>
      <c r="CK107" s="29"/>
      <c r="CL107" s="29"/>
      <c r="CM107" s="29"/>
      <c r="CN107" s="29"/>
      <c r="CO107" s="29"/>
      <c r="CP107" s="29"/>
      <c r="CQ107" s="29"/>
      <c r="CR107" s="29"/>
      <c r="CS107" s="29"/>
      <c r="CT107" s="29"/>
      <c r="CU107" s="29"/>
      <c r="CV107" s="29"/>
      <c r="CW107" s="29"/>
      <c r="CX107" s="29"/>
      <c r="CY107" s="29"/>
      <c r="CZ107" s="29"/>
      <c r="DA107" s="29"/>
      <c r="DB107" s="29"/>
      <c r="DC107" s="29"/>
      <c r="DD107" s="29"/>
      <c r="DE107" s="29"/>
      <c r="DF107" s="29"/>
      <c r="DG107" s="29"/>
      <c r="DH107" s="29"/>
      <c r="DI107" s="29"/>
      <c r="DJ107" s="49"/>
      <c r="DK107" s="49"/>
      <c r="DL107" s="49"/>
      <c r="DM107" s="29"/>
      <c r="DN107" s="29"/>
      <c r="DO107" s="29"/>
      <c r="DP107" s="29"/>
      <c r="DQ107" s="29"/>
      <c r="DR107" s="29"/>
      <c r="DY107" s="24">
        <f t="shared" ref="DY107:DY118" si="374">+CD107</f>
        <v>49649</v>
      </c>
    </row>
    <row r="108" spans="2:129" s="24" customFormat="1" x14ac:dyDescent="0.25">
      <c r="B108" s="24" t="s">
        <v>332</v>
      </c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>
        <v>1441</v>
      </c>
      <c r="R108" s="29"/>
      <c r="S108" s="29"/>
      <c r="T108" s="29"/>
      <c r="U108" s="29"/>
      <c r="V108" s="29"/>
      <c r="W108" s="29"/>
      <c r="X108" s="29">
        <v>1681</v>
      </c>
      <c r="Y108" s="49"/>
      <c r="Z108" s="49"/>
      <c r="AA108" s="49">
        <v>2036</v>
      </c>
      <c r="AB108" s="49"/>
      <c r="AC108" s="49"/>
      <c r="AD108" s="49"/>
      <c r="AE108" s="49">
        <v>2385</v>
      </c>
      <c r="AF108" s="29">
        <v>2134</v>
      </c>
      <c r="AG108" s="29"/>
      <c r="AH108" s="29"/>
      <c r="AI108" s="29"/>
      <c r="AJ108" s="29"/>
      <c r="AK108" s="29">
        <v>2466</v>
      </c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  <c r="BA108" s="29"/>
      <c r="BB108" s="29"/>
      <c r="BC108" s="29"/>
      <c r="BD108" s="29"/>
      <c r="BE108" s="29"/>
      <c r="BF108" s="29"/>
      <c r="BG108" s="29"/>
      <c r="BH108" s="29"/>
      <c r="BI108" s="29"/>
      <c r="BJ108" s="29"/>
      <c r="BK108" s="29"/>
      <c r="BL108" s="29"/>
      <c r="BM108" s="29"/>
      <c r="BN108" s="29"/>
      <c r="BO108" s="29"/>
      <c r="BP108" s="29"/>
      <c r="BQ108" s="29"/>
      <c r="BR108" s="29"/>
      <c r="BS108" s="29"/>
      <c r="BT108" s="29">
        <v>2882</v>
      </c>
      <c r="BU108" s="29"/>
      <c r="BV108" s="29"/>
      <c r="BW108" s="29">
        <v>3194</v>
      </c>
      <c r="BX108" s="29">
        <v>3069</v>
      </c>
      <c r="BY108" s="29">
        <v>2813</v>
      </c>
      <c r="BZ108" s="29"/>
      <c r="CA108" s="29">
        <v>3539</v>
      </c>
      <c r="CB108" s="29">
        <v>3751</v>
      </c>
      <c r="CC108" s="29">
        <v>3469</v>
      </c>
      <c r="CD108" s="29">
        <v>3602</v>
      </c>
      <c r="CE108" s="29"/>
      <c r="CF108" s="29"/>
      <c r="CG108" s="29"/>
      <c r="CH108" s="29"/>
      <c r="CI108" s="29"/>
      <c r="CJ108" s="29"/>
      <c r="CK108" s="29"/>
      <c r="CL108" s="29"/>
      <c r="CM108" s="29"/>
      <c r="CN108" s="29"/>
      <c r="CO108" s="29"/>
      <c r="CP108" s="29"/>
      <c r="CQ108" s="29"/>
      <c r="CR108" s="29"/>
      <c r="CS108" s="29"/>
      <c r="CT108" s="29"/>
      <c r="CU108" s="29"/>
      <c r="CV108" s="29"/>
      <c r="CW108" s="29"/>
      <c r="CX108" s="29"/>
      <c r="CY108" s="29"/>
      <c r="CZ108" s="29"/>
      <c r="DA108" s="29"/>
      <c r="DB108" s="29"/>
      <c r="DC108" s="29"/>
      <c r="DD108" s="29"/>
      <c r="DE108" s="29"/>
      <c r="DF108" s="29"/>
      <c r="DG108" s="29"/>
      <c r="DH108" s="29"/>
      <c r="DI108" s="29"/>
      <c r="DJ108" s="49"/>
      <c r="DK108" s="49"/>
      <c r="DL108" s="49"/>
      <c r="DM108" s="29"/>
      <c r="DN108" s="29"/>
      <c r="DO108" s="29"/>
      <c r="DP108" s="29"/>
      <c r="DQ108" s="29"/>
      <c r="DR108" s="29"/>
      <c r="DY108" s="24">
        <f t="shared" si="374"/>
        <v>3602</v>
      </c>
    </row>
    <row r="109" spans="2:129" s="24" customFormat="1" x14ac:dyDescent="0.25">
      <c r="B109" s="24" t="s">
        <v>333</v>
      </c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>
        <v>2897</v>
      </c>
      <c r="R109" s="29"/>
      <c r="S109" s="29"/>
      <c r="T109" s="29"/>
      <c r="U109" s="29"/>
      <c r="V109" s="29"/>
      <c r="W109" s="29"/>
      <c r="X109" s="29">
        <v>2386</v>
      </c>
      <c r="Y109" s="49"/>
      <c r="Z109" s="49"/>
      <c r="AA109" s="49">
        <v>2661</v>
      </c>
      <c r="AB109" s="49"/>
      <c r="AC109" s="49"/>
      <c r="AD109" s="49"/>
      <c r="AE109" s="49">
        <v>2566</v>
      </c>
      <c r="AF109" s="29">
        <v>2467</v>
      </c>
      <c r="AG109" s="29"/>
      <c r="AH109" s="29"/>
      <c r="AI109" s="29"/>
      <c r="AJ109" s="29"/>
      <c r="AK109" s="29">
        <v>2277</v>
      </c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  <c r="AY109" s="29"/>
      <c r="AZ109" s="29"/>
      <c r="BA109" s="29"/>
      <c r="BB109" s="29"/>
      <c r="BC109" s="29"/>
      <c r="BD109" s="29"/>
      <c r="BE109" s="29"/>
      <c r="BF109" s="29"/>
      <c r="BG109" s="29"/>
      <c r="BH109" s="29"/>
      <c r="BI109" s="29"/>
      <c r="BJ109" s="29"/>
      <c r="BK109" s="29"/>
      <c r="BL109" s="29"/>
      <c r="BM109" s="29"/>
      <c r="BN109" s="29"/>
      <c r="BO109" s="29"/>
      <c r="BP109" s="29"/>
      <c r="BQ109" s="29"/>
      <c r="BR109" s="29"/>
      <c r="BS109" s="29"/>
      <c r="BT109" s="29">
        <v>13080</v>
      </c>
      <c r="BU109" s="29"/>
      <c r="BV109" s="29"/>
      <c r="BW109" s="29">
        <v>13139</v>
      </c>
      <c r="BX109" s="29">
        <v>14061</v>
      </c>
      <c r="BY109" s="29">
        <v>15182</v>
      </c>
      <c r="BZ109" s="29"/>
      <c r="CA109" s="29">
        <v>0</v>
      </c>
      <c r="CB109" s="29">
        <v>0</v>
      </c>
      <c r="CC109" s="29">
        <v>0</v>
      </c>
      <c r="CD109" s="29">
        <v>0</v>
      </c>
      <c r="CE109" s="29"/>
      <c r="CF109" s="29"/>
      <c r="CG109" s="29"/>
      <c r="CH109" s="29"/>
      <c r="CI109" s="29"/>
      <c r="CJ109" s="29"/>
      <c r="CK109" s="29"/>
      <c r="CL109" s="29"/>
      <c r="CM109" s="29"/>
      <c r="CN109" s="29"/>
      <c r="CO109" s="29"/>
      <c r="CP109" s="29"/>
      <c r="CQ109" s="29"/>
      <c r="CR109" s="29"/>
      <c r="CS109" s="29"/>
      <c r="CT109" s="29"/>
      <c r="CU109" s="29"/>
      <c r="CV109" s="29"/>
      <c r="CW109" s="29"/>
      <c r="CX109" s="29"/>
      <c r="CY109" s="29"/>
      <c r="CZ109" s="29"/>
      <c r="DA109" s="29"/>
      <c r="DB109" s="29"/>
      <c r="DC109" s="29"/>
      <c r="DD109" s="29"/>
      <c r="DE109" s="29"/>
      <c r="DF109" s="29"/>
      <c r="DG109" s="29"/>
      <c r="DH109" s="29"/>
      <c r="DI109" s="29"/>
      <c r="DJ109" s="49"/>
      <c r="DK109" s="49"/>
      <c r="DL109" s="49"/>
      <c r="DM109" s="29"/>
      <c r="DN109" s="29"/>
      <c r="DO109" s="29"/>
      <c r="DP109" s="29"/>
      <c r="DQ109" s="29"/>
      <c r="DR109" s="29"/>
      <c r="DY109" s="24">
        <f t="shared" si="374"/>
        <v>0</v>
      </c>
    </row>
    <row r="110" spans="2:129" s="24" customFormat="1" x14ac:dyDescent="0.25">
      <c r="B110" s="43" t="s">
        <v>734</v>
      </c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>
        <f>832+809</f>
        <v>1641</v>
      </c>
      <c r="R110" s="29"/>
      <c r="S110" s="29"/>
      <c r="T110" s="29"/>
      <c r="U110" s="29"/>
      <c r="V110" s="29"/>
      <c r="W110" s="29"/>
      <c r="X110" s="29">
        <v>275</v>
      </c>
      <c r="Y110" s="49"/>
      <c r="Z110" s="49"/>
      <c r="AA110" s="49">
        <f>347+899</f>
        <v>1246</v>
      </c>
      <c r="AB110" s="49"/>
      <c r="AC110" s="49"/>
      <c r="AD110" s="49"/>
      <c r="AE110" s="49">
        <f>287+836</f>
        <v>1123</v>
      </c>
      <c r="AF110" s="29">
        <f>357+805</f>
        <v>1162</v>
      </c>
      <c r="AG110" s="29"/>
      <c r="AH110" s="29"/>
      <c r="AI110" s="29"/>
      <c r="AJ110" s="29"/>
      <c r="AK110" s="29">
        <v>4198</v>
      </c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  <c r="AZ110" s="29"/>
      <c r="BA110" s="29"/>
      <c r="BB110" s="29"/>
      <c r="BC110" s="29"/>
      <c r="BD110" s="29"/>
      <c r="BE110" s="29"/>
      <c r="BF110" s="29"/>
      <c r="BG110" s="29"/>
      <c r="BH110" s="29"/>
      <c r="BI110" s="29"/>
      <c r="BJ110" s="29"/>
      <c r="BK110" s="29"/>
      <c r="BL110" s="29"/>
      <c r="BM110" s="29"/>
      <c r="BN110" s="29"/>
      <c r="BO110" s="29"/>
      <c r="BP110" s="29"/>
      <c r="BQ110" s="29"/>
      <c r="BR110" s="29"/>
      <c r="BS110" s="29"/>
      <c r="BT110" s="29"/>
      <c r="BU110" s="29"/>
      <c r="BV110" s="29"/>
      <c r="BW110" s="29">
        <v>1568</v>
      </c>
      <c r="BX110" s="29">
        <v>751</v>
      </c>
      <c r="BY110" s="29">
        <v>399</v>
      </c>
      <c r="BZ110" s="29"/>
      <c r="CA110" s="29">
        <v>442</v>
      </c>
      <c r="CB110" s="29">
        <v>461</v>
      </c>
      <c r="CC110" s="29">
        <v>430</v>
      </c>
      <c r="CD110" s="29">
        <v>369</v>
      </c>
      <c r="CE110" s="29"/>
      <c r="CF110" s="29"/>
      <c r="CG110" s="29"/>
      <c r="CH110" s="29"/>
      <c r="CI110" s="29"/>
      <c r="CJ110" s="29"/>
      <c r="CK110" s="29"/>
      <c r="CL110" s="29"/>
      <c r="CM110" s="29"/>
      <c r="CN110" s="29"/>
      <c r="CO110" s="29"/>
      <c r="CP110" s="29"/>
      <c r="CQ110" s="29"/>
      <c r="CR110" s="29"/>
      <c r="CS110" s="29"/>
      <c r="CT110" s="29"/>
      <c r="CU110" s="29"/>
      <c r="CV110" s="29"/>
      <c r="CW110" s="29"/>
      <c r="CX110" s="29"/>
      <c r="CY110" s="29"/>
      <c r="CZ110" s="29"/>
      <c r="DA110" s="29"/>
      <c r="DB110" s="29"/>
      <c r="DC110" s="29"/>
      <c r="DD110" s="29"/>
      <c r="DE110" s="29"/>
      <c r="DF110" s="29"/>
      <c r="DG110" s="29"/>
      <c r="DH110" s="29"/>
      <c r="DI110" s="29"/>
      <c r="DJ110" s="49"/>
      <c r="DK110" s="49"/>
      <c r="DL110" s="49"/>
      <c r="DM110" s="29"/>
      <c r="DN110" s="29"/>
      <c r="DO110" s="29"/>
      <c r="DP110" s="29"/>
      <c r="DQ110" s="29"/>
      <c r="DR110" s="29"/>
      <c r="DY110" s="24">
        <f t="shared" si="374"/>
        <v>369</v>
      </c>
    </row>
    <row r="111" spans="2:129" s="24" customFormat="1" x14ac:dyDescent="0.25">
      <c r="B111" s="24" t="s">
        <v>334</v>
      </c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>
        <v>769</v>
      </c>
      <c r="R111" s="29"/>
      <c r="S111" s="29"/>
      <c r="T111" s="29"/>
      <c r="U111" s="29"/>
      <c r="V111" s="29"/>
      <c r="W111" s="29"/>
      <c r="X111" s="29">
        <v>671</v>
      </c>
      <c r="Y111" s="49"/>
      <c r="Z111" s="49"/>
      <c r="AA111" s="49">
        <v>935</v>
      </c>
      <c r="AB111" s="49"/>
      <c r="AC111" s="49"/>
      <c r="AD111" s="49"/>
      <c r="AE111" s="49">
        <v>1073</v>
      </c>
      <c r="AF111" s="29">
        <v>1061</v>
      </c>
      <c r="AG111" s="29"/>
      <c r="AH111" s="29"/>
      <c r="AI111" s="29"/>
      <c r="AJ111" s="29"/>
      <c r="AK111" s="29">
        <v>1034</v>
      </c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  <c r="AY111" s="29"/>
      <c r="AZ111" s="29"/>
      <c r="BA111" s="29"/>
      <c r="BB111" s="29"/>
      <c r="BC111" s="29"/>
      <c r="BD111" s="29"/>
      <c r="BE111" s="29"/>
      <c r="BF111" s="29"/>
      <c r="BG111" s="29"/>
      <c r="BH111" s="29"/>
      <c r="BI111" s="29"/>
      <c r="BJ111" s="29"/>
      <c r="BK111" s="29"/>
      <c r="BL111" s="29"/>
      <c r="BM111" s="29"/>
      <c r="BN111" s="29"/>
      <c r="BO111" s="29"/>
      <c r="BP111" s="29"/>
      <c r="BQ111" s="29"/>
      <c r="BR111" s="29"/>
      <c r="BS111" s="29"/>
      <c r="BT111" s="29"/>
      <c r="BU111" s="29"/>
      <c r="BV111" s="29"/>
      <c r="BW111" s="29"/>
      <c r="BX111" s="29"/>
      <c r="BY111" s="29"/>
      <c r="BZ111" s="29"/>
      <c r="CA111" s="29">
        <v>0</v>
      </c>
      <c r="CB111" s="29">
        <v>0</v>
      </c>
      <c r="CC111" s="29">
        <v>0</v>
      </c>
      <c r="CD111" s="29">
        <v>0</v>
      </c>
      <c r="CE111" s="29"/>
      <c r="CF111" s="29"/>
      <c r="CG111" s="29"/>
      <c r="CH111" s="29"/>
      <c r="CI111" s="29"/>
      <c r="CJ111" s="29"/>
      <c r="CK111" s="29"/>
      <c r="CL111" s="29"/>
      <c r="CM111" s="29"/>
      <c r="CN111" s="29"/>
      <c r="CO111" s="29"/>
      <c r="CP111" s="29"/>
      <c r="CQ111" s="29"/>
      <c r="CR111" s="29"/>
      <c r="CS111" s="29"/>
      <c r="CT111" s="29"/>
      <c r="CU111" s="29"/>
      <c r="CV111" s="29"/>
      <c r="CW111" s="29"/>
      <c r="CX111" s="29"/>
      <c r="CY111" s="29"/>
      <c r="CZ111" s="29"/>
      <c r="DA111" s="29"/>
      <c r="DB111" s="29"/>
      <c r="DC111" s="29"/>
      <c r="DD111" s="29"/>
      <c r="DE111" s="29"/>
      <c r="DF111" s="29"/>
      <c r="DG111" s="29"/>
      <c r="DH111" s="29"/>
      <c r="DI111" s="29"/>
      <c r="DJ111" s="49"/>
      <c r="DK111" s="49"/>
      <c r="DL111" s="49"/>
      <c r="DM111" s="29"/>
      <c r="DN111" s="29"/>
      <c r="DO111" s="29"/>
      <c r="DP111" s="29"/>
      <c r="DQ111" s="29"/>
      <c r="DR111" s="29"/>
      <c r="DY111" s="24">
        <f t="shared" si="374"/>
        <v>0</v>
      </c>
    </row>
    <row r="112" spans="2:129" s="24" customFormat="1" x14ac:dyDescent="0.25">
      <c r="B112" s="24" t="s">
        <v>105</v>
      </c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>
        <f>199+455</f>
        <v>654</v>
      </c>
      <c r="R112" s="29"/>
      <c r="S112" s="29"/>
      <c r="T112" s="29"/>
      <c r="U112" s="29"/>
      <c r="V112" s="29"/>
      <c r="W112" s="29"/>
      <c r="X112" s="29">
        <f>49+749</f>
        <v>798</v>
      </c>
      <c r="Y112" s="49"/>
      <c r="Z112" s="49"/>
      <c r="AA112" s="49">
        <f>63+660</f>
        <v>723</v>
      </c>
      <c r="AB112" s="49"/>
      <c r="AC112" s="49"/>
      <c r="AD112" s="49"/>
      <c r="AE112" s="49">
        <f>162+573</f>
        <v>735</v>
      </c>
      <c r="AF112" s="29">
        <f>138+604</f>
        <v>742</v>
      </c>
      <c r="AG112" s="29"/>
      <c r="AH112" s="29"/>
      <c r="AI112" s="29"/>
      <c r="AJ112" s="29"/>
      <c r="AK112" s="29">
        <f>739+904+208</f>
        <v>1851</v>
      </c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  <c r="BA112" s="29"/>
      <c r="BB112" s="29"/>
      <c r="BC112" s="29"/>
      <c r="BD112" s="29"/>
      <c r="BE112" s="29"/>
      <c r="BF112" s="29"/>
      <c r="BG112" s="29"/>
      <c r="BH112" s="29"/>
      <c r="BI112" s="29"/>
      <c r="BJ112" s="29"/>
      <c r="BK112" s="29"/>
      <c r="BL112" s="29"/>
      <c r="BM112" s="29"/>
      <c r="BN112" s="29"/>
      <c r="BO112" s="29"/>
      <c r="BP112" s="29"/>
      <c r="BQ112" s="29"/>
      <c r="BR112" s="29"/>
      <c r="BS112" s="29"/>
      <c r="BT112" s="29">
        <v>3034</v>
      </c>
      <c r="BU112" s="29"/>
      <c r="BV112" s="29"/>
      <c r="BW112" s="29"/>
      <c r="BX112" s="29"/>
      <c r="BY112" s="29"/>
      <c r="BZ112" s="29"/>
      <c r="CA112" s="29">
        <v>0</v>
      </c>
      <c r="CB112" s="29">
        <v>0</v>
      </c>
      <c r="CC112" s="29">
        <v>0</v>
      </c>
      <c r="CD112" s="29">
        <v>0</v>
      </c>
      <c r="CE112" s="29"/>
      <c r="CF112" s="29"/>
      <c r="CG112" s="29"/>
      <c r="CH112" s="29"/>
      <c r="CI112" s="29"/>
      <c r="CJ112" s="29"/>
      <c r="CK112" s="29"/>
      <c r="CL112" s="29"/>
      <c r="CM112" s="29"/>
      <c r="CN112" s="29"/>
      <c r="CO112" s="29"/>
      <c r="CP112" s="29"/>
      <c r="CQ112" s="29"/>
      <c r="CR112" s="29"/>
      <c r="CS112" s="29"/>
      <c r="CT112" s="29"/>
      <c r="CU112" s="29"/>
      <c r="CV112" s="29"/>
      <c r="CW112" s="29"/>
      <c r="CX112" s="29"/>
      <c r="CY112" s="29"/>
      <c r="CZ112" s="29"/>
      <c r="DA112" s="29"/>
      <c r="DB112" s="29"/>
      <c r="DC112" s="29"/>
      <c r="DD112" s="29"/>
      <c r="DE112" s="29"/>
      <c r="DF112" s="29"/>
      <c r="DG112" s="29"/>
      <c r="DH112" s="29"/>
      <c r="DI112" s="29"/>
      <c r="DJ112" s="49"/>
      <c r="DK112" s="49"/>
      <c r="DL112" s="49"/>
      <c r="DM112" s="29"/>
      <c r="DN112" s="29"/>
      <c r="DO112" s="29"/>
      <c r="DP112" s="29"/>
      <c r="DQ112" s="29"/>
      <c r="DR112" s="29"/>
      <c r="DY112" s="24">
        <f t="shared" si="374"/>
        <v>0</v>
      </c>
    </row>
    <row r="113" spans="1:129" s="24" customFormat="1" x14ac:dyDescent="0.25">
      <c r="B113" s="24" t="s">
        <v>335</v>
      </c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>
        <v>618</v>
      </c>
      <c r="R113" s="29"/>
      <c r="S113" s="29"/>
      <c r="T113" s="29"/>
      <c r="U113" s="29"/>
      <c r="V113" s="29"/>
      <c r="W113" s="29"/>
      <c r="X113" s="29">
        <v>556</v>
      </c>
      <c r="Y113" s="49"/>
      <c r="Z113" s="49"/>
      <c r="AA113" s="49">
        <v>578</v>
      </c>
      <c r="AB113" s="49"/>
      <c r="AC113" s="49"/>
      <c r="AD113" s="49"/>
      <c r="AE113" s="49">
        <v>593</v>
      </c>
      <c r="AF113" s="29">
        <v>598</v>
      </c>
      <c r="AG113" s="29"/>
      <c r="AH113" s="29"/>
      <c r="AI113" s="29"/>
      <c r="AJ113" s="29"/>
      <c r="AK113" s="29">
        <v>611</v>
      </c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  <c r="AX113" s="29"/>
      <c r="AY113" s="29"/>
      <c r="AZ113" s="29"/>
      <c r="BA113" s="29"/>
      <c r="BB113" s="29"/>
      <c r="BC113" s="29"/>
      <c r="BD113" s="29"/>
      <c r="BE113" s="29"/>
      <c r="BF113" s="29"/>
      <c r="BG113" s="29"/>
      <c r="BH113" s="29"/>
      <c r="BI113" s="29"/>
      <c r="BJ113" s="29"/>
      <c r="BK113" s="29"/>
      <c r="BL113" s="29"/>
      <c r="BM113" s="29"/>
      <c r="BN113" s="29"/>
      <c r="BO113" s="29"/>
      <c r="BP113" s="29"/>
      <c r="BQ113" s="29"/>
      <c r="BR113" s="29"/>
      <c r="BS113" s="29"/>
      <c r="BT113" s="29"/>
      <c r="BU113" s="29"/>
      <c r="BV113" s="29"/>
      <c r="BW113" s="29"/>
      <c r="BX113" s="29"/>
      <c r="BY113" s="29"/>
      <c r="BZ113" s="29"/>
      <c r="CA113" s="29">
        <v>0</v>
      </c>
      <c r="CB113" s="29">
        <v>0</v>
      </c>
      <c r="CC113" s="29">
        <v>0</v>
      </c>
      <c r="CD113" s="29">
        <v>0</v>
      </c>
      <c r="CE113" s="29"/>
      <c r="CF113" s="29"/>
      <c r="CG113" s="29"/>
      <c r="CH113" s="29"/>
      <c r="CI113" s="29"/>
      <c r="CJ113" s="29"/>
      <c r="CK113" s="29"/>
      <c r="CL113" s="29"/>
      <c r="CM113" s="29"/>
      <c r="CN113" s="29"/>
      <c r="CO113" s="29"/>
      <c r="CP113" s="29"/>
      <c r="CQ113" s="29"/>
      <c r="CR113" s="29"/>
      <c r="CS113" s="29"/>
      <c r="CT113" s="29"/>
      <c r="CU113" s="29"/>
      <c r="CV113" s="29"/>
      <c r="CW113" s="29"/>
      <c r="CX113" s="29"/>
      <c r="CY113" s="29"/>
      <c r="CZ113" s="29"/>
      <c r="DA113" s="29"/>
      <c r="DB113" s="29"/>
      <c r="DC113" s="29"/>
      <c r="DD113" s="29"/>
      <c r="DE113" s="29"/>
      <c r="DF113" s="29"/>
      <c r="DG113" s="29"/>
      <c r="DH113" s="29"/>
      <c r="DI113" s="29"/>
      <c r="DJ113" s="49"/>
      <c r="DK113" s="49"/>
      <c r="DL113" s="49"/>
      <c r="DM113" s="29"/>
      <c r="DN113" s="29"/>
      <c r="DO113" s="29"/>
      <c r="DP113" s="29"/>
      <c r="DQ113" s="29"/>
      <c r="DR113" s="29"/>
      <c r="DY113" s="24">
        <f t="shared" si="374"/>
        <v>0</v>
      </c>
    </row>
    <row r="114" spans="1:129" s="24" customFormat="1" x14ac:dyDescent="0.25">
      <c r="B114" s="24" t="s">
        <v>336</v>
      </c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>
        <v>60</v>
      </c>
      <c r="R114" s="29"/>
      <c r="S114" s="29"/>
      <c r="T114" s="29"/>
      <c r="U114" s="29"/>
      <c r="V114" s="29"/>
      <c r="W114" s="29"/>
      <c r="X114" s="29">
        <v>0</v>
      </c>
      <c r="Y114" s="49"/>
      <c r="Z114" s="49"/>
      <c r="AA114" s="49">
        <v>0</v>
      </c>
      <c r="AB114" s="49"/>
      <c r="AC114" s="49"/>
      <c r="AD114" s="49"/>
      <c r="AE114" s="49">
        <v>0</v>
      </c>
      <c r="AF114" s="29">
        <v>0</v>
      </c>
      <c r="AG114" s="29"/>
      <c r="AH114" s="29"/>
      <c r="AI114" s="29"/>
      <c r="AJ114" s="29"/>
      <c r="AK114" s="29">
        <v>0</v>
      </c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  <c r="AZ114" s="29"/>
      <c r="BA114" s="29"/>
      <c r="BB114" s="29"/>
      <c r="BC114" s="29"/>
      <c r="BD114" s="29"/>
      <c r="BE114" s="29"/>
      <c r="BF114" s="29"/>
      <c r="BG114" s="29"/>
      <c r="BH114" s="29"/>
      <c r="BI114" s="29"/>
      <c r="BJ114" s="29"/>
      <c r="BK114" s="29"/>
      <c r="BL114" s="29"/>
      <c r="BM114" s="29"/>
      <c r="BN114" s="29"/>
      <c r="BO114" s="29"/>
      <c r="BP114" s="29"/>
      <c r="BQ114" s="29"/>
      <c r="BR114" s="29"/>
      <c r="BS114" s="29"/>
      <c r="BT114" s="29"/>
      <c r="BU114" s="29"/>
      <c r="BV114" s="29"/>
      <c r="BW114" s="29"/>
      <c r="BX114" s="29"/>
      <c r="BY114" s="29"/>
      <c r="BZ114" s="29"/>
      <c r="CA114" s="29">
        <v>0</v>
      </c>
      <c r="CB114" s="29">
        <v>0</v>
      </c>
      <c r="CC114" s="29">
        <v>0</v>
      </c>
      <c r="CD114" s="29">
        <v>0</v>
      </c>
      <c r="CE114" s="29"/>
      <c r="CF114" s="29"/>
      <c r="CG114" s="29"/>
      <c r="CH114" s="29"/>
      <c r="CI114" s="29"/>
      <c r="CJ114" s="29"/>
      <c r="CK114" s="29"/>
      <c r="CL114" s="29"/>
      <c r="CM114" s="29"/>
      <c r="CN114" s="29"/>
      <c r="CO114" s="29"/>
      <c r="CP114" s="29"/>
      <c r="CQ114" s="29"/>
      <c r="CR114" s="29"/>
      <c r="CS114" s="29"/>
      <c r="CT114" s="29"/>
      <c r="CU114" s="29"/>
      <c r="CV114" s="29"/>
      <c r="CW114" s="29"/>
      <c r="CX114" s="29"/>
      <c r="CY114" s="29"/>
      <c r="CZ114" s="29"/>
      <c r="DA114" s="29"/>
      <c r="DB114" s="29"/>
      <c r="DC114" s="29"/>
      <c r="DD114" s="29"/>
      <c r="DE114" s="29"/>
      <c r="DF114" s="29"/>
      <c r="DG114" s="29"/>
      <c r="DH114" s="29"/>
      <c r="DI114" s="29"/>
      <c r="DJ114" s="49"/>
      <c r="DK114" s="49"/>
      <c r="DL114" s="49"/>
      <c r="DM114" s="29"/>
      <c r="DN114" s="29"/>
      <c r="DO114" s="29"/>
      <c r="DP114" s="29"/>
      <c r="DQ114" s="29"/>
      <c r="DR114" s="29"/>
      <c r="DY114" s="24">
        <f t="shared" si="374"/>
        <v>0</v>
      </c>
    </row>
    <row r="115" spans="1:129" s="24" customFormat="1" x14ac:dyDescent="0.25">
      <c r="B115" s="24" t="s">
        <v>337</v>
      </c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>
        <v>695</v>
      </c>
      <c r="R115" s="29"/>
      <c r="S115" s="29"/>
      <c r="T115" s="29"/>
      <c r="U115" s="29"/>
      <c r="V115" s="29"/>
      <c r="W115" s="29"/>
      <c r="X115" s="29">
        <v>1248</v>
      </c>
      <c r="Y115" s="49"/>
      <c r="Z115" s="49"/>
      <c r="AA115" s="49">
        <v>922</v>
      </c>
      <c r="AB115" s="49"/>
      <c r="AC115" s="49"/>
      <c r="AD115" s="49"/>
      <c r="AE115" s="49">
        <v>1616</v>
      </c>
      <c r="AF115" s="29">
        <v>1543</v>
      </c>
      <c r="AG115" s="29"/>
      <c r="AH115" s="29"/>
      <c r="AI115" s="29"/>
      <c r="AJ115" s="29"/>
      <c r="AK115" s="29">
        <v>773</v>
      </c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  <c r="AY115" s="29"/>
      <c r="AZ115" s="29"/>
      <c r="BA115" s="29"/>
      <c r="BB115" s="29"/>
      <c r="BC115" s="29"/>
      <c r="BD115" s="29"/>
      <c r="BE115" s="29"/>
      <c r="BF115" s="29"/>
      <c r="BG115" s="29"/>
      <c r="BH115" s="29"/>
      <c r="BI115" s="29"/>
      <c r="BJ115" s="29"/>
      <c r="BK115" s="29"/>
      <c r="BL115" s="29"/>
      <c r="BM115" s="29"/>
      <c r="BN115" s="29"/>
      <c r="BO115" s="29"/>
      <c r="BP115" s="29"/>
      <c r="BQ115" s="29"/>
      <c r="BR115" s="29"/>
      <c r="BS115" s="29"/>
      <c r="BT115" s="29"/>
      <c r="BU115" s="29"/>
      <c r="BV115" s="29"/>
      <c r="BW115" s="29"/>
      <c r="BX115" s="29"/>
      <c r="BY115" s="29"/>
      <c r="BZ115" s="29"/>
      <c r="CA115" s="29">
        <v>0</v>
      </c>
      <c r="CB115" s="29">
        <v>0</v>
      </c>
      <c r="CC115" s="29">
        <v>0</v>
      </c>
      <c r="CD115" s="29">
        <v>0</v>
      </c>
      <c r="CE115" s="29"/>
      <c r="CF115" s="29"/>
      <c r="CG115" s="29"/>
      <c r="CH115" s="29"/>
      <c r="CI115" s="29"/>
      <c r="CJ115" s="29"/>
      <c r="CK115" s="29"/>
      <c r="CL115" s="29"/>
      <c r="CM115" s="29"/>
      <c r="CN115" s="29"/>
      <c r="CO115" s="29"/>
      <c r="CP115" s="29"/>
      <c r="CQ115" s="29"/>
      <c r="CR115" s="29"/>
      <c r="CS115" s="29"/>
      <c r="CT115" s="29"/>
      <c r="CU115" s="29"/>
      <c r="CV115" s="29"/>
      <c r="CW115" s="29"/>
      <c r="CX115" s="29"/>
      <c r="CY115" s="29"/>
      <c r="CZ115" s="29"/>
      <c r="DA115" s="29"/>
      <c r="DB115" s="29"/>
      <c r="DC115" s="29"/>
      <c r="DD115" s="29"/>
      <c r="DE115" s="29"/>
      <c r="DF115" s="29"/>
      <c r="DG115" s="29"/>
      <c r="DH115" s="29"/>
      <c r="DI115" s="29"/>
      <c r="DJ115" s="49"/>
      <c r="DK115" s="49"/>
      <c r="DL115" s="49"/>
      <c r="DM115" s="29"/>
      <c r="DN115" s="29"/>
      <c r="DO115" s="29"/>
      <c r="DP115" s="29"/>
      <c r="DQ115" s="29"/>
      <c r="DR115" s="29"/>
      <c r="DY115" s="24">
        <f t="shared" si="374"/>
        <v>0</v>
      </c>
    </row>
    <row r="116" spans="1:129" s="24" customFormat="1" x14ac:dyDescent="0.25">
      <c r="B116" s="24" t="s">
        <v>103</v>
      </c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>
        <v>508</v>
      </c>
      <c r="R116" s="29"/>
      <c r="S116" s="29"/>
      <c r="T116" s="29"/>
      <c r="U116" s="29"/>
      <c r="V116" s="29"/>
      <c r="W116" s="29"/>
      <c r="X116" s="29">
        <f>915+409</f>
        <v>1324</v>
      </c>
      <c r="Y116" s="49"/>
      <c r="Z116" s="49"/>
      <c r="AA116" s="49">
        <v>438</v>
      </c>
      <c r="AB116" s="49"/>
      <c r="AC116" s="49"/>
      <c r="AD116" s="49"/>
      <c r="AE116" s="49">
        <v>656</v>
      </c>
      <c r="AF116" s="29">
        <v>703</v>
      </c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  <c r="AY116" s="29"/>
      <c r="AZ116" s="29"/>
      <c r="BA116" s="29"/>
      <c r="BB116" s="29"/>
      <c r="BC116" s="29"/>
      <c r="BD116" s="29"/>
      <c r="BE116" s="29"/>
      <c r="BF116" s="29"/>
      <c r="BG116" s="29"/>
      <c r="BH116" s="29"/>
      <c r="BI116" s="29"/>
      <c r="BJ116" s="29"/>
      <c r="BK116" s="29"/>
      <c r="BL116" s="29"/>
      <c r="BM116" s="29"/>
      <c r="BN116" s="29"/>
      <c r="BO116" s="29"/>
      <c r="BP116" s="29"/>
      <c r="BQ116" s="29"/>
      <c r="BR116" s="29"/>
      <c r="BS116" s="29"/>
      <c r="BT116" s="29">
        <v>6640</v>
      </c>
      <c r="BU116" s="29"/>
      <c r="BV116" s="29"/>
      <c r="BW116" s="29">
        <v>6664</v>
      </c>
      <c r="BX116" s="29">
        <v>5902</v>
      </c>
      <c r="BY116" s="29">
        <v>6203</v>
      </c>
      <c r="BZ116" s="29"/>
      <c r="CA116" s="29">
        <f>16093+6732</f>
        <v>22825</v>
      </c>
      <c r="CB116" s="29">
        <f>15983+4993</f>
        <v>20976</v>
      </c>
      <c r="CC116" s="29">
        <f>18091+4728</f>
        <v>22819</v>
      </c>
      <c r="CD116" s="29">
        <f>4469+18126</f>
        <v>22595</v>
      </c>
      <c r="CE116" s="29"/>
      <c r="CF116" s="29"/>
      <c r="CG116" s="29"/>
      <c r="CH116" s="29"/>
      <c r="CI116" s="29"/>
      <c r="CJ116" s="29"/>
      <c r="CK116" s="29"/>
      <c r="CL116" s="29"/>
      <c r="CM116" s="29"/>
      <c r="CN116" s="29"/>
      <c r="CO116" s="29"/>
      <c r="CP116" s="29"/>
      <c r="CQ116" s="29"/>
      <c r="CR116" s="29"/>
      <c r="CS116" s="29"/>
      <c r="CT116" s="29"/>
      <c r="CU116" s="29"/>
      <c r="CV116" s="29"/>
      <c r="CW116" s="29"/>
      <c r="CX116" s="29"/>
      <c r="CY116" s="29"/>
      <c r="CZ116" s="29"/>
      <c r="DA116" s="29"/>
      <c r="DB116" s="29"/>
      <c r="DC116" s="29"/>
      <c r="DD116" s="29"/>
      <c r="DE116" s="29"/>
      <c r="DF116" s="29"/>
      <c r="DG116" s="29"/>
      <c r="DH116" s="29"/>
      <c r="DI116" s="29"/>
      <c r="DJ116" s="49"/>
      <c r="DK116" s="49"/>
      <c r="DL116" s="49"/>
      <c r="DM116" s="29"/>
      <c r="DN116" s="29"/>
      <c r="DO116" s="29"/>
      <c r="DP116" s="29"/>
      <c r="DQ116" s="29"/>
      <c r="DR116" s="29"/>
      <c r="DY116" s="24">
        <f t="shared" si="374"/>
        <v>22595</v>
      </c>
    </row>
    <row r="117" spans="1:129" s="24" customFormat="1" x14ac:dyDescent="0.25">
      <c r="B117" s="43" t="s">
        <v>392</v>
      </c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>
        <f>SUM(Q107:Q116)</f>
        <v>15538</v>
      </c>
      <c r="R117" s="29"/>
      <c r="S117" s="29"/>
      <c r="T117" s="29"/>
      <c r="U117" s="29"/>
      <c r="V117" s="29"/>
      <c r="W117" s="29"/>
      <c r="X117" s="29">
        <f>SUM(X107:X116)</f>
        <v>15477</v>
      </c>
      <c r="Y117" s="49"/>
      <c r="Z117" s="49"/>
      <c r="AA117" s="49">
        <f>SUM(AA107:AA116)</f>
        <v>14950</v>
      </c>
      <c r="AB117" s="49"/>
      <c r="AC117" s="49"/>
      <c r="AD117" s="49"/>
      <c r="AE117" s="49">
        <f>SUM(AE107:AE116)</f>
        <v>16162</v>
      </c>
      <c r="AF117" s="49">
        <f>SUM(AF107:AF116)</f>
        <v>15855</v>
      </c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  <c r="AZ117" s="29"/>
      <c r="BA117" s="29"/>
      <c r="BB117" s="29"/>
      <c r="BC117" s="29"/>
      <c r="BD117" s="29"/>
      <c r="BE117" s="29"/>
      <c r="BF117" s="29"/>
      <c r="BG117" s="29"/>
      <c r="BH117" s="29"/>
      <c r="BI117" s="29"/>
      <c r="BJ117" s="29"/>
      <c r="BK117" s="29"/>
      <c r="BL117" s="29"/>
      <c r="BM117" s="29"/>
      <c r="BN117" s="29"/>
      <c r="BO117" s="29"/>
      <c r="BP117" s="29"/>
      <c r="BQ117" s="29"/>
      <c r="BR117" s="29"/>
      <c r="BS117" s="29"/>
      <c r="BT117" s="29"/>
      <c r="BU117" s="29"/>
      <c r="BV117" s="29"/>
      <c r="BW117" s="29">
        <f>SUM(BW107:BW116)</f>
        <v>62395</v>
      </c>
      <c r="BX117" s="29">
        <f>SUM(BX107:BX116)</f>
        <v>61459</v>
      </c>
      <c r="BY117" s="29">
        <f>SUM(BY107:BY116)</f>
        <v>62201</v>
      </c>
      <c r="BZ117" s="29"/>
      <c r="CA117" s="29">
        <f>SUM(CA107:CA116)</f>
        <v>82483</v>
      </c>
      <c r="CB117" s="29">
        <f>SUM(CB107:CB116)</f>
        <v>77577</v>
      </c>
      <c r="CC117" s="29">
        <f>SUM(CC107:CC116)</f>
        <v>76470</v>
      </c>
      <c r="CD117" s="29">
        <f>SUM(CD107:CD116)</f>
        <v>76215</v>
      </c>
      <c r="CE117" s="29"/>
      <c r="CF117" s="29"/>
      <c r="CG117" s="29"/>
      <c r="CH117" s="29"/>
      <c r="CI117" s="29"/>
      <c r="CJ117" s="29"/>
      <c r="CK117" s="29"/>
      <c r="CL117" s="29"/>
      <c r="CM117" s="29"/>
      <c r="CN117" s="29"/>
      <c r="CO117" s="29"/>
      <c r="CP117" s="29"/>
      <c r="CQ117" s="29"/>
      <c r="CR117" s="29"/>
      <c r="CS117" s="29"/>
      <c r="CT117" s="29"/>
      <c r="CU117" s="29"/>
      <c r="CV117" s="29"/>
      <c r="CW117" s="29"/>
      <c r="CX117" s="29"/>
      <c r="CY117" s="29"/>
      <c r="CZ117" s="29"/>
      <c r="DA117" s="29"/>
      <c r="DB117" s="29"/>
      <c r="DC117" s="29"/>
      <c r="DD117" s="29"/>
      <c r="DE117" s="29"/>
      <c r="DF117" s="29"/>
      <c r="DG117" s="29"/>
      <c r="DH117" s="29"/>
      <c r="DI117" s="29"/>
      <c r="DJ117" s="49"/>
      <c r="DK117" s="49"/>
      <c r="DL117" s="49"/>
      <c r="DM117" s="29"/>
      <c r="DN117" s="29"/>
      <c r="DO117" s="29"/>
      <c r="DP117" s="29"/>
      <c r="DQ117" s="29"/>
      <c r="DR117" s="29"/>
      <c r="DY117" s="29">
        <f>SUM(DY107:DY116)</f>
        <v>76215</v>
      </c>
    </row>
    <row r="118" spans="1:129" s="24" customFormat="1" x14ac:dyDescent="0.25">
      <c r="B118" s="24" t="s">
        <v>338</v>
      </c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>
        <f>Q105-Q117</f>
        <v>12938</v>
      </c>
      <c r="R118" s="29"/>
      <c r="S118" s="29"/>
      <c r="T118" s="29"/>
      <c r="U118" s="29"/>
      <c r="V118" s="29"/>
      <c r="W118" s="29"/>
      <c r="X118" s="29">
        <v>15574</v>
      </c>
      <c r="Y118" s="49"/>
      <c r="Z118" s="49"/>
      <c r="AA118" s="49">
        <v>15901</v>
      </c>
      <c r="AB118" s="49"/>
      <c r="AC118" s="49"/>
      <c r="AD118" s="49"/>
      <c r="AE118" s="49">
        <v>16246</v>
      </c>
      <c r="AF118" s="29">
        <v>15812</v>
      </c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  <c r="AZ118" s="29"/>
      <c r="BA118" s="29"/>
      <c r="BB118" s="29"/>
      <c r="BC118" s="29"/>
      <c r="BD118" s="29"/>
      <c r="BE118" s="29"/>
      <c r="BF118" s="29"/>
      <c r="BG118" s="29"/>
      <c r="BH118" s="29"/>
      <c r="BI118" s="29"/>
      <c r="BJ118" s="29"/>
      <c r="BK118" s="29"/>
      <c r="BL118" s="29"/>
      <c r="BM118" s="29"/>
      <c r="BN118" s="29"/>
      <c r="BO118" s="29"/>
      <c r="BP118" s="29"/>
      <c r="BQ118" s="29"/>
      <c r="BR118" s="29"/>
      <c r="BS118" s="29"/>
      <c r="BT118" s="29">
        <v>32661</v>
      </c>
      <c r="BU118" s="29"/>
      <c r="BV118" s="29"/>
      <c r="BW118" s="29">
        <v>31886</v>
      </c>
      <c r="BX118" s="29">
        <v>32030</v>
      </c>
      <c r="BY118" s="29">
        <v>29062</v>
      </c>
      <c r="BZ118" s="29"/>
      <c r="CA118" s="29">
        <v>16548</v>
      </c>
      <c r="CB118" s="29">
        <v>17069</v>
      </c>
      <c r="CC118" s="29">
        <v>17200</v>
      </c>
      <c r="CD118" s="29">
        <v>16388</v>
      </c>
      <c r="CE118" s="29"/>
      <c r="CF118" s="29"/>
      <c r="CG118" s="29"/>
      <c r="CH118" s="29"/>
      <c r="CI118" s="29"/>
      <c r="CJ118" s="29"/>
      <c r="CK118" s="29"/>
      <c r="CL118" s="29"/>
      <c r="CM118" s="29"/>
      <c r="CN118" s="29"/>
      <c r="CO118" s="29"/>
      <c r="CP118" s="29"/>
      <c r="CQ118" s="29"/>
      <c r="CR118" s="29"/>
      <c r="CS118" s="29"/>
      <c r="CT118" s="29"/>
      <c r="CU118" s="29"/>
      <c r="CV118" s="29"/>
      <c r="CW118" s="29"/>
      <c r="CX118" s="29"/>
      <c r="CY118" s="29"/>
      <c r="CZ118" s="29"/>
      <c r="DA118" s="29"/>
      <c r="DB118" s="29"/>
      <c r="DC118" s="29"/>
      <c r="DD118" s="29"/>
      <c r="DE118" s="29"/>
      <c r="DF118" s="29"/>
      <c r="DG118" s="29"/>
      <c r="DH118" s="29"/>
      <c r="DI118" s="29"/>
      <c r="DJ118" s="49"/>
      <c r="DK118" s="49"/>
      <c r="DL118" s="49"/>
      <c r="DM118" s="29"/>
      <c r="DN118" s="29"/>
      <c r="DO118" s="29"/>
      <c r="DP118" s="29"/>
      <c r="DQ118" s="29"/>
      <c r="DR118" s="29"/>
      <c r="DY118" s="24">
        <f t="shared" si="374"/>
        <v>16388</v>
      </c>
    </row>
    <row r="119" spans="1:129" s="24" customFormat="1" x14ac:dyDescent="0.25">
      <c r="B119" s="43" t="s">
        <v>391</v>
      </c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>
        <f>+Q118+Q117</f>
        <v>28476</v>
      </c>
      <c r="R119" s="29"/>
      <c r="S119" s="29"/>
      <c r="T119" s="29"/>
      <c r="U119" s="29"/>
      <c r="V119" s="29"/>
      <c r="W119" s="29"/>
      <c r="X119" s="29">
        <f>+X118+X117</f>
        <v>31051</v>
      </c>
      <c r="Y119" s="49"/>
      <c r="Z119" s="49"/>
      <c r="AA119" s="49">
        <f>+AA118+AA117</f>
        <v>30851</v>
      </c>
      <c r="AB119" s="49"/>
      <c r="AC119" s="49"/>
      <c r="AD119" s="49"/>
      <c r="AE119" s="49">
        <f>+AE118+AE117</f>
        <v>32408</v>
      </c>
      <c r="AF119" s="49">
        <f>+AF118+AF117</f>
        <v>31667</v>
      </c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  <c r="AY119" s="29"/>
      <c r="AZ119" s="29"/>
      <c r="BA119" s="29"/>
      <c r="BB119" s="29"/>
      <c r="BC119" s="29"/>
      <c r="BD119" s="29"/>
      <c r="BE119" s="29"/>
      <c r="BF119" s="29"/>
      <c r="BG119" s="29"/>
      <c r="BH119" s="29"/>
      <c r="BI119" s="29"/>
      <c r="BJ119" s="29"/>
      <c r="BK119" s="29"/>
      <c r="BL119" s="29"/>
      <c r="BM119" s="29"/>
      <c r="BN119" s="29"/>
      <c r="BO119" s="29"/>
      <c r="BP119" s="29"/>
      <c r="BQ119" s="29"/>
      <c r="BR119" s="29"/>
      <c r="BS119" s="29"/>
      <c r="BT119" s="29">
        <f>SUM(BT107:BT118)</f>
        <v>100357</v>
      </c>
      <c r="BU119" s="29"/>
      <c r="BV119" s="29"/>
      <c r="BW119" s="29">
        <f>+BW118+BW117</f>
        <v>94281</v>
      </c>
      <c r="BX119" s="29">
        <f>+BX118+BX117</f>
        <v>93489</v>
      </c>
      <c r="BY119" s="29">
        <f>+BY118+BY117</f>
        <v>91263</v>
      </c>
      <c r="BZ119" s="29"/>
      <c r="CA119" s="29">
        <f>+CA118+CA117</f>
        <v>99031</v>
      </c>
      <c r="CB119" s="29">
        <f>+CB118+CB117</f>
        <v>94646</v>
      </c>
      <c r="CC119" s="29">
        <f>+CC118+CC117</f>
        <v>93670</v>
      </c>
      <c r="CD119" s="29">
        <f>+CD118+CD117</f>
        <v>92603</v>
      </c>
      <c r="CE119" s="29"/>
      <c r="CF119" s="29"/>
      <c r="CG119" s="29"/>
      <c r="CH119" s="29"/>
      <c r="CI119" s="29"/>
      <c r="CJ119" s="29"/>
      <c r="CK119" s="29"/>
      <c r="CL119" s="29"/>
      <c r="CM119" s="29"/>
      <c r="CN119" s="29"/>
      <c r="CO119" s="29"/>
      <c r="CP119" s="29"/>
      <c r="CQ119" s="29"/>
      <c r="CR119" s="29"/>
      <c r="CS119" s="29"/>
      <c r="CT119" s="29"/>
      <c r="CU119" s="29"/>
      <c r="CV119" s="29"/>
      <c r="CW119" s="29"/>
      <c r="CX119" s="29"/>
      <c r="CY119" s="29"/>
      <c r="CZ119" s="29"/>
      <c r="DA119" s="29"/>
      <c r="DB119" s="29"/>
      <c r="DC119" s="29"/>
      <c r="DD119" s="29"/>
      <c r="DE119" s="29"/>
      <c r="DF119" s="29"/>
      <c r="DG119" s="29"/>
      <c r="DH119" s="29"/>
      <c r="DI119" s="29"/>
      <c r="DJ119" s="49"/>
      <c r="DK119" s="49"/>
      <c r="DL119" s="49"/>
      <c r="DM119" s="29"/>
      <c r="DN119" s="29"/>
      <c r="DO119" s="29"/>
      <c r="DP119" s="29"/>
      <c r="DQ119" s="29"/>
      <c r="DR119" s="29"/>
      <c r="DY119" s="29">
        <f>+DY118+DY117</f>
        <v>92603</v>
      </c>
    </row>
    <row r="120" spans="1:129" s="24" customFormat="1" x14ac:dyDescent="0.25">
      <c r="B120" s="24" t="s">
        <v>339</v>
      </c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>
        <f>Q105-Q117-Q102</f>
        <v>6885</v>
      </c>
      <c r="R120" s="29"/>
      <c r="S120" s="29"/>
      <c r="T120" s="29"/>
      <c r="U120" s="29"/>
      <c r="V120" s="29"/>
      <c r="W120" s="29"/>
      <c r="X120" s="29">
        <f>X105-X117-X102</f>
        <v>7593</v>
      </c>
      <c r="Y120" s="49"/>
      <c r="Z120" s="49"/>
      <c r="AA120" s="49">
        <f>AA105-AA117-AA102</f>
        <v>7369</v>
      </c>
      <c r="AB120" s="49"/>
      <c r="AC120" s="49"/>
      <c r="AD120" s="49"/>
      <c r="AE120" s="49">
        <f>AE105-AE117-AE102</f>
        <v>4631</v>
      </c>
      <c r="AF120" s="49">
        <f>AF105-AF117-AF102</f>
        <v>4444</v>
      </c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9"/>
      <c r="BB120" s="29"/>
      <c r="BC120" s="29"/>
      <c r="BD120" s="29"/>
      <c r="BE120" s="29"/>
      <c r="BF120" s="29"/>
      <c r="BG120" s="29"/>
      <c r="BH120" s="29"/>
      <c r="BI120" s="29"/>
      <c r="BJ120" s="29"/>
      <c r="BK120" s="29"/>
      <c r="BL120" s="29"/>
      <c r="BM120" s="29"/>
      <c r="BN120" s="29"/>
      <c r="BO120" s="29"/>
      <c r="BP120" s="29"/>
      <c r="BQ120" s="29"/>
      <c r="BR120" s="29"/>
      <c r="BS120" s="29"/>
      <c r="BT120" s="29"/>
      <c r="BU120" s="29"/>
      <c r="BV120" s="29"/>
      <c r="BW120" s="29"/>
      <c r="BX120" s="29"/>
      <c r="BY120" s="29"/>
      <c r="BZ120" s="29"/>
      <c r="CA120" s="29"/>
      <c r="CB120" s="29"/>
      <c r="CC120" s="29"/>
      <c r="CD120" s="29"/>
      <c r="CE120" s="29"/>
      <c r="CF120" s="29"/>
      <c r="CG120" s="29"/>
      <c r="CH120" s="29"/>
      <c r="CI120" s="29"/>
      <c r="CJ120" s="29"/>
      <c r="CK120" s="29"/>
      <c r="CL120" s="29"/>
      <c r="CM120" s="29"/>
      <c r="CN120" s="29"/>
      <c r="CO120" s="29"/>
      <c r="CP120" s="29"/>
      <c r="CQ120" s="29"/>
      <c r="CR120" s="29"/>
      <c r="CS120" s="29"/>
      <c r="CT120" s="29"/>
      <c r="CU120" s="29"/>
      <c r="CV120" s="29"/>
      <c r="CW120" s="29"/>
      <c r="CX120" s="29"/>
      <c r="CY120" s="29"/>
      <c r="CZ120" s="29"/>
      <c r="DA120" s="29"/>
      <c r="DB120" s="29"/>
      <c r="DC120" s="29"/>
      <c r="DD120" s="29"/>
      <c r="DE120" s="29"/>
      <c r="DF120" s="29"/>
      <c r="DG120" s="29"/>
      <c r="DH120" s="29"/>
      <c r="DI120" s="29"/>
      <c r="DJ120" s="49"/>
      <c r="DK120" s="49"/>
      <c r="DL120" s="49"/>
      <c r="DM120" s="29"/>
      <c r="DN120" s="29"/>
      <c r="DO120" s="29"/>
      <c r="DP120" s="29"/>
      <c r="DQ120" s="29"/>
      <c r="DR120" s="29"/>
    </row>
    <row r="121" spans="1:129" s="24" customFormat="1" x14ac:dyDescent="0.25">
      <c r="A121" s="1"/>
      <c r="B121" s="1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47"/>
      <c r="Z121" s="47"/>
      <c r="AA121" s="47"/>
      <c r="AB121" s="47"/>
      <c r="AC121" s="47"/>
      <c r="AD121" s="4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7"/>
      <c r="BD121" s="27"/>
      <c r="BE121" s="27"/>
      <c r="BF121" s="27"/>
      <c r="BG121" s="27"/>
      <c r="BH121" s="27"/>
      <c r="BI121" s="27"/>
      <c r="BJ121" s="27"/>
      <c r="BK121" s="27"/>
      <c r="BL121" s="27"/>
      <c r="BM121" s="27"/>
      <c r="BN121" s="27"/>
      <c r="BO121" s="27"/>
      <c r="BP121" s="27"/>
      <c r="BQ121" s="27"/>
      <c r="BR121" s="27"/>
      <c r="BS121" s="27"/>
      <c r="BT121" s="27"/>
      <c r="BU121" s="27"/>
      <c r="BV121" s="27"/>
      <c r="BW121" s="27"/>
      <c r="BX121" s="27"/>
      <c r="BY121" s="27"/>
      <c r="BZ121" s="27"/>
      <c r="CA121" s="27"/>
      <c r="CB121" s="27"/>
      <c r="CC121" s="27"/>
      <c r="CD121" s="27"/>
      <c r="CE121" s="27"/>
      <c r="CF121" s="27"/>
      <c r="CG121" s="27"/>
      <c r="CH121" s="27"/>
      <c r="CI121" s="27"/>
      <c r="CJ121" s="27"/>
      <c r="CK121" s="27"/>
      <c r="CL121" s="27"/>
      <c r="CM121" s="27"/>
      <c r="CN121" s="27"/>
      <c r="CO121" s="27"/>
      <c r="CP121" s="27"/>
      <c r="CQ121" s="27"/>
      <c r="CR121" s="27"/>
      <c r="CS121" s="27"/>
      <c r="CT121" s="27"/>
      <c r="CU121" s="27"/>
      <c r="CV121" s="27"/>
      <c r="CW121" s="27"/>
      <c r="CX121" s="27"/>
      <c r="CY121" s="27"/>
      <c r="CZ121" s="27"/>
      <c r="DA121" s="27"/>
      <c r="DB121" s="27"/>
      <c r="DC121" s="27"/>
      <c r="DD121" s="27"/>
      <c r="DE121" s="27"/>
      <c r="DF121" s="27"/>
      <c r="DG121" s="27"/>
      <c r="DH121" s="27"/>
      <c r="DI121" s="27"/>
      <c r="DJ121" s="47"/>
      <c r="DK121" s="47"/>
      <c r="DL121" s="47"/>
      <c r="DM121" s="27"/>
      <c r="DN121" s="27"/>
      <c r="DO121" s="27"/>
      <c r="DP121" s="27"/>
      <c r="DQ121" s="27"/>
      <c r="DR121" s="27"/>
      <c r="DS121" s="1"/>
    </row>
    <row r="122" spans="1:129" x14ac:dyDescent="0.25">
      <c r="B122" s="22" t="s">
        <v>730</v>
      </c>
      <c r="BW122" s="29">
        <f t="shared" ref="BW122:BZ122" si="375">+BW68</f>
        <v>4116.0464999999995</v>
      </c>
      <c r="BX122" s="29">
        <f t="shared" si="375"/>
        <v>3862.3741250000007</v>
      </c>
      <c r="BY122" s="29">
        <f t="shared" si="375"/>
        <v>2972.383656250001</v>
      </c>
      <c r="BZ122" s="29">
        <f t="shared" si="375"/>
        <v>3826.4390703125</v>
      </c>
      <c r="CA122" s="29">
        <f>+CA68</f>
        <v>4039</v>
      </c>
      <c r="CB122" s="29">
        <f>+CB68</f>
        <v>4310.6286400000008</v>
      </c>
      <c r="CC122" s="29">
        <f>+CC68</f>
        <v>4151.0542400000004</v>
      </c>
      <c r="CD122" s="29">
        <f>+CD68</f>
        <v>3442</v>
      </c>
      <c r="DY122" s="24">
        <f t="shared" ref="DY122:DY130" si="376">SUM(CA122:CD122)</f>
        <v>15942.68288</v>
      </c>
    </row>
    <row r="123" spans="1:129" x14ac:dyDescent="0.25">
      <c r="B123" s="22" t="s">
        <v>731</v>
      </c>
      <c r="BW123" s="29">
        <v>2267</v>
      </c>
      <c r="BX123" s="29">
        <f>4344-BW123</f>
        <v>2077</v>
      </c>
      <c r="BY123" s="29">
        <f>6278-BX123-BW123</f>
        <v>1934</v>
      </c>
      <c r="CA123" s="29">
        <v>-11908</v>
      </c>
      <c r="CB123" s="29">
        <f>-10224-CA123</f>
        <v>1684</v>
      </c>
      <c r="CC123" s="29">
        <f>-9009-CB123-CA123</f>
        <v>1215</v>
      </c>
      <c r="CD123" s="29">
        <f>-8933-CC123-CB123-CA123</f>
        <v>76</v>
      </c>
      <c r="DY123" s="24">
        <f t="shared" si="376"/>
        <v>-8933</v>
      </c>
    </row>
    <row r="124" spans="1:129" x14ac:dyDescent="0.25">
      <c r="B124" s="22" t="s">
        <v>733</v>
      </c>
      <c r="BW124" s="29">
        <v>2429</v>
      </c>
      <c r="BX124" s="29">
        <f>4861-BW124</f>
        <v>2432</v>
      </c>
      <c r="BY124" s="29">
        <f>7296-BX124-BW124</f>
        <v>2435</v>
      </c>
      <c r="CA124" s="29">
        <v>2532</v>
      </c>
      <c r="CB124" s="29">
        <f>5128-CA124</f>
        <v>2596</v>
      </c>
      <c r="CC124" s="29">
        <f>7720-CB124-CA124</f>
        <v>2592</v>
      </c>
      <c r="CD124" s="29">
        <f>9600-CC124-CB124-CA124</f>
        <v>1880</v>
      </c>
      <c r="DY124" s="24">
        <f t="shared" si="376"/>
        <v>9600</v>
      </c>
    </row>
    <row r="125" spans="1:129" x14ac:dyDescent="0.25">
      <c r="B125" s="22" t="s">
        <v>734</v>
      </c>
      <c r="BW125" s="29">
        <v>-548</v>
      </c>
      <c r="BX125" s="29">
        <f>-1634-BW125</f>
        <v>-1086</v>
      </c>
      <c r="BY125" s="29">
        <f>-1961-BX125-BW125</f>
        <v>-327</v>
      </c>
      <c r="CA125" s="29">
        <v>-711</v>
      </c>
      <c r="CB125" s="29">
        <f>-1042-CA125</f>
        <v>-331</v>
      </c>
      <c r="CC125" s="29">
        <f>-1298-CB125-CA125</f>
        <v>-256</v>
      </c>
      <c r="CD125" s="29">
        <f>-2089-CC125-CB125-CA125</f>
        <v>-791</v>
      </c>
      <c r="DY125" s="24">
        <f t="shared" si="376"/>
        <v>-2089</v>
      </c>
    </row>
    <row r="126" spans="1:129" x14ac:dyDescent="0.25">
      <c r="B126" s="22" t="s">
        <v>735</v>
      </c>
      <c r="BW126" s="29">
        <v>122</v>
      </c>
      <c r="BX126" s="29">
        <f>259-BW126</f>
        <v>137</v>
      </c>
      <c r="BY126" s="29">
        <f>391-BX126-BW126</f>
        <v>132</v>
      </c>
      <c r="CA126" s="29">
        <v>133</v>
      </c>
      <c r="CB126" s="29">
        <f>258-CA126</f>
        <v>125</v>
      </c>
      <c r="CC126" s="29">
        <f>387-CB126-CA126</f>
        <v>129</v>
      </c>
      <c r="CD126" s="29">
        <f>507-CC126-CB126-CA126</f>
        <v>120</v>
      </c>
      <c r="DY126" s="24">
        <f t="shared" si="376"/>
        <v>507</v>
      </c>
    </row>
    <row r="127" spans="1:129" x14ac:dyDescent="0.25">
      <c r="B127" s="22" t="s">
        <v>736</v>
      </c>
      <c r="BW127" s="29">
        <f>20+75</f>
        <v>95</v>
      </c>
      <c r="BX127" s="29">
        <f>67-BW127+233</f>
        <v>205</v>
      </c>
      <c r="BY127" s="29">
        <f>226+313-BX127-BW127</f>
        <v>239</v>
      </c>
      <c r="CA127" s="29">
        <f>1+12949</f>
        <v>12950</v>
      </c>
      <c r="CB127" s="29">
        <f>871+13081-CA127</f>
        <v>1002</v>
      </c>
      <c r="CC127" s="29">
        <f>1010-CB127-CA127+13343</f>
        <v>401</v>
      </c>
      <c r="CD127" s="29">
        <f>2963+13373-CC127-CB127-CA127</f>
        <v>1983</v>
      </c>
      <c r="DY127" s="24">
        <f t="shared" si="376"/>
        <v>16336</v>
      </c>
    </row>
    <row r="128" spans="1:129" x14ac:dyDescent="0.25">
      <c r="B128" s="22" t="s">
        <v>737</v>
      </c>
      <c r="BW128" s="29">
        <f>-194+155</f>
        <v>-39</v>
      </c>
      <c r="BX128" s="29">
        <f>-417+213-BW128</f>
        <v>-165</v>
      </c>
      <c r="BY128" s="29">
        <f>-639+213-BX128-BW128</f>
        <v>-222</v>
      </c>
      <c r="CA128" s="29">
        <f>-280-102</f>
        <v>-382</v>
      </c>
      <c r="CB128" s="29">
        <f>-550-CA128-209</f>
        <v>-377</v>
      </c>
      <c r="CC128" s="29">
        <f>-838-CB128-CA128</f>
        <v>-79</v>
      </c>
      <c r="CD128" s="29">
        <f>-16-1119-CC128-CB128-CA128</f>
        <v>-297</v>
      </c>
      <c r="DY128" s="24">
        <f t="shared" si="376"/>
        <v>-1135</v>
      </c>
    </row>
    <row r="129" spans="2:129" x14ac:dyDescent="0.25">
      <c r="B129" s="22" t="s">
        <v>103</v>
      </c>
      <c r="BW129" s="29">
        <v>4</v>
      </c>
      <c r="BX129" s="29">
        <f>-9-BW129</f>
        <v>-13</v>
      </c>
      <c r="BY129" s="29">
        <f>260-BX129-BW129</f>
        <v>269</v>
      </c>
      <c r="CA129" s="29">
        <v>22</v>
      </c>
      <c r="CB129" s="29">
        <f>20-CA129</f>
        <v>-2</v>
      </c>
      <c r="CC129" s="29">
        <f>-221+123-CB129-CA129</f>
        <v>-118</v>
      </c>
      <c r="CD129" s="29">
        <f>94-CC129-CB129-CA129</f>
        <v>192</v>
      </c>
      <c r="DY129" s="24">
        <f t="shared" si="376"/>
        <v>94</v>
      </c>
    </row>
    <row r="130" spans="2:129" x14ac:dyDescent="0.25">
      <c r="B130" s="22" t="s">
        <v>738</v>
      </c>
      <c r="BW130" s="29">
        <f>-175-282+187-910+884-1064</f>
        <v>-1360</v>
      </c>
      <c r="BX130" s="29">
        <f>-240-298+22-418-1235-891-BW130</f>
        <v>-1700</v>
      </c>
      <c r="BY130" s="29">
        <f>-487-554-246+1115-1647-950-BX130-BW130</f>
        <v>291</v>
      </c>
      <c r="CA130" s="29">
        <f>479-218+300-665+910-608</f>
        <v>198</v>
      </c>
      <c r="CB130" s="29">
        <f>-540-443+41+70-1033-268-CA130</f>
        <v>-2371</v>
      </c>
      <c r="CC130" s="29">
        <f>121-661-333+1889-1381-101-CB130-CA130</f>
        <v>1707</v>
      </c>
      <c r="CD130" s="29">
        <f>264-486+184+1484-1260+624-CC130-CB130-CA130</f>
        <v>1276</v>
      </c>
      <c r="DY130" s="24">
        <f t="shared" si="376"/>
        <v>810</v>
      </c>
    </row>
    <row r="131" spans="2:129" x14ac:dyDescent="0.25">
      <c r="B131" s="22" t="s">
        <v>732</v>
      </c>
      <c r="BW131" s="29">
        <f t="shared" ref="BW131:BZ131" si="377">SUM(BW123:BW130)</f>
        <v>2970</v>
      </c>
      <c r="BX131" s="29">
        <f t="shared" si="377"/>
        <v>1887</v>
      </c>
      <c r="BY131" s="29">
        <f t="shared" si="377"/>
        <v>4751</v>
      </c>
      <c r="BZ131" s="29">
        <f t="shared" si="377"/>
        <v>0</v>
      </c>
      <c r="CA131" s="29">
        <f>SUM(CA123:CA130)</f>
        <v>2834</v>
      </c>
      <c r="CB131" s="29">
        <f>SUM(CB123:CB130)</f>
        <v>2326</v>
      </c>
      <c r="CC131" s="29">
        <f>SUM(CC123:CC130)</f>
        <v>5591</v>
      </c>
      <c r="CD131" s="29">
        <f>SUM(CD123:CD130)</f>
        <v>4439</v>
      </c>
      <c r="DY131" s="24">
        <f>SUM(DY123:DY130)</f>
        <v>15190</v>
      </c>
    </row>
    <row r="132" spans="2:129" x14ac:dyDescent="0.25">
      <c r="BW132" s="29"/>
    </row>
    <row r="133" spans="2:129" x14ac:dyDescent="0.25">
      <c r="B133" s="22" t="s">
        <v>742</v>
      </c>
      <c r="BW133" s="29">
        <f>57-200+62</f>
        <v>-81</v>
      </c>
      <c r="BX133" s="29">
        <f>327-555+67-BW133</f>
        <v>-80</v>
      </c>
      <c r="BY133" s="29">
        <f>692-1057+215-BX133-BW133</f>
        <v>11</v>
      </c>
      <c r="CA133" s="29">
        <f>747-274+5</f>
        <v>478</v>
      </c>
      <c r="CB133" s="29">
        <f>822-358+60-CA133</f>
        <v>46</v>
      </c>
      <c r="CC133" s="29">
        <f>1060-398+60-CB133-CA133</f>
        <v>198</v>
      </c>
      <c r="CD133" s="29">
        <f>1122-769+265-CC133-CB133-CA133</f>
        <v>-104</v>
      </c>
      <c r="DY133" s="24">
        <f t="shared" ref="DY133:DY136" si="378">SUM(CA133:CD133)</f>
        <v>618</v>
      </c>
    </row>
    <row r="134" spans="2:129" x14ac:dyDescent="0.25">
      <c r="B134" s="22" t="s">
        <v>741</v>
      </c>
      <c r="BW134" s="29">
        <v>-278</v>
      </c>
      <c r="BX134" s="29">
        <f>-537-BW134</f>
        <v>-259</v>
      </c>
      <c r="BY134" s="29">
        <f>-879-BX134-BW134</f>
        <v>-342</v>
      </c>
      <c r="CA134" s="29">
        <v>-284</v>
      </c>
      <c r="CB134" s="29">
        <f>-546-CA134</f>
        <v>-262</v>
      </c>
      <c r="CC134" s="29">
        <f>-870-CB134-CA134</f>
        <v>-324</v>
      </c>
      <c r="CD134" s="29">
        <f>-1248-CC134-CB134-CA134</f>
        <v>-378</v>
      </c>
      <c r="DY134" s="24">
        <f t="shared" si="378"/>
        <v>-1248</v>
      </c>
    </row>
    <row r="135" spans="2:129" x14ac:dyDescent="0.25">
      <c r="B135" s="22" t="s">
        <v>740</v>
      </c>
      <c r="BW135" s="29">
        <v>227</v>
      </c>
      <c r="BX135" s="29">
        <f>421-BW135</f>
        <v>194</v>
      </c>
      <c r="BY135" s="29">
        <f>668-BX135-BW135</f>
        <v>247</v>
      </c>
      <c r="CA135" s="29">
        <v>241</v>
      </c>
      <c r="CB135" s="29">
        <f>511-CA135</f>
        <v>270</v>
      </c>
      <c r="CC135" s="29">
        <f>766-CB135-CA135</f>
        <v>255</v>
      </c>
      <c r="CD135" s="29">
        <f>1099-CC135-CB135-CA135</f>
        <v>333</v>
      </c>
      <c r="DY135" s="24">
        <f t="shared" si="378"/>
        <v>1099</v>
      </c>
    </row>
    <row r="136" spans="2:129" x14ac:dyDescent="0.25">
      <c r="B136" s="22" t="s">
        <v>739</v>
      </c>
      <c r="BW136" s="29">
        <v>-78</v>
      </c>
      <c r="BX136" s="29">
        <f>-262-BW136</f>
        <v>-184</v>
      </c>
      <c r="BY136" s="29">
        <f>-588-BX136-BW136</f>
        <v>-326</v>
      </c>
      <c r="CA136" s="29">
        <v>-20053</v>
      </c>
      <c r="CB136" s="29">
        <f>-21426-CA136</f>
        <v>-1373</v>
      </c>
      <c r="CC136" s="29">
        <f>-21774-CB136-CA136</f>
        <v>-348</v>
      </c>
      <c r="CD136" s="29">
        <f>-21821-CC136-CB136-CA136</f>
        <v>-47</v>
      </c>
      <c r="DY136" s="24">
        <f t="shared" si="378"/>
        <v>-21821</v>
      </c>
    </row>
    <row r="137" spans="2:129" x14ac:dyDescent="0.25">
      <c r="B137" s="22" t="s">
        <v>732</v>
      </c>
      <c r="BW137" s="29">
        <f t="shared" ref="BW137:BZ137" si="379">SUM(BW133:BW136)</f>
        <v>-210</v>
      </c>
      <c r="BX137" s="29">
        <f t="shared" si="379"/>
        <v>-329</v>
      </c>
      <c r="BY137" s="29">
        <f t="shared" si="379"/>
        <v>-410</v>
      </c>
      <c r="BZ137" s="29">
        <f t="shared" si="379"/>
        <v>0</v>
      </c>
      <c r="CA137" s="29">
        <f>SUM(CA133:CA136)</f>
        <v>-19618</v>
      </c>
      <c r="CB137" s="29">
        <f>SUM(CB133:CB136)</f>
        <v>-1319</v>
      </c>
      <c r="CC137" s="29">
        <f>SUM(CC133:CC136)</f>
        <v>-219</v>
      </c>
      <c r="CD137" s="29">
        <f>SUM(CD133:CD136)</f>
        <v>-196</v>
      </c>
      <c r="DY137" s="29">
        <f>SUM(DY133:DY136)</f>
        <v>-21352</v>
      </c>
    </row>
    <row r="138" spans="2:129" x14ac:dyDescent="0.25">
      <c r="BW138" s="29"/>
    </row>
    <row r="139" spans="2:129" x14ac:dyDescent="0.25">
      <c r="B139" s="22" t="s">
        <v>192</v>
      </c>
      <c r="BW139" s="29">
        <f>128-1640</f>
        <v>-1512</v>
      </c>
      <c r="BX139" s="29">
        <f>243-1879-BW139</f>
        <v>-124</v>
      </c>
      <c r="BY139" s="29">
        <f>233-1879-BX139-BW139</f>
        <v>-10</v>
      </c>
      <c r="CA139" s="29">
        <f>3070+12883</f>
        <v>15953</v>
      </c>
      <c r="CB139" s="29">
        <f>2987-2731+409-CA139+12883-395</f>
        <v>-2800</v>
      </c>
      <c r="CC139" s="29">
        <f>2987-3000-CB139-CA139+504+12883-2873</f>
        <v>-2652</v>
      </c>
      <c r="CD139" s="29">
        <f>2987-3000+99+12883-2873-CC139-CB139-CA139</f>
        <v>-405</v>
      </c>
      <c r="DY139" s="24">
        <f t="shared" ref="DY139:DY142" si="380">SUM(CA139:CD139)</f>
        <v>10096</v>
      </c>
    </row>
    <row r="140" spans="2:129" x14ac:dyDescent="0.25">
      <c r="B140" s="22" t="s">
        <v>829</v>
      </c>
      <c r="BW140" s="29">
        <v>-250</v>
      </c>
      <c r="BX140" s="29">
        <f>-1155-BW140</f>
        <v>-905</v>
      </c>
      <c r="BY140" s="29">
        <f>-5155-BX140-BW140</f>
        <v>-4000</v>
      </c>
      <c r="BZ140" s="27">
        <v>0</v>
      </c>
      <c r="CA140" s="29">
        <v>0</v>
      </c>
      <c r="CB140" s="29">
        <v>0</v>
      </c>
      <c r="CC140" s="29">
        <v>0</v>
      </c>
      <c r="CD140" s="29">
        <v>0</v>
      </c>
      <c r="DY140" s="24"/>
    </row>
    <row r="141" spans="2:129" x14ac:dyDescent="0.25">
      <c r="B141" s="22" t="s">
        <v>335</v>
      </c>
      <c r="BW141" s="29">
        <v>-1196</v>
      </c>
      <c r="BX141" s="29">
        <f>-2393-BW141</f>
        <v>-1197</v>
      </c>
      <c r="BY141" s="29">
        <f>-3584-BX141-BW141</f>
        <v>-1191</v>
      </c>
      <c r="CA141" s="29">
        <v>-1212</v>
      </c>
      <c r="CB141" s="29">
        <f>-2429-CA141</f>
        <v>-1217</v>
      </c>
      <c r="CC141" s="29">
        <f>-3645-CB141-CA141</f>
        <v>-1216</v>
      </c>
      <c r="CD141" s="34">
        <f>-4863-CC141-CB141-CA141</f>
        <v>-1218</v>
      </c>
      <c r="DY141" s="24">
        <f t="shared" si="380"/>
        <v>-4863</v>
      </c>
    </row>
    <row r="142" spans="2:129" x14ac:dyDescent="0.25">
      <c r="B142" s="22" t="s">
        <v>744</v>
      </c>
      <c r="BW142" s="29">
        <v>-92</v>
      </c>
      <c r="BX142" s="29">
        <f>-39-BW142</f>
        <v>53</v>
      </c>
      <c r="BY142" s="29">
        <f>2-BX142-BW142</f>
        <v>41</v>
      </c>
      <c r="CA142" s="29">
        <v>-97</v>
      </c>
      <c r="CB142" s="29">
        <f>-103-CA142</f>
        <v>-6</v>
      </c>
      <c r="CC142" s="29">
        <f>-87-CB142-CA142</f>
        <v>16</v>
      </c>
      <c r="CD142" s="29">
        <f>-106-CC142-CB142-CA142</f>
        <v>-19</v>
      </c>
      <c r="DY142" s="24">
        <f t="shared" si="380"/>
        <v>-106</v>
      </c>
    </row>
    <row r="143" spans="2:129" x14ac:dyDescent="0.25">
      <c r="B143" s="22" t="s">
        <v>743</v>
      </c>
      <c r="BW143" s="29">
        <f>SUM(BW139:BW142)</f>
        <v>-3050</v>
      </c>
      <c r="BX143" s="29">
        <f>SUM(BX139:BX142)</f>
        <v>-2173</v>
      </c>
      <c r="BY143" s="29">
        <f>SUM(BY139:BY142)</f>
        <v>-5160</v>
      </c>
      <c r="CA143" s="29">
        <f>SUM(CA139:CA142)</f>
        <v>14644</v>
      </c>
      <c r="CB143" s="29">
        <f>SUM(CB139:CB142)</f>
        <v>-4023</v>
      </c>
      <c r="CC143" s="29">
        <f>SUM(CC139:CC142)</f>
        <v>-3852</v>
      </c>
      <c r="CD143" s="29">
        <f>SUM(CD139:CD142)</f>
        <v>-1642</v>
      </c>
      <c r="DY143" s="29">
        <f>SUM(DY139:DY142)</f>
        <v>5127</v>
      </c>
    </row>
    <row r="144" spans="2:129" x14ac:dyDescent="0.25">
      <c r="CA144" s="29"/>
    </row>
    <row r="145" spans="2:129" x14ac:dyDescent="0.25">
      <c r="B145" s="22" t="s">
        <v>745</v>
      </c>
      <c r="BW145" s="27">
        <v>13</v>
      </c>
      <c r="BX145" s="27">
        <f>5-BW145</f>
        <v>-8</v>
      </c>
      <c r="BY145" s="27">
        <f>-33-BX145-BW145</f>
        <v>-38</v>
      </c>
      <c r="CA145" s="27">
        <v>-45</v>
      </c>
      <c r="CB145" s="27">
        <f>-67-CA145</f>
        <v>-22</v>
      </c>
      <c r="CC145" s="27">
        <f>10-CB145-CA145</f>
        <v>77</v>
      </c>
      <c r="CD145" s="27">
        <f>-137-CC145-CB145-CA145</f>
        <v>-147</v>
      </c>
      <c r="DY145" s="24">
        <f t="shared" ref="DY145" si="381">SUM(CA145:CD145)</f>
        <v>-137</v>
      </c>
    </row>
    <row r="146" spans="2:129" x14ac:dyDescent="0.25">
      <c r="B146" s="22" t="s">
        <v>746</v>
      </c>
      <c r="BW146" s="29">
        <f t="shared" ref="BW146:BZ146" si="382">+BW145+BW143+BW137+BW131</f>
        <v>-277</v>
      </c>
      <c r="BX146" s="29">
        <f t="shared" si="382"/>
        <v>-623</v>
      </c>
      <c r="BY146" s="29">
        <f t="shared" si="382"/>
        <v>-857</v>
      </c>
      <c r="BZ146" s="29">
        <f t="shared" si="382"/>
        <v>0</v>
      </c>
      <c r="CA146" s="29">
        <f>+CA145+CA143+CA137+CA131</f>
        <v>-2185</v>
      </c>
      <c r="CB146" s="29">
        <f>+CB145+CB143+CB137+CB131</f>
        <v>-3038</v>
      </c>
      <c r="CC146" s="29">
        <f>+CC145+CC143+CC137+CC131</f>
        <v>1597</v>
      </c>
      <c r="CD146" s="29">
        <f>+CD145+CD143+CD137+CD131</f>
        <v>2454</v>
      </c>
      <c r="DY146" s="29">
        <f>+DY145+DY143+DY137+DY131</f>
        <v>-1172</v>
      </c>
    </row>
    <row r="149" spans="2:129" x14ac:dyDescent="0.25">
      <c r="B149" s="1" t="s">
        <v>319</v>
      </c>
      <c r="CS149" s="38">
        <f>CS56/CR56-1</f>
        <v>5.5340081354649406E-2</v>
      </c>
      <c r="CT149" s="38">
        <f>CT56/CS56-1</f>
        <v>2.3036930799569699E-2</v>
      </c>
    </row>
    <row r="150" spans="2:129" x14ac:dyDescent="0.25">
      <c r="B150" s="1" t="s">
        <v>320</v>
      </c>
      <c r="CS150" s="38">
        <v>0.01</v>
      </c>
      <c r="CT150" s="38">
        <v>0.03</v>
      </c>
    </row>
    <row r="151" spans="2:129" x14ac:dyDescent="0.25">
      <c r="B151" s="1" t="s">
        <v>321</v>
      </c>
      <c r="CS151" s="38">
        <v>0.04</v>
      </c>
      <c r="CT151" s="38">
        <v>0.02</v>
      </c>
    </row>
    <row r="152" spans="2:129" x14ac:dyDescent="0.25">
      <c r="B152" s="1" t="s">
        <v>322</v>
      </c>
      <c r="CS152" s="38">
        <v>0.01</v>
      </c>
      <c r="CT152" s="38">
        <v>-0.03</v>
      </c>
    </row>
    <row r="154" spans="2:129" s="24" customFormat="1" x14ac:dyDescent="0.25">
      <c r="B154" s="43" t="s">
        <v>821</v>
      </c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49"/>
      <c r="Z154" s="49"/>
      <c r="AA154" s="49"/>
      <c r="AB154" s="49"/>
      <c r="AC154" s="49"/>
      <c r="AD154" s="4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9"/>
      <c r="AX154" s="29"/>
      <c r="AY154" s="29"/>
      <c r="AZ154" s="29"/>
      <c r="BA154" s="29"/>
      <c r="BB154" s="29"/>
      <c r="BC154" s="29"/>
      <c r="BD154" s="29"/>
      <c r="BE154" s="29"/>
      <c r="BF154" s="29"/>
      <c r="BG154" s="29"/>
      <c r="BH154" s="29"/>
      <c r="BI154" s="29"/>
      <c r="BJ154" s="29"/>
      <c r="BK154" s="29"/>
      <c r="BL154" s="29"/>
      <c r="BM154" s="29"/>
      <c r="BN154" s="29"/>
      <c r="BO154" s="29"/>
      <c r="BP154" s="29"/>
      <c r="BQ154" s="29"/>
      <c r="BR154" s="29"/>
      <c r="BS154" s="29"/>
      <c r="BT154" s="29"/>
      <c r="BU154" s="29"/>
      <c r="BV154" s="29"/>
      <c r="BW154" s="29"/>
      <c r="BX154" s="29"/>
      <c r="BY154" s="29"/>
      <c r="BZ154" s="29"/>
      <c r="CA154" s="29"/>
      <c r="CB154" s="29"/>
      <c r="CC154" s="29"/>
      <c r="CD154" s="29"/>
      <c r="CE154" s="29"/>
      <c r="CF154" s="29"/>
      <c r="CG154" s="29"/>
      <c r="CH154" s="29"/>
      <c r="CI154" s="29"/>
      <c r="CJ154" s="29"/>
      <c r="CK154" s="29"/>
      <c r="CL154" s="29"/>
      <c r="CM154" s="29"/>
      <c r="CN154" s="29"/>
      <c r="CO154" s="29"/>
      <c r="CP154" s="29"/>
      <c r="CQ154" s="29"/>
      <c r="CR154" s="29"/>
      <c r="CS154" s="29"/>
      <c r="CT154" s="29"/>
      <c r="CU154" s="29"/>
      <c r="CV154" s="29"/>
      <c r="CW154" s="29"/>
      <c r="CX154" s="29"/>
      <c r="CY154" s="29"/>
      <c r="CZ154" s="29"/>
      <c r="DA154" s="29"/>
      <c r="DB154" s="29"/>
      <c r="DC154" s="29"/>
      <c r="DD154" s="29"/>
      <c r="DE154" s="29"/>
      <c r="DF154" s="29"/>
      <c r="DG154" s="29"/>
      <c r="DH154" s="29"/>
      <c r="DI154" s="29"/>
      <c r="DJ154" s="49"/>
      <c r="DK154" s="49"/>
      <c r="DL154" s="49"/>
      <c r="DM154" s="29"/>
      <c r="DN154" s="29"/>
      <c r="DO154" s="29"/>
      <c r="DP154" s="29"/>
      <c r="DQ154" s="29"/>
      <c r="DR154" s="29"/>
      <c r="DW154" s="24">
        <v>69633</v>
      </c>
      <c r="DX154" s="24">
        <v>73679</v>
      </c>
      <c r="DY154" s="24">
        <v>83671</v>
      </c>
    </row>
    <row r="155" spans="2:129" s="24" customFormat="1" x14ac:dyDescent="0.25">
      <c r="B155" s="43" t="s">
        <v>820</v>
      </c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49"/>
      <c r="Z155" s="49"/>
      <c r="AA155" s="49"/>
      <c r="AB155" s="49"/>
      <c r="AC155" s="49"/>
      <c r="AD155" s="4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  <c r="AW155" s="29"/>
      <c r="AX155" s="29"/>
      <c r="AY155" s="29"/>
      <c r="AZ155" s="29"/>
      <c r="BA155" s="29"/>
      <c r="BB155" s="29"/>
      <c r="BC155" s="29"/>
      <c r="BD155" s="29"/>
      <c r="BE155" s="29"/>
      <c r="BF155" s="29"/>
      <c r="BG155" s="29"/>
      <c r="BH155" s="29"/>
      <c r="BI155" s="29"/>
      <c r="BJ155" s="29"/>
      <c r="BK155" s="29"/>
      <c r="BL155" s="29"/>
      <c r="BM155" s="29"/>
      <c r="BN155" s="29"/>
      <c r="BO155" s="29"/>
      <c r="BP155" s="29"/>
      <c r="BQ155" s="29"/>
      <c r="BR155" s="29"/>
      <c r="BS155" s="29"/>
      <c r="BT155" s="29"/>
      <c r="BU155" s="29"/>
      <c r="BV155" s="29"/>
      <c r="BW155" s="29"/>
      <c r="BX155" s="29"/>
      <c r="BY155" s="29"/>
      <c r="BZ155" s="29"/>
      <c r="CA155" s="29"/>
      <c r="CB155" s="29"/>
      <c r="CC155" s="29"/>
      <c r="CD155" s="29"/>
      <c r="CE155" s="29"/>
      <c r="CF155" s="29"/>
      <c r="CG155" s="29"/>
      <c r="CH155" s="29"/>
      <c r="CI155" s="29"/>
      <c r="CJ155" s="29"/>
      <c r="CK155" s="29"/>
      <c r="CL155" s="29"/>
      <c r="CM155" s="29"/>
      <c r="CN155" s="29"/>
      <c r="CO155" s="29"/>
      <c r="CP155" s="29"/>
      <c r="CQ155" s="29"/>
      <c r="CR155" s="29"/>
      <c r="CS155" s="29"/>
      <c r="CT155" s="29"/>
      <c r="CU155" s="29"/>
      <c r="CV155" s="29"/>
      <c r="CW155" s="29"/>
      <c r="CX155" s="29"/>
      <c r="CY155" s="29"/>
      <c r="CZ155" s="29"/>
      <c r="DA155" s="29"/>
      <c r="DB155" s="29"/>
      <c r="DC155" s="29"/>
      <c r="DD155" s="29"/>
      <c r="DE155" s="29"/>
      <c r="DF155" s="29"/>
      <c r="DG155" s="29"/>
      <c r="DH155" s="29"/>
      <c r="DI155" s="29"/>
      <c r="DJ155" s="49"/>
      <c r="DK155" s="49"/>
      <c r="DL155" s="49"/>
      <c r="DM155" s="29"/>
      <c r="DN155" s="29"/>
      <c r="DO155" s="29"/>
      <c r="DP155" s="29"/>
      <c r="DQ155" s="29"/>
      <c r="DR155" s="29"/>
      <c r="DW155" s="24">
        <v>-7469</v>
      </c>
      <c r="DX155" s="24">
        <v>-9144</v>
      </c>
      <c r="DY155" s="24">
        <v>-11510</v>
      </c>
    </row>
    <row r="156" spans="2:129" s="24" customFormat="1" x14ac:dyDescent="0.25">
      <c r="B156" s="43" t="s">
        <v>819</v>
      </c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49"/>
      <c r="Z156" s="49"/>
      <c r="AA156" s="49"/>
      <c r="AB156" s="49"/>
      <c r="AC156" s="49"/>
      <c r="AD156" s="4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29"/>
      <c r="AW156" s="29"/>
      <c r="AX156" s="29"/>
      <c r="AY156" s="29"/>
      <c r="AZ156" s="29"/>
      <c r="BA156" s="29"/>
      <c r="BB156" s="29"/>
      <c r="BC156" s="29"/>
      <c r="BD156" s="29"/>
      <c r="BE156" s="29"/>
      <c r="BF156" s="29"/>
      <c r="BG156" s="29"/>
      <c r="BH156" s="29"/>
      <c r="BI156" s="29"/>
      <c r="BJ156" s="29"/>
      <c r="BK156" s="29"/>
      <c r="BL156" s="29"/>
      <c r="BM156" s="29"/>
      <c r="BN156" s="29"/>
      <c r="BO156" s="29"/>
      <c r="BP156" s="29"/>
      <c r="BQ156" s="29"/>
      <c r="BR156" s="29"/>
      <c r="BS156" s="29"/>
      <c r="BT156" s="29"/>
      <c r="BU156" s="29"/>
      <c r="BV156" s="29"/>
      <c r="BW156" s="29"/>
      <c r="BX156" s="29"/>
      <c r="BY156" s="29"/>
      <c r="BZ156" s="29"/>
      <c r="CA156" s="29"/>
      <c r="CB156" s="29"/>
      <c r="CC156" s="29"/>
      <c r="CD156" s="29"/>
      <c r="CE156" s="29"/>
      <c r="CF156" s="29"/>
      <c r="CG156" s="29"/>
      <c r="CH156" s="29"/>
      <c r="CI156" s="29"/>
      <c r="CJ156" s="29"/>
      <c r="CK156" s="29"/>
      <c r="CL156" s="29"/>
      <c r="CM156" s="29"/>
      <c r="CN156" s="29"/>
      <c r="CO156" s="29"/>
      <c r="CP156" s="29"/>
      <c r="CQ156" s="29"/>
      <c r="CR156" s="29"/>
      <c r="CS156" s="29"/>
      <c r="CT156" s="29"/>
      <c r="CU156" s="29"/>
      <c r="CV156" s="29"/>
      <c r="CW156" s="29"/>
      <c r="CX156" s="29"/>
      <c r="CY156" s="29"/>
      <c r="CZ156" s="29"/>
      <c r="DA156" s="29"/>
      <c r="DB156" s="29"/>
      <c r="DC156" s="29"/>
      <c r="DD156" s="29"/>
      <c r="DE156" s="29"/>
      <c r="DF156" s="29"/>
      <c r="DG156" s="29"/>
      <c r="DH156" s="29"/>
      <c r="DI156" s="29"/>
      <c r="DJ156" s="49"/>
      <c r="DK156" s="49"/>
      <c r="DL156" s="49"/>
      <c r="DM156" s="29"/>
      <c r="DN156" s="29"/>
      <c r="DO156" s="29"/>
      <c r="DP156" s="29"/>
      <c r="DQ156" s="29"/>
      <c r="DR156" s="29"/>
      <c r="DW156" s="24">
        <v>-11362</v>
      </c>
      <c r="DX156" s="24">
        <v>-13411</v>
      </c>
      <c r="DY156" s="24">
        <v>-16551</v>
      </c>
    </row>
    <row r="157" spans="2:129" s="24" customFormat="1" x14ac:dyDescent="0.25">
      <c r="B157" s="43" t="s">
        <v>103</v>
      </c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49"/>
      <c r="Z157" s="49"/>
      <c r="AA157" s="49"/>
      <c r="AB157" s="49"/>
      <c r="AC157" s="49"/>
      <c r="AD157" s="4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  <c r="BA157" s="29"/>
      <c r="BB157" s="29"/>
      <c r="BC157" s="29"/>
      <c r="BD157" s="29"/>
      <c r="BE157" s="29"/>
      <c r="BF157" s="29"/>
      <c r="BG157" s="29"/>
      <c r="BH157" s="29"/>
      <c r="BI157" s="29"/>
      <c r="BJ157" s="29"/>
      <c r="BK157" s="29"/>
      <c r="BL157" s="29"/>
      <c r="BM157" s="29"/>
      <c r="BN157" s="29"/>
      <c r="BO157" s="29"/>
      <c r="BP157" s="29"/>
      <c r="BQ157" s="29"/>
      <c r="BR157" s="29"/>
      <c r="BS157" s="29"/>
      <c r="BT157" s="29"/>
      <c r="BU157" s="29"/>
      <c r="BV157" s="29"/>
      <c r="BW157" s="29"/>
      <c r="BX157" s="29"/>
      <c r="BY157" s="29"/>
      <c r="BZ157" s="29"/>
      <c r="CA157" s="29"/>
      <c r="CB157" s="29"/>
      <c r="CC157" s="29"/>
      <c r="CD157" s="29"/>
      <c r="CE157" s="29"/>
      <c r="CF157" s="29"/>
      <c r="CG157" s="29"/>
      <c r="CH157" s="29"/>
      <c r="CI157" s="29"/>
      <c r="CJ157" s="29"/>
      <c r="CK157" s="29"/>
      <c r="CL157" s="29"/>
      <c r="CM157" s="29"/>
      <c r="CN157" s="29"/>
      <c r="CO157" s="29"/>
      <c r="CP157" s="29"/>
      <c r="CQ157" s="29"/>
      <c r="CR157" s="29"/>
      <c r="CS157" s="29"/>
      <c r="CT157" s="29"/>
      <c r="CU157" s="29"/>
      <c r="CV157" s="29"/>
      <c r="CW157" s="29"/>
      <c r="CX157" s="29"/>
      <c r="CY157" s="29"/>
      <c r="CZ157" s="29"/>
      <c r="DA157" s="29"/>
      <c r="DB157" s="29"/>
      <c r="DC157" s="29"/>
      <c r="DD157" s="29"/>
      <c r="DE157" s="29"/>
      <c r="DF157" s="29"/>
      <c r="DG157" s="29"/>
      <c r="DH157" s="29"/>
      <c r="DI157" s="29"/>
      <c r="DJ157" s="49"/>
      <c r="DK157" s="49"/>
      <c r="DL157" s="49"/>
      <c r="DM157" s="29"/>
      <c r="DN157" s="29"/>
      <c r="DO157" s="29"/>
      <c r="DP157" s="29"/>
      <c r="DQ157" s="29"/>
      <c r="DR157" s="29"/>
      <c r="DW157" s="24">
        <v>-6131</v>
      </c>
      <c r="DX157" s="24">
        <v>-7346</v>
      </c>
      <c r="DY157" s="24">
        <v>-8832</v>
      </c>
    </row>
    <row r="158" spans="2:129" s="24" customFormat="1" x14ac:dyDescent="0.25">
      <c r="B158" s="43" t="s">
        <v>822</v>
      </c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49"/>
      <c r="Z158" s="49"/>
      <c r="AA158" s="49"/>
      <c r="AB158" s="49"/>
      <c r="AC158" s="49"/>
      <c r="AD158" s="4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9"/>
      <c r="AX158" s="29"/>
      <c r="AY158" s="29"/>
      <c r="AZ158" s="29"/>
      <c r="BA158" s="29"/>
      <c r="BB158" s="29"/>
      <c r="BC158" s="29"/>
      <c r="BD158" s="29"/>
      <c r="BE158" s="29"/>
      <c r="BF158" s="29"/>
      <c r="BG158" s="29"/>
      <c r="BH158" s="29"/>
      <c r="BI158" s="29"/>
      <c r="BJ158" s="29"/>
      <c r="BK158" s="29"/>
      <c r="BL158" s="29"/>
      <c r="BM158" s="29"/>
      <c r="BN158" s="29"/>
      <c r="BO158" s="29"/>
      <c r="BP158" s="29"/>
      <c r="BQ158" s="29"/>
      <c r="BR158" s="29"/>
      <c r="BS158" s="29"/>
      <c r="BT158" s="29"/>
      <c r="BU158" s="29"/>
      <c r="BV158" s="29"/>
      <c r="BW158" s="29"/>
      <c r="BX158" s="29"/>
      <c r="BY158" s="29"/>
      <c r="BZ158" s="29"/>
      <c r="CA158" s="29"/>
      <c r="CB158" s="29"/>
      <c r="CC158" s="29"/>
      <c r="CD158" s="29"/>
      <c r="CE158" s="29"/>
      <c r="CF158" s="29"/>
      <c r="CG158" s="29"/>
      <c r="CH158" s="29"/>
      <c r="CI158" s="29"/>
      <c r="CJ158" s="29"/>
      <c r="CK158" s="29"/>
      <c r="CL158" s="29"/>
      <c r="CM158" s="29"/>
      <c r="CN158" s="29"/>
      <c r="CO158" s="29"/>
      <c r="CP158" s="29"/>
      <c r="CQ158" s="29"/>
      <c r="CR158" s="29"/>
      <c r="CS158" s="29"/>
      <c r="CT158" s="29"/>
      <c r="CU158" s="29"/>
      <c r="CV158" s="29"/>
      <c r="CW158" s="29"/>
      <c r="CX158" s="29"/>
      <c r="CY158" s="29"/>
      <c r="CZ158" s="29"/>
      <c r="DA158" s="29"/>
      <c r="DB158" s="29"/>
      <c r="DC158" s="29"/>
      <c r="DD158" s="29"/>
      <c r="DE158" s="29"/>
      <c r="DF158" s="29"/>
      <c r="DG158" s="29"/>
      <c r="DH158" s="29"/>
      <c r="DI158" s="29"/>
      <c r="DJ158" s="49"/>
      <c r="DK158" s="49"/>
      <c r="DL158" s="49"/>
      <c r="DM158" s="29"/>
      <c r="DN158" s="29"/>
      <c r="DO158" s="29"/>
      <c r="DP158" s="29"/>
      <c r="DQ158" s="29"/>
      <c r="DR158" s="29"/>
      <c r="DW158" s="24">
        <f>SUM(DW155:DW157)</f>
        <v>-24962</v>
      </c>
      <c r="DX158" s="24">
        <f>SUM(DX155:DX157)</f>
        <v>-29901</v>
      </c>
      <c r="DY158" s="24">
        <f>SUM(DY155:DY157)</f>
        <v>-36893</v>
      </c>
    </row>
    <row r="159" spans="2:129" s="24" customFormat="1" x14ac:dyDescent="0.25">
      <c r="B159" s="43" t="s">
        <v>823</v>
      </c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49"/>
      <c r="Z159" s="49"/>
      <c r="AA159" s="49"/>
      <c r="AB159" s="49"/>
      <c r="AC159" s="49"/>
      <c r="AD159" s="4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  <c r="AW159" s="29"/>
      <c r="AX159" s="29"/>
      <c r="AY159" s="29"/>
      <c r="AZ159" s="29"/>
      <c r="BA159" s="29"/>
      <c r="BB159" s="29"/>
      <c r="BC159" s="29"/>
      <c r="BD159" s="29"/>
      <c r="BE159" s="29"/>
      <c r="BF159" s="29"/>
      <c r="BG159" s="29"/>
      <c r="BH159" s="29"/>
      <c r="BI159" s="29"/>
      <c r="BJ159" s="29"/>
      <c r="BK159" s="29"/>
      <c r="BL159" s="29"/>
      <c r="BM159" s="29"/>
      <c r="BN159" s="29"/>
      <c r="BO159" s="29"/>
      <c r="BP159" s="29"/>
      <c r="BQ159" s="29"/>
      <c r="BR159" s="29"/>
      <c r="BS159" s="29"/>
      <c r="BT159" s="29"/>
      <c r="BU159" s="29"/>
      <c r="BV159" s="29"/>
      <c r="BW159" s="29"/>
      <c r="BX159" s="29"/>
      <c r="BY159" s="29"/>
      <c r="BZ159" s="29"/>
      <c r="CA159" s="29"/>
      <c r="CB159" s="29"/>
      <c r="CC159" s="29"/>
      <c r="CD159" s="29"/>
      <c r="CE159" s="29"/>
      <c r="CF159" s="29"/>
      <c r="CG159" s="29"/>
      <c r="CH159" s="29"/>
      <c r="CI159" s="29"/>
      <c r="CJ159" s="29"/>
      <c r="CK159" s="29"/>
      <c r="CL159" s="29"/>
      <c r="CM159" s="29"/>
      <c r="CN159" s="29"/>
      <c r="CO159" s="29"/>
      <c r="CP159" s="29"/>
      <c r="CQ159" s="29"/>
      <c r="CR159" s="29"/>
      <c r="CS159" s="29"/>
      <c r="CT159" s="29"/>
      <c r="CU159" s="29"/>
      <c r="CV159" s="29"/>
      <c r="CW159" s="29"/>
      <c r="CX159" s="29"/>
      <c r="CY159" s="29"/>
      <c r="CZ159" s="29"/>
      <c r="DA159" s="29"/>
      <c r="DB159" s="29"/>
      <c r="DC159" s="29"/>
      <c r="DD159" s="29"/>
      <c r="DE159" s="29"/>
      <c r="DF159" s="29"/>
      <c r="DG159" s="29"/>
      <c r="DH159" s="29"/>
      <c r="DI159" s="29"/>
      <c r="DJ159" s="49"/>
      <c r="DK159" s="49"/>
      <c r="DL159" s="49"/>
      <c r="DM159" s="29"/>
      <c r="DN159" s="29"/>
      <c r="DO159" s="29"/>
      <c r="DP159" s="29"/>
      <c r="DQ159" s="29"/>
      <c r="DR159" s="29"/>
      <c r="DW159" s="24">
        <f>+DW154+DW158</f>
        <v>44671</v>
      </c>
      <c r="DX159" s="24">
        <f>+DX154+DX158</f>
        <v>43778</v>
      </c>
      <c r="DY159" s="24">
        <f>+DY154+DY158</f>
        <v>46778</v>
      </c>
    </row>
  </sheetData>
  <phoneticPr fontId="2" type="noConversion"/>
  <hyperlinks>
    <hyperlink ref="A1" location="Main!A1" display="Main" xr:uid="{00000000-0004-0000-0200-000000000000}"/>
  </hyperlinks>
  <pageMargins left="0.75" right="0.75" top="1" bottom="1" header="0.5" footer="0.5"/>
  <pageSetup scale="15" orientation="landscape" horizontalDpi="1200" verticalDpi="1200" r:id="rId1"/>
  <headerFooter alignWithMargins="0"/>
  <ignoredErrors>
    <ignoredError sqref="H56 DC56:DE56 DM56 DH56" formulaRange="1"/>
  </ignoredError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704FF-116C-574C-BD2B-925115331106}">
  <dimension ref="A1:C7"/>
  <sheetViews>
    <sheetView zoomScale="160" zoomScaleNormal="160" workbookViewId="0">
      <selection activeCell="C3" sqref="C3"/>
    </sheetView>
  </sheetViews>
  <sheetFormatPr defaultColWidth="11.453125" defaultRowHeight="12.5" x14ac:dyDescent="0.25"/>
  <cols>
    <col min="1" max="1" width="4.81640625" bestFit="1" customWidth="1"/>
    <col min="2" max="2" width="11.81640625" customWidth="1"/>
  </cols>
  <sheetData>
    <row r="1" spans="1:3" x14ac:dyDescent="0.25">
      <c r="A1" s="28" t="s">
        <v>63</v>
      </c>
    </row>
    <row r="2" spans="1:3" x14ac:dyDescent="0.25">
      <c r="B2" s="31" t="s">
        <v>719</v>
      </c>
      <c r="C2" s="31" t="s">
        <v>750</v>
      </c>
    </row>
    <row r="3" spans="1:3" x14ac:dyDescent="0.25">
      <c r="B3" s="31" t="s">
        <v>720</v>
      </c>
      <c r="C3" s="31" t="s">
        <v>722</v>
      </c>
    </row>
    <row r="4" spans="1:3" x14ac:dyDescent="0.25">
      <c r="B4" s="31" t="s">
        <v>1</v>
      </c>
      <c r="C4" s="31" t="s">
        <v>33</v>
      </c>
    </row>
    <row r="5" spans="1:3" x14ac:dyDescent="0.25">
      <c r="B5" s="31" t="s">
        <v>721</v>
      </c>
      <c r="C5" s="31" t="s">
        <v>723</v>
      </c>
    </row>
    <row r="6" spans="1:3" x14ac:dyDescent="0.25">
      <c r="B6" s="31" t="s">
        <v>4</v>
      </c>
    </row>
    <row r="7" spans="1:3" x14ac:dyDescent="0.25">
      <c r="B7" s="31" t="s">
        <v>139</v>
      </c>
    </row>
  </sheetData>
  <hyperlinks>
    <hyperlink ref="A1" location="Main!A1" display="Main" xr:uid="{821D1F8F-96B0-674B-A39E-D42FE07F085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9"/>
  <sheetViews>
    <sheetView zoomScale="190" zoomScaleNormal="190" workbookViewId="0">
      <selection activeCell="B7" sqref="B7"/>
    </sheetView>
  </sheetViews>
  <sheetFormatPr defaultColWidth="8.81640625" defaultRowHeight="12.5" x14ac:dyDescent="0.25"/>
  <cols>
    <col min="1" max="1" width="5" bestFit="1" customWidth="1"/>
    <col min="2" max="2" width="12.81640625" bestFit="1" customWidth="1"/>
  </cols>
  <sheetData>
    <row r="1" spans="1:3" x14ac:dyDescent="0.25">
      <c r="A1" s="28" t="s">
        <v>63</v>
      </c>
    </row>
    <row r="2" spans="1:3" x14ac:dyDescent="0.25">
      <c r="B2" s="31" t="s">
        <v>64</v>
      </c>
      <c r="C2" s="31" t="s">
        <v>626</v>
      </c>
    </row>
    <row r="3" spans="1:3" x14ac:dyDescent="0.25">
      <c r="B3" s="31" t="s">
        <v>65</v>
      </c>
    </row>
    <row r="4" spans="1:3" x14ac:dyDescent="0.25">
      <c r="B4" s="31" t="s">
        <v>1</v>
      </c>
      <c r="C4" s="31" t="s">
        <v>173</v>
      </c>
    </row>
    <row r="5" spans="1:3" x14ac:dyDescent="0.25">
      <c r="B5" s="31" t="s">
        <v>140</v>
      </c>
      <c r="C5" s="31" t="s">
        <v>405</v>
      </c>
    </row>
    <row r="6" spans="1:3" x14ac:dyDescent="0.25">
      <c r="B6" s="31" t="s">
        <v>704</v>
      </c>
      <c r="C6" s="31" t="s">
        <v>705</v>
      </c>
    </row>
    <row r="7" spans="1:3" x14ac:dyDescent="0.25">
      <c r="B7" s="31" t="s">
        <v>149</v>
      </c>
      <c r="C7" s="31" t="s">
        <v>406</v>
      </c>
    </row>
    <row r="8" spans="1:3" x14ac:dyDescent="0.25">
      <c r="B8" s="31" t="s">
        <v>139</v>
      </c>
    </row>
    <row r="9" spans="1:3" ht="13" x14ac:dyDescent="0.3">
      <c r="B9" s="31"/>
      <c r="C9" s="46" t="s">
        <v>409</v>
      </c>
    </row>
    <row r="10" spans="1:3" x14ac:dyDescent="0.25">
      <c r="B10" s="31"/>
      <c r="C10" s="31" t="s">
        <v>410</v>
      </c>
    </row>
    <row r="11" spans="1:3" x14ac:dyDescent="0.25">
      <c r="B11" s="31"/>
    </row>
    <row r="12" spans="1:3" ht="13" x14ac:dyDescent="0.3">
      <c r="C12" s="46" t="s">
        <v>407</v>
      </c>
    </row>
    <row r="13" spans="1:3" x14ac:dyDescent="0.25">
      <c r="C13" s="31" t="s">
        <v>408</v>
      </c>
    </row>
    <row r="14" spans="1:3" x14ac:dyDescent="0.25">
      <c r="C14" s="31" t="s">
        <v>480</v>
      </c>
    </row>
    <row r="15" spans="1:3" x14ac:dyDescent="0.25">
      <c r="C15" s="31" t="s">
        <v>475</v>
      </c>
    </row>
    <row r="16" spans="1:3" x14ac:dyDescent="0.25">
      <c r="C16" s="31" t="s">
        <v>476</v>
      </c>
    </row>
    <row r="17" spans="3:3" x14ac:dyDescent="0.25">
      <c r="C17" s="31" t="s">
        <v>477</v>
      </c>
    </row>
    <row r="18" spans="3:3" x14ac:dyDescent="0.25">
      <c r="C18" s="31" t="s">
        <v>478</v>
      </c>
    </row>
    <row r="19" spans="3:3" x14ac:dyDescent="0.25">
      <c r="C19" s="31" t="s">
        <v>479</v>
      </c>
    </row>
  </sheetData>
  <hyperlinks>
    <hyperlink ref="A1" location="Main!A1" display="Main" xr:uid="{00000000-0004-0000-0E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2"/>
  <sheetViews>
    <sheetView zoomScale="190" zoomScaleNormal="190" workbookViewId="0">
      <selection activeCell="C14" sqref="C14"/>
    </sheetView>
  </sheetViews>
  <sheetFormatPr defaultColWidth="9.1796875" defaultRowHeight="12.5" x14ac:dyDescent="0.25"/>
  <cols>
    <col min="1" max="1" width="5" style="1" bestFit="1" customWidth="1"/>
    <col min="2" max="2" width="14" style="1" bestFit="1" customWidth="1"/>
    <col min="3" max="16384" width="9.1796875" style="1"/>
  </cols>
  <sheetData>
    <row r="1" spans="1:3" x14ac:dyDescent="0.25">
      <c r="A1" s="14" t="s">
        <v>63</v>
      </c>
    </row>
    <row r="2" spans="1:3" x14ac:dyDescent="0.25">
      <c r="A2" s="14"/>
      <c r="B2" s="1" t="s">
        <v>64</v>
      </c>
      <c r="C2" s="1" t="s">
        <v>517</v>
      </c>
    </row>
    <row r="3" spans="1:3" x14ac:dyDescent="0.25">
      <c r="A3" s="14"/>
      <c r="B3" s="1" t="s">
        <v>65</v>
      </c>
      <c r="C3" s="1" t="s">
        <v>66</v>
      </c>
    </row>
    <row r="4" spans="1:3" x14ac:dyDescent="0.25">
      <c r="A4" s="14"/>
      <c r="B4" s="1" t="s">
        <v>67</v>
      </c>
      <c r="C4" s="22" t="s">
        <v>716</v>
      </c>
    </row>
    <row r="5" spans="1:3" x14ac:dyDescent="0.25">
      <c r="A5" s="14"/>
      <c r="C5" s="22" t="s">
        <v>714</v>
      </c>
    </row>
    <row r="6" spans="1:3" x14ac:dyDescent="0.25">
      <c r="A6" s="14"/>
      <c r="C6" s="22" t="s">
        <v>715</v>
      </c>
    </row>
    <row r="7" spans="1:3" x14ac:dyDescent="0.25">
      <c r="A7" s="14"/>
      <c r="B7" s="1" t="s">
        <v>1</v>
      </c>
      <c r="C7" s="1" t="s">
        <v>29</v>
      </c>
    </row>
    <row r="8" spans="1:3" x14ac:dyDescent="0.25">
      <c r="B8" s="1" t="s">
        <v>68</v>
      </c>
      <c r="C8" s="1" t="s">
        <v>30</v>
      </c>
    </row>
    <row r="9" spans="1:3" x14ac:dyDescent="0.25">
      <c r="B9" s="1" t="s">
        <v>74</v>
      </c>
      <c r="C9" s="1" t="s">
        <v>75</v>
      </c>
    </row>
    <row r="10" spans="1:3" x14ac:dyDescent="0.25">
      <c r="B10" s="22" t="s">
        <v>77</v>
      </c>
      <c r="C10" s="22" t="s">
        <v>709</v>
      </c>
    </row>
    <row r="11" spans="1:3" x14ac:dyDescent="0.25">
      <c r="B11" s="22" t="s">
        <v>140</v>
      </c>
      <c r="C11" s="22" t="s">
        <v>711</v>
      </c>
    </row>
    <row r="12" spans="1:3" x14ac:dyDescent="0.25">
      <c r="B12" s="22"/>
      <c r="C12" s="22" t="s">
        <v>710</v>
      </c>
    </row>
    <row r="13" spans="1:3" x14ac:dyDescent="0.25">
      <c r="B13" s="22"/>
      <c r="C13" s="22" t="s">
        <v>717</v>
      </c>
    </row>
    <row r="14" spans="1:3" x14ac:dyDescent="0.25">
      <c r="B14" s="22" t="s">
        <v>4</v>
      </c>
      <c r="C14" s="22" t="s">
        <v>712</v>
      </c>
    </row>
    <row r="15" spans="1:3" x14ac:dyDescent="0.25">
      <c r="B15" s="22"/>
      <c r="C15" s="22" t="s">
        <v>713</v>
      </c>
    </row>
    <row r="16" spans="1:3" x14ac:dyDescent="0.25">
      <c r="B16" s="1" t="s">
        <v>69</v>
      </c>
      <c r="C16" s="1" t="s">
        <v>70</v>
      </c>
    </row>
    <row r="17" spans="3:3" x14ac:dyDescent="0.25">
      <c r="C17" s="1" t="s">
        <v>72</v>
      </c>
    </row>
    <row r="18" spans="3:3" x14ac:dyDescent="0.25">
      <c r="C18" s="1" t="s">
        <v>71</v>
      </c>
    </row>
    <row r="19" spans="3:3" x14ac:dyDescent="0.25">
      <c r="C19" s="1" t="s">
        <v>73</v>
      </c>
    </row>
    <row r="21" spans="3:3" ht="13" x14ac:dyDescent="0.3">
      <c r="C21" s="17" t="s">
        <v>458</v>
      </c>
    </row>
    <row r="22" spans="3:3" x14ac:dyDescent="0.25">
      <c r="C22" s="22" t="s">
        <v>459</v>
      </c>
    </row>
  </sheetData>
  <phoneticPr fontId="2" type="noConversion"/>
  <hyperlinks>
    <hyperlink ref="A1" location="Main!A1" display="Main" xr:uid="{00000000-0004-0000-0400-000000000000}"/>
  </hyperlinks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18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3" x14ac:dyDescent="0.25">
      <c r="A1" s="14" t="s">
        <v>63</v>
      </c>
    </row>
    <row r="2" spans="1:3" x14ac:dyDescent="0.25">
      <c r="B2" s="1" t="s">
        <v>64</v>
      </c>
    </row>
    <row r="3" spans="1:3" x14ac:dyDescent="0.25">
      <c r="B3" s="1" t="s">
        <v>65</v>
      </c>
      <c r="C3" s="1" t="s">
        <v>148</v>
      </c>
    </row>
    <row r="4" spans="1:3" x14ac:dyDescent="0.25">
      <c r="B4" s="1" t="s">
        <v>140</v>
      </c>
      <c r="C4" s="1" t="s">
        <v>154</v>
      </c>
    </row>
    <row r="5" spans="1:3" x14ac:dyDescent="0.25">
      <c r="B5" s="1" t="s">
        <v>1</v>
      </c>
      <c r="C5" s="1" t="s">
        <v>155</v>
      </c>
    </row>
    <row r="6" spans="1:3" x14ac:dyDescent="0.25">
      <c r="B6" s="1" t="s">
        <v>149</v>
      </c>
      <c r="C6" s="1" t="s">
        <v>27</v>
      </c>
    </row>
    <row r="7" spans="1:3" x14ac:dyDescent="0.25">
      <c r="B7" s="1" t="s">
        <v>139</v>
      </c>
    </row>
    <row r="8" spans="1:3" ht="13" x14ac:dyDescent="0.3">
      <c r="C8" s="17" t="s">
        <v>380</v>
      </c>
    </row>
    <row r="11" spans="1:3" ht="13" x14ac:dyDescent="0.3">
      <c r="C11" s="17" t="s">
        <v>381</v>
      </c>
    </row>
    <row r="12" spans="1:3" x14ac:dyDescent="0.25">
      <c r="C12" s="22" t="s">
        <v>382</v>
      </c>
    </row>
    <row r="14" spans="1:3" ht="13" x14ac:dyDescent="0.3">
      <c r="C14" s="17" t="s">
        <v>150</v>
      </c>
    </row>
    <row r="15" spans="1:3" x14ac:dyDescent="0.25">
      <c r="C15" s="1" t="s">
        <v>151</v>
      </c>
    </row>
    <row r="17" spans="3:3" ht="13" x14ac:dyDescent="0.3">
      <c r="C17" s="17" t="s">
        <v>152</v>
      </c>
    </row>
    <row r="18" spans="3:3" x14ac:dyDescent="0.25">
      <c r="C18" s="1" t="s">
        <v>153</v>
      </c>
    </row>
  </sheetData>
  <phoneticPr fontId="2" type="noConversion"/>
  <hyperlinks>
    <hyperlink ref="A1" location="Main!A1" display="Main" xr:uid="{00000000-0004-0000-1200-000000000000}"/>
  </hyperlinks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36"/>
  <sheetViews>
    <sheetView zoomScale="180" zoomScaleNormal="180" workbookViewId="0">
      <selection activeCell="C7" sqref="C7"/>
    </sheetView>
  </sheetViews>
  <sheetFormatPr defaultColWidth="9.1796875" defaultRowHeight="12.5" x14ac:dyDescent="0.2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3" x14ac:dyDescent="0.25">
      <c r="A1" s="14" t="s">
        <v>63</v>
      </c>
    </row>
    <row r="2" spans="1:3" x14ac:dyDescent="0.25">
      <c r="B2" s="1" t="s">
        <v>64</v>
      </c>
      <c r="C2" s="22" t="s">
        <v>511</v>
      </c>
    </row>
    <row r="3" spans="1:3" x14ac:dyDescent="0.25">
      <c r="B3" s="1" t="s">
        <v>65</v>
      </c>
      <c r="C3" s="1" t="s">
        <v>138</v>
      </c>
    </row>
    <row r="4" spans="1:3" x14ac:dyDescent="0.25">
      <c r="B4" s="1" t="s">
        <v>1</v>
      </c>
      <c r="C4" s="1" t="s">
        <v>168</v>
      </c>
    </row>
    <row r="5" spans="1:3" x14ac:dyDescent="0.25">
      <c r="B5" s="1" t="s">
        <v>140</v>
      </c>
      <c r="C5" s="1" t="s">
        <v>110</v>
      </c>
    </row>
    <row r="6" spans="1:3" x14ac:dyDescent="0.25">
      <c r="B6" s="1" t="s">
        <v>68</v>
      </c>
      <c r="C6" s="1" t="s">
        <v>84</v>
      </c>
    </row>
    <row r="7" spans="1:3" x14ac:dyDescent="0.25">
      <c r="B7" s="1" t="s">
        <v>149</v>
      </c>
      <c r="C7" s="22" t="s">
        <v>701</v>
      </c>
    </row>
    <row r="8" spans="1:3" x14ac:dyDescent="0.25">
      <c r="B8" s="22" t="s">
        <v>4</v>
      </c>
      <c r="C8" s="22" t="s">
        <v>698</v>
      </c>
    </row>
    <row r="9" spans="1:3" x14ac:dyDescent="0.25">
      <c r="B9" s="22"/>
      <c r="C9" s="22" t="s">
        <v>696</v>
      </c>
    </row>
    <row r="10" spans="1:3" x14ac:dyDescent="0.25">
      <c r="B10" s="22"/>
      <c r="C10" s="22" t="s">
        <v>697</v>
      </c>
    </row>
    <row r="11" spans="1:3" x14ac:dyDescent="0.25">
      <c r="B11" s="22" t="s">
        <v>699</v>
      </c>
      <c r="C11" s="22" t="s">
        <v>700</v>
      </c>
    </row>
    <row r="12" spans="1:3" x14ac:dyDescent="0.25">
      <c r="B12" s="1" t="s">
        <v>3</v>
      </c>
      <c r="C12" s="22" t="s">
        <v>702</v>
      </c>
    </row>
    <row r="13" spans="1:3" x14ac:dyDescent="0.25">
      <c r="B13" s="1" t="s">
        <v>139</v>
      </c>
    </row>
    <row r="14" spans="1:3" ht="13" x14ac:dyDescent="0.3">
      <c r="C14" s="17" t="s">
        <v>141</v>
      </c>
    </row>
    <row r="15" spans="1:3" x14ac:dyDescent="0.25">
      <c r="C15" s="1" t="s">
        <v>142</v>
      </c>
    </row>
    <row r="16" spans="1:3" x14ac:dyDescent="0.25">
      <c r="C16" s="1" t="s">
        <v>143</v>
      </c>
    </row>
    <row r="18" spans="3:3" ht="13" x14ac:dyDescent="0.3">
      <c r="C18" s="17" t="s">
        <v>144</v>
      </c>
    </row>
    <row r="21" spans="3:3" ht="13" x14ac:dyDescent="0.3">
      <c r="C21" s="17" t="s">
        <v>145</v>
      </c>
    </row>
    <row r="24" spans="3:3" ht="13" x14ac:dyDescent="0.3">
      <c r="C24" s="17" t="s">
        <v>146</v>
      </c>
    </row>
    <row r="25" spans="3:3" ht="13" x14ac:dyDescent="0.3">
      <c r="C25" s="17"/>
    </row>
    <row r="27" spans="3:3" ht="13" x14ac:dyDescent="0.3">
      <c r="C27" s="17" t="s">
        <v>147</v>
      </c>
    </row>
    <row r="31" spans="3:3" ht="13" x14ac:dyDescent="0.3">
      <c r="C31" s="18" t="s">
        <v>170</v>
      </c>
    </row>
    <row r="33" spans="3:3" ht="13" x14ac:dyDescent="0.3">
      <c r="C33" s="17" t="s">
        <v>169</v>
      </c>
    </row>
    <row r="35" spans="3:3" ht="13" x14ac:dyDescent="0.3">
      <c r="C35" s="17" t="s">
        <v>386</v>
      </c>
    </row>
    <row r="36" spans="3:3" x14ac:dyDescent="0.25">
      <c r="C36" s="22" t="s">
        <v>387</v>
      </c>
    </row>
  </sheetData>
  <phoneticPr fontId="2" type="noConversion"/>
  <hyperlinks>
    <hyperlink ref="A1" location="Main!A1" display="Main" xr:uid="{00000000-0004-0000-1100-000000000000}"/>
  </hyperlinks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DC8E4-D96F-4D90-9C99-AC25C6D81FAF}">
  <dimension ref="A1:C5"/>
  <sheetViews>
    <sheetView zoomScale="190" zoomScaleNormal="190" workbookViewId="0"/>
  </sheetViews>
  <sheetFormatPr defaultRowHeight="12.5" x14ac:dyDescent="0.25"/>
  <cols>
    <col min="1" max="1" width="5" bestFit="1" customWidth="1"/>
    <col min="2" max="2" width="9" bestFit="1" customWidth="1"/>
  </cols>
  <sheetData>
    <row r="1" spans="1:3" x14ac:dyDescent="0.25">
      <c r="A1" s="28" t="s">
        <v>63</v>
      </c>
    </row>
    <row r="2" spans="1:3" x14ac:dyDescent="0.25">
      <c r="B2" s="31" t="s">
        <v>719</v>
      </c>
      <c r="C2" s="31" t="s">
        <v>640</v>
      </c>
    </row>
    <row r="3" spans="1:3" x14ac:dyDescent="0.25">
      <c r="B3" s="31" t="s">
        <v>720</v>
      </c>
      <c r="C3" s="31" t="s">
        <v>747</v>
      </c>
    </row>
    <row r="4" spans="1:3" x14ac:dyDescent="0.25">
      <c r="B4" s="31" t="s">
        <v>1</v>
      </c>
      <c r="C4" s="31" t="s">
        <v>748</v>
      </c>
    </row>
    <row r="5" spans="1:3" x14ac:dyDescent="0.25">
      <c r="B5" s="31" t="s">
        <v>77</v>
      </c>
      <c r="C5" s="31" t="s">
        <v>749</v>
      </c>
    </row>
  </sheetData>
  <hyperlinks>
    <hyperlink ref="A1" location="Main!A1" display="Main" xr:uid="{F761E86A-7BD3-4B57-906F-46A3F70A70BE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6"/>
  <sheetViews>
    <sheetView zoomScaleNormal="100" workbookViewId="0"/>
  </sheetViews>
  <sheetFormatPr defaultColWidth="8.81640625" defaultRowHeight="12.5" x14ac:dyDescent="0.25"/>
  <cols>
    <col min="1" max="1" width="5" bestFit="1" customWidth="1"/>
    <col min="2" max="2" width="12.81640625" bestFit="1" customWidth="1"/>
  </cols>
  <sheetData>
    <row r="1" spans="1:4" x14ac:dyDescent="0.25">
      <c r="A1" s="28" t="s">
        <v>63</v>
      </c>
    </row>
    <row r="2" spans="1:4" x14ac:dyDescent="0.25">
      <c r="B2" s="31" t="s">
        <v>64</v>
      </c>
      <c r="C2" s="31" t="s">
        <v>634</v>
      </c>
      <c r="D2" s="31"/>
    </row>
    <row r="3" spans="1:4" x14ac:dyDescent="0.25">
      <c r="B3" s="31" t="s">
        <v>65</v>
      </c>
      <c r="C3" s="31" t="s">
        <v>412</v>
      </c>
    </row>
    <row r="4" spans="1:4" x14ac:dyDescent="0.25">
      <c r="B4" s="31" t="s">
        <v>1</v>
      </c>
      <c r="C4" s="31" t="s">
        <v>486</v>
      </c>
    </row>
    <row r="5" spans="1:4" x14ac:dyDescent="0.25">
      <c r="B5" s="31" t="s">
        <v>140</v>
      </c>
      <c r="C5" s="31" t="s">
        <v>633</v>
      </c>
    </row>
    <row r="6" spans="1:4" x14ac:dyDescent="0.25">
      <c r="B6" s="31" t="s">
        <v>149</v>
      </c>
      <c r="C6" s="31" t="s">
        <v>630</v>
      </c>
    </row>
    <row r="7" spans="1:4" x14ac:dyDescent="0.25">
      <c r="B7" s="31" t="s">
        <v>139</v>
      </c>
    </row>
    <row r="8" spans="1:4" ht="13" x14ac:dyDescent="0.3">
      <c r="C8" s="46" t="s">
        <v>481</v>
      </c>
    </row>
    <row r="9" spans="1:4" x14ac:dyDescent="0.25">
      <c r="C9" s="31" t="s">
        <v>482</v>
      </c>
    </row>
    <row r="10" spans="1:4" x14ac:dyDescent="0.25">
      <c r="C10" s="31"/>
    </row>
    <row r="11" spans="1:4" ht="13" x14ac:dyDescent="0.3">
      <c r="C11" s="46" t="s">
        <v>632</v>
      </c>
    </row>
    <row r="12" spans="1:4" x14ac:dyDescent="0.25">
      <c r="C12" s="31"/>
    </row>
    <row r="14" spans="1:4" ht="13" x14ac:dyDescent="0.3">
      <c r="C14" s="46" t="s">
        <v>483</v>
      </c>
    </row>
    <row r="15" spans="1:4" x14ac:dyDescent="0.25">
      <c r="C15" s="31" t="s">
        <v>484</v>
      </c>
    </row>
    <row r="16" spans="1:4" x14ac:dyDescent="0.25">
      <c r="C16" s="31" t="s">
        <v>485</v>
      </c>
    </row>
  </sheetData>
  <hyperlinks>
    <hyperlink ref="A1" location="Main!A1" display="Main" xr:uid="{00000000-0004-0000-0D00-000000000000}"/>
  </hyperlinks>
  <pageMargins left="0.7" right="0.7" top="0.75" bottom="0.75" header="0.3" footer="0.3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3" x14ac:dyDescent="0.25">
      <c r="A1" s="14" t="s">
        <v>63</v>
      </c>
    </row>
    <row r="2" spans="1:3" x14ac:dyDescent="0.25">
      <c r="B2" s="1" t="s">
        <v>64</v>
      </c>
      <c r="C2" s="1" t="s">
        <v>340</v>
      </c>
    </row>
    <row r="3" spans="1:3" x14ac:dyDescent="0.25">
      <c r="B3" s="1" t="s">
        <v>65</v>
      </c>
      <c r="C3" s="1" t="s">
        <v>288</v>
      </c>
    </row>
    <row r="4" spans="1:3" x14ac:dyDescent="0.25">
      <c r="B4" s="1" t="s">
        <v>140</v>
      </c>
      <c r="C4" s="1" t="s">
        <v>276</v>
      </c>
    </row>
    <row r="5" spans="1:3" x14ac:dyDescent="0.25">
      <c r="B5" s="1" t="s">
        <v>149</v>
      </c>
      <c r="C5" s="1" t="s">
        <v>341</v>
      </c>
    </row>
    <row r="6" spans="1:3" x14ac:dyDescent="0.25">
      <c r="B6" s="1" t="s">
        <v>1</v>
      </c>
      <c r="C6" s="1" t="s">
        <v>342</v>
      </c>
    </row>
    <row r="7" spans="1:3" x14ac:dyDescent="0.25">
      <c r="B7" s="1" t="s">
        <v>139</v>
      </c>
    </row>
    <row r="8" spans="1:3" ht="13" x14ac:dyDescent="0.3">
      <c r="C8" s="17" t="s">
        <v>289</v>
      </c>
    </row>
    <row r="9" spans="1:3" x14ac:dyDescent="0.25">
      <c r="C9" s="1" t="s">
        <v>290</v>
      </c>
    </row>
  </sheetData>
  <phoneticPr fontId="2" type="noConversion"/>
  <hyperlinks>
    <hyperlink ref="A1" location="Main!A1" display="Main" xr:uid="{00000000-0004-0000-0500-000000000000}"/>
  </hyperlinks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6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3" x14ac:dyDescent="0.25">
      <c r="A1" s="14" t="s">
        <v>63</v>
      </c>
    </row>
    <row r="2" spans="1:3" x14ac:dyDescent="0.25">
      <c r="B2" s="1" t="s">
        <v>64</v>
      </c>
      <c r="C2" s="1" t="s">
        <v>6</v>
      </c>
    </row>
    <row r="3" spans="1:3" x14ac:dyDescent="0.25">
      <c r="B3" s="1" t="s">
        <v>65</v>
      </c>
      <c r="C3" s="22" t="s">
        <v>272</v>
      </c>
    </row>
    <row r="4" spans="1:3" x14ac:dyDescent="0.25">
      <c r="B4" s="1" t="s">
        <v>1</v>
      </c>
      <c r="C4" s="22" t="s">
        <v>202</v>
      </c>
    </row>
    <row r="5" spans="1:3" x14ac:dyDescent="0.25">
      <c r="C5" s="22" t="s">
        <v>203</v>
      </c>
    </row>
    <row r="6" spans="1:3" x14ac:dyDescent="0.25">
      <c r="B6" s="1" t="s">
        <v>140</v>
      </c>
      <c r="C6" s="22" t="s">
        <v>201</v>
      </c>
    </row>
    <row r="7" spans="1:3" x14ac:dyDescent="0.25">
      <c r="B7" s="1" t="s">
        <v>198</v>
      </c>
      <c r="C7" s="22" t="s">
        <v>199</v>
      </c>
    </row>
    <row r="8" spans="1:3" x14ac:dyDescent="0.25">
      <c r="B8" s="1" t="s">
        <v>3</v>
      </c>
      <c r="C8" s="22" t="s">
        <v>200</v>
      </c>
    </row>
    <row r="9" spans="1:3" x14ac:dyDescent="0.25">
      <c r="B9" s="1" t="s">
        <v>4</v>
      </c>
      <c r="C9" s="1" t="s">
        <v>85</v>
      </c>
    </row>
    <row r="10" spans="1:3" x14ac:dyDescent="0.25">
      <c r="C10" s="1" t="s">
        <v>212</v>
      </c>
    </row>
    <row r="11" spans="1:3" x14ac:dyDescent="0.25">
      <c r="C11" s="1" t="s">
        <v>15</v>
      </c>
    </row>
    <row r="12" spans="1:3" x14ac:dyDescent="0.25">
      <c r="C12" s="1" t="s">
        <v>16</v>
      </c>
    </row>
    <row r="13" spans="1:3" x14ac:dyDescent="0.25">
      <c r="C13" s="1" t="s">
        <v>17</v>
      </c>
    </row>
    <row r="14" spans="1:3" x14ac:dyDescent="0.25">
      <c r="C14" s="1" t="s">
        <v>18</v>
      </c>
    </row>
    <row r="15" spans="1:3" x14ac:dyDescent="0.25">
      <c r="C15" s="1" t="s">
        <v>19</v>
      </c>
    </row>
    <row r="16" spans="1:3" x14ac:dyDescent="0.25">
      <c r="C16" s="1" t="s">
        <v>20</v>
      </c>
    </row>
    <row r="17" spans="2:3" x14ac:dyDescent="0.25">
      <c r="C17" s="1" t="s">
        <v>21</v>
      </c>
    </row>
    <row r="18" spans="2:3" x14ac:dyDescent="0.25">
      <c r="C18" s="1" t="s">
        <v>22</v>
      </c>
    </row>
    <row r="19" spans="2:3" x14ac:dyDescent="0.25">
      <c r="C19" s="1" t="s">
        <v>23</v>
      </c>
    </row>
    <row r="20" spans="2:3" x14ac:dyDescent="0.25">
      <c r="C20" s="1" t="s">
        <v>24</v>
      </c>
    </row>
    <row r="21" spans="2:3" x14ac:dyDescent="0.25">
      <c r="C21" s="1" t="s">
        <v>25</v>
      </c>
    </row>
    <row r="22" spans="2:3" x14ac:dyDescent="0.25">
      <c r="C22" s="1" t="s">
        <v>26</v>
      </c>
    </row>
    <row r="23" spans="2:3" x14ac:dyDescent="0.25">
      <c r="C23" s="1" t="s">
        <v>165</v>
      </c>
    </row>
    <row r="24" spans="2:3" x14ac:dyDescent="0.25">
      <c r="B24" s="22" t="s">
        <v>139</v>
      </c>
    </row>
    <row r="25" spans="2:3" ht="13" x14ac:dyDescent="0.3">
      <c r="C25" s="17" t="s">
        <v>359</v>
      </c>
    </row>
    <row r="26" spans="2:3" x14ac:dyDescent="0.25">
      <c r="C26" s="22" t="s">
        <v>360</v>
      </c>
    </row>
  </sheetData>
  <phoneticPr fontId="2" type="noConversion"/>
  <hyperlinks>
    <hyperlink ref="A1" location="Main!A1" display="Main" xr:uid="{00000000-0004-0000-0300-000000000000}"/>
  </hyperlinks>
  <pageMargins left="0.75" right="0.75" top="1" bottom="1" header="0.5" footer="0.5"/>
  <pageSetup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1.26953125" style="1" bestFit="1" customWidth="1"/>
    <col min="3" max="16384" width="9.1796875" style="1"/>
  </cols>
  <sheetData>
    <row r="1" spans="1:5" x14ac:dyDescent="0.25">
      <c r="A1" s="14" t="s">
        <v>63</v>
      </c>
    </row>
    <row r="2" spans="1:5" x14ac:dyDescent="0.25">
      <c r="B2" s="1" t="s">
        <v>64</v>
      </c>
      <c r="C2" s="1" t="s">
        <v>8</v>
      </c>
    </row>
    <row r="3" spans="1:5" x14ac:dyDescent="0.25">
      <c r="B3" s="1" t="s">
        <v>1</v>
      </c>
      <c r="C3" s="1" t="s">
        <v>33</v>
      </c>
    </row>
    <row r="4" spans="1:5" x14ac:dyDescent="0.25">
      <c r="B4" s="1" t="s">
        <v>194</v>
      </c>
      <c r="C4" s="7"/>
      <c r="D4" s="7" t="s">
        <v>196</v>
      </c>
      <c r="E4" s="7" t="s">
        <v>195</v>
      </c>
    </row>
    <row r="5" spans="1:5" x14ac:dyDescent="0.25">
      <c r="C5" s="16">
        <v>39234</v>
      </c>
      <c r="D5" s="20">
        <v>99681</v>
      </c>
      <c r="E5" s="20">
        <v>53825</v>
      </c>
    </row>
    <row r="6" spans="1:5" x14ac:dyDescent="0.25">
      <c r="C6" s="16">
        <f>C5-7</f>
        <v>39227</v>
      </c>
      <c r="D6" s="20">
        <v>105466</v>
      </c>
      <c r="E6" s="20">
        <v>59149</v>
      </c>
    </row>
    <row r="7" spans="1:5" x14ac:dyDescent="0.25">
      <c r="C7" s="16">
        <f>C5-365</f>
        <v>38869</v>
      </c>
      <c r="D7" s="20">
        <v>90191</v>
      </c>
      <c r="E7" s="20">
        <v>48972</v>
      </c>
    </row>
  </sheetData>
  <phoneticPr fontId="2" type="noConversion"/>
  <hyperlinks>
    <hyperlink ref="A1" location="Main!A1" display="Main" xr:uid="{00000000-0004-0000-0600-000000000000}"/>
  </hyperlinks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9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3.453125" style="1" customWidth="1"/>
    <col min="3" max="16384" width="9.1796875" style="1"/>
  </cols>
  <sheetData>
    <row r="1" spans="1:3" x14ac:dyDescent="0.25">
      <c r="A1" s="14" t="s">
        <v>63</v>
      </c>
    </row>
    <row r="2" spans="1:3" x14ac:dyDescent="0.25">
      <c r="B2" s="1" t="s">
        <v>64</v>
      </c>
      <c r="C2" s="1" t="s">
        <v>9</v>
      </c>
    </row>
    <row r="3" spans="1:3" x14ac:dyDescent="0.25">
      <c r="B3" s="1" t="s">
        <v>65</v>
      </c>
      <c r="C3" s="1" t="s">
        <v>258</v>
      </c>
    </row>
    <row r="4" spans="1:3" x14ac:dyDescent="0.25">
      <c r="B4" s="1" t="s">
        <v>1</v>
      </c>
      <c r="C4" s="1" t="s">
        <v>32</v>
      </c>
    </row>
    <row r="5" spans="1:3" x14ac:dyDescent="0.25">
      <c r="B5" s="1" t="s">
        <v>4</v>
      </c>
      <c r="C5" s="1" t="s">
        <v>262</v>
      </c>
    </row>
    <row r="6" spans="1:3" x14ac:dyDescent="0.25">
      <c r="B6" s="1" t="s">
        <v>260</v>
      </c>
      <c r="C6" s="1" t="s">
        <v>261</v>
      </c>
    </row>
    <row r="7" spans="1:3" x14ac:dyDescent="0.25">
      <c r="B7" s="1" t="s">
        <v>3</v>
      </c>
      <c r="C7" s="1" t="s">
        <v>265</v>
      </c>
    </row>
    <row r="8" spans="1:3" x14ac:dyDescent="0.25">
      <c r="B8" s="1" t="s">
        <v>263</v>
      </c>
      <c r="C8" s="1" t="s">
        <v>264</v>
      </c>
    </row>
    <row r="9" spans="1:3" x14ac:dyDescent="0.25">
      <c r="B9" s="1" t="s">
        <v>139</v>
      </c>
    </row>
  </sheetData>
  <phoneticPr fontId="2" type="noConversion"/>
  <hyperlinks>
    <hyperlink ref="A1" location="Main!A1" display="Main" xr:uid="{00000000-0004-0000-0700-000000000000}"/>
  </hyperlinks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58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2.81640625" style="1" customWidth="1"/>
    <col min="3" max="16384" width="9.1796875" style="1"/>
  </cols>
  <sheetData>
    <row r="1" spans="1:3" x14ac:dyDescent="0.25">
      <c r="A1" s="14" t="s">
        <v>63</v>
      </c>
    </row>
    <row r="2" spans="1:3" x14ac:dyDescent="0.25">
      <c r="B2" s="1" t="s">
        <v>64</v>
      </c>
      <c r="C2" s="1" t="s">
        <v>117</v>
      </c>
    </row>
    <row r="3" spans="1:3" x14ac:dyDescent="0.25">
      <c r="B3" s="1" t="s">
        <v>65</v>
      </c>
      <c r="C3" s="1" t="s">
        <v>76</v>
      </c>
    </row>
    <row r="4" spans="1:3" x14ac:dyDescent="0.25">
      <c r="B4" s="1" t="s">
        <v>1</v>
      </c>
      <c r="C4" s="1" t="s">
        <v>124</v>
      </c>
    </row>
    <row r="5" spans="1:3" x14ac:dyDescent="0.25">
      <c r="B5" s="1" t="s">
        <v>3</v>
      </c>
      <c r="C5" s="1" t="s">
        <v>133</v>
      </c>
    </row>
    <row r="6" spans="1:3" x14ac:dyDescent="0.25">
      <c r="B6" s="1" t="s">
        <v>125</v>
      </c>
      <c r="C6" s="1" t="s">
        <v>126</v>
      </c>
    </row>
    <row r="7" spans="1:3" x14ac:dyDescent="0.25">
      <c r="B7" s="1" t="s">
        <v>122</v>
      </c>
      <c r="C7" s="1" t="s">
        <v>123</v>
      </c>
    </row>
    <row r="8" spans="1:3" x14ac:dyDescent="0.25">
      <c r="B8" s="22" t="s">
        <v>4</v>
      </c>
      <c r="C8" s="22" t="s">
        <v>383</v>
      </c>
    </row>
    <row r="9" spans="1:3" x14ac:dyDescent="0.25">
      <c r="B9" s="1" t="s">
        <v>77</v>
      </c>
      <c r="C9" s="1" t="s">
        <v>134</v>
      </c>
    </row>
    <row r="11" spans="1:3" ht="13" x14ac:dyDescent="0.3">
      <c r="C11" s="17" t="s">
        <v>384</v>
      </c>
    </row>
    <row r="12" spans="1:3" x14ac:dyDescent="0.25">
      <c r="C12" s="22" t="s">
        <v>385</v>
      </c>
    </row>
    <row r="14" spans="1:3" ht="13" x14ac:dyDescent="0.3">
      <c r="C14" s="17" t="s">
        <v>41</v>
      </c>
    </row>
    <row r="15" spans="1:3" x14ac:dyDescent="0.25">
      <c r="C15" s="1" t="s">
        <v>38</v>
      </c>
    </row>
    <row r="16" spans="1:3" x14ac:dyDescent="0.25">
      <c r="C16" s="1" t="s">
        <v>39</v>
      </c>
    </row>
    <row r="17" spans="3:3" x14ac:dyDescent="0.25">
      <c r="C17" s="1" t="s">
        <v>40</v>
      </c>
    </row>
    <row r="19" spans="3:3" ht="13" x14ac:dyDescent="0.3">
      <c r="C19" s="17" t="s">
        <v>129</v>
      </c>
    </row>
    <row r="20" spans="3:3" x14ac:dyDescent="0.25">
      <c r="C20" s="1" t="s">
        <v>46</v>
      </c>
    </row>
    <row r="21" spans="3:3" x14ac:dyDescent="0.25">
      <c r="C21" s="1" t="s">
        <v>49</v>
      </c>
    </row>
    <row r="22" spans="3:3" x14ac:dyDescent="0.25">
      <c r="C22" s="1" t="s">
        <v>50</v>
      </c>
    </row>
    <row r="24" spans="3:3" ht="13" x14ac:dyDescent="0.3">
      <c r="C24" s="17" t="s">
        <v>130</v>
      </c>
    </row>
    <row r="25" spans="3:3" x14ac:dyDescent="0.25">
      <c r="C25" s="1" t="s">
        <v>78</v>
      </c>
    </row>
    <row r="26" spans="3:3" x14ac:dyDescent="0.25">
      <c r="C26" s="1" t="s">
        <v>51</v>
      </c>
    </row>
    <row r="27" spans="3:3" x14ac:dyDescent="0.25">
      <c r="C27" s="1" t="s">
        <v>52</v>
      </c>
    </row>
    <row r="29" spans="3:3" x14ac:dyDescent="0.25">
      <c r="C29" s="1" t="s">
        <v>48</v>
      </c>
    </row>
    <row r="31" spans="3:3" x14ac:dyDescent="0.25">
      <c r="C31" s="1" t="s">
        <v>47</v>
      </c>
    </row>
    <row r="33" spans="3:3" x14ac:dyDescent="0.25">
      <c r="C33" s="1" t="s">
        <v>59</v>
      </c>
    </row>
    <row r="34" spans="3:3" x14ac:dyDescent="0.25">
      <c r="C34" s="1" t="s">
        <v>60</v>
      </c>
    </row>
    <row r="35" spans="3:3" x14ac:dyDescent="0.25">
      <c r="C35" s="1" t="s">
        <v>61</v>
      </c>
    </row>
    <row r="37" spans="3:3" x14ac:dyDescent="0.25">
      <c r="C37" s="1" t="s">
        <v>79</v>
      </c>
    </row>
    <row r="38" spans="3:3" x14ac:dyDescent="0.25">
      <c r="C38" s="1" t="s">
        <v>80</v>
      </c>
    </row>
    <row r="40" spans="3:3" ht="13" x14ac:dyDescent="0.3">
      <c r="C40" s="17" t="s">
        <v>118</v>
      </c>
    </row>
    <row r="42" spans="3:3" ht="13" x14ac:dyDescent="0.3">
      <c r="C42" s="17" t="s">
        <v>119</v>
      </c>
    </row>
    <row r="44" spans="3:3" ht="13" x14ac:dyDescent="0.3">
      <c r="C44" s="17" t="s">
        <v>120</v>
      </c>
    </row>
    <row r="46" spans="3:3" ht="13" x14ac:dyDescent="0.3">
      <c r="C46" s="17" t="s">
        <v>121</v>
      </c>
    </row>
    <row r="48" spans="3:3" ht="13" x14ac:dyDescent="0.3">
      <c r="C48" s="17" t="s">
        <v>127</v>
      </c>
    </row>
    <row r="50" spans="3:3" ht="13" x14ac:dyDescent="0.3">
      <c r="C50" s="17" t="s">
        <v>128</v>
      </c>
    </row>
    <row r="52" spans="3:3" ht="13" x14ac:dyDescent="0.3">
      <c r="C52" s="17" t="s">
        <v>131</v>
      </c>
    </row>
    <row r="54" spans="3:3" ht="13" x14ac:dyDescent="0.3">
      <c r="C54" s="17" t="s">
        <v>132</v>
      </c>
    </row>
    <row r="57" spans="3:3" ht="13" x14ac:dyDescent="0.3">
      <c r="C57" s="17" t="s">
        <v>221</v>
      </c>
    </row>
    <row r="58" spans="3:3" x14ac:dyDescent="0.25">
      <c r="C58" s="1" t="s">
        <v>222</v>
      </c>
    </row>
  </sheetData>
  <phoneticPr fontId="2" type="noConversion"/>
  <hyperlinks>
    <hyperlink ref="A1" location="Main!A1" display="Main" xr:uid="{00000000-0004-0000-0900-000000000000}"/>
  </hyperlink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15"/>
  <sheetViews>
    <sheetView workbookViewId="0">
      <selection activeCell="C15" sqref="C15"/>
    </sheetView>
  </sheetViews>
  <sheetFormatPr defaultColWidth="9.1796875" defaultRowHeight="12.5" x14ac:dyDescent="0.25"/>
  <cols>
    <col min="1" max="1" width="5" style="1" bestFit="1" customWidth="1"/>
    <col min="2" max="2" width="13.26953125" style="1" customWidth="1"/>
    <col min="3" max="16384" width="9.1796875" style="1"/>
  </cols>
  <sheetData>
    <row r="1" spans="1:3" x14ac:dyDescent="0.25">
      <c r="A1" s="14" t="s">
        <v>63</v>
      </c>
    </row>
    <row r="2" spans="1:3" x14ac:dyDescent="0.25">
      <c r="B2" s="1" t="s">
        <v>64</v>
      </c>
      <c r="C2" s="1" t="s">
        <v>10</v>
      </c>
    </row>
    <row r="3" spans="1:3" x14ac:dyDescent="0.25">
      <c r="B3" s="1" t="s">
        <v>65</v>
      </c>
      <c r="C3" s="1" t="s">
        <v>216</v>
      </c>
    </row>
    <row r="4" spans="1:3" x14ac:dyDescent="0.25">
      <c r="B4" s="1" t="s">
        <v>149</v>
      </c>
      <c r="C4" s="1" t="s">
        <v>217</v>
      </c>
    </row>
    <row r="5" spans="1:3" x14ac:dyDescent="0.25">
      <c r="B5" s="1" t="s">
        <v>139</v>
      </c>
    </row>
    <row r="6" spans="1:3" ht="13" x14ac:dyDescent="0.3">
      <c r="C6" s="17" t="s">
        <v>231</v>
      </c>
    </row>
    <row r="7" spans="1:3" x14ac:dyDescent="0.25">
      <c r="C7" s="22" t="s">
        <v>229</v>
      </c>
    </row>
    <row r="8" spans="1:3" x14ac:dyDescent="0.25">
      <c r="C8" s="22" t="s">
        <v>230</v>
      </c>
    </row>
    <row r="10" spans="1:3" ht="13" x14ac:dyDescent="0.3">
      <c r="C10" s="17" t="s">
        <v>219</v>
      </c>
    </row>
    <row r="11" spans="1:3" x14ac:dyDescent="0.25">
      <c r="C11" s="1" t="s">
        <v>218</v>
      </c>
    </row>
    <row r="13" spans="1:3" ht="13" x14ac:dyDescent="0.3">
      <c r="C13" s="17" t="s">
        <v>232</v>
      </c>
    </row>
    <row r="14" spans="1:3" x14ac:dyDescent="0.25">
      <c r="C14" s="1" t="s">
        <v>234</v>
      </c>
    </row>
    <row r="15" spans="1:3" x14ac:dyDescent="0.25">
      <c r="C15" s="1" t="s">
        <v>233</v>
      </c>
    </row>
  </sheetData>
  <phoneticPr fontId="2" type="noConversion"/>
  <hyperlinks>
    <hyperlink ref="A1" location="Main!A1" display="Main" xr:uid="{00000000-0004-0000-1000-000000000000}"/>
  </hyperlinks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4"/>
  <sheetViews>
    <sheetView workbookViewId="0"/>
  </sheetViews>
  <sheetFormatPr defaultColWidth="8.81640625" defaultRowHeight="12.5" x14ac:dyDescent="0.25"/>
  <cols>
    <col min="1" max="1" width="5" bestFit="1" customWidth="1"/>
    <col min="2" max="2" width="12.81640625" bestFit="1" customWidth="1"/>
  </cols>
  <sheetData>
    <row r="1" spans="1:3" x14ac:dyDescent="0.25">
      <c r="A1" s="28" t="s">
        <v>63</v>
      </c>
    </row>
    <row r="2" spans="1:3" x14ac:dyDescent="0.25">
      <c r="B2" t="s">
        <v>64</v>
      </c>
      <c r="C2" t="s">
        <v>351</v>
      </c>
    </row>
    <row r="3" spans="1:3" x14ac:dyDescent="0.25">
      <c r="B3" t="s">
        <v>65</v>
      </c>
      <c r="C3" t="s">
        <v>245</v>
      </c>
    </row>
    <row r="4" spans="1:3" x14ac:dyDescent="0.25">
      <c r="B4" t="s">
        <v>352</v>
      </c>
      <c r="C4" s="31" t="s">
        <v>361</v>
      </c>
    </row>
  </sheetData>
  <hyperlinks>
    <hyperlink ref="A1" location="Main!A1" display="Main" xr:uid="{00000000-0004-0000-0C00-00000000000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1"/>
  <sheetViews>
    <sheetView workbookViewId="0">
      <selection activeCell="C6" sqref="C6"/>
    </sheetView>
  </sheetViews>
  <sheetFormatPr defaultColWidth="9.1796875" defaultRowHeight="12.5" x14ac:dyDescent="0.25"/>
  <cols>
    <col min="1" max="1" width="5" style="1" bestFit="1" customWidth="1"/>
    <col min="2" max="2" width="13.453125" style="1" customWidth="1"/>
    <col min="3" max="16384" width="9.1796875" style="1"/>
  </cols>
  <sheetData>
    <row r="1" spans="1:3" x14ac:dyDescent="0.25">
      <c r="A1" s="14" t="s">
        <v>63</v>
      </c>
    </row>
    <row r="2" spans="1:3" x14ac:dyDescent="0.25">
      <c r="B2" s="1" t="s">
        <v>64</v>
      </c>
      <c r="C2" s="1" t="s">
        <v>89</v>
      </c>
    </row>
    <row r="3" spans="1:3" x14ac:dyDescent="0.25">
      <c r="B3" s="1" t="s">
        <v>65</v>
      </c>
      <c r="C3" s="1" t="s">
        <v>267</v>
      </c>
    </row>
    <row r="4" spans="1:3" x14ac:dyDescent="0.25">
      <c r="B4" s="1" t="s">
        <v>1</v>
      </c>
      <c r="C4" s="1" t="s">
        <v>32</v>
      </c>
    </row>
    <row r="5" spans="1:3" x14ac:dyDescent="0.25">
      <c r="B5" s="1" t="s">
        <v>4</v>
      </c>
      <c r="C5" s="1" t="s">
        <v>270</v>
      </c>
    </row>
    <row r="6" spans="1:3" x14ac:dyDescent="0.25">
      <c r="B6" s="1" t="s">
        <v>260</v>
      </c>
    </row>
    <row r="7" spans="1:3" x14ac:dyDescent="0.25">
      <c r="B7" s="1" t="s">
        <v>149</v>
      </c>
    </row>
    <row r="8" spans="1:3" x14ac:dyDescent="0.25">
      <c r="B8" s="1" t="s">
        <v>3</v>
      </c>
    </row>
    <row r="9" spans="1:3" x14ac:dyDescent="0.25">
      <c r="B9" s="1" t="s">
        <v>109</v>
      </c>
      <c r="C9" s="1" t="s">
        <v>269</v>
      </c>
    </row>
    <row r="10" spans="1:3" x14ac:dyDescent="0.25">
      <c r="B10" s="1" t="s">
        <v>263</v>
      </c>
    </row>
    <row r="11" spans="1:3" x14ac:dyDescent="0.25">
      <c r="B11" s="1" t="s">
        <v>139</v>
      </c>
    </row>
  </sheetData>
  <phoneticPr fontId="2" type="noConversion"/>
  <hyperlinks>
    <hyperlink ref="A1" location="Main!A1" display="Main" xr:uid="{00000000-0004-0000-0800-000000000000}"/>
  </hyperlinks>
  <pageMargins left="0.75" right="0.75" top="1" bottom="1" header="0.5" footer="0.5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1"/>
  <sheetViews>
    <sheetView zoomScale="125" workbookViewId="0">
      <selection activeCell="H18" sqref="H18"/>
    </sheetView>
  </sheetViews>
  <sheetFormatPr defaultColWidth="9.1796875" defaultRowHeight="12.5" x14ac:dyDescent="0.25"/>
  <cols>
    <col min="1" max="1" width="5" style="1" bestFit="1" customWidth="1"/>
    <col min="2" max="2" width="13.81640625" style="1" customWidth="1"/>
    <col min="3" max="16384" width="9.1796875" style="1"/>
  </cols>
  <sheetData>
    <row r="1" spans="1:3" x14ac:dyDescent="0.25">
      <c r="A1" s="14" t="s">
        <v>63</v>
      </c>
    </row>
    <row r="2" spans="1:3" x14ac:dyDescent="0.25">
      <c r="B2" s="1" t="s">
        <v>64</v>
      </c>
      <c r="C2" s="22" t="s">
        <v>467</v>
      </c>
    </row>
    <row r="3" spans="1:3" x14ac:dyDescent="0.25">
      <c r="B3" s="1" t="s">
        <v>65</v>
      </c>
      <c r="C3" s="22" t="s">
        <v>464</v>
      </c>
    </row>
    <row r="4" spans="1:3" x14ac:dyDescent="0.25">
      <c r="B4" s="1" t="s">
        <v>149</v>
      </c>
      <c r="C4" s="1" t="s">
        <v>158</v>
      </c>
    </row>
    <row r="5" spans="1:3" x14ac:dyDescent="0.25">
      <c r="B5" s="22" t="s">
        <v>140</v>
      </c>
      <c r="C5" s="22" t="s">
        <v>469</v>
      </c>
    </row>
    <row r="6" spans="1:3" x14ac:dyDescent="0.25">
      <c r="B6" s="22" t="s">
        <v>352</v>
      </c>
      <c r="C6" s="22" t="s">
        <v>468</v>
      </c>
    </row>
    <row r="7" spans="1:3" x14ac:dyDescent="0.25">
      <c r="B7" s="22" t="s">
        <v>122</v>
      </c>
      <c r="C7" s="22" t="s">
        <v>470</v>
      </c>
    </row>
    <row r="8" spans="1:3" x14ac:dyDescent="0.25">
      <c r="B8" s="22"/>
      <c r="C8" s="22" t="s">
        <v>472</v>
      </c>
    </row>
    <row r="9" spans="1:3" x14ac:dyDescent="0.25">
      <c r="B9" s="22"/>
      <c r="C9" s="22" t="s">
        <v>471</v>
      </c>
    </row>
    <row r="10" spans="1:3" x14ac:dyDescent="0.25">
      <c r="B10" s="1" t="s">
        <v>139</v>
      </c>
    </row>
    <row r="11" spans="1:3" ht="13" x14ac:dyDescent="0.3">
      <c r="C11" s="17" t="s">
        <v>348</v>
      </c>
    </row>
    <row r="12" spans="1:3" x14ac:dyDescent="0.25">
      <c r="C12" s="22" t="s">
        <v>349</v>
      </c>
    </row>
    <row r="13" spans="1:3" x14ac:dyDescent="0.25">
      <c r="C13" s="22" t="s">
        <v>350</v>
      </c>
    </row>
    <row r="14" spans="1:3" x14ac:dyDescent="0.25">
      <c r="C14" s="22"/>
    </row>
    <row r="15" spans="1:3" ht="13" x14ac:dyDescent="0.3">
      <c r="C15" s="17" t="s">
        <v>224</v>
      </c>
    </row>
    <row r="16" spans="1:3" x14ac:dyDescent="0.25">
      <c r="C16" s="1" t="s">
        <v>225</v>
      </c>
    </row>
    <row r="18" spans="3:3" ht="13" x14ac:dyDescent="0.3">
      <c r="C18" s="17" t="s">
        <v>344</v>
      </c>
    </row>
    <row r="19" spans="3:3" x14ac:dyDescent="0.25">
      <c r="C19" s="30" t="s">
        <v>345</v>
      </c>
    </row>
    <row r="20" spans="3:3" x14ac:dyDescent="0.25">
      <c r="C20" s="22" t="s">
        <v>346</v>
      </c>
    </row>
    <row r="21" spans="3:3" x14ac:dyDescent="0.25">
      <c r="C21" s="22" t="s">
        <v>347</v>
      </c>
    </row>
  </sheetData>
  <phoneticPr fontId="2" type="noConversion"/>
  <hyperlinks>
    <hyperlink ref="A1" location="Main!A1" display="Main" xr:uid="{00000000-0004-0000-0B00-000000000000}"/>
  </hyperlinks>
  <pageMargins left="0.75" right="0.75" top="1" bottom="1" header="0.5" footer="0.5"/>
  <pageSetup orientation="portrait" horizontalDpi="4294967292" verticalDpi="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0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4.26953125" style="1" customWidth="1"/>
    <col min="3" max="16384" width="9.1796875" style="1"/>
  </cols>
  <sheetData>
    <row r="1" spans="1:3" x14ac:dyDescent="0.25">
      <c r="A1" s="14" t="s">
        <v>63</v>
      </c>
    </row>
    <row r="2" spans="1:3" x14ac:dyDescent="0.25">
      <c r="A2" s="14"/>
      <c r="B2" s="1" t="s">
        <v>64</v>
      </c>
      <c r="C2" s="1" t="s">
        <v>187</v>
      </c>
    </row>
    <row r="3" spans="1:3" x14ac:dyDescent="0.25">
      <c r="B3" s="1" t="s">
        <v>65</v>
      </c>
      <c r="C3" s="1" t="s">
        <v>184</v>
      </c>
    </row>
    <row r="4" spans="1:3" x14ac:dyDescent="0.25">
      <c r="B4" s="1" t="s">
        <v>1</v>
      </c>
      <c r="C4" s="1" t="s">
        <v>185</v>
      </c>
    </row>
    <row r="5" spans="1:3" x14ac:dyDescent="0.25">
      <c r="B5" s="1" t="s">
        <v>140</v>
      </c>
      <c r="C5" s="1" t="s">
        <v>186</v>
      </c>
    </row>
    <row r="6" spans="1:3" x14ac:dyDescent="0.25">
      <c r="C6" s="1" t="s">
        <v>34</v>
      </c>
    </row>
    <row r="7" spans="1:3" x14ac:dyDescent="0.25">
      <c r="C7" s="1" t="s">
        <v>54</v>
      </c>
    </row>
    <row r="8" spans="1:3" x14ac:dyDescent="0.25">
      <c r="B8" s="1" t="s">
        <v>139</v>
      </c>
    </row>
    <row r="9" spans="1:3" x14ac:dyDescent="0.25">
      <c r="C9" s="21" t="s">
        <v>35</v>
      </c>
    </row>
    <row r="10" spans="1:3" x14ac:dyDescent="0.25">
      <c r="C10" s="1" t="s">
        <v>36</v>
      </c>
    </row>
    <row r="11" spans="1:3" x14ac:dyDescent="0.25">
      <c r="C11" s="1" t="s">
        <v>37</v>
      </c>
    </row>
    <row r="12" spans="1:3" x14ac:dyDescent="0.25">
      <c r="C12" s="1" t="s">
        <v>53</v>
      </c>
    </row>
    <row r="14" spans="1:3" ht="13" x14ac:dyDescent="0.3">
      <c r="C14" s="17" t="s">
        <v>188</v>
      </c>
    </row>
    <row r="15" spans="1:3" x14ac:dyDescent="0.25">
      <c r="C15" s="1" t="s">
        <v>189</v>
      </c>
    </row>
    <row r="17" spans="3:3" x14ac:dyDescent="0.25">
      <c r="C17" s="1" t="s">
        <v>55</v>
      </c>
    </row>
    <row r="18" spans="3:3" x14ac:dyDescent="0.25">
      <c r="C18" s="1" t="s">
        <v>56</v>
      </c>
    </row>
    <row r="19" spans="3:3" x14ac:dyDescent="0.25">
      <c r="C19" s="1" t="s">
        <v>57</v>
      </c>
    </row>
    <row r="20" spans="3:3" x14ac:dyDescent="0.25">
      <c r="C20" s="1" t="s">
        <v>58</v>
      </c>
    </row>
  </sheetData>
  <phoneticPr fontId="2" type="noConversion"/>
  <hyperlinks>
    <hyperlink ref="A1" location="Main!A1" display="Main" xr:uid="{00000000-0004-0000-0A00-000000000000}"/>
  </hyperlinks>
  <pageMargins left="0.75" right="0.75" top="1" bottom="1" header="0.5" footer="0.5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1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2" style="1" bestFit="1" customWidth="1"/>
    <col min="3" max="16384" width="9.1796875" style="1"/>
  </cols>
  <sheetData>
    <row r="1" spans="1:3" x14ac:dyDescent="0.25">
      <c r="A1" s="14" t="s">
        <v>63</v>
      </c>
    </row>
    <row r="2" spans="1:3" x14ac:dyDescent="0.25">
      <c r="B2" s="1" t="s">
        <v>64</v>
      </c>
      <c r="C2" s="1" t="s">
        <v>253</v>
      </c>
    </row>
    <row r="3" spans="1:3" x14ac:dyDescent="0.25">
      <c r="B3" s="1" t="s">
        <v>1</v>
      </c>
      <c r="C3" s="1" t="s">
        <v>254</v>
      </c>
    </row>
    <row r="4" spans="1:3" x14ac:dyDescent="0.25">
      <c r="B4" s="1" t="s">
        <v>140</v>
      </c>
      <c r="C4" s="1" t="s">
        <v>255</v>
      </c>
    </row>
    <row r="5" spans="1:3" x14ac:dyDescent="0.25">
      <c r="B5" s="1" t="s">
        <v>139</v>
      </c>
    </row>
    <row r="6" spans="1:3" ht="13" x14ac:dyDescent="0.3">
      <c r="C6" s="17" t="s">
        <v>374</v>
      </c>
    </row>
    <row r="7" spans="1:3" x14ac:dyDescent="0.25">
      <c r="C7" s="22" t="s">
        <v>372</v>
      </c>
    </row>
    <row r="8" spans="1:3" x14ac:dyDescent="0.25">
      <c r="C8" s="22" t="s">
        <v>373</v>
      </c>
    </row>
    <row r="10" spans="1:3" ht="13" x14ac:dyDescent="0.3">
      <c r="C10" s="17" t="s">
        <v>256</v>
      </c>
    </row>
    <row r="11" spans="1:3" x14ac:dyDescent="0.25">
      <c r="C11" s="1" t="s">
        <v>257</v>
      </c>
    </row>
  </sheetData>
  <phoneticPr fontId="2" type="noConversion"/>
  <hyperlinks>
    <hyperlink ref="A1" location="Main!A1" display="Main" xr:uid="{00000000-0004-0000-0F00-000000000000}"/>
  </hyperlinks>
  <pageMargins left="0.75" right="0.75" top="1" bottom="1" header="0.5" footer="0.5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2"/>
  <sheetViews>
    <sheetView workbookViewId="0"/>
  </sheetViews>
  <sheetFormatPr defaultColWidth="8.81640625" defaultRowHeight="12.5" x14ac:dyDescent="0.25"/>
  <cols>
    <col min="1" max="1" width="5" bestFit="1" customWidth="1"/>
  </cols>
  <sheetData>
    <row r="1" spans="1:2" x14ac:dyDescent="0.25">
      <c r="A1" s="28" t="s">
        <v>63</v>
      </c>
    </row>
    <row r="2" spans="1:2" x14ac:dyDescent="0.25">
      <c r="B2" t="s">
        <v>283</v>
      </c>
    </row>
  </sheetData>
  <phoneticPr fontId="2" type="noConversion"/>
  <hyperlinks>
    <hyperlink ref="A1" location="Main!A1" display="Main" xr:uid="{00000000-0004-0000-1300-000000000000}"/>
  </hyperlinks>
  <pageMargins left="0.75" right="0.75" top="1" bottom="1" header="0.5" footer="0.5"/>
  <pageSetup orientation="portrait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15"/>
  <sheetViews>
    <sheetView workbookViewId="0"/>
  </sheetViews>
  <sheetFormatPr defaultColWidth="8.81640625" defaultRowHeight="12.5" x14ac:dyDescent="0.25"/>
  <cols>
    <col min="1" max="1" width="5" bestFit="1" customWidth="1"/>
    <col min="2" max="2" width="12.81640625" bestFit="1" customWidth="1"/>
  </cols>
  <sheetData>
    <row r="1" spans="1:3" x14ac:dyDescent="0.25">
      <c r="A1" s="28" t="s">
        <v>63</v>
      </c>
    </row>
    <row r="2" spans="1:3" x14ac:dyDescent="0.25">
      <c r="B2" s="31" t="s">
        <v>64</v>
      </c>
    </row>
    <row r="3" spans="1:3" x14ac:dyDescent="0.25">
      <c r="B3" s="31" t="s">
        <v>65</v>
      </c>
      <c r="C3" s="31" t="s">
        <v>210</v>
      </c>
    </row>
    <row r="4" spans="1:3" x14ac:dyDescent="0.25">
      <c r="B4" s="31" t="s">
        <v>140</v>
      </c>
      <c r="C4" s="31" t="s">
        <v>639</v>
      </c>
    </row>
    <row r="5" spans="1:3" x14ac:dyDescent="0.25">
      <c r="B5" s="31" t="s">
        <v>139</v>
      </c>
    </row>
    <row r="6" spans="1:3" ht="13" x14ac:dyDescent="0.3">
      <c r="C6" s="46" t="s">
        <v>462</v>
      </c>
    </row>
    <row r="7" spans="1:3" x14ac:dyDescent="0.25">
      <c r="C7" s="31" t="s">
        <v>427</v>
      </c>
    </row>
    <row r="9" spans="1:3" ht="13" x14ac:dyDescent="0.3">
      <c r="C9" s="46" t="s">
        <v>460</v>
      </c>
    </row>
    <row r="11" spans="1:3" ht="13" x14ac:dyDescent="0.3">
      <c r="C11" s="46" t="s">
        <v>461</v>
      </c>
    </row>
    <row r="13" spans="1:3" ht="13" x14ac:dyDescent="0.3">
      <c r="C13" s="46" t="s">
        <v>463</v>
      </c>
    </row>
    <row r="15" spans="1:3" x14ac:dyDescent="0.25">
      <c r="C15" s="31" t="s">
        <v>31</v>
      </c>
    </row>
  </sheetData>
  <hyperlinks>
    <hyperlink ref="A1" location="Main!A1" display="Main" xr:uid="{00000000-0004-0000-1500-00000000000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4A4B226BE2F34C80DFAA3D37A3CB30" ma:contentTypeVersion="0" ma:contentTypeDescription="Create a new document." ma:contentTypeScope="" ma:versionID="70544b0716d1f2dd0e24adda29a3d13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C6227C-4700-4C6A-A399-7F39853AD9C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206DA00-2832-4926-9B8E-385E975B4BC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1D3B50D-5291-4A7C-B8EF-C3BAE1EC08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Master</vt:lpstr>
      <vt:lpstr>Main</vt:lpstr>
      <vt:lpstr>Model</vt:lpstr>
      <vt:lpstr>Cobenfy</vt:lpstr>
      <vt:lpstr>Opdivo</vt:lpstr>
      <vt:lpstr>Orencia</vt:lpstr>
      <vt:lpstr>Yervoy</vt:lpstr>
      <vt:lpstr>Eliquis</vt:lpstr>
      <vt:lpstr>Camzyos</vt:lpstr>
      <vt:lpstr>Empliciti</vt:lpstr>
      <vt:lpstr>Avapro</vt:lpstr>
      <vt:lpstr>Plavix</vt:lpstr>
      <vt:lpstr>Abilify</vt:lpstr>
      <vt:lpstr>Reyataz</vt:lpstr>
      <vt:lpstr>Sprycel</vt:lpstr>
      <vt:lpstr>Erbitux</vt:lpstr>
      <vt:lpstr>Onglyza</vt:lpstr>
      <vt:lpstr>Sustiva</vt:lpstr>
      <vt:lpstr>dapagliflozin</vt:lpstr>
      <vt:lpstr>ixabepilone</vt:lpstr>
      <vt:lpstr>790052</vt:lpstr>
      <vt:lpstr>Discontinuations</vt:lpstr>
      <vt:lpstr>brivanib</vt:lpstr>
    </vt:vector>
  </TitlesOfParts>
  <Company>Capital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cp:lastPrinted>2009-08-24T23:46:17Z</cp:lastPrinted>
  <dcterms:created xsi:type="dcterms:W3CDTF">2004-12-13T22:58:10Z</dcterms:created>
  <dcterms:modified xsi:type="dcterms:W3CDTF">2026-08-10T18:16:08Z</dcterms:modified>
</cp:coreProperties>
</file>