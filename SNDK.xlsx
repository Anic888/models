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6D17E16A-9E96-41C7-9CA9-B732C2D37864}" xr6:coauthVersionLast="47" xr6:coauthVersionMax="47" xr10:uidLastSave="{00000000-0000-0000-0000-000000000000}"/>
  <bookViews>
    <workbookView xWindow="10290" yWindow="900" windowWidth="15500" windowHeight="16280" xr2:uid="{3E208D6A-71F3-49F9-9F2A-FABE5E48932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4" i="2" l="1"/>
  <c r="Y4" i="2"/>
  <c r="X4" i="2"/>
  <c r="O19" i="2"/>
  <c r="N19" i="2"/>
  <c r="M19" i="2"/>
  <c r="L19" i="2"/>
  <c r="K19" i="2"/>
  <c r="J19" i="2"/>
  <c r="I19" i="2"/>
  <c r="H19" i="2"/>
  <c r="G19" i="2"/>
  <c r="F19" i="2"/>
  <c r="E19" i="2"/>
  <c r="O18" i="2"/>
  <c r="N18" i="2"/>
  <c r="M18" i="2"/>
  <c r="L18" i="2"/>
  <c r="O6" i="2"/>
  <c r="O20" i="2" s="1"/>
  <c r="N6" i="2"/>
  <c r="N20" i="2" s="1"/>
  <c r="M6" i="2"/>
  <c r="M20" i="2" s="1"/>
  <c r="L6" i="2"/>
  <c r="L20" i="2" s="1"/>
  <c r="O5" i="2"/>
  <c r="N5" i="2"/>
  <c r="M5" i="2"/>
  <c r="L3" i="2"/>
  <c r="M3" i="2" s="1"/>
  <c r="N3" i="2" s="1"/>
  <c r="O3" i="2" s="1"/>
  <c r="R2" i="2"/>
  <c r="Z4" i="2"/>
  <c r="X18" i="2"/>
  <c r="W18" i="2"/>
  <c r="S18" i="2"/>
  <c r="V2" i="2"/>
  <c r="W2" i="2" s="1"/>
  <c r="X2" i="2" s="1"/>
  <c r="Y2" i="2" s="1"/>
  <c r="Z2" i="2" s="1"/>
  <c r="AA2" i="2" s="1"/>
  <c r="AB2" i="2" s="1"/>
  <c r="X11" i="2"/>
  <c r="Y11" i="2" s="1"/>
  <c r="Z11" i="2" s="1"/>
  <c r="AA11" i="2" s="1"/>
  <c r="AB11" i="2" s="1"/>
  <c r="W6" i="2"/>
  <c r="W5" i="2" s="1"/>
  <c r="V6" i="2"/>
  <c r="V20" i="2" s="1"/>
  <c r="K11" i="2"/>
  <c r="L11" i="2" s="1"/>
  <c r="M11" i="2" s="1"/>
  <c r="N11" i="2" s="1"/>
  <c r="O11" i="2" s="1"/>
  <c r="K8" i="2"/>
  <c r="L8" i="2" s="1"/>
  <c r="M8" i="2" s="1"/>
  <c r="N8" i="2" s="1"/>
  <c r="O8" i="2" s="1"/>
  <c r="K7" i="2"/>
  <c r="U7" i="2" s="1"/>
  <c r="V7" i="2" s="1"/>
  <c r="T16" i="2"/>
  <c r="T13" i="2"/>
  <c r="T8" i="2"/>
  <c r="T7" i="2"/>
  <c r="T5" i="2"/>
  <c r="T4" i="2"/>
  <c r="T18" i="2" s="1"/>
  <c r="S2" i="2"/>
  <c r="T2" i="2"/>
  <c r="U4" i="2"/>
  <c r="U18" i="2" s="1"/>
  <c r="C11" i="2"/>
  <c r="G18" i="2"/>
  <c r="G11" i="2"/>
  <c r="C9" i="2"/>
  <c r="C6" i="2"/>
  <c r="C20" i="2" s="1"/>
  <c r="K16" i="2"/>
  <c r="U16" i="2" s="1"/>
  <c r="V16" i="2" s="1"/>
  <c r="W16" i="2" s="1"/>
  <c r="X16" i="2" s="1"/>
  <c r="Y16" i="2" s="1"/>
  <c r="Z16" i="2" s="1"/>
  <c r="AA16" i="2" s="1"/>
  <c r="AB16" i="2" s="1"/>
  <c r="K6" i="2"/>
  <c r="K5" i="2" s="1"/>
  <c r="U5" i="2" s="1"/>
  <c r="E20" i="2"/>
  <c r="J18" i="2"/>
  <c r="T9" i="2"/>
  <c r="T6" i="2"/>
  <c r="T20" i="2" s="1"/>
  <c r="S9" i="2"/>
  <c r="S6" i="2"/>
  <c r="S20" i="2" s="1"/>
  <c r="R9" i="2"/>
  <c r="R6" i="2"/>
  <c r="R10" i="2" s="1"/>
  <c r="R12" i="2" s="1"/>
  <c r="R14" i="2" s="1"/>
  <c r="K18" i="2"/>
  <c r="K3" i="2"/>
  <c r="H18" i="2"/>
  <c r="D11" i="2"/>
  <c r="H11" i="2"/>
  <c r="D9" i="2"/>
  <c r="D6" i="2"/>
  <c r="D20" i="2" s="1"/>
  <c r="I18" i="2"/>
  <c r="E11" i="2"/>
  <c r="T11" i="2" s="1"/>
  <c r="I11" i="2"/>
  <c r="E9" i="2"/>
  <c r="E6" i="2"/>
  <c r="I9" i="2"/>
  <c r="H9" i="2"/>
  <c r="G9" i="2"/>
  <c r="F9" i="2"/>
  <c r="J9" i="2"/>
  <c r="I6" i="2"/>
  <c r="I20" i="2" s="1"/>
  <c r="H6" i="2"/>
  <c r="H20" i="2" s="1"/>
  <c r="G6" i="2"/>
  <c r="G20" i="2" s="1"/>
  <c r="F6" i="2"/>
  <c r="F20" i="2" s="1"/>
  <c r="J6" i="2"/>
  <c r="J10" i="2" s="1"/>
  <c r="J12" i="2" s="1"/>
  <c r="J14" i="2" s="1"/>
  <c r="J15" i="2" s="1"/>
  <c r="L4" i="1"/>
  <c r="L7" i="1" s="1"/>
  <c r="Y18" i="2" l="1"/>
  <c r="V18" i="2"/>
  <c r="L5" i="2"/>
  <c r="K20" i="2"/>
  <c r="AA4" i="2"/>
  <c r="Z6" i="2"/>
  <c r="Z20" i="2" s="1"/>
  <c r="Z18" i="2"/>
  <c r="K9" i="2"/>
  <c r="L16" i="2"/>
  <c r="M16" i="2" s="1"/>
  <c r="V5" i="2"/>
  <c r="U8" i="2"/>
  <c r="V8" i="2" s="1"/>
  <c r="W8" i="2" s="1"/>
  <c r="X8" i="2" s="1"/>
  <c r="Y8" i="2" s="1"/>
  <c r="Z8" i="2" s="1"/>
  <c r="AA8" i="2" s="1"/>
  <c r="AB8" i="2" s="1"/>
  <c r="U11" i="2"/>
  <c r="L7" i="2"/>
  <c r="M7" i="2" s="1"/>
  <c r="Y6" i="2"/>
  <c r="Y20" i="2" s="1"/>
  <c r="W20" i="2"/>
  <c r="X6" i="2"/>
  <c r="X20" i="2" s="1"/>
  <c r="R20" i="2"/>
  <c r="M9" i="2"/>
  <c r="M10" i="2" s="1"/>
  <c r="M12" i="2" s="1"/>
  <c r="N7" i="2"/>
  <c r="L9" i="2"/>
  <c r="L10" i="2" s="1"/>
  <c r="L12" i="2" s="1"/>
  <c r="W7" i="2"/>
  <c r="X7" i="2" s="1"/>
  <c r="X9" i="2" s="1"/>
  <c r="X10" i="2" s="1"/>
  <c r="X12" i="2" s="1"/>
  <c r="X13" i="2" s="1"/>
  <c r="X14" i="2" s="1"/>
  <c r="X15" i="2" s="1"/>
  <c r="U9" i="2"/>
  <c r="N16" i="2"/>
  <c r="AB4" i="2"/>
  <c r="AB6" i="2" s="1"/>
  <c r="AA6" i="2"/>
  <c r="Z5" i="2"/>
  <c r="Y5" i="2"/>
  <c r="AA18" i="2"/>
  <c r="Y7" i="2"/>
  <c r="S10" i="2"/>
  <c r="S12" i="2" s="1"/>
  <c r="S14" i="2" s="1"/>
  <c r="J20" i="2"/>
  <c r="C10" i="2"/>
  <c r="C12" i="2" s="1"/>
  <c r="C14" i="2" s="1"/>
  <c r="C15" i="2" s="1"/>
  <c r="K10" i="2"/>
  <c r="K12" i="2" s="1"/>
  <c r="U6" i="2"/>
  <c r="T10" i="2"/>
  <c r="T12" i="2" s="1"/>
  <c r="T14" i="2" s="1"/>
  <c r="T15" i="2" s="1"/>
  <c r="D10" i="2"/>
  <c r="D12" i="2" s="1"/>
  <c r="D14" i="2" s="1"/>
  <c r="D15" i="2" s="1"/>
  <c r="E10" i="2"/>
  <c r="E12" i="2" s="1"/>
  <c r="E14" i="2" s="1"/>
  <c r="E15" i="2" s="1"/>
  <c r="H10" i="2"/>
  <c r="H12" i="2" s="1"/>
  <c r="H14" i="2" s="1"/>
  <c r="H15" i="2" s="1"/>
  <c r="G10" i="2"/>
  <c r="G12" i="2" s="1"/>
  <c r="G14" i="2" s="1"/>
  <c r="G15" i="2" s="1"/>
  <c r="I10" i="2"/>
  <c r="I12" i="2" s="1"/>
  <c r="I14" i="2" s="1"/>
  <c r="I15" i="2" s="1"/>
  <c r="F10" i="2"/>
  <c r="F12" i="2" s="1"/>
  <c r="F14" i="2" s="1"/>
  <c r="F15" i="2" s="1"/>
  <c r="V9" i="2" l="1"/>
  <c r="V10" i="2" s="1"/>
  <c r="V12" i="2" s="1"/>
  <c r="V13" i="2" s="1"/>
  <c r="V14" i="2" s="1"/>
  <c r="V15" i="2" s="1"/>
  <c r="X5" i="2"/>
  <c r="W9" i="2"/>
  <c r="W10" i="2" s="1"/>
  <c r="W12" i="2" s="1"/>
  <c r="L13" i="2"/>
  <c r="L14" i="2"/>
  <c r="L15" i="2" s="1"/>
  <c r="N9" i="2"/>
  <c r="N10" i="2" s="1"/>
  <c r="N12" i="2" s="1"/>
  <c r="O7" i="2"/>
  <c r="O9" i="2" s="1"/>
  <c r="O10" i="2" s="1"/>
  <c r="O12" i="2" s="1"/>
  <c r="M13" i="2"/>
  <c r="M14" i="2" s="1"/>
  <c r="M15" i="2" s="1"/>
  <c r="O16" i="2"/>
  <c r="K13" i="2"/>
  <c r="U13" i="2" s="1"/>
  <c r="U10" i="2"/>
  <c r="U12" i="2" s="1"/>
  <c r="U20" i="2"/>
  <c r="AB18" i="2"/>
  <c r="AA20" i="2"/>
  <c r="Y9" i="2"/>
  <c r="Y10" i="2" s="1"/>
  <c r="Y12" i="2" s="1"/>
  <c r="Y13" i="2" s="1"/>
  <c r="Y14" i="2" s="1"/>
  <c r="Z7" i="2"/>
  <c r="O13" i="2" l="1"/>
  <c r="O14" i="2" s="1"/>
  <c r="O15" i="2" s="1"/>
  <c r="N13" i="2"/>
  <c r="N14" i="2" s="1"/>
  <c r="N15" i="2" s="1"/>
  <c r="W13" i="2"/>
  <c r="W14" i="2"/>
  <c r="W15" i="2" s="1"/>
  <c r="U14" i="2"/>
  <c r="U15" i="2" s="1"/>
  <c r="K14" i="2"/>
  <c r="K15" i="2" s="1"/>
  <c r="Y15" i="2"/>
  <c r="AB20" i="2"/>
  <c r="AB5" i="2"/>
  <c r="AA5" i="2"/>
  <c r="Z9" i="2"/>
  <c r="Z10" i="2" s="1"/>
  <c r="Z12" i="2" s="1"/>
  <c r="AA7" i="2"/>
  <c r="Z13" i="2" l="1"/>
  <c r="Z14" i="2"/>
  <c r="AA9" i="2"/>
  <c r="AA10" i="2" s="1"/>
  <c r="AA12" i="2" s="1"/>
  <c r="AA13" i="2" s="1"/>
  <c r="AA14" i="2" s="1"/>
  <c r="AA15" i="2" s="1"/>
  <c r="AB7" i="2"/>
  <c r="Z15" i="2" l="1"/>
  <c r="AB9" i="2"/>
  <c r="AB10" i="2" s="1"/>
  <c r="AB12" i="2" s="1"/>
  <c r="AB13" i="2" s="1"/>
  <c r="AB14" i="2" s="1"/>
  <c r="AB15" i="2" l="1"/>
  <c r="AC14" i="2"/>
  <c r="AD14" i="2" s="1"/>
  <c r="AE14" i="2" s="1"/>
  <c r="AF14" i="2" s="1"/>
  <c r="AG14" i="2" s="1"/>
  <c r="AH14" i="2" s="1"/>
  <c r="AI14" i="2" s="1"/>
  <c r="AJ14" i="2" s="1"/>
  <c r="AK14" i="2" s="1"/>
  <c r="AL14" i="2" s="1"/>
  <c r="AM14" i="2" s="1"/>
  <c r="AN14" i="2" s="1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BK14" i="2" s="1"/>
  <c r="BL14" i="2" s="1"/>
  <c r="BM14" i="2" s="1"/>
  <c r="BN14" i="2" s="1"/>
  <c r="BO14" i="2" s="1"/>
  <c r="BP14" i="2" s="1"/>
  <c r="BQ14" i="2" s="1"/>
  <c r="BR14" i="2" s="1"/>
  <c r="BS14" i="2" s="1"/>
  <c r="BT14" i="2" s="1"/>
  <c r="BU14" i="2" s="1"/>
  <c r="BV14" i="2" s="1"/>
  <c r="BW14" i="2" s="1"/>
  <c r="BX14" i="2" s="1"/>
  <c r="BY14" i="2" s="1"/>
  <c r="BZ14" i="2" s="1"/>
  <c r="AE22" i="2" l="1"/>
  <c r="AE2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tc={52F79505-29EA-4062-88C1-654FF459A9D8}</author>
    <author>tc={2B5FE132-3D51-473B-96AF-1A9A69C2297A}</author>
    <author>tc={2D50AA4D-0EF1-434A-87D0-3CB0F32F4A30}</author>
    <author>tc={CA98EE95-9B42-4CDD-8B19-3C1E5BDCA8C0}</author>
    <author>tc={2C0A50B5-CF96-4F7C-8A71-872C075261C3}</author>
    <author>tc={3A507A5D-A436-48FD-8356-C5B310E375CB}</author>
  </authors>
  <commentList>
    <comment ref="K4" authorId="0" shapeId="0" xr:uid="{52F79505-29EA-4062-88C1-654FF459A9D8}">
      <text>
        <t>[Threaded comment]
Your version of Excel allows you to read this threaded comment; however, any edits to it will get removed if the file is opened in a newer version of Excel. Learn more: https://go.microsoft.com/fwlink/?linkid=870924
Comment:
    8480m consensus 8/5
Q3 guidance: 7.75-8.25B</t>
      </text>
    </comment>
    <comment ref="L4" authorId="1" shapeId="0" xr:uid="{2B5FE132-3D51-473B-96AF-1A9A69C2297A}">
      <text>
        <t>[Threaded comment]
Your version of Excel allows you to read this threaded comment; however, any edits to it will get removed if the file is opened in a newer version of Excel. Learn more: https://go.microsoft.com/fwlink/?linkid=870924
Comment:
    10802m consensus 8/5/26</t>
      </text>
    </comment>
    <comment ref="M4" authorId="2" shapeId="0" xr:uid="{2D50AA4D-0EF1-434A-87D0-3CB0F32F4A30}">
      <text>
        <t>[Threaded comment]
Your version of Excel allows you to read this threaded comment; however, any edits to it will get removed if the file is opened in a newer version of Excel. Learn more: https://go.microsoft.com/fwlink/?linkid=870924
Comment:
    12480m consensus 8/5/26</t>
      </text>
    </comment>
    <comment ref="N4" authorId="3" shapeId="0" xr:uid="{CA98EE95-9B42-4CDD-8B19-3C1E5BDCA8C0}">
      <text>
        <t>[Threaded comment]
Your version of Excel allows you to read this threaded comment; however, any edits to it will get removed if the file is opened in a newer version of Excel. Learn more: https://go.microsoft.com/fwlink/?linkid=870924
Comment:
    12110m consensus 8/5/26</t>
      </text>
    </comment>
    <comment ref="O4" authorId="4" shapeId="0" xr:uid="{2C0A50B5-CF96-4F7C-8A71-872C075261C3}">
      <text>
        <t>[Threaded comment]
Your version of Excel allows you to read this threaded comment; however, any edits to it will get removed if the file is opened in a newer version of Excel. Learn more: https://go.microsoft.com/fwlink/?linkid=870924
Comment:
    12520m consensus 8/5/26</t>
      </text>
    </comment>
    <comment ref="K15" authorId="5" shapeId="0" xr:uid="{3A507A5D-A436-48FD-8356-C5B310E375CB}">
      <text>
        <t>[Threaded comment]
Your version of Excel allows you to read this threaded comment; however, any edits to it will get removed if the file is opened in a newer version of Excel. Learn more: https://go.microsoft.com/fwlink/?linkid=870924
Comment:
    Q3 guidance EPS: 30-33</t>
      </text>
    </comment>
  </commentList>
</comments>
</file>

<file path=xl/sharedStrings.xml><?xml version="1.0" encoding="utf-8"?>
<sst xmlns="http://schemas.openxmlformats.org/spreadsheetml/2006/main" count="60" uniqueCount="56">
  <si>
    <t>Price</t>
  </si>
  <si>
    <t>Shares</t>
  </si>
  <si>
    <t>MC</t>
  </si>
  <si>
    <t>Cash</t>
  </si>
  <si>
    <t>Debt</t>
  </si>
  <si>
    <t>EV</t>
  </si>
  <si>
    <t>Main</t>
  </si>
  <si>
    <t>Revenue</t>
  </si>
  <si>
    <t>COGS</t>
  </si>
  <si>
    <t>Gross Profit</t>
  </si>
  <si>
    <t>Operating Expenses</t>
  </si>
  <si>
    <t>Operating Income</t>
  </si>
  <si>
    <t>R&amp;D</t>
  </si>
  <si>
    <t>SG&amp;A</t>
  </si>
  <si>
    <t>Interest Income</t>
  </si>
  <si>
    <t>Taxes</t>
  </si>
  <si>
    <t>Pretax Income</t>
  </si>
  <si>
    <t>Net Income</t>
  </si>
  <si>
    <t>EPS</t>
  </si>
  <si>
    <t>Q126</t>
  </si>
  <si>
    <t>Revenue y/y</t>
  </si>
  <si>
    <t>Gross Margin</t>
  </si>
  <si>
    <t>Q425</t>
  </si>
  <si>
    <t>Q226</t>
  </si>
  <si>
    <t>Q326</t>
  </si>
  <si>
    <t>Q426</t>
  </si>
  <si>
    <t>Q325</t>
  </si>
  <si>
    <t>Q125</t>
  </si>
  <si>
    <t>Q225</t>
  </si>
  <si>
    <t>Q424</t>
  </si>
  <si>
    <t>FY26</t>
  </si>
  <si>
    <t>FY27</t>
  </si>
  <si>
    <t>FY28</t>
  </si>
  <si>
    <t>FY29</t>
  </si>
  <si>
    <t>FY30</t>
  </si>
  <si>
    <t>FY31</t>
  </si>
  <si>
    <t>FY32</t>
  </si>
  <si>
    <t>FY33</t>
  </si>
  <si>
    <t>Discount</t>
  </si>
  <si>
    <t>Maturity</t>
  </si>
  <si>
    <t>NPV</t>
  </si>
  <si>
    <t>Share</t>
  </si>
  <si>
    <t>Q127</t>
  </si>
  <si>
    <t>Q227</t>
  </si>
  <si>
    <t>Q327</t>
  </si>
  <si>
    <t>Q427</t>
  </si>
  <si>
    <t>Revenue q/q</t>
  </si>
  <si>
    <t>8.5B or less -- stock should drop</t>
  </si>
  <si>
    <t>Q4 results</t>
  </si>
  <si>
    <t>8.75B - flat?</t>
  </si>
  <si>
    <t>9.0B or more - goes up?</t>
  </si>
  <si>
    <t>EPS less relevant - 30-33 so should be above 33…</t>
  </si>
  <si>
    <t>Q1 guidance</t>
  </si>
  <si>
    <t>11B midpoint - expectation</t>
  </si>
  <si>
    <t>11.5B - good?</t>
  </si>
  <si>
    <t>12.0B - great?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</si>
</sst>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3" fillId="0" borderId="0" xfId="1" applyFont="1"/>
    <xf numFmtId="164" fontId="1" fillId="0" borderId="0" xfId="0" applyNumberFormat="1" applyFont="1"/>
    <xf numFmtId="3" fontId="4" fillId="0" borderId="0" xfId="0" applyNumberFormat="1" applyFont="1"/>
    <xf numFmtId="9" fontId="1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horizontal="right"/>
    </xf>
    <xf numFmtId="14" fontId="1" fillId="0" borderId="0" xfId="0" applyNumberFormat="1" applyFont="1"/>
    <xf numFmtId="1" fontId="1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11044</xdr:colOff>
      <xdr:row>0</xdr:row>
      <xdr:rowOff>27609</xdr:rowOff>
    </xdr:from>
    <xdr:to>
      <xdr:col>10</xdr:col>
      <xdr:colOff>11044</xdr:colOff>
      <xdr:row>51</xdr:row>
      <xdr:rowOff>38652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A95416D-3591-B082-4528-53C493AC3698}"/>
            </a:ext>
          </a:extLst>
        </xdr:cNvPr>
        <xdr:cNvCxnSpPr/>
      </xdr:nvCxnSpPr>
      <xdr:spPr>
        <a:xfrm>
          <a:off x="5847522" y="27609"/>
          <a:ext cx="0" cy="786295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22087</xdr:colOff>
      <xdr:row>0</xdr:row>
      <xdr:rowOff>0</xdr:rowOff>
    </xdr:from>
    <xdr:to>
      <xdr:col>21</xdr:col>
      <xdr:colOff>22087</xdr:colOff>
      <xdr:row>51</xdr:row>
      <xdr:rowOff>11043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F852551-EA34-4DAD-B6BD-E990EA5335D7}"/>
            </a:ext>
          </a:extLst>
        </xdr:cNvPr>
        <xdr:cNvCxnSpPr/>
      </xdr:nvCxnSpPr>
      <xdr:spPr>
        <a:xfrm>
          <a:off x="13147261" y="0"/>
          <a:ext cx="0" cy="802308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8C2C165F-E38A-438E-AD92-7E4654F02F43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" dT="2026-08-05T16:30:03.87" personId="{8C2C165F-E38A-438E-AD92-7E4654F02F43}" id="{52F79505-29EA-4062-88C1-654FF459A9D8}">
    <text>8480m consensus 8/5
Q3 guidance: 7.75-8.25B</text>
  </threadedComment>
  <threadedComment ref="L4" dT="2026-08-05T16:30:11.78" personId="{8C2C165F-E38A-438E-AD92-7E4654F02F43}" id="{2B5FE132-3D51-473B-96AF-1A9A69C2297A}">
    <text>10802m consensus 8/5/26</text>
  </threadedComment>
  <threadedComment ref="M4" dT="2026-08-05T16:30:26.41" personId="{8C2C165F-E38A-438E-AD92-7E4654F02F43}" id="{2D50AA4D-0EF1-434A-87D0-3CB0F32F4A30}">
    <text>12480m consensus 8/5/26</text>
  </threadedComment>
  <threadedComment ref="N4" dT="2026-08-05T16:30:34.81" personId="{8C2C165F-E38A-438E-AD92-7E4654F02F43}" id="{CA98EE95-9B42-4CDD-8B19-3C1E5BDCA8C0}">
    <text>12110m consensus 8/5/26</text>
  </threadedComment>
  <threadedComment ref="O4" dT="2026-08-05T16:30:44.81" personId="{8C2C165F-E38A-438E-AD92-7E4654F02F43}" id="{2C0A50B5-CF96-4F7C-8A71-872C075261C3}">
    <text>12520m consensus 8/5/26</text>
  </threadedComment>
  <threadedComment ref="K15" dT="2026-08-05T19:14:00.95" personId="{8C2C165F-E38A-438E-AD92-7E4654F02F43}" id="{3A507A5D-A436-48FD-8356-C5B310E375CB}">
    <text>Q3 guidance EPS: 30-33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ACA8-14B3-4E45-916F-9D3E90CE4EEC}">
  <dimension ref="B2:M11"/>
  <sheetViews>
    <sheetView tabSelected="1" topLeftCell="C1" zoomScale="130" zoomScaleNormal="130" workbookViewId="0">
      <selection activeCell="L1" sqref="L1"/>
    </sheetView>
  </sheetViews>
  <sheetFormatPr defaultRowHeight="12.5" x14ac:dyDescent="0.25"/>
  <cols>
    <col min="1" max="16384" width="8.7265625" style="1"/>
  </cols>
  <sheetData>
    <row r="2" spans="2:13" ht="13" x14ac:dyDescent="0.3">
      <c r="B2" s="14" t="s">
        <v>48</v>
      </c>
      <c r="K2" s="1" t="s">
        <v>0</v>
      </c>
      <c r="L2" s="2">
        <v>1478</v>
      </c>
    </row>
    <row r="3" spans="2:13" x14ac:dyDescent="0.25">
      <c r="B3" s="1" t="s">
        <v>47</v>
      </c>
      <c r="K3" s="1" t="s">
        <v>1</v>
      </c>
      <c r="L3" s="3">
        <v>148.08975799999999</v>
      </c>
      <c r="M3" s="9" t="s">
        <v>19</v>
      </c>
    </row>
    <row r="4" spans="2:13" x14ac:dyDescent="0.25">
      <c r="B4" s="1" t="s">
        <v>49</v>
      </c>
      <c r="K4" s="1" t="s">
        <v>2</v>
      </c>
      <c r="L4" s="3">
        <f>+L2*L3</f>
        <v>218876.66232399998</v>
      </c>
    </row>
    <row r="5" spans="2:13" x14ac:dyDescent="0.25">
      <c r="B5" s="1" t="s">
        <v>50</v>
      </c>
      <c r="K5" s="1" t="s">
        <v>3</v>
      </c>
      <c r="L5" s="3">
        <v>3735</v>
      </c>
      <c r="M5" s="9" t="s">
        <v>19</v>
      </c>
    </row>
    <row r="6" spans="2:13" x14ac:dyDescent="0.25">
      <c r="B6" s="1" t="s">
        <v>51</v>
      </c>
      <c r="K6" s="1" t="s">
        <v>4</v>
      </c>
      <c r="L6" s="3">
        <v>0</v>
      </c>
      <c r="M6" s="9" t="s">
        <v>19</v>
      </c>
    </row>
    <row r="7" spans="2:13" x14ac:dyDescent="0.25">
      <c r="K7" s="1" t="s">
        <v>5</v>
      </c>
      <c r="L7" s="3">
        <f>+L4-L5+L6</f>
        <v>215141.66232399998</v>
      </c>
    </row>
    <row r="8" spans="2:13" ht="13" x14ac:dyDescent="0.3">
      <c r="B8" s="14" t="s">
        <v>52</v>
      </c>
    </row>
    <row r="9" spans="2:13" x14ac:dyDescent="0.25">
      <c r="B9" s="1" t="s">
        <v>53</v>
      </c>
    </row>
    <row r="10" spans="2:13" x14ac:dyDescent="0.25">
      <c r="B10" s="1" t="s">
        <v>54</v>
      </c>
    </row>
    <row r="11" spans="2:13" x14ac:dyDescent="0.25">
      <c r="B11" s="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24E74-E292-4D7F-87FB-CC094C4C7B60}">
  <dimension ref="A1:BZ23"/>
  <sheetViews>
    <sheetView zoomScale="145" zoomScaleNormal="145" workbookViewId="0">
      <pane xSplit="2" ySplit="3" topLeftCell="U4" activePane="bottomRight" state="frozen"/>
      <selection pane="topRight" activeCell="C1" sqref="C1"/>
      <selection pane="bottomLeft" activeCell="A3" sqref="A3"/>
      <selection pane="bottomRight" activeCell="V15" sqref="V15:Y15"/>
    </sheetView>
  </sheetViews>
  <sheetFormatPr defaultRowHeight="12.5" x14ac:dyDescent="0.25"/>
  <cols>
    <col min="1" max="1" width="4.6328125" style="1" bestFit="1" customWidth="1"/>
    <col min="2" max="2" width="17.26953125" style="1" bestFit="1" customWidth="1"/>
    <col min="3" max="3" width="8.7265625" style="1"/>
    <col min="4" max="6" width="8.90625" style="1" bestFit="1" customWidth="1"/>
    <col min="7" max="11" width="8.7265625" style="1"/>
    <col min="12" max="15" width="8.7265625" style="9"/>
    <col min="16" max="26" width="8.7265625" style="1"/>
    <col min="27" max="28" width="9.08984375" style="1" customWidth="1"/>
    <col min="29" max="30" width="8.7265625" style="1"/>
    <col min="31" max="31" width="8.54296875" style="1" customWidth="1"/>
    <col min="32" max="16384" width="8.7265625" style="1"/>
  </cols>
  <sheetData>
    <row r="1" spans="1:78" x14ac:dyDescent="0.25">
      <c r="A1" s="4" t="s">
        <v>6</v>
      </c>
    </row>
    <row r="2" spans="1:78" x14ac:dyDescent="0.25">
      <c r="A2" s="4"/>
      <c r="C2" s="9" t="s">
        <v>29</v>
      </c>
      <c r="D2" s="9" t="s">
        <v>27</v>
      </c>
      <c r="E2" s="9" t="s">
        <v>28</v>
      </c>
      <c r="F2" s="9" t="s">
        <v>26</v>
      </c>
      <c r="G2" s="9" t="s">
        <v>22</v>
      </c>
      <c r="H2" s="9" t="s">
        <v>19</v>
      </c>
      <c r="I2" s="9" t="s">
        <v>23</v>
      </c>
      <c r="J2" s="9" t="s">
        <v>24</v>
      </c>
      <c r="K2" s="9" t="s">
        <v>25</v>
      </c>
      <c r="L2" s="9" t="s">
        <v>42</v>
      </c>
      <c r="M2" s="9" t="s">
        <v>43</v>
      </c>
      <c r="N2" s="9" t="s">
        <v>44</v>
      </c>
      <c r="O2" s="9" t="s">
        <v>45</v>
      </c>
      <c r="R2" s="5">
        <f>+S2-365</f>
        <v>45106</v>
      </c>
      <c r="S2" s="5">
        <f>C3</f>
        <v>45471</v>
      </c>
      <c r="T2" s="5">
        <f>G3</f>
        <v>45835</v>
      </c>
      <c r="U2" s="10">
        <v>46205</v>
      </c>
      <c r="V2" s="10">
        <f t="shared" ref="V2:AB2" si="0">+U2+365</f>
        <v>46570</v>
      </c>
      <c r="W2" s="10">
        <f t="shared" si="0"/>
        <v>46935</v>
      </c>
      <c r="X2" s="10">
        <f t="shared" si="0"/>
        <v>47300</v>
      </c>
      <c r="Y2" s="10">
        <f t="shared" si="0"/>
        <v>47665</v>
      </c>
      <c r="Z2" s="10">
        <f t="shared" si="0"/>
        <v>48030</v>
      </c>
      <c r="AA2" s="10">
        <f t="shared" si="0"/>
        <v>48395</v>
      </c>
      <c r="AB2" s="10">
        <f t="shared" si="0"/>
        <v>48760</v>
      </c>
    </row>
    <row r="3" spans="1:78" s="5" customFormat="1" x14ac:dyDescent="0.25">
      <c r="C3" s="5">
        <v>45471</v>
      </c>
      <c r="D3" s="5">
        <v>45562</v>
      </c>
      <c r="E3" s="5">
        <v>45653</v>
      </c>
      <c r="F3" s="5">
        <v>45744</v>
      </c>
      <c r="G3" s="5">
        <v>45835</v>
      </c>
      <c r="H3" s="5">
        <v>45933</v>
      </c>
      <c r="I3" s="5">
        <v>46024</v>
      </c>
      <c r="J3" s="5">
        <v>46115</v>
      </c>
      <c r="K3" s="5">
        <f>+J3+90</f>
        <v>46205</v>
      </c>
      <c r="L3" s="5">
        <f t="shared" ref="L3:O3" si="1">+K3+90</f>
        <v>46295</v>
      </c>
      <c r="M3" s="5">
        <f t="shared" si="1"/>
        <v>46385</v>
      </c>
      <c r="N3" s="5">
        <f t="shared" si="1"/>
        <v>46475</v>
      </c>
      <c r="O3" s="5">
        <f t="shared" si="1"/>
        <v>46565</v>
      </c>
      <c r="R3" s="8">
        <v>2023</v>
      </c>
      <c r="S3" s="8">
        <v>2024</v>
      </c>
      <c r="T3" s="8">
        <v>2025</v>
      </c>
      <c r="U3" s="11" t="s">
        <v>30</v>
      </c>
      <c r="V3" s="11" t="s">
        <v>31</v>
      </c>
      <c r="W3" s="11" t="s">
        <v>32</v>
      </c>
      <c r="X3" s="11" t="s">
        <v>33</v>
      </c>
      <c r="Y3" s="11" t="s">
        <v>34</v>
      </c>
      <c r="Z3" s="11" t="s">
        <v>35</v>
      </c>
      <c r="AA3" s="11" t="s">
        <v>36</v>
      </c>
      <c r="AB3" s="11" t="s">
        <v>37</v>
      </c>
      <c r="AC3" s="8"/>
      <c r="AD3" s="8"/>
      <c r="AE3" s="8"/>
      <c r="AF3" s="8"/>
      <c r="AG3" s="8"/>
    </row>
    <row r="4" spans="1:78" s="6" customFormat="1" ht="13" x14ac:dyDescent="0.3">
      <c r="B4" s="6" t="s">
        <v>7</v>
      </c>
      <c r="C4" s="6">
        <v>1760</v>
      </c>
      <c r="D4" s="6">
        <v>1883</v>
      </c>
      <c r="E4" s="6">
        <v>1876</v>
      </c>
      <c r="F4" s="6">
        <v>1695</v>
      </c>
      <c r="G4" s="6">
        <v>1901</v>
      </c>
      <c r="H4" s="6">
        <v>2308</v>
      </c>
      <c r="I4" s="6">
        <v>3025</v>
      </c>
      <c r="J4" s="6">
        <v>5950</v>
      </c>
      <c r="K4" s="6">
        <v>8480</v>
      </c>
      <c r="L4" s="12">
        <v>10820</v>
      </c>
      <c r="M4" s="12">
        <v>12480</v>
      </c>
      <c r="N4" s="12">
        <v>12110</v>
      </c>
      <c r="O4" s="12">
        <v>12520</v>
      </c>
      <c r="R4" s="6">
        <v>6086</v>
      </c>
      <c r="S4" s="6">
        <v>6663</v>
      </c>
      <c r="T4" s="6">
        <f>SUM(D4:G4)</f>
        <v>7355</v>
      </c>
      <c r="U4" s="6">
        <f>SUM(H4:K4)</f>
        <v>19763</v>
      </c>
      <c r="V4" s="6">
        <v>48670</v>
      </c>
      <c r="W4" s="6">
        <f>+V4*1.1</f>
        <v>53537.000000000007</v>
      </c>
      <c r="X4" s="6">
        <f>+W4*1.1</f>
        <v>58890.700000000012</v>
      </c>
      <c r="Y4" s="6">
        <f>+X4*1.1</f>
        <v>64779.770000000019</v>
      </c>
      <c r="Z4" s="6">
        <f t="shared" ref="Z4:AB4" si="2">+Y4*0.8</f>
        <v>51823.816000000021</v>
      </c>
      <c r="AA4" s="6">
        <f t="shared" si="2"/>
        <v>41459.052800000019</v>
      </c>
      <c r="AB4" s="6">
        <f t="shared" si="2"/>
        <v>33167.242240000014</v>
      </c>
    </row>
    <row r="5" spans="1:78" s="3" customFormat="1" x14ac:dyDescent="0.25">
      <c r="B5" s="3" t="s">
        <v>8</v>
      </c>
      <c r="C5" s="3">
        <v>1124</v>
      </c>
      <c r="D5" s="3">
        <v>1157</v>
      </c>
      <c r="E5" s="3">
        <v>1270</v>
      </c>
      <c r="F5" s="3">
        <v>1313</v>
      </c>
      <c r="G5" s="3">
        <v>1403</v>
      </c>
      <c r="H5" s="3">
        <v>1621</v>
      </c>
      <c r="I5" s="3">
        <v>1484</v>
      </c>
      <c r="J5" s="3">
        <v>1288</v>
      </c>
      <c r="K5" s="3">
        <f>+K4-K6</f>
        <v>1272</v>
      </c>
      <c r="L5" s="3">
        <f t="shared" ref="L5:O5" si="3">+L4-L6</f>
        <v>1623</v>
      </c>
      <c r="M5" s="3">
        <f t="shared" si="3"/>
        <v>1872</v>
      </c>
      <c r="N5" s="3">
        <f t="shared" si="3"/>
        <v>1816.5</v>
      </c>
      <c r="O5" s="3">
        <f t="shared" si="3"/>
        <v>1878</v>
      </c>
      <c r="R5" s="3">
        <v>5656</v>
      </c>
      <c r="S5" s="3">
        <v>5591</v>
      </c>
      <c r="T5" s="3">
        <f>SUM(D5:G5)</f>
        <v>5143</v>
      </c>
      <c r="U5" s="3">
        <f>SUM(H5:K5)</f>
        <v>5665</v>
      </c>
      <c r="V5" s="3">
        <f>+V4-V6</f>
        <v>9734</v>
      </c>
      <c r="W5" s="3">
        <f>+W4-W6</f>
        <v>10707.400000000001</v>
      </c>
      <c r="X5" s="3">
        <f>+X4-X6</f>
        <v>23556.280000000006</v>
      </c>
      <c r="Y5" s="3">
        <f t="shared" ref="Y5:AB5" si="4">+Y4-Y6</f>
        <v>32389.885000000009</v>
      </c>
      <c r="Z5" s="3">
        <f t="shared" si="4"/>
        <v>25911.90800000001</v>
      </c>
      <c r="AA5" s="3">
        <f t="shared" si="4"/>
        <v>20729.52640000001</v>
      </c>
      <c r="AB5" s="3">
        <f t="shared" si="4"/>
        <v>16583.621120000007</v>
      </c>
    </row>
    <row r="6" spans="1:78" s="3" customFormat="1" x14ac:dyDescent="0.25">
      <c r="B6" s="3" t="s">
        <v>9</v>
      </c>
      <c r="C6" s="3">
        <f t="shared" ref="C6" si="5">+C4-C5</f>
        <v>636</v>
      </c>
      <c r="D6" s="3">
        <f t="shared" ref="D6:I6" si="6">+D4-D5</f>
        <v>726</v>
      </c>
      <c r="E6" s="3">
        <f t="shared" si="6"/>
        <v>606</v>
      </c>
      <c r="F6" s="3">
        <f t="shared" si="6"/>
        <v>382</v>
      </c>
      <c r="G6" s="3">
        <f t="shared" si="6"/>
        <v>498</v>
      </c>
      <c r="H6" s="3">
        <f t="shared" si="6"/>
        <v>687</v>
      </c>
      <c r="I6" s="3">
        <f t="shared" si="6"/>
        <v>1541</v>
      </c>
      <c r="J6" s="3">
        <f>+J4-J5</f>
        <v>4662</v>
      </c>
      <c r="K6" s="3">
        <f>+K4*0.85</f>
        <v>7208</v>
      </c>
      <c r="L6" s="3">
        <f t="shared" ref="L6:O6" si="7">+L4*0.85</f>
        <v>9197</v>
      </c>
      <c r="M6" s="3">
        <f t="shared" si="7"/>
        <v>10608</v>
      </c>
      <c r="N6" s="3">
        <f t="shared" si="7"/>
        <v>10293.5</v>
      </c>
      <c r="O6" s="3">
        <f t="shared" si="7"/>
        <v>10642</v>
      </c>
      <c r="R6" s="3">
        <f>+R4-R5</f>
        <v>430</v>
      </c>
      <c r="S6" s="3">
        <f>+S4-S5</f>
        <v>1072</v>
      </c>
      <c r="T6" s="3">
        <f t="shared" ref="T6:U6" si="8">+T4-T5</f>
        <v>2212</v>
      </c>
      <c r="U6" s="3">
        <f t="shared" si="8"/>
        <v>14098</v>
      </c>
      <c r="V6" s="3">
        <f>+V4*0.8</f>
        <v>38936</v>
      </c>
      <c r="W6" s="3">
        <f>+W4*0.8</f>
        <v>42829.600000000006</v>
      </c>
      <c r="X6" s="3">
        <f>+X4*0.6</f>
        <v>35334.420000000006</v>
      </c>
      <c r="Y6" s="3">
        <f>+Y4*0.5</f>
        <v>32389.885000000009</v>
      </c>
      <c r="Z6" s="3">
        <f t="shared" ref="Z6:AB6" si="9">+Z4*0.5</f>
        <v>25911.90800000001</v>
      </c>
      <c r="AA6" s="3">
        <f t="shared" si="9"/>
        <v>20729.52640000001</v>
      </c>
      <c r="AB6" s="3">
        <f t="shared" si="9"/>
        <v>16583.621120000007</v>
      </c>
    </row>
    <row r="7" spans="1:78" s="3" customFormat="1" x14ac:dyDescent="0.25">
      <c r="B7" s="3" t="s">
        <v>12</v>
      </c>
      <c r="C7" s="3">
        <v>298</v>
      </c>
      <c r="D7" s="3">
        <v>283</v>
      </c>
      <c r="E7" s="3">
        <v>279</v>
      </c>
      <c r="F7" s="3">
        <v>285</v>
      </c>
      <c r="G7" s="3">
        <v>285</v>
      </c>
      <c r="H7" s="3">
        <v>316</v>
      </c>
      <c r="I7" s="3">
        <v>327</v>
      </c>
      <c r="J7" s="3">
        <v>337</v>
      </c>
      <c r="K7" s="3">
        <f>+J7</f>
        <v>337</v>
      </c>
      <c r="L7" s="3">
        <f t="shared" ref="L7:O7" si="10">+K7</f>
        <v>337</v>
      </c>
      <c r="M7" s="3">
        <f t="shared" si="10"/>
        <v>337</v>
      </c>
      <c r="N7" s="3">
        <f t="shared" si="10"/>
        <v>337</v>
      </c>
      <c r="O7" s="3">
        <f t="shared" si="10"/>
        <v>337</v>
      </c>
      <c r="R7" s="3">
        <v>1167</v>
      </c>
      <c r="S7" s="3">
        <v>1061</v>
      </c>
      <c r="T7" s="3">
        <f>SUM(D7:G7)</f>
        <v>1132</v>
      </c>
      <c r="U7" s="3">
        <f>SUM(H7:K7)</f>
        <v>1317</v>
      </c>
      <c r="V7" s="3">
        <f>+U7*1.1</f>
        <v>1448.7</v>
      </c>
      <c r="W7" s="3">
        <f t="shared" ref="W7:AB8" si="11">+V7*1.1</f>
        <v>1593.5700000000002</v>
      </c>
      <c r="X7" s="3">
        <f t="shared" si="11"/>
        <v>1752.9270000000004</v>
      </c>
      <c r="Y7" s="3">
        <f t="shared" si="11"/>
        <v>1928.2197000000006</v>
      </c>
      <c r="Z7" s="3">
        <f t="shared" si="11"/>
        <v>2121.041670000001</v>
      </c>
      <c r="AA7" s="3">
        <f t="shared" si="11"/>
        <v>2333.1458370000014</v>
      </c>
      <c r="AB7" s="3">
        <f t="shared" si="11"/>
        <v>2566.4604207000016</v>
      </c>
    </row>
    <row r="8" spans="1:78" s="3" customFormat="1" x14ac:dyDescent="0.25">
      <c r="B8" s="3" t="s">
        <v>13</v>
      </c>
      <c r="C8" s="3">
        <v>117</v>
      </c>
      <c r="D8" s="3">
        <v>130</v>
      </c>
      <c r="E8" s="3">
        <v>142</v>
      </c>
      <c r="F8" s="3">
        <v>139</v>
      </c>
      <c r="G8" s="3">
        <v>162</v>
      </c>
      <c r="H8" s="3">
        <v>179</v>
      </c>
      <c r="I8" s="3">
        <v>139</v>
      </c>
      <c r="J8" s="3">
        <v>161</v>
      </c>
      <c r="K8" s="3">
        <f>+J8</f>
        <v>161</v>
      </c>
      <c r="L8" s="3">
        <f t="shared" ref="L8:O8" si="12">+K8</f>
        <v>161</v>
      </c>
      <c r="M8" s="3">
        <f t="shared" si="12"/>
        <v>161</v>
      </c>
      <c r="N8" s="3">
        <f t="shared" si="12"/>
        <v>161</v>
      </c>
      <c r="O8" s="3">
        <f t="shared" si="12"/>
        <v>161</v>
      </c>
      <c r="R8" s="3">
        <v>558</v>
      </c>
      <c r="S8" s="3">
        <v>455</v>
      </c>
      <c r="T8" s="3">
        <f>SUM(D8:G8)</f>
        <v>573</v>
      </c>
      <c r="U8" s="3">
        <f>SUM(H8:K8)</f>
        <v>640</v>
      </c>
      <c r="V8" s="3">
        <f t="shared" ref="V8" si="13">+U8*1.1</f>
        <v>704</v>
      </c>
      <c r="W8" s="3">
        <f t="shared" si="11"/>
        <v>774.40000000000009</v>
      </c>
      <c r="X8" s="3">
        <f t="shared" si="11"/>
        <v>851.84000000000015</v>
      </c>
      <c r="Y8" s="3">
        <f t="shared" si="11"/>
        <v>937.02400000000023</v>
      </c>
      <c r="Z8" s="3">
        <f t="shared" si="11"/>
        <v>1030.7264000000002</v>
      </c>
      <c r="AA8" s="3">
        <f t="shared" si="11"/>
        <v>1133.7990400000003</v>
      </c>
      <c r="AB8" s="3">
        <f t="shared" si="11"/>
        <v>1247.1789440000005</v>
      </c>
    </row>
    <row r="9" spans="1:78" s="3" customFormat="1" x14ac:dyDescent="0.25">
      <c r="B9" s="3" t="s">
        <v>10</v>
      </c>
      <c r="C9" s="3">
        <f t="shared" ref="C9" si="14">+C7+C8</f>
        <v>415</v>
      </c>
      <c r="D9" s="3">
        <f t="shared" ref="D9:I9" si="15">+D7+D8</f>
        <v>413</v>
      </c>
      <c r="E9" s="3">
        <f t="shared" si="15"/>
        <v>421</v>
      </c>
      <c r="F9" s="3">
        <f t="shared" si="15"/>
        <v>424</v>
      </c>
      <c r="G9" s="3">
        <f t="shared" si="15"/>
        <v>447</v>
      </c>
      <c r="H9" s="3">
        <f t="shared" si="15"/>
        <v>495</v>
      </c>
      <c r="I9" s="3">
        <f t="shared" si="15"/>
        <v>466</v>
      </c>
      <c r="J9" s="3">
        <f>+J7+J8</f>
        <v>498</v>
      </c>
      <c r="K9" s="3">
        <f t="shared" ref="K9" si="16">+K7+K8</f>
        <v>498</v>
      </c>
      <c r="L9" s="3">
        <f t="shared" ref="L9:O9" si="17">+L7+L8</f>
        <v>498</v>
      </c>
      <c r="M9" s="3">
        <f t="shared" si="17"/>
        <v>498</v>
      </c>
      <c r="N9" s="3">
        <f t="shared" si="17"/>
        <v>498</v>
      </c>
      <c r="O9" s="3">
        <f t="shared" si="17"/>
        <v>498</v>
      </c>
      <c r="R9" s="3">
        <f>+R7+R8</f>
        <v>1725</v>
      </c>
      <c r="S9" s="3">
        <f>+S7+S8</f>
        <v>1516</v>
      </c>
      <c r="T9" s="3">
        <f t="shared" ref="T9:U9" si="18">+T7+T8</f>
        <v>1705</v>
      </c>
      <c r="U9" s="3">
        <f t="shared" si="18"/>
        <v>1957</v>
      </c>
      <c r="V9" s="3">
        <f t="shared" ref="V9:W9" si="19">+V7+V8</f>
        <v>2152.6999999999998</v>
      </c>
      <c r="W9" s="3">
        <f t="shared" si="19"/>
        <v>2367.9700000000003</v>
      </c>
      <c r="X9" s="3">
        <f t="shared" ref="X9:AB9" si="20">+X7+X8</f>
        <v>2604.7670000000007</v>
      </c>
      <c r="Y9" s="3">
        <f t="shared" si="20"/>
        <v>2865.2437000000009</v>
      </c>
      <c r="Z9" s="3">
        <f t="shared" si="20"/>
        <v>3151.768070000001</v>
      </c>
      <c r="AA9" s="3">
        <f t="shared" si="20"/>
        <v>3466.9448770000017</v>
      </c>
      <c r="AB9" s="3">
        <f t="shared" si="20"/>
        <v>3813.6393647000023</v>
      </c>
    </row>
    <row r="10" spans="1:78" s="3" customFormat="1" x14ac:dyDescent="0.25">
      <c r="B10" s="3" t="s">
        <v>11</v>
      </c>
      <c r="C10" s="3">
        <f t="shared" ref="C10" si="21">+C6-C9</f>
        <v>221</v>
      </c>
      <c r="D10" s="3">
        <f t="shared" ref="D10:I10" si="22">+D6-D9</f>
        <v>313</v>
      </c>
      <c r="E10" s="3">
        <f t="shared" si="22"/>
        <v>185</v>
      </c>
      <c r="F10" s="3">
        <f t="shared" si="22"/>
        <v>-42</v>
      </c>
      <c r="G10" s="3">
        <f t="shared" si="22"/>
        <v>51</v>
      </c>
      <c r="H10" s="3">
        <f t="shared" si="22"/>
        <v>192</v>
      </c>
      <c r="I10" s="3">
        <f t="shared" si="22"/>
        <v>1075</v>
      </c>
      <c r="J10" s="3">
        <f>+J6-J9</f>
        <v>4164</v>
      </c>
      <c r="K10" s="3">
        <f t="shared" ref="K10:O10" si="23">+K6-K9</f>
        <v>6710</v>
      </c>
      <c r="L10" s="3">
        <f t="shared" si="23"/>
        <v>8699</v>
      </c>
      <c r="M10" s="3">
        <f t="shared" si="23"/>
        <v>10110</v>
      </c>
      <c r="N10" s="3">
        <f t="shared" si="23"/>
        <v>9795.5</v>
      </c>
      <c r="O10" s="3">
        <f t="shared" si="23"/>
        <v>10144</v>
      </c>
      <c r="R10" s="3">
        <f>+R6-R9</f>
        <v>-1295</v>
      </c>
      <c r="S10" s="3">
        <f>+S6-S9</f>
        <v>-444</v>
      </c>
      <c r="T10" s="3">
        <f t="shared" ref="T10:U10" si="24">+T6-T9</f>
        <v>507</v>
      </c>
      <c r="U10" s="3">
        <f t="shared" si="24"/>
        <v>12141</v>
      </c>
      <c r="V10" s="3">
        <f t="shared" ref="V10:W10" si="25">+V6-V9</f>
        <v>36783.300000000003</v>
      </c>
      <c r="W10" s="3">
        <f t="shared" si="25"/>
        <v>40461.630000000005</v>
      </c>
      <c r="X10" s="3">
        <f t="shared" ref="X10:AB10" si="26">+X6-X9</f>
        <v>32729.653000000006</v>
      </c>
      <c r="Y10" s="3">
        <f t="shared" si="26"/>
        <v>29524.64130000001</v>
      </c>
      <c r="Z10" s="3">
        <f t="shared" si="26"/>
        <v>22760.139930000008</v>
      </c>
      <c r="AA10" s="3">
        <f t="shared" si="26"/>
        <v>17262.581523000008</v>
      </c>
      <c r="AB10" s="3">
        <f t="shared" si="26"/>
        <v>12769.981755300005</v>
      </c>
    </row>
    <row r="11" spans="1:78" x14ac:dyDescent="0.25">
      <c r="B11" s="1" t="s">
        <v>14</v>
      </c>
      <c r="C11" s="1">
        <f>3-9</f>
        <v>-6</v>
      </c>
      <c r="D11" s="3">
        <f>3-2</f>
        <v>1</v>
      </c>
      <c r="E11" s="3">
        <f>2-4</f>
        <v>-2</v>
      </c>
      <c r="F11" s="3">
        <v>-10</v>
      </c>
      <c r="G11" s="1">
        <f>11-41</f>
        <v>-30</v>
      </c>
      <c r="H11" s="1">
        <f>16-40</f>
        <v>-24</v>
      </c>
      <c r="I11" s="1">
        <f>12-25</f>
        <v>-13</v>
      </c>
      <c r="J11" s="1">
        <v>6</v>
      </c>
      <c r="K11" s="1">
        <f>+J11</f>
        <v>6</v>
      </c>
      <c r="L11" s="9">
        <f>+K11</f>
        <v>6</v>
      </c>
      <c r="M11" s="9">
        <f t="shared" ref="M11:O11" si="27">+L11</f>
        <v>6</v>
      </c>
      <c r="N11" s="9">
        <f t="shared" si="27"/>
        <v>6</v>
      </c>
      <c r="O11" s="9">
        <f t="shared" si="27"/>
        <v>6</v>
      </c>
      <c r="T11" s="3">
        <f>SUM(D11:G11)</f>
        <v>-41</v>
      </c>
      <c r="U11" s="3">
        <f>SUM(H11:K11)</f>
        <v>-25</v>
      </c>
      <c r="V11" s="1">
        <v>50</v>
      </c>
      <c r="W11" s="1">
        <v>100</v>
      </c>
      <c r="X11" s="1">
        <f>+W11+50</f>
        <v>150</v>
      </c>
      <c r="Y11" s="1">
        <f t="shared" ref="Y11:AB11" si="28">+X11+50</f>
        <v>200</v>
      </c>
      <c r="Z11" s="1">
        <f t="shared" si="28"/>
        <v>250</v>
      </c>
      <c r="AA11" s="1">
        <f t="shared" si="28"/>
        <v>300</v>
      </c>
      <c r="AB11" s="1">
        <f t="shared" si="28"/>
        <v>350</v>
      </c>
    </row>
    <row r="12" spans="1:78" x14ac:dyDescent="0.25">
      <c r="B12" s="1" t="s">
        <v>16</v>
      </c>
      <c r="C12" s="3">
        <f t="shared" ref="C12" si="29">+C10+C11</f>
        <v>215</v>
      </c>
      <c r="D12" s="3">
        <f t="shared" ref="D12:I12" si="30">+D10+D11</f>
        <v>314</v>
      </c>
      <c r="E12" s="3">
        <f t="shared" si="30"/>
        <v>183</v>
      </c>
      <c r="F12" s="3">
        <f t="shared" si="30"/>
        <v>-52</v>
      </c>
      <c r="G12" s="3">
        <f t="shared" si="30"/>
        <v>21</v>
      </c>
      <c r="H12" s="3">
        <f t="shared" si="30"/>
        <v>168</v>
      </c>
      <c r="I12" s="3">
        <f t="shared" si="30"/>
        <v>1062</v>
      </c>
      <c r="J12" s="3">
        <f>+J10+J11</f>
        <v>4170</v>
      </c>
      <c r="K12" s="3">
        <f t="shared" ref="K12:O12" si="31">+K10+K11</f>
        <v>6716</v>
      </c>
      <c r="L12" s="3">
        <f t="shared" si="31"/>
        <v>8705</v>
      </c>
      <c r="M12" s="3">
        <f t="shared" si="31"/>
        <v>10116</v>
      </c>
      <c r="N12" s="3">
        <f t="shared" si="31"/>
        <v>9801.5</v>
      </c>
      <c r="O12" s="3">
        <f t="shared" si="31"/>
        <v>10150</v>
      </c>
      <c r="R12" s="3">
        <f>+R10+R11</f>
        <v>-1295</v>
      </c>
      <c r="S12" s="3">
        <f>+S10+S11</f>
        <v>-444</v>
      </c>
      <c r="T12" s="3">
        <f t="shared" ref="T12:W12" si="32">+T10+T11</f>
        <v>466</v>
      </c>
      <c r="U12" s="3">
        <f t="shared" si="32"/>
        <v>12116</v>
      </c>
      <c r="V12" s="3">
        <f t="shared" si="32"/>
        <v>36833.300000000003</v>
      </c>
      <c r="W12" s="3">
        <f t="shared" si="32"/>
        <v>40561.630000000005</v>
      </c>
      <c r="X12" s="3">
        <f t="shared" ref="X12:AB12" si="33">+X10+X11</f>
        <v>32879.653000000006</v>
      </c>
      <c r="Y12" s="3">
        <f t="shared" si="33"/>
        <v>29724.64130000001</v>
      </c>
      <c r="Z12" s="3">
        <f t="shared" si="33"/>
        <v>23010.139930000008</v>
      </c>
      <c r="AA12" s="3">
        <f t="shared" si="33"/>
        <v>17562.581523000008</v>
      </c>
      <c r="AB12" s="3">
        <f t="shared" si="33"/>
        <v>13119.981755300005</v>
      </c>
    </row>
    <row r="13" spans="1:78" x14ac:dyDescent="0.25">
      <c r="B13" s="1" t="s">
        <v>15</v>
      </c>
      <c r="C13" s="1">
        <v>77</v>
      </c>
      <c r="D13" s="3">
        <v>56</v>
      </c>
      <c r="E13" s="3">
        <v>69</v>
      </c>
      <c r="F13" s="3">
        <v>0</v>
      </c>
      <c r="G13" s="1">
        <v>5</v>
      </c>
      <c r="H13" s="1">
        <v>12</v>
      </c>
      <c r="I13" s="1">
        <v>134</v>
      </c>
      <c r="J13" s="1">
        <v>492</v>
      </c>
      <c r="K13" s="3">
        <f>+K12*0.15</f>
        <v>1007.4</v>
      </c>
      <c r="L13" s="13">
        <f>+L12*0.15</f>
        <v>1305.75</v>
      </c>
      <c r="M13" s="13">
        <f t="shared" ref="M13:O13" si="34">+M12*0.15</f>
        <v>1517.3999999999999</v>
      </c>
      <c r="N13" s="13">
        <f t="shared" si="34"/>
        <v>1470.2249999999999</v>
      </c>
      <c r="O13" s="13">
        <f t="shared" si="34"/>
        <v>1522.5</v>
      </c>
      <c r="T13" s="3">
        <f>SUM(D13:G13)</f>
        <v>130</v>
      </c>
      <c r="U13" s="3">
        <f>SUM(H13:K13)</f>
        <v>1645.4</v>
      </c>
      <c r="V13" s="3">
        <f>+V12*0.15</f>
        <v>5524.9949999999999</v>
      </c>
      <c r="W13" s="3">
        <f>+W12*0.15</f>
        <v>6084.2445000000007</v>
      </c>
      <c r="X13" s="3">
        <f t="shared" ref="X13:AB13" si="35">+X12*0.15</f>
        <v>4931.9479500000007</v>
      </c>
      <c r="Y13" s="3">
        <f t="shared" si="35"/>
        <v>4458.6961950000014</v>
      </c>
      <c r="Z13" s="3">
        <f t="shared" si="35"/>
        <v>3451.5209895000012</v>
      </c>
      <c r="AA13" s="3">
        <f t="shared" si="35"/>
        <v>2634.3872284500012</v>
      </c>
      <c r="AB13" s="3">
        <f t="shared" si="35"/>
        <v>1967.9972632950007</v>
      </c>
    </row>
    <row r="14" spans="1:78" x14ac:dyDescent="0.25">
      <c r="B14" s="1" t="s">
        <v>17</v>
      </c>
      <c r="C14" s="3">
        <f t="shared" ref="C14" si="36">+C12-C13</f>
        <v>138</v>
      </c>
      <c r="D14" s="3">
        <f t="shared" ref="D14:I14" si="37">+D12-D13</f>
        <v>258</v>
      </c>
      <c r="E14" s="3">
        <f t="shared" si="37"/>
        <v>114</v>
      </c>
      <c r="F14" s="3">
        <f t="shared" si="37"/>
        <v>-52</v>
      </c>
      <c r="G14" s="3">
        <f t="shared" si="37"/>
        <v>16</v>
      </c>
      <c r="H14" s="3">
        <f t="shared" si="37"/>
        <v>156</v>
      </c>
      <c r="I14" s="3">
        <f t="shared" si="37"/>
        <v>928</v>
      </c>
      <c r="J14" s="3">
        <f>+J12-J13</f>
        <v>3678</v>
      </c>
      <c r="K14" s="3">
        <f t="shared" ref="K14:O14" si="38">+K12-K13</f>
        <v>5708.6</v>
      </c>
      <c r="L14" s="3">
        <f t="shared" si="38"/>
        <v>7399.25</v>
      </c>
      <c r="M14" s="3">
        <f t="shared" si="38"/>
        <v>8598.6</v>
      </c>
      <c r="N14" s="3">
        <f t="shared" si="38"/>
        <v>8331.2749999999996</v>
      </c>
      <c r="O14" s="3">
        <f t="shared" si="38"/>
        <v>8627.5</v>
      </c>
      <c r="R14" s="3">
        <f>+R12-R13</f>
        <v>-1295</v>
      </c>
      <c r="S14" s="3">
        <f>+S12-S13</f>
        <v>-444</v>
      </c>
      <c r="T14" s="3">
        <f t="shared" ref="T14:W14" si="39">+T12-T13</f>
        <v>336</v>
      </c>
      <c r="U14" s="3">
        <f t="shared" si="39"/>
        <v>10470.6</v>
      </c>
      <c r="V14" s="3">
        <f t="shared" si="39"/>
        <v>31308.305000000004</v>
      </c>
      <c r="W14" s="3">
        <f t="shared" si="39"/>
        <v>34477.385500000004</v>
      </c>
      <c r="X14" s="3">
        <f t="shared" ref="X14:AB14" si="40">+X12-X13</f>
        <v>27947.705050000004</v>
      </c>
      <c r="Y14" s="3">
        <f t="shared" si="40"/>
        <v>25265.94510500001</v>
      </c>
      <c r="Z14" s="3">
        <f t="shared" si="40"/>
        <v>19558.618940500008</v>
      </c>
      <c r="AA14" s="3">
        <f t="shared" si="40"/>
        <v>14928.194294550007</v>
      </c>
      <c r="AB14" s="3">
        <f t="shared" si="40"/>
        <v>11151.984492005004</v>
      </c>
      <c r="AC14" s="3">
        <f>AB14*(1+$AE$21)</f>
        <v>11151.984492005004</v>
      </c>
      <c r="AD14" s="3">
        <f t="shared" ref="AD14:BZ14" si="41">AC14*(1+$AE$21)</f>
        <v>11151.984492005004</v>
      </c>
      <c r="AE14" s="3">
        <f t="shared" si="41"/>
        <v>11151.984492005004</v>
      </c>
      <c r="AF14" s="3">
        <f t="shared" si="41"/>
        <v>11151.984492005004</v>
      </c>
      <c r="AG14" s="3">
        <f t="shared" si="41"/>
        <v>11151.984492005004</v>
      </c>
      <c r="AH14" s="3">
        <f t="shared" si="41"/>
        <v>11151.984492005004</v>
      </c>
      <c r="AI14" s="3">
        <f t="shared" si="41"/>
        <v>11151.984492005004</v>
      </c>
      <c r="AJ14" s="3">
        <f t="shared" si="41"/>
        <v>11151.984492005004</v>
      </c>
      <c r="AK14" s="3">
        <f t="shared" si="41"/>
        <v>11151.984492005004</v>
      </c>
      <c r="AL14" s="3">
        <f t="shared" si="41"/>
        <v>11151.984492005004</v>
      </c>
      <c r="AM14" s="3">
        <f t="shared" si="41"/>
        <v>11151.984492005004</v>
      </c>
      <c r="AN14" s="3">
        <f t="shared" si="41"/>
        <v>11151.984492005004</v>
      </c>
      <c r="AO14" s="3">
        <f t="shared" si="41"/>
        <v>11151.984492005004</v>
      </c>
      <c r="AP14" s="3">
        <f t="shared" si="41"/>
        <v>11151.984492005004</v>
      </c>
      <c r="AQ14" s="3">
        <f t="shared" si="41"/>
        <v>11151.984492005004</v>
      </c>
      <c r="AR14" s="3">
        <f t="shared" si="41"/>
        <v>11151.984492005004</v>
      </c>
      <c r="AS14" s="3">
        <f t="shared" si="41"/>
        <v>11151.984492005004</v>
      </c>
      <c r="AT14" s="3">
        <f t="shared" si="41"/>
        <v>11151.984492005004</v>
      </c>
      <c r="AU14" s="3">
        <f t="shared" si="41"/>
        <v>11151.984492005004</v>
      </c>
      <c r="AV14" s="3">
        <f t="shared" si="41"/>
        <v>11151.984492005004</v>
      </c>
      <c r="AW14" s="3">
        <f t="shared" si="41"/>
        <v>11151.984492005004</v>
      </c>
      <c r="AX14" s="3">
        <f t="shared" si="41"/>
        <v>11151.984492005004</v>
      </c>
      <c r="AY14" s="3">
        <f t="shared" si="41"/>
        <v>11151.984492005004</v>
      </c>
      <c r="AZ14" s="3">
        <f t="shared" si="41"/>
        <v>11151.984492005004</v>
      </c>
      <c r="BA14" s="3">
        <f t="shared" si="41"/>
        <v>11151.984492005004</v>
      </c>
      <c r="BB14" s="3">
        <f t="shared" si="41"/>
        <v>11151.984492005004</v>
      </c>
      <c r="BC14" s="3">
        <f t="shared" si="41"/>
        <v>11151.984492005004</v>
      </c>
      <c r="BD14" s="3">
        <f t="shared" si="41"/>
        <v>11151.984492005004</v>
      </c>
      <c r="BE14" s="3">
        <f t="shared" si="41"/>
        <v>11151.984492005004</v>
      </c>
      <c r="BF14" s="3">
        <f t="shared" si="41"/>
        <v>11151.984492005004</v>
      </c>
      <c r="BG14" s="3">
        <f t="shared" si="41"/>
        <v>11151.984492005004</v>
      </c>
      <c r="BH14" s="3">
        <f t="shared" si="41"/>
        <v>11151.984492005004</v>
      </c>
      <c r="BI14" s="3">
        <f t="shared" si="41"/>
        <v>11151.984492005004</v>
      </c>
      <c r="BJ14" s="3">
        <f t="shared" si="41"/>
        <v>11151.984492005004</v>
      </c>
      <c r="BK14" s="3">
        <f t="shared" si="41"/>
        <v>11151.984492005004</v>
      </c>
      <c r="BL14" s="3">
        <f t="shared" si="41"/>
        <v>11151.984492005004</v>
      </c>
      <c r="BM14" s="3">
        <f t="shared" si="41"/>
        <v>11151.984492005004</v>
      </c>
      <c r="BN14" s="3">
        <f t="shared" si="41"/>
        <v>11151.984492005004</v>
      </c>
      <c r="BO14" s="3">
        <f t="shared" si="41"/>
        <v>11151.984492005004</v>
      </c>
      <c r="BP14" s="3">
        <f t="shared" si="41"/>
        <v>11151.984492005004</v>
      </c>
      <c r="BQ14" s="3">
        <f t="shared" si="41"/>
        <v>11151.984492005004</v>
      </c>
      <c r="BR14" s="3">
        <f t="shared" si="41"/>
        <v>11151.984492005004</v>
      </c>
      <c r="BS14" s="3">
        <f t="shared" si="41"/>
        <v>11151.984492005004</v>
      </c>
      <c r="BT14" s="3">
        <f t="shared" si="41"/>
        <v>11151.984492005004</v>
      </c>
      <c r="BU14" s="3">
        <f t="shared" si="41"/>
        <v>11151.984492005004</v>
      </c>
      <c r="BV14" s="3">
        <f t="shared" si="41"/>
        <v>11151.984492005004</v>
      </c>
      <c r="BW14" s="3">
        <f t="shared" si="41"/>
        <v>11151.984492005004</v>
      </c>
      <c r="BX14" s="3">
        <f t="shared" si="41"/>
        <v>11151.984492005004</v>
      </c>
      <c r="BY14" s="3">
        <f t="shared" si="41"/>
        <v>11151.984492005004</v>
      </c>
      <c r="BZ14" s="3">
        <f t="shared" si="41"/>
        <v>11151.984492005004</v>
      </c>
    </row>
    <row r="15" spans="1:78" x14ac:dyDescent="0.25">
      <c r="B15" s="1" t="s">
        <v>18</v>
      </c>
      <c r="C15" s="2">
        <f>C14/C16</f>
        <v>0.9517241379310345</v>
      </c>
      <c r="D15" s="2">
        <f>D14/D16</f>
        <v>1.7793103448275862</v>
      </c>
      <c r="E15" s="2">
        <f>E14/E16</f>
        <v>0.78620689655172415</v>
      </c>
      <c r="F15" s="2">
        <f>F14/F16</f>
        <v>-0.35862068965517241</v>
      </c>
      <c r="G15" s="2">
        <f>G14/G16</f>
        <v>0.1103448275862069</v>
      </c>
      <c r="H15" s="2">
        <f t="shared" ref="H15:O15" si="42">H14/H16</f>
        <v>1.0469798657718121</v>
      </c>
      <c r="I15" s="2">
        <f t="shared" si="42"/>
        <v>5.9487179487179489</v>
      </c>
      <c r="J15" s="2">
        <f t="shared" si="42"/>
        <v>23.426751592356688</v>
      </c>
      <c r="K15" s="2">
        <f t="shared" si="42"/>
        <v>36.36050955414013</v>
      </c>
      <c r="L15" s="2">
        <f t="shared" si="42"/>
        <v>47.128980891719742</v>
      </c>
      <c r="M15" s="2">
        <f t="shared" si="42"/>
        <v>54.76815286624204</v>
      </c>
      <c r="N15" s="2">
        <f t="shared" si="42"/>
        <v>53.065445859872611</v>
      </c>
      <c r="O15" s="2">
        <f t="shared" si="42"/>
        <v>54.952229299363054</v>
      </c>
      <c r="T15" s="2">
        <f>+T14/T16</f>
        <v>2.317241379310345</v>
      </c>
      <c r="U15" s="2">
        <f>+U14/U16</f>
        <v>67.661389337641353</v>
      </c>
      <c r="V15" s="2">
        <f>+V14/V16</f>
        <v>202.31537964458806</v>
      </c>
      <c r="W15" s="2">
        <f>+W14/W16</f>
        <v>222.79409046849761</v>
      </c>
      <c r="X15" s="2">
        <f t="shared" ref="X15:AB15" si="43">+X14/X16</f>
        <v>180.59906332794833</v>
      </c>
      <c r="Y15" s="2">
        <f t="shared" si="43"/>
        <v>163.26943525040394</v>
      </c>
      <c r="Z15" s="2">
        <f t="shared" si="43"/>
        <v>126.38849073021007</v>
      </c>
      <c r="AA15" s="2">
        <f t="shared" si="43"/>
        <v>96.466522097253673</v>
      </c>
      <c r="AB15" s="2">
        <f t="shared" si="43"/>
        <v>72.064520142197111</v>
      </c>
    </row>
    <row r="16" spans="1:78" x14ac:dyDescent="0.25">
      <c r="B16" s="1" t="s">
        <v>1</v>
      </c>
      <c r="C16" s="1">
        <v>145</v>
      </c>
      <c r="D16" s="1">
        <v>145</v>
      </c>
      <c r="E16" s="1">
        <v>145</v>
      </c>
      <c r="F16" s="1">
        <v>145</v>
      </c>
      <c r="G16" s="1">
        <v>145</v>
      </c>
      <c r="H16" s="1">
        <v>149</v>
      </c>
      <c r="I16" s="1">
        <v>156</v>
      </c>
      <c r="J16" s="1">
        <v>157</v>
      </c>
      <c r="K16" s="1">
        <f>+J16</f>
        <v>157</v>
      </c>
      <c r="L16" s="1">
        <f t="shared" ref="L16:O16" si="44">+K16</f>
        <v>157</v>
      </c>
      <c r="M16" s="1">
        <f t="shared" si="44"/>
        <v>157</v>
      </c>
      <c r="N16" s="1">
        <f t="shared" si="44"/>
        <v>157</v>
      </c>
      <c r="O16" s="1">
        <f t="shared" si="44"/>
        <v>157</v>
      </c>
      <c r="T16" s="3">
        <f>AVERAGE(D16:G16)</f>
        <v>145</v>
      </c>
      <c r="U16" s="3">
        <f>AVERAGE(H16:K16)</f>
        <v>154.75</v>
      </c>
      <c r="V16" s="3">
        <f>+U16</f>
        <v>154.75</v>
      </c>
      <c r="W16" s="3">
        <f>+V16</f>
        <v>154.75</v>
      </c>
      <c r="X16" s="3">
        <f t="shared" ref="X16:AB16" si="45">+W16</f>
        <v>154.75</v>
      </c>
      <c r="Y16" s="3">
        <f t="shared" si="45"/>
        <v>154.75</v>
      </c>
      <c r="Z16" s="3">
        <f t="shared" si="45"/>
        <v>154.75</v>
      </c>
      <c r="AA16" s="3">
        <f t="shared" si="45"/>
        <v>154.75</v>
      </c>
      <c r="AB16" s="3">
        <f t="shared" si="45"/>
        <v>154.75</v>
      </c>
    </row>
    <row r="18" spans="2:31" x14ac:dyDescent="0.25">
      <c r="B18" s="1" t="s">
        <v>20</v>
      </c>
      <c r="G18" s="7">
        <f>G4/C4-1</f>
        <v>8.0113636363636331E-2</v>
      </c>
      <c r="H18" s="7">
        <f>H4/D4-1</f>
        <v>0.22570366436537448</v>
      </c>
      <c r="I18" s="7">
        <f>I4/E4-1</f>
        <v>0.61247334754797444</v>
      </c>
      <c r="J18" s="7">
        <f>J4/F4-1</f>
        <v>2.5103244837758112</v>
      </c>
      <c r="K18" s="7">
        <f>K4/G4-1</f>
        <v>3.4608100999473965</v>
      </c>
      <c r="L18" s="7">
        <f t="shared" ref="L18:O18" si="46">L4/H4-1</f>
        <v>3.6880415944540728</v>
      </c>
      <c r="M18" s="7">
        <f t="shared" si="46"/>
        <v>3.1256198347107436</v>
      </c>
      <c r="N18" s="7">
        <f t="shared" si="46"/>
        <v>1.0352941176470587</v>
      </c>
      <c r="O18" s="7">
        <f t="shared" si="46"/>
        <v>0.47641509433962259</v>
      </c>
      <c r="S18" s="7">
        <f t="shared" ref="S18:T18" si="47">+S4/R4-1</f>
        <v>9.4807755504436431E-2</v>
      </c>
      <c r="T18" s="7">
        <f t="shared" si="47"/>
        <v>0.10385712141677916</v>
      </c>
      <c r="U18" s="7">
        <f>+U4/T4-1</f>
        <v>1.6870156356220258</v>
      </c>
      <c r="V18" s="7">
        <f t="shared" ref="V18:AB18" si="48">+V4/U4-1</f>
        <v>1.4626827910742297</v>
      </c>
      <c r="W18" s="7">
        <f t="shared" si="48"/>
        <v>0.10000000000000009</v>
      </c>
      <c r="X18" s="7">
        <f t="shared" si="48"/>
        <v>0.10000000000000009</v>
      </c>
      <c r="Y18" s="7">
        <f t="shared" si="48"/>
        <v>0.10000000000000009</v>
      </c>
      <c r="Z18" s="7">
        <f t="shared" si="48"/>
        <v>-0.19999999999999996</v>
      </c>
      <c r="AA18" s="7">
        <f t="shared" si="48"/>
        <v>-0.19999999999999996</v>
      </c>
      <c r="AB18" s="7">
        <f t="shared" si="48"/>
        <v>-0.20000000000000007</v>
      </c>
    </row>
    <row r="19" spans="2:31" x14ac:dyDescent="0.25">
      <c r="B19" s="1" t="s">
        <v>46</v>
      </c>
      <c r="E19" s="7">
        <f>+E4/D4-1</f>
        <v>-3.7174721189591198E-3</v>
      </c>
      <c r="F19" s="7">
        <f t="shared" ref="F19:O19" si="49">+F4/E4-1</f>
        <v>-9.6481876332622618E-2</v>
      </c>
      <c r="G19" s="7">
        <f t="shared" si="49"/>
        <v>0.12153392330383483</v>
      </c>
      <c r="H19" s="7">
        <f t="shared" si="49"/>
        <v>0.21409784324039971</v>
      </c>
      <c r="I19" s="7">
        <f t="shared" si="49"/>
        <v>0.31065857885615245</v>
      </c>
      <c r="J19" s="7">
        <f t="shared" si="49"/>
        <v>0.96694214876033069</v>
      </c>
      <c r="K19" s="7">
        <f t="shared" si="49"/>
        <v>0.42521008403361349</v>
      </c>
      <c r="L19" s="7">
        <f t="shared" si="49"/>
        <v>0.27594339622641506</v>
      </c>
      <c r="M19" s="7">
        <f t="shared" si="49"/>
        <v>0.15341959334565614</v>
      </c>
      <c r="N19" s="7">
        <f t="shared" si="49"/>
        <v>-2.9647435897435903E-2</v>
      </c>
      <c r="O19" s="7">
        <f t="shared" si="49"/>
        <v>3.3856317093311272E-2</v>
      </c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2:31" x14ac:dyDescent="0.25">
      <c r="B20" s="1" t="s">
        <v>21</v>
      </c>
      <c r="C20" s="7">
        <f t="shared" ref="C20" si="50">+C6/C4</f>
        <v>0.36136363636363639</v>
      </c>
      <c r="D20" s="7">
        <f>+D6/D4</f>
        <v>0.38555496548061602</v>
      </c>
      <c r="E20" s="7">
        <f t="shared" ref="E20:K20" si="51">+E6/E4</f>
        <v>0.32302771855010659</v>
      </c>
      <c r="F20" s="7">
        <f t="shared" si="51"/>
        <v>0.22536873156342183</v>
      </c>
      <c r="G20" s="7">
        <f t="shared" si="51"/>
        <v>0.26196738558653343</v>
      </c>
      <c r="H20" s="7">
        <f t="shared" si="51"/>
        <v>0.29766031195840553</v>
      </c>
      <c r="I20" s="7">
        <f t="shared" si="51"/>
        <v>0.50942148760330574</v>
      </c>
      <c r="J20" s="7">
        <f t="shared" si="51"/>
        <v>0.78352941176470592</v>
      </c>
      <c r="K20" s="7">
        <f t="shared" si="51"/>
        <v>0.85</v>
      </c>
      <c r="L20" s="7">
        <f t="shared" ref="L20:O20" si="52">+L6/L4</f>
        <v>0.85</v>
      </c>
      <c r="M20" s="7">
        <f t="shared" si="52"/>
        <v>0.85</v>
      </c>
      <c r="N20" s="7">
        <f t="shared" si="52"/>
        <v>0.85</v>
      </c>
      <c r="O20" s="7">
        <f t="shared" si="52"/>
        <v>0.85</v>
      </c>
      <c r="R20" s="7">
        <f t="shared" ref="R20:AB20" si="53">+R6/R4</f>
        <v>7.0653959907985536E-2</v>
      </c>
      <c r="S20" s="7">
        <f t="shared" si="53"/>
        <v>0.16088848866876782</v>
      </c>
      <c r="T20" s="7">
        <f t="shared" si="53"/>
        <v>0.30074779061862678</v>
      </c>
      <c r="U20" s="7">
        <f t="shared" si="53"/>
        <v>0.7133532358447604</v>
      </c>
      <c r="V20" s="7">
        <f t="shared" si="53"/>
        <v>0.8</v>
      </c>
      <c r="W20" s="7">
        <f t="shared" si="53"/>
        <v>0.8</v>
      </c>
      <c r="X20" s="7">
        <f t="shared" si="53"/>
        <v>0.6</v>
      </c>
      <c r="Y20" s="7">
        <f t="shared" si="53"/>
        <v>0.5</v>
      </c>
      <c r="Z20" s="7">
        <f t="shared" si="53"/>
        <v>0.5</v>
      </c>
      <c r="AA20" s="7">
        <f t="shared" si="53"/>
        <v>0.5</v>
      </c>
      <c r="AB20" s="7">
        <f t="shared" si="53"/>
        <v>0.5</v>
      </c>
      <c r="AD20" s="1" t="s">
        <v>38</v>
      </c>
      <c r="AE20" s="7">
        <v>0.08</v>
      </c>
    </row>
    <row r="21" spans="2:31" x14ac:dyDescent="0.25">
      <c r="AD21" s="1" t="s">
        <v>39</v>
      </c>
      <c r="AE21" s="7">
        <v>0</v>
      </c>
    </row>
    <row r="22" spans="2:31" x14ac:dyDescent="0.25">
      <c r="AD22" s="1" t="s">
        <v>40</v>
      </c>
      <c r="AE22" s="3">
        <f>NPV(AE20,W14:BZ14)+V14+Main!L5-Main!L6</f>
        <v>228520.6226385459</v>
      </c>
    </row>
    <row r="23" spans="2:31" x14ac:dyDescent="0.25">
      <c r="AD23" s="1" t="s">
        <v>41</v>
      </c>
      <c r="AE23" s="3">
        <f>AE22/Main!L3</f>
        <v>1543.1223990422479</v>
      </c>
    </row>
  </sheetData>
  <hyperlinks>
    <hyperlink ref="A1" location="Main!A1" display="Main" xr:uid="{CF442018-CA11-4612-826F-BAAD11D868FB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2026-05-04T13:28:26Z</dcterms:created>
  <dcterms:modified xsi:type="dcterms:W3CDTF">2026-08-13T15:13:01Z</dcterms:modified>
</cp:coreProperties>
</file>