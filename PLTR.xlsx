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405E7C9-54D3-4965-A2BB-1ED461953743}" xr6:coauthVersionLast="47" xr6:coauthVersionMax="47" xr10:uidLastSave="{00000000-0000-0000-0000-000000000000}"/>
  <bookViews>
    <workbookView xWindow="8180" yWindow="1760" windowWidth="28010" windowHeight="18220" xr2:uid="{AE04E6E4-A652-4DFB-A34B-BE287D9B2752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77" i="2" l="1"/>
  <c r="AB12" i="2"/>
  <c r="AA12" i="2"/>
  <c r="Z12" i="2"/>
  <c r="Y12" i="2"/>
  <c r="Y11" i="2"/>
  <c r="X12" i="2"/>
  <c r="AB11" i="2"/>
  <c r="AA11" i="2"/>
  <c r="AB10" i="2" s="1"/>
  <c r="AA10" i="2"/>
  <c r="AB9" i="2" s="1"/>
  <c r="AB8" i="2"/>
  <c r="Z11" i="2"/>
  <c r="Z10" i="2"/>
  <c r="AA9" i="2" s="1"/>
  <c r="AC29" i="2"/>
  <c r="AB3" i="2"/>
  <c r="U3" i="2"/>
  <c r="V3" i="2"/>
  <c r="W3" i="2"/>
  <c r="X3" i="2"/>
  <c r="Y3" i="2"/>
  <c r="Z3" i="2"/>
  <c r="Z63" i="2"/>
  <c r="Z62" i="2"/>
  <c r="Z61" i="2"/>
  <c r="Z51" i="2"/>
  <c r="Z31" i="2"/>
  <c r="AA3" i="2"/>
  <c r="AD29" i="2"/>
  <c r="AD45" i="2" s="1"/>
  <c r="AB29" i="2"/>
  <c r="AB45" i="2" s="1"/>
  <c r="Z66" i="2"/>
  <c r="AA61" i="2"/>
  <c r="AA62" i="2"/>
  <c r="Z57" i="2"/>
  <c r="AA51" i="2"/>
  <c r="AA57" i="2" s="1"/>
  <c r="AA87" i="2"/>
  <c r="Z87" i="2"/>
  <c r="Y87" i="2"/>
  <c r="Z82" i="2"/>
  <c r="Y82" i="2"/>
  <c r="AA81" i="2"/>
  <c r="AA82" i="2" s="1"/>
  <c r="AA76" i="2"/>
  <c r="AA77" i="2" s="1"/>
  <c r="AC32" i="2"/>
  <c r="AB32" i="2"/>
  <c r="AC34" i="2"/>
  <c r="AC49" i="2" s="1"/>
  <c r="AC33" i="2"/>
  <c r="AC48" i="2" s="1"/>
  <c r="AB33" i="2"/>
  <c r="AB48" i="2" s="1"/>
  <c r="AB34" i="2"/>
  <c r="AB49" i="2"/>
  <c r="AB42" i="2"/>
  <c r="AC42" i="2" s="1"/>
  <c r="AD42" i="2" s="1"/>
  <c r="AA45" i="2"/>
  <c r="AA35" i="2"/>
  <c r="AA31" i="2"/>
  <c r="AA46" i="2" s="1"/>
  <c r="L5" i="1"/>
  <c r="L3" i="1"/>
  <c r="AC30" i="2"/>
  <c r="AL29" i="2"/>
  <c r="Y62" i="2"/>
  <c r="Y61" i="2"/>
  <c r="Y63" i="2"/>
  <c r="Y51" i="2"/>
  <c r="Y57" i="2"/>
  <c r="Y31" i="2"/>
  <c r="X31" i="2"/>
  <c r="W84" i="2"/>
  <c r="X84" i="2" s="1"/>
  <c r="W81" i="2"/>
  <c r="W82" i="2" s="1"/>
  <c r="X88" i="2"/>
  <c r="X86" i="2"/>
  <c r="X85" i="2"/>
  <c r="X81" i="2"/>
  <c r="X82" i="2" s="1"/>
  <c r="X80" i="2"/>
  <c r="X72" i="2"/>
  <c r="X75" i="2"/>
  <c r="Y75" i="2" s="1"/>
  <c r="Z75" i="2" s="1"/>
  <c r="X74" i="2"/>
  <c r="Y74" i="2" s="1"/>
  <c r="Z74" i="2" s="1"/>
  <c r="X73" i="2"/>
  <c r="Y73" i="2" s="1"/>
  <c r="Z73" i="2" s="1"/>
  <c r="X71" i="2"/>
  <c r="Y71" i="2" s="1"/>
  <c r="Z71" i="2" s="1"/>
  <c r="X70" i="2"/>
  <c r="Y70" i="2" s="1"/>
  <c r="Z70" i="2" s="1"/>
  <c r="X69" i="2"/>
  <c r="Y69" i="2" s="1"/>
  <c r="Z69" i="2" s="1"/>
  <c r="X61" i="2"/>
  <c r="X63" i="2"/>
  <c r="X62" i="2"/>
  <c r="X66" i="2" s="1"/>
  <c r="X51" i="2"/>
  <c r="X57" i="2" s="1"/>
  <c r="S3" i="2"/>
  <c r="O24" i="2"/>
  <c r="N24" i="2"/>
  <c r="M24" i="2"/>
  <c r="O23" i="2"/>
  <c r="O21" i="2" s="1"/>
  <c r="N23" i="2"/>
  <c r="M23" i="2"/>
  <c r="O22" i="2"/>
  <c r="N22" i="2"/>
  <c r="M22" i="2"/>
  <c r="T3" i="2"/>
  <c r="P24" i="2"/>
  <c r="P23" i="2"/>
  <c r="P22" i="2"/>
  <c r="Q24" i="2"/>
  <c r="Q23" i="2"/>
  <c r="Q21" i="2" s="1"/>
  <c r="Q22" i="2"/>
  <c r="U24" i="2"/>
  <c r="T24" i="2"/>
  <c r="U23" i="2"/>
  <c r="T23" i="2"/>
  <c r="U22" i="2"/>
  <c r="T22" i="2"/>
  <c r="S24" i="2"/>
  <c r="S23" i="2"/>
  <c r="S21" i="2" s="1"/>
  <c r="W24" i="2"/>
  <c r="W23" i="2"/>
  <c r="S22" i="2"/>
  <c r="W22" i="2"/>
  <c r="AN77" i="2"/>
  <c r="AN78" i="2" s="1"/>
  <c r="W76" i="2"/>
  <c r="W77" i="2" s="1"/>
  <c r="W63" i="2"/>
  <c r="W62" i="2"/>
  <c r="W61" i="2"/>
  <c r="W51" i="2"/>
  <c r="W57" i="2" s="1"/>
  <c r="W34" i="2"/>
  <c r="AA49" i="2" s="1"/>
  <c r="W33" i="2"/>
  <c r="AA48" i="2" s="1"/>
  <c r="W32" i="2"/>
  <c r="AA47" i="2" s="1"/>
  <c r="W30" i="2"/>
  <c r="W31" i="2" s="1"/>
  <c r="Y66" i="2" l="1"/>
  <c r="AC45" i="2"/>
  <c r="AA66" i="2"/>
  <c r="AC31" i="2"/>
  <c r="AC46" i="2" s="1"/>
  <c r="AB30" i="2"/>
  <c r="AB31" i="2" s="1"/>
  <c r="AB46" i="2" s="1"/>
  <c r="AC35" i="2"/>
  <c r="AC36" i="2" s="1"/>
  <c r="AC38" i="2" s="1"/>
  <c r="AC40" i="2" s="1"/>
  <c r="AC41" i="2" s="1"/>
  <c r="AD30" i="2"/>
  <c r="AD31" i="2" s="1"/>
  <c r="AD46" i="2" s="1"/>
  <c r="AB35" i="2"/>
  <c r="AM29" i="2"/>
  <c r="AA36" i="2"/>
  <c r="AA38" i="2" s="1"/>
  <c r="AA40" i="2" s="1"/>
  <c r="AA89" i="2"/>
  <c r="X76" i="2"/>
  <c r="Y76" i="2" s="1"/>
  <c r="Z76" i="2" s="1"/>
  <c r="Z77" i="2" s="1"/>
  <c r="Z89" i="2" s="1"/>
  <c r="AB47" i="2"/>
  <c r="AC47" i="2"/>
  <c r="AB36" i="2"/>
  <c r="AB38" i="2" s="1"/>
  <c r="AB40" i="2" s="1"/>
  <c r="AB41" i="2" s="1"/>
  <c r="Y77" i="2"/>
  <c r="Y89" i="2" s="1"/>
  <c r="X77" i="2"/>
  <c r="W87" i="2"/>
  <c r="W89" i="2" s="1"/>
  <c r="X87" i="2"/>
  <c r="W66" i="2"/>
  <c r="X89" i="2"/>
  <c r="M21" i="2"/>
  <c r="N21" i="2"/>
  <c r="P21" i="2"/>
  <c r="T21" i="2"/>
  <c r="U21" i="2"/>
  <c r="W21" i="2"/>
  <c r="AH49" i="2"/>
  <c r="AH48" i="2"/>
  <c r="AH47" i="2"/>
  <c r="AJ42" i="2"/>
  <c r="AK42" i="2"/>
  <c r="AA41" i="2" l="1"/>
  <c r="AA68" i="2"/>
  <c r="AK65" i="2"/>
  <c r="AK64" i="2"/>
  <c r="AK60" i="2"/>
  <c r="AK59" i="2"/>
  <c r="AK56" i="2"/>
  <c r="AK55" i="2"/>
  <c r="AK54" i="2"/>
  <c r="AK53" i="2"/>
  <c r="AK52" i="2"/>
  <c r="Z46" i="2"/>
  <c r="R22" i="2"/>
  <c r="V22" i="2"/>
  <c r="R29" i="2"/>
  <c r="R3" i="2" s="1"/>
  <c r="R24" i="2"/>
  <c r="R23" i="2"/>
  <c r="R21" i="2" s="1"/>
  <c r="V24" i="2"/>
  <c r="V23" i="2"/>
  <c r="V21" i="2" s="1"/>
  <c r="O34" i="2"/>
  <c r="S34" i="2"/>
  <c r="S49" i="2" s="1"/>
  <c r="O33" i="2"/>
  <c r="S33" i="2"/>
  <c r="W48" i="2" s="1"/>
  <c r="O32" i="2"/>
  <c r="S32" i="2"/>
  <c r="O30" i="2"/>
  <c r="S30" i="2"/>
  <c r="P34" i="2"/>
  <c r="P33" i="2"/>
  <c r="P32" i="2"/>
  <c r="T34" i="2"/>
  <c r="T33" i="2"/>
  <c r="X48" i="2" s="1"/>
  <c r="T32" i="2"/>
  <c r="X47" i="2" s="1"/>
  <c r="P30" i="2"/>
  <c r="T30" i="2"/>
  <c r="R30" i="2"/>
  <c r="V30" i="2"/>
  <c r="Q34" i="2"/>
  <c r="Q33" i="2"/>
  <c r="Q32" i="2"/>
  <c r="Q30" i="2"/>
  <c r="U34" i="2"/>
  <c r="Y49" i="2" s="1"/>
  <c r="U33" i="2"/>
  <c r="Y48" i="2" s="1"/>
  <c r="U32" i="2"/>
  <c r="Y47" i="2" s="1"/>
  <c r="U30" i="2"/>
  <c r="R34" i="2"/>
  <c r="R49" i="2" s="1"/>
  <c r="V34" i="2"/>
  <c r="R33" i="2"/>
  <c r="R48" i="2" s="1"/>
  <c r="V33" i="2"/>
  <c r="R32" i="2"/>
  <c r="R47" i="2" s="1"/>
  <c r="V32" i="2"/>
  <c r="Z49" i="2" l="1"/>
  <c r="AD34" i="2"/>
  <c r="AD49" i="2" s="1"/>
  <c r="Z47" i="2"/>
  <c r="AD32" i="2"/>
  <c r="Z48" i="2"/>
  <c r="AD33" i="2"/>
  <c r="AD48" i="2" s="1"/>
  <c r="W49" i="2"/>
  <c r="AN29" i="2"/>
  <c r="AO29" i="2" s="1"/>
  <c r="AP29" i="2" s="1"/>
  <c r="AQ29" i="2" s="1"/>
  <c r="AR29" i="2" s="1"/>
  <c r="AS29" i="2" s="1"/>
  <c r="AT29" i="2" s="1"/>
  <c r="AU29" i="2" s="1"/>
  <c r="AV29" i="2" s="1"/>
  <c r="Y46" i="2"/>
  <c r="S48" i="2"/>
  <c r="V49" i="2"/>
  <c r="W47" i="2"/>
  <c r="AK32" i="2"/>
  <c r="AK33" i="2"/>
  <c r="AK34" i="2"/>
  <c r="AK30" i="2"/>
  <c r="T49" i="2"/>
  <c r="X49" i="2"/>
  <c r="X46" i="2"/>
  <c r="X35" i="2"/>
  <c r="X36" i="2" s="1"/>
  <c r="X38" i="2" s="1"/>
  <c r="Y35" i="2"/>
  <c r="Z35" i="2"/>
  <c r="Z36" i="2" s="1"/>
  <c r="Z38" i="2" s="1"/>
  <c r="Z40" i="2" s="1"/>
  <c r="T48" i="2"/>
  <c r="T47" i="2"/>
  <c r="U48" i="2"/>
  <c r="U49" i="2"/>
  <c r="U47" i="2"/>
  <c r="V48" i="2"/>
  <c r="S47" i="2"/>
  <c r="V47" i="2"/>
  <c r="Z41" i="2" l="1"/>
  <c r="Z68" i="2"/>
  <c r="AD47" i="2"/>
  <c r="AD35" i="2"/>
  <c r="AD36" i="2" s="1"/>
  <c r="AD38" i="2" s="1"/>
  <c r="AD40" i="2" s="1"/>
  <c r="AD41" i="2" s="1"/>
  <c r="AR45" i="2"/>
  <c r="AR31" i="2"/>
  <c r="AR30" i="2" s="1"/>
  <c r="Y36" i="2"/>
  <c r="Y38" i="2" s="1"/>
  <c r="Y40" i="2" s="1"/>
  <c r="X40" i="2"/>
  <c r="AM78" i="2"/>
  <c r="Z45" i="2"/>
  <c r="Y45" i="2"/>
  <c r="X45" i="2"/>
  <c r="W99" i="2"/>
  <c r="V62" i="2"/>
  <c r="AK62" i="2" s="1"/>
  <c r="V63" i="2"/>
  <c r="AK63" i="2" s="1"/>
  <c r="V61" i="2"/>
  <c r="AK61" i="2" s="1"/>
  <c r="V51" i="2"/>
  <c r="W35" i="2"/>
  <c r="W36" i="2" s="1"/>
  <c r="W38" i="2" s="1"/>
  <c r="W46" i="2"/>
  <c r="W45" i="2"/>
  <c r="V35" i="2"/>
  <c r="V31" i="2"/>
  <c r="V46" i="2" s="1"/>
  <c r="T63" i="2"/>
  <c r="T62" i="2"/>
  <c r="T61" i="2"/>
  <c r="T51" i="2"/>
  <c r="T57" i="2" s="1"/>
  <c r="T88" i="2"/>
  <c r="U88" i="2" s="1"/>
  <c r="V88" i="2" s="1"/>
  <c r="T86" i="2"/>
  <c r="U86" i="2" s="1"/>
  <c r="T85" i="2"/>
  <c r="U85" i="2" s="1"/>
  <c r="V85" i="2" s="1"/>
  <c r="T84" i="2"/>
  <c r="U84" i="2" s="1"/>
  <c r="V84" i="2" s="1"/>
  <c r="T80" i="2"/>
  <c r="U80" i="2" s="1"/>
  <c r="V80" i="2" s="1"/>
  <c r="T75" i="2"/>
  <c r="T74" i="2"/>
  <c r="T73" i="2"/>
  <c r="T72" i="2"/>
  <c r="T71" i="2"/>
  <c r="T70" i="2"/>
  <c r="T69" i="2"/>
  <c r="U61" i="2"/>
  <c r="U62" i="2"/>
  <c r="U63" i="2"/>
  <c r="U51" i="2"/>
  <c r="U57" i="2" s="1"/>
  <c r="U39" i="2"/>
  <c r="U37" i="2"/>
  <c r="T39" i="2"/>
  <c r="T37" i="2"/>
  <c r="T35" i="2"/>
  <c r="T31" i="2"/>
  <c r="T46" i="2" s="1"/>
  <c r="U35" i="2"/>
  <c r="U31" i="2"/>
  <c r="U46" i="2" s="1"/>
  <c r="AJ63" i="2"/>
  <c r="AJ62" i="2"/>
  <c r="AJ61" i="2"/>
  <c r="AJ51" i="2"/>
  <c r="AJ57" i="2" s="1"/>
  <c r="AH76" i="2"/>
  <c r="AH75" i="2"/>
  <c r="AH77" i="2" s="1"/>
  <c r="AI76" i="2"/>
  <c r="AI75" i="2"/>
  <c r="AJ76" i="2"/>
  <c r="AJ75" i="2"/>
  <c r="AJ28" i="2"/>
  <c r="AJ27" i="2"/>
  <c r="U45" i="2"/>
  <c r="AI29" i="2"/>
  <c r="AJ93" i="2"/>
  <c r="AI93" i="2"/>
  <c r="AJ14" i="2"/>
  <c r="AI14" i="2"/>
  <c r="O87" i="2"/>
  <c r="O81" i="2"/>
  <c r="O82" i="2" s="1"/>
  <c r="O76" i="2"/>
  <c r="O77" i="2" s="1"/>
  <c r="O39" i="2"/>
  <c r="O63" i="2"/>
  <c r="O62" i="2"/>
  <c r="O61" i="2"/>
  <c r="O51" i="2"/>
  <c r="O57" i="2" s="1"/>
  <c r="P61" i="2"/>
  <c r="P63" i="2"/>
  <c r="P62" i="2"/>
  <c r="P51" i="2"/>
  <c r="P57" i="2" s="1"/>
  <c r="L37" i="2"/>
  <c r="L31" i="2"/>
  <c r="P45" i="2"/>
  <c r="P39" i="2"/>
  <c r="P37" i="2"/>
  <c r="P35" i="2"/>
  <c r="P31" i="2"/>
  <c r="Q63" i="2"/>
  <c r="Q62" i="2"/>
  <c r="Q61" i="2"/>
  <c r="Q51" i="2"/>
  <c r="Q57" i="2" s="1"/>
  <c r="Q39" i="2"/>
  <c r="Q37" i="2"/>
  <c r="Q35" i="2"/>
  <c r="Q31" i="2"/>
  <c r="Q46" i="2" s="1"/>
  <c r="R63" i="2"/>
  <c r="R62" i="2"/>
  <c r="R61" i="2"/>
  <c r="R51" i="2"/>
  <c r="R57" i="2" s="1"/>
  <c r="N39" i="2"/>
  <c r="N37" i="2"/>
  <c r="N31" i="2"/>
  <c r="R39" i="2"/>
  <c r="R37" i="2"/>
  <c r="R35" i="2"/>
  <c r="R31" i="2"/>
  <c r="R46" i="2" s="1"/>
  <c r="T45" i="2"/>
  <c r="S87" i="2"/>
  <c r="S81" i="2"/>
  <c r="S82" i="2" s="1"/>
  <c r="S76" i="2"/>
  <c r="S63" i="2"/>
  <c r="S62" i="2"/>
  <c r="S61" i="2"/>
  <c r="S51" i="2"/>
  <c r="S57" i="2" s="1"/>
  <c r="O37" i="2"/>
  <c r="O35" i="2"/>
  <c r="S39" i="2"/>
  <c r="AK39" i="2" s="1"/>
  <c r="S37" i="2"/>
  <c r="AK37" i="2" s="1"/>
  <c r="S35" i="2"/>
  <c r="O45" i="2"/>
  <c r="O31" i="2"/>
  <c r="O46" i="2" s="1"/>
  <c r="S45" i="2"/>
  <c r="S31" i="2"/>
  <c r="L4" i="1"/>
  <c r="L7" i="1" s="1"/>
  <c r="AI34" i="2"/>
  <c r="AI33" i="2"/>
  <c r="AI32" i="2"/>
  <c r="AI47" i="2" s="1"/>
  <c r="M34" i="2"/>
  <c r="M33" i="2"/>
  <c r="M32" i="2"/>
  <c r="N45" i="2"/>
  <c r="M31" i="2"/>
  <c r="L45" i="2"/>
  <c r="D39" i="2"/>
  <c r="D37" i="2"/>
  <c r="D35" i="2"/>
  <c r="D31" i="2"/>
  <c r="D46" i="2" s="1"/>
  <c r="H37" i="2"/>
  <c r="H45" i="2"/>
  <c r="H35" i="2"/>
  <c r="H31" i="2"/>
  <c r="E37" i="2"/>
  <c r="E35" i="2"/>
  <c r="E31" i="2"/>
  <c r="E46" i="2" s="1"/>
  <c r="I45" i="2"/>
  <c r="I37" i="2"/>
  <c r="I35" i="2"/>
  <c r="I31" i="2"/>
  <c r="I46" i="2" s="1"/>
  <c r="AH45" i="2"/>
  <c r="AG37" i="2"/>
  <c r="AH37" i="2"/>
  <c r="AH35" i="2"/>
  <c r="AG35" i="2"/>
  <c r="AG31" i="2"/>
  <c r="AH31" i="2"/>
  <c r="AH46" i="2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J45" i="2"/>
  <c r="F37" i="2"/>
  <c r="F35" i="2"/>
  <c r="F31" i="2"/>
  <c r="F46" i="2" s="1"/>
  <c r="J37" i="2"/>
  <c r="J35" i="2"/>
  <c r="J31" i="2"/>
  <c r="J46" i="2" s="1"/>
  <c r="M42" i="2"/>
  <c r="K63" i="2"/>
  <c r="K62" i="2"/>
  <c r="K61" i="2"/>
  <c r="K51" i="2"/>
  <c r="K57" i="2" s="1"/>
  <c r="K45" i="2"/>
  <c r="K37" i="2"/>
  <c r="G37" i="2"/>
  <c r="G35" i="2"/>
  <c r="G31" i="2"/>
  <c r="G46" i="2" s="1"/>
  <c r="K35" i="2"/>
  <c r="K31" i="2"/>
  <c r="AR46" i="2" l="1"/>
  <c r="AS45" i="2"/>
  <c r="AS31" i="2"/>
  <c r="AS30" i="2" s="1"/>
  <c r="AK66" i="2"/>
  <c r="Y41" i="2"/>
  <c r="Y68" i="2"/>
  <c r="X41" i="2"/>
  <c r="X68" i="2"/>
  <c r="AJ33" i="2"/>
  <c r="AI48" i="2"/>
  <c r="V57" i="2"/>
  <c r="AK51" i="2"/>
  <c r="S77" i="2"/>
  <c r="U69" i="2"/>
  <c r="V69" i="2" s="1"/>
  <c r="AK69" i="2" s="1"/>
  <c r="U70" i="2"/>
  <c r="V70" i="2" s="1"/>
  <c r="AK70" i="2" s="1"/>
  <c r="U71" i="2"/>
  <c r="V71" i="2" s="1"/>
  <c r="AK71" i="2" s="1"/>
  <c r="U72" i="2"/>
  <c r="V72" i="2" s="1"/>
  <c r="U74" i="2"/>
  <c r="V74" i="2" s="1"/>
  <c r="U75" i="2"/>
  <c r="V75" i="2" s="1"/>
  <c r="AK75" i="2" s="1"/>
  <c r="AJ34" i="2"/>
  <c r="AI49" i="2"/>
  <c r="AI77" i="2"/>
  <c r="U73" i="2"/>
  <c r="V73" i="2" s="1"/>
  <c r="AK73" i="2" s="1"/>
  <c r="U66" i="2"/>
  <c r="U87" i="2"/>
  <c r="V86" i="2"/>
  <c r="V87" i="2" s="1"/>
  <c r="P36" i="2"/>
  <c r="P38" i="2" s="1"/>
  <c r="P40" i="2" s="1"/>
  <c r="P41" i="2" s="1"/>
  <c r="V36" i="2"/>
  <c r="V38" i="2" s="1"/>
  <c r="V40" i="2" s="1"/>
  <c r="V41" i="2" s="1"/>
  <c r="V66" i="2"/>
  <c r="W40" i="2"/>
  <c r="AJ29" i="2"/>
  <c r="T76" i="2"/>
  <c r="U76" i="2" s="1"/>
  <c r="V76" i="2" s="1"/>
  <c r="T81" i="2"/>
  <c r="U81" i="2" s="1"/>
  <c r="T87" i="2"/>
  <c r="O66" i="2"/>
  <c r="T66" i="2"/>
  <c r="U36" i="2"/>
  <c r="U38" i="2" s="1"/>
  <c r="U40" i="2" s="1"/>
  <c r="T36" i="2"/>
  <c r="T38" i="2" s="1"/>
  <c r="T40" i="2" s="1"/>
  <c r="R66" i="2"/>
  <c r="K36" i="2"/>
  <c r="K38" i="2" s="1"/>
  <c r="K40" i="2" s="1"/>
  <c r="K41" i="2" s="1"/>
  <c r="AJ77" i="2"/>
  <c r="Q66" i="2"/>
  <c r="AJ66" i="2"/>
  <c r="P66" i="2"/>
  <c r="P46" i="2"/>
  <c r="R45" i="2"/>
  <c r="Q36" i="2"/>
  <c r="Q38" i="2" s="1"/>
  <c r="Q40" i="2" s="1"/>
  <c r="Q41" i="2" s="1"/>
  <c r="O89" i="2"/>
  <c r="Q45" i="2"/>
  <c r="R36" i="2"/>
  <c r="R38" i="2" s="1"/>
  <c r="R40" i="2" s="1"/>
  <c r="R41" i="2" s="1"/>
  <c r="S89" i="2"/>
  <c r="S66" i="2"/>
  <c r="O36" i="2"/>
  <c r="O38" i="2" s="1"/>
  <c r="O40" i="2" s="1"/>
  <c r="S36" i="2"/>
  <c r="S38" i="2" s="1"/>
  <c r="S40" i="2" s="1"/>
  <c r="AG36" i="2"/>
  <c r="S46" i="2"/>
  <c r="AG38" i="2"/>
  <c r="AG40" i="2" s="1"/>
  <c r="AG41" i="2" s="1"/>
  <c r="K46" i="2"/>
  <c r="AI35" i="2"/>
  <c r="AG46" i="2"/>
  <c r="AI31" i="2"/>
  <c r="AI46" i="2" s="1"/>
  <c r="M30" i="2"/>
  <c r="M46" i="2"/>
  <c r="AI42" i="2"/>
  <c r="N35" i="2"/>
  <c r="M35" i="2"/>
  <c r="M36" i="2" s="1"/>
  <c r="M38" i="2" s="1"/>
  <c r="M40" i="2" s="1"/>
  <c r="M41" i="2" s="1"/>
  <c r="AH36" i="2"/>
  <c r="AH38" i="2" s="1"/>
  <c r="AH40" i="2" s="1"/>
  <c r="M45" i="2"/>
  <c r="K66" i="2"/>
  <c r="L35" i="2"/>
  <c r="L36" i="2" s="1"/>
  <c r="L38" i="2" s="1"/>
  <c r="L40" i="2" s="1"/>
  <c r="L41" i="2" s="1"/>
  <c r="AJ32" i="2"/>
  <c r="D36" i="2"/>
  <c r="D38" i="2" s="1"/>
  <c r="D40" i="2" s="1"/>
  <c r="D41" i="2" s="1"/>
  <c r="H36" i="2"/>
  <c r="H38" i="2" s="1"/>
  <c r="H40" i="2" s="1"/>
  <c r="H41" i="2" s="1"/>
  <c r="H46" i="2"/>
  <c r="E36" i="2"/>
  <c r="E38" i="2" s="1"/>
  <c r="E40" i="2" s="1"/>
  <c r="E41" i="2" s="1"/>
  <c r="I36" i="2"/>
  <c r="I38" i="2" s="1"/>
  <c r="I40" i="2" s="1"/>
  <c r="I41" i="2" s="1"/>
  <c r="L46" i="2"/>
  <c r="F36" i="2"/>
  <c r="F38" i="2" s="1"/>
  <c r="F40" i="2" s="1"/>
  <c r="F41" i="2" s="1"/>
  <c r="J36" i="2"/>
  <c r="J38" i="2" s="1"/>
  <c r="J40" i="2" s="1"/>
  <c r="J41" i="2" s="1"/>
  <c r="G36" i="2"/>
  <c r="G38" i="2" s="1"/>
  <c r="G40" i="2" s="1"/>
  <c r="G41" i="2" s="1"/>
  <c r="AK57" i="2" l="1"/>
  <c r="AL37" i="2"/>
  <c r="AS46" i="2"/>
  <c r="AT45" i="2"/>
  <c r="AT31" i="2"/>
  <c r="AT30" i="2" s="1"/>
  <c r="T82" i="2"/>
  <c r="V77" i="2"/>
  <c r="V99" i="2" s="1"/>
  <c r="AK72" i="2"/>
  <c r="W41" i="2"/>
  <c r="W68" i="2"/>
  <c r="V68" i="2"/>
  <c r="U77" i="2"/>
  <c r="U99" i="2" s="1"/>
  <c r="AL34" i="2"/>
  <c r="AJ49" i="2"/>
  <c r="AK49" i="2"/>
  <c r="AK74" i="2"/>
  <c r="AJ78" i="2"/>
  <c r="AJ47" i="2"/>
  <c r="AK47" i="2"/>
  <c r="T77" i="2"/>
  <c r="T89" i="2" s="1"/>
  <c r="AK76" i="2"/>
  <c r="AK77" i="2" s="1"/>
  <c r="AL33" i="2"/>
  <c r="AJ48" i="2"/>
  <c r="AK48" i="2"/>
  <c r="U82" i="2"/>
  <c r="U89" i="2" s="1"/>
  <c r="V81" i="2"/>
  <c r="V82" i="2" s="1"/>
  <c r="V89" i="2" s="1"/>
  <c r="T41" i="2"/>
  <c r="T68" i="2"/>
  <c r="U41" i="2"/>
  <c r="U68" i="2"/>
  <c r="AH41" i="2"/>
  <c r="AH68" i="2"/>
  <c r="V45" i="2"/>
  <c r="AK29" i="2"/>
  <c r="AK31" i="2" s="1"/>
  <c r="O41" i="2"/>
  <c r="O68" i="2"/>
  <c r="S41" i="2"/>
  <c r="S68" i="2"/>
  <c r="N36" i="2"/>
  <c r="AI36" i="2"/>
  <c r="AI38" i="2" s="1"/>
  <c r="AI40" i="2" s="1"/>
  <c r="N46" i="2"/>
  <c r="AI45" i="2"/>
  <c r="AI30" i="2"/>
  <c r="AL42" i="2"/>
  <c r="AM42" i="2" s="1"/>
  <c r="AN42" i="2" s="1"/>
  <c r="AO42" i="2" s="1"/>
  <c r="AP42" i="2" s="1"/>
  <c r="AQ42" i="2" s="1"/>
  <c r="AR42" i="2" s="1"/>
  <c r="AS42" i="2" s="1"/>
  <c r="AT42" i="2" s="1"/>
  <c r="AU42" i="2" s="1"/>
  <c r="AV42" i="2" s="1"/>
  <c r="AJ35" i="2"/>
  <c r="AU45" i="2" l="1"/>
  <c r="AU31" i="2"/>
  <c r="AU30" i="2" s="1"/>
  <c r="AT46" i="2"/>
  <c r="AL78" i="2"/>
  <c r="AK78" i="2"/>
  <c r="AM33" i="2"/>
  <c r="AL48" i="2"/>
  <c r="AM34" i="2"/>
  <c r="AL49" i="2"/>
  <c r="AK68" i="2"/>
  <c r="AI41" i="2"/>
  <c r="AI68" i="2"/>
  <c r="N38" i="2"/>
  <c r="N40" i="2" s="1"/>
  <c r="N41" i="2" s="1"/>
  <c r="AJ45" i="2"/>
  <c r="AJ31" i="2"/>
  <c r="AJ46" i="2" s="1"/>
  <c r="AL32" i="2"/>
  <c r="AL47" i="2" s="1"/>
  <c r="AK35" i="2"/>
  <c r="AK46" i="2"/>
  <c r="AK45" i="2"/>
  <c r="AV45" i="2" l="1"/>
  <c r="AV31" i="2"/>
  <c r="AV30" i="2" s="1"/>
  <c r="AU46" i="2"/>
  <c r="AN33" i="2"/>
  <c r="AM48" i="2"/>
  <c r="AN34" i="2"/>
  <c r="AM49" i="2"/>
  <c r="AJ30" i="2"/>
  <c r="AJ36" i="2"/>
  <c r="AJ38" i="2" s="1"/>
  <c r="AJ40" i="2" s="1"/>
  <c r="AL45" i="2"/>
  <c r="AL31" i="2"/>
  <c r="AL46" i="2" s="1"/>
  <c r="AK36" i="2"/>
  <c r="AK38" i="2" s="1"/>
  <c r="AK40" i="2" s="1"/>
  <c r="AK41" i="2" s="1"/>
  <c r="AL35" i="2"/>
  <c r="AM32" i="2"/>
  <c r="AM47" i="2" s="1"/>
  <c r="AV46" i="2" l="1"/>
  <c r="AO34" i="2"/>
  <c r="AN49" i="2"/>
  <c r="AO33" i="2"/>
  <c r="AN48" i="2"/>
  <c r="AJ41" i="2"/>
  <c r="AJ68" i="2"/>
  <c r="AL36" i="2"/>
  <c r="AL38" i="2" s="1"/>
  <c r="AL39" i="2" s="1"/>
  <c r="AL40" i="2" s="1"/>
  <c r="AL30" i="2"/>
  <c r="AM35" i="2"/>
  <c r="AN32" i="2"/>
  <c r="AN47" i="2" s="1"/>
  <c r="AM45" i="2"/>
  <c r="AM31" i="2"/>
  <c r="AL41" i="2" l="1"/>
  <c r="AL51" i="2"/>
  <c r="AO48" i="2"/>
  <c r="AP33" i="2"/>
  <c r="AO49" i="2"/>
  <c r="AP34" i="2"/>
  <c r="AM30" i="2"/>
  <c r="AM46" i="2"/>
  <c r="AM36" i="2"/>
  <c r="AN45" i="2"/>
  <c r="AN31" i="2"/>
  <c r="AN35" i="2"/>
  <c r="AO32" i="2"/>
  <c r="AO47" i="2" s="1"/>
  <c r="AM37" i="2" l="1"/>
  <c r="AM38" i="2" s="1"/>
  <c r="AM39" i="2" s="1"/>
  <c r="AM40" i="2" s="1"/>
  <c r="AQ34" i="2"/>
  <c r="AP49" i="2"/>
  <c r="AQ33" i="2"/>
  <c r="AP48" i="2"/>
  <c r="AO35" i="2"/>
  <c r="AP32" i="2"/>
  <c r="AP47" i="2" s="1"/>
  <c r="AP45" i="2"/>
  <c r="AP31" i="2"/>
  <c r="AP30" i="2" s="1"/>
  <c r="AN36" i="2"/>
  <c r="AN46" i="2"/>
  <c r="AO45" i="2"/>
  <c r="AO31" i="2"/>
  <c r="AN30" i="2"/>
  <c r="AQ48" i="2" l="1"/>
  <c r="AR33" i="2"/>
  <c r="AQ49" i="2"/>
  <c r="AR34" i="2"/>
  <c r="AM41" i="2"/>
  <c r="AM51" i="2"/>
  <c r="AQ32" i="2"/>
  <c r="AR32" i="2" s="1"/>
  <c r="AP35" i="2"/>
  <c r="AP36" i="2" s="1"/>
  <c r="AP46" i="2"/>
  <c r="AQ45" i="2"/>
  <c r="AQ31" i="2"/>
  <c r="AQ30" i="2" s="1"/>
  <c r="AO46" i="2"/>
  <c r="AO36" i="2"/>
  <c r="AO30" i="2"/>
  <c r="AS33" i="2" l="1"/>
  <c r="AR48" i="2"/>
  <c r="AS32" i="2"/>
  <c r="AR47" i="2"/>
  <c r="AR35" i="2"/>
  <c r="AR36" i="2" s="1"/>
  <c r="AS34" i="2"/>
  <c r="AR49" i="2"/>
  <c r="AN37" i="2"/>
  <c r="AN38" i="2" s="1"/>
  <c r="AN39" i="2" s="1"/>
  <c r="AN40" i="2" s="1"/>
  <c r="AN41" i="2" s="1"/>
  <c r="AQ35" i="2"/>
  <c r="AQ36" i="2" s="1"/>
  <c r="AQ47" i="2"/>
  <c r="AQ46" i="2"/>
  <c r="AT33" i="2" l="1"/>
  <c r="AS48" i="2"/>
  <c r="AS47" i="2"/>
  <c r="AS35" i="2"/>
  <c r="AS36" i="2" s="1"/>
  <c r="AT32" i="2"/>
  <c r="AT34" i="2"/>
  <c r="AS49" i="2"/>
  <c r="AN51" i="2"/>
  <c r="AU34" i="2" l="1"/>
  <c r="AT49" i="2"/>
  <c r="AT47" i="2"/>
  <c r="AT35" i="2"/>
  <c r="AT36" i="2" s="1"/>
  <c r="AU32" i="2"/>
  <c r="AU33" i="2"/>
  <c r="AT48" i="2"/>
  <c r="AO37" i="2"/>
  <c r="AO38" i="2" s="1"/>
  <c r="AO39" i="2" s="1"/>
  <c r="AO40" i="2" s="1"/>
  <c r="AO41" i="2" s="1"/>
  <c r="AV33" i="2" l="1"/>
  <c r="AV48" i="2" s="1"/>
  <c r="AU48" i="2"/>
  <c r="AU47" i="2"/>
  <c r="AV32" i="2"/>
  <c r="AU35" i="2"/>
  <c r="AU36" i="2" s="1"/>
  <c r="AV34" i="2"/>
  <c r="AV49" i="2" s="1"/>
  <c r="AU49" i="2"/>
  <c r="AO51" i="2"/>
  <c r="AV35" i="2" l="1"/>
  <c r="AV36" i="2" s="1"/>
  <c r="AV47" i="2"/>
  <c r="AP37" i="2"/>
  <c r="AP38" i="2" s="1"/>
  <c r="AP39" i="2" s="1"/>
  <c r="AP40" i="2" s="1"/>
  <c r="AP41" i="2" l="1"/>
  <c r="AP51" i="2"/>
  <c r="AQ37" i="2" l="1"/>
  <c r="AQ38" i="2" s="1"/>
  <c r="AQ39" i="2" s="1"/>
  <c r="AQ40" i="2" s="1"/>
  <c r="AQ41" i="2" l="1"/>
  <c r="AQ51" i="2"/>
  <c r="AR37" i="2" l="1"/>
  <c r="AR38" i="2" s="1"/>
  <c r="AR39" i="2" s="1"/>
  <c r="AR40" i="2" s="1"/>
  <c r="AR51" i="2" s="1"/>
  <c r="AS37" i="2" l="1"/>
  <c r="AS38" i="2" s="1"/>
  <c r="AS39" i="2" s="1"/>
  <c r="AS40" i="2" s="1"/>
  <c r="AS41" i="2" s="1"/>
  <c r="AR41" i="2"/>
  <c r="AS51" i="2" l="1"/>
  <c r="AT37" i="2" s="1"/>
  <c r="AT38" i="2" s="1"/>
  <c r="AT39" i="2" s="1"/>
  <c r="AT40" i="2" s="1"/>
  <c r="AT51" i="2" s="1"/>
  <c r="AU37" i="2" l="1"/>
  <c r="AU38" i="2" s="1"/>
  <c r="AU39" i="2" s="1"/>
  <c r="AU40" i="2" s="1"/>
  <c r="AU41" i="2" s="1"/>
  <c r="AT41" i="2"/>
  <c r="AU51" i="2" l="1"/>
  <c r="AV37" i="2" l="1"/>
  <c r="AV38" i="2" s="1"/>
  <c r="AV39" i="2" s="1"/>
  <c r="AV40" i="2" s="1"/>
  <c r="AW40" i="2" l="1"/>
  <c r="AX40" i="2" s="1"/>
  <c r="AY40" i="2" s="1"/>
  <c r="AZ40" i="2" s="1"/>
  <c r="BA40" i="2" s="1"/>
  <c r="BB40" i="2" s="1"/>
  <c r="BC40" i="2" s="1"/>
  <c r="BD40" i="2" s="1"/>
  <c r="BE40" i="2" s="1"/>
  <c r="BF40" i="2" s="1"/>
  <c r="BG40" i="2" s="1"/>
  <c r="BH40" i="2" s="1"/>
  <c r="BI40" i="2" s="1"/>
  <c r="BJ40" i="2" s="1"/>
  <c r="BK40" i="2" s="1"/>
  <c r="BL40" i="2" s="1"/>
  <c r="BM40" i="2" s="1"/>
  <c r="BN40" i="2" s="1"/>
  <c r="BO40" i="2" s="1"/>
  <c r="BP40" i="2" s="1"/>
  <c r="BQ40" i="2" s="1"/>
  <c r="BR40" i="2" s="1"/>
  <c r="BS40" i="2" s="1"/>
  <c r="BT40" i="2" s="1"/>
  <c r="BU40" i="2" s="1"/>
  <c r="BV40" i="2" s="1"/>
  <c r="BW40" i="2" s="1"/>
  <c r="BX40" i="2" s="1"/>
  <c r="BY40" i="2" s="1"/>
  <c r="BZ40" i="2" s="1"/>
  <c r="CA40" i="2" s="1"/>
  <c r="CB40" i="2" s="1"/>
  <c r="CC40" i="2" s="1"/>
  <c r="CD40" i="2" s="1"/>
  <c r="CE40" i="2" s="1"/>
  <c r="CF40" i="2" s="1"/>
  <c r="CG40" i="2" s="1"/>
  <c r="CH40" i="2" s="1"/>
  <c r="CI40" i="2" s="1"/>
  <c r="CJ40" i="2" s="1"/>
  <c r="CK40" i="2" s="1"/>
  <c r="CL40" i="2" s="1"/>
  <c r="CM40" i="2" s="1"/>
  <c r="CN40" i="2" s="1"/>
  <c r="CO40" i="2" s="1"/>
  <c r="CP40" i="2" s="1"/>
  <c r="CQ40" i="2" s="1"/>
  <c r="CR40" i="2" s="1"/>
  <c r="CS40" i="2" s="1"/>
  <c r="CT40" i="2" s="1"/>
  <c r="CU40" i="2" s="1"/>
  <c r="CV40" i="2" s="1"/>
  <c r="CW40" i="2" s="1"/>
  <c r="CX40" i="2" s="1"/>
  <c r="CY40" i="2" s="1"/>
  <c r="CZ40" i="2" s="1"/>
  <c r="DA40" i="2" s="1"/>
  <c r="DB40" i="2" s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AV41" i="2"/>
  <c r="AV51" i="2"/>
  <c r="AY47" i="2" l="1"/>
  <c r="AY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tc={D9E34F5C-EE95-4455-81F4-92DEA755CAC7}</author>
    <author>tc={C77F5BE1-47BF-481E-8DF3-1990C840C1DA}</author>
    <author>tc={840217CC-5674-4F6B-90EE-E19650224FA3}</author>
    <author>tc={90C905D7-7F6A-49EF-AFF8-5924934F8021}</author>
    <author>tc={171EA1C7-9DF2-4E4E-94A2-7E461FD1245C}</author>
    <author>tc={D69B3F97-7C79-4F03-B9BA-ACE1F4C6198E}</author>
    <author>tc={54C07574-03BA-4CE9-81A6-E1E3077759F1}</author>
    <author>tc={BD4679AD-E4F1-4099-930D-0A439EE55BBF}</author>
    <author>tc={5D579E32-7183-4E53-9254-36DD804F83F1}</author>
    <author>tc={59AEBFE7-23A9-4BE7-8FFB-86FDB254C79B}</author>
    <author>tc={C470BB18-0F4C-44B0-93AD-5E345DF9353B}</author>
    <author>tc={9F05D50C-5F46-4483-B1EC-E30654228ED6}</author>
    <author>tc={BB6BE58D-D166-4019-AB40-A6547614C30C}</author>
    <author>tc={4718D922-3642-4B6E-9947-FAF641F97E57}</author>
    <author>tc={9ECDA8CE-CCBF-4EF1-B8E5-9B186E5F3F67}</author>
    <author>tc={4CD5B200-8831-4A55-912D-586E0C3A285E}</author>
    <author>tc={7FB04DE7-58D8-49D7-B511-A899F9660455}</author>
    <author>tc={41832036-F80E-4CB0-9251-479B3DE7AD55}</author>
    <author>tc={2E33821A-1F91-411A-90FE-40FD5ECD9135}</author>
  </authors>
  <commentList>
    <comment ref="R29" authorId="0" shapeId="0" xr:uid="{D9E34F5C-EE95-4455-81F4-92DEA755CAC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Q323 guidance: 599-603m</t>
      </text>
    </comment>
    <comment ref="S29" authorId="1" shapeId="0" xr:uid="{C77F5BE1-47BF-481E-8DF3-1990C840C1DA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612-616m</t>
      </text>
    </comment>
    <comment ref="T29" authorId="2" shapeId="0" xr:uid="{840217CC-5674-4F6B-90EE-E19650224FA3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 guidance: 649-653m</t>
      </text>
    </comment>
    <comment ref="U29" authorId="3" shapeId="0" xr:uid="{90C905D7-7F6A-49EF-AFF8-5924934F8021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 guidance: 697-701m</t>
      </text>
    </comment>
    <comment ref="V29" authorId="4" shapeId="0" xr:uid="{171EA1C7-9DF2-4E4E-94A2-7E461FD1245C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guidance: 767-771</t>
      </text>
    </comment>
    <comment ref="W29" authorId="5" shapeId="0" xr:uid="{D69B3F97-7C79-4F03-B9BA-ACE1F4C6198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858-862m</t>
      </text>
    </comment>
    <comment ref="X29" authorId="6" shapeId="0" xr:uid="{54C07574-03BA-4CE9-81A6-E1E3077759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899m 5/5/25
Guidance from Q1: 934-938</t>
      </text>
    </comment>
    <comment ref="Y29" authorId="7" shapeId="0" xr:uid="{BD4679AD-E4F1-4099-930D-0A439EE55BBF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982m consensus
11/3/25: 1090m consensus
Q2 guidance: 1.083-1.087m</t>
      </text>
    </comment>
    <comment ref="Z29" authorId="8" shapeId="0" xr:uid="{5D579E32-7183-4E53-9254-36DD804F83F1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1090m consensus
11/3/25: 1180m consensus</t>
      </text>
    </comment>
    <comment ref="AA29" authorId="9" shapeId="0" xr:uid="{59AEBFE7-23A9-4BE7-8FFB-86FDB254C79B}">
      <text>
        <t>[Threaded comment]
Your version of Excel allows you to read this threaded comment; however, any edits to it will get removed if the file is opened in a newer version of Excel. Learn more: https://go.microsoft.com/fwlink/?linkid=870924
Comment:
    Q425 guidance: 1532-1536m</t>
      </text>
    </comment>
    <comment ref="AB29" authorId="10" shapeId="0" xr:uid="{C470BB18-0F4C-44B0-93AD-5E345DF9353B}">
      <text>
        <t>[Threaded comment]
Your version of Excel allows you to read this threaded comment; however, any edits to it will get removed if the file is opened in a newer version of Excel. Learn more: https://go.microsoft.com/fwlink/?linkid=870924
Comment:
    8/3/26 consensus: 1810m</t>
      </text>
    </comment>
    <comment ref="AC29" authorId="11" shapeId="0" xr:uid="{9F05D50C-5F46-4483-B1EC-E30654228ED6}">
      <text>
        <t>[Threaded comment]
Your version of Excel allows you to read this threaded comment; however, any edits to it will get removed if the file is opened in a newer version of Excel. Learn more: https://go.microsoft.com/fwlink/?linkid=870924
Comment:
    8/3/26 consensus: 2000m</t>
      </text>
    </comment>
    <comment ref="AD29" authorId="12" shapeId="0" xr:uid="{BB6BE58D-D166-4019-AB40-A6547614C30C}">
      <text>
        <t>[Threaded comment]
Your version of Excel allows you to read this threaded comment; however, any edits to it will get removed if the file is opened in a newer version of Excel. Learn more: https://go.microsoft.com/fwlink/?linkid=870924
Comment:
    8/3 consensus: 2290m</t>
      </text>
    </comment>
    <comment ref="AL29" authorId="13" shapeId="0" xr:uid="{4718D922-3642-4B6E-9947-FAF641F97E57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3.741-3.757B
Q1 guidance: 3.890-3.902B
11/3/25 consensus: 4140m</t>
      </text>
    </comment>
    <comment ref="AM29" authorId="14" shapeId="0" xr:uid="{9ECDA8CE-CCBF-4EF1-B8E5-9B186E5F3F67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5010 consensus
11/3/25: 5630 consensus
Q126 guidance: 7.650-7.662</t>
      </text>
    </comment>
    <comment ref="W40" authorId="15" shapeId="0" xr:uid="{4CD5B200-8831-4A55-912D-586E0C3A285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354-358m adj income</t>
      </text>
    </comment>
    <comment ref="AL40" authorId="16" shapeId="0" xr:uid="{7FB04DE7-58D8-49D7-B511-A899F966045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Adj NI: 1.551-1.567B
Q125 guidance: 1.6-1.8B</t>
      </text>
    </comment>
    <comment ref="W41" authorId="17" shapeId="0" xr:uid="{41832036-F80E-4CB0-9251-479B3DE7AD55}">
      <text>
        <t>[Threaded comment]
Your version of Excel allows you to read this threaded comment; however, any edits to it will get removed if the file is opened in a newer version of Excel. Learn more: https://go.microsoft.com/fwlink/?linkid=870924
Comment:
    0.13 consensus 5/5/25</t>
      </text>
    </comment>
    <comment ref="X41" authorId="18" shapeId="0" xr:uid="{2E33821A-1F91-411A-90FE-40FD5ECD9135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 consensus: 0.14</t>
      </text>
    </comment>
  </commentList>
</comments>
</file>

<file path=xl/sharedStrings.xml><?xml version="1.0" encoding="utf-8"?>
<sst xmlns="http://schemas.openxmlformats.org/spreadsheetml/2006/main" count="136" uniqueCount="125">
  <si>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</si>
  <si>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</si>
  <si>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</si>
  <si>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</si>
  <si>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</si>
  <si>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</si>
  <si>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</si>
  <si>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</si>
  <si>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</si>
  <si>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</si>
  <si>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</si>
  <si>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</si>
  <si>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</si>
  <si>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</si>
  <si>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</si>
  <si>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</si>
  <si>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</si>
  <si>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</si>
  <si>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</si>
  <si>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</si>
  <si>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COGS</t>
  </si>
  <si>
    <t>Gross Profit</t>
  </si>
  <si>
    <t>S&amp;M</t>
  </si>
  <si>
    <t>R&amp;D</t>
  </si>
  <si>
    <t>G&amp;A</t>
  </si>
  <si>
    <t>OpEx</t>
  </si>
  <si>
    <t>OpInc</t>
  </si>
  <si>
    <t>IntInc</t>
  </si>
  <si>
    <t>Pretax Income</t>
  </si>
  <si>
    <t>S/O</t>
  </si>
  <si>
    <t>Taxes</t>
  </si>
  <si>
    <t>Net Income</t>
  </si>
  <si>
    <t>Revenue Growth</t>
  </si>
  <si>
    <t>Gross Margin</t>
  </si>
  <si>
    <t>AR</t>
  </si>
  <si>
    <t>Prepaids</t>
  </si>
  <si>
    <t>PP&amp;E</t>
  </si>
  <si>
    <t>Lease</t>
  </si>
  <si>
    <t>Other</t>
  </si>
  <si>
    <t>Assets</t>
  </si>
  <si>
    <t>AP</t>
  </si>
  <si>
    <t>AL</t>
  </si>
  <si>
    <t>DR</t>
  </si>
  <si>
    <t>Customer</t>
  </si>
  <si>
    <t>SE</t>
  </si>
  <si>
    <t>L+SE</t>
  </si>
  <si>
    <t>ONCL</t>
  </si>
  <si>
    <t>CFFO</t>
  </si>
  <si>
    <t>Q123</t>
  </si>
  <si>
    <t>Q223</t>
  </si>
  <si>
    <t>Q323</t>
  </si>
  <si>
    <t>Q423</t>
  </si>
  <si>
    <t>Q124</t>
  </si>
  <si>
    <t>Q224</t>
  </si>
  <si>
    <t>Q324</t>
  </si>
  <si>
    <t>Q424</t>
  </si>
  <si>
    <t>Model NI</t>
  </si>
  <si>
    <t>Reported NI</t>
  </si>
  <si>
    <t>D&amp;A</t>
  </si>
  <si>
    <t>SBC</t>
  </si>
  <si>
    <t>Loss on Stocks</t>
  </si>
  <si>
    <t>Noncash Consideration</t>
  </si>
  <si>
    <t>WC</t>
  </si>
  <si>
    <t>CFFI</t>
  </si>
  <si>
    <t>Investments</t>
  </si>
  <si>
    <t>CIC</t>
  </si>
  <si>
    <t>FX</t>
  </si>
  <si>
    <t>CFFF</t>
  </si>
  <si>
    <t>ESOP</t>
  </si>
  <si>
    <t>Buyback</t>
  </si>
  <si>
    <t>Commercial</t>
  </si>
  <si>
    <t>Government</t>
  </si>
  <si>
    <t>Gotham, Foundry, Apollo, and AIP</t>
  </si>
  <si>
    <t>Founded</t>
  </si>
  <si>
    <t>Started in counterterrorism</t>
  </si>
  <si>
    <t>Gotham</t>
  </si>
  <si>
    <t>Foundry</t>
  </si>
  <si>
    <t>AIP</t>
  </si>
  <si>
    <t>AI + big data</t>
  </si>
  <si>
    <t>Apollo</t>
  </si>
  <si>
    <t>big data for industry</t>
  </si>
  <si>
    <t>cloud</t>
  </si>
  <si>
    <t>55% of revenue is gov</t>
  </si>
  <si>
    <t>45% of revenue is industrial</t>
  </si>
  <si>
    <t>Customers</t>
  </si>
  <si>
    <t>US</t>
  </si>
  <si>
    <t>ExUS</t>
  </si>
  <si>
    <t>Gov</t>
  </si>
  <si>
    <t>Industry</t>
  </si>
  <si>
    <t>Top 3 18% of revenue: CIA? FBI?</t>
  </si>
  <si>
    <t>big data for government: CDC, NIH, FDA</t>
  </si>
  <si>
    <t>TRDV</t>
  </si>
  <si>
    <t>Q125</t>
  </si>
  <si>
    <t>Q225</t>
  </si>
  <si>
    <t>Q325</t>
  </si>
  <si>
    <t>Q425</t>
  </si>
  <si>
    <t>S&amp;M y/y</t>
  </si>
  <si>
    <t>G&amp;A y/y</t>
  </si>
  <si>
    <t>R&amp;D y/y</t>
  </si>
  <si>
    <t>US Commercial</t>
  </si>
  <si>
    <t>US Government</t>
  </si>
  <si>
    <t>ROW Commercial</t>
  </si>
  <si>
    <t>ROW Government</t>
  </si>
  <si>
    <t>US total</t>
  </si>
  <si>
    <t>ROW total</t>
  </si>
  <si>
    <t>US Commercial Value</t>
  </si>
  <si>
    <t>Customer Count</t>
  </si>
  <si>
    <t>US Commercial Customer Count</t>
  </si>
  <si>
    <t>Commercial Customer Count</t>
  </si>
  <si>
    <t>Beat</t>
  </si>
  <si>
    <t>-</t>
  </si>
  <si>
    <t>Q126</t>
  </si>
  <si>
    <t>Q226</t>
  </si>
  <si>
    <t>Q326</t>
  </si>
  <si>
    <t>Q426</t>
  </si>
  <si>
    <t>Maturity</t>
  </si>
  <si>
    <t>Discount</t>
  </si>
  <si>
    <t>NPV</t>
  </si>
  <si>
    <t>Share</t>
  </si>
  <si>
    <t>ROIC</t>
  </si>
  <si>
    <t>RPO</t>
  </si>
  <si>
    <t>TCV</t>
  </si>
  <si>
    <t>% within 12 mo</t>
  </si>
  <si>
    <t>Billings</t>
  </si>
  <si>
    <t>US RDV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</si>
</sst>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3" fontId="0" fillId="2" borderId="0" xfId="0" applyNumberFormat="1" applyFill="1" applyAlignment="1">
      <alignment horizontal="right"/>
    </xf>
    <xf numFmtId="0" fontId="2" fillId="0" borderId="0" xfId="1"/>
    <xf numFmtId="0" fontId="3" fillId="0" borderId="0" xfId="0" applyFont="1"/>
    <xf numFmtId="1" fontId="0" fillId="0" borderId="0" xfId="0" applyNumberFormat="1"/>
    <xf numFmtId="9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1" fontId="4" fillId="0" borderId="0" xfId="0" applyNumberFormat="1" applyFont="1"/>
    <xf numFmtId="9" fontId="4" fillId="0" borderId="0" xfId="0" applyNumberFormat="1" applyFont="1"/>
    <xf numFmtId="16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71E834B-9263-403B-91D8-EE7D3E40F7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46037</xdr:colOff>
      <xdr:row>0</xdr:row>
      <xdr:rowOff>0</xdr:rowOff>
    </xdr:from>
    <xdr:to>
      <xdr:col>28</xdr:col>
      <xdr:colOff>46037</xdr:colOff>
      <xdr:row>105</xdr:row>
      <xdr:rowOff>99218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B399B2-013D-A4CD-A207-5FB2DC044CED}"/>
            </a:ext>
          </a:extLst>
        </xdr:cNvPr>
        <xdr:cNvCxnSpPr/>
      </xdr:nvCxnSpPr>
      <xdr:spPr>
        <a:xfrm>
          <a:off x="18118137" y="0"/>
          <a:ext cx="0" cy="156757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4771</xdr:colOff>
      <xdr:row>0</xdr:row>
      <xdr:rowOff>0</xdr:rowOff>
    </xdr:from>
    <xdr:to>
      <xdr:col>38</xdr:col>
      <xdr:colOff>4771</xdr:colOff>
      <xdr:row>84</xdr:row>
      <xdr:rowOff>54428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6B83D77-2A6D-4552-92D1-6D2821526D10}"/>
            </a:ext>
          </a:extLst>
        </xdr:cNvPr>
        <xdr:cNvCxnSpPr/>
      </xdr:nvCxnSpPr>
      <xdr:spPr>
        <a:xfrm>
          <a:off x="24230021" y="0"/>
          <a:ext cx="0" cy="118209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66BCB84-E7E4-4632-995E-E05E6DB7594C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9" dT="2025-08-04T17:58:50.49" personId="{566BCB84-E7E4-4632-995E-E05E6DB7594C}" id="{D9E34F5C-EE95-4455-81F4-92DEA755CAC7}">
    <text>Q323 guidance: 599-603m</text>
  </threadedComment>
  <threadedComment ref="S29" dT="2025-08-04T17:57:18.30" personId="{566BCB84-E7E4-4632-995E-E05E6DB7594C}" id="{C77F5BE1-47BF-481E-8DF3-1990C840C1DA}">
    <text>Q4 guidance: 612-616m</text>
  </threadedComment>
  <threadedComment ref="T29" dT="2025-05-05T14:35:15.01" personId="{566BCB84-E7E4-4632-995E-E05E6DB7594C}" id="{840217CC-5674-4F6B-90EE-E19650224FA3}">
    <text>Q124 guidance: 649-653m</text>
  </threadedComment>
  <threadedComment ref="U29" dT="2025-08-04T17:54:20.07" personId="{566BCB84-E7E4-4632-995E-E05E6DB7594C}" id="{90C905D7-7F6A-49EF-AFF8-5924934F8021}">
    <text>Q224 guidance: 697-701m</text>
  </threadedComment>
  <threadedComment ref="V29" dT="2025-08-04T17:51:14.24" personId="{566BCB84-E7E4-4632-995E-E05E6DB7594C}" id="{171EA1C7-9DF2-4E4E-94A2-7E461FD1245C}">
    <text>Q324 guidance: 767-771</text>
  </threadedComment>
  <threadedComment ref="W29" dT="2025-05-05T14:05:30.36" personId="{566BCB84-E7E4-4632-995E-E05E6DB7594C}" id="{D69B3F97-7C79-4F03-B9BA-ACE1F4C6198E}">
    <text>Q424 guidance: 858-862m</text>
  </threadedComment>
  <threadedComment ref="X29" dT="2025-05-05T14:08:45.04" personId="{566BCB84-E7E4-4632-995E-E05E6DB7594C}" id="{54C07574-03BA-4CE9-81A6-E1E3077759F1}">
    <text>Consensus 899m 5/5/25
Guidance from Q1: 934-938</text>
  </threadedComment>
  <threadedComment ref="Y29" dT="2025-08-04T17:43:13.86" personId="{566BCB84-E7E4-4632-995E-E05E6DB7594C}" id="{BD4679AD-E4F1-4099-930D-0A439EE55BBF}">
    <text>8/4/25: 982m consensus
11/3/25: 1090m consensus
Q2 guidance: 1.083-1.087m</text>
  </threadedComment>
  <threadedComment ref="Z29" dT="2025-08-04T17:43:23.57" personId="{566BCB84-E7E4-4632-995E-E05E6DB7594C}" id="{5D579E32-7183-4E53-9254-36DD804F83F1}">
    <text>8/4/25: 1090m consensus
11/3/25: 1180m consensus</text>
  </threadedComment>
  <threadedComment ref="AA29" dT="2026-08-03T19:36:33.80" personId="{566BCB84-E7E4-4632-995E-E05E6DB7594C}" id="{59AEBFE7-23A9-4BE7-8FFB-86FDB254C79B}">
    <text>Q425 guidance: 1532-1536m</text>
  </threadedComment>
  <threadedComment ref="AB29" dT="2026-08-03T19:25:01.45" personId="{566BCB84-E7E4-4632-995E-E05E6DB7594C}" id="{C470BB18-0F4C-44B0-93AD-5E345DF9353B}">
    <text>8/3/26 consensus: 1810m</text>
  </threadedComment>
  <threadedComment ref="AC29" dT="2026-08-03T19:25:11.92" personId="{566BCB84-E7E4-4632-995E-E05E6DB7594C}" id="{9F05D50C-5F46-4483-B1EC-E30654228ED6}">
    <text>8/3/26 consensus: 2000m</text>
  </threadedComment>
  <threadedComment ref="AD29" dT="2026-08-03T19:25:21.58" personId="{566BCB84-E7E4-4632-995E-E05E6DB7594C}" id="{BB6BE58D-D166-4019-AB40-A6547614C30C}">
    <text>8/3 consensus: 2290m</text>
  </threadedComment>
  <threadedComment ref="AL29" dT="2025-05-05T15:20:42.41" personId="{566BCB84-E7E4-4632-995E-E05E6DB7594C}" id="{4718D922-3642-4B6E-9947-FAF641F97E57}">
    <text>Q4 guidance: 3.741-3.757B
Q1 guidance: 3.890-3.902B
11/3/25 consensus: 4140m</text>
  </threadedComment>
  <threadedComment ref="AM29" dT="2025-08-04T17:43:45.88" personId="{566BCB84-E7E4-4632-995E-E05E6DB7594C}" id="{9ECDA8CE-CCBF-4EF1-B8E5-9B186E5F3F67}">
    <text>8/4/25: 5010 consensus
11/3/25: 5630 consensus
Q126 guidance: 7.650-7.662</text>
  </threadedComment>
  <threadedComment ref="W40" dT="2025-05-05T14:41:31.93" personId="{566BCB84-E7E4-4632-995E-E05E6DB7594C}" id="{4CD5B200-8831-4A55-912D-586E0C3A285E}">
    <text>Q424 guidance: 354-358m adj income</text>
  </threadedComment>
  <threadedComment ref="AL40" dT="2025-05-05T15:20:56.81" personId="{566BCB84-E7E4-4632-995E-E05E6DB7594C}" id="{7FB04DE7-58D8-49D7-B511-A899F9660455}">
    <text>Q424 guidance: Adj NI: 1.551-1.567B
Q125 guidance: 1.6-1.8B</text>
  </threadedComment>
  <threadedComment ref="W41" dT="2025-05-05T14:34:10.33" personId="{566BCB84-E7E4-4632-995E-E05E6DB7594C}" id="{41832036-F80E-4CB0-9251-479B3DE7AD55}">
    <text>0.13 consensus 5/5/25</text>
  </threadedComment>
  <threadedComment ref="X41" dT="2025-08-04T17:42:56.58" personId="{566BCB84-E7E4-4632-995E-E05E6DB7594C}" id="{2E33821A-1F91-411A-90FE-40FD5ECD9135}">
    <text>8/4/25 consensus: 0.14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9D3E-317D-4992-A1EC-7C2CA7695A60}">
  <dimension ref="B2:M13"/>
  <sheetViews>
    <sheetView tabSelected="1" zoomScale="145" zoomScaleNormal="145" workbookViewId="0"/>
  </sheetViews>
  <sheetFormatPr defaultColWidth="8.81640625" defaultRowHeight="12.5" x14ac:dyDescent="0.25"/>
  <cols>
    <col min="1" max="1" width="2.54296875" customWidth="1"/>
  </cols>
  <sheetData>
    <row r="2" spans="2:13" x14ac:dyDescent="0.25">
      <c r="B2" s="15" t="s">
        <v>72</v>
      </c>
      <c r="K2" t="s">
        <v>0</v>
      </c>
      <c r="L2" s="1">
        <v>150</v>
      </c>
    </row>
    <row r="3" spans="2:13" x14ac:dyDescent="0.25">
      <c r="B3" t="s">
        <v>74</v>
      </c>
      <c r="K3" t="s">
        <v>1</v>
      </c>
      <c r="L3" s="3">
        <f>2296.071+100.235</f>
        <v>2396.306</v>
      </c>
      <c r="M3" s="2" t="s">
        <v>111</v>
      </c>
    </row>
    <row r="4" spans="2:13" x14ac:dyDescent="0.25">
      <c r="K4" t="s">
        <v>2</v>
      </c>
      <c r="L4" s="3">
        <f>L3*L2</f>
        <v>359445.9</v>
      </c>
    </row>
    <row r="5" spans="2:13" x14ac:dyDescent="0.25">
      <c r="K5" t="s">
        <v>3</v>
      </c>
      <c r="L5" s="3">
        <f>2291.631+5734.782</f>
        <v>8026.4130000000005</v>
      </c>
      <c r="M5" s="2" t="s">
        <v>111</v>
      </c>
    </row>
    <row r="6" spans="2:13" x14ac:dyDescent="0.25">
      <c r="B6" t="s">
        <v>75</v>
      </c>
      <c r="C6" t="s">
        <v>90</v>
      </c>
      <c r="F6" t="s">
        <v>82</v>
      </c>
      <c r="K6" t="s">
        <v>4</v>
      </c>
      <c r="L6" s="3">
        <v>0</v>
      </c>
      <c r="M6" s="2" t="s">
        <v>111</v>
      </c>
    </row>
    <row r="7" spans="2:13" x14ac:dyDescent="0.25">
      <c r="B7" t="s">
        <v>76</v>
      </c>
      <c r="C7" t="s">
        <v>80</v>
      </c>
      <c r="F7" t="s">
        <v>83</v>
      </c>
      <c r="K7" t="s">
        <v>5</v>
      </c>
      <c r="L7" s="3">
        <f>L4-L5+L6</f>
        <v>351419.48700000002</v>
      </c>
    </row>
    <row r="8" spans="2:13" x14ac:dyDescent="0.25">
      <c r="B8" t="s">
        <v>77</v>
      </c>
      <c r="C8" t="s">
        <v>78</v>
      </c>
    </row>
    <row r="9" spans="2:13" x14ac:dyDescent="0.25">
      <c r="B9" t="s">
        <v>79</v>
      </c>
      <c r="C9" t="s">
        <v>81</v>
      </c>
      <c r="F9" t="s">
        <v>89</v>
      </c>
      <c r="K9" t="s">
        <v>73</v>
      </c>
      <c r="L9">
        <v>2003</v>
      </c>
    </row>
    <row r="13" spans="2:13" ht="13" x14ac:dyDescent="0.3">
      <c r="H1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0236-0D83-41C7-BB37-83829D679D7F}">
  <dimension ref="A1:DR99"/>
  <sheetViews>
    <sheetView zoomScaleNormal="100" workbookViewId="0">
      <pane xSplit="2" ySplit="2" topLeftCell="Q48" activePane="bottomRight" state="frozen"/>
      <selection pane="topRight" activeCell="C1" sqref="C1"/>
      <selection pane="bottomLeft" activeCell="A3" sqref="A3"/>
      <selection pane="bottomRight" activeCell="AB77" sqref="AB77"/>
    </sheetView>
  </sheetViews>
  <sheetFormatPr defaultColWidth="8.81640625" defaultRowHeight="12.5" x14ac:dyDescent="0.25"/>
  <cols>
    <col min="1" max="1" width="5" bestFit="1" customWidth="1"/>
    <col min="2" max="2" width="20" customWidth="1"/>
    <col min="3" max="14" width="9.1796875" style="2"/>
    <col min="15" max="20" width="8.81640625" style="2"/>
    <col min="24" max="24" width="8.81640625" customWidth="1"/>
    <col min="26" max="26" width="8.90625" customWidth="1"/>
    <col min="46" max="46" width="9.54296875" customWidth="1"/>
  </cols>
  <sheetData>
    <row r="1" spans="1:48" x14ac:dyDescent="0.25">
      <c r="A1" s="14" t="s">
        <v>6</v>
      </c>
    </row>
    <row r="2" spans="1:48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92</v>
      </c>
      <c r="X2" s="2" t="s">
        <v>93</v>
      </c>
      <c r="Y2" s="2" t="s">
        <v>94</v>
      </c>
      <c r="Z2" s="2" t="s">
        <v>95</v>
      </c>
      <c r="AA2" s="2" t="s">
        <v>111</v>
      </c>
      <c r="AB2" s="2" t="s">
        <v>112</v>
      </c>
      <c r="AC2" s="2" t="s">
        <v>113</v>
      </c>
      <c r="AD2" s="2" t="s">
        <v>114</v>
      </c>
      <c r="AG2">
        <v>2020</v>
      </c>
      <c r="AH2">
        <f>AG2+1</f>
        <v>2021</v>
      </c>
      <c r="AI2">
        <f>AH2+1</f>
        <v>2022</v>
      </c>
      <c r="AJ2">
        <f t="shared" ref="AJ2:AQ2" si="0">AI2+1</f>
        <v>2023</v>
      </c>
      <c r="AK2">
        <f t="shared" si="0"/>
        <v>2024</v>
      </c>
      <c r="AL2">
        <f t="shared" si="0"/>
        <v>2025</v>
      </c>
      <c r="AM2">
        <f t="shared" si="0"/>
        <v>2026</v>
      </c>
      <c r="AN2">
        <f t="shared" si="0"/>
        <v>2027</v>
      </c>
      <c r="AO2">
        <f t="shared" si="0"/>
        <v>2028</v>
      </c>
      <c r="AP2">
        <f t="shared" si="0"/>
        <v>2029</v>
      </c>
      <c r="AQ2">
        <f t="shared" si="0"/>
        <v>2030</v>
      </c>
      <c r="AR2">
        <f>+AQ2+1</f>
        <v>2031</v>
      </c>
      <c r="AS2">
        <f>+AR2+1</f>
        <v>2032</v>
      </c>
      <c r="AT2">
        <f>+AS2+1</f>
        <v>2033</v>
      </c>
      <c r="AU2">
        <f>+AT2+1</f>
        <v>2034</v>
      </c>
      <c r="AV2">
        <f>+AU2+1</f>
        <v>2035</v>
      </c>
    </row>
    <row r="3" spans="1:48" x14ac:dyDescent="0.25">
      <c r="B3" t="s">
        <v>109</v>
      </c>
      <c r="R3" s="4">
        <f>R29-(AVERAGE(599,603))</f>
        <v>7</v>
      </c>
      <c r="S3" s="4">
        <f>S29-(AVERAGE(612,616))</f>
        <v>20.337999999999965</v>
      </c>
      <c r="T3" s="4">
        <f>T29-(AVERAGE(649,653))</f>
        <v>27.134000000000015</v>
      </c>
      <c r="U3" s="24">
        <f>(U29-(AVERAGE(697,701)))/U29</f>
        <v>3.654778116540499E-2</v>
      </c>
      <c r="V3" s="24">
        <f>(V29-(AVERAGE(761,771)))/V29</f>
        <v>7.434149548227896E-2</v>
      </c>
      <c r="W3" s="24">
        <f>(W29-(AVERAGE(858,862)))/W29</f>
        <v>2.6047565118912798E-2</v>
      </c>
      <c r="X3" s="24">
        <f>(X29-(AVERAGE(934,938)))/X29</f>
        <v>6.7729083665338641E-2</v>
      </c>
      <c r="Y3" s="24">
        <f>(Y29-(AVERAGE(1083,1087)))/Y29</f>
        <v>8.1358607119513204E-2</v>
      </c>
      <c r="Z3" s="24">
        <f>(Z29-(AVERAGE(1327,1331)))/Z29</f>
        <v>5.5304157941202754E-2</v>
      </c>
      <c r="AA3" s="24">
        <f>(AA29-(AVERAGE(1532,1536)))/AA29</f>
        <v>6.0624617268830373E-2</v>
      </c>
      <c r="AB3" s="4">
        <f>1799*1.057</f>
        <v>1901.5429999999999</v>
      </c>
      <c r="AC3" s="2"/>
      <c r="AD3" s="2"/>
    </row>
    <row r="4" spans="1:48" x14ac:dyDescent="0.25"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48" x14ac:dyDescent="0.25">
      <c r="B5" t="s">
        <v>123</v>
      </c>
      <c r="S5" s="2">
        <v>625</v>
      </c>
      <c r="T5" s="2">
        <v>718</v>
      </c>
      <c r="U5" s="2">
        <v>823</v>
      </c>
      <c r="V5" s="2">
        <v>779</v>
      </c>
      <c r="W5" s="4">
        <v>905</v>
      </c>
      <c r="X5" s="4">
        <v>1102</v>
      </c>
      <c r="Y5" s="4">
        <v>1226</v>
      </c>
      <c r="Z5" s="4">
        <v>1489</v>
      </c>
      <c r="AA5" s="4">
        <v>1749.61</v>
      </c>
      <c r="AB5" s="4">
        <v>2071.9450000000002</v>
      </c>
      <c r="AC5" s="2"/>
      <c r="AD5" s="2"/>
    </row>
    <row r="6" spans="1:48" x14ac:dyDescent="0.25">
      <c r="B6" t="s">
        <v>120</v>
      </c>
      <c r="S6" s="4">
        <v>1300</v>
      </c>
      <c r="T6" s="4">
        <v>1370</v>
      </c>
      <c r="U6" s="4">
        <v>1570</v>
      </c>
      <c r="V6" s="4">
        <v>1730</v>
      </c>
      <c r="W6" s="4">
        <v>1900</v>
      </c>
      <c r="X6" s="4">
        <v>2420</v>
      </c>
      <c r="Y6" s="4">
        <v>2600</v>
      </c>
      <c r="Z6" s="4">
        <v>4210</v>
      </c>
      <c r="AA6" s="4">
        <v>4450</v>
      </c>
      <c r="AB6" s="4">
        <v>4900</v>
      </c>
      <c r="AC6" s="2"/>
      <c r="AD6" s="2"/>
    </row>
    <row r="7" spans="1:48" x14ac:dyDescent="0.25">
      <c r="B7" t="s">
        <v>122</v>
      </c>
      <c r="U7" s="2"/>
      <c r="V7" s="2"/>
      <c r="W7" s="8">
        <v>0.47</v>
      </c>
      <c r="X7" s="4"/>
      <c r="Y7" s="4"/>
      <c r="Z7" s="4"/>
      <c r="AA7" s="4"/>
      <c r="AB7" s="2"/>
      <c r="AC7" s="2"/>
      <c r="AD7" s="2"/>
    </row>
    <row r="8" spans="1:48" x14ac:dyDescent="0.25">
      <c r="U8" s="2"/>
      <c r="V8" s="2"/>
      <c r="W8" s="8"/>
      <c r="X8" s="4"/>
      <c r="Y8" s="4"/>
      <c r="Z8" s="4"/>
      <c r="AA8" s="4"/>
      <c r="AB8" s="4">
        <f>+AA9</f>
        <v>189.16666666666666</v>
      </c>
      <c r="AC8" s="2"/>
      <c r="AD8" s="2"/>
    </row>
    <row r="9" spans="1:48" x14ac:dyDescent="0.25">
      <c r="U9" s="2"/>
      <c r="V9" s="2"/>
      <c r="W9" s="8"/>
      <c r="X9" s="4"/>
      <c r="Y9" s="4"/>
      <c r="Z9" s="4"/>
      <c r="AA9" s="4">
        <f>+Z10</f>
        <v>189.16666666666666</v>
      </c>
      <c r="AB9" s="4">
        <f>+AA10</f>
        <v>230</v>
      </c>
      <c r="AC9" s="2"/>
      <c r="AD9" s="2"/>
    </row>
    <row r="10" spans="1:48" x14ac:dyDescent="0.25">
      <c r="U10" s="2"/>
      <c r="V10" s="2"/>
      <c r="W10" s="8"/>
      <c r="X10" s="4"/>
      <c r="Y10" s="4"/>
      <c r="Z10" s="4">
        <f>+Y11</f>
        <v>189.16666666666666</v>
      </c>
      <c r="AA10" s="4">
        <f>+Z11</f>
        <v>230</v>
      </c>
      <c r="AB10" s="4">
        <f>+AA11</f>
        <v>355.16666666666669</v>
      </c>
      <c r="AC10" s="2"/>
      <c r="AD10" s="2"/>
    </row>
    <row r="11" spans="1:48" x14ac:dyDescent="0.25">
      <c r="U11" s="2"/>
      <c r="V11" s="2"/>
      <c r="W11" s="8"/>
      <c r="X11" s="4"/>
      <c r="Y11" s="4">
        <f>+X12</f>
        <v>189.16666666666666</v>
      </c>
      <c r="Z11" s="4">
        <f>+Y12</f>
        <v>230</v>
      </c>
      <c r="AA11" s="4">
        <f>+Z12</f>
        <v>355.16666666666669</v>
      </c>
      <c r="AB11" s="4">
        <f>+AA12</f>
        <v>200.83333333333334</v>
      </c>
      <c r="AC11" s="2"/>
      <c r="AD11" s="2"/>
    </row>
    <row r="12" spans="1:48" x14ac:dyDescent="0.25">
      <c r="U12" s="2"/>
      <c r="V12" s="2"/>
      <c r="W12" s="8"/>
      <c r="X12" s="4">
        <f>+X13/12</f>
        <v>189.16666666666666</v>
      </c>
      <c r="Y12" s="4">
        <f>+Y13/12</f>
        <v>230</v>
      </c>
      <c r="Z12" s="4">
        <f>+Z13/12</f>
        <v>355.16666666666669</v>
      </c>
      <c r="AA12" s="4">
        <f>+AA13/12</f>
        <v>200.83333333333334</v>
      </c>
      <c r="AB12" s="4">
        <f>+AB13/12</f>
        <v>281.08333333333331</v>
      </c>
      <c r="AC12" s="2"/>
      <c r="AD12" s="2"/>
    </row>
    <row r="13" spans="1:48" x14ac:dyDescent="0.25">
      <c r="B13" t="s">
        <v>121</v>
      </c>
      <c r="U13" s="2"/>
      <c r="V13" s="2"/>
      <c r="W13" s="4"/>
      <c r="X13" s="4">
        <v>2270</v>
      </c>
      <c r="Y13" s="4">
        <v>2760</v>
      </c>
      <c r="Z13" s="4">
        <v>4262</v>
      </c>
      <c r="AA13" s="4">
        <v>2410</v>
      </c>
      <c r="AB13" s="4">
        <v>3373</v>
      </c>
      <c r="AC13" s="2"/>
      <c r="AD13" s="2"/>
    </row>
    <row r="14" spans="1:48" x14ac:dyDescent="0.25">
      <c r="B14" t="s">
        <v>91</v>
      </c>
      <c r="N14" s="4">
        <v>3700</v>
      </c>
      <c r="O14" s="4"/>
      <c r="P14" s="4"/>
      <c r="Q14" s="4"/>
      <c r="R14" s="4">
        <v>3900</v>
      </c>
      <c r="U14" s="2"/>
      <c r="V14" s="4">
        <v>5400</v>
      </c>
      <c r="W14" s="4">
        <v>2320</v>
      </c>
      <c r="X14" s="4">
        <v>2790</v>
      </c>
      <c r="Y14" s="2"/>
      <c r="Z14" s="2"/>
      <c r="AA14" s="2"/>
      <c r="AB14" s="2"/>
      <c r="AC14" s="2"/>
      <c r="AD14" s="2"/>
      <c r="AI14" s="3">
        <f>+N14</f>
        <v>3700</v>
      </c>
      <c r="AJ14" s="3">
        <f>+R14</f>
        <v>3900</v>
      </c>
    </row>
    <row r="15" spans="1:48" x14ac:dyDescent="0.25">
      <c r="B15" t="s">
        <v>124</v>
      </c>
      <c r="N15" s="4"/>
      <c r="O15" s="4"/>
      <c r="P15" s="4"/>
      <c r="Q15" s="4"/>
      <c r="R15" s="4"/>
      <c r="U15" s="2"/>
      <c r="V15" s="4"/>
      <c r="W15" s="4"/>
      <c r="X15" s="4"/>
      <c r="Y15" s="4">
        <v>3630</v>
      </c>
      <c r="Z15" s="4">
        <v>4380</v>
      </c>
      <c r="AA15" s="4">
        <v>4920</v>
      </c>
      <c r="AB15" s="4">
        <v>6238</v>
      </c>
      <c r="AC15" s="2"/>
      <c r="AD15" s="2"/>
      <c r="AI15" s="3"/>
      <c r="AJ15" s="3"/>
    </row>
    <row r="16" spans="1:48" x14ac:dyDescent="0.25">
      <c r="B16" t="s">
        <v>105</v>
      </c>
      <c r="N16" s="4"/>
      <c r="O16" s="4"/>
      <c r="P16" s="4"/>
      <c r="Q16" s="4"/>
      <c r="R16" s="4"/>
      <c r="U16" s="2"/>
      <c r="V16" s="2">
        <v>803</v>
      </c>
      <c r="W16" s="2">
        <v>810</v>
      </c>
      <c r="X16" s="2">
        <v>843</v>
      </c>
      <c r="Y16" s="4">
        <v>1310</v>
      </c>
      <c r="Z16" s="4">
        <v>1344</v>
      </c>
      <c r="AA16" s="4">
        <v>1176</v>
      </c>
      <c r="AB16" s="4">
        <v>2132</v>
      </c>
      <c r="AC16" s="2"/>
      <c r="AD16" s="2"/>
      <c r="AI16" s="3"/>
      <c r="AJ16" s="3"/>
    </row>
    <row r="17" spans="2:48" x14ac:dyDescent="0.25">
      <c r="B17" t="s">
        <v>107</v>
      </c>
      <c r="M17" s="2" t="s">
        <v>110</v>
      </c>
      <c r="N17" s="4">
        <v>143</v>
      </c>
      <c r="O17" s="4">
        <v>155</v>
      </c>
      <c r="P17" s="4">
        <v>161</v>
      </c>
      <c r="Q17" s="4">
        <v>181</v>
      </c>
      <c r="R17" s="4">
        <v>221</v>
      </c>
      <c r="S17" s="2">
        <v>262</v>
      </c>
      <c r="T17" s="2">
        <v>295</v>
      </c>
      <c r="U17" s="2">
        <v>321</v>
      </c>
      <c r="V17" s="2">
        <v>382</v>
      </c>
      <c r="W17" s="2">
        <v>432</v>
      </c>
      <c r="X17" s="2"/>
      <c r="Y17" s="2"/>
      <c r="Z17" s="2"/>
      <c r="AA17" s="2"/>
      <c r="AB17" s="2"/>
      <c r="AC17" s="2"/>
      <c r="AD17" s="2"/>
      <c r="AI17" s="3"/>
      <c r="AJ17" s="3"/>
    </row>
    <row r="18" spans="2:48" x14ac:dyDescent="0.25">
      <c r="B18" t="s">
        <v>108</v>
      </c>
      <c r="M18" s="2">
        <v>228</v>
      </c>
      <c r="N18" s="4">
        <v>260</v>
      </c>
      <c r="O18" s="4">
        <v>280</v>
      </c>
      <c r="P18" s="4">
        <v>302</v>
      </c>
      <c r="Q18" s="4">
        <v>330</v>
      </c>
      <c r="R18" s="4">
        <v>375</v>
      </c>
      <c r="S18" s="2">
        <v>427</v>
      </c>
      <c r="T18" s="2">
        <v>467</v>
      </c>
      <c r="U18" s="2">
        <v>498</v>
      </c>
      <c r="V18" s="2">
        <v>571</v>
      </c>
      <c r="W18" s="2">
        <v>622</v>
      </c>
      <c r="X18" s="2"/>
      <c r="Y18" s="2"/>
      <c r="Z18" s="2"/>
      <c r="AA18" s="2"/>
      <c r="AB18" s="2"/>
      <c r="AC18" s="2"/>
      <c r="AD18" s="2"/>
      <c r="AI18" s="3"/>
      <c r="AJ18" s="3"/>
    </row>
    <row r="19" spans="2:48" x14ac:dyDescent="0.25">
      <c r="B19" t="s">
        <v>106</v>
      </c>
      <c r="M19" s="2">
        <v>337</v>
      </c>
      <c r="N19" s="2">
        <v>367</v>
      </c>
      <c r="O19" s="2">
        <v>391</v>
      </c>
      <c r="P19" s="2">
        <v>421</v>
      </c>
      <c r="Q19" s="2">
        <v>453</v>
      </c>
      <c r="R19" s="2">
        <v>497</v>
      </c>
      <c r="S19" s="2">
        <v>554</v>
      </c>
      <c r="T19" s="2">
        <v>593</v>
      </c>
      <c r="U19" s="2">
        <v>629</v>
      </c>
      <c r="V19" s="2">
        <v>711</v>
      </c>
      <c r="W19" s="2">
        <v>769</v>
      </c>
      <c r="X19" s="2"/>
      <c r="Y19" s="2"/>
      <c r="Z19" s="2"/>
      <c r="AA19" s="2"/>
      <c r="AB19" s="2"/>
      <c r="AC19" s="2"/>
      <c r="AD19" s="2"/>
    </row>
    <row r="20" spans="2:48" x14ac:dyDescent="0.25"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2:48" x14ac:dyDescent="0.25">
      <c r="B21" t="s">
        <v>104</v>
      </c>
      <c r="M21" s="2">
        <f t="shared" ref="M21:O21" si="1">+M23+M24</f>
        <v>181</v>
      </c>
      <c r="N21" s="2">
        <f t="shared" si="1"/>
        <v>206</v>
      </c>
      <c r="O21" s="2">
        <f t="shared" si="1"/>
        <v>525</v>
      </c>
      <c r="P21" s="2">
        <f t="shared" ref="P21" si="2">+P23+P24</f>
        <v>206</v>
      </c>
      <c r="Q21" s="2">
        <f t="shared" ref="Q21" si="3">+Q23+Q24</f>
        <v>214</v>
      </c>
      <c r="R21" s="2">
        <f t="shared" ref="R21:W21" si="4">+R23+R24</f>
        <v>240</v>
      </c>
      <c r="S21" s="2">
        <f t="shared" si="4"/>
        <v>227</v>
      </c>
      <c r="T21" s="2">
        <f t="shared" si="4"/>
        <v>241</v>
      </c>
      <c r="U21" s="2">
        <f t="shared" si="4"/>
        <v>226</v>
      </c>
      <c r="V21" s="2">
        <f t="shared" si="4"/>
        <v>270</v>
      </c>
      <c r="W21" s="2">
        <f t="shared" si="4"/>
        <v>256</v>
      </c>
      <c r="X21" s="2"/>
      <c r="Y21" s="2"/>
      <c r="Z21" s="2"/>
      <c r="AA21" s="2"/>
      <c r="AB21" s="2"/>
      <c r="AC21" s="2"/>
      <c r="AD21" s="2"/>
    </row>
    <row r="22" spans="2:48" x14ac:dyDescent="0.25">
      <c r="B22" t="s">
        <v>103</v>
      </c>
      <c r="M22" s="2">
        <f t="shared" ref="M22:O22" si="5">+M26+M25</f>
        <v>297</v>
      </c>
      <c r="N22" s="2">
        <f t="shared" si="5"/>
        <v>302</v>
      </c>
      <c r="O22" s="2">
        <f t="shared" si="5"/>
        <v>0</v>
      </c>
      <c r="P22" s="2">
        <f t="shared" ref="P22" si="6">+P26+P25</f>
        <v>328</v>
      </c>
      <c r="Q22" s="2">
        <f t="shared" ref="Q22" si="7">+Q26+Q25</f>
        <v>345</v>
      </c>
      <c r="R22" s="2">
        <f t="shared" ref="R22:W22" si="8">+R26+R25</f>
        <v>368</v>
      </c>
      <c r="S22" s="2">
        <f t="shared" si="8"/>
        <v>407</v>
      </c>
      <c r="T22" s="2">
        <f t="shared" si="8"/>
        <v>437</v>
      </c>
      <c r="U22" s="2">
        <f t="shared" si="8"/>
        <v>499</v>
      </c>
      <c r="V22" s="2">
        <f t="shared" si="8"/>
        <v>557</v>
      </c>
      <c r="W22" s="2">
        <f t="shared" si="8"/>
        <v>628</v>
      </c>
      <c r="X22" s="2">
        <v>733</v>
      </c>
      <c r="Y22" s="2"/>
      <c r="Z22" s="2"/>
      <c r="AA22" s="2"/>
      <c r="AB22" s="2"/>
      <c r="AC22" s="2"/>
      <c r="AD22" s="2"/>
    </row>
    <row r="23" spans="2:48" x14ac:dyDescent="0.25">
      <c r="B23" t="s">
        <v>101</v>
      </c>
      <c r="M23" s="2">
        <f t="shared" ref="M23:O23" si="9">+M27-M25</f>
        <v>116</v>
      </c>
      <c r="N23" s="2">
        <f t="shared" si="9"/>
        <v>138</v>
      </c>
      <c r="O23" s="2">
        <f t="shared" si="9"/>
        <v>236</v>
      </c>
      <c r="P23" s="2">
        <f t="shared" ref="P23" si="10">+P27-P25</f>
        <v>129</v>
      </c>
      <c r="Q23" s="2">
        <f t="shared" ref="Q23" si="11">+Q27-Q25</f>
        <v>135</v>
      </c>
      <c r="R23" s="2">
        <f t="shared" ref="R23:W24" si="12">+R27-R25</f>
        <v>153</v>
      </c>
      <c r="S23" s="2">
        <f t="shared" si="12"/>
        <v>149</v>
      </c>
      <c r="T23" s="2">
        <f t="shared" si="12"/>
        <v>148</v>
      </c>
      <c r="U23" s="2">
        <f t="shared" si="12"/>
        <v>138</v>
      </c>
      <c r="V23" s="2">
        <f t="shared" si="12"/>
        <v>158</v>
      </c>
      <c r="W23" s="2">
        <f t="shared" si="12"/>
        <v>142</v>
      </c>
      <c r="X23" s="2"/>
      <c r="Y23" s="2"/>
      <c r="Z23" s="2"/>
      <c r="AA23" s="2"/>
      <c r="AB23" s="2"/>
      <c r="AC23" s="2"/>
      <c r="AD23" s="2"/>
    </row>
    <row r="24" spans="2:48" x14ac:dyDescent="0.25">
      <c r="B24" t="s">
        <v>102</v>
      </c>
      <c r="M24" s="2">
        <f t="shared" ref="M24:O24" si="13">+M28-M26</f>
        <v>65</v>
      </c>
      <c r="N24" s="2">
        <f t="shared" si="13"/>
        <v>68</v>
      </c>
      <c r="O24" s="2">
        <f t="shared" si="13"/>
        <v>289</v>
      </c>
      <c r="P24" s="2">
        <f t="shared" ref="P24" si="14">+P28-P26</f>
        <v>77</v>
      </c>
      <c r="Q24" s="2">
        <f t="shared" ref="Q24" si="15">+Q28-Q26</f>
        <v>79</v>
      </c>
      <c r="R24" s="2">
        <f t="shared" si="12"/>
        <v>87</v>
      </c>
      <c r="S24" s="2">
        <f t="shared" si="12"/>
        <v>78</v>
      </c>
      <c r="T24" s="2">
        <f t="shared" si="12"/>
        <v>93</v>
      </c>
      <c r="U24" s="2">
        <f t="shared" si="12"/>
        <v>88</v>
      </c>
      <c r="V24" s="2">
        <f t="shared" si="12"/>
        <v>112</v>
      </c>
      <c r="W24" s="2">
        <f t="shared" si="12"/>
        <v>114</v>
      </c>
      <c r="X24" s="2"/>
      <c r="Y24" s="2"/>
      <c r="Z24" s="2"/>
      <c r="AA24" s="2"/>
      <c r="AB24" s="2"/>
      <c r="AC24" s="2"/>
      <c r="AD24" s="2"/>
    </row>
    <row r="25" spans="2:48" x14ac:dyDescent="0.25">
      <c r="B25" t="s">
        <v>99</v>
      </c>
      <c r="M25" s="2">
        <v>88</v>
      </c>
      <c r="N25" s="2">
        <v>77</v>
      </c>
      <c r="P25" s="2">
        <v>103</v>
      </c>
      <c r="Q25" s="2">
        <v>116</v>
      </c>
      <c r="R25" s="2">
        <v>131</v>
      </c>
      <c r="S25" s="2">
        <v>150</v>
      </c>
      <c r="T25" s="2">
        <v>159</v>
      </c>
      <c r="U25" s="2">
        <v>179</v>
      </c>
      <c r="V25" s="2">
        <v>214</v>
      </c>
      <c r="W25" s="2">
        <v>255</v>
      </c>
      <c r="X25" s="2">
        <v>306</v>
      </c>
      <c r="Y25" s="2"/>
      <c r="Z25" s="2"/>
      <c r="AA25" s="2"/>
      <c r="AB25" s="2"/>
      <c r="AC25" s="2"/>
      <c r="AD25" s="2"/>
    </row>
    <row r="26" spans="2:48" x14ac:dyDescent="0.25">
      <c r="B26" t="s">
        <v>100</v>
      </c>
      <c r="M26" s="2">
        <v>209</v>
      </c>
      <c r="N26" s="2">
        <v>225</v>
      </c>
      <c r="P26" s="2">
        <v>225</v>
      </c>
      <c r="Q26" s="2">
        <v>229</v>
      </c>
      <c r="R26" s="2">
        <v>237</v>
      </c>
      <c r="S26" s="2">
        <v>257</v>
      </c>
      <c r="T26" s="2">
        <v>278</v>
      </c>
      <c r="U26" s="2">
        <v>320</v>
      </c>
      <c r="V26" s="2">
        <v>343</v>
      </c>
      <c r="W26" s="2">
        <v>373</v>
      </c>
      <c r="X26" s="2">
        <v>426</v>
      </c>
      <c r="Y26" s="2"/>
      <c r="Z26" s="2"/>
      <c r="AA26" s="2"/>
      <c r="AB26" s="2"/>
      <c r="AC26" s="2"/>
      <c r="AD26" s="2"/>
    </row>
    <row r="27" spans="2:48" x14ac:dyDescent="0.25">
      <c r="B27" t="s">
        <v>70</v>
      </c>
      <c r="M27" s="2">
        <v>204</v>
      </c>
      <c r="N27" s="2">
        <v>215</v>
      </c>
      <c r="O27" s="2">
        <v>236</v>
      </c>
      <c r="P27" s="2">
        <v>232</v>
      </c>
      <c r="Q27" s="2">
        <v>251</v>
      </c>
      <c r="R27" s="2">
        <v>284</v>
      </c>
      <c r="S27" s="2">
        <v>299</v>
      </c>
      <c r="T27" s="2">
        <v>307</v>
      </c>
      <c r="U27" s="2">
        <v>317</v>
      </c>
      <c r="V27" s="2">
        <v>372</v>
      </c>
      <c r="W27" s="2">
        <v>397</v>
      </c>
      <c r="X27" s="2"/>
      <c r="Y27" s="2"/>
      <c r="Z27" s="2"/>
      <c r="AA27" s="2"/>
      <c r="AB27" s="2"/>
      <c r="AC27" s="2"/>
      <c r="AD27" s="2"/>
      <c r="AI27" s="3">
        <v>834</v>
      </c>
      <c r="AJ27" s="3">
        <f>SUM(O27:R27)</f>
        <v>1003</v>
      </c>
    </row>
    <row r="28" spans="2:48" x14ac:dyDescent="0.25">
      <c r="B28" t="s">
        <v>71</v>
      </c>
      <c r="M28" s="2">
        <v>274</v>
      </c>
      <c r="N28" s="2">
        <v>293</v>
      </c>
      <c r="O28" s="2">
        <v>289</v>
      </c>
      <c r="P28" s="2">
        <v>302</v>
      </c>
      <c r="Q28" s="2">
        <v>308</v>
      </c>
      <c r="R28" s="2">
        <v>324</v>
      </c>
      <c r="S28" s="2">
        <v>335</v>
      </c>
      <c r="T28" s="2">
        <v>371</v>
      </c>
      <c r="U28" s="2">
        <v>408</v>
      </c>
      <c r="V28" s="2">
        <v>455</v>
      </c>
      <c r="W28" s="2">
        <v>487</v>
      </c>
      <c r="X28" s="2"/>
      <c r="Y28" s="2"/>
      <c r="Z28" s="2"/>
      <c r="AA28" s="2"/>
      <c r="AB28" s="2"/>
      <c r="AC28" s="2"/>
      <c r="AD28" s="2"/>
      <c r="AI28" s="3">
        <v>1071.7760000000001</v>
      </c>
      <c r="AJ28" s="3">
        <f>SUM(O28:R28)</f>
        <v>1223</v>
      </c>
    </row>
    <row r="29" spans="2:48" s="5" customFormat="1" ht="13" x14ac:dyDescent="0.3">
      <c r="B29" s="5" t="s">
        <v>7</v>
      </c>
      <c r="C29" s="6"/>
      <c r="D29" s="6">
        <v>251.88900000000001</v>
      </c>
      <c r="E29" s="6">
        <v>289.36599999999999</v>
      </c>
      <c r="F29" s="6">
        <v>322.09100000000001</v>
      </c>
      <c r="G29" s="6">
        <v>341.23399999999998</v>
      </c>
      <c r="H29" s="6">
        <v>375.642</v>
      </c>
      <c r="I29" s="6">
        <v>392.14600000000002</v>
      </c>
      <c r="J29" s="6">
        <v>432.86700000000002</v>
      </c>
      <c r="K29" s="6">
        <v>446.35700000000003</v>
      </c>
      <c r="L29" s="6">
        <v>473.01</v>
      </c>
      <c r="M29" s="6">
        <v>477.88</v>
      </c>
      <c r="N29" s="6">
        <v>508.62400000000002</v>
      </c>
      <c r="O29" s="6">
        <v>525.18600000000004</v>
      </c>
      <c r="P29" s="6">
        <v>533.31700000000001</v>
      </c>
      <c r="Q29" s="6">
        <v>558.15899999999999</v>
      </c>
      <c r="R29" s="6">
        <f>+R28+R27</f>
        <v>608</v>
      </c>
      <c r="S29" s="6">
        <v>634.33799999999997</v>
      </c>
      <c r="T29" s="5">
        <v>678.13400000000001</v>
      </c>
      <c r="U29" s="5">
        <v>725.51599999999996</v>
      </c>
      <c r="V29" s="5">
        <v>827.51900000000001</v>
      </c>
      <c r="W29" s="5">
        <v>883</v>
      </c>
      <c r="X29" s="5">
        <v>1004</v>
      </c>
      <c r="Y29" s="5">
        <v>1181.0920000000001</v>
      </c>
      <c r="Z29" s="5">
        <v>1406.8019999999999</v>
      </c>
      <c r="AA29" s="5">
        <v>1633</v>
      </c>
      <c r="AB29" s="5">
        <f>+X29*1.8</f>
        <v>1807.2</v>
      </c>
      <c r="AC29" s="5">
        <f>+Y29*1.75</f>
        <v>2066.9110000000001</v>
      </c>
      <c r="AD29" s="5">
        <f>+Z29*1.6</f>
        <v>2250.8831999999998</v>
      </c>
      <c r="AG29" s="5">
        <v>1092.673</v>
      </c>
      <c r="AH29" s="5">
        <v>1541.8889999999999</v>
      </c>
      <c r="AI29" s="5">
        <f>SUM(K29:N29)</f>
        <v>1905.8709999999999</v>
      </c>
      <c r="AJ29" s="5">
        <f>SUM(O29:R29)</f>
        <v>2224.6620000000003</v>
      </c>
      <c r="AK29" s="5">
        <f>SUM(S29:V29)</f>
        <v>2865.5069999999996</v>
      </c>
      <c r="AL29" s="5">
        <f>SUM(W29:Z29)</f>
        <v>4474.8940000000002</v>
      </c>
      <c r="AM29" s="5">
        <f>SUM(AA29:AD29)</f>
        <v>7757.9941999999992</v>
      </c>
      <c r="AN29" s="5">
        <f>AM29*1.5</f>
        <v>11636.991299999998</v>
      </c>
      <c r="AO29" s="5">
        <f>AN29*1.4</f>
        <v>16291.787819999996</v>
      </c>
      <c r="AP29" s="5">
        <f>AO29*1.35</f>
        <v>21993.913556999996</v>
      </c>
      <c r="AQ29" s="5">
        <f>AP29*1.3</f>
        <v>28592.087624099997</v>
      </c>
      <c r="AR29" s="5">
        <f>AQ29*1.25</f>
        <v>35740.109530124995</v>
      </c>
      <c r="AS29" s="5">
        <f>AR29*1.2</f>
        <v>42888.13143614999</v>
      </c>
      <c r="AT29" s="5">
        <f>AS29*1.2</f>
        <v>51465.757723379989</v>
      </c>
      <c r="AU29" s="5">
        <f>AT29*1.2</f>
        <v>61758.909268055984</v>
      </c>
      <c r="AV29" s="5">
        <f>AU29*1.2</f>
        <v>74110.691121667172</v>
      </c>
    </row>
    <row r="30" spans="2:48" s="3" customFormat="1" x14ac:dyDescent="0.25">
      <c r="B30" s="3" t="s">
        <v>20</v>
      </c>
      <c r="C30" s="4"/>
      <c r="D30" s="4">
        <v>68.41</v>
      </c>
      <c r="E30" s="13">
        <v>149.34</v>
      </c>
      <c r="F30" s="4">
        <v>70.503</v>
      </c>
      <c r="G30" s="4">
        <v>74.111000000000004</v>
      </c>
      <c r="H30" s="4">
        <v>90.926000000000002</v>
      </c>
      <c r="I30" s="4">
        <v>86.804000000000002</v>
      </c>
      <c r="J30" s="4">
        <v>87.563000000000002</v>
      </c>
      <c r="K30" s="4">
        <v>94.403000000000006</v>
      </c>
      <c r="L30" s="4">
        <v>102.224</v>
      </c>
      <c r="M30" s="4">
        <f t="shared" ref="M30" si="16">M29-M31</f>
        <v>95.575999999999965</v>
      </c>
      <c r="N30" s="4">
        <v>104.31100000000001</v>
      </c>
      <c r="O30" s="4">
        <f>107.645-9.177</f>
        <v>98.467999999999989</v>
      </c>
      <c r="P30" s="4">
        <f>106.899-8.004</f>
        <v>98.894999999999996</v>
      </c>
      <c r="Q30" s="4">
        <f>107.922-7.814</f>
        <v>100.108</v>
      </c>
      <c r="R30" s="4">
        <f>108.639-11</f>
        <v>97.638999999999996</v>
      </c>
      <c r="S30" s="4">
        <f>116.256-10.416</f>
        <v>105.84</v>
      </c>
      <c r="T30" s="3">
        <f>128.562-12.402</f>
        <v>116.16000000000001</v>
      </c>
      <c r="U30" s="3">
        <f>146.639-13.123</f>
        <v>133.51600000000002</v>
      </c>
      <c r="V30" s="3">
        <f>174.533-33.124</f>
        <v>141.40899999999999</v>
      </c>
      <c r="W30" s="3">
        <f>172.97-15.016</f>
        <v>157.95400000000001</v>
      </c>
      <c r="X30" s="3">
        <v>192.934</v>
      </c>
      <c r="Y30" s="3">
        <v>207.30699999999999</v>
      </c>
      <c r="Z30" s="3">
        <v>215.96600000000001</v>
      </c>
      <c r="AA30" s="3">
        <v>215.798</v>
      </c>
      <c r="AB30" s="3">
        <f>+AB29*0.15</f>
        <v>271.08</v>
      </c>
      <c r="AC30" s="3">
        <f>+AC29*0.15</f>
        <v>310.03665000000001</v>
      </c>
      <c r="AD30" s="3">
        <f>+AD29*0.15</f>
        <v>337.63247999999993</v>
      </c>
      <c r="AG30" s="3">
        <v>352.54700000000003</v>
      </c>
      <c r="AH30" s="3">
        <v>339.404</v>
      </c>
      <c r="AI30" s="3">
        <f>AI29-AI31</f>
        <v>381.17419999999993</v>
      </c>
      <c r="AJ30" s="3">
        <f t="shared" ref="AJ30:AL30" si="17">AJ29-AJ31</f>
        <v>444.93239999999992</v>
      </c>
      <c r="AK30" s="3">
        <f>SUM(S30:V30)</f>
        <v>496.92500000000001</v>
      </c>
      <c r="AL30" s="3">
        <f t="shared" si="17"/>
        <v>894.97879999999986</v>
      </c>
      <c r="AM30" s="3">
        <f t="shared" ref="AM30" si="18">AM29-AM31</f>
        <v>1551.5988399999997</v>
      </c>
      <c r="AN30" s="3">
        <f t="shared" ref="AN30" si="19">AN29-AN31</f>
        <v>2327.3982599999999</v>
      </c>
      <c r="AO30" s="3">
        <f t="shared" ref="AO30:AQ30" si="20">AO29-AO31</f>
        <v>3258.3575639999981</v>
      </c>
      <c r="AP30" s="3">
        <f t="shared" si="20"/>
        <v>4398.7827113999992</v>
      </c>
      <c r="AQ30" s="3">
        <f t="shared" si="20"/>
        <v>5718.4175248199972</v>
      </c>
      <c r="AR30" s="3">
        <f t="shared" ref="AR30:AV30" si="21">AR29-AR31</f>
        <v>7148.0219060249983</v>
      </c>
      <c r="AS30" s="3">
        <f t="shared" si="21"/>
        <v>8577.6262872299994</v>
      </c>
      <c r="AT30" s="3">
        <f t="shared" si="21"/>
        <v>10293.151544675995</v>
      </c>
      <c r="AU30" s="3">
        <f t="shared" si="21"/>
        <v>12351.781853611195</v>
      </c>
      <c r="AV30" s="3">
        <f t="shared" si="21"/>
        <v>14822.13822433343</v>
      </c>
    </row>
    <row r="31" spans="2:48" s="3" customFormat="1" x14ac:dyDescent="0.25">
      <c r="B31" s="3" t="s">
        <v>21</v>
      </c>
      <c r="C31" s="4"/>
      <c r="D31" s="4">
        <f t="shared" ref="D31:K31" si="22">D29-D30</f>
        <v>183.47900000000001</v>
      </c>
      <c r="E31" s="4">
        <f t="shared" si="22"/>
        <v>140.02599999999998</v>
      </c>
      <c r="F31" s="4">
        <f t="shared" si="22"/>
        <v>251.58800000000002</v>
      </c>
      <c r="G31" s="4">
        <f t="shared" si="22"/>
        <v>267.12299999999999</v>
      </c>
      <c r="H31" s="4">
        <f t="shared" si="22"/>
        <v>284.71600000000001</v>
      </c>
      <c r="I31" s="4">
        <f t="shared" si="22"/>
        <v>305.34199999999998</v>
      </c>
      <c r="J31" s="4">
        <f t="shared" si="22"/>
        <v>345.30400000000003</v>
      </c>
      <c r="K31" s="4">
        <f t="shared" si="22"/>
        <v>351.95400000000001</v>
      </c>
      <c r="L31" s="4">
        <f>+L29-L30</f>
        <v>370.786</v>
      </c>
      <c r="M31" s="4">
        <f t="shared" ref="M31" si="23">M29*0.8</f>
        <v>382.30400000000003</v>
      </c>
      <c r="N31" s="4">
        <f t="shared" ref="N31:S31" si="24">+N29-N30</f>
        <v>404.31299999999999</v>
      </c>
      <c r="O31" s="4">
        <f t="shared" si="24"/>
        <v>426.71800000000007</v>
      </c>
      <c r="P31" s="4">
        <f t="shared" si="24"/>
        <v>434.42200000000003</v>
      </c>
      <c r="Q31" s="4">
        <f t="shared" si="24"/>
        <v>458.05099999999999</v>
      </c>
      <c r="R31" s="4">
        <f t="shared" si="24"/>
        <v>510.36099999999999</v>
      </c>
      <c r="S31" s="4">
        <f t="shared" si="24"/>
        <v>528.49799999999993</v>
      </c>
      <c r="T31" s="3">
        <f t="shared" ref="T31:Y31" si="25">+T29-T30</f>
        <v>561.97400000000005</v>
      </c>
      <c r="U31" s="3">
        <f t="shared" si="25"/>
        <v>592</v>
      </c>
      <c r="V31" s="3">
        <f t="shared" si="25"/>
        <v>686.11</v>
      </c>
      <c r="W31" s="3">
        <f t="shared" si="25"/>
        <v>725.04600000000005</v>
      </c>
      <c r="X31" s="3">
        <f t="shared" si="25"/>
        <v>811.06600000000003</v>
      </c>
      <c r="Y31" s="3">
        <f t="shared" si="25"/>
        <v>973.78500000000008</v>
      </c>
      <c r="Z31" s="3">
        <f>+Z29-Z30</f>
        <v>1190.8359999999998</v>
      </c>
      <c r="AA31" s="3">
        <f>+AA29-AA30</f>
        <v>1417.202</v>
      </c>
      <c r="AB31" s="3">
        <f>+AB29-AB30</f>
        <v>1536.1200000000001</v>
      </c>
      <c r="AC31" s="3">
        <f>+AC29-AC30</f>
        <v>1756.87435</v>
      </c>
      <c r="AD31" s="3">
        <f>+AD29-AD30</f>
        <v>1913.2507199999998</v>
      </c>
      <c r="AG31" s="3">
        <f>AG29-AG30</f>
        <v>740.12599999999998</v>
      </c>
      <c r="AH31" s="3">
        <f>AH29-AH30</f>
        <v>1202.4849999999999</v>
      </c>
      <c r="AI31" s="3">
        <f>AI29*0.8</f>
        <v>1524.6967999999999</v>
      </c>
      <c r="AJ31" s="3">
        <f t="shared" ref="AJ31:AL31" si="26">AJ29*0.8</f>
        <v>1779.7296000000003</v>
      </c>
      <c r="AK31" s="3">
        <f>+AK29-AK30</f>
        <v>2368.5819999999994</v>
      </c>
      <c r="AL31" s="3">
        <f t="shared" si="26"/>
        <v>3579.9152000000004</v>
      </c>
      <c r="AM31" s="3">
        <f t="shared" ref="AM31" si="27">AM29*0.8</f>
        <v>6206.3953599999995</v>
      </c>
      <c r="AN31" s="3">
        <f t="shared" ref="AN31:AO31" si="28">AN29*0.8</f>
        <v>9309.5930399999979</v>
      </c>
      <c r="AO31" s="3">
        <f t="shared" si="28"/>
        <v>13033.430255999998</v>
      </c>
      <c r="AP31" s="3">
        <f t="shared" ref="AP31:AQ31" si="29">AP29*0.8</f>
        <v>17595.130845599997</v>
      </c>
      <c r="AQ31" s="3">
        <f t="shared" si="29"/>
        <v>22873.67009928</v>
      </c>
      <c r="AR31" s="3">
        <f t="shared" ref="AR31:AV31" si="30">AR29*0.8</f>
        <v>28592.087624099997</v>
      </c>
      <c r="AS31" s="3">
        <f t="shared" si="30"/>
        <v>34310.50514891999</v>
      </c>
      <c r="AT31" s="3">
        <f t="shared" si="30"/>
        <v>41172.606178703994</v>
      </c>
      <c r="AU31" s="3">
        <f t="shared" si="30"/>
        <v>49407.127414444789</v>
      </c>
      <c r="AV31" s="3">
        <f t="shared" si="30"/>
        <v>59288.552897333742</v>
      </c>
    </row>
    <row r="32" spans="2:48" s="3" customFormat="1" x14ac:dyDescent="0.25">
      <c r="B32" s="3" t="s">
        <v>22</v>
      </c>
      <c r="C32" s="4"/>
      <c r="D32" s="4">
        <v>102.518</v>
      </c>
      <c r="E32" s="4">
        <v>334.911</v>
      </c>
      <c r="F32" s="4">
        <v>147.619</v>
      </c>
      <c r="G32" s="4">
        <v>136.09700000000001</v>
      </c>
      <c r="H32" s="4">
        <v>162.37899999999999</v>
      </c>
      <c r="I32" s="4">
        <v>153.44300000000001</v>
      </c>
      <c r="J32" s="4">
        <v>162.59299999999999</v>
      </c>
      <c r="K32" s="4">
        <v>160.48500000000001</v>
      </c>
      <c r="L32" s="4">
        <v>168.875</v>
      </c>
      <c r="M32" s="4">
        <f t="shared" ref="M32" si="31">L32+1</f>
        <v>169.875</v>
      </c>
      <c r="N32" s="4">
        <v>190.233</v>
      </c>
      <c r="O32" s="4">
        <f>187.093-39.535</f>
        <v>147.55799999999999</v>
      </c>
      <c r="P32" s="4">
        <f>184.163-38.131</f>
        <v>146.03200000000001</v>
      </c>
      <c r="Q32" s="4">
        <f>176.373-39.29</f>
        <v>137.083</v>
      </c>
      <c r="R32" s="4">
        <f>197.363-43.689</f>
        <v>153.67400000000001</v>
      </c>
      <c r="S32" s="4">
        <f>193.177-42.156</f>
        <v>151.02099999999999</v>
      </c>
      <c r="T32" s="3">
        <f>196.809-48.314</f>
        <v>148.495</v>
      </c>
      <c r="U32" s="3">
        <f>209.474-50.698</f>
        <v>158.77599999999998</v>
      </c>
      <c r="V32" s="3">
        <f>288.295-97.953</f>
        <v>190.34200000000001</v>
      </c>
      <c r="W32" s="3">
        <f>236.309-52.513</f>
        <v>183.79599999999999</v>
      </c>
      <c r="X32" s="3">
        <v>243.78800000000001</v>
      </c>
      <c r="Y32" s="3">
        <v>274.63600000000002</v>
      </c>
      <c r="Z32" s="3">
        <v>302.12599999999998</v>
      </c>
      <c r="AA32" s="3">
        <v>319.22000000000003</v>
      </c>
      <c r="AB32" s="3">
        <f>+X32*1.4</f>
        <v>341.3032</v>
      </c>
      <c r="AC32" s="3">
        <f>+Y32*1.4</f>
        <v>384.49040000000002</v>
      </c>
      <c r="AD32" s="3">
        <f>+Z32*1.4</f>
        <v>422.97639999999996</v>
      </c>
      <c r="AG32" s="3">
        <v>683.70100000000002</v>
      </c>
      <c r="AH32" s="3">
        <v>614.51199999999994</v>
      </c>
      <c r="AI32" s="3">
        <f>AH32*1.1</f>
        <v>675.96320000000003</v>
      </c>
      <c r="AJ32" s="3">
        <f t="shared" ref="AJ32:AL32" si="32">AI32*1.1</f>
        <v>743.55952000000013</v>
      </c>
      <c r="AK32" s="3">
        <f t="shared" ref="AK32:AK34" si="33">SUM(S32:V32)</f>
        <v>648.6339999999999</v>
      </c>
      <c r="AL32" s="3">
        <f t="shared" si="32"/>
        <v>713.49739999999997</v>
      </c>
      <c r="AM32" s="3">
        <f t="shared" ref="AM32" si="34">AL32*1.1</f>
        <v>784.84714000000008</v>
      </c>
      <c r="AN32" s="3">
        <f t="shared" ref="AN32:AO32" si="35">AM32*1.1</f>
        <v>863.33185400000013</v>
      </c>
      <c r="AO32" s="3">
        <f t="shared" si="35"/>
        <v>949.66503940000018</v>
      </c>
      <c r="AP32" s="3">
        <f t="shared" ref="AP32:AP34" si="36">AO32*1.1</f>
        <v>1044.6315433400002</v>
      </c>
      <c r="AQ32" s="3">
        <f t="shared" ref="AQ32:AQ34" si="37">AP32*1.1</f>
        <v>1149.0946976740004</v>
      </c>
      <c r="AR32" s="3">
        <f t="shared" ref="AR32:AR34" si="38">AQ32*1.1</f>
        <v>1264.0041674414006</v>
      </c>
      <c r="AS32" s="3">
        <f t="shared" ref="AS32:AS34" si="39">AR32*1.1</f>
        <v>1390.4045841855407</v>
      </c>
      <c r="AT32" s="3">
        <f t="shared" ref="AT32:AT34" si="40">AS32*1.1</f>
        <v>1529.4450426040949</v>
      </c>
      <c r="AU32" s="3">
        <f t="shared" ref="AU32:AU34" si="41">AT32*1.1</f>
        <v>1682.3895468645044</v>
      </c>
      <c r="AV32" s="3">
        <f t="shared" ref="AV32:AV34" si="42">AU32*1.1</f>
        <v>1850.628501550955</v>
      </c>
    </row>
    <row r="33" spans="2:122" s="3" customFormat="1" x14ac:dyDescent="0.25">
      <c r="B33" s="3" t="s">
        <v>23</v>
      </c>
      <c r="C33" s="4"/>
      <c r="D33" s="4">
        <v>86.814999999999998</v>
      </c>
      <c r="E33" s="4">
        <v>313.91500000000002</v>
      </c>
      <c r="F33" s="4">
        <v>94.13</v>
      </c>
      <c r="G33" s="4">
        <v>98.471000000000004</v>
      </c>
      <c r="H33" s="4">
        <v>110.524</v>
      </c>
      <c r="I33" s="4">
        <v>94.316000000000003</v>
      </c>
      <c r="J33" s="4">
        <v>84.176000000000002</v>
      </c>
      <c r="K33" s="4">
        <v>88.600999999999999</v>
      </c>
      <c r="L33" s="4">
        <v>88.171000000000006</v>
      </c>
      <c r="M33" s="4">
        <f t="shared" ref="M33" si="43">L33+1</f>
        <v>89.171000000000006</v>
      </c>
      <c r="N33" s="4">
        <v>82.043999999999997</v>
      </c>
      <c r="O33" s="4">
        <f>90.1-19.924</f>
        <v>70.175999999999988</v>
      </c>
      <c r="P33" s="4">
        <f>99.533-23.192</f>
        <v>76.341000000000008</v>
      </c>
      <c r="Q33" s="4">
        <f>105.708-21.952</f>
        <v>83.756</v>
      </c>
      <c r="R33" s="4">
        <f>109.283-32.996</f>
        <v>76.287000000000006</v>
      </c>
      <c r="S33" s="4">
        <f>110.04-26.874</f>
        <v>83.166000000000011</v>
      </c>
      <c r="T33" s="3">
        <f>108.781-29.943</f>
        <v>78.838000000000008</v>
      </c>
      <c r="U33" s="3">
        <f>117.555-30.715</f>
        <v>86.84</v>
      </c>
      <c r="V33" s="3">
        <f>171.502-77.533</f>
        <v>93.969000000000008</v>
      </c>
      <c r="W33" s="3">
        <f>134.889-31.834</f>
        <v>103.05500000000001</v>
      </c>
      <c r="X33" s="3">
        <v>135.04300000000001</v>
      </c>
      <c r="Y33" s="3">
        <v>144.191</v>
      </c>
      <c r="Z33" s="3">
        <v>143.554</v>
      </c>
      <c r="AA33" s="3">
        <v>160.98099999999999</v>
      </c>
      <c r="AB33" s="3">
        <f t="shared" ref="AB33" si="44">+X33*1.1</f>
        <v>148.54730000000001</v>
      </c>
      <c r="AC33" s="3">
        <f t="shared" ref="AC33:AC34" si="45">+Y33*1.1</f>
        <v>158.61010000000002</v>
      </c>
      <c r="AD33" s="3">
        <f t="shared" ref="AD33:AD34" si="46">+Z33*1.1</f>
        <v>157.90940000000001</v>
      </c>
      <c r="AG33" s="3">
        <v>560.66</v>
      </c>
      <c r="AH33" s="3">
        <v>387.48700000000002</v>
      </c>
      <c r="AI33" s="3">
        <f t="shared" ref="AI33:AL33" si="47">AH33*1.1</f>
        <v>426.23570000000007</v>
      </c>
      <c r="AJ33" s="3">
        <f t="shared" si="47"/>
        <v>468.85927000000009</v>
      </c>
      <c r="AK33" s="3">
        <f t="shared" si="33"/>
        <v>342.81300000000005</v>
      </c>
      <c r="AL33" s="3">
        <f t="shared" si="47"/>
        <v>377.09430000000009</v>
      </c>
      <c r="AM33" s="3">
        <f t="shared" ref="AM33" si="48">AL33*1.1</f>
        <v>414.80373000000014</v>
      </c>
      <c r="AN33" s="3">
        <f t="shared" ref="AN33:AO33" si="49">AM33*1.1</f>
        <v>456.28410300000019</v>
      </c>
      <c r="AO33" s="3">
        <f t="shared" si="49"/>
        <v>501.91251330000023</v>
      </c>
      <c r="AP33" s="3">
        <f t="shared" si="36"/>
        <v>552.10376463000034</v>
      </c>
      <c r="AQ33" s="3">
        <f t="shared" si="37"/>
        <v>607.31414109300044</v>
      </c>
      <c r="AR33" s="3">
        <f t="shared" si="38"/>
        <v>668.04555520230053</v>
      </c>
      <c r="AS33" s="3">
        <f t="shared" si="39"/>
        <v>734.85011072253064</v>
      </c>
      <c r="AT33" s="3">
        <f t="shared" si="40"/>
        <v>808.33512179478373</v>
      </c>
      <c r="AU33" s="3">
        <f t="shared" si="41"/>
        <v>889.16863397426221</v>
      </c>
      <c r="AV33" s="3">
        <f t="shared" si="42"/>
        <v>978.08549737168846</v>
      </c>
    </row>
    <row r="34" spans="2:122" s="3" customFormat="1" x14ac:dyDescent="0.25">
      <c r="B34" s="3" t="s">
        <v>24</v>
      </c>
      <c r="C34" s="4"/>
      <c r="D34" s="4">
        <v>93.290999999999997</v>
      </c>
      <c r="E34" s="4">
        <v>338.97699999999998</v>
      </c>
      <c r="F34" s="4">
        <v>166.411</v>
      </c>
      <c r="G34" s="4">
        <v>146.56899999999999</v>
      </c>
      <c r="H34" s="4">
        <v>157.96100000000001</v>
      </c>
      <c r="I34" s="4">
        <v>149.524</v>
      </c>
      <c r="J34" s="4">
        <v>157.47800000000001</v>
      </c>
      <c r="K34" s="4">
        <v>142.30699999999999</v>
      </c>
      <c r="L34" s="4">
        <v>155.48500000000001</v>
      </c>
      <c r="M34" s="4">
        <f t="shared" ref="M34" si="50">L34+1</f>
        <v>156.48500000000001</v>
      </c>
      <c r="N34" s="4">
        <v>149.86199999999999</v>
      </c>
      <c r="O34" s="4">
        <f>136.233-46.078</f>
        <v>90.155000000000001</v>
      </c>
      <c r="P34" s="4">
        <f>132.648-44.874</f>
        <v>87.774000000000001</v>
      </c>
      <c r="Q34" s="4">
        <f>128.173-45.324</f>
        <v>82.849000000000004</v>
      </c>
      <c r="R34" s="4">
        <f>127.271-44.923</f>
        <v>82.347999999999999</v>
      </c>
      <c r="S34" s="4">
        <f>133.984-46.205</f>
        <v>87.779000000000011</v>
      </c>
      <c r="T34" s="3">
        <f>138.643-1.105</f>
        <v>137.53800000000001</v>
      </c>
      <c r="U34" s="3">
        <f>138.708-47.889</f>
        <v>90.818999999999988</v>
      </c>
      <c r="V34" s="3">
        <f>182.146-73.188</f>
        <v>108.95799999999998</v>
      </c>
      <c r="W34" s="3">
        <f>163.639-55.976</f>
        <v>107.66300000000001</v>
      </c>
      <c r="X34" s="3">
        <v>162.61500000000001</v>
      </c>
      <c r="Y34" s="3">
        <v>161.702</v>
      </c>
      <c r="Z34" s="3">
        <v>169.762</v>
      </c>
      <c r="AA34" s="3">
        <v>182.58600000000001</v>
      </c>
      <c r="AB34" s="3">
        <f>+X34*1.1</f>
        <v>178.87650000000002</v>
      </c>
      <c r="AC34" s="3">
        <f t="shared" si="45"/>
        <v>177.87220000000002</v>
      </c>
      <c r="AD34" s="3">
        <f t="shared" si="46"/>
        <v>186.73820000000001</v>
      </c>
      <c r="AG34" s="3">
        <v>669.44399999999996</v>
      </c>
      <c r="AH34" s="3">
        <v>611.53200000000004</v>
      </c>
      <c r="AI34" s="3">
        <f t="shared" ref="AI34:AL34" si="51">AH34*1.1</f>
        <v>672.68520000000012</v>
      </c>
      <c r="AJ34" s="3">
        <f t="shared" si="51"/>
        <v>739.9537200000002</v>
      </c>
      <c r="AK34" s="3">
        <f t="shared" si="33"/>
        <v>425.09399999999994</v>
      </c>
      <c r="AL34" s="3">
        <f t="shared" si="51"/>
        <v>467.60339999999997</v>
      </c>
      <c r="AM34" s="3">
        <f t="shared" ref="AM34" si="52">AL34*1.1</f>
        <v>514.36374000000001</v>
      </c>
      <c r="AN34" s="3">
        <f t="shared" ref="AN34:AO34" si="53">AM34*1.1</f>
        <v>565.80011400000001</v>
      </c>
      <c r="AO34" s="3">
        <f t="shared" si="53"/>
        <v>622.38012540000011</v>
      </c>
      <c r="AP34" s="3">
        <f t="shared" si="36"/>
        <v>684.61813794000022</v>
      </c>
      <c r="AQ34" s="3">
        <f t="shared" si="37"/>
        <v>753.07995173400036</v>
      </c>
      <c r="AR34" s="3">
        <f t="shared" si="38"/>
        <v>828.38794690740042</v>
      </c>
      <c r="AS34" s="3">
        <f t="shared" si="39"/>
        <v>911.22674159814051</v>
      </c>
      <c r="AT34" s="3">
        <f t="shared" si="40"/>
        <v>1002.3494157579546</v>
      </c>
      <c r="AU34" s="3">
        <f t="shared" si="41"/>
        <v>1102.5843573337502</v>
      </c>
      <c r="AV34" s="3">
        <f t="shared" si="42"/>
        <v>1212.8427930671253</v>
      </c>
    </row>
    <row r="35" spans="2:122" s="3" customFormat="1" x14ac:dyDescent="0.25">
      <c r="B35" s="3" t="s">
        <v>25</v>
      </c>
      <c r="C35" s="4"/>
      <c r="D35" s="4">
        <f t="shared" ref="D35:L35" si="54">SUM(D32:D34)</f>
        <v>282.62400000000002</v>
      </c>
      <c r="E35" s="4">
        <f t="shared" si="54"/>
        <v>987.803</v>
      </c>
      <c r="F35" s="4">
        <f t="shared" si="54"/>
        <v>408.15999999999997</v>
      </c>
      <c r="G35" s="4">
        <f t="shared" si="54"/>
        <v>381.137</v>
      </c>
      <c r="H35" s="4">
        <f t="shared" si="54"/>
        <v>430.86400000000003</v>
      </c>
      <c r="I35" s="4">
        <f t="shared" si="54"/>
        <v>397.28300000000002</v>
      </c>
      <c r="J35" s="4">
        <f t="shared" si="54"/>
        <v>404.24700000000001</v>
      </c>
      <c r="K35" s="4">
        <f t="shared" si="54"/>
        <v>391.39300000000003</v>
      </c>
      <c r="L35" s="4">
        <f t="shared" si="54"/>
        <v>412.53100000000001</v>
      </c>
      <c r="M35" s="4">
        <f t="shared" ref="M35:N35" si="55">SUM(M32:M34)</f>
        <v>415.53100000000001</v>
      </c>
      <c r="N35" s="4">
        <f t="shared" si="55"/>
        <v>422.13900000000001</v>
      </c>
      <c r="O35" s="4">
        <f t="shared" ref="O35:W35" si="56">+O32+O33+O34</f>
        <v>307.88900000000001</v>
      </c>
      <c r="P35" s="4">
        <f t="shared" si="56"/>
        <v>310.14700000000005</v>
      </c>
      <c r="Q35" s="4">
        <f t="shared" si="56"/>
        <v>303.68799999999999</v>
      </c>
      <c r="R35" s="4">
        <f t="shared" si="56"/>
        <v>312.30900000000003</v>
      </c>
      <c r="S35" s="4">
        <f t="shared" si="56"/>
        <v>321.96600000000001</v>
      </c>
      <c r="T35" s="4">
        <f t="shared" si="56"/>
        <v>364.87100000000004</v>
      </c>
      <c r="U35" s="4">
        <f t="shared" si="56"/>
        <v>336.43499999999995</v>
      </c>
      <c r="V35" s="4">
        <f t="shared" si="56"/>
        <v>393.26900000000001</v>
      </c>
      <c r="W35" s="4">
        <f t="shared" si="56"/>
        <v>394.51400000000001</v>
      </c>
      <c r="X35" s="4">
        <f t="shared" ref="X35:Z35" si="57">+X32+X33+X34</f>
        <v>541.44600000000003</v>
      </c>
      <c r="Y35" s="4">
        <f t="shared" si="57"/>
        <v>580.529</v>
      </c>
      <c r="Z35" s="4">
        <f t="shared" si="57"/>
        <v>615.44200000000001</v>
      </c>
      <c r="AA35" s="4">
        <f t="shared" ref="AA35:AD35" si="58">+AA32+AA33+AA34</f>
        <v>662.78700000000003</v>
      </c>
      <c r="AB35" s="4">
        <f t="shared" si="58"/>
        <v>668.72700000000009</v>
      </c>
      <c r="AC35" s="4">
        <f t="shared" si="58"/>
        <v>720.97270000000003</v>
      </c>
      <c r="AD35" s="4">
        <f t="shared" si="58"/>
        <v>767.62400000000002</v>
      </c>
      <c r="AG35" s="3">
        <f>SUM(AG32:AG34)</f>
        <v>1913.8049999999998</v>
      </c>
      <c r="AH35" s="3">
        <f t="shared" ref="AH35" si="59">SUM(AH32:AH34)</f>
        <v>1613.5309999999999</v>
      </c>
      <c r="AI35" s="3">
        <f t="shared" ref="AI35" si="60">SUM(AI32:AI34)</f>
        <v>1774.8841000000002</v>
      </c>
      <c r="AJ35" s="3">
        <f t="shared" ref="AJ35" si="61">SUM(AJ32:AJ34)</f>
        <v>1952.3725100000004</v>
      </c>
      <c r="AK35" s="3">
        <f t="shared" ref="AK35" si="62">SUM(AK32:AK34)</f>
        <v>1416.5409999999997</v>
      </c>
      <c r="AL35" s="3">
        <f t="shared" ref="AL35" si="63">SUM(AL32:AL34)</f>
        <v>1558.1950999999999</v>
      </c>
      <c r="AM35" s="3">
        <f t="shared" ref="AM35" si="64">SUM(AM32:AM34)</f>
        <v>1714.0146100000002</v>
      </c>
      <c r="AN35" s="3">
        <f t="shared" ref="AN35" si="65">SUM(AN32:AN34)</f>
        <v>1885.4160710000006</v>
      </c>
      <c r="AO35" s="3">
        <f t="shared" ref="AO35:AQ35" si="66">SUM(AO32:AO34)</f>
        <v>2073.9576781000005</v>
      </c>
      <c r="AP35" s="3">
        <f t="shared" si="66"/>
        <v>2281.353445910001</v>
      </c>
      <c r="AQ35" s="3">
        <f t="shared" si="66"/>
        <v>2509.4887905010009</v>
      </c>
      <c r="AR35" s="3">
        <f t="shared" ref="AR35:AV35" si="67">SUM(AR32:AR34)</f>
        <v>2760.4376695511014</v>
      </c>
      <c r="AS35" s="3">
        <f t="shared" si="67"/>
        <v>3036.481436506212</v>
      </c>
      <c r="AT35" s="3">
        <f t="shared" si="67"/>
        <v>3340.1295801568331</v>
      </c>
      <c r="AU35" s="3">
        <f t="shared" si="67"/>
        <v>3674.1425381725167</v>
      </c>
      <c r="AV35" s="3">
        <f t="shared" si="67"/>
        <v>4041.5567919897685</v>
      </c>
    </row>
    <row r="36" spans="2:122" s="3" customFormat="1" x14ac:dyDescent="0.25">
      <c r="B36" s="3" t="s">
        <v>26</v>
      </c>
      <c r="C36" s="4"/>
      <c r="D36" s="4">
        <f t="shared" ref="D36:L36" si="68">D31-D35</f>
        <v>-99.14500000000001</v>
      </c>
      <c r="E36" s="4">
        <f t="shared" si="68"/>
        <v>-847.77700000000004</v>
      </c>
      <c r="F36" s="4">
        <f t="shared" si="68"/>
        <v>-156.57199999999995</v>
      </c>
      <c r="G36" s="4">
        <f t="shared" si="68"/>
        <v>-114.01400000000001</v>
      </c>
      <c r="H36" s="4">
        <f t="shared" si="68"/>
        <v>-146.14800000000002</v>
      </c>
      <c r="I36" s="4">
        <f t="shared" si="68"/>
        <v>-91.941000000000031</v>
      </c>
      <c r="J36" s="4">
        <f t="shared" si="68"/>
        <v>-58.942999999999984</v>
      </c>
      <c r="K36" s="4">
        <f t="shared" si="68"/>
        <v>-39.439000000000021</v>
      </c>
      <c r="L36" s="4">
        <f t="shared" si="68"/>
        <v>-41.745000000000005</v>
      </c>
      <c r="M36" s="4">
        <f t="shared" ref="M36:N36" si="69">M31-M35</f>
        <v>-33.226999999999975</v>
      </c>
      <c r="N36" s="4">
        <f t="shared" si="69"/>
        <v>-17.826000000000022</v>
      </c>
      <c r="O36" s="4">
        <f t="shared" ref="O36:W36" si="70">+O31-O35</f>
        <v>118.82900000000006</v>
      </c>
      <c r="P36" s="4">
        <f t="shared" si="70"/>
        <v>124.27499999999998</v>
      </c>
      <c r="Q36" s="4">
        <f t="shared" si="70"/>
        <v>154.363</v>
      </c>
      <c r="R36" s="4">
        <f t="shared" si="70"/>
        <v>198.05199999999996</v>
      </c>
      <c r="S36" s="4">
        <f t="shared" si="70"/>
        <v>206.53199999999993</v>
      </c>
      <c r="T36" s="4">
        <f t="shared" si="70"/>
        <v>197.10300000000001</v>
      </c>
      <c r="U36" s="4">
        <f t="shared" si="70"/>
        <v>255.56500000000005</v>
      </c>
      <c r="V36" s="4">
        <f t="shared" si="70"/>
        <v>292.84100000000001</v>
      </c>
      <c r="W36" s="4">
        <f t="shared" si="70"/>
        <v>330.53200000000004</v>
      </c>
      <c r="X36" s="4">
        <f t="shared" ref="X36:Z36" si="71">+X31-X35</f>
        <v>269.62</v>
      </c>
      <c r="Y36" s="4">
        <f t="shared" si="71"/>
        <v>393.25600000000009</v>
      </c>
      <c r="Z36" s="4">
        <f t="shared" si="71"/>
        <v>575.39399999999978</v>
      </c>
      <c r="AA36" s="4">
        <f t="shared" ref="AA36:AD36" si="72">+AA31-AA35</f>
        <v>754.41499999999996</v>
      </c>
      <c r="AB36" s="4">
        <f t="shared" si="72"/>
        <v>867.39300000000003</v>
      </c>
      <c r="AC36" s="4">
        <f t="shared" si="72"/>
        <v>1035.90165</v>
      </c>
      <c r="AD36" s="4">
        <f t="shared" si="72"/>
        <v>1145.6267199999998</v>
      </c>
      <c r="AG36" s="3">
        <f>AG31-AG35</f>
        <v>-1173.6789999999999</v>
      </c>
      <c r="AH36" s="3">
        <f t="shared" ref="AH36" si="73">AH31-AH35</f>
        <v>-411.04600000000005</v>
      </c>
      <c r="AI36" s="3">
        <f t="shared" ref="AI36" si="74">AI31-AI35</f>
        <v>-250.18730000000028</v>
      </c>
      <c r="AJ36" s="3">
        <f t="shared" ref="AJ36" si="75">AJ31-AJ35</f>
        <v>-172.64291000000003</v>
      </c>
      <c r="AK36" s="3">
        <f t="shared" ref="AK36" si="76">AK31-AK35</f>
        <v>952.04099999999971</v>
      </c>
      <c r="AL36" s="3">
        <f t="shared" ref="AL36" si="77">AL31-AL35</f>
        <v>2021.7201000000005</v>
      </c>
      <c r="AM36" s="3">
        <f t="shared" ref="AM36" si="78">AM31-AM35</f>
        <v>4492.3807499999994</v>
      </c>
      <c r="AN36" s="3">
        <f t="shared" ref="AN36" si="79">AN31-AN35</f>
        <v>7424.1769689999974</v>
      </c>
      <c r="AO36" s="3">
        <f t="shared" ref="AO36:AQ36" si="80">AO31-AO35</f>
        <v>10959.472577899996</v>
      </c>
      <c r="AP36" s="3">
        <f t="shared" si="80"/>
        <v>15313.777399689996</v>
      </c>
      <c r="AQ36" s="3">
        <f t="shared" si="80"/>
        <v>20364.181308779</v>
      </c>
      <c r="AR36" s="3">
        <f t="shared" ref="AR36:AV36" si="81">AR31-AR35</f>
        <v>25831.649954548895</v>
      </c>
      <c r="AS36" s="3">
        <f t="shared" si="81"/>
        <v>31274.023712413778</v>
      </c>
      <c r="AT36" s="3">
        <f t="shared" si="81"/>
        <v>37832.47659854716</v>
      </c>
      <c r="AU36" s="3">
        <f t="shared" si="81"/>
        <v>45732.984876272269</v>
      </c>
      <c r="AV36" s="3">
        <f t="shared" si="81"/>
        <v>55246.996105343977</v>
      </c>
    </row>
    <row r="37" spans="2:122" s="3" customFormat="1" x14ac:dyDescent="0.25">
      <c r="B37" s="3" t="s">
        <v>27</v>
      </c>
      <c r="C37" s="4"/>
      <c r="D37" s="4">
        <f>0.551-5.646</f>
        <v>-5.0949999999999998</v>
      </c>
      <c r="E37" s="4">
        <f>0.494-2.085</f>
        <v>-1.591</v>
      </c>
      <c r="F37" s="4">
        <f>0.368-1.814</f>
        <v>-1.4460000000000002</v>
      </c>
      <c r="G37" s="4">
        <f>0.376-1.84</f>
        <v>-1.464</v>
      </c>
      <c r="H37" s="4">
        <f>0.372-0.59</f>
        <v>-0.21799999999999997</v>
      </c>
      <c r="I37" s="4">
        <f>0.379-0.609</f>
        <v>-0.22999999999999998</v>
      </c>
      <c r="J37" s="4">
        <f>0.48-0.601</f>
        <v>-0.121</v>
      </c>
      <c r="K37" s="4">
        <f>0.547-0.594</f>
        <v>-4.6999999999999931E-2</v>
      </c>
      <c r="L37" s="4">
        <f>1.472-0.67</f>
        <v>0.80199999999999994</v>
      </c>
      <c r="M37" s="4">
        <v>0</v>
      </c>
      <c r="N37" s="4">
        <f>12.75-1.712+44.637</f>
        <v>55.674999999999997</v>
      </c>
      <c r="O37" s="4">
        <f>20.853-4.136</f>
        <v>16.717000000000002</v>
      </c>
      <c r="P37" s="4">
        <f>30.31-1.317-9.024</f>
        <v>19.969000000000001</v>
      </c>
      <c r="Q37" s="4">
        <f>36.864-0.742+3.864</f>
        <v>39.985999999999997</v>
      </c>
      <c r="R37" s="4">
        <f>44.545-0.136-3.956</f>
        <v>40.452999999999996</v>
      </c>
      <c r="S37" s="4">
        <f>43.352-13.507</f>
        <v>29.844999999999999</v>
      </c>
      <c r="T37" s="3">
        <f>46.593-11.173</f>
        <v>35.42</v>
      </c>
      <c r="U37" s="3">
        <f>52.12-8.11</f>
        <v>44.01</v>
      </c>
      <c r="V37" s="3">
        <v>54.726999999999997</v>
      </c>
      <c r="W37" s="3">
        <v>50.441000000000003</v>
      </c>
      <c r="X37" s="3">
        <v>56.255000000000003</v>
      </c>
      <c r="Y37" s="3">
        <v>59.762</v>
      </c>
      <c r="Z37" s="3">
        <v>62.722999999999999</v>
      </c>
      <c r="AA37" s="3">
        <v>66.394000000000005</v>
      </c>
      <c r="AG37" s="3">
        <f>4.68-14.139</f>
        <v>-9.4589999999999996</v>
      </c>
      <c r="AH37" s="3">
        <f>1.607-3.64</f>
        <v>-2.0330000000000004</v>
      </c>
      <c r="AI37" s="3">
        <v>0</v>
      </c>
      <c r="AJ37" s="3">
        <v>0</v>
      </c>
      <c r="AK37" s="3">
        <f t="shared" ref="AK37" si="82">SUM(S37:V37)</f>
        <v>164.00200000000001</v>
      </c>
      <c r="AL37" s="3">
        <f>+AK51*$AY$49</f>
        <v>522.99869999999999</v>
      </c>
      <c r="AM37" s="3">
        <f t="shared" ref="AM37:AV37" si="83">+AL51*$AY$49</f>
        <v>752.02339200000006</v>
      </c>
      <c r="AN37" s="3">
        <f t="shared" si="83"/>
        <v>1224.0197647800001</v>
      </c>
      <c r="AO37" s="3">
        <f t="shared" si="83"/>
        <v>2002.3574708202</v>
      </c>
      <c r="AP37" s="3">
        <f t="shared" si="83"/>
        <v>3168.9221752050175</v>
      </c>
      <c r="AQ37" s="3">
        <f t="shared" si="83"/>
        <v>4832.3651369455683</v>
      </c>
      <c r="AR37" s="3">
        <f t="shared" si="83"/>
        <v>7100.0543170607798</v>
      </c>
      <c r="AS37" s="3">
        <f t="shared" si="83"/>
        <v>10063.907701505652</v>
      </c>
      <c r="AT37" s="3">
        <f t="shared" si="83"/>
        <v>13784.321528758401</v>
      </c>
      <c r="AU37" s="3">
        <f t="shared" si="83"/>
        <v>18429.8333602159</v>
      </c>
      <c r="AV37" s="3">
        <f t="shared" si="83"/>
        <v>24204.487001499834</v>
      </c>
    </row>
    <row r="38" spans="2:122" s="3" customFormat="1" x14ac:dyDescent="0.25">
      <c r="B38" s="3" t="s">
        <v>28</v>
      </c>
      <c r="C38" s="4"/>
      <c r="D38" s="4">
        <f t="shared" ref="D38:L38" si="84">D36-D37</f>
        <v>-94.050000000000011</v>
      </c>
      <c r="E38" s="4">
        <f t="shared" si="84"/>
        <v>-846.18600000000004</v>
      </c>
      <c r="F38" s="4">
        <f t="shared" si="84"/>
        <v>-155.12599999999995</v>
      </c>
      <c r="G38" s="4">
        <f t="shared" si="84"/>
        <v>-112.55000000000001</v>
      </c>
      <c r="H38" s="4">
        <f t="shared" si="84"/>
        <v>-145.93000000000004</v>
      </c>
      <c r="I38" s="4">
        <f t="shared" si="84"/>
        <v>-91.711000000000027</v>
      </c>
      <c r="J38" s="4">
        <f t="shared" si="84"/>
        <v>-58.821999999999981</v>
      </c>
      <c r="K38" s="4">
        <f t="shared" si="84"/>
        <v>-39.392000000000024</v>
      </c>
      <c r="L38" s="4">
        <f t="shared" si="84"/>
        <v>-42.547000000000004</v>
      </c>
      <c r="M38" s="4">
        <f t="shared" ref="M38" si="85">M36-M37</f>
        <v>-33.226999999999975</v>
      </c>
      <c r="N38" s="4">
        <f t="shared" ref="N38:AD38" si="86">+N36+N37</f>
        <v>37.848999999999975</v>
      </c>
      <c r="O38" s="4">
        <f t="shared" si="86"/>
        <v>135.54600000000008</v>
      </c>
      <c r="P38" s="4">
        <f t="shared" si="86"/>
        <v>144.24399999999997</v>
      </c>
      <c r="Q38" s="4">
        <f t="shared" si="86"/>
        <v>194.34899999999999</v>
      </c>
      <c r="R38" s="4">
        <f t="shared" si="86"/>
        <v>238.50499999999997</v>
      </c>
      <c r="S38" s="4">
        <f t="shared" si="86"/>
        <v>236.37699999999992</v>
      </c>
      <c r="T38" s="4">
        <f t="shared" ref="T38" si="87">+T36+T37</f>
        <v>232.52300000000002</v>
      </c>
      <c r="U38" s="4">
        <f t="shared" si="86"/>
        <v>299.57500000000005</v>
      </c>
      <c r="V38" s="4">
        <f t="shared" si="86"/>
        <v>347.56799999999998</v>
      </c>
      <c r="W38" s="4">
        <f t="shared" si="86"/>
        <v>380.97300000000007</v>
      </c>
      <c r="X38" s="4">
        <f t="shared" si="86"/>
        <v>325.875</v>
      </c>
      <c r="Y38" s="4">
        <f t="shared" si="86"/>
        <v>453.01800000000009</v>
      </c>
      <c r="Z38" s="4">
        <f t="shared" si="86"/>
        <v>638.11699999999973</v>
      </c>
      <c r="AA38" s="4">
        <f t="shared" si="86"/>
        <v>820.80899999999997</v>
      </c>
      <c r="AB38" s="4">
        <f t="shared" si="86"/>
        <v>867.39300000000003</v>
      </c>
      <c r="AC38" s="4">
        <f t="shared" si="86"/>
        <v>1035.90165</v>
      </c>
      <c r="AD38" s="4">
        <f t="shared" si="86"/>
        <v>1145.6267199999998</v>
      </c>
      <c r="AG38" s="3">
        <f t="shared" ref="AG38:AL38" si="88">AG36+AG37</f>
        <v>-1183.1379999999999</v>
      </c>
      <c r="AH38" s="3">
        <f t="shared" si="88"/>
        <v>-413.07900000000006</v>
      </c>
      <c r="AI38" s="3">
        <f t="shared" si="88"/>
        <v>-250.18730000000028</v>
      </c>
      <c r="AJ38" s="3">
        <f t="shared" si="88"/>
        <v>-172.64291000000003</v>
      </c>
      <c r="AK38" s="3">
        <f t="shared" si="88"/>
        <v>1116.0429999999997</v>
      </c>
      <c r="AL38" s="3">
        <f t="shared" si="88"/>
        <v>2544.7188000000006</v>
      </c>
      <c r="AM38" s="3">
        <f t="shared" ref="AM38" si="89">AM36+AM37</f>
        <v>5244.4041419999994</v>
      </c>
      <c r="AN38" s="3">
        <f t="shared" ref="AN38" si="90">AN36+AN37</f>
        <v>8648.1967337799979</v>
      </c>
      <c r="AO38" s="3">
        <f t="shared" ref="AO38:AQ38" si="91">AO36+AO37</f>
        <v>12961.830048720196</v>
      </c>
      <c r="AP38" s="3">
        <f t="shared" si="91"/>
        <v>18482.699574895014</v>
      </c>
      <c r="AQ38" s="3">
        <f t="shared" si="91"/>
        <v>25196.546445724569</v>
      </c>
      <c r="AR38" s="3">
        <f t="shared" ref="AR38:AV38" si="92">AR36+AR37</f>
        <v>32931.704271609677</v>
      </c>
      <c r="AS38" s="3">
        <f t="shared" si="92"/>
        <v>41337.931413919432</v>
      </c>
      <c r="AT38" s="3">
        <f t="shared" si="92"/>
        <v>51616.798127305563</v>
      </c>
      <c r="AU38" s="3">
        <f t="shared" si="92"/>
        <v>64162.818236488165</v>
      </c>
      <c r="AV38" s="3">
        <f t="shared" si="92"/>
        <v>79451.483106843807</v>
      </c>
    </row>
    <row r="39" spans="2:122" s="3" customFormat="1" x14ac:dyDescent="0.25">
      <c r="B39" s="3" t="s">
        <v>30</v>
      </c>
      <c r="C39" s="4"/>
      <c r="D39" s="4">
        <f>0.943</f>
        <v>0.94299999999999995</v>
      </c>
      <c r="E39" s="4">
        <v>-8.5429999999999993</v>
      </c>
      <c r="F39" s="4">
        <v>-7.593</v>
      </c>
      <c r="G39" s="4">
        <v>3.1019999999999999</v>
      </c>
      <c r="H39" s="4">
        <v>-5.6609999999999996</v>
      </c>
      <c r="I39" s="4">
        <v>1.4379999999999999</v>
      </c>
      <c r="J39" s="4">
        <v>33.006</v>
      </c>
      <c r="K39" s="4">
        <v>2.0230000000000001</v>
      </c>
      <c r="L39" s="4">
        <v>2.5880000000000001</v>
      </c>
      <c r="M39" s="4">
        <v>0</v>
      </c>
      <c r="N39" s="4">
        <f>4.36+2.611</f>
        <v>6.9710000000000001</v>
      </c>
      <c r="O39" s="4">
        <f>1.681+2.349</f>
        <v>4.03</v>
      </c>
      <c r="P39" s="4">
        <f>2.171-0.255</f>
        <v>1.9159999999999999</v>
      </c>
      <c r="Q39" s="4">
        <f>6.53+1.934</f>
        <v>8.4640000000000004</v>
      </c>
      <c r="R39" s="4">
        <f>9.334+3.522</f>
        <v>12.856</v>
      </c>
      <c r="S39" s="4">
        <f>4.655+0.541</f>
        <v>5.1960000000000006</v>
      </c>
      <c r="T39" s="3">
        <f>5.189+1.444</f>
        <v>6.633</v>
      </c>
      <c r="U39" s="3">
        <f>7.809+5.816</f>
        <v>13.625</v>
      </c>
      <c r="V39" s="3">
        <v>3.6019999999999999</v>
      </c>
      <c r="W39" s="3">
        <v>5.5990000000000002</v>
      </c>
      <c r="X39" s="3">
        <v>3.5960000000000001</v>
      </c>
      <c r="Y39" s="3">
        <v>3.7530000000000001</v>
      </c>
      <c r="Z39" s="3">
        <v>9.7759999999999998</v>
      </c>
      <c r="AA39" s="3">
        <v>12.199</v>
      </c>
      <c r="AG39" s="3">
        <v>-12.635999999999999</v>
      </c>
      <c r="AH39" s="3">
        <v>31.885000000000002</v>
      </c>
      <c r="AI39" s="3">
        <v>0</v>
      </c>
      <c r="AJ39" s="3">
        <v>0</v>
      </c>
      <c r="AK39" s="3">
        <f t="shared" ref="AK39" si="93">SUM(S39:V39)</f>
        <v>29.056000000000001</v>
      </c>
      <c r="AL39" s="3">
        <f>AL38*0.1</f>
        <v>254.47188000000006</v>
      </c>
      <c r="AM39" s="3">
        <f t="shared" ref="AM39" si="94">AM38*0.1</f>
        <v>524.44041419999996</v>
      </c>
      <c r="AN39" s="3">
        <f t="shared" ref="AN39" si="95">AN38*0.1</f>
        <v>864.81967337799983</v>
      </c>
      <c r="AO39" s="3">
        <f t="shared" ref="AO39:AQ39" si="96">AO38*0.1</f>
        <v>1296.1830048720196</v>
      </c>
      <c r="AP39" s="3">
        <f t="shared" si="96"/>
        <v>1848.2699574895014</v>
      </c>
      <c r="AQ39" s="3">
        <f t="shared" si="96"/>
        <v>2519.6546445724571</v>
      </c>
      <c r="AR39" s="3">
        <f t="shared" ref="AR39:AV39" si="97">AR38*0.1</f>
        <v>3293.1704271609678</v>
      </c>
      <c r="AS39" s="3">
        <f t="shared" si="97"/>
        <v>4133.7931413919432</v>
      </c>
      <c r="AT39" s="3">
        <f t="shared" si="97"/>
        <v>5161.6798127305565</v>
      </c>
      <c r="AU39" s="3">
        <f t="shared" si="97"/>
        <v>6416.2818236488165</v>
      </c>
      <c r="AV39" s="3">
        <f t="shared" si="97"/>
        <v>7945.1483106843807</v>
      </c>
    </row>
    <row r="40" spans="2:122" s="3" customFormat="1" x14ac:dyDescent="0.25">
      <c r="B40" s="3" t="s">
        <v>31</v>
      </c>
      <c r="C40" s="4"/>
      <c r="D40" s="4">
        <f t="shared" ref="D40:L40" si="98">D38-D39</f>
        <v>-94.993000000000009</v>
      </c>
      <c r="E40" s="4">
        <f t="shared" si="98"/>
        <v>-837.64300000000003</v>
      </c>
      <c r="F40" s="4">
        <f t="shared" si="98"/>
        <v>-147.53299999999996</v>
      </c>
      <c r="G40" s="4">
        <f t="shared" si="98"/>
        <v>-115.65200000000002</v>
      </c>
      <c r="H40" s="4">
        <f t="shared" si="98"/>
        <v>-140.26900000000003</v>
      </c>
      <c r="I40" s="4">
        <f t="shared" si="98"/>
        <v>-93.149000000000029</v>
      </c>
      <c r="J40" s="4">
        <f t="shared" si="98"/>
        <v>-91.827999999999975</v>
      </c>
      <c r="K40" s="4">
        <f t="shared" si="98"/>
        <v>-41.415000000000028</v>
      </c>
      <c r="L40" s="4">
        <f t="shared" si="98"/>
        <v>-45.135000000000005</v>
      </c>
      <c r="M40" s="4">
        <f t="shared" ref="M40:N40" si="99">M38-M39</f>
        <v>-33.226999999999975</v>
      </c>
      <c r="N40" s="4">
        <f t="shared" si="99"/>
        <v>30.877999999999975</v>
      </c>
      <c r="O40" s="4">
        <f>+O38-O39</f>
        <v>131.51600000000008</v>
      </c>
      <c r="P40" s="4">
        <f>+P38-P39</f>
        <v>142.32799999999997</v>
      </c>
      <c r="Q40" s="4">
        <f>+Q38-Q39</f>
        <v>185.88499999999999</v>
      </c>
      <c r="R40" s="4">
        <f>+R38-R39</f>
        <v>225.64899999999997</v>
      </c>
      <c r="S40" s="4">
        <f>+S38-S39</f>
        <v>231.18099999999993</v>
      </c>
      <c r="T40" s="4">
        <f t="shared" ref="T40:W40" si="100">+T38-T39</f>
        <v>225.89000000000001</v>
      </c>
      <c r="U40" s="4">
        <f t="shared" si="100"/>
        <v>285.95000000000005</v>
      </c>
      <c r="V40" s="4">
        <f t="shared" si="100"/>
        <v>343.96600000000001</v>
      </c>
      <c r="W40" s="4">
        <f t="shared" si="100"/>
        <v>375.37400000000008</v>
      </c>
      <c r="X40" s="3">
        <f t="shared" ref="X40:AD40" si="101">+X38-X39</f>
        <v>322.279</v>
      </c>
      <c r="Y40" s="3">
        <f t="shared" si="101"/>
        <v>449.2650000000001</v>
      </c>
      <c r="Z40" s="3">
        <f t="shared" si="101"/>
        <v>628.34099999999978</v>
      </c>
      <c r="AA40" s="3">
        <f t="shared" si="101"/>
        <v>808.61</v>
      </c>
      <c r="AB40" s="3">
        <f t="shared" si="101"/>
        <v>867.39300000000003</v>
      </c>
      <c r="AC40" s="3">
        <f t="shared" si="101"/>
        <v>1035.90165</v>
      </c>
      <c r="AD40" s="3">
        <f t="shared" si="101"/>
        <v>1145.6267199999998</v>
      </c>
      <c r="AG40" s="3">
        <f>AG38-AG39</f>
        <v>-1170.502</v>
      </c>
      <c r="AH40" s="3">
        <f>AH38-AH39</f>
        <v>-444.96400000000006</v>
      </c>
      <c r="AI40" s="3">
        <f t="shared" ref="AI40:AL40" si="102">AI38-AI39</f>
        <v>-250.18730000000028</v>
      </c>
      <c r="AJ40" s="3">
        <f t="shared" si="102"/>
        <v>-172.64291000000003</v>
      </c>
      <c r="AK40" s="3">
        <f t="shared" si="102"/>
        <v>1086.9869999999996</v>
      </c>
      <c r="AL40" s="3">
        <f t="shared" si="102"/>
        <v>2290.2469200000005</v>
      </c>
      <c r="AM40" s="3">
        <f t="shared" ref="AM40" si="103">AM38-AM39</f>
        <v>4719.9637277999991</v>
      </c>
      <c r="AN40" s="3">
        <f t="shared" ref="AN40" si="104">AN38-AN39</f>
        <v>7783.3770604019983</v>
      </c>
      <c r="AO40" s="3">
        <f t="shared" ref="AO40:AQ40" si="105">AO38-AO39</f>
        <v>11665.647043848176</v>
      </c>
      <c r="AP40" s="3">
        <f t="shared" si="105"/>
        <v>16634.429617405513</v>
      </c>
      <c r="AQ40" s="3">
        <f t="shared" si="105"/>
        <v>22676.891801152113</v>
      </c>
      <c r="AR40" s="3">
        <f t="shared" ref="AR40:AV40" si="106">AR38-AR39</f>
        <v>29638.53384444871</v>
      </c>
      <c r="AS40" s="3">
        <f t="shared" si="106"/>
        <v>37204.138272527489</v>
      </c>
      <c r="AT40" s="3">
        <f t="shared" si="106"/>
        <v>46455.118314575004</v>
      </c>
      <c r="AU40" s="3">
        <f t="shared" si="106"/>
        <v>57746.536412839348</v>
      </c>
      <c r="AV40" s="3">
        <f t="shared" si="106"/>
        <v>71506.334796159426</v>
      </c>
      <c r="AW40" s="3">
        <f t="shared" ref="AW40:CB40" si="107">+AV40*(1+$AY$45)</f>
        <v>72936.461492082613</v>
      </c>
      <c r="AX40" s="3">
        <f t="shared" si="107"/>
        <v>74395.190721924271</v>
      </c>
      <c r="AY40" s="3">
        <f t="shared" si="107"/>
        <v>75883.094536362754</v>
      </c>
      <c r="AZ40" s="3">
        <f t="shared" si="107"/>
        <v>77400.756427090004</v>
      </c>
      <c r="BA40" s="3">
        <f t="shared" si="107"/>
        <v>78948.7715556318</v>
      </c>
      <c r="BB40" s="3">
        <f t="shared" si="107"/>
        <v>80527.746986744431</v>
      </c>
      <c r="BC40" s="3">
        <f t="shared" si="107"/>
        <v>82138.301926479326</v>
      </c>
      <c r="BD40" s="3">
        <f t="shared" si="107"/>
        <v>83781.067965008915</v>
      </c>
      <c r="BE40" s="3">
        <f t="shared" si="107"/>
        <v>85456.689324309089</v>
      </c>
      <c r="BF40" s="3">
        <f t="shared" si="107"/>
        <v>87165.823110795274</v>
      </c>
      <c r="BG40" s="3">
        <f t="shared" si="107"/>
        <v>88909.139573011184</v>
      </c>
      <c r="BH40" s="3">
        <f t="shared" si="107"/>
        <v>90687.322364471402</v>
      </c>
      <c r="BI40" s="3">
        <f t="shared" si="107"/>
        <v>92501.068811760837</v>
      </c>
      <c r="BJ40" s="3">
        <f t="shared" si="107"/>
        <v>94351.090187996058</v>
      </c>
      <c r="BK40" s="3">
        <f t="shared" si="107"/>
        <v>96238.111991755984</v>
      </c>
      <c r="BL40" s="3">
        <f t="shared" si="107"/>
        <v>98162.874231591108</v>
      </c>
      <c r="BM40" s="3">
        <f t="shared" si="107"/>
        <v>100126.13171622294</v>
      </c>
      <c r="BN40" s="3">
        <f t="shared" si="107"/>
        <v>102128.6543505474</v>
      </c>
      <c r="BO40" s="3">
        <f t="shared" si="107"/>
        <v>104171.22743755835</v>
      </c>
      <c r="BP40" s="3">
        <f t="shared" si="107"/>
        <v>106254.65198630952</v>
      </c>
      <c r="BQ40" s="3">
        <f t="shared" si="107"/>
        <v>108379.74502603571</v>
      </c>
      <c r="BR40" s="3">
        <f t="shared" si="107"/>
        <v>110547.33992655644</v>
      </c>
      <c r="BS40" s="3">
        <f t="shared" si="107"/>
        <v>112758.28672508757</v>
      </c>
      <c r="BT40" s="3">
        <f t="shared" si="107"/>
        <v>115013.45245958933</v>
      </c>
      <c r="BU40" s="3">
        <f t="shared" si="107"/>
        <v>117313.72150878112</v>
      </c>
      <c r="BV40" s="3">
        <f t="shared" si="107"/>
        <v>119659.99593895674</v>
      </c>
      <c r="BW40" s="3">
        <f t="shared" si="107"/>
        <v>122053.19585773587</v>
      </c>
      <c r="BX40" s="3">
        <f t="shared" si="107"/>
        <v>124494.2597748906</v>
      </c>
      <c r="BY40" s="3">
        <f t="shared" si="107"/>
        <v>126984.14497038841</v>
      </c>
      <c r="BZ40" s="3">
        <f t="shared" si="107"/>
        <v>129523.82786979618</v>
      </c>
      <c r="CA40" s="3">
        <f t="shared" si="107"/>
        <v>132114.30442719211</v>
      </c>
      <c r="CB40" s="3">
        <f t="shared" si="107"/>
        <v>134756.59051573597</v>
      </c>
      <c r="CC40" s="3">
        <f t="shared" ref="CC40:DH40" si="108">+CB40*(1+$AY$45)</f>
        <v>137451.72232605069</v>
      </c>
      <c r="CD40" s="3">
        <f t="shared" si="108"/>
        <v>140200.75677257171</v>
      </c>
      <c r="CE40" s="3">
        <f t="shared" si="108"/>
        <v>143004.77190802313</v>
      </c>
      <c r="CF40" s="3">
        <f t="shared" si="108"/>
        <v>145864.8673461836</v>
      </c>
      <c r="CG40" s="3">
        <f t="shared" si="108"/>
        <v>148782.16469310728</v>
      </c>
      <c r="CH40" s="3">
        <f t="shared" si="108"/>
        <v>151757.80798696942</v>
      </c>
      <c r="CI40" s="3">
        <f t="shared" si="108"/>
        <v>154792.96414670881</v>
      </c>
      <c r="CJ40" s="3">
        <f t="shared" si="108"/>
        <v>157888.82342964297</v>
      </c>
      <c r="CK40" s="3">
        <f t="shared" si="108"/>
        <v>161046.59989823584</v>
      </c>
      <c r="CL40" s="3">
        <f t="shared" si="108"/>
        <v>164267.53189620055</v>
      </c>
      <c r="CM40" s="3">
        <f t="shared" si="108"/>
        <v>167552.88253412457</v>
      </c>
      <c r="CN40" s="3">
        <f t="shared" si="108"/>
        <v>170903.94018480706</v>
      </c>
      <c r="CO40" s="3">
        <f t="shared" si="108"/>
        <v>174322.0189885032</v>
      </c>
      <c r="CP40" s="3">
        <f t="shared" si="108"/>
        <v>177808.45936827327</v>
      </c>
      <c r="CQ40" s="3">
        <f t="shared" si="108"/>
        <v>181364.62855563874</v>
      </c>
      <c r="CR40" s="3">
        <f t="shared" si="108"/>
        <v>184991.92112675152</v>
      </c>
      <c r="CS40" s="3">
        <f t="shared" si="108"/>
        <v>188691.75954928657</v>
      </c>
      <c r="CT40" s="3">
        <f t="shared" si="108"/>
        <v>192465.5947402723</v>
      </c>
      <c r="CU40" s="3">
        <f t="shared" si="108"/>
        <v>196314.90663507776</v>
      </c>
      <c r="CV40" s="3">
        <f t="shared" si="108"/>
        <v>200241.20476777933</v>
      </c>
      <c r="CW40" s="3">
        <f t="shared" si="108"/>
        <v>204246.02886313491</v>
      </c>
      <c r="CX40" s="3">
        <f t="shared" si="108"/>
        <v>208330.94944039761</v>
      </c>
      <c r="CY40" s="3">
        <f t="shared" si="108"/>
        <v>212497.56842920557</v>
      </c>
      <c r="CZ40" s="3">
        <f t="shared" si="108"/>
        <v>216747.51979778969</v>
      </c>
      <c r="DA40" s="3">
        <f t="shared" si="108"/>
        <v>221082.47019374548</v>
      </c>
      <c r="DB40" s="3">
        <f t="shared" si="108"/>
        <v>225504.11959762039</v>
      </c>
      <c r="DC40" s="3">
        <f t="shared" si="108"/>
        <v>230014.20198957279</v>
      </c>
      <c r="DD40" s="3">
        <f t="shared" si="108"/>
        <v>234614.48602936426</v>
      </c>
      <c r="DE40" s="3">
        <f t="shared" si="108"/>
        <v>239306.77574995154</v>
      </c>
      <c r="DF40" s="3">
        <f t="shared" si="108"/>
        <v>244092.91126495058</v>
      </c>
      <c r="DG40" s="3">
        <f t="shared" si="108"/>
        <v>248974.7694902496</v>
      </c>
      <c r="DH40" s="3">
        <f t="shared" si="108"/>
        <v>253954.2648800546</v>
      </c>
      <c r="DI40" s="3">
        <f t="shared" ref="DI40:DR40" si="109">+DH40*(1+$AY$45)</f>
        <v>259033.3501776557</v>
      </c>
      <c r="DJ40" s="3">
        <f t="shared" si="109"/>
        <v>264214.01718120882</v>
      </c>
      <c r="DK40" s="3">
        <f t="shared" si="109"/>
        <v>269498.297524833</v>
      </c>
      <c r="DL40" s="3">
        <f t="shared" si="109"/>
        <v>274888.26347532967</v>
      </c>
      <c r="DM40" s="3">
        <f t="shared" si="109"/>
        <v>280386.02874483628</v>
      </c>
      <c r="DN40" s="3">
        <f t="shared" si="109"/>
        <v>285993.749319733</v>
      </c>
      <c r="DO40" s="3">
        <f t="shared" si="109"/>
        <v>291713.62430612766</v>
      </c>
      <c r="DP40" s="3">
        <f t="shared" si="109"/>
        <v>297547.89679225022</v>
      </c>
      <c r="DQ40" s="3">
        <f t="shared" si="109"/>
        <v>303498.85472809523</v>
      </c>
      <c r="DR40" s="3">
        <f t="shared" si="109"/>
        <v>309568.83182265714</v>
      </c>
    </row>
    <row r="41" spans="2:122" x14ac:dyDescent="0.25">
      <c r="B41" s="3" t="s">
        <v>1</v>
      </c>
      <c r="D41" s="7">
        <f t="shared" ref="D41:L41" si="110">D40/D42</f>
        <v>-0.14827157237200492</v>
      </c>
      <c r="E41" s="7">
        <f t="shared" si="110"/>
        <v>-0.92510011463761044</v>
      </c>
      <c r="F41" s="7">
        <f t="shared" si="110"/>
        <v>-8.3658536308756248E-2</v>
      </c>
      <c r="G41" s="7">
        <f t="shared" si="110"/>
        <v>-6.3504649239659608E-2</v>
      </c>
      <c r="H41" s="7">
        <f t="shared" si="110"/>
        <v>-7.4035973706406522E-2</v>
      </c>
      <c r="I41" s="7">
        <f t="shared" si="110"/>
        <v>-4.7418670888492401E-2</v>
      </c>
      <c r="J41" s="7">
        <f t="shared" si="110"/>
        <v>-4.5645513091992884E-2</v>
      </c>
      <c r="K41" s="7">
        <f t="shared" si="110"/>
        <v>-2.0338288872945007E-2</v>
      </c>
      <c r="L41" s="7">
        <f t="shared" si="110"/>
        <v>-2.1965652114878394E-2</v>
      </c>
      <c r="M41" s="7">
        <f t="shared" ref="M41:N41" si="111">M40/M42</f>
        <v>-1.6170438081778302E-2</v>
      </c>
      <c r="N41" s="7">
        <f t="shared" si="111"/>
        <v>1.4011679273305783E-2</v>
      </c>
      <c r="O41" s="7">
        <f>+O40/O42</f>
        <v>5.9309861511410274E-2</v>
      </c>
      <c r="P41" s="7">
        <f>+P40/P42</f>
        <v>6.2475116925757891E-2</v>
      </c>
      <c r="Q41" s="7">
        <f>+Q40/Q42</f>
        <v>7.9929910560715509E-2</v>
      </c>
      <c r="R41" s="7">
        <f>+R40/R42</f>
        <v>9.5705552176616415E-2</v>
      </c>
      <c r="S41" s="7">
        <f>+S40/S42</f>
        <v>9.6321122349961874E-2</v>
      </c>
      <c r="T41" s="7">
        <f t="shared" ref="T41:AD41" si="112">+T40/T42</f>
        <v>9.3548007699519944E-2</v>
      </c>
      <c r="U41" s="7">
        <f t="shared" si="112"/>
        <v>0.11625926120176991</v>
      </c>
      <c r="V41" s="7">
        <f t="shared" si="112"/>
        <v>0.13604748526566887</v>
      </c>
      <c r="W41" s="7">
        <f>+W40/W42</f>
        <v>0.14704299327253256</v>
      </c>
      <c r="X41" s="7">
        <f t="shared" si="112"/>
        <v>0.12574719693848249</v>
      </c>
      <c r="Y41" s="7">
        <f t="shared" si="112"/>
        <v>0.17473941651235275</v>
      </c>
      <c r="Z41" s="7">
        <f t="shared" si="112"/>
        <v>0.24387414384724679</v>
      </c>
      <c r="AA41" s="7">
        <f t="shared" si="112"/>
        <v>0.31452116048549084</v>
      </c>
      <c r="AB41" s="7">
        <f t="shared" si="112"/>
        <v>0.33738570257230477</v>
      </c>
      <c r="AC41" s="7">
        <f t="shared" si="112"/>
        <v>0.40292970542886525</v>
      </c>
      <c r="AD41" s="7">
        <f t="shared" si="112"/>
        <v>0.44560894059878853</v>
      </c>
      <c r="AG41" s="1">
        <f>AG40/AG42</f>
        <v>-1.1952069271849119</v>
      </c>
      <c r="AH41" s="1">
        <f>AH40/AH42</f>
        <v>-0.23131631712549852</v>
      </c>
      <c r="AI41" s="1">
        <f t="shared" ref="AI41:AL41" si="113">AI40/AI42</f>
        <v>-0.11985539971912569</v>
      </c>
      <c r="AJ41" s="1">
        <f t="shared" si="113"/>
        <v>-7.5234388822408196E-2</v>
      </c>
      <c r="AK41" s="1">
        <f t="shared" si="113"/>
        <v>0.44354727400317712</v>
      </c>
      <c r="AL41" s="1">
        <f t="shared" si="113"/>
        <v>0.93453995140712176</v>
      </c>
      <c r="AM41" s="1">
        <f t="shared" ref="AM41" si="114">AM40/AM42</f>
        <v>1.9259908764866225</v>
      </c>
      <c r="AN41" s="1">
        <f t="shared" ref="AN41" si="115">AN40/AN42</f>
        <v>3.1760229677817393</v>
      </c>
      <c r="AO41" s="1">
        <f t="shared" ref="AO41:AQ41" si="116">AO40/AO42</f>
        <v>4.7601911943584252</v>
      </c>
      <c r="AP41" s="1">
        <f t="shared" si="116"/>
        <v>6.7877131110104632</v>
      </c>
      <c r="AQ41" s="1">
        <f t="shared" si="116"/>
        <v>9.2533521939692207</v>
      </c>
      <c r="AR41" s="1">
        <f t="shared" ref="AR41:AV41" si="117">AR40/AR42</f>
        <v>12.094064503214975</v>
      </c>
      <c r="AS41" s="1">
        <f t="shared" si="117"/>
        <v>15.181224901877249</v>
      </c>
      <c r="AT41" s="1">
        <f t="shared" si="117"/>
        <v>18.956106275350873</v>
      </c>
      <c r="AU41" s="1">
        <f t="shared" si="117"/>
        <v>23.563592581180924</v>
      </c>
      <c r="AV41" s="1">
        <f t="shared" si="117"/>
        <v>29.178306523256538</v>
      </c>
    </row>
    <row r="42" spans="2:122" s="3" customFormat="1" x14ac:dyDescent="0.25">
      <c r="B42" s="3" t="s">
        <v>29</v>
      </c>
      <c r="C42" s="4"/>
      <c r="D42" s="4">
        <v>640.66899999999998</v>
      </c>
      <c r="E42" s="4">
        <v>905.46199999999999</v>
      </c>
      <c r="F42" s="4">
        <v>1763.5139999999999</v>
      </c>
      <c r="G42" s="4">
        <v>1821.1579999999999</v>
      </c>
      <c r="H42" s="4">
        <v>1894.606</v>
      </c>
      <c r="I42" s="4">
        <v>1964.395</v>
      </c>
      <c r="J42" s="4">
        <v>2011.7639999999999</v>
      </c>
      <c r="K42" s="4">
        <v>2036.307</v>
      </c>
      <c r="L42" s="4">
        <v>2054.799</v>
      </c>
      <c r="M42" s="4">
        <f t="shared" ref="M42" si="118">L42</f>
        <v>2054.799</v>
      </c>
      <c r="N42" s="4">
        <v>2203.7330000000002</v>
      </c>
      <c r="O42" s="4">
        <v>2217.4389999999999</v>
      </c>
      <c r="P42" s="4">
        <v>2278.1550000000002</v>
      </c>
      <c r="Q42" s="4">
        <v>2325.6</v>
      </c>
      <c r="R42" s="4">
        <v>2357.7420000000002</v>
      </c>
      <c r="S42" s="4">
        <v>2400.107</v>
      </c>
      <c r="T42" s="3">
        <v>2414.6959999999999</v>
      </c>
      <c r="U42" s="3">
        <v>2459.5889999999999</v>
      </c>
      <c r="V42" s="3">
        <v>2528.279</v>
      </c>
      <c r="W42" s="3">
        <v>2552.8180000000002</v>
      </c>
      <c r="X42" s="3">
        <v>2562.9119999999998</v>
      </c>
      <c r="Y42" s="3">
        <v>2571.0569999999998</v>
      </c>
      <c r="Z42" s="3">
        <v>2576.4969999999998</v>
      </c>
      <c r="AA42" s="3">
        <v>2570.924</v>
      </c>
      <c r="AB42" s="3">
        <f>+AA42</f>
        <v>2570.924</v>
      </c>
      <c r="AC42" s="3">
        <f>+AB42</f>
        <v>2570.924</v>
      </c>
      <c r="AD42" s="3">
        <f>+AC42</f>
        <v>2570.924</v>
      </c>
      <c r="AG42" s="3">
        <v>979.33</v>
      </c>
      <c r="AH42" s="3">
        <v>1923.617</v>
      </c>
      <c r="AI42" s="3">
        <f>AVERAGE(K42:N42)</f>
        <v>2087.4094999999998</v>
      </c>
      <c r="AJ42" s="3">
        <f>AVERAGE(O42:R42)</f>
        <v>2294.7339999999999</v>
      </c>
      <c r="AK42" s="3">
        <f>AVERAGE(S42:V42)</f>
        <v>2450.6677500000001</v>
      </c>
      <c r="AL42" s="3">
        <f>AK42</f>
        <v>2450.6677500000001</v>
      </c>
      <c r="AM42" s="3">
        <f t="shared" ref="AM42" si="119">AL42</f>
        <v>2450.6677500000001</v>
      </c>
      <c r="AN42" s="3">
        <f t="shared" ref="AN42:AO42" si="120">AM42</f>
        <v>2450.6677500000001</v>
      </c>
      <c r="AO42" s="3">
        <f t="shared" si="120"/>
        <v>2450.6677500000001</v>
      </c>
      <c r="AP42" s="3">
        <f t="shared" ref="AP42" si="121">AO42</f>
        <v>2450.6677500000001</v>
      </c>
      <c r="AQ42" s="3">
        <f t="shared" ref="AQ42" si="122">AP42</f>
        <v>2450.6677500000001</v>
      </c>
      <c r="AR42" s="3">
        <f t="shared" ref="AR42" si="123">AQ42</f>
        <v>2450.6677500000001</v>
      </c>
      <c r="AS42" s="3">
        <f t="shared" ref="AS42" si="124">AR42</f>
        <v>2450.6677500000001</v>
      </c>
      <c r="AT42" s="3">
        <f t="shared" ref="AT42" si="125">AS42</f>
        <v>2450.6677500000001</v>
      </c>
      <c r="AU42" s="3">
        <f t="shared" ref="AU42" si="126">AT42</f>
        <v>2450.6677500000001</v>
      </c>
      <c r="AV42" s="3">
        <f t="shared" ref="AV42" si="127">AU42</f>
        <v>2450.6677500000001</v>
      </c>
    </row>
    <row r="45" spans="2:122" s="11" customFormat="1" ht="13" x14ac:dyDescent="0.3">
      <c r="B45" s="5" t="s">
        <v>32</v>
      </c>
      <c r="C45" s="9"/>
      <c r="D45" s="9"/>
      <c r="E45" s="9"/>
      <c r="F45" s="9"/>
      <c r="G45" s="9"/>
      <c r="H45" s="10">
        <f>H29/D29-1</f>
        <v>0.49129973917082514</v>
      </c>
      <c r="I45" s="10">
        <f>I29/E29-1</f>
        <v>0.35519031261447442</v>
      </c>
      <c r="J45" s="10">
        <f>J29/F29-1</f>
        <v>0.34392764777656004</v>
      </c>
      <c r="K45" s="10">
        <f>K29/G29-1</f>
        <v>0.30806719142875583</v>
      </c>
      <c r="L45" s="10">
        <f>L29/H29-1</f>
        <v>0.25920424233711881</v>
      </c>
      <c r="M45" s="10">
        <f t="shared" ref="M45:O45" si="128">M29/I29-1</f>
        <v>0.21862775598884077</v>
      </c>
      <c r="N45" s="10">
        <f t="shared" si="128"/>
        <v>0.17501218619113956</v>
      </c>
      <c r="O45" s="10">
        <f t="shared" si="128"/>
        <v>0.1766052733574246</v>
      </c>
      <c r="P45" s="10">
        <f t="shared" ref="P45:T45" si="129">P29/L29-1</f>
        <v>0.12749624743662924</v>
      </c>
      <c r="Q45" s="10">
        <f t="shared" si="129"/>
        <v>0.16798987193437687</v>
      </c>
      <c r="R45" s="10">
        <f t="shared" si="129"/>
        <v>0.19538205039479051</v>
      </c>
      <c r="S45" s="10">
        <f t="shared" si="129"/>
        <v>0.20783493847893864</v>
      </c>
      <c r="T45" s="10">
        <f t="shared" si="129"/>
        <v>0.2715401909183468</v>
      </c>
      <c r="U45" s="10">
        <f t="shared" ref="U45" si="130">U29/Q29-1</f>
        <v>0.2998375015004684</v>
      </c>
      <c r="V45" s="10">
        <f t="shared" ref="V45:Z45" si="131">V29/R29-1</f>
        <v>0.36105098684210524</v>
      </c>
      <c r="W45" s="10">
        <f t="shared" si="131"/>
        <v>0.39200237097572588</v>
      </c>
      <c r="X45" s="10">
        <f t="shared" si="131"/>
        <v>0.48053334591688368</v>
      </c>
      <c r="Y45" s="10">
        <f t="shared" si="131"/>
        <v>0.62793377403117256</v>
      </c>
      <c r="Z45" s="10">
        <f t="shared" si="131"/>
        <v>0.70002380609992021</v>
      </c>
      <c r="AA45" s="10">
        <f t="shared" ref="AA45" si="132">AA29/W29-1</f>
        <v>0.84937712344280869</v>
      </c>
      <c r="AB45" s="10">
        <f>AB29/X29-1</f>
        <v>0.8</v>
      </c>
      <c r="AC45" s="10">
        <f t="shared" ref="AC45" si="133">AC29/Y29-1</f>
        <v>0.75</v>
      </c>
      <c r="AD45" s="10">
        <f t="shared" ref="AD45" si="134">AD29/Z29-1</f>
        <v>0.59999999999999987</v>
      </c>
      <c r="AH45" s="12">
        <f>AH29/AG29-1</f>
        <v>0.41111659206368234</v>
      </c>
      <c r="AI45" s="12">
        <f>AI29/AH29-1</f>
        <v>0.23606238840798532</v>
      </c>
      <c r="AJ45" s="12">
        <f>AJ29/AI29-1</f>
        <v>0.16726787909569985</v>
      </c>
      <c r="AK45" s="12">
        <f>AK29/AJ29-1</f>
        <v>0.28806398455136084</v>
      </c>
      <c r="AL45" s="12">
        <f>AL29/AK29-1</f>
        <v>0.561641273254611</v>
      </c>
      <c r="AM45" s="12">
        <f t="shared" ref="AM45" si="135">AM29/AL29-1</f>
        <v>0.73367105455458814</v>
      </c>
      <c r="AN45" s="12">
        <f t="shared" ref="AN45:AO45" si="136">AN29/AM29-1</f>
        <v>0.49999999999999978</v>
      </c>
      <c r="AO45" s="12">
        <f t="shared" si="136"/>
        <v>0.39999999999999991</v>
      </c>
      <c r="AP45" s="12">
        <f t="shared" ref="AP45" si="137">AP29/AO29-1</f>
        <v>0.35000000000000009</v>
      </c>
      <c r="AQ45" s="12">
        <f t="shared" ref="AQ45" si="138">AQ29/AP29-1</f>
        <v>0.30000000000000004</v>
      </c>
      <c r="AR45" s="12">
        <f t="shared" ref="AR45" si="139">AR29/AQ29-1</f>
        <v>0.25</v>
      </c>
      <c r="AS45" s="12">
        <f t="shared" ref="AS45" si="140">AS29/AR29-1</f>
        <v>0.19999999999999996</v>
      </c>
      <c r="AT45" s="12">
        <f t="shared" ref="AT45" si="141">AT29/AS29-1</f>
        <v>0.19999999999999996</v>
      </c>
      <c r="AU45" s="12">
        <f t="shared" ref="AU45" si="142">AU29/AT29-1</f>
        <v>0.19999999999999996</v>
      </c>
      <c r="AV45" s="12">
        <f t="shared" ref="AV45" si="143">AV29/AU29-1</f>
        <v>0.19999999999999996</v>
      </c>
      <c r="AX45" s="11" t="s">
        <v>115</v>
      </c>
      <c r="AY45" s="12">
        <v>0.02</v>
      </c>
    </row>
    <row r="46" spans="2:122" x14ac:dyDescent="0.25">
      <c r="B46" t="s">
        <v>33</v>
      </c>
      <c r="D46" s="8">
        <f t="shared" ref="D46:K46" si="144">D31/D29</f>
        <v>0.72841211803611916</v>
      </c>
      <c r="E46" s="8">
        <f t="shared" si="144"/>
        <v>0.48390619492269304</v>
      </c>
      <c r="F46" s="8">
        <f t="shared" si="144"/>
        <v>0.78110844450791861</v>
      </c>
      <c r="G46" s="8">
        <f t="shared" si="144"/>
        <v>0.78281472537906538</v>
      </c>
      <c r="H46" s="8">
        <f t="shared" si="144"/>
        <v>0.75794506471587308</v>
      </c>
      <c r="I46" s="8">
        <f t="shared" si="144"/>
        <v>0.77864366842961541</v>
      </c>
      <c r="J46" s="8">
        <f t="shared" si="144"/>
        <v>0.79771384744043783</v>
      </c>
      <c r="K46" s="8">
        <f t="shared" si="144"/>
        <v>0.78850337286073702</v>
      </c>
      <c r="L46" s="8">
        <f t="shared" ref="L46:P46" si="145">L31/L29</f>
        <v>0.78388617576795416</v>
      </c>
      <c r="M46" s="8">
        <f t="shared" si="145"/>
        <v>0.8</v>
      </c>
      <c r="N46" s="8">
        <f t="shared" si="145"/>
        <v>0.79491530089024498</v>
      </c>
      <c r="O46" s="8">
        <f t="shared" si="145"/>
        <v>0.8125083303819981</v>
      </c>
      <c r="P46" s="8">
        <f t="shared" si="145"/>
        <v>0.81456619608975533</v>
      </c>
      <c r="Q46" s="8">
        <f t="shared" ref="Q46:R46" si="146">Q31/Q29</f>
        <v>0.82064608830100383</v>
      </c>
      <c r="R46" s="8">
        <f t="shared" si="146"/>
        <v>0.83940953947368424</v>
      </c>
      <c r="S46" s="8">
        <f t="shared" ref="S46:W46" si="147">S31/S29</f>
        <v>0.83314888907806239</v>
      </c>
      <c r="T46" s="8">
        <f t="shared" si="147"/>
        <v>0.82870642085487534</v>
      </c>
      <c r="U46" s="8">
        <f t="shared" si="147"/>
        <v>0.81597097789711048</v>
      </c>
      <c r="V46" s="8">
        <f t="shared" si="147"/>
        <v>0.82911691453610126</v>
      </c>
      <c r="W46" s="8">
        <f t="shared" si="147"/>
        <v>0.82111664779161952</v>
      </c>
      <c r="X46" s="8">
        <f t="shared" ref="X46:Z46" si="148">X31/X29</f>
        <v>0.80783466135458171</v>
      </c>
      <c r="Y46" s="8">
        <f t="shared" si="148"/>
        <v>0.82447853342499988</v>
      </c>
      <c r="Z46" s="8">
        <f t="shared" si="148"/>
        <v>0.84648443775314497</v>
      </c>
      <c r="AA46" s="8">
        <f t="shared" ref="AA46:AD46" si="149">AA31/AA29</f>
        <v>0.86785180649112059</v>
      </c>
      <c r="AB46" s="8">
        <f t="shared" si="149"/>
        <v>0.85000000000000009</v>
      </c>
      <c r="AC46" s="8">
        <f t="shared" si="149"/>
        <v>0.85</v>
      </c>
      <c r="AD46" s="8">
        <f t="shared" si="149"/>
        <v>0.85</v>
      </c>
      <c r="AG46" s="8">
        <f t="shared" ref="AG46:AL46" si="150">AG31/AG29</f>
        <v>0.67735360899372454</v>
      </c>
      <c r="AH46" s="8">
        <f t="shared" si="150"/>
        <v>0.77987779924495215</v>
      </c>
      <c r="AI46" s="8">
        <f t="shared" si="150"/>
        <v>0.8</v>
      </c>
      <c r="AJ46" s="8">
        <f t="shared" si="150"/>
        <v>0.8</v>
      </c>
      <c r="AK46" s="8">
        <f t="shared" si="150"/>
        <v>0.8265839169124346</v>
      </c>
      <c r="AL46" s="8">
        <f t="shared" si="150"/>
        <v>0.8</v>
      </c>
      <c r="AM46" s="8">
        <f t="shared" ref="AM46" si="151">AM31/AM29</f>
        <v>0.8</v>
      </c>
      <c r="AN46" s="8">
        <f t="shared" ref="AN46:AO46" si="152">AN31/AN29</f>
        <v>0.79999999999999993</v>
      </c>
      <c r="AO46" s="8">
        <f t="shared" si="152"/>
        <v>0.8</v>
      </c>
      <c r="AP46" s="8">
        <f t="shared" ref="AP46:AQ46" si="153">AP31/AP29</f>
        <v>0.8</v>
      </c>
      <c r="AQ46" s="8">
        <f t="shared" si="153"/>
        <v>0.8</v>
      </c>
      <c r="AR46" s="8">
        <f t="shared" ref="AR46:AV46" si="154">AR31/AR29</f>
        <v>0.8</v>
      </c>
      <c r="AS46" s="8">
        <f t="shared" si="154"/>
        <v>0.79999999999999993</v>
      </c>
      <c r="AT46" s="8">
        <f t="shared" si="154"/>
        <v>0.8</v>
      </c>
      <c r="AU46" s="8">
        <f t="shared" si="154"/>
        <v>0.8</v>
      </c>
      <c r="AV46" s="8">
        <f t="shared" si="154"/>
        <v>0.8</v>
      </c>
      <c r="AX46" t="s">
        <v>116</v>
      </c>
      <c r="AY46" s="17">
        <v>0.08</v>
      </c>
    </row>
    <row r="47" spans="2:122" x14ac:dyDescent="0.25">
      <c r="B47" t="s">
        <v>96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>
        <f t="shared" ref="R47:U47" si="155">+R32/N32-1</f>
        <v>-0.19218011596305584</v>
      </c>
      <c r="S47" s="8">
        <f t="shared" si="155"/>
        <v>2.3468737716694443E-2</v>
      </c>
      <c r="T47" s="8">
        <f t="shared" si="155"/>
        <v>1.6866166319710718E-2</v>
      </c>
      <c r="U47" s="8">
        <f t="shared" si="155"/>
        <v>0.15824719330624504</v>
      </c>
      <c r="V47" s="8">
        <f>+V32/R32-1</f>
        <v>0.23860900347488845</v>
      </c>
      <c r="W47" s="8">
        <f>+W32/S32-1</f>
        <v>0.21702279815389924</v>
      </c>
      <c r="X47" s="8">
        <f t="shared" ref="X47:Z49" si="156">+X32/T32-1</f>
        <v>0.64172531061651905</v>
      </c>
      <c r="Y47" s="8">
        <f t="shared" si="156"/>
        <v>0.72970726054315538</v>
      </c>
      <c r="Z47" s="8">
        <f t="shared" si="156"/>
        <v>0.58727973857582638</v>
      </c>
      <c r="AA47" s="8">
        <f t="shared" ref="AA47:AA49" si="157">+AA32/W32-1</f>
        <v>0.73681690569979774</v>
      </c>
      <c r="AB47" s="8">
        <f t="shared" ref="AB47:AB49" si="158">+AB32/X32-1</f>
        <v>0.39999999999999991</v>
      </c>
      <c r="AC47" s="8">
        <f t="shared" ref="AC47:AC49" si="159">+AC32/Y32-1</f>
        <v>0.39999999999999991</v>
      </c>
      <c r="AD47" s="8">
        <f t="shared" ref="AD47:AD49" si="160">+AD32/Z32-1</f>
        <v>0.39999999999999991</v>
      </c>
      <c r="AG47" s="8"/>
      <c r="AH47" s="8">
        <f t="shared" ref="AH47:AJ47" si="161">+AH32/AG32-1</f>
        <v>-0.10119774579823648</v>
      </c>
      <c r="AI47" s="8">
        <f t="shared" si="161"/>
        <v>0.10000000000000009</v>
      </c>
      <c r="AJ47" s="8">
        <f t="shared" si="161"/>
        <v>0.10000000000000009</v>
      </c>
      <c r="AK47" s="8">
        <f>+AK32/AJ32-1</f>
        <v>-0.12766364688599541</v>
      </c>
      <c r="AL47" s="8">
        <f t="shared" ref="AL47:AQ47" si="162">+AL32/AK32-1</f>
        <v>0.10000000000000009</v>
      </c>
      <c r="AM47" s="8">
        <f t="shared" si="162"/>
        <v>0.10000000000000009</v>
      </c>
      <c r="AN47" s="8">
        <f t="shared" si="162"/>
        <v>0.10000000000000009</v>
      </c>
      <c r="AO47" s="8">
        <f t="shared" si="162"/>
        <v>0.10000000000000009</v>
      </c>
      <c r="AP47" s="8">
        <f t="shared" si="162"/>
        <v>0.10000000000000009</v>
      </c>
      <c r="AQ47" s="8">
        <f t="shared" si="162"/>
        <v>0.10000000000000009</v>
      </c>
      <c r="AR47" s="8">
        <f t="shared" ref="AR47:AR49" si="163">+AR32/AQ32-1</f>
        <v>0.10000000000000009</v>
      </c>
      <c r="AS47" s="8">
        <f t="shared" ref="AS47:AS49" si="164">+AS32/AR32-1</f>
        <v>0.10000000000000009</v>
      </c>
      <c r="AT47" s="8">
        <f t="shared" ref="AT47:AT49" si="165">+AT32/AS32-1</f>
        <v>0.10000000000000009</v>
      </c>
      <c r="AU47" s="8">
        <f t="shared" ref="AU47:AU49" si="166">+AU32/AT32-1</f>
        <v>0.10000000000000009</v>
      </c>
      <c r="AV47" s="8">
        <f t="shared" ref="AV47:AV49" si="167">+AV32/AU32-1</f>
        <v>0.10000000000000009</v>
      </c>
      <c r="AX47" t="s">
        <v>117</v>
      </c>
      <c r="AY47" s="3">
        <f>NPV(AY46,AM40:DR40)</f>
        <v>730322.34050222579</v>
      </c>
    </row>
    <row r="48" spans="2:122" x14ac:dyDescent="0.25">
      <c r="B48" t="s">
        <v>98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>
        <f t="shared" ref="R48:R49" si="168">+R33/N33-1</f>
        <v>-7.0169665057773778E-2</v>
      </c>
      <c r="S48" s="8">
        <f t="shared" ref="S48:S49" si="169">+S33/O33-1</f>
        <v>0.18510601915184721</v>
      </c>
      <c r="T48" s="8">
        <f t="shared" ref="T48:T49" si="170">+T33/P33-1</f>
        <v>3.2708505259297027E-2</v>
      </c>
      <c r="U48" s="8">
        <f t="shared" ref="U48:W49" si="171">+U33/Q33-1</f>
        <v>3.6821242657242514E-2</v>
      </c>
      <c r="V48" s="8">
        <f t="shared" si="171"/>
        <v>0.23178261040544257</v>
      </c>
      <c r="W48" s="8">
        <f t="shared" si="171"/>
        <v>0.23914820960488647</v>
      </c>
      <c r="X48" s="8">
        <f t="shared" si="156"/>
        <v>0.71291762855475782</v>
      </c>
      <c r="Y48" s="8">
        <f t="shared" si="156"/>
        <v>0.66042146476278218</v>
      </c>
      <c r="Z48" s="8">
        <f t="shared" si="156"/>
        <v>0.52767402015558318</v>
      </c>
      <c r="AA48" s="8">
        <f t="shared" si="157"/>
        <v>0.56208820532725223</v>
      </c>
      <c r="AB48" s="8">
        <f t="shared" si="158"/>
        <v>0.10000000000000009</v>
      </c>
      <c r="AC48" s="8">
        <f t="shared" si="159"/>
        <v>0.10000000000000009</v>
      </c>
      <c r="AD48" s="8">
        <f t="shared" si="160"/>
        <v>0.10000000000000009</v>
      </c>
      <c r="AG48" s="8"/>
      <c r="AH48" s="8">
        <f t="shared" ref="AH48:AJ48" si="172">+AH33/AG33-1</f>
        <v>-0.30887347055256298</v>
      </c>
      <c r="AI48" s="8">
        <f t="shared" si="172"/>
        <v>0.10000000000000009</v>
      </c>
      <c r="AJ48" s="8">
        <f t="shared" si="172"/>
        <v>0.10000000000000009</v>
      </c>
      <c r="AK48" s="8">
        <f>+AK33/AJ33-1</f>
        <v>-0.26883604114300652</v>
      </c>
      <c r="AL48" s="8">
        <f t="shared" ref="AL48:AQ48" si="173">+AL33/AK33-1</f>
        <v>0.10000000000000009</v>
      </c>
      <c r="AM48" s="8">
        <f t="shared" si="173"/>
        <v>0.10000000000000009</v>
      </c>
      <c r="AN48" s="8">
        <f t="shared" si="173"/>
        <v>0.10000000000000009</v>
      </c>
      <c r="AO48" s="8">
        <f t="shared" si="173"/>
        <v>0.10000000000000009</v>
      </c>
      <c r="AP48" s="8">
        <f t="shared" si="173"/>
        <v>0.10000000000000009</v>
      </c>
      <c r="AQ48" s="8">
        <f t="shared" si="173"/>
        <v>0.10000000000000009</v>
      </c>
      <c r="AR48" s="8">
        <f t="shared" si="163"/>
        <v>0.10000000000000009</v>
      </c>
      <c r="AS48" s="8">
        <f t="shared" si="164"/>
        <v>0.10000000000000009</v>
      </c>
      <c r="AT48" s="8">
        <f t="shared" si="165"/>
        <v>0.10000000000000009</v>
      </c>
      <c r="AU48" s="8">
        <f t="shared" si="166"/>
        <v>0.10000000000000009</v>
      </c>
      <c r="AV48" s="8">
        <f t="shared" si="167"/>
        <v>0.10000000000000009</v>
      </c>
      <c r="AX48" t="s">
        <v>118</v>
      </c>
      <c r="AY48" s="1">
        <f>AY47/Main!L3</f>
        <v>304.7700671375967</v>
      </c>
    </row>
    <row r="49" spans="2:51" x14ac:dyDescent="0.25">
      <c r="B49" t="s">
        <v>97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>
        <f t="shared" si="168"/>
        <v>-0.45050780050980233</v>
      </c>
      <c r="S49" s="8">
        <f t="shared" si="169"/>
        <v>-2.6354611502412362E-2</v>
      </c>
      <c r="T49" s="8">
        <f t="shared" si="170"/>
        <v>0.56695604620958373</v>
      </c>
      <c r="U49" s="8">
        <f t="shared" si="171"/>
        <v>9.6199109222802726E-2</v>
      </c>
      <c r="V49" s="8">
        <f>+V34/R34-1</f>
        <v>0.32314081702044972</v>
      </c>
      <c r="W49" s="8">
        <f t="shared" ref="W49" si="174">+W34/S34-1</f>
        <v>0.22652342815479787</v>
      </c>
      <c r="X49" s="8">
        <f t="shared" si="156"/>
        <v>0.18232779304628544</v>
      </c>
      <c r="Y49" s="8">
        <f t="shared" si="156"/>
        <v>0.78048646208392536</v>
      </c>
      <c r="Z49" s="8">
        <f t="shared" si="156"/>
        <v>0.5580498907836049</v>
      </c>
      <c r="AA49" s="8">
        <f t="shared" si="157"/>
        <v>0.69590295644743305</v>
      </c>
      <c r="AB49" s="8">
        <f t="shared" si="158"/>
        <v>0.10000000000000009</v>
      </c>
      <c r="AC49" s="8">
        <f t="shared" si="159"/>
        <v>0.10000000000000009</v>
      </c>
      <c r="AD49" s="8">
        <f t="shared" si="160"/>
        <v>0.10000000000000009</v>
      </c>
      <c r="AG49" s="8"/>
      <c r="AH49" s="8">
        <f t="shared" ref="AH49:AJ49" si="175">+AH34/AG34-1</f>
        <v>-8.6507609299657506E-2</v>
      </c>
      <c r="AI49" s="8">
        <f t="shared" si="175"/>
        <v>0.10000000000000009</v>
      </c>
      <c r="AJ49" s="8">
        <f t="shared" si="175"/>
        <v>0.10000000000000009</v>
      </c>
      <c r="AK49" s="8">
        <f>+AK34/AJ34-1</f>
        <v>-0.42551271990361805</v>
      </c>
      <c r="AL49" s="8">
        <f t="shared" ref="AL49:AQ49" si="176">+AL34/AK34-1</f>
        <v>0.10000000000000009</v>
      </c>
      <c r="AM49" s="8">
        <f t="shared" si="176"/>
        <v>0.10000000000000009</v>
      </c>
      <c r="AN49" s="8">
        <f t="shared" si="176"/>
        <v>0.10000000000000009</v>
      </c>
      <c r="AO49" s="8">
        <f t="shared" si="176"/>
        <v>0.10000000000000009</v>
      </c>
      <c r="AP49" s="8">
        <f t="shared" si="176"/>
        <v>0.10000000000000009</v>
      </c>
      <c r="AQ49" s="8">
        <f t="shared" si="176"/>
        <v>0.10000000000000009</v>
      </c>
      <c r="AR49" s="8">
        <f t="shared" si="163"/>
        <v>0.10000000000000009</v>
      </c>
      <c r="AS49" s="8">
        <f t="shared" si="164"/>
        <v>0.10000000000000009</v>
      </c>
      <c r="AT49" s="8">
        <f t="shared" si="165"/>
        <v>0.10000000000000009</v>
      </c>
      <c r="AU49" s="8">
        <f t="shared" si="166"/>
        <v>0.10000000000000009</v>
      </c>
      <c r="AV49" s="8">
        <f t="shared" si="167"/>
        <v>0.10000000000000009</v>
      </c>
      <c r="AX49" t="s">
        <v>119</v>
      </c>
      <c r="AY49" s="17">
        <v>0.1</v>
      </c>
    </row>
    <row r="51" spans="2:51" s="3" customFormat="1" x14ac:dyDescent="0.25">
      <c r="B51" s="3" t="s">
        <v>3</v>
      </c>
      <c r="C51" s="4"/>
      <c r="D51" s="4"/>
      <c r="E51" s="4"/>
      <c r="F51" s="4"/>
      <c r="G51" s="4"/>
      <c r="H51" s="4"/>
      <c r="I51" s="4"/>
      <c r="J51" s="4"/>
      <c r="K51" s="4">
        <f>2269.411+33.804+252.563+29.222</f>
        <v>2585.0000000000005</v>
      </c>
      <c r="L51" s="4"/>
      <c r="M51" s="4"/>
      <c r="N51" s="4"/>
      <c r="O51" s="4">
        <f>1264.738+1639.797+11.946+12.095</f>
        <v>2928.5759999999996</v>
      </c>
      <c r="P51" s="4">
        <f>1055.923+2047.329</f>
        <v>3103.252</v>
      </c>
      <c r="Q51" s="4">
        <f>1040.31+2243.264</f>
        <v>3283.5740000000001</v>
      </c>
      <c r="R51" s="4">
        <f>831.047+2843.132</f>
        <v>3674.1790000000001</v>
      </c>
      <c r="S51" s="4">
        <f>520.388+3347.512</f>
        <v>3867.9</v>
      </c>
      <c r="T51" s="4">
        <f>512.659+3485.8</f>
        <v>3998.4590000000003</v>
      </c>
      <c r="U51" s="3">
        <f>768.71+3795.949</f>
        <v>4564.6589999999997</v>
      </c>
      <c r="V51" s="3">
        <f>2098.524+3131.463</f>
        <v>5229.9870000000001</v>
      </c>
      <c r="W51" s="3">
        <f>993.464+4437.225</f>
        <v>5430.6890000000003</v>
      </c>
      <c r="X51" s="3">
        <f>929.547+5070.875</f>
        <v>6000.4220000000005</v>
      </c>
      <c r="Y51" s="3">
        <f>1615.967+4821.85</f>
        <v>6437.8170000000009</v>
      </c>
      <c r="Z51" s="3">
        <f>1423.796+5753.247</f>
        <v>7177.0430000000006</v>
      </c>
      <c r="AA51" s="3">
        <f>2291.631+5734.782</f>
        <v>8026.4130000000005</v>
      </c>
      <c r="AJ51" s="4">
        <f>831.047+2843.132</f>
        <v>3674.1790000000001</v>
      </c>
      <c r="AK51" s="3">
        <f t="shared" ref="AK51:AK56" si="177">+V51</f>
        <v>5229.9870000000001</v>
      </c>
      <c r="AL51" s="3">
        <f t="shared" ref="AL51:AV51" si="178">+AK51+AL40</f>
        <v>7520.2339200000006</v>
      </c>
      <c r="AM51" s="3">
        <f t="shared" si="178"/>
        <v>12240.1976478</v>
      </c>
      <c r="AN51" s="3">
        <f t="shared" si="178"/>
        <v>20023.574708201999</v>
      </c>
      <c r="AO51" s="3">
        <f t="shared" si="178"/>
        <v>31689.221752050173</v>
      </c>
      <c r="AP51" s="3">
        <f t="shared" si="178"/>
        <v>48323.651369455685</v>
      </c>
      <c r="AQ51" s="3">
        <f t="shared" si="178"/>
        <v>71000.543170607794</v>
      </c>
      <c r="AR51" s="3">
        <f t="shared" si="178"/>
        <v>100639.07701505651</v>
      </c>
      <c r="AS51" s="3">
        <f t="shared" si="178"/>
        <v>137843.215287584</v>
      </c>
      <c r="AT51" s="3">
        <f t="shared" si="178"/>
        <v>184298.33360215899</v>
      </c>
      <c r="AU51" s="3">
        <f t="shared" si="178"/>
        <v>242044.87001499833</v>
      </c>
      <c r="AV51" s="3">
        <f t="shared" si="178"/>
        <v>313551.20481115778</v>
      </c>
    </row>
    <row r="52" spans="2:51" s="3" customFormat="1" x14ac:dyDescent="0.25">
      <c r="B52" s="3" t="s">
        <v>34</v>
      </c>
      <c r="C52" s="4"/>
      <c r="D52" s="4"/>
      <c r="E52" s="4"/>
      <c r="F52" s="4"/>
      <c r="G52" s="4"/>
      <c r="H52" s="4"/>
      <c r="I52" s="4"/>
      <c r="J52" s="4"/>
      <c r="K52" s="4">
        <v>256.55399999999997</v>
      </c>
      <c r="L52" s="4"/>
      <c r="M52" s="4"/>
      <c r="N52" s="4"/>
      <c r="O52" s="4">
        <v>254.041</v>
      </c>
      <c r="P52" s="4">
        <v>375.75599999999997</v>
      </c>
      <c r="Q52" s="4">
        <v>430.26900000000001</v>
      </c>
      <c r="R52" s="4">
        <v>364.78399999999999</v>
      </c>
      <c r="S52" s="4">
        <v>486.98599999999999</v>
      </c>
      <c r="T52" s="4">
        <v>659.33900000000006</v>
      </c>
      <c r="U52" s="3">
        <v>668.11</v>
      </c>
      <c r="V52" s="3">
        <v>575.048</v>
      </c>
      <c r="W52" s="3">
        <v>725.20500000000004</v>
      </c>
      <c r="X52" s="3">
        <v>747.48400000000004</v>
      </c>
      <c r="Y52" s="3">
        <v>1005.91</v>
      </c>
      <c r="Z52" s="3">
        <v>1042.0650000000001</v>
      </c>
      <c r="AA52" s="3">
        <v>1405.588</v>
      </c>
      <c r="AJ52" s="4">
        <v>364.78399999999999</v>
      </c>
      <c r="AK52" s="3">
        <f t="shared" si="177"/>
        <v>575.048</v>
      </c>
    </row>
    <row r="53" spans="2:51" s="3" customFormat="1" x14ac:dyDescent="0.25">
      <c r="B53" s="3" t="s">
        <v>35</v>
      </c>
      <c r="C53" s="4"/>
      <c r="D53" s="4"/>
      <c r="E53" s="4"/>
      <c r="F53" s="4"/>
      <c r="G53" s="4"/>
      <c r="H53" s="4"/>
      <c r="I53" s="4"/>
      <c r="J53" s="4"/>
      <c r="K53" s="4">
        <v>115.042</v>
      </c>
      <c r="L53" s="4"/>
      <c r="M53" s="4"/>
      <c r="N53" s="4"/>
      <c r="O53" s="4">
        <v>85.625</v>
      </c>
      <c r="P53" s="4">
        <v>97.906000000000006</v>
      </c>
      <c r="Q53" s="4">
        <v>95.554000000000002</v>
      </c>
      <c r="R53" s="4">
        <v>99.655000000000001</v>
      </c>
      <c r="S53" s="4">
        <v>81.177999999999997</v>
      </c>
      <c r="T53" s="4">
        <v>115.712</v>
      </c>
      <c r="U53" s="3">
        <v>119.193</v>
      </c>
      <c r="V53" s="3">
        <v>129.25399999999999</v>
      </c>
      <c r="W53" s="3">
        <v>126.705</v>
      </c>
      <c r="X53" s="3">
        <v>142.48699999999999</v>
      </c>
      <c r="Y53" s="3">
        <v>142.429</v>
      </c>
      <c r="Z53" s="3">
        <v>139.066</v>
      </c>
      <c r="AA53" s="3">
        <v>119.703</v>
      </c>
      <c r="AJ53" s="4">
        <v>99.655000000000001</v>
      </c>
      <c r="AK53" s="3">
        <f t="shared" si="177"/>
        <v>129.25399999999999</v>
      </c>
    </row>
    <row r="54" spans="2:51" s="3" customFormat="1" x14ac:dyDescent="0.25">
      <c r="B54" s="3" t="s">
        <v>36</v>
      </c>
      <c r="C54" s="4"/>
      <c r="D54" s="4"/>
      <c r="E54" s="4"/>
      <c r="F54" s="4"/>
      <c r="G54" s="4"/>
      <c r="H54" s="4"/>
      <c r="I54" s="4"/>
      <c r="J54" s="4"/>
      <c r="K54" s="4">
        <v>41.866</v>
      </c>
      <c r="L54" s="4"/>
      <c r="M54" s="4"/>
      <c r="N54" s="4"/>
      <c r="O54" s="4">
        <v>63.115000000000002</v>
      </c>
      <c r="P54" s="4">
        <v>54.097000000000001</v>
      </c>
      <c r="Q54" s="4">
        <v>50.133000000000003</v>
      </c>
      <c r="R54" s="4">
        <v>47.758000000000003</v>
      </c>
      <c r="S54" s="4">
        <v>46.905999999999999</v>
      </c>
      <c r="T54" s="4">
        <v>43.482999999999997</v>
      </c>
      <c r="U54" s="3">
        <v>40.344999999999999</v>
      </c>
      <c r="V54" s="3">
        <v>39.637999999999998</v>
      </c>
      <c r="W54" s="3">
        <v>39.668999999999997</v>
      </c>
      <c r="X54" s="3">
        <v>43.523000000000003</v>
      </c>
      <c r="Y54" s="3">
        <v>45.706000000000003</v>
      </c>
      <c r="Z54" s="3">
        <v>51.96</v>
      </c>
      <c r="AA54" s="3">
        <v>55.725999999999999</v>
      </c>
      <c r="AJ54" s="4">
        <v>47.758000000000003</v>
      </c>
      <c r="AK54" s="3">
        <f t="shared" si="177"/>
        <v>39.637999999999998</v>
      </c>
    </row>
    <row r="55" spans="2:51" s="3" customFormat="1" x14ac:dyDescent="0.25">
      <c r="B55" s="3" t="s">
        <v>37</v>
      </c>
      <c r="C55" s="4"/>
      <c r="D55" s="4"/>
      <c r="E55" s="4"/>
      <c r="F55" s="4"/>
      <c r="G55" s="4"/>
      <c r="H55" s="4"/>
      <c r="I55" s="4"/>
      <c r="J55" s="4"/>
      <c r="K55" s="4">
        <v>224.88800000000001</v>
      </c>
      <c r="L55" s="4"/>
      <c r="M55" s="4"/>
      <c r="N55" s="4"/>
      <c r="O55" s="4">
        <v>210.01900000000001</v>
      </c>
      <c r="P55" s="4">
        <v>199.661</v>
      </c>
      <c r="Q55" s="4">
        <v>190.191</v>
      </c>
      <c r="R55" s="4">
        <v>182.863</v>
      </c>
      <c r="S55" s="4">
        <v>173.70699999999999</v>
      </c>
      <c r="T55" s="4">
        <v>213.453</v>
      </c>
      <c r="U55" s="3">
        <v>211.57</v>
      </c>
      <c r="V55" s="3">
        <v>200.74</v>
      </c>
      <c r="W55" s="3">
        <v>209.34800000000001</v>
      </c>
      <c r="X55" s="3">
        <v>203.47399999999999</v>
      </c>
      <c r="Y55" s="3">
        <v>204.315</v>
      </c>
      <c r="Z55" s="3">
        <v>200.10499999999999</v>
      </c>
      <c r="AA55" s="3">
        <v>228.98</v>
      </c>
      <c r="AJ55" s="4">
        <v>182.863</v>
      </c>
      <c r="AK55" s="3">
        <f t="shared" si="177"/>
        <v>200.74</v>
      </c>
    </row>
    <row r="56" spans="2:51" s="3" customFormat="1" x14ac:dyDescent="0.25">
      <c r="B56" s="3" t="s">
        <v>38</v>
      </c>
      <c r="C56" s="4"/>
      <c r="D56" s="4"/>
      <c r="E56" s="4"/>
      <c r="F56" s="4"/>
      <c r="G56" s="4"/>
      <c r="H56" s="4"/>
      <c r="I56" s="4"/>
      <c r="J56" s="4"/>
      <c r="K56" s="4">
        <v>95.828999999999994</v>
      </c>
      <c r="L56" s="4"/>
      <c r="M56" s="4"/>
      <c r="N56" s="4"/>
      <c r="O56" s="4">
        <v>141.762</v>
      </c>
      <c r="P56" s="4">
        <v>149.59200000000001</v>
      </c>
      <c r="Q56" s="4">
        <v>143.696</v>
      </c>
      <c r="R56" s="4">
        <v>153.18600000000001</v>
      </c>
      <c r="S56" s="4">
        <v>150.40199999999999</v>
      </c>
      <c r="T56" s="4">
        <v>161.434</v>
      </c>
      <c r="U56" s="3">
        <v>164.22</v>
      </c>
      <c r="V56" s="3">
        <v>166.21700000000001</v>
      </c>
      <c r="W56" s="3">
        <v>205.30099999999999</v>
      </c>
      <c r="X56" s="3">
        <v>228.298</v>
      </c>
      <c r="Y56" s="3">
        <v>277.78300000000002</v>
      </c>
      <c r="Z56" s="3">
        <v>290.15300000000002</v>
      </c>
      <c r="AA56" s="3">
        <v>362.77300000000002</v>
      </c>
      <c r="AJ56" s="4">
        <v>153.18600000000001</v>
      </c>
      <c r="AK56" s="3">
        <f t="shared" si="177"/>
        <v>166.21700000000001</v>
      </c>
    </row>
    <row r="57" spans="2:51" s="3" customFormat="1" x14ac:dyDescent="0.25">
      <c r="B57" s="3" t="s">
        <v>39</v>
      </c>
      <c r="C57" s="4"/>
      <c r="D57" s="4"/>
      <c r="E57" s="4"/>
      <c r="F57" s="4"/>
      <c r="G57" s="4"/>
      <c r="H57" s="4"/>
      <c r="I57" s="4"/>
      <c r="J57" s="4"/>
      <c r="K57" s="4">
        <f>SUM(K51:K56)</f>
        <v>3319.1790000000005</v>
      </c>
      <c r="L57" s="4"/>
      <c r="M57" s="4"/>
      <c r="N57" s="4"/>
      <c r="O57" s="4">
        <f t="shared" ref="O57:X57" si="179">SUM(O51:O56)</f>
        <v>3683.1379999999995</v>
      </c>
      <c r="P57" s="4">
        <f t="shared" si="179"/>
        <v>3980.2640000000001</v>
      </c>
      <c r="Q57" s="4">
        <f t="shared" si="179"/>
        <v>4193.4169999999995</v>
      </c>
      <c r="R57" s="4">
        <f t="shared" si="179"/>
        <v>4522.4250000000002</v>
      </c>
      <c r="S57" s="4">
        <f t="shared" si="179"/>
        <v>4807.0790000000006</v>
      </c>
      <c r="T57" s="4">
        <f t="shared" si="179"/>
        <v>5191.8800000000019</v>
      </c>
      <c r="U57" s="4">
        <f t="shared" si="179"/>
        <v>5768.0969999999998</v>
      </c>
      <c r="V57" s="4">
        <f t="shared" si="179"/>
        <v>6340.8839999999991</v>
      </c>
      <c r="W57" s="4">
        <f t="shared" si="179"/>
        <v>6736.9170000000004</v>
      </c>
      <c r="X57" s="4">
        <f t="shared" si="179"/>
        <v>7365.688000000001</v>
      </c>
      <c r="Y57" s="4">
        <f t="shared" ref="Y57:AA57" si="180">SUM(Y51:Y56)</f>
        <v>8113.9600000000009</v>
      </c>
      <c r="Z57" s="4">
        <f t="shared" si="180"/>
        <v>8900.3919999999998</v>
      </c>
      <c r="AA57" s="4">
        <f t="shared" si="180"/>
        <v>10199.182999999999</v>
      </c>
      <c r="AB57" s="4"/>
      <c r="AJ57" s="4">
        <f>SUM(AJ51:AJ56)</f>
        <v>4522.4250000000002</v>
      </c>
      <c r="AK57" s="3">
        <f>SUM(AK51:AK56)</f>
        <v>6340.8839999999991</v>
      </c>
    </row>
    <row r="58" spans="2:51" x14ac:dyDescent="0.25">
      <c r="AJ58" s="2"/>
    </row>
    <row r="59" spans="2:51" s="3" customFormat="1" x14ac:dyDescent="0.25">
      <c r="B59" s="3" t="s">
        <v>40</v>
      </c>
      <c r="C59" s="4"/>
      <c r="D59" s="4"/>
      <c r="E59" s="4"/>
      <c r="F59" s="4"/>
      <c r="G59" s="4"/>
      <c r="H59" s="4"/>
      <c r="I59" s="4"/>
      <c r="J59" s="4"/>
      <c r="K59" s="4">
        <v>27.454000000000001</v>
      </c>
      <c r="L59" s="4"/>
      <c r="M59" s="4"/>
      <c r="N59" s="4"/>
      <c r="O59" s="4">
        <v>4.53</v>
      </c>
      <c r="P59" s="4">
        <v>4.6130000000000004</v>
      </c>
      <c r="Q59" s="4">
        <v>9.4749999999999996</v>
      </c>
      <c r="R59" s="4">
        <v>12.122</v>
      </c>
      <c r="S59" s="4">
        <v>35.634</v>
      </c>
      <c r="T59" s="4">
        <v>67.344999999999999</v>
      </c>
      <c r="U59" s="3">
        <v>27.021000000000001</v>
      </c>
      <c r="V59" s="3">
        <v>0.10299999999999999</v>
      </c>
      <c r="W59" s="3">
        <v>2.33</v>
      </c>
      <c r="X59" s="3">
        <v>10.773999999999999</v>
      </c>
      <c r="Y59" s="3">
        <v>67.503</v>
      </c>
      <c r="Z59" s="3">
        <v>8.0640000000000001</v>
      </c>
      <c r="AA59" s="3">
        <v>495.96199999999999</v>
      </c>
      <c r="AJ59" s="4">
        <v>12.122</v>
      </c>
      <c r="AK59" s="3">
        <f t="shared" ref="AK59:AK65" si="181">+V59</f>
        <v>0.10299999999999999</v>
      </c>
    </row>
    <row r="60" spans="2:51" s="3" customFormat="1" x14ac:dyDescent="0.25">
      <c r="B60" s="3" t="s">
        <v>41</v>
      </c>
      <c r="C60" s="4"/>
      <c r="D60" s="4"/>
      <c r="E60" s="4"/>
      <c r="F60" s="4"/>
      <c r="G60" s="4"/>
      <c r="H60" s="4"/>
      <c r="I60" s="4"/>
      <c r="J60" s="4"/>
      <c r="K60" s="4">
        <v>150.17599999999999</v>
      </c>
      <c r="L60" s="4"/>
      <c r="M60" s="4"/>
      <c r="N60" s="4"/>
      <c r="O60" s="4">
        <v>174.52500000000001</v>
      </c>
      <c r="P60" s="4">
        <v>184.61699999999999</v>
      </c>
      <c r="Q60" s="4">
        <v>174.75299999999999</v>
      </c>
      <c r="R60" s="4">
        <v>222.99100000000001</v>
      </c>
      <c r="S60" s="4">
        <v>206.03399999999999</v>
      </c>
      <c r="T60" s="4">
        <v>195.489</v>
      </c>
      <c r="U60" s="3">
        <v>265.24400000000003</v>
      </c>
      <c r="V60" s="3">
        <v>427.04599999999999</v>
      </c>
      <c r="W60" s="3">
        <v>371.06099999999998</v>
      </c>
      <c r="X60" s="3">
        <v>393.62299999999999</v>
      </c>
      <c r="Y60" s="3">
        <v>381.73700000000002</v>
      </c>
      <c r="Z60" s="3">
        <v>355.62400000000002</v>
      </c>
      <c r="AA60" s="3">
        <v>0</v>
      </c>
      <c r="AJ60" s="4">
        <v>222.99100000000001</v>
      </c>
      <c r="AK60" s="3">
        <f t="shared" si="181"/>
        <v>427.04599999999999</v>
      </c>
    </row>
    <row r="61" spans="2:51" s="3" customFormat="1" x14ac:dyDescent="0.25">
      <c r="B61" s="3" t="s">
        <v>42</v>
      </c>
      <c r="C61" s="4"/>
      <c r="D61" s="4"/>
      <c r="E61" s="4"/>
      <c r="F61" s="4"/>
      <c r="G61" s="4"/>
      <c r="H61" s="4"/>
      <c r="I61" s="4"/>
      <c r="J61" s="4"/>
      <c r="K61" s="4">
        <f>218.521+33.244</f>
        <v>251.76499999999999</v>
      </c>
      <c r="L61" s="4"/>
      <c r="M61" s="4"/>
      <c r="N61" s="4"/>
      <c r="O61" s="4">
        <f>229.551+54.4</f>
        <v>283.95099999999996</v>
      </c>
      <c r="P61" s="4">
        <f>260.335+50.408</f>
        <v>310.74299999999999</v>
      </c>
      <c r="Q61" s="4">
        <f>223.507+34.88</f>
        <v>258.387</v>
      </c>
      <c r="R61" s="4">
        <f>246.901+28.047</f>
        <v>274.94800000000004</v>
      </c>
      <c r="S61" s="4">
        <f>237.195+20.722</f>
        <v>257.91699999999997</v>
      </c>
      <c r="T61" s="4">
        <f>278.441+15.649</f>
        <v>294.08999999999997</v>
      </c>
      <c r="U61" s="3">
        <f>236.608+7.825</f>
        <v>244.43299999999999</v>
      </c>
      <c r="V61" s="3">
        <f>259.624+39.885</f>
        <v>299.50900000000001</v>
      </c>
      <c r="W61" s="3">
        <f>318.556+36.372</f>
        <v>354.928</v>
      </c>
      <c r="X61" s="3">
        <f>376.784+44.638</f>
        <v>421.42199999999997</v>
      </c>
      <c r="Y61" s="3">
        <f>316.722+43.901</f>
        <v>360.62299999999999</v>
      </c>
      <c r="Z61" s="3">
        <f>408.963+46.216</f>
        <v>455.17900000000003</v>
      </c>
      <c r="AA61" s="3">
        <f>516.868+41.128</f>
        <v>557.99600000000009</v>
      </c>
      <c r="AJ61" s="4">
        <f>246.901+28.047</f>
        <v>274.94800000000004</v>
      </c>
      <c r="AK61" s="3">
        <f t="shared" si="181"/>
        <v>299.50900000000001</v>
      </c>
    </row>
    <row r="62" spans="2:51" s="3" customFormat="1" x14ac:dyDescent="0.25">
      <c r="B62" s="3" t="s">
        <v>43</v>
      </c>
      <c r="C62" s="4"/>
      <c r="D62" s="4"/>
      <c r="E62" s="4"/>
      <c r="F62" s="4"/>
      <c r="G62" s="4"/>
      <c r="H62" s="4"/>
      <c r="I62" s="4"/>
      <c r="J62" s="4"/>
      <c r="K62" s="4">
        <f>232.908+22.276</f>
        <v>255.184</v>
      </c>
      <c r="L62" s="4"/>
      <c r="M62" s="4"/>
      <c r="N62" s="4"/>
      <c r="O62" s="4">
        <f>139.741+4.162</f>
        <v>143.90300000000002</v>
      </c>
      <c r="P62" s="4">
        <f>183.964+3.099</f>
        <v>187.06299999999999</v>
      </c>
      <c r="Q62" s="4">
        <f>228.986+2.234</f>
        <v>231.22</v>
      </c>
      <c r="R62" s="4">
        <f>1.477+209.828</f>
        <v>211.30500000000001</v>
      </c>
      <c r="S62" s="4">
        <f>217.634+1.651</f>
        <v>219.285</v>
      </c>
      <c r="T62" s="4">
        <f>221.519+1.527</f>
        <v>223.04599999999999</v>
      </c>
      <c r="U62" s="3">
        <f>366.946+3.681</f>
        <v>370.62700000000001</v>
      </c>
      <c r="V62" s="3">
        <f>1.663+265.252</f>
        <v>266.91500000000002</v>
      </c>
      <c r="W62" s="3">
        <f>231.077+1.463</f>
        <v>232.54</v>
      </c>
      <c r="X62" s="3">
        <f>262.994+1.491</f>
        <v>264.48500000000001</v>
      </c>
      <c r="Y62" s="3">
        <f>368.17+1.57</f>
        <v>369.74</v>
      </c>
      <c r="Z62" s="3">
        <f>357.066+0.018</f>
        <v>357.08399999999995</v>
      </c>
      <c r="AA62" s="3">
        <f>370.119+1.175</f>
        <v>371.29400000000004</v>
      </c>
      <c r="AJ62" s="4">
        <f>1.477+209.828</f>
        <v>211.30500000000001</v>
      </c>
      <c r="AK62" s="3">
        <f t="shared" si="181"/>
        <v>266.91500000000002</v>
      </c>
    </row>
    <row r="63" spans="2:51" s="3" customFormat="1" x14ac:dyDescent="0.25">
      <c r="B63" s="3" t="s">
        <v>37</v>
      </c>
      <c r="C63" s="4"/>
      <c r="D63" s="4"/>
      <c r="E63" s="4"/>
      <c r="F63" s="4"/>
      <c r="G63" s="4"/>
      <c r="H63" s="4"/>
      <c r="I63" s="4"/>
      <c r="J63" s="4"/>
      <c r="K63" s="4">
        <f>40.045+227.617</f>
        <v>267.66199999999998</v>
      </c>
      <c r="L63" s="4"/>
      <c r="M63" s="4"/>
      <c r="N63" s="4"/>
      <c r="O63" s="4">
        <f>53.066+206.422</f>
        <v>259.488</v>
      </c>
      <c r="P63" s="4">
        <f>51.855+194.134</f>
        <v>245.98899999999998</v>
      </c>
      <c r="Q63" s="4">
        <f>52.204+184.067</f>
        <v>236.27100000000002</v>
      </c>
      <c r="R63" s="4">
        <f>54.176+175.216</f>
        <v>229.392</v>
      </c>
      <c r="S63" s="4">
        <f>54.056+163.013</f>
        <v>217.06900000000002</v>
      </c>
      <c r="T63" s="4">
        <f>44.125+214.334</f>
        <v>258.459</v>
      </c>
      <c r="U63" s="3">
        <f>47.637+207.278</f>
        <v>254.91499999999999</v>
      </c>
      <c r="V63" s="3">
        <f>195.226+43.993</f>
        <v>239.21899999999999</v>
      </c>
      <c r="W63" s="3">
        <f>200.177+44.419</f>
        <v>244.596</v>
      </c>
      <c r="X63" s="3">
        <f>45.465+192.347</f>
        <v>237.81200000000001</v>
      </c>
      <c r="Y63" s="3">
        <f>46.271+189.165</f>
        <v>235.43599999999998</v>
      </c>
      <c r="Z63" s="3">
        <f>183.474+45.864</f>
        <v>229.33799999999999</v>
      </c>
      <c r="AA63" s="3">
        <v>211.977</v>
      </c>
      <c r="AJ63" s="4">
        <f>54.176+175.216</f>
        <v>229.392</v>
      </c>
      <c r="AK63" s="3">
        <f t="shared" si="181"/>
        <v>239.21899999999999</v>
      </c>
    </row>
    <row r="64" spans="2:51" s="3" customFormat="1" x14ac:dyDescent="0.25">
      <c r="B64" s="3" t="s">
        <v>46</v>
      </c>
      <c r="C64" s="4"/>
      <c r="D64" s="4"/>
      <c r="E64" s="4"/>
      <c r="F64" s="4"/>
      <c r="G64" s="4"/>
      <c r="H64" s="4"/>
      <c r="I64" s="4"/>
      <c r="J64" s="4"/>
      <c r="K64" s="4">
        <v>2.1920000000000002</v>
      </c>
      <c r="L64" s="4"/>
      <c r="M64" s="4"/>
      <c r="N64" s="4"/>
      <c r="O64" s="4">
        <v>13.548</v>
      </c>
      <c r="P64" s="4">
        <v>12.101000000000001</v>
      </c>
      <c r="Q64" s="4">
        <v>11.414</v>
      </c>
      <c r="R64" s="4">
        <v>10.702</v>
      </c>
      <c r="S64" s="4">
        <v>9.968</v>
      </c>
      <c r="T64" s="4">
        <v>15.645</v>
      </c>
      <c r="U64" s="3">
        <v>14.494999999999999</v>
      </c>
      <c r="V64" s="3">
        <v>13.685</v>
      </c>
      <c r="W64" s="3">
        <v>12.489000000000001</v>
      </c>
      <c r="X64" s="3">
        <v>12.007999999999999</v>
      </c>
      <c r="Y64" s="3">
        <v>10.651999999999999</v>
      </c>
      <c r="Z64" s="3">
        <v>7.0919999999999996</v>
      </c>
      <c r="AA64" s="3">
        <v>5.673</v>
      </c>
      <c r="AJ64" s="4">
        <v>10.702</v>
      </c>
      <c r="AK64" s="3">
        <f t="shared" si="181"/>
        <v>13.685</v>
      </c>
    </row>
    <row r="65" spans="2:40" s="3" customFormat="1" x14ac:dyDescent="0.25">
      <c r="B65" s="3" t="s">
        <v>44</v>
      </c>
      <c r="C65" s="4"/>
      <c r="D65" s="4"/>
      <c r="E65" s="4"/>
      <c r="F65" s="4"/>
      <c r="G65" s="4"/>
      <c r="H65" s="4"/>
      <c r="I65" s="4"/>
      <c r="J65" s="4"/>
      <c r="K65" s="4">
        <v>2364.7460000000001</v>
      </c>
      <c r="L65" s="4"/>
      <c r="M65" s="4"/>
      <c r="N65" s="4"/>
      <c r="O65" s="4">
        <v>2803.1930000000002</v>
      </c>
      <c r="P65" s="4">
        <v>3035.1379999999999</v>
      </c>
      <c r="Q65" s="4">
        <v>3271.8969999999999</v>
      </c>
      <c r="R65" s="4">
        <v>3560.9650000000001</v>
      </c>
      <c r="S65" s="4">
        <v>3861.172</v>
      </c>
      <c r="T65" s="4">
        <v>4137.8059999999996</v>
      </c>
      <c r="U65" s="3">
        <v>4591.3620000000001</v>
      </c>
      <c r="V65" s="3">
        <v>5094.4070000000002</v>
      </c>
      <c r="W65" s="3">
        <v>5518.973</v>
      </c>
      <c r="X65" s="3">
        <v>6025.5640000000003</v>
      </c>
      <c r="Y65" s="3">
        <v>6688.2690000000002</v>
      </c>
      <c r="Z65" s="3">
        <v>7488.0110000000004</v>
      </c>
      <c r="AA65" s="3">
        <v>8556.2810000000009</v>
      </c>
      <c r="AJ65" s="4">
        <v>3560.9650000000001</v>
      </c>
      <c r="AK65" s="3">
        <f t="shared" si="181"/>
        <v>5094.4070000000002</v>
      </c>
    </row>
    <row r="66" spans="2:40" s="3" customFormat="1" x14ac:dyDescent="0.25">
      <c r="B66" s="3" t="s">
        <v>45</v>
      </c>
      <c r="C66" s="4"/>
      <c r="D66" s="4"/>
      <c r="E66" s="4"/>
      <c r="F66" s="4"/>
      <c r="G66" s="4"/>
      <c r="H66" s="4"/>
      <c r="I66" s="4"/>
      <c r="J66" s="4"/>
      <c r="K66" s="4">
        <f>SUM(K59:K65)</f>
        <v>3319.1790000000001</v>
      </c>
      <c r="L66" s="4"/>
      <c r="M66" s="4"/>
      <c r="N66" s="4"/>
      <c r="O66" s="4">
        <f t="shared" ref="O66:X66" si="182">SUM(O59:O65)</f>
        <v>3683.1379999999999</v>
      </c>
      <c r="P66" s="4">
        <f t="shared" si="182"/>
        <v>3980.2639999999997</v>
      </c>
      <c r="Q66" s="4">
        <f t="shared" si="182"/>
        <v>4193.4169999999995</v>
      </c>
      <c r="R66" s="4">
        <f t="shared" si="182"/>
        <v>4522.4250000000002</v>
      </c>
      <c r="S66" s="4">
        <f t="shared" si="182"/>
        <v>4807.0789999999997</v>
      </c>
      <c r="T66" s="4">
        <f t="shared" si="182"/>
        <v>5191.8799999999992</v>
      </c>
      <c r="U66" s="4">
        <f t="shared" si="182"/>
        <v>5768.0969999999998</v>
      </c>
      <c r="V66" s="4">
        <f t="shared" si="182"/>
        <v>6340.884</v>
      </c>
      <c r="W66" s="4">
        <f t="shared" si="182"/>
        <v>6736.9169999999995</v>
      </c>
      <c r="X66" s="4">
        <f t="shared" si="182"/>
        <v>7365.6880000000001</v>
      </c>
      <c r="Y66" s="4">
        <f t="shared" ref="Y66:AA66" si="183">SUM(Y59:Y65)</f>
        <v>8113.96</v>
      </c>
      <c r="Z66" s="4">
        <f t="shared" si="183"/>
        <v>8900.3919999999998</v>
      </c>
      <c r="AA66" s="4">
        <f t="shared" si="183"/>
        <v>10199.183000000001</v>
      </c>
      <c r="AJ66" s="4">
        <f>SUM(AJ59:AJ65)</f>
        <v>4522.4250000000002</v>
      </c>
      <c r="AK66" s="3">
        <f>SUM(AK59:AK65)</f>
        <v>6340.884</v>
      </c>
    </row>
    <row r="67" spans="2:40" x14ac:dyDescent="0.25">
      <c r="W67" s="3"/>
      <c r="X67" s="3"/>
    </row>
    <row r="68" spans="2:40" x14ac:dyDescent="0.25">
      <c r="B68" s="3" t="s">
        <v>56</v>
      </c>
      <c r="O68" s="4">
        <f>+O40</f>
        <v>131.51600000000008</v>
      </c>
      <c r="R68" s="4"/>
      <c r="S68" s="4">
        <f t="shared" ref="S68:X68" si="184">+S40</f>
        <v>231.18099999999993</v>
      </c>
      <c r="T68" s="4">
        <f t="shared" si="184"/>
        <v>225.89000000000001</v>
      </c>
      <c r="U68" s="4">
        <f t="shared" si="184"/>
        <v>285.95000000000005</v>
      </c>
      <c r="V68" s="4">
        <f t="shared" si="184"/>
        <v>343.96600000000001</v>
      </c>
      <c r="W68" s="4">
        <f t="shared" si="184"/>
        <v>375.37400000000008</v>
      </c>
      <c r="X68" s="4">
        <f t="shared" si="184"/>
        <v>322.279</v>
      </c>
      <c r="Y68" s="4">
        <f>+Y40</f>
        <v>449.2650000000001</v>
      </c>
      <c r="Z68" s="4">
        <f>+Z40</f>
        <v>628.34099999999978</v>
      </c>
      <c r="AA68" s="4">
        <f>+AA40</f>
        <v>808.61</v>
      </c>
      <c r="AH68" s="16">
        <f>+AH40</f>
        <v>-444.96400000000006</v>
      </c>
      <c r="AI68" s="16">
        <f>+AI40</f>
        <v>-250.18730000000028</v>
      </c>
      <c r="AJ68" s="16">
        <f>+AJ40</f>
        <v>-172.64291000000003</v>
      </c>
      <c r="AK68" s="3">
        <f t="shared" ref="AK68:AK76" si="185">SUM(S68:V68)</f>
        <v>1086.9870000000001</v>
      </c>
    </row>
    <row r="69" spans="2:40" x14ac:dyDescent="0.25">
      <c r="B69" s="3" t="s">
        <v>57</v>
      </c>
      <c r="O69" s="4">
        <v>19.151</v>
      </c>
      <c r="R69" s="4"/>
      <c r="S69" s="4">
        <v>106.071</v>
      </c>
      <c r="T69" s="4">
        <f>241.641-S69</f>
        <v>135.57</v>
      </c>
      <c r="U69" s="3">
        <f>390.982-T69-S69</f>
        <v>149.34100000000004</v>
      </c>
      <c r="V69" s="3">
        <f>467.918-U69-T69-S69</f>
        <v>76.936000000000007</v>
      </c>
      <c r="W69" s="3">
        <v>217.71700000000001</v>
      </c>
      <c r="X69" s="3">
        <f>546.289-W69</f>
        <v>328.572</v>
      </c>
      <c r="Y69" s="3">
        <f>1023.037-X69-W69</f>
        <v>476.74800000000005</v>
      </c>
      <c r="Z69" s="3">
        <f>1634.644-Y69-X69-W69</f>
        <v>611.60699999999997</v>
      </c>
      <c r="AA69" s="3">
        <v>876.40200000000004</v>
      </c>
      <c r="AH69" s="16">
        <v>-520.37900000000002</v>
      </c>
      <c r="AI69" s="16">
        <v>-371.09399999999999</v>
      </c>
      <c r="AJ69" s="16">
        <v>217.375</v>
      </c>
      <c r="AK69" s="3">
        <f t="shared" si="185"/>
        <v>467.91800000000001</v>
      </c>
    </row>
    <row r="70" spans="2:40" x14ac:dyDescent="0.25">
      <c r="B70" s="3" t="s">
        <v>58</v>
      </c>
      <c r="O70" s="4">
        <v>8.32</v>
      </c>
      <c r="R70" s="4"/>
      <c r="S70" s="4">
        <v>8.4380000000000006</v>
      </c>
      <c r="T70" s="4">
        <f>16.494-S70</f>
        <v>8.0559999999999992</v>
      </c>
      <c r="U70" s="3">
        <f>24.581-T70-S70</f>
        <v>8.086999999999998</v>
      </c>
      <c r="V70" s="3">
        <f>31.587-U70-T70-S70</f>
        <v>7.0060000000000002</v>
      </c>
      <c r="W70" s="3">
        <v>6.6219999999999999</v>
      </c>
      <c r="X70" s="3">
        <f>13.152-W70</f>
        <v>6.5299999999999994</v>
      </c>
      <c r="Y70" s="3">
        <f>19.127-X70-W70</f>
        <v>5.9749999999999996</v>
      </c>
      <c r="Z70" s="3">
        <f>26.145-Y70-X70-W70</f>
        <v>7.0180000000000025</v>
      </c>
      <c r="AA70" s="3">
        <v>6.7649999999999997</v>
      </c>
      <c r="AH70" s="16">
        <v>14.897</v>
      </c>
      <c r="AI70" s="16">
        <v>22.521999999999998</v>
      </c>
      <c r="AJ70" s="16">
        <v>33.353999999999999</v>
      </c>
      <c r="AK70" s="3">
        <f t="shared" si="185"/>
        <v>31.586999999999996</v>
      </c>
    </row>
    <row r="71" spans="2:40" x14ac:dyDescent="0.25">
      <c r="B71" s="3" t="s">
        <v>59</v>
      </c>
      <c r="O71" s="4">
        <v>114.714</v>
      </c>
      <c r="R71" s="4"/>
      <c r="S71" s="4">
        <v>125.651</v>
      </c>
      <c r="T71" s="4">
        <f>267.415-S71</f>
        <v>141.76400000000001</v>
      </c>
      <c r="U71" s="3">
        <f>409.84-T71-S71</f>
        <v>142.42499999999995</v>
      </c>
      <c r="V71" s="3">
        <f>691.638-U71-T71-S71</f>
        <v>281.79800000000006</v>
      </c>
      <c r="W71" s="3">
        <v>155.339</v>
      </c>
      <c r="X71" s="3">
        <f>315.31-W71</f>
        <v>159.971</v>
      </c>
      <c r="Y71" s="3">
        <f>487.628-X71-W71</f>
        <v>172.31799999999998</v>
      </c>
      <c r="Z71" s="3">
        <f>684.033-Y71-X71-W71</f>
        <v>196.40500000000003</v>
      </c>
      <c r="AA71" s="3">
        <v>201.59200000000001</v>
      </c>
      <c r="AH71" s="16">
        <v>778.21500000000003</v>
      </c>
      <c r="AI71" s="16">
        <v>564.798</v>
      </c>
      <c r="AJ71" s="16">
        <v>475.90300000000002</v>
      </c>
      <c r="AK71" s="3">
        <f t="shared" si="185"/>
        <v>691.63800000000003</v>
      </c>
    </row>
    <row r="72" spans="2:40" x14ac:dyDescent="0.25">
      <c r="B72" s="3" t="s">
        <v>37</v>
      </c>
      <c r="O72" s="4">
        <v>10.836</v>
      </c>
      <c r="R72" s="4"/>
      <c r="S72" s="4">
        <v>12.366</v>
      </c>
      <c r="T72" s="4">
        <f>22.439-S72</f>
        <v>10.073</v>
      </c>
      <c r="U72" s="3">
        <f>32.041-T72-S72</f>
        <v>9.6019999999999968</v>
      </c>
      <c r="V72" s="3">
        <f>41.239-U72-T72-S72</f>
        <v>9.1980000000000004</v>
      </c>
      <c r="W72" s="3">
        <v>10.688000000000001</v>
      </c>
      <c r="X72" s="3">
        <f>-W72</f>
        <v>-10.688000000000001</v>
      </c>
      <c r="Y72" s="3">
        <v>0</v>
      </c>
      <c r="Z72" s="3">
        <v>0</v>
      </c>
      <c r="AA72" s="3">
        <v>0</v>
      </c>
      <c r="AH72" s="16">
        <v>33.820999999999998</v>
      </c>
      <c r="AI72" s="16">
        <v>40.308999999999997</v>
      </c>
      <c r="AJ72" s="16">
        <v>47.018999999999998</v>
      </c>
      <c r="AK72" s="3">
        <f t="shared" si="185"/>
        <v>41.238999999999997</v>
      </c>
    </row>
    <row r="73" spans="2:40" x14ac:dyDescent="0.25">
      <c r="B73" s="3" t="s">
        <v>60</v>
      </c>
      <c r="O73" s="4">
        <v>8.5079999999999991</v>
      </c>
      <c r="R73" s="4"/>
      <c r="S73" s="4">
        <v>12.353999999999999</v>
      </c>
      <c r="T73" s="4">
        <f>20.042-S73</f>
        <v>7.6880000000000024</v>
      </c>
      <c r="U73" s="3">
        <f>26.021-T73-S73</f>
        <v>5.9789999999999992</v>
      </c>
      <c r="V73" s="3">
        <f>19.306-U73-T73-S73</f>
        <v>-6.7149999999999999</v>
      </c>
      <c r="W73" s="3">
        <v>0</v>
      </c>
      <c r="X73" s="3">
        <f>-0.452-W73</f>
        <v>-0.45200000000000001</v>
      </c>
      <c r="Y73" s="3">
        <f>5.005-X73-W73</f>
        <v>5.4569999999999999</v>
      </c>
      <c r="Z73" s="3">
        <f>21.228-Y73-X73-W73</f>
        <v>16.223000000000003</v>
      </c>
      <c r="AA73" s="3">
        <v>0</v>
      </c>
      <c r="AH73" s="16">
        <v>73.311000000000007</v>
      </c>
      <c r="AI73" s="16">
        <v>272.108</v>
      </c>
      <c r="AJ73" s="16">
        <v>13.16</v>
      </c>
      <c r="AK73" s="3">
        <f t="shared" si="185"/>
        <v>19.306000000000001</v>
      </c>
    </row>
    <row r="74" spans="2:40" x14ac:dyDescent="0.25">
      <c r="B74" s="3" t="s">
        <v>61</v>
      </c>
      <c r="O74" s="4">
        <v>0</v>
      </c>
      <c r="R74" s="4"/>
      <c r="S74" s="4">
        <v>-11.907</v>
      </c>
      <c r="T74" s="4">
        <f>-26.484-S74</f>
        <v>-14.577000000000002</v>
      </c>
      <c r="U74" s="3">
        <f>-34.789-T74-S74</f>
        <v>-8.3049999999999997</v>
      </c>
      <c r="V74" s="3">
        <f>-52.521-U74-T74-S74</f>
        <v>-17.731999999999999</v>
      </c>
      <c r="W74" s="3">
        <v>-17.312999999999999</v>
      </c>
      <c r="X74" s="3">
        <f>-24.441-W74</f>
        <v>-7.1280000000000001</v>
      </c>
      <c r="Y74" s="3">
        <f>-32.053-X74-W74</f>
        <v>-7.6119999999999983</v>
      </c>
      <c r="Z74" s="3">
        <f>-37.244-Y74-X74-W74</f>
        <v>-5.1910000000000025</v>
      </c>
      <c r="AA74" s="3">
        <v>0</v>
      </c>
      <c r="AH74" s="16">
        <v>0</v>
      </c>
      <c r="AI74" s="16">
        <v>-15.537000000000001</v>
      </c>
      <c r="AJ74" s="16">
        <v>-46.609000000000002</v>
      </c>
      <c r="AK74" s="3">
        <f t="shared" si="185"/>
        <v>-52.521000000000001</v>
      </c>
    </row>
    <row r="75" spans="2:40" x14ac:dyDescent="0.25">
      <c r="B75" s="3" t="s">
        <v>38</v>
      </c>
      <c r="O75" s="4">
        <v>-11.342000000000001</v>
      </c>
      <c r="R75" s="4"/>
      <c r="S75" s="4">
        <v>-6.774</v>
      </c>
      <c r="T75" s="4">
        <f>-11.088-S75</f>
        <v>-4.3139999999999992</v>
      </c>
      <c r="U75" s="3">
        <f>19.115-T75-S75</f>
        <v>30.202999999999999</v>
      </c>
      <c r="V75" s="3">
        <f>24.795-U75-T75-S75</f>
        <v>5.6800000000000015</v>
      </c>
      <c r="W75" s="3">
        <v>3.5310000000000001</v>
      </c>
      <c r="X75" s="3">
        <f>26.533-W75</f>
        <v>23.002000000000002</v>
      </c>
      <c r="Y75" s="3">
        <f>15.833-X75-W75</f>
        <v>-10.700000000000003</v>
      </c>
      <c r="Z75" s="3">
        <f>15.63-Y75-X75-W75</f>
        <v>-0.20299999999999718</v>
      </c>
      <c r="AA75" s="3">
        <v>-53.959000000000003</v>
      </c>
      <c r="AH75" s="16">
        <f>2.767+43.316</f>
        <v>46.083000000000006</v>
      </c>
      <c r="AI75" s="16">
        <f>16.328-44.306-0.174</f>
        <v>-28.151999999999997</v>
      </c>
      <c r="AJ75" s="16">
        <f>-4.806-29.449</f>
        <v>-34.255000000000003</v>
      </c>
      <c r="AK75" s="3">
        <f t="shared" si="185"/>
        <v>24.795000000000002</v>
      </c>
    </row>
    <row r="76" spans="2:40" s="3" customFormat="1" x14ac:dyDescent="0.25">
      <c r="B76" s="3" t="s">
        <v>62</v>
      </c>
      <c r="C76" s="4"/>
      <c r="D76" s="4"/>
      <c r="E76" s="4"/>
      <c r="F76" s="4"/>
      <c r="G76" s="4">
        <v>116881</v>
      </c>
      <c r="H76" s="4"/>
      <c r="I76" s="4"/>
      <c r="J76" s="4"/>
      <c r="K76" s="4">
        <v>35477</v>
      </c>
      <c r="L76" s="4"/>
      <c r="M76" s="4"/>
      <c r="N76" s="4"/>
      <c r="O76" s="4">
        <f>-0.628+1.973-4.551-39.921+4.271+88.673-2.112-10.536+0.2</f>
        <v>37.369</v>
      </c>
      <c r="P76" s="4"/>
      <c r="Q76" s="4"/>
      <c r="R76" s="4"/>
      <c r="S76" s="4">
        <f>-121.884+19.399+3.525+23.809-19.105-14.802+7.953-15.482-0.033</f>
        <v>-116.61999999999999</v>
      </c>
      <c r="T76" s="4">
        <f>-298.311-2.774+5.571+53.372-30.548+21.463+11.806-23.778+6.506-S76</f>
        <v>-140.07299999999998</v>
      </c>
      <c r="U76" s="3">
        <f>-311.699-19.547+4.056+7.71+42.149-27.117+159.457-35.205+5.943-T76-S76</f>
        <v>82.439999999999898</v>
      </c>
      <c r="V76" s="3">
        <f>-211.157+7.202+4.681-18.841+115.634+22.356+54.44-48.966+4.554-U76-T76-S76</f>
        <v>104.15600000000005</v>
      </c>
      <c r="W76" s="3">
        <f>-134.959+40.73+22.395+18.76-13.247</f>
        <v>-66.321000000000012</v>
      </c>
      <c r="X76" s="3">
        <f>-163.501-7.307+48.202+120.666-24.937-W76</f>
        <v>39.444000000000017</v>
      </c>
      <c r="Y76" s="3">
        <f>-422.977+50.343+90.582+160.154-39.501-X76-W76</f>
        <v>-134.52199999999999</v>
      </c>
      <c r="Z76" s="3">
        <f>-450.429+51.979+4.659+238.688-54.86-Y76-X76-W76</f>
        <v>-48.564000000000036</v>
      </c>
      <c r="AA76" s="3">
        <f>-360.973+49.062+80.788+112.386-12.898</f>
        <v>-131.63499999999999</v>
      </c>
      <c r="AH76" s="16">
        <f>-35.237-10.974-3.345+57.767+15.245+24.732-104.944-32.156-3.185</f>
        <v>-92.097000000000008</v>
      </c>
      <c r="AI76" s="16">
        <f>-72.819-24.811+6.033-29.859+5.527-61.154-49.471-34.59-0.073</f>
        <v>-261.21699999999998</v>
      </c>
      <c r="AJ76" s="16">
        <f>-106.159-6.197+3.242-31.832+52.895+79.512+64.347-49.63+0.058</f>
        <v>6.2360000000000042</v>
      </c>
      <c r="AK76" s="3">
        <f t="shared" si="185"/>
        <v>-70.097000000000051</v>
      </c>
    </row>
    <row r="77" spans="2:40" x14ac:dyDescent="0.25">
      <c r="B77" s="3" t="s">
        <v>47</v>
      </c>
      <c r="O77" s="4">
        <f>SUM(O69:O76)</f>
        <v>187.55600000000001</v>
      </c>
      <c r="R77" s="4"/>
      <c r="S77" s="4">
        <f t="shared" ref="S77:AA77" si="186">SUM(S69:S76)</f>
        <v>129.57900000000001</v>
      </c>
      <c r="T77" s="4">
        <f t="shared" si="186"/>
        <v>144.18699999999995</v>
      </c>
      <c r="U77" s="4">
        <f t="shared" si="186"/>
        <v>419.77199999999976</v>
      </c>
      <c r="V77" s="4">
        <f t="shared" si="186"/>
        <v>460.32700000000017</v>
      </c>
      <c r="W77" s="4">
        <f t="shared" si="186"/>
        <v>310.26299999999998</v>
      </c>
      <c r="X77" s="4">
        <f t="shared" si="186"/>
        <v>539.25099999999998</v>
      </c>
      <c r="Y77" s="4">
        <f t="shared" si="186"/>
        <v>507.66400000000004</v>
      </c>
      <c r="Z77" s="4">
        <f t="shared" si="186"/>
        <v>777.29499999999985</v>
      </c>
      <c r="AA77" s="4">
        <f t="shared" si="186"/>
        <v>899.16499999999996</v>
      </c>
      <c r="AB77" s="4">
        <f>2115.332-AA77</f>
        <v>1216.1669999999999</v>
      </c>
      <c r="AC77" s="3"/>
      <c r="AD77" s="3"/>
      <c r="AG77" s="3">
        <v>-296608</v>
      </c>
      <c r="AH77" s="16">
        <f>SUM(AH69:AH76)</f>
        <v>333.851</v>
      </c>
      <c r="AI77" s="16">
        <f>SUM(AI69:AI76)</f>
        <v>223.73700000000002</v>
      </c>
      <c r="AJ77" s="16">
        <f>SUM(AJ69:AJ76)</f>
        <v>712.18299999999999</v>
      </c>
      <c r="AK77" s="3">
        <f>SUM(AK69:AK76)</f>
        <v>1153.8650000000002</v>
      </c>
      <c r="AL77" s="3">
        <v>2200</v>
      </c>
      <c r="AM77" s="3">
        <v>4000</v>
      </c>
      <c r="AN77">
        <f>+AM77*1.5</f>
        <v>6000</v>
      </c>
    </row>
    <row r="78" spans="2:40" s="18" customFormat="1" ht="13" x14ac:dyDescent="0.3"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1"/>
      <c r="P78" s="20"/>
      <c r="Q78" s="20"/>
      <c r="R78" s="21"/>
      <c r="S78" s="21"/>
      <c r="T78" s="21"/>
      <c r="U78" s="21"/>
      <c r="V78" s="21"/>
      <c r="W78" s="21"/>
      <c r="X78" s="19"/>
      <c r="Y78" s="19"/>
      <c r="AG78" s="19"/>
      <c r="AH78" s="22"/>
      <c r="AI78" s="22"/>
      <c r="AJ78" s="23">
        <f>AJ77/AI77-1</f>
        <v>2.1831257235057229</v>
      </c>
      <c r="AK78" s="23">
        <f>AK77/AJ77-1</f>
        <v>0.62018048731856878</v>
      </c>
      <c r="AL78" s="23">
        <f>AL77/AK77-1</f>
        <v>0.90663552495309196</v>
      </c>
      <c r="AM78" s="23">
        <f>AM77/AL77-1</f>
        <v>0.81818181818181812</v>
      </c>
      <c r="AN78" s="23">
        <f>AN77/AM77-1</f>
        <v>0.5</v>
      </c>
    </row>
    <row r="79" spans="2:40" x14ac:dyDescent="0.25">
      <c r="X79" s="3"/>
    </row>
    <row r="80" spans="2:40" x14ac:dyDescent="0.25">
      <c r="B80" s="3" t="s">
        <v>36</v>
      </c>
      <c r="O80" s="4">
        <v>-4.7549999999999999</v>
      </c>
      <c r="R80" s="4"/>
      <c r="S80" s="4">
        <v>-2.6640000000000001</v>
      </c>
      <c r="T80" s="4">
        <f>-5.543-S80</f>
        <v>-2.879</v>
      </c>
      <c r="U80" s="3">
        <f>-9.528-T80-S80</f>
        <v>-3.9850000000000008</v>
      </c>
      <c r="V80" s="3">
        <f>-12.634-U80-T80-S80</f>
        <v>-3.1059999999999994</v>
      </c>
      <c r="W80" s="3">
        <v>-6.1840000000000002</v>
      </c>
      <c r="X80" s="3">
        <f>-13.818-W80</f>
        <v>-7.6339999999999995</v>
      </c>
      <c r="AA80" s="3">
        <v>-7.4009999999999998</v>
      </c>
    </row>
    <row r="81" spans="2:36" x14ac:dyDescent="0.25">
      <c r="B81" s="3" t="s">
        <v>64</v>
      </c>
      <c r="O81" s="4">
        <f>-2310.367+709.459+51.072</f>
        <v>-1549.8360000000002</v>
      </c>
      <c r="R81" s="4"/>
      <c r="S81" s="4">
        <f>-1260.327+751.746</f>
        <v>-508.58100000000002</v>
      </c>
      <c r="T81" s="4">
        <f>-1784.115+1133.535-4-S81</f>
        <v>-145.99899999999991</v>
      </c>
      <c r="U81" s="3">
        <f>-3418.699+2451.378-4-T81-S81</f>
        <v>-316.74099999999999</v>
      </c>
      <c r="V81" s="3">
        <f>-5395.913+5073.507-5.15-U81-T81-S81</f>
        <v>643.76499999999999</v>
      </c>
      <c r="W81" s="3">
        <f>-1704.72+350.627-30</f>
        <v>-1384.0930000000001</v>
      </c>
      <c r="X81" s="3">
        <f>-2576.231+652.762-70-W81</f>
        <v>-609.3760000000002</v>
      </c>
      <c r="AA81" s="3">
        <f>-810.856+791.533</f>
        <v>-19.322999999999979</v>
      </c>
    </row>
    <row r="82" spans="2:36" x14ac:dyDescent="0.25">
      <c r="B82" t="s">
        <v>63</v>
      </c>
      <c r="O82" s="4">
        <f>O80+O81</f>
        <v>-1554.5910000000003</v>
      </c>
      <c r="R82" s="4"/>
      <c r="S82" s="4">
        <f t="shared" ref="S82:AA82" si="187">SUM(S80:S81)</f>
        <v>-511.245</v>
      </c>
      <c r="T82" s="4">
        <f t="shared" si="187"/>
        <v>-148.8779999999999</v>
      </c>
      <c r="U82" s="4">
        <f t="shared" si="187"/>
        <v>-320.726</v>
      </c>
      <c r="V82" s="4">
        <f t="shared" si="187"/>
        <v>640.65899999999999</v>
      </c>
      <c r="W82" s="4">
        <f t="shared" si="187"/>
        <v>-1390.277</v>
      </c>
      <c r="X82" s="4">
        <f t="shared" si="187"/>
        <v>-617.01000000000022</v>
      </c>
      <c r="Y82" s="4">
        <f t="shared" si="187"/>
        <v>0</v>
      </c>
      <c r="Z82" s="4">
        <f t="shared" si="187"/>
        <v>0</v>
      </c>
      <c r="AA82" s="4">
        <f t="shared" si="187"/>
        <v>-26.723999999999979</v>
      </c>
    </row>
    <row r="83" spans="2:36" x14ac:dyDescent="0.25">
      <c r="W83" s="3"/>
      <c r="X83" s="3"/>
    </row>
    <row r="84" spans="2:36" x14ac:dyDescent="0.25">
      <c r="B84" t="s">
        <v>68</v>
      </c>
      <c r="O84" s="4">
        <v>25.923999999999999</v>
      </c>
      <c r="R84" s="4"/>
      <c r="S84" s="4">
        <v>83.84</v>
      </c>
      <c r="T84" s="4">
        <f>99.87-S84</f>
        <v>16.03</v>
      </c>
      <c r="U84" s="3">
        <f>270.207-T84-S84</f>
        <v>170.33699999999999</v>
      </c>
      <c r="V84" s="3">
        <f>745.396-U84-T84-S84-218.28</f>
        <v>256.90899999999999</v>
      </c>
      <c r="W84" s="3">
        <f>66.584-77.573</f>
        <v>-10.98899999999999</v>
      </c>
      <c r="X84" s="3">
        <f>95.201-W84-81.117</f>
        <v>25.072999999999979</v>
      </c>
      <c r="AA84" s="3">
        <v>4.899</v>
      </c>
    </row>
    <row r="85" spans="2:36" x14ac:dyDescent="0.25">
      <c r="B85" t="s">
        <v>69</v>
      </c>
      <c r="O85" s="4">
        <v>0</v>
      </c>
      <c r="R85" s="4"/>
      <c r="S85" s="4">
        <v>-9</v>
      </c>
      <c r="T85" s="4">
        <f>-26.699-S85</f>
        <v>-17.699000000000002</v>
      </c>
      <c r="U85" s="3">
        <f>-45.598-T85-S85</f>
        <v>-18.898999999999997</v>
      </c>
      <c r="V85" s="3">
        <f>-64.196-U85-T85-S85</f>
        <v>-18.597999999999995</v>
      </c>
      <c r="W85" s="3">
        <v>-17.998000000000001</v>
      </c>
      <c r="X85" s="3">
        <f>-36.594-W85</f>
        <v>-18.596</v>
      </c>
      <c r="AA85" s="3">
        <v>0</v>
      </c>
    </row>
    <row r="86" spans="2:36" x14ac:dyDescent="0.25">
      <c r="B86" t="s">
        <v>38</v>
      </c>
      <c r="O86" s="4">
        <v>5.8999999999999997E-2</v>
      </c>
      <c r="R86" s="4"/>
      <c r="S86" s="4">
        <v>0.40799999999999997</v>
      </c>
      <c r="T86" s="4">
        <f>0.102-S86</f>
        <v>-0.30599999999999999</v>
      </c>
      <c r="U86" s="3">
        <f>0.091-T86-S86</f>
        <v>-1.0999999999999954E-2</v>
      </c>
      <c r="V86" s="3">
        <f>0.444-U86-T86-S86</f>
        <v>0.35299999999999992</v>
      </c>
      <c r="W86" s="3">
        <v>0.09</v>
      </c>
      <c r="X86" s="3">
        <f>0.063-W86</f>
        <v>-2.6999999999999996E-2</v>
      </c>
      <c r="AA86" s="3">
        <v>-1.502</v>
      </c>
    </row>
    <row r="87" spans="2:36" x14ac:dyDescent="0.25">
      <c r="B87" t="s">
        <v>67</v>
      </c>
      <c r="O87" s="4">
        <f>SUM(O84:O86)</f>
        <v>25.983000000000001</v>
      </c>
      <c r="R87" s="4"/>
      <c r="S87" s="4">
        <f t="shared" ref="S87:AA87" si="188">SUM(S84:S86)</f>
        <v>75.248000000000005</v>
      </c>
      <c r="T87" s="4">
        <f t="shared" si="188"/>
        <v>-1.9750000000000005</v>
      </c>
      <c r="U87" s="4">
        <f t="shared" si="188"/>
        <v>151.42699999999999</v>
      </c>
      <c r="V87" s="4">
        <f t="shared" si="188"/>
        <v>238.66400000000002</v>
      </c>
      <c r="W87" s="4">
        <f t="shared" si="188"/>
        <v>-28.896999999999991</v>
      </c>
      <c r="X87" s="4">
        <f t="shared" si="188"/>
        <v>6.4499999999999789</v>
      </c>
      <c r="Y87" s="4">
        <f t="shared" si="188"/>
        <v>0</v>
      </c>
      <c r="Z87" s="4">
        <f t="shared" si="188"/>
        <v>0</v>
      </c>
      <c r="AA87" s="4">
        <f t="shared" si="188"/>
        <v>3.3970000000000002</v>
      </c>
    </row>
    <row r="88" spans="2:36" x14ac:dyDescent="0.25">
      <c r="B88" t="s">
        <v>66</v>
      </c>
      <c r="O88" s="4">
        <v>2.6760000000000002</v>
      </c>
      <c r="R88" s="4"/>
      <c r="S88" s="4">
        <v>-4.024</v>
      </c>
      <c r="T88" s="4">
        <f>-4.948-S88</f>
        <v>-0.92400000000000038</v>
      </c>
      <c r="U88" s="3">
        <f>0.96-T88-S88</f>
        <v>5.9080000000000004</v>
      </c>
      <c r="V88" s="3">
        <f>-6.745-U88-T88-S88</f>
        <v>-7.7049999999999992</v>
      </c>
      <c r="W88" s="3">
        <v>3.98</v>
      </c>
      <c r="X88" s="3">
        <f>11.518-W88</f>
        <v>7.5380000000000003</v>
      </c>
      <c r="AA88" s="3">
        <v>-2.4039999999999999</v>
      </c>
    </row>
    <row r="89" spans="2:36" x14ac:dyDescent="0.25">
      <c r="B89" t="s">
        <v>65</v>
      </c>
      <c r="O89" s="4">
        <f>+O88+O87+O82+O77</f>
        <v>-1338.3760000000002</v>
      </c>
      <c r="R89" s="4"/>
      <c r="S89" s="4">
        <f>+S88+S87+S82+S77</f>
        <v>-310.44200000000001</v>
      </c>
      <c r="T89" s="4">
        <f t="shared" ref="T89:AA89" si="189">+T88+T87+T82+T77</f>
        <v>-7.5899999999999466</v>
      </c>
      <c r="U89" s="4">
        <f t="shared" si="189"/>
        <v>256.38099999999974</v>
      </c>
      <c r="V89" s="4">
        <f t="shared" si="189"/>
        <v>1331.9450000000002</v>
      </c>
      <c r="W89" s="4">
        <f t="shared" si="189"/>
        <v>-1104.931</v>
      </c>
      <c r="X89" s="4">
        <f t="shared" si="189"/>
        <v>-63.771000000000299</v>
      </c>
      <c r="Y89" s="4">
        <f t="shared" si="189"/>
        <v>507.66400000000004</v>
      </c>
      <c r="Z89" s="4">
        <f t="shared" si="189"/>
        <v>777.29499999999985</v>
      </c>
      <c r="AA89" s="4">
        <f t="shared" si="189"/>
        <v>873.43399999999997</v>
      </c>
    </row>
    <row r="92" spans="2:36" x14ac:dyDescent="0.25">
      <c r="B92" t="s">
        <v>70</v>
      </c>
      <c r="R92" s="2">
        <v>375</v>
      </c>
      <c r="S92" s="2">
        <v>427</v>
      </c>
      <c r="T92" s="2">
        <v>467</v>
      </c>
      <c r="U92">
        <v>498</v>
      </c>
      <c r="V92">
        <v>571</v>
      </c>
    </row>
    <row r="93" spans="2:36" x14ac:dyDescent="0.25">
      <c r="B93" t="s">
        <v>84</v>
      </c>
      <c r="N93" s="2">
        <v>367</v>
      </c>
      <c r="R93" s="2">
        <v>497</v>
      </c>
      <c r="S93" s="2">
        <v>554</v>
      </c>
      <c r="T93" s="2">
        <v>593</v>
      </c>
      <c r="U93">
        <v>629</v>
      </c>
      <c r="V93">
        <v>711</v>
      </c>
      <c r="AI93">
        <f>+N93</f>
        <v>367</v>
      </c>
      <c r="AJ93">
        <f>+R93</f>
        <v>497</v>
      </c>
    </row>
    <row r="94" spans="2:36" x14ac:dyDescent="0.25">
      <c r="B94" t="s">
        <v>85</v>
      </c>
      <c r="R94" s="8">
        <v>0.62</v>
      </c>
      <c r="AJ94" s="8">
        <v>0.62</v>
      </c>
    </row>
    <row r="95" spans="2:36" x14ac:dyDescent="0.25">
      <c r="B95" t="s">
        <v>86</v>
      </c>
      <c r="R95" s="8">
        <v>0.38</v>
      </c>
      <c r="AJ95" s="8">
        <v>0.38</v>
      </c>
    </row>
    <row r="96" spans="2:36" x14ac:dyDescent="0.25">
      <c r="B96" t="s">
        <v>87</v>
      </c>
      <c r="R96" s="8">
        <v>0.55000000000000004</v>
      </c>
      <c r="AJ96" s="8">
        <v>0.55000000000000004</v>
      </c>
    </row>
    <row r="97" spans="2:36" x14ac:dyDescent="0.25">
      <c r="B97" t="s">
        <v>88</v>
      </c>
      <c r="R97" s="8">
        <v>0.45</v>
      </c>
      <c r="AJ97" s="8">
        <v>0.45</v>
      </c>
    </row>
    <row r="99" spans="2:36" x14ac:dyDescent="0.25">
      <c r="U99" s="17">
        <f>+U77/U29</f>
        <v>0.57858406982065147</v>
      </c>
      <c r="V99" s="17">
        <f>+V77/V29</f>
        <v>0.55627363238789707</v>
      </c>
      <c r="W99" s="17">
        <f>+W77/W29</f>
        <v>0.35137372593431482</v>
      </c>
    </row>
  </sheetData>
  <hyperlinks>
    <hyperlink ref="A1" location="Main!A1" display="Main" xr:uid="{74CEF264-386F-4340-9ED3-DF5D1BF99954}"/>
  </hyperlink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Shkreli</cp:lastModifiedBy>
  <dcterms:created xsi:type="dcterms:W3CDTF">2022-07-18T16:27:52Z</dcterms:created>
  <dcterms:modified xsi:type="dcterms:W3CDTF">2026-08-04T13:51:53Z</dcterms:modified>
</cp:coreProperties>
</file>