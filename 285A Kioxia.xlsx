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334F6650-83CE-4DB7-92F6-FCC20CB35637}" xr6:coauthVersionLast="47" xr6:coauthVersionMax="47" xr10:uidLastSave="{00000000-0000-0000-0000-000000000000}"/>
  <bookViews>
    <workbookView xWindow="11150" yWindow="4520" windowWidth="19050" windowHeight="16100" xr2:uid="{D9780A9E-2469-41A9-B02B-C648A67E9E89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0" i="2" l="1"/>
  <c r="L10" i="2"/>
  <c r="K10" i="2"/>
  <c r="M11" i="2"/>
  <c r="L11" i="2"/>
  <c r="K11" i="2"/>
  <c r="M8" i="2"/>
  <c r="L8" i="2"/>
  <c r="K8" i="2"/>
  <c r="M9" i="2"/>
  <c r="L9" i="2"/>
  <c r="K9" i="2"/>
  <c r="M6" i="2"/>
  <c r="M7" i="2" s="1"/>
  <c r="L6" i="2"/>
  <c r="K6" i="2"/>
  <c r="L7" i="2"/>
  <c r="K7" i="2"/>
  <c r="M4" i="2"/>
  <c r="L4" i="2"/>
  <c r="K4" i="2"/>
  <c r="M5" i="2"/>
  <c r="L5" i="2"/>
  <c r="K5" i="2"/>
  <c r="K14" i="2" s="1"/>
  <c r="M14" i="2"/>
  <c r="L14" i="2"/>
  <c r="M13" i="2"/>
  <c r="L13" i="2"/>
  <c r="M3" i="2"/>
  <c r="L3" i="2"/>
  <c r="K13" i="2"/>
  <c r="J13" i="2"/>
  <c r="I13" i="2"/>
  <c r="H13" i="2"/>
  <c r="G13" i="2"/>
  <c r="J20" i="2"/>
  <c r="J40" i="2"/>
  <c r="J38" i="2"/>
  <c r="J34" i="2"/>
  <c r="J33" i="2"/>
  <c r="J36" i="2"/>
  <c r="J31" i="2"/>
  <c r="J22" i="2"/>
  <c r="J28" i="2"/>
  <c r="N2" i="2"/>
  <c r="M2" i="2"/>
  <c r="L2" i="2"/>
  <c r="K2" i="2"/>
  <c r="T3" i="2"/>
  <c r="U3" i="2" s="1"/>
  <c r="V3" i="2" s="1"/>
  <c r="W3" i="2" s="1"/>
  <c r="S13" i="2"/>
  <c r="R13" i="2"/>
  <c r="R5" i="2"/>
  <c r="R14" i="2" s="1"/>
  <c r="S5" i="2"/>
  <c r="S14" i="2" s="1"/>
  <c r="T13" i="2"/>
  <c r="R6" i="2"/>
  <c r="S6" i="2" s="1"/>
  <c r="S4" i="2"/>
  <c r="R4" i="2"/>
  <c r="F6" i="2"/>
  <c r="F4" i="2"/>
  <c r="H10" i="2"/>
  <c r="I10" i="2" s="1"/>
  <c r="J10" i="2" s="1"/>
  <c r="H6" i="2"/>
  <c r="I6" i="2" s="1"/>
  <c r="J6" i="2" s="1"/>
  <c r="H4" i="2"/>
  <c r="I4" i="2" s="1"/>
  <c r="J4" i="2" s="1"/>
  <c r="H3" i="2"/>
  <c r="D10" i="2"/>
  <c r="E10" i="2" s="1"/>
  <c r="F10" i="2" s="1"/>
  <c r="D6" i="2"/>
  <c r="E6" i="2" s="1"/>
  <c r="D4" i="2"/>
  <c r="E4" i="2" s="1"/>
  <c r="D3" i="2"/>
  <c r="D5" i="2" s="1"/>
  <c r="D7" i="2" s="1"/>
  <c r="G8" i="2"/>
  <c r="H8" i="2" s="1"/>
  <c r="I8" i="2" s="1"/>
  <c r="J8" i="2" s="1"/>
  <c r="G5" i="2"/>
  <c r="G7" i="2" s="1"/>
  <c r="C8" i="2"/>
  <c r="D8" i="2" s="1"/>
  <c r="E8" i="2" s="1"/>
  <c r="F8" i="2" s="1"/>
  <c r="C5" i="2"/>
  <c r="C7" i="2" s="1"/>
  <c r="C9" i="2" s="1"/>
  <c r="C11" i="2" s="1"/>
  <c r="Q20" i="2"/>
  <c r="P20" i="2"/>
  <c r="Q8" i="2"/>
  <c r="P8" i="2"/>
  <c r="P5" i="2"/>
  <c r="P7" i="2" s="1"/>
  <c r="Q5" i="2"/>
  <c r="Q14" i="2" s="1"/>
  <c r="J6" i="1"/>
  <c r="J5" i="1"/>
  <c r="J4" i="1"/>
  <c r="J9" i="1" s="1"/>
  <c r="J7" i="1" l="1"/>
  <c r="T6" i="2"/>
  <c r="U6" i="2" s="1"/>
  <c r="V6" i="2" s="1"/>
  <c r="W6" i="2" s="1"/>
  <c r="S7" i="2"/>
  <c r="S9" i="2" s="1"/>
  <c r="R7" i="2"/>
  <c r="R9" i="2" s="1"/>
  <c r="R10" i="2" s="1"/>
  <c r="R11" i="2" s="1"/>
  <c r="H5" i="2"/>
  <c r="T5" i="2"/>
  <c r="S10" i="2"/>
  <c r="S11" i="2" s="1"/>
  <c r="E3" i="2"/>
  <c r="H7" i="2"/>
  <c r="H9" i="2" s="1"/>
  <c r="H11" i="2" s="1"/>
  <c r="H14" i="2"/>
  <c r="C14" i="2"/>
  <c r="D14" i="2"/>
  <c r="I3" i="2"/>
  <c r="P9" i="2"/>
  <c r="P11" i="2" s="1"/>
  <c r="D9" i="2"/>
  <c r="D11" i="2" s="1"/>
  <c r="G14" i="2"/>
  <c r="G9" i="2"/>
  <c r="G11" i="2" s="1"/>
  <c r="P14" i="2"/>
  <c r="Q7" i="2"/>
  <c r="Q9" i="2" s="1"/>
  <c r="Q11" i="2" s="1"/>
  <c r="J3" i="2" l="1"/>
  <c r="J5" i="2" s="1"/>
  <c r="E5" i="2"/>
  <c r="F3" i="2"/>
  <c r="F5" i="2" s="1"/>
  <c r="U5" i="2"/>
  <c r="U4" i="2" s="1"/>
  <c r="U13" i="2"/>
  <c r="T14" i="2"/>
  <c r="T7" i="2"/>
  <c r="T9" i="2" s="1"/>
  <c r="T4" i="2"/>
  <c r="E14" i="2"/>
  <c r="E7" i="2"/>
  <c r="E9" i="2" s="1"/>
  <c r="E11" i="2" s="1"/>
  <c r="I5" i="2"/>
  <c r="F7" i="2" l="1"/>
  <c r="F9" i="2" s="1"/>
  <c r="F11" i="2" s="1"/>
  <c r="F14" i="2"/>
  <c r="J14" i="2"/>
  <c r="J7" i="2"/>
  <c r="J9" i="2" s="1"/>
  <c r="J11" i="2" s="1"/>
  <c r="T10" i="2"/>
  <c r="T11" i="2" s="1"/>
  <c r="V5" i="2"/>
  <c r="V13" i="2"/>
  <c r="U14" i="2"/>
  <c r="U7" i="2"/>
  <c r="U9" i="2" s="1"/>
  <c r="I7" i="2"/>
  <c r="I9" i="2" s="1"/>
  <c r="I11" i="2" s="1"/>
  <c r="I14" i="2"/>
  <c r="U10" i="2" l="1"/>
  <c r="U11" i="2" s="1"/>
  <c r="V14" i="2"/>
  <c r="V7" i="2"/>
  <c r="V9" i="2" s="1"/>
  <c r="W5" i="2"/>
  <c r="W4" i="2"/>
  <c r="W13" i="2"/>
  <c r="V4" i="2"/>
  <c r="W14" i="2" l="1"/>
  <c r="W7" i="2"/>
  <c r="W9" i="2" s="1"/>
  <c r="V10" i="2"/>
  <c r="V11" i="2" s="1"/>
  <c r="W10" i="2" l="1"/>
  <c r="W11" i="2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AR11" i="2" s="1"/>
  <c r="AS11" i="2" s="1"/>
  <c r="AT11" i="2" s="1"/>
  <c r="AU11" i="2" s="1"/>
  <c r="AV11" i="2" s="1"/>
  <c r="AW11" i="2" s="1"/>
  <c r="AX11" i="2" s="1"/>
  <c r="AY11" i="2" s="1"/>
  <c r="AZ11" i="2" s="1"/>
  <c r="BA11" i="2" s="1"/>
  <c r="BB11" i="2" s="1"/>
  <c r="BC11" i="2" s="1"/>
  <c r="BD11" i="2" s="1"/>
  <c r="BE11" i="2" s="1"/>
  <c r="BF11" i="2" s="1"/>
  <c r="BG11" i="2" s="1"/>
  <c r="BH11" i="2" s="1"/>
  <c r="BI11" i="2" s="1"/>
  <c r="BJ11" i="2" s="1"/>
  <c r="BK11" i="2" s="1"/>
  <c r="BL11" i="2" s="1"/>
  <c r="Z17" i="2" s="1"/>
  <c r="Z18" i="2" s="1"/>
</calcChain>
</file>

<file path=xl/sharedStrings.xml><?xml version="1.0" encoding="utf-8"?>
<sst xmlns="http://schemas.openxmlformats.org/spreadsheetml/2006/main" count="68" uniqueCount="65">
  <si>
    <t>Shares</t>
  </si>
  <si>
    <t>MC JPY</t>
  </si>
  <si>
    <t>Price JPY</t>
  </si>
  <si>
    <t>Cash JPY</t>
  </si>
  <si>
    <t>Debt JPY</t>
  </si>
  <si>
    <t>EV JPY</t>
  </si>
  <si>
    <t>Q126</t>
  </si>
  <si>
    <t>MC USD</t>
  </si>
  <si>
    <t>Main</t>
  </si>
  <si>
    <t>Revenue</t>
  </si>
  <si>
    <t>FY25</t>
  </si>
  <si>
    <t>FY26</t>
  </si>
  <si>
    <t>Gross Profit</t>
  </si>
  <si>
    <t>COGS</t>
  </si>
  <si>
    <t>FY27</t>
  </si>
  <si>
    <t>SG&amp;A</t>
  </si>
  <si>
    <t>Operating Income</t>
  </si>
  <si>
    <t>Interest Expense</t>
  </si>
  <si>
    <t>Pretax Income</t>
  </si>
  <si>
    <t>Taxes</t>
  </si>
  <si>
    <t>Net Income</t>
  </si>
  <si>
    <t>Gross Margin</t>
  </si>
  <si>
    <t>CFFO</t>
  </si>
  <si>
    <t>CapEx</t>
  </si>
  <si>
    <t>FCF</t>
  </si>
  <si>
    <t>Revenue y/y</t>
  </si>
  <si>
    <t>FY28</t>
  </si>
  <si>
    <t>FY29</t>
  </si>
  <si>
    <t>FY30</t>
  </si>
  <si>
    <t>FY31</t>
  </si>
  <si>
    <t>FY32</t>
  </si>
  <si>
    <t>Discount</t>
  </si>
  <si>
    <t>Maturity</t>
  </si>
  <si>
    <t>NPV</t>
  </si>
  <si>
    <t>Share</t>
  </si>
  <si>
    <t>thin film deposit?</t>
  </si>
  <si>
    <t>polish wafer</t>
  </si>
  <si>
    <t>Yokkaichi</t>
  </si>
  <si>
    <t>Kitakami</t>
  </si>
  <si>
    <t>8th-gen 218-layer NAND CMOS-bonded-to-array</t>
  </si>
  <si>
    <t>NAND cell array</t>
  </si>
  <si>
    <t>CMOS circuits</t>
  </si>
  <si>
    <t>Page buffers, sense amplifiers</t>
  </si>
  <si>
    <t>Charge-trap cell structure</t>
  </si>
  <si>
    <t>Layer count/deck architecture</t>
  </si>
  <si>
    <t>300mm wafers (Shin-Etsu, SUMCO, GlobalWafers, Siltronic, Wacker Chemie, Hemlock, Tokuyama)</t>
  </si>
  <si>
    <t>FOUP: front-opening unified pod</t>
  </si>
  <si>
    <t>plasma etch (LRCX, AMAT, 8035)</t>
  </si>
  <si>
    <t>Goodwill</t>
  </si>
  <si>
    <t>ROU</t>
  </si>
  <si>
    <t>PPE</t>
  </si>
  <si>
    <t>Cash</t>
  </si>
  <si>
    <t>AR</t>
  </si>
  <si>
    <t>Inventory</t>
  </si>
  <si>
    <t>OCA</t>
  </si>
  <si>
    <t>ONCA</t>
  </si>
  <si>
    <t>DTA</t>
  </si>
  <si>
    <t>Assets</t>
  </si>
  <si>
    <t>Debt</t>
  </si>
  <si>
    <t>Lease</t>
  </si>
  <si>
    <t>OCL</t>
  </si>
  <si>
    <t>SE</t>
  </si>
  <si>
    <t>L+SE</t>
  </si>
  <si>
    <t>Provisions</t>
  </si>
  <si>
    <t>Retirements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</si>
</sst>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9" fontId="1" fillId="0" borderId="0" xfId="0" applyNumberFormat="1" applyFont="1"/>
    <xf numFmtId="164" fontId="1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7938</xdr:colOff>
      <xdr:row>0</xdr:row>
      <xdr:rowOff>31750</xdr:rowOff>
    </xdr:from>
    <xdr:to>
      <xdr:col>10</xdr:col>
      <xdr:colOff>7938</xdr:colOff>
      <xdr:row>40</xdr:row>
      <xdr:rowOff>154781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DA9A55D-E766-0632-F856-F6355FA70953}"/>
            </a:ext>
          </a:extLst>
        </xdr:cNvPr>
        <xdr:cNvCxnSpPr/>
      </xdr:nvCxnSpPr>
      <xdr:spPr>
        <a:xfrm>
          <a:off x="6068219" y="31750"/>
          <a:ext cx="0" cy="648890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9525</xdr:colOff>
      <xdr:row>0</xdr:row>
      <xdr:rowOff>0</xdr:rowOff>
    </xdr:from>
    <xdr:to>
      <xdr:col>17</xdr:col>
      <xdr:colOff>9525</xdr:colOff>
      <xdr:row>31</xdr:row>
      <xdr:rowOff>19843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3C3B977-AE8F-4733-80E6-D1E52B41DA25}"/>
            </a:ext>
          </a:extLst>
        </xdr:cNvPr>
        <xdr:cNvCxnSpPr/>
      </xdr:nvCxnSpPr>
      <xdr:spPr>
        <a:xfrm>
          <a:off x="9125744" y="0"/>
          <a:ext cx="0" cy="49490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2D6BC-A7CA-4363-958E-6ABABB5FCA9E}">
  <dimension ref="B2:K18"/>
  <sheetViews>
    <sheetView tabSelected="1" zoomScale="145" zoomScaleNormal="145" workbookViewId="0">
      <selection activeCell="J2" sqref="J2"/>
    </sheetView>
  </sheetViews>
  <sheetFormatPr defaultRowHeight="12.5" x14ac:dyDescent="0.25"/>
  <cols>
    <col min="1" max="8" width="8.7265625" style="1"/>
    <col min="9" max="9" width="9" style="1" customWidth="1"/>
    <col min="10" max="10" width="12.453125" style="1" bestFit="1" customWidth="1"/>
    <col min="11" max="16384" width="8.7265625" style="1"/>
  </cols>
  <sheetData>
    <row r="2" spans="2:11" x14ac:dyDescent="0.25">
      <c r="B2" s="1" t="s">
        <v>45</v>
      </c>
      <c r="I2" s="1" t="s">
        <v>2</v>
      </c>
      <c r="J2" s="2">
        <v>54550</v>
      </c>
    </row>
    <row r="3" spans="2:11" x14ac:dyDescent="0.25">
      <c r="C3" s="1" t="s">
        <v>36</v>
      </c>
      <c r="I3" s="1" t="s">
        <v>0</v>
      </c>
      <c r="J3" s="2">
        <v>541.45541700000001</v>
      </c>
      <c r="K3" s="3" t="s">
        <v>6</v>
      </c>
    </row>
    <row r="4" spans="2:11" x14ac:dyDescent="0.25">
      <c r="C4" s="1" t="s">
        <v>35</v>
      </c>
      <c r="I4" s="1" t="s">
        <v>1</v>
      </c>
      <c r="J4" s="2">
        <f>+J2*J3</f>
        <v>29536392.99735</v>
      </c>
    </row>
    <row r="5" spans="2:11" x14ac:dyDescent="0.25">
      <c r="C5" s="1" t="s">
        <v>47</v>
      </c>
      <c r="I5" s="1" t="s">
        <v>3</v>
      </c>
      <c r="J5" s="2">
        <f>470707+7191+8097+219230</f>
        <v>705225</v>
      </c>
      <c r="K5" s="3" t="s">
        <v>6</v>
      </c>
    </row>
    <row r="6" spans="2:11" x14ac:dyDescent="0.25">
      <c r="C6" s="1" t="s">
        <v>40</v>
      </c>
      <c r="I6" s="1" t="s">
        <v>4</v>
      </c>
      <c r="J6" s="2">
        <f>872116+175452</f>
        <v>1047568</v>
      </c>
      <c r="K6" s="3" t="s">
        <v>6</v>
      </c>
    </row>
    <row r="7" spans="2:11" x14ac:dyDescent="0.25">
      <c r="D7" s="1" t="s">
        <v>43</v>
      </c>
      <c r="I7" s="1" t="s">
        <v>5</v>
      </c>
      <c r="J7" s="2">
        <f>+J4-J5+J6</f>
        <v>29878735.99735</v>
      </c>
    </row>
    <row r="8" spans="2:11" x14ac:dyDescent="0.25">
      <c r="D8" s="1" t="s">
        <v>44</v>
      </c>
    </row>
    <row r="9" spans="2:11" x14ac:dyDescent="0.25">
      <c r="C9" s="1" t="s">
        <v>41</v>
      </c>
      <c r="I9" s="1" t="s">
        <v>7</v>
      </c>
      <c r="J9" s="2">
        <f>+J4/163</f>
        <v>181204.86501441718</v>
      </c>
    </row>
    <row r="10" spans="2:11" x14ac:dyDescent="0.25">
      <c r="C10" s="1" t="s">
        <v>42</v>
      </c>
    </row>
    <row r="12" spans="2:11" x14ac:dyDescent="0.25">
      <c r="B12" s="11" t="s">
        <v>37</v>
      </c>
    </row>
    <row r="13" spans="2:11" x14ac:dyDescent="0.25">
      <c r="B13" s="1" t="s">
        <v>38</v>
      </c>
    </row>
    <row r="16" spans="2:11" x14ac:dyDescent="0.25">
      <c r="B16" s="1" t="s">
        <v>39</v>
      </c>
    </row>
    <row r="18" spans="2:2" x14ac:dyDescent="0.25">
      <c r="B18" s="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AF33C-FA23-4E0C-9847-65EAD5BEBAC5}">
  <dimension ref="A1:BL40"/>
  <sheetViews>
    <sheetView zoomScale="160" zoomScaleNormal="160" workbookViewId="0">
      <pane xSplit="2" ySplit="2" topLeftCell="F3" activePane="bottomRight" state="frozen"/>
      <selection pane="topRight" activeCell="C1" sqref="C1"/>
      <selection pane="bottomLeft" activeCell="A3" sqref="A3"/>
      <selection pane="bottomRight" activeCell="K6" sqref="K6"/>
    </sheetView>
  </sheetViews>
  <sheetFormatPr defaultRowHeight="12.5" x14ac:dyDescent="0.25"/>
  <cols>
    <col min="1" max="1" width="4.6328125" style="1" bestFit="1" customWidth="1"/>
    <col min="2" max="2" width="15.26953125" style="1" bestFit="1" customWidth="1"/>
    <col min="3" max="10" width="8.36328125" style="1" customWidth="1"/>
    <col min="11" max="15" width="8.7265625" style="1"/>
    <col min="16" max="20" width="8.7265625" style="3"/>
    <col min="21" max="21" width="8.7265625" style="1"/>
    <col min="22" max="22" width="8.7265625" style="3"/>
    <col min="23" max="25" width="8.7265625" style="1"/>
    <col min="26" max="26" width="10.6328125" style="1" bestFit="1" customWidth="1"/>
    <col min="27" max="16384" width="8.7265625" style="1"/>
  </cols>
  <sheetData>
    <row r="1" spans="1:64" x14ac:dyDescent="0.25">
      <c r="A1" s="1" t="s">
        <v>8</v>
      </c>
    </row>
    <row r="2" spans="1:64" s="9" customFormat="1" x14ac:dyDescent="0.25">
      <c r="C2" s="9">
        <v>45473</v>
      </c>
      <c r="D2" s="9">
        <v>45565</v>
      </c>
      <c r="E2" s="9">
        <v>45657</v>
      </c>
      <c r="F2" s="9">
        <v>45747</v>
      </c>
      <c r="G2" s="9">
        <v>45838</v>
      </c>
      <c r="H2" s="9">
        <v>45930</v>
      </c>
      <c r="I2" s="9">
        <v>46022</v>
      </c>
      <c r="J2" s="9">
        <v>46112</v>
      </c>
      <c r="K2" s="9">
        <f>+G2+365</f>
        <v>46203</v>
      </c>
      <c r="L2" s="9">
        <f>+H2+365</f>
        <v>46295</v>
      </c>
      <c r="M2" s="9">
        <f>+I2+365</f>
        <v>46387</v>
      </c>
      <c r="N2" s="9">
        <f>+J2+365</f>
        <v>46477</v>
      </c>
      <c r="P2" s="10" t="s">
        <v>10</v>
      </c>
      <c r="Q2" s="10" t="s">
        <v>11</v>
      </c>
      <c r="R2" s="10" t="s">
        <v>14</v>
      </c>
      <c r="S2" s="10" t="s">
        <v>26</v>
      </c>
      <c r="T2" s="10" t="s">
        <v>27</v>
      </c>
      <c r="U2" s="10" t="s">
        <v>28</v>
      </c>
      <c r="V2" s="10" t="s">
        <v>29</v>
      </c>
      <c r="W2" s="10" t="s">
        <v>30</v>
      </c>
    </row>
    <row r="3" spans="1:64" s="5" customFormat="1" ht="13" x14ac:dyDescent="0.3">
      <c r="B3" s="5" t="s">
        <v>9</v>
      </c>
      <c r="C3" s="5">
        <v>428.49700000000001</v>
      </c>
      <c r="D3" s="5">
        <f>909.408-C3</f>
        <v>480.911</v>
      </c>
      <c r="E3" s="5">
        <f>1359.366-D3-C3</f>
        <v>449.95799999999991</v>
      </c>
      <c r="F3" s="5">
        <f>+P3-E3-D3-C3</f>
        <v>347.09400000000011</v>
      </c>
      <c r="G3" s="5">
        <v>342.79899999999998</v>
      </c>
      <c r="H3" s="5">
        <f>791.145-G3</f>
        <v>448.346</v>
      </c>
      <c r="I3" s="5">
        <f>1334.776-H3-G3</f>
        <v>543.63100000000009</v>
      </c>
      <c r="J3" s="5">
        <f>+Q3-I3-H3-G3</f>
        <v>1002.8520000000001</v>
      </c>
      <c r="K3" s="5">
        <v>1750</v>
      </c>
      <c r="L3" s="5">
        <f>+K3*1.25</f>
        <v>2187.5</v>
      </c>
      <c r="M3" s="5">
        <f>+L3*1.25</f>
        <v>2734.375</v>
      </c>
      <c r="P3" s="6">
        <v>1706.46</v>
      </c>
      <c r="Q3" s="6">
        <v>2337.6280000000002</v>
      </c>
      <c r="R3" s="6">
        <v>12000</v>
      </c>
      <c r="S3" s="6">
        <v>16000</v>
      </c>
      <c r="T3" s="6">
        <f>+S3*0.9</f>
        <v>14400</v>
      </c>
      <c r="U3" s="6">
        <f t="shared" ref="U3:W3" si="0">+T3*0.9</f>
        <v>12960</v>
      </c>
      <c r="V3" s="6">
        <f t="shared" si="0"/>
        <v>11664</v>
      </c>
      <c r="W3" s="6">
        <f t="shared" si="0"/>
        <v>10497.6</v>
      </c>
    </row>
    <row r="4" spans="1:64" s="2" customFormat="1" x14ac:dyDescent="0.25">
      <c r="B4" s="2" t="s">
        <v>13</v>
      </c>
      <c r="C4" s="2">
        <v>271.90499999999997</v>
      </c>
      <c r="D4" s="2">
        <f>556.365-C4</f>
        <v>284.46000000000004</v>
      </c>
      <c r="E4" s="2">
        <f>853.949-D4-C4</f>
        <v>297.58399999999995</v>
      </c>
      <c r="F4" s="2">
        <f>+P4-E4-D4-C4</f>
        <v>283.07800000000009</v>
      </c>
      <c r="G4" s="2">
        <v>271.62</v>
      </c>
      <c r="H4" s="2">
        <f>597.828-G4</f>
        <v>326.20799999999997</v>
      </c>
      <c r="I4" s="2">
        <f>964.819-H4-G4</f>
        <v>366.99099999999999</v>
      </c>
      <c r="J4" s="2">
        <f>+Q4-I4-H4-G4</f>
        <v>359.90499999999997</v>
      </c>
      <c r="K4" s="2">
        <f>+K3-K5</f>
        <v>350</v>
      </c>
      <c r="L4" s="2">
        <f>+L3-L5</f>
        <v>437.5</v>
      </c>
      <c r="M4" s="2">
        <f>+M3-M5</f>
        <v>546.875</v>
      </c>
      <c r="P4" s="4">
        <v>1137.027</v>
      </c>
      <c r="Q4" s="4">
        <v>1324.7239999999999</v>
      </c>
      <c r="R4" s="4">
        <f>+R3-R5</f>
        <v>3000</v>
      </c>
      <c r="S4" s="4">
        <f>+S3-S5</f>
        <v>3200</v>
      </c>
      <c r="T4" s="4">
        <f>+T3-T5</f>
        <v>7200</v>
      </c>
      <c r="U4" s="4">
        <f t="shared" ref="U4:W4" si="1">+U3-U5</f>
        <v>6480</v>
      </c>
      <c r="V4" s="4">
        <f t="shared" si="1"/>
        <v>5832</v>
      </c>
      <c r="W4" s="4">
        <f t="shared" si="1"/>
        <v>5248.8</v>
      </c>
    </row>
    <row r="5" spans="1:64" s="2" customFormat="1" x14ac:dyDescent="0.25">
      <c r="B5" s="2" t="s">
        <v>12</v>
      </c>
      <c r="C5" s="2">
        <f t="shared" ref="C5:J5" si="2">+C3-C4</f>
        <v>156.59200000000004</v>
      </c>
      <c r="D5" s="2">
        <f t="shared" si="2"/>
        <v>196.45099999999996</v>
      </c>
      <c r="E5" s="2">
        <f t="shared" si="2"/>
        <v>152.37399999999997</v>
      </c>
      <c r="F5" s="2">
        <f t="shared" si="2"/>
        <v>64.01600000000002</v>
      </c>
      <c r="G5" s="2">
        <f t="shared" si="2"/>
        <v>71.178999999999974</v>
      </c>
      <c r="H5" s="2">
        <f t="shared" si="2"/>
        <v>122.13800000000003</v>
      </c>
      <c r="I5" s="2">
        <f t="shared" si="2"/>
        <v>176.6400000000001</v>
      </c>
      <c r="J5" s="2">
        <f t="shared" si="2"/>
        <v>642.94700000000012</v>
      </c>
      <c r="K5" s="2">
        <f>+K3*0.8</f>
        <v>1400</v>
      </c>
      <c r="L5" s="2">
        <f>+L3*0.8</f>
        <v>1750</v>
      </c>
      <c r="M5" s="2">
        <f>+M3*0.8</f>
        <v>2187.5</v>
      </c>
      <c r="P5" s="4">
        <f>+P3-P4</f>
        <v>569.43299999999999</v>
      </c>
      <c r="Q5" s="4">
        <f>+Q3-Q4</f>
        <v>1012.9040000000002</v>
      </c>
      <c r="R5" s="4">
        <f>+R3*0.75</f>
        <v>9000</v>
      </c>
      <c r="S5" s="4">
        <f>+S3*0.8</f>
        <v>12800</v>
      </c>
      <c r="T5" s="4">
        <f>+T3*0.5</f>
        <v>7200</v>
      </c>
      <c r="U5" s="4">
        <f t="shared" ref="U5:W5" si="3">+U3*0.5</f>
        <v>6480</v>
      </c>
      <c r="V5" s="4">
        <f t="shared" si="3"/>
        <v>5832</v>
      </c>
      <c r="W5" s="4">
        <f t="shared" si="3"/>
        <v>5248.8</v>
      </c>
    </row>
    <row r="6" spans="1:64" s="2" customFormat="1" x14ac:dyDescent="0.25">
      <c r="B6" s="2" t="s">
        <v>15</v>
      </c>
      <c r="C6" s="2">
        <v>31.001000000000001</v>
      </c>
      <c r="D6" s="2">
        <f>62.632-C6</f>
        <v>31.630999999999997</v>
      </c>
      <c r="E6" s="2">
        <f>97.41-D6-C6</f>
        <v>34.777999999999992</v>
      </c>
      <c r="F6" s="2">
        <f>+P6-E6-D6-C6</f>
        <v>30.441000000000006</v>
      </c>
      <c r="G6" s="2">
        <v>29.847000000000001</v>
      </c>
      <c r="H6" s="2">
        <f>66.082-G6</f>
        <v>36.234999999999992</v>
      </c>
      <c r="I6" s="2">
        <f>99.929-H6-G6</f>
        <v>33.847000000000008</v>
      </c>
      <c r="J6" s="2">
        <f>+Q6-I6-H6-G6</f>
        <v>46.651999999999994</v>
      </c>
      <c r="K6" s="2">
        <f>+J6</f>
        <v>46.651999999999994</v>
      </c>
      <c r="L6" s="2">
        <f>+K6</f>
        <v>46.651999999999994</v>
      </c>
      <c r="M6" s="2">
        <f>+L6</f>
        <v>46.651999999999994</v>
      </c>
      <c r="P6" s="4">
        <v>127.851</v>
      </c>
      <c r="Q6" s="4">
        <v>146.58099999999999</v>
      </c>
      <c r="R6" s="4">
        <f>+Q6</f>
        <v>146.58099999999999</v>
      </c>
      <c r="S6" s="4">
        <f>+R6</f>
        <v>146.58099999999999</v>
      </c>
      <c r="T6" s="4">
        <f>+S6*1.01</f>
        <v>148.04680999999999</v>
      </c>
      <c r="U6" s="4">
        <f>+T6*1.01</f>
        <v>149.52727809999999</v>
      </c>
      <c r="V6" s="4">
        <f>+U6*1.01</f>
        <v>151.022550881</v>
      </c>
      <c r="W6" s="4">
        <f>+V6*1.01</f>
        <v>152.53277638981001</v>
      </c>
    </row>
    <row r="7" spans="1:64" x14ac:dyDescent="0.25">
      <c r="B7" s="1" t="s">
        <v>16</v>
      </c>
      <c r="C7" s="4">
        <f t="shared" ref="C7:M7" si="4">+C5-C6</f>
        <v>125.59100000000004</v>
      </c>
      <c r="D7" s="4">
        <f t="shared" si="4"/>
        <v>164.81999999999996</v>
      </c>
      <c r="E7" s="4">
        <f t="shared" si="4"/>
        <v>117.59599999999998</v>
      </c>
      <c r="F7" s="4">
        <f t="shared" si="4"/>
        <v>33.575000000000017</v>
      </c>
      <c r="G7" s="4">
        <f t="shared" si="4"/>
        <v>41.331999999999972</v>
      </c>
      <c r="H7" s="4">
        <f t="shared" si="4"/>
        <v>85.903000000000048</v>
      </c>
      <c r="I7" s="4">
        <f t="shared" si="4"/>
        <v>142.79300000000009</v>
      </c>
      <c r="J7" s="4">
        <f t="shared" si="4"/>
        <v>596.29500000000007</v>
      </c>
      <c r="K7" s="4">
        <f t="shared" si="4"/>
        <v>1353.348</v>
      </c>
      <c r="L7" s="4">
        <f t="shared" si="4"/>
        <v>1703.348</v>
      </c>
      <c r="M7" s="4">
        <f t="shared" si="4"/>
        <v>2140.848</v>
      </c>
      <c r="P7" s="4">
        <f t="shared" ref="P7" si="5">+P5-P6</f>
        <v>441.58199999999999</v>
      </c>
      <c r="Q7" s="4">
        <f>+Q5-Q6</f>
        <v>866.32300000000021</v>
      </c>
      <c r="R7" s="4">
        <f>+R5-R6</f>
        <v>8853.4189999999999</v>
      </c>
      <c r="S7" s="4">
        <f>+S5-S6</f>
        <v>12653.419</v>
      </c>
      <c r="T7" s="4">
        <f t="shared" ref="T7:W7" si="6">+T5-T6</f>
        <v>7051.9531900000002</v>
      </c>
      <c r="U7" s="4">
        <f t="shared" si="6"/>
        <v>6330.4727218999997</v>
      </c>
      <c r="V7" s="4">
        <f t="shared" si="6"/>
        <v>5680.9774491190001</v>
      </c>
      <c r="W7" s="4">
        <f t="shared" si="6"/>
        <v>5096.2672236101898</v>
      </c>
    </row>
    <row r="8" spans="1:64" s="2" customFormat="1" x14ac:dyDescent="0.25">
      <c r="B8" s="2" t="s">
        <v>17</v>
      </c>
      <c r="C8" s="4">
        <f>-0.199+26.19</f>
        <v>25.991</v>
      </c>
      <c r="D8" s="4">
        <f>44.474-1.43-C8</f>
        <v>17.052999999999997</v>
      </c>
      <c r="E8" s="4">
        <f>61.902-2.565-D8-C8</f>
        <v>16.293000000000006</v>
      </c>
      <c r="F8" s="2">
        <f>+P8-E8-D8-C8</f>
        <v>27.872</v>
      </c>
      <c r="G8" s="4">
        <f>19.86-2.398</f>
        <v>17.462</v>
      </c>
      <c r="H8" s="4">
        <f>48.962-1.996-G8</f>
        <v>29.504000000000001</v>
      </c>
      <c r="I8" s="2">
        <f>71.731-3.604-H8-G8</f>
        <v>21.160999999999991</v>
      </c>
      <c r="J8" s="2">
        <f>+Q8-I8-H8-G8</f>
        <v>13.494000000000021</v>
      </c>
      <c r="K8" s="2">
        <f>+J8</f>
        <v>13.494000000000021</v>
      </c>
      <c r="L8" s="2">
        <f>+K8</f>
        <v>13.494000000000021</v>
      </c>
      <c r="M8" s="2">
        <f>+L8</f>
        <v>13.494000000000021</v>
      </c>
      <c r="P8" s="4">
        <f>96.708-9.499</f>
        <v>87.209000000000003</v>
      </c>
      <c r="Q8" s="4">
        <f>-3.707+85.328</f>
        <v>81.621000000000009</v>
      </c>
      <c r="R8" s="4">
        <v>50</v>
      </c>
      <c r="S8" s="4">
        <v>50</v>
      </c>
      <c r="T8" s="4">
        <v>25</v>
      </c>
      <c r="U8" s="2">
        <v>0</v>
      </c>
      <c r="V8" s="4">
        <v>-25</v>
      </c>
      <c r="W8" s="2">
        <v>-50</v>
      </c>
    </row>
    <row r="9" spans="1:64" s="2" customFormat="1" x14ac:dyDescent="0.25">
      <c r="B9" s="2" t="s">
        <v>18</v>
      </c>
      <c r="C9" s="2">
        <f t="shared" ref="C9:M9" si="7">+C7-C8</f>
        <v>99.600000000000037</v>
      </c>
      <c r="D9" s="2">
        <f t="shared" si="7"/>
        <v>147.76699999999997</v>
      </c>
      <c r="E9" s="2">
        <f t="shared" si="7"/>
        <v>101.30299999999997</v>
      </c>
      <c r="F9" s="2">
        <f t="shared" si="7"/>
        <v>5.7030000000000172</v>
      </c>
      <c r="G9" s="2">
        <f t="shared" si="7"/>
        <v>23.869999999999973</v>
      </c>
      <c r="H9" s="2">
        <f t="shared" si="7"/>
        <v>56.399000000000044</v>
      </c>
      <c r="I9" s="2">
        <f t="shared" si="7"/>
        <v>121.6320000000001</v>
      </c>
      <c r="J9" s="2">
        <f t="shared" si="7"/>
        <v>582.80100000000004</v>
      </c>
      <c r="K9" s="2">
        <f t="shared" si="7"/>
        <v>1339.854</v>
      </c>
      <c r="L9" s="2">
        <f t="shared" si="7"/>
        <v>1689.854</v>
      </c>
      <c r="M9" s="2">
        <f t="shared" si="7"/>
        <v>2127.3539999999998</v>
      </c>
      <c r="P9" s="4">
        <f>+P7-P8</f>
        <v>354.37299999999999</v>
      </c>
      <c r="Q9" s="4">
        <f>+Q7-Q8</f>
        <v>784.70200000000023</v>
      </c>
      <c r="R9" s="4">
        <f>+R7-R8</f>
        <v>8803.4189999999999</v>
      </c>
      <c r="S9" s="4">
        <f>+S7-S8</f>
        <v>12603.419</v>
      </c>
      <c r="T9" s="4">
        <f t="shared" ref="T9:W9" si="8">+T7-T8</f>
        <v>7026.9531900000002</v>
      </c>
      <c r="U9" s="4">
        <f t="shared" si="8"/>
        <v>6330.4727218999997</v>
      </c>
      <c r="V9" s="4">
        <f t="shared" si="8"/>
        <v>5705.9774491190001</v>
      </c>
      <c r="W9" s="4">
        <f t="shared" si="8"/>
        <v>5146.2672236101898</v>
      </c>
    </row>
    <row r="10" spans="1:64" s="2" customFormat="1" x14ac:dyDescent="0.25">
      <c r="B10" s="2" t="s">
        <v>19</v>
      </c>
      <c r="C10" s="2">
        <v>29.988</v>
      </c>
      <c r="D10" s="2">
        <f>72.939-C10</f>
        <v>42.950999999999993</v>
      </c>
      <c r="E10" s="2">
        <f>103.551-D10-C10</f>
        <v>30.612000000000009</v>
      </c>
      <c r="F10" s="2">
        <f>+P10-E10-D10-C10</f>
        <v>-5.203000000000003</v>
      </c>
      <c r="G10" s="2">
        <v>9.0210000000000008</v>
      </c>
      <c r="H10" s="2">
        <f>25.067-G10</f>
        <v>16.045999999999999</v>
      </c>
      <c r="I10" s="2">
        <f>58.993-H10-G10</f>
        <v>33.926000000000002</v>
      </c>
      <c r="J10" s="2">
        <f>+Q10-I10-H10-G10</f>
        <v>170.60599999999999</v>
      </c>
      <c r="K10" s="2">
        <f>+K9*0.25</f>
        <v>334.96350000000001</v>
      </c>
      <c r="L10" s="2">
        <f>+L9*0.25</f>
        <v>422.46350000000001</v>
      </c>
      <c r="M10" s="2">
        <f>+M9*0.25</f>
        <v>531.83849999999995</v>
      </c>
      <c r="P10" s="4">
        <v>98.347999999999999</v>
      </c>
      <c r="Q10" s="4">
        <v>229.59899999999999</v>
      </c>
      <c r="R10" s="4">
        <f t="shared" ref="R10:W10" si="9">+R9*0.15</f>
        <v>1320.5128499999998</v>
      </c>
      <c r="S10" s="4">
        <f t="shared" si="9"/>
        <v>1890.5128499999998</v>
      </c>
      <c r="T10" s="4">
        <f t="shared" si="9"/>
        <v>1054.0429784999999</v>
      </c>
      <c r="U10" s="4">
        <f t="shared" si="9"/>
        <v>949.57090828499986</v>
      </c>
      <c r="V10" s="4">
        <f t="shared" si="9"/>
        <v>855.89661736785001</v>
      </c>
      <c r="W10" s="4">
        <f t="shared" si="9"/>
        <v>771.94008354152845</v>
      </c>
    </row>
    <row r="11" spans="1:64" s="2" customFormat="1" x14ac:dyDescent="0.25">
      <c r="B11" s="2" t="s">
        <v>20</v>
      </c>
      <c r="C11" s="2">
        <f t="shared" ref="C11:M11" si="10">+C9-C10</f>
        <v>69.612000000000037</v>
      </c>
      <c r="D11" s="2">
        <f t="shared" si="10"/>
        <v>104.81599999999997</v>
      </c>
      <c r="E11" s="2">
        <f t="shared" si="10"/>
        <v>70.69099999999996</v>
      </c>
      <c r="F11" s="2">
        <f t="shared" si="10"/>
        <v>10.90600000000002</v>
      </c>
      <c r="G11" s="2">
        <f t="shared" si="10"/>
        <v>14.848999999999972</v>
      </c>
      <c r="H11" s="2">
        <f t="shared" si="10"/>
        <v>40.353000000000044</v>
      </c>
      <c r="I11" s="2">
        <f t="shared" si="10"/>
        <v>87.706000000000103</v>
      </c>
      <c r="J11" s="2">
        <f t="shared" si="10"/>
        <v>412.19500000000005</v>
      </c>
      <c r="K11" s="2">
        <f t="shared" si="10"/>
        <v>1004.8905</v>
      </c>
      <c r="L11" s="2">
        <f t="shared" si="10"/>
        <v>1267.3905</v>
      </c>
      <c r="M11" s="2">
        <f t="shared" si="10"/>
        <v>1595.5155</v>
      </c>
      <c r="P11" s="4">
        <f t="shared" ref="P11:W11" si="11">+P9-P10</f>
        <v>256.02499999999998</v>
      </c>
      <c r="Q11" s="4">
        <f t="shared" si="11"/>
        <v>555.10300000000029</v>
      </c>
      <c r="R11" s="4">
        <f t="shared" si="11"/>
        <v>7482.9061499999998</v>
      </c>
      <c r="S11" s="4">
        <f t="shared" si="11"/>
        <v>10712.906150000001</v>
      </c>
      <c r="T11" s="4">
        <f t="shared" si="11"/>
        <v>5972.9102115000005</v>
      </c>
      <c r="U11" s="4">
        <f t="shared" si="11"/>
        <v>5380.9018136149998</v>
      </c>
      <c r="V11" s="4">
        <f t="shared" si="11"/>
        <v>4850.0808317511501</v>
      </c>
      <c r="W11" s="4">
        <f t="shared" si="11"/>
        <v>4374.3271400686617</v>
      </c>
      <c r="X11" s="2">
        <f>W11*(1+$Z$16)</f>
        <v>4418.0704114693481</v>
      </c>
      <c r="Y11" s="2">
        <f t="shared" ref="Y11:BL11" si="12">X11*(1+$Z$16)</f>
        <v>4462.2511155840411</v>
      </c>
      <c r="Z11" s="2">
        <f t="shared" si="12"/>
        <v>4506.8736267398817</v>
      </c>
      <c r="AA11" s="2">
        <f t="shared" si="12"/>
        <v>4551.9423630072806</v>
      </c>
      <c r="AB11" s="2">
        <f t="shared" si="12"/>
        <v>4597.4617866373537</v>
      </c>
      <c r="AC11" s="2">
        <f t="shared" si="12"/>
        <v>4643.4364045037273</v>
      </c>
      <c r="AD11" s="2">
        <f t="shared" si="12"/>
        <v>4689.8707685487643</v>
      </c>
      <c r="AE11" s="2">
        <f t="shared" si="12"/>
        <v>4736.7694762342517</v>
      </c>
      <c r="AF11" s="2">
        <f t="shared" si="12"/>
        <v>4784.1371709965943</v>
      </c>
      <c r="AG11" s="2">
        <f t="shared" si="12"/>
        <v>4831.9785427065599</v>
      </c>
      <c r="AH11" s="2">
        <f t="shared" si="12"/>
        <v>4880.2983281336255</v>
      </c>
      <c r="AI11" s="2">
        <f t="shared" si="12"/>
        <v>4929.1013114149619</v>
      </c>
      <c r="AJ11" s="2">
        <f t="shared" si="12"/>
        <v>4978.3923245291116</v>
      </c>
      <c r="AK11" s="2">
        <f t="shared" si="12"/>
        <v>5028.1762477744032</v>
      </c>
      <c r="AL11" s="2">
        <f t="shared" si="12"/>
        <v>5078.4580102521477</v>
      </c>
      <c r="AM11" s="2">
        <f t="shared" si="12"/>
        <v>5129.2425903546691</v>
      </c>
      <c r="AN11" s="2">
        <f t="shared" si="12"/>
        <v>5180.5350162582163</v>
      </c>
      <c r="AO11" s="2">
        <f t="shared" si="12"/>
        <v>5232.3403664207981</v>
      </c>
      <c r="AP11" s="2">
        <f t="shared" si="12"/>
        <v>5284.663770085006</v>
      </c>
      <c r="AQ11" s="2">
        <f t="shared" si="12"/>
        <v>5337.5104077858559</v>
      </c>
      <c r="AR11" s="2">
        <f t="shared" si="12"/>
        <v>5390.8855118637148</v>
      </c>
      <c r="AS11" s="2">
        <f t="shared" si="12"/>
        <v>5444.7943669823517</v>
      </c>
      <c r="AT11" s="2">
        <f t="shared" si="12"/>
        <v>5499.2423106521755</v>
      </c>
      <c r="AU11" s="2">
        <f t="shared" si="12"/>
        <v>5554.2347337586971</v>
      </c>
      <c r="AV11" s="2">
        <f t="shared" si="12"/>
        <v>5609.7770810962838</v>
      </c>
      <c r="AW11" s="2">
        <f t="shared" si="12"/>
        <v>5665.8748519072469</v>
      </c>
      <c r="AX11" s="2">
        <f t="shared" si="12"/>
        <v>5722.533600426319</v>
      </c>
      <c r="AY11" s="2">
        <f t="shared" si="12"/>
        <v>5779.7589364305823</v>
      </c>
      <c r="AZ11" s="2">
        <f t="shared" si="12"/>
        <v>5837.5565257948883</v>
      </c>
      <c r="BA11" s="2">
        <f t="shared" si="12"/>
        <v>5895.9320910528377</v>
      </c>
      <c r="BB11" s="2">
        <f t="shared" si="12"/>
        <v>5954.8914119633664</v>
      </c>
      <c r="BC11" s="2">
        <f t="shared" si="12"/>
        <v>6014.4403260830004</v>
      </c>
      <c r="BD11" s="2">
        <f t="shared" si="12"/>
        <v>6074.5847293438301</v>
      </c>
      <c r="BE11" s="2">
        <f t="shared" si="12"/>
        <v>6135.3305766372687</v>
      </c>
      <c r="BF11" s="2">
        <f t="shared" si="12"/>
        <v>6196.6838824036413</v>
      </c>
      <c r="BG11" s="2">
        <f t="shared" si="12"/>
        <v>6258.6507212276774</v>
      </c>
      <c r="BH11" s="2">
        <f t="shared" si="12"/>
        <v>6321.2372284399544</v>
      </c>
      <c r="BI11" s="2">
        <f t="shared" si="12"/>
        <v>6384.4496007243542</v>
      </c>
      <c r="BJ11" s="2">
        <f t="shared" si="12"/>
        <v>6448.2940967315981</v>
      </c>
      <c r="BK11" s="2">
        <f t="shared" si="12"/>
        <v>6512.7770376989138</v>
      </c>
      <c r="BL11" s="2">
        <f t="shared" si="12"/>
        <v>6577.904808075903</v>
      </c>
    </row>
    <row r="13" spans="1:64" x14ac:dyDescent="0.25">
      <c r="B13" s="1" t="s">
        <v>25</v>
      </c>
      <c r="G13" s="8">
        <f>+G3/C3-1</f>
        <v>-0.19999673276592378</v>
      </c>
      <c r="H13" s="8">
        <f>+H3/D3-1</f>
        <v>-6.7715232132348757E-2</v>
      </c>
      <c r="I13" s="8">
        <f>+I3/E3-1</f>
        <v>0.20818165250979015</v>
      </c>
      <c r="J13" s="8">
        <f>+J3/F3-1</f>
        <v>1.8892807135819107</v>
      </c>
      <c r="K13" s="8">
        <f>+K3/G3-1</f>
        <v>4.1050323950769991</v>
      </c>
      <c r="L13" s="8">
        <f t="shared" ref="L13:M13" si="13">+L3/H3-1</f>
        <v>3.8790443095288012</v>
      </c>
      <c r="M13" s="8">
        <f t="shared" si="13"/>
        <v>4.0298364147739907</v>
      </c>
      <c r="R13" s="8">
        <f t="shared" ref="R13:V13" si="14">+R3/Q3-1</f>
        <v>4.1334087374038981</v>
      </c>
      <c r="S13" s="8">
        <f t="shared" si="14"/>
        <v>0.33333333333333326</v>
      </c>
      <c r="T13" s="8">
        <f t="shared" si="14"/>
        <v>-9.9999999999999978E-2</v>
      </c>
      <c r="U13" s="8">
        <f t="shared" si="14"/>
        <v>-9.9999999999999978E-2</v>
      </c>
      <c r="V13" s="8">
        <f t="shared" si="14"/>
        <v>-9.9999999999999978E-2</v>
      </c>
      <c r="W13" s="8">
        <f>+W3/V3-1</f>
        <v>-9.9999999999999978E-2</v>
      </c>
    </row>
    <row r="14" spans="1:64" x14ac:dyDescent="0.25">
      <c r="B14" s="1" t="s">
        <v>21</v>
      </c>
      <c r="C14" s="7">
        <f t="shared" ref="C14:J14" si="15">+C5/C3</f>
        <v>0.36544479891341136</v>
      </c>
      <c r="D14" s="7">
        <f t="shared" si="15"/>
        <v>0.40849762222115937</v>
      </c>
      <c r="E14" s="7">
        <f t="shared" si="15"/>
        <v>0.33864049533512014</v>
      </c>
      <c r="F14" s="7">
        <f t="shared" si="15"/>
        <v>0.18443418785689178</v>
      </c>
      <c r="G14" s="7">
        <f t="shared" si="15"/>
        <v>0.20764062905667746</v>
      </c>
      <c r="H14" s="7">
        <f t="shared" si="15"/>
        <v>0.27241906920101894</v>
      </c>
      <c r="I14" s="7">
        <f t="shared" si="15"/>
        <v>0.32492628271750523</v>
      </c>
      <c r="J14" s="7">
        <f t="shared" si="15"/>
        <v>0.64111852995257534</v>
      </c>
      <c r="K14" s="7">
        <f t="shared" ref="K14:M14" si="16">+K5/K3</f>
        <v>0.8</v>
      </c>
      <c r="L14" s="7">
        <f t="shared" si="16"/>
        <v>0.8</v>
      </c>
      <c r="M14" s="7">
        <f t="shared" si="16"/>
        <v>0.8</v>
      </c>
      <c r="P14" s="7">
        <f t="shared" ref="P14:W14" si="17">+P5/P3</f>
        <v>0.33369255652051616</v>
      </c>
      <c r="Q14" s="7">
        <f t="shared" si="17"/>
        <v>0.43330418697927992</v>
      </c>
      <c r="R14" s="7">
        <f t="shared" si="17"/>
        <v>0.75</v>
      </c>
      <c r="S14" s="7">
        <f t="shared" si="17"/>
        <v>0.8</v>
      </c>
      <c r="T14" s="7">
        <f t="shared" si="17"/>
        <v>0.5</v>
      </c>
      <c r="U14" s="7">
        <f t="shared" si="17"/>
        <v>0.5</v>
      </c>
      <c r="V14" s="7">
        <f t="shared" si="17"/>
        <v>0.5</v>
      </c>
      <c r="W14" s="7">
        <f t="shared" si="17"/>
        <v>0.5</v>
      </c>
    </row>
    <row r="15" spans="1:64" x14ac:dyDescent="0.25">
      <c r="Y15" s="1" t="s">
        <v>31</v>
      </c>
      <c r="Z15" s="8">
        <v>0.08</v>
      </c>
    </row>
    <row r="16" spans="1:64" x14ac:dyDescent="0.25">
      <c r="Y16" s="1" t="s">
        <v>32</v>
      </c>
      <c r="Z16" s="8">
        <v>0.01</v>
      </c>
    </row>
    <row r="17" spans="2:26" x14ac:dyDescent="0.25">
      <c r="Y17" s="1" t="s">
        <v>33</v>
      </c>
      <c r="Z17" s="2">
        <f>NPV(Z15,S11:BL11)+R11</f>
        <v>73538.783740076135</v>
      </c>
    </row>
    <row r="18" spans="2:26" s="2" customFormat="1" x14ac:dyDescent="0.25">
      <c r="B18" s="2" t="s">
        <v>22</v>
      </c>
      <c r="J18" s="2">
        <v>616.54</v>
      </c>
      <c r="P18" s="4">
        <v>476.416</v>
      </c>
      <c r="Q18" s="4">
        <v>616.54</v>
      </c>
      <c r="R18" s="4"/>
      <c r="S18" s="4"/>
      <c r="T18" s="4"/>
      <c r="V18" s="4"/>
      <c r="Y18" s="2" t="s">
        <v>34</v>
      </c>
      <c r="Z18" s="2">
        <f>+Z17/541*1000</f>
        <v>135931.20839200765</v>
      </c>
    </row>
    <row r="19" spans="2:26" s="2" customFormat="1" x14ac:dyDescent="0.25">
      <c r="B19" s="2" t="s">
        <v>23</v>
      </c>
      <c r="J19" s="2">
        <v>281.06200000000001</v>
      </c>
      <c r="P19" s="4">
        <v>223.84700000000001</v>
      </c>
      <c r="Q19" s="4">
        <v>281.06200000000001</v>
      </c>
      <c r="R19" s="4"/>
      <c r="S19" s="4"/>
      <c r="T19" s="4"/>
      <c r="V19" s="4"/>
    </row>
    <row r="20" spans="2:26" s="2" customFormat="1" x14ac:dyDescent="0.25">
      <c r="B20" s="2" t="s">
        <v>24</v>
      </c>
      <c r="J20" s="2">
        <f>+J18-J19</f>
        <v>335.47799999999995</v>
      </c>
      <c r="P20" s="4">
        <f>+P18-P19</f>
        <v>252.56899999999999</v>
      </c>
      <c r="Q20" s="4">
        <f>+Q18-Q19</f>
        <v>335.47799999999995</v>
      </c>
      <c r="R20" s="4"/>
      <c r="S20" s="4"/>
      <c r="T20" s="4"/>
      <c r="V20" s="4"/>
    </row>
    <row r="22" spans="2:26" s="2" customFormat="1" x14ac:dyDescent="0.25">
      <c r="B22" s="2" t="s">
        <v>51</v>
      </c>
      <c r="J22" s="2">
        <f>470.707+7.191+8.097+219.23</f>
        <v>705.22499999999991</v>
      </c>
      <c r="P22" s="4"/>
      <c r="Q22" s="4"/>
      <c r="R22" s="4"/>
      <c r="S22" s="4"/>
      <c r="T22" s="4"/>
      <c r="V22" s="4"/>
    </row>
    <row r="23" spans="2:26" s="2" customFormat="1" x14ac:dyDescent="0.25">
      <c r="B23" s="2" t="s">
        <v>52</v>
      </c>
      <c r="J23" s="2">
        <v>660.55899999999997</v>
      </c>
      <c r="P23" s="4"/>
      <c r="Q23" s="4"/>
      <c r="R23" s="4"/>
      <c r="S23" s="4"/>
      <c r="T23" s="4"/>
      <c r="V23" s="4"/>
    </row>
    <row r="24" spans="2:26" s="2" customFormat="1" x14ac:dyDescent="0.25">
      <c r="B24" s="2" t="s">
        <v>53</v>
      </c>
      <c r="J24" s="2">
        <v>412.61200000000002</v>
      </c>
      <c r="P24" s="4"/>
      <c r="Q24" s="4"/>
      <c r="R24" s="4"/>
      <c r="S24" s="4"/>
      <c r="T24" s="4"/>
      <c r="V24" s="4"/>
    </row>
    <row r="25" spans="2:26" s="2" customFormat="1" x14ac:dyDescent="0.25">
      <c r="B25" s="2" t="s">
        <v>54</v>
      </c>
      <c r="J25" s="2">
        <v>66.760000000000005</v>
      </c>
      <c r="P25" s="4"/>
      <c r="Q25" s="4"/>
      <c r="R25" s="4"/>
      <c r="S25" s="4"/>
      <c r="T25" s="4"/>
      <c r="V25" s="4"/>
    </row>
    <row r="26" spans="2:26" s="5" customFormat="1" ht="13" x14ac:dyDescent="0.3">
      <c r="B26" s="5" t="s">
        <v>50</v>
      </c>
      <c r="J26" s="5">
        <v>1055.2550000000001</v>
      </c>
      <c r="P26" s="6"/>
      <c r="Q26" s="6"/>
      <c r="R26" s="6"/>
      <c r="S26" s="6"/>
      <c r="T26" s="6"/>
      <c r="V26" s="6"/>
    </row>
    <row r="27" spans="2:26" s="2" customFormat="1" x14ac:dyDescent="0.25">
      <c r="B27" s="2" t="s">
        <v>49</v>
      </c>
      <c r="J27" s="2">
        <v>178.09200000000001</v>
      </c>
      <c r="P27" s="4"/>
      <c r="Q27" s="4"/>
      <c r="R27" s="4"/>
      <c r="S27" s="4"/>
      <c r="T27" s="4"/>
      <c r="V27" s="4"/>
    </row>
    <row r="28" spans="2:26" s="2" customFormat="1" x14ac:dyDescent="0.25">
      <c r="B28" s="2" t="s">
        <v>48</v>
      </c>
      <c r="J28" s="2">
        <f>395.585+11.192</f>
        <v>406.77699999999999</v>
      </c>
      <c r="P28" s="4"/>
      <c r="Q28" s="4"/>
      <c r="R28" s="4"/>
      <c r="S28" s="4"/>
      <c r="T28" s="4"/>
      <c r="V28" s="4"/>
    </row>
    <row r="29" spans="2:26" x14ac:dyDescent="0.25">
      <c r="B29" s="1" t="s">
        <v>55</v>
      </c>
      <c r="J29" s="2">
        <v>27.285</v>
      </c>
    </row>
    <row r="30" spans="2:26" x14ac:dyDescent="0.25">
      <c r="B30" s="1" t="s">
        <v>56</v>
      </c>
      <c r="J30" s="2">
        <v>177.506</v>
      </c>
    </row>
    <row r="31" spans="2:26" x14ac:dyDescent="0.25">
      <c r="B31" s="1" t="s">
        <v>57</v>
      </c>
      <c r="J31" s="2">
        <f>SUM(J22:J30)</f>
        <v>3690.0709999999999</v>
      </c>
    </row>
    <row r="33" spans="2:22" s="2" customFormat="1" x14ac:dyDescent="0.25">
      <c r="B33" s="2" t="s">
        <v>58</v>
      </c>
      <c r="J33" s="2">
        <f>175.452+594.917+28.338+872.116</f>
        <v>1670.8229999999999</v>
      </c>
      <c r="P33" s="4"/>
      <c r="Q33" s="4"/>
      <c r="R33" s="4"/>
      <c r="S33" s="4"/>
      <c r="T33" s="4"/>
      <c r="V33" s="4"/>
    </row>
    <row r="34" spans="2:22" s="2" customFormat="1" x14ac:dyDescent="0.25">
      <c r="B34" s="2" t="s">
        <v>59</v>
      </c>
      <c r="J34" s="2">
        <f>43.911+161.71</f>
        <v>205.62100000000001</v>
      </c>
      <c r="P34" s="4"/>
      <c r="Q34" s="4"/>
      <c r="R34" s="4"/>
      <c r="S34" s="4"/>
      <c r="T34" s="4"/>
      <c r="V34" s="4"/>
    </row>
    <row r="35" spans="2:22" s="2" customFormat="1" x14ac:dyDescent="0.25">
      <c r="B35" s="2" t="s">
        <v>19</v>
      </c>
      <c r="J35" s="2">
        <v>104.51600000000001</v>
      </c>
      <c r="P35" s="4"/>
      <c r="Q35" s="4"/>
      <c r="R35" s="4"/>
      <c r="S35" s="4"/>
      <c r="T35" s="4"/>
      <c r="V35" s="4"/>
    </row>
    <row r="36" spans="2:22" s="2" customFormat="1" x14ac:dyDescent="0.25">
      <c r="B36" s="2" t="s">
        <v>60</v>
      </c>
      <c r="J36" s="2">
        <f>146.998+3.876</f>
        <v>150.874</v>
      </c>
      <c r="P36" s="4"/>
      <c r="Q36" s="4"/>
      <c r="R36" s="4"/>
      <c r="S36" s="4"/>
      <c r="T36" s="4"/>
      <c r="V36" s="4"/>
    </row>
    <row r="37" spans="2:22" s="2" customFormat="1" x14ac:dyDescent="0.25">
      <c r="B37" s="2" t="s">
        <v>64</v>
      </c>
      <c r="J37" s="2">
        <v>42.871000000000002</v>
      </c>
      <c r="P37" s="4"/>
      <c r="Q37" s="4"/>
      <c r="R37" s="4"/>
      <c r="S37" s="4"/>
      <c r="T37" s="4"/>
      <c r="V37" s="4"/>
    </row>
    <row r="38" spans="2:22" s="2" customFormat="1" x14ac:dyDescent="0.25">
      <c r="B38" s="2" t="s">
        <v>63</v>
      </c>
      <c r="J38" s="2">
        <f>12.84+102.725+0.722</f>
        <v>116.28699999999999</v>
      </c>
      <c r="P38" s="4"/>
      <c r="Q38" s="4"/>
      <c r="R38" s="4"/>
      <c r="S38" s="4"/>
      <c r="T38" s="4"/>
      <c r="V38" s="4"/>
    </row>
    <row r="39" spans="2:22" s="2" customFormat="1" x14ac:dyDescent="0.25">
      <c r="B39" s="2" t="s">
        <v>62</v>
      </c>
      <c r="J39" s="2">
        <v>1399.079</v>
      </c>
      <c r="P39" s="4"/>
      <c r="Q39" s="4"/>
      <c r="R39" s="4"/>
      <c r="S39" s="4"/>
      <c r="T39" s="4"/>
      <c r="V39" s="4"/>
    </row>
    <row r="40" spans="2:22" s="2" customFormat="1" x14ac:dyDescent="0.25">
      <c r="B40" s="2" t="s">
        <v>61</v>
      </c>
      <c r="J40" s="2">
        <f>SUM(J33:J39)</f>
        <v>3690.0709999999999</v>
      </c>
      <c r="P40" s="4"/>
      <c r="Q40" s="4"/>
      <c r="R40" s="4"/>
      <c r="S40" s="4"/>
      <c r="T40" s="4"/>
      <c r="V4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2026-07-27T18:13:21Z</dcterms:created>
  <dcterms:modified xsi:type="dcterms:W3CDTF">2026-07-28T18:49:17Z</dcterms:modified>
</cp:coreProperties>
</file>