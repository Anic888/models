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55A28FE-5124-4414-97C5-E2B181B238D0}" xr6:coauthVersionLast="47" xr6:coauthVersionMax="47" xr10:uidLastSave="{00000000-0000-0000-0000-000000000000}"/>
  <bookViews>
    <workbookView xWindow="9870" yWindow="1650" windowWidth="22360" windowHeight="16580" activeTab="2" xr2:uid="{79B82797-CA5A-45D2-8A30-BD70659F48DF}"/>
  </bookViews>
  <sheets>
    <sheet name="Master" sheetId="17" r:id="rId1"/>
    <sheet name="Main" sheetId="1" r:id="rId2"/>
    <sheet name="Model" sheetId="3" r:id="rId3"/>
    <sheet name="Trikafta" sheetId="9" r:id="rId4"/>
    <sheet name="Orkambi" sheetId="11" r:id="rId5"/>
    <sheet name="Symdeko" sheetId="6" r:id="rId6"/>
    <sheet name="Kalydeco" sheetId="2" r:id="rId7"/>
    <sheet name="Casgevy" sheetId="8" r:id="rId8"/>
    <sheet name="VX-880" sheetId="7" r:id="rId9"/>
    <sheet name="povetacicept" sheetId="16" r:id="rId10"/>
    <sheet name="Alyftrek" sheetId="12" r:id="rId11"/>
    <sheet name="VX-548" sheetId="13" r:id="rId12"/>
    <sheet name="VX-522" sheetId="15" r:id="rId13"/>
    <sheet name="inaxaplin" sheetId="10" r:id="rId14"/>
    <sheet name="VX-634" sheetId="14" r:id="rId15"/>
    <sheet name="IP" sheetId="4" r:id="rId16"/>
    <sheet name="Compounds" sheetId="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W27" i="3" l="1"/>
  <c r="AV27" i="3"/>
  <c r="AV24" i="3"/>
  <c r="AW24" i="3"/>
  <c r="AW22" i="3"/>
  <c r="AV19" i="3"/>
  <c r="AV20" i="3"/>
  <c r="AV22" i="3"/>
  <c r="AV18" i="3"/>
  <c r="AV16" i="3"/>
  <c r="AV9" i="3"/>
  <c r="AV14" i="3"/>
  <c r="AV13" i="3"/>
  <c r="AV12" i="3"/>
  <c r="AV11" i="3"/>
  <c r="AW19" i="3"/>
  <c r="AW18" i="3"/>
  <c r="AW17" i="3"/>
  <c r="AW16" i="3"/>
  <c r="AW13" i="3"/>
  <c r="AW12" i="3"/>
  <c r="AW11" i="3"/>
  <c r="AW10" i="3"/>
  <c r="AW4" i="3"/>
  <c r="AW9" i="3"/>
  <c r="AW8" i="3"/>
  <c r="AW7" i="3"/>
  <c r="AW15" i="3"/>
  <c r="AX15" i="3"/>
  <c r="AX13" i="3"/>
  <c r="AX12" i="3"/>
  <c r="AX11" i="3"/>
  <c r="AX10" i="3"/>
  <c r="AX9" i="3"/>
  <c r="AX8" i="3"/>
  <c r="AX7" i="3"/>
  <c r="AX4" i="3"/>
  <c r="AJ10" i="3"/>
  <c r="AI10" i="3"/>
  <c r="AH10" i="3"/>
  <c r="AJ9" i="3"/>
  <c r="AI9" i="3"/>
  <c r="AH9" i="3"/>
  <c r="AJ8" i="3"/>
  <c r="AI8" i="3"/>
  <c r="AH8" i="3"/>
  <c r="AJ7" i="3"/>
  <c r="AI7" i="3"/>
  <c r="AH7" i="3"/>
  <c r="AJ32" i="3"/>
  <c r="AI32" i="3"/>
  <c r="AH32" i="3"/>
  <c r="AG32" i="3"/>
  <c r="AG31" i="3"/>
  <c r="AG30" i="3"/>
  <c r="AF22" i="3"/>
  <c r="AF8" i="3"/>
  <c r="AG29" i="3"/>
  <c r="AG20" i="3"/>
  <c r="AG17" i="3"/>
  <c r="AJ4" i="3"/>
  <c r="AI4" i="3"/>
  <c r="AH4" i="3"/>
  <c r="AE54" i="3"/>
  <c r="AD54" i="3"/>
  <c r="AE52" i="3"/>
  <c r="AE34" i="3"/>
  <c r="AE43" i="3"/>
  <c r="AE22" i="3"/>
  <c r="AE17" i="3"/>
  <c r="AE8" i="3"/>
  <c r="AD13" i="3"/>
  <c r="AC13" i="3"/>
  <c r="AJ15" i="3"/>
  <c r="AJ31" i="3" s="1"/>
  <c r="AI15" i="3"/>
  <c r="AI30" i="3" s="1"/>
  <c r="AH15" i="3"/>
  <c r="AH31" i="3" s="1"/>
  <c r="AG15" i="3"/>
  <c r="AV10" i="3"/>
  <c r="BB5" i="3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AH29" i="3" l="1"/>
  <c r="AH30" i="3"/>
  <c r="AI29" i="3"/>
  <c r="AJ29" i="3"/>
  <c r="AJ30" i="3"/>
  <c r="AI31" i="3"/>
  <c r="AG21" i="3"/>
  <c r="AG23" i="3" s="1"/>
  <c r="AG25" i="3" s="1"/>
  <c r="AG26" i="3" s="1"/>
  <c r="AY9" i="3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BJ9" i="3" s="1"/>
  <c r="BK9" i="3" s="1"/>
  <c r="BL9" i="3" s="1"/>
  <c r="AC76" i="3"/>
  <c r="AC68" i="3"/>
  <c r="AC69" i="3" s="1"/>
  <c r="AC63" i="3"/>
  <c r="AC64" i="3" s="1"/>
  <c r="AC34" i="3"/>
  <c r="AC48" i="3"/>
  <c r="AC52" i="3" s="1"/>
  <c r="AC43" i="3"/>
  <c r="AF20" i="3"/>
  <c r="AD20" i="3"/>
  <c r="AE20" i="3"/>
  <c r="AC20" i="3"/>
  <c r="AC15" i="3"/>
  <c r="AC78" i="3" l="1"/>
  <c r="AC17" i="3"/>
  <c r="AC30" i="3" s="1"/>
  <c r="AC31" i="3"/>
  <c r="AC21" i="3"/>
  <c r="AY7" i="3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AF15" i="3"/>
  <c r="BB4" i="3"/>
  <c r="BC4" i="3" s="1"/>
  <c r="Z22" i="3"/>
  <c r="Z15" i="3"/>
  <c r="Z17" i="3" s="1"/>
  <c r="AA22" i="3"/>
  <c r="AB22" i="3"/>
  <c r="AC22" i="3" s="1"/>
  <c r="P48" i="3"/>
  <c r="P52" i="3" s="1"/>
  <c r="P39" i="3"/>
  <c r="P34" i="3"/>
  <c r="M68" i="3"/>
  <c r="M69" i="3" s="1"/>
  <c r="O48" i="3"/>
  <c r="O52" i="3" s="1"/>
  <c r="O39" i="3"/>
  <c r="O34" i="3"/>
  <c r="N77" i="3"/>
  <c r="O77" i="3" s="1"/>
  <c r="P77" i="3" s="1"/>
  <c r="N75" i="3"/>
  <c r="O75" i="3" s="1"/>
  <c r="P75" i="3" s="1"/>
  <c r="N73" i="3"/>
  <c r="O73" i="3" s="1"/>
  <c r="P73" i="3" s="1"/>
  <c r="N72" i="3"/>
  <c r="O72" i="3" s="1"/>
  <c r="P72" i="3" s="1"/>
  <c r="N71" i="3"/>
  <c r="O71" i="3" s="1"/>
  <c r="P71" i="3" s="1"/>
  <c r="N66" i="3"/>
  <c r="O66" i="3" s="1"/>
  <c r="P66" i="3" s="1"/>
  <c r="N62" i="3"/>
  <c r="O62" i="3" s="1"/>
  <c r="P62" i="3" s="1"/>
  <c r="N61" i="3"/>
  <c r="O61" i="3" s="1"/>
  <c r="P61" i="3" s="1"/>
  <c r="N60" i="3"/>
  <c r="O60" i="3" s="1"/>
  <c r="P60" i="3" s="1"/>
  <c r="N59" i="3"/>
  <c r="O59" i="3" s="1"/>
  <c r="P59" i="3" s="1"/>
  <c r="N57" i="3"/>
  <c r="O57" i="3" s="1"/>
  <c r="P57" i="3" s="1"/>
  <c r="N56" i="3"/>
  <c r="O56" i="3" s="1"/>
  <c r="P56" i="3" s="1"/>
  <c r="N55" i="3"/>
  <c r="O55" i="3" s="1"/>
  <c r="P55" i="3" s="1"/>
  <c r="N48" i="3"/>
  <c r="N52" i="3" s="1"/>
  <c r="N39" i="3"/>
  <c r="N34" i="3"/>
  <c r="M74" i="3"/>
  <c r="M76" i="3" s="1"/>
  <c r="M63" i="3"/>
  <c r="M64" i="3" s="1"/>
  <c r="M48" i="3"/>
  <c r="M52" i="3" s="1"/>
  <c r="M39" i="3"/>
  <c r="M34" i="3"/>
  <c r="M43" i="3" s="1"/>
  <c r="T48" i="3"/>
  <c r="T52" i="3" s="1"/>
  <c r="T39" i="3"/>
  <c r="T34" i="3"/>
  <c r="R77" i="3"/>
  <c r="S77" i="3" s="1"/>
  <c r="T77" i="3" s="1"/>
  <c r="R75" i="3"/>
  <c r="S75" i="3" s="1"/>
  <c r="T75" i="3" s="1"/>
  <c r="R74" i="3"/>
  <c r="S74" i="3" s="1"/>
  <c r="T74" i="3" s="1"/>
  <c r="R72" i="3"/>
  <c r="S72" i="3" s="1"/>
  <c r="T72" i="3" s="1"/>
  <c r="R71" i="3"/>
  <c r="S71" i="3" s="1"/>
  <c r="T71" i="3" s="1"/>
  <c r="R66" i="3"/>
  <c r="S66" i="3" s="1"/>
  <c r="R62" i="3"/>
  <c r="S62" i="3" s="1"/>
  <c r="T62" i="3" s="1"/>
  <c r="R61" i="3"/>
  <c r="S61" i="3" s="1"/>
  <c r="T61" i="3" s="1"/>
  <c r="R60" i="3"/>
  <c r="S60" i="3" s="1"/>
  <c r="T60" i="3" s="1"/>
  <c r="R59" i="3"/>
  <c r="S59" i="3" s="1"/>
  <c r="T59" i="3" s="1"/>
  <c r="R57" i="3"/>
  <c r="S57" i="3" s="1"/>
  <c r="T57" i="3" s="1"/>
  <c r="R56" i="3"/>
  <c r="S56" i="3" s="1"/>
  <c r="T56" i="3" s="1"/>
  <c r="R55" i="3"/>
  <c r="S55" i="3" s="1"/>
  <c r="T55" i="3" s="1"/>
  <c r="R48" i="3"/>
  <c r="R52" i="3" s="1"/>
  <c r="R39" i="3"/>
  <c r="R34" i="3"/>
  <c r="AB52" i="3"/>
  <c r="AA52" i="3"/>
  <c r="Z52" i="3"/>
  <c r="X48" i="3"/>
  <c r="X52" i="3" s="1"/>
  <c r="X39" i="3"/>
  <c r="X34" i="3"/>
  <c r="AU34" i="3" s="1"/>
  <c r="AU16" i="3"/>
  <c r="AU19" i="3"/>
  <c r="AU18" i="3"/>
  <c r="AU24" i="3"/>
  <c r="AU27" i="3"/>
  <c r="AU13" i="3"/>
  <c r="AU10" i="3"/>
  <c r="W48" i="3"/>
  <c r="W52" i="3" s="1"/>
  <c r="W34" i="3"/>
  <c r="W39" i="3"/>
  <c r="W22" i="3"/>
  <c r="V77" i="3"/>
  <c r="W77" i="3" s="1"/>
  <c r="X77" i="3" s="1"/>
  <c r="V75" i="3"/>
  <c r="W75" i="3" s="1"/>
  <c r="X75" i="3" s="1"/>
  <c r="V74" i="3"/>
  <c r="W74" i="3" s="1"/>
  <c r="X74" i="3" s="1"/>
  <c r="V73" i="3"/>
  <c r="W73" i="3" s="1"/>
  <c r="X73" i="3" s="1"/>
  <c r="V72" i="3"/>
  <c r="W72" i="3" s="1"/>
  <c r="X72" i="3" s="1"/>
  <c r="V71" i="3"/>
  <c r="W71" i="3" s="1"/>
  <c r="X71" i="3" s="1"/>
  <c r="V66" i="3"/>
  <c r="W66" i="3" s="1"/>
  <c r="V62" i="3"/>
  <c r="W62" i="3" s="1"/>
  <c r="X62" i="3" s="1"/>
  <c r="V61" i="3"/>
  <c r="W61" i="3" s="1"/>
  <c r="V59" i="3"/>
  <c r="W59" i="3" s="1"/>
  <c r="X59" i="3" s="1"/>
  <c r="V60" i="3"/>
  <c r="W60" i="3" s="1"/>
  <c r="X60" i="3" s="1"/>
  <c r="V57" i="3"/>
  <c r="W57" i="3" s="1"/>
  <c r="X57" i="3" s="1"/>
  <c r="V56" i="3"/>
  <c r="W56" i="3" s="1"/>
  <c r="X56" i="3" s="1"/>
  <c r="V55" i="3"/>
  <c r="W55" i="3" s="1"/>
  <c r="X55" i="3" s="1"/>
  <c r="V48" i="3"/>
  <c r="V52" i="3" s="1"/>
  <c r="V34" i="3"/>
  <c r="V39" i="3"/>
  <c r="V22" i="3"/>
  <c r="V20" i="3"/>
  <c r="U76" i="3"/>
  <c r="U68" i="3"/>
  <c r="U69" i="3" s="1"/>
  <c r="U63" i="3"/>
  <c r="U64" i="3" s="1"/>
  <c r="U22" i="3"/>
  <c r="Y74" i="3"/>
  <c r="Y76" i="3" s="1"/>
  <c r="Y68" i="3"/>
  <c r="Y69" i="3" s="1"/>
  <c r="Y63" i="3"/>
  <c r="Y64" i="3" s="1"/>
  <c r="Y22" i="3"/>
  <c r="Y48" i="3"/>
  <c r="Y52" i="3" s="1"/>
  <c r="Y34" i="3"/>
  <c r="Y39" i="3"/>
  <c r="X22" i="3"/>
  <c r="X15" i="3"/>
  <c r="O43" i="3" l="1"/>
  <c r="AE15" i="3"/>
  <c r="AY10" i="3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AD15" i="3"/>
  <c r="AD17" i="3" s="1"/>
  <c r="AC23" i="3"/>
  <c r="AC24" i="3" s="1"/>
  <c r="AF17" i="3"/>
  <c r="AF31" i="3"/>
  <c r="AY13" i="3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N63" i="3"/>
  <c r="T43" i="3"/>
  <c r="W43" i="3"/>
  <c r="N74" i="3"/>
  <c r="O74" i="3" s="1"/>
  <c r="P74" i="3" s="1"/>
  <c r="P76" i="3" s="1"/>
  <c r="T66" i="3"/>
  <c r="N43" i="3"/>
  <c r="P43" i="3"/>
  <c r="N64" i="3"/>
  <c r="N68" i="3"/>
  <c r="O68" i="3" s="1"/>
  <c r="P68" i="3" s="1"/>
  <c r="P69" i="3" s="1"/>
  <c r="Z31" i="3"/>
  <c r="O63" i="3"/>
  <c r="P63" i="3" s="1"/>
  <c r="P64" i="3" s="1"/>
  <c r="N76" i="3"/>
  <c r="R43" i="3"/>
  <c r="M78" i="3"/>
  <c r="T76" i="3"/>
  <c r="S76" i="3"/>
  <c r="AA15" i="3"/>
  <c r="AB15" i="3"/>
  <c r="AA20" i="3"/>
  <c r="AU22" i="3"/>
  <c r="Y43" i="3"/>
  <c r="R76" i="3"/>
  <c r="AB20" i="3"/>
  <c r="Z20" i="3"/>
  <c r="Y78" i="3"/>
  <c r="X61" i="3"/>
  <c r="X66" i="3"/>
  <c r="V63" i="3"/>
  <c r="W63" i="3" s="1"/>
  <c r="X63" i="3" s="1"/>
  <c r="V68" i="3"/>
  <c r="W68" i="3" s="1"/>
  <c r="X68" i="3" s="1"/>
  <c r="V69" i="3"/>
  <c r="U78" i="3"/>
  <c r="X76" i="3"/>
  <c r="X43" i="3"/>
  <c r="W76" i="3"/>
  <c r="V76" i="3"/>
  <c r="V43" i="3"/>
  <c r="X17" i="3"/>
  <c r="Y20" i="3"/>
  <c r="Y15" i="3"/>
  <c r="T22" i="3"/>
  <c r="U20" i="3"/>
  <c r="U48" i="3"/>
  <c r="U52" i="3" s="1"/>
  <c r="U39" i="3"/>
  <c r="U34" i="3"/>
  <c r="U43" i="3" s="1"/>
  <c r="BC3" i="3"/>
  <c r="BD3" i="3" s="1"/>
  <c r="BE3" i="3" s="1"/>
  <c r="BF3" i="3" s="1"/>
  <c r="BG3" i="3" s="1"/>
  <c r="BH3" i="3" s="1"/>
  <c r="S22" i="3"/>
  <c r="S20" i="3"/>
  <c r="S48" i="3"/>
  <c r="S52" i="3" s="1"/>
  <c r="S39" i="3"/>
  <c r="S34" i="3"/>
  <c r="S43" i="3" s="1"/>
  <c r="C22" i="3"/>
  <c r="C20" i="3"/>
  <c r="G22" i="3"/>
  <c r="C15" i="3"/>
  <c r="C31" i="3" s="1"/>
  <c r="G20" i="3"/>
  <c r="G15" i="3"/>
  <c r="G31" i="3" s="1"/>
  <c r="D22" i="3"/>
  <c r="D20" i="3"/>
  <c r="H22" i="3"/>
  <c r="H15" i="3"/>
  <c r="H17" i="3" s="1"/>
  <c r="H30" i="3" s="1"/>
  <c r="D15" i="3"/>
  <c r="D17" i="3" s="1"/>
  <c r="D30" i="3" s="1"/>
  <c r="H20" i="3"/>
  <c r="E22" i="3"/>
  <c r="E20" i="3"/>
  <c r="I22" i="3"/>
  <c r="I20" i="3"/>
  <c r="I15" i="3"/>
  <c r="I31" i="3" s="1"/>
  <c r="E15" i="3"/>
  <c r="E17" i="3" s="1"/>
  <c r="E30" i="3" s="1"/>
  <c r="F22" i="3"/>
  <c r="F20" i="3"/>
  <c r="J22" i="3"/>
  <c r="J20" i="3"/>
  <c r="F15" i="3"/>
  <c r="F17" i="3" s="1"/>
  <c r="F30" i="3" s="1"/>
  <c r="J15" i="3"/>
  <c r="J17" i="3" s="1"/>
  <c r="J30" i="3" s="1"/>
  <c r="K22" i="3"/>
  <c r="K20" i="3"/>
  <c r="O22" i="3"/>
  <c r="K15" i="3"/>
  <c r="K17" i="3" s="1"/>
  <c r="K30" i="3" s="1"/>
  <c r="N22" i="3"/>
  <c r="R22" i="3"/>
  <c r="R20" i="3"/>
  <c r="U15" i="3"/>
  <c r="U17" i="3" s="1"/>
  <c r="BD4" i="3"/>
  <c r="BE4" i="3" s="1"/>
  <c r="BF4" i="3" s="1"/>
  <c r="BG4" i="3" s="1"/>
  <c r="BH4" i="3" s="1"/>
  <c r="BI4" i="3" s="1"/>
  <c r="BJ4" i="3" s="1"/>
  <c r="BK4" i="3" s="1"/>
  <c r="BL4" i="3" s="1"/>
  <c r="Q76" i="3"/>
  <c r="Q68" i="3"/>
  <c r="Q63" i="3"/>
  <c r="Q48" i="3"/>
  <c r="Q52" i="3" s="1"/>
  <c r="Q39" i="3"/>
  <c r="Q34" i="3"/>
  <c r="L22" i="3"/>
  <c r="P20" i="3"/>
  <c r="P22" i="3"/>
  <c r="L20" i="3"/>
  <c r="AS20" i="3"/>
  <c r="AR20" i="3"/>
  <c r="AR15" i="3"/>
  <c r="AR17" i="3" s="1"/>
  <c r="AS16" i="3"/>
  <c r="AS14" i="3"/>
  <c r="AS12" i="3"/>
  <c r="AS11" i="3"/>
  <c r="AS10" i="3"/>
  <c r="L15" i="3"/>
  <c r="L17" i="3" s="1"/>
  <c r="L30" i="3" s="1"/>
  <c r="M22" i="3"/>
  <c r="Q22" i="3"/>
  <c r="AT14" i="3"/>
  <c r="AT11" i="3"/>
  <c r="AN2" i="3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Q20" i="3"/>
  <c r="O20" i="3"/>
  <c r="N20" i="3"/>
  <c r="M20" i="3"/>
  <c r="P15" i="3"/>
  <c r="P17" i="3" s="1"/>
  <c r="O15" i="3"/>
  <c r="O31" i="3" s="1"/>
  <c r="N15" i="3"/>
  <c r="N17" i="3" s="1"/>
  <c r="M15" i="3"/>
  <c r="M17" i="3" s="1"/>
  <c r="M30" i="3" s="1"/>
  <c r="Q15" i="3"/>
  <c r="Q17" i="3" s="1"/>
  <c r="Q30" i="3" s="1"/>
  <c r="M4" i="1"/>
  <c r="AE31" i="3" l="1"/>
  <c r="O69" i="3"/>
  <c r="AF30" i="3"/>
  <c r="AF21" i="3"/>
  <c r="AF23" i="3" s="1"/>
  <c r="AE30" i="3"/>
  <c r="AE21" i="3"/>
  <c r="AE23" i="3" s="1"/>
  <c r="AC25" i="3"/>
  <c r="AC32" i="3"/>
  <c r="Y31" i="3"/>
  <c r="AC29" i="3"/>
  <c r="AD31" i="3"/>
  <c r="AD29" i="3"/>
  <c r="N69" i="3"/>
  <c r="N78" i="3" s="1"/>
  <c r="AB31" i="3"/>
  <c r="AB17" i="3"/>
  <c r="AB30" i="3" s="1"/>
  <c r="AF29" i="3"/>
  <c r="AA17" i="3"/>
  <c r="AA30" i="3" s="1"/>
  <c r="O64" i="3"/>
  <c r="AE29" i="3"/>
  <c r="O76" i="3"/>
  <c r="O78" i="3" s="1"/>
  <c r="Z30" i="3"/>
  <c r="P78" i="3"/>
  <c r="X64" i="3"/>
  <c r="Z21" i="3"/>
  <c r="Z23" i="3" s="1"/>
  <c r="Z32" i="3" s="1"/>
  <c r="AB29" i="3"/>
  <c r="Q69" i="3"/>
  <c r="R68" i="3"/>
  <c r="X69" i="3"/>
  <c r="X78" i="3" s="1"/>
  <c r="AA31" i="3"/>
  <c r="Q64" i="3"/>
  <c r="R63" i="3"/>
  <c r="W64" i="3"/>
  <c r="W69" i="3"/>
  <c r="V64" i="3"/>
  <c r="V78" i="3" s="1"/>
  <c r="Y17" i="3"/>
  <c r="Y30" i="3" s="1"/>
  <c r="Y21" i="3"/>
  <c r="Y23" i="3" s="1"/>
  <c r="Y32" i="3" s="1"/>
  <c r="Y29" i="3"/>
  <c r="W20" i="3"/>
  <c r="X20" i="3"/>
  <c r="X21" i="3" s="1"/>
  <c r="V15" i="3"/>
  <c r="Z29" i="3" s="1"/>
  <c r="X30" i="3"/>
  <c r="C17" i="3"/>
  <c r="C30" i="3" s="1"/>
  <c r="U21" i="3"/>
  <c r="U23" i="3" s="1"/>
  <c r="U32" i="3" s="1"/>
  <c r="X31" i="3"/>
  <c r="W15" i="3"/>
  <c r="AA29" i="3" s="1"/>
  <c r="U30" i="3"/>
  <c r="U29" i="3"/>
  <c r="U31" i="3"/>
  <c r="H29" i="3"/>
  <c r="K29" i="3"/>
  <c r="G29" i="3"/>
  <c r="BI3" i="3"/>
  <c r="G17" i="3"/>
  <c r="G30" i="3" s="1"/>
  <c r="D31" i="3"/>
  <c r="E31" i="3"/>
  <c r="F31" i="3"/>
  <c r="J29" i="3"/>
  <c r="I29" i="3"/>
  <c r="H31" i="3"/>
  <c r="J31" i="3"/>
  <c r="L29" i="3"/>
  <c r="D21" i="3"/>
  <c r="D23" i="3" s="1"/>
  <c r="H21" i="3"/>
  <c r="H23" i="3" s="1"/>
  <c r="I17" i="3"/>
  <c r="I30" i="3" s="1"/>
  <c r="J21" i="3"/>
  <c r="J23" i="3" s="1"/>
  <c r="N29" i="3"/>
  <c r="M29" i="3"/>
  <c r="E21" i="3"/>
  <c r="E23" i="3" s="1"/>
  <c r="F21" i="3"/>
  <c r="F23" i="3" s="1"/>
  <c r="F32" i="3" s="1"/>
  <c r="O17" i="3"/>
  <c r="O21" i="3" s="1"/>
  <c r="O23" i="3" s="1"/>
  <c r="Q31" i="3"/>
  <c r="N31" i="3"/>
  <c r="O29" i="3"/>
  <c r="K31" i="3"/>
  <c r="L31" i="3"/>
  <c r="M31" i="3"/>
  <c r="P31" i="3"/>
  <c r="K21" i="3"/>
  <c r="K23" i="3" s="1"/>
  <c r="P29" i="3"/>
  <c r="Q29" i="3"/>
  <c r="N30" i="3"/>
  <c r="N21" i="3"/>
  <c r="N23" i="3" s="1"/>
  <c r="N32" i="3" s="1"/>
  <c r="AT27" i="3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P21" i="3"/>
  <c r="P23" i="3" s="1"/>
  <c r="P32" i="3" s="1"/>
  <c r="AS15" i="3"/>
  <c r="AS17" i="3" s="1"/>
  <c r="AS30" i="3" s="1"/>
  <c r="Q43" i="3"/>
  <c r="AT19" i="3"/>
  <c r="P30" i="3"/>
  <c r="M21" i="3"/>
  <c r="M23" i="3" s="1"/>
  <c r="M25" i="3" s="1"/>
  <c r="AR21" i="3"/>
  <c r="L21" i="3"/>
  <c r="L23" i="3" s="1"/>
  <c r="AT12" i="3"/>
  <c r="S15" i="3"/>
  <c r="S17" i="3" s="1"/>
  <c r="S21" i="3" s="1"/>
  <c r="T15" i="3"/>
  <c r="T29" i="3" s="1"/>
  <c r="R15" i="3"/>
  <c r="AT10" i="3"/>
  <c r="Q21" i="3"/>
  <c r="Q23" i="3" s="1"/>
  <c r="M7" i="1"/>
  <c r="AB21" i="3" l="1"/>
  <c r="AB23" i="3" s="1"/>
  <c r="AE32" i="3"/>
  <c r="AD30" i="3"/>
  <c r="AD21" i="3"/>
  <c r="AD23" i="3" s="1"/>
  <c r="I21" i="3"/>
  <c r="I23" i="3" s="1"/>
  <c r="I25" i="3" s="1"/>
  <c r="I26" i="3" s="1"/>
  <c r="AF32" i="3"/>
  <c r="AC26" i="3"/>
  <c r="AC54" i="3"/>
  <c r="AA21" i="3"/>
  <c r="AA23" i="3" s="1"/>
  <c r="W78" i="3"/>
  <c r="M26" i="3"/>
  <c r="M54" i="3"/>
  <c r="Q78" i="3"/>
  <c r="AA32" i="3"/>
  <c r="AB32" i="3"/>
  <c r="Z25" i="3"/>
  <c r="S63" i="3"/>
  <c r="R64" i="3"/>
  <c r="S68" i="3"/>
  <c r="R69" i="3"/>
  <c r="R78" i="3" s="1"/>
  <c r="Y25" i="3"/>
  <c r="Y54" i="3" s="1"/>
  <c r="W31" i="3"/>
  <c r="W17" i="3"/>
  <c r="V17" i="3"/>
  <c r="V30" i="3" s="1"/>
  <c r="V29" i="3"/>
  <c r="V31" i="3"/>
  <c r="U25" i="3"/>
  <c r="X23" i="3"/>
  <c r="X32" i="3" s="1"/>
  <c r="X29" i="3"/>
  <c r="W29" i="3"/>
  <c r="C21" i="3"/>
  <c r="C23" i="3" s="1"/>
  <c r="C32" i="3" s="1"/>
  <c r="BJ3" i="3"/>
  <c r="S29" i="3"/>
  <c r="G21" i="3"/>
  <c r="G23" i="3" s="1"/>
  <c r="G25" i="3" s="1"/>
  <c r="G26" i="3" s="1"/>
  <c r="E25" i="3"/>
  <c r="E26" i="3" s="1"/>
  <c r="E32" i="3"/>
  <c r="H25" i="3"/>
  <c r="H26" i="3" s="1"/>
  <c r="H32" i="3"/>
  <c r="D25" i="3"/>
  <c r="D26" i="3" s="1"/>
  <c r="D32" i="3"/>
  <c r="J25" i="3"/>
  <c r="J26" i="3" s="1"/>
  <c r="J32" i="3"/>
  <c r="F25" i="3"/>
  <c r="F26" i="3" s="1"/>
  <c r="O30" i="3"/>
  <c r="O32" i="3"/>
  <c r="O25" i="3"/>
  <c r="K25" i="3"/>
  <c r="K26" i="3" s="1"/>
  <c r="K32" i="3"/>
  <c r="R29" i="3"/>
  <c r="R31" i="3"/>
  <c r="S31" i="3"/>
  <c r="N25" i="3"/>
  <c r="AT22" i="3"/>
  <c r="AU15" i="3"/>
  <c r="AU29" i="3" s="1"/>
  <c r="M32" i="3"/>
  <c r="AS21" i="3"/>
  <c r="P25" i="3"/>
  <c r="Q32" i="3"/>
  <c r="Q25" i="3"/>
  <c r="R17" i="3"/>
  <c r="R21" i="3" s="1"/>
  <c r="T17" i="3"/>
  <c r="S30" i="3"/>
  <c r="L32" i="3"/>
  <c r="L25" i="3"/>
  <c r="L26" i="3" s="1"/>
  <c r="AT15" i="3"/>
  <c r="AT29" i="3" s="1"/>
  <c r="AF25" i="3" l="1"/>
  <c r="AF26" i="3" s="1"/>
  <c r="AE25" i="3"/>
  <c r="AE26" i="3" s="1"/>
  <c r="Y26" i="3"/>
  <c r="AD32" i="3"/>
  <c r="I32" i="3"/>
  <c r="AA25" i="3"/>
  <c r="T68" i="3"/>
  <c r="T69" i="3" s="1"/>
  <c r="S69" i="3"/>
  <c r="N26" i="3"/>
  <c r="N54" i="3"/>
  <c r="O26" i="3"/>
  <c r="O54" i="3"/>
  <c r="P26" i="3"/>
  <c r="P54" i="3"/>
  <c r="Z26" i="3"/>
  <c r="Z54" i="3"/>
  <c r="Z34" i="3"/>
  <c r="C25" i="3"/>
  <c r="C26" i="3" s="1"/>
  <c r="S64" i="3"/>
  <c r="T63" i="3"/>
  <c r="T64" i="3" s="1"/>
  <c r="AA26" i="3"/>
  <c r="AA54" i="3"/>
  <c r="AB25" i="3"/>
  <c r="V21" i="3"/>
  <c r="V23" i="3" s="1"/>
  <c r="V32" i="3" s="1"/>
  <c r="U26" i="3"/>
  <c r="U54" i="3"/>
  <c r="X25" i="3"/>
  <c r="W30" i="3"/>
  <c r="W21" i="3"/>
  <c r="W23" i="3" s="1"/>
  <c r="T30" i="3"/>
  <c r="BK3" i="3"/>
  <c r="BL3" i="3" s="1"/>
  <c r="G32" i="3"/>
  <c r="T20" i="3"/>
  <c r="T21" i="3" s="1"/>
  <c r="T31" i="3"/>
  <c r="AT18" i="3"/>
  <c r="AT31" i="3" s="1"/>
  <c r="AU31" i="3"/>
  <c r="AU17" i="3"/>
  <c r="AU30" i="3" s="1"/>
  <c r="AV15" i="3"/>
  <c r="R30" i="3"/>
  <c r="R23" i="3"/>
  <c r="S23" i="3"/>
  <c r="AT16" i="3"/>
  <c r="AT17" i="3" s="1"/>
  <c r="Q54" i="3"/>
  <c r="Q26" i="3"/>
  <c r="AD25" i="3" l="1"/>
  <c r="AD26" i="3" s="1"/>
  <c r="AV29" i="3"/>
  <c r="AW29" i="3"/>
  <c r="AA34" i="3"/>
  <c r="Z43" i="3"/>
  <c r="S78" i="3"/>
  <c r="AB26" i="3"/>
  <c r="AB54" i="3"/>
  <c r="T78" i="3"/>
  <c r="X26" i="3"/>
  <c r="X54" i="3"/>
  <c r="V25" i="3"/>
  <c r="W32" i="3"/>
  <c r="T23" i="3"/>
  <c r="AT20" i="3"/>
  <c r="AT21" i="3" s="1"/>
  <c r="AT23" i="3" s="1"/>
  <c r="AV31" i="3"/>
  <c r="AV17" i="3"/>
  <c r="AV30" i="3" s="1"/>
  <c r="AU20" i="3"/>
  <c r="AU21" i="3" s="1"/>
  <c r="AT30" i="3"/>
  <c r="T25" i="3"/>
  <c r="T32" i="3"/>
  <c r="S32" i="3"/>
  <c r="S25" i="3"/>
  <c r="AB34" i="3" l="1"/>
  <c r="AB43" i="3" s="1"/>
  <c r="AA43" i="3"/>
  <c r="T26" i="3"/>
  <c r="T54" i="3"/>
  <c r="V26" i="3"/>
  <c r="V54" i="3"/>
  <c r="W25" i="3"/>
  <c r="S26" i="3"/>
  <c r="S54" i="3"/>
  <c r="R32" i="3"/>
  <c r="AT24" i="3"/>
  <c r="AT32" i="3" s="1"/>
  <c r="AW31" i="3"/>
  <c r="AW30" i="3"/>
  <c r="AV21" i="3"/>
  <c r="AX29" i="3"/>
  <c r="R25" i="3"/>
  <c r="R54" i="3" s="1"/>
  <c r="W26" i="3" l="1"/>
  <c r="W54" i="3"/>
  <c r="AT25" i="3"/>
  <c r="AT26" i="3" s="1"/>
  <c r="AX18" i="3"/>
  <c r="AX31" i="3" s="1"/>
  <c r="AX16" i="3"/>
  <c r="AX17" i="3" s="1"/>
  <c r="AX30" i="3" s="1"/>
  <c r="AY15" i="3"/>
  <c r="AY29" i="3" s="1"/>
  <c r="AW20" i="3"/>
  <c r="AW21" i="3" s="1"/>
  <c r="AT34" i="3"/>
  <c r="R26" i="3"/>
  <c r="AU23" i="3" l="1"/>
  <c r="AY18" i="3"/>
  <c r="AY31" i="3" s="1"/>
  <c r="AY16" i="3"/>
  <c r="AY17" i="3" s="1"/>
  <c r="AY30" i="3" s="1"/>
  <c r="AX20" i="3"/>
  <c r="AX21" i="3" s="1"/>
  <c r="AZ15" i="3"/>
  <c r="AZ29" i="3" s="1"/>
  <c r="AZ18" i="3" l="1"/>
  <c r="AZ31" i="3" s="1"/>
  <c r="AZ16" i="3"/>
  <c r="AZ17" i="3" s="1"/>
  <c r="AZ30" i="3" s="1"/>
  <c r="AU32" i="3"/>
  <c r="BB15" i="3"/>
  <c r="BA15" i="3"/>
  <c r="BA29" i="3" s="1"/>
  <c r="AY20" i="3"/>
  <c r="AY21" i="3" s="1"/>
  <c r="BB29" i="3" l="1"/>
  <c r="AU25" i="3"/>
  <c r="BA16" i="3"/>
  <c r="BA17" i="3" s="1"/>
  <c r="BA30" i="3" s="1"/>
  <c r="BA18" i="3"/>
  <c r="BA31" i="3" s="1"/>
  <c r="AZ20" i="3"/>
  <c r="AZ21" i="3" s="1"/>
  <c r="AU26" i="3" l="1"/>
  <c r="BB18" i="3"/>
  <c r="BB31" i="3" s="1"/>
  <c r="BB16" i="3"/>
  <c r="BB17" i="3" s="1"/>
  <c r="BB30" i="3" s="1"/>
  <c r="AV23" i="3"/>
  <c r="BC15" i="3"/>
  <c r="BC29" i="3" s="1"/>
  <c r="BA20" i="3"/>
  <c r="BA21" i="3" s="1"/>
  <c r="AV32" i="3" l="1"/>
  <c r="BC16" i="3"/>
  <c r="BC17" i="3" s="1"/>
  <c r="BC30" i="3" s="1"/>
  <c r="BC18" i="3"/>
  <c r="BC31" i="3" s="1"/>
  <c r="BB20" i="3"/>
  <c r="BB21" i="3" s="1"/>
  <c r="BD15" i="3"/>
  <c r="BD29" i="3" s="1"/>
  <c r="AV25" i="3" l="1"/>
  <c r="AV26" i="3" s="1"/>
  <c r="BD16" i="3"/>
  <c r="BD17" i="3" s="1"/>
  <c r="BD30" i="3" s="1"/>
  <c r="BD18" i="3"/>
  <c r="BD31" i="3" s="1"/>
  <c r="BE15" i="3"/>
  <c r="BC20" i="3"/>
  <c r="BC21" i="3" s="1"/>
  <c r="BE16" i="3" l="1"/>
  <c r="BE17" i="3" s="1"/>
  <c r="BE30" i="3" s="1"/>
  <c r="BE29" i="3"/>
  <c r="AV34" i="3"/>
  <c r="BE18" i="3"/>
  <c r="BE31" i="3" s="1"/>
  <c r="BD20" i="3"/>
  <c r="BD21" i="3" s="1"/>
  <c r="BF15" i="3"/>
  <c r="AW23" i="3" l="1"/>
  <c r="AW32" i="3" s="1"/>
  <c r="BF16" i="3"/>
  <c r="BF17" i="3" s="1"/>
  <c r="BF30" i="3" s="1"/>
  <c r="BF29" i="3"/>
  <c r="BG15" i="3"/>
  <c r="BF18" i="3"/>
  <c r="BF31" i="3" s="1"/>
  <c r="BE20" i="3"/>
  <c r="BE21" i="3" s="1"/>
  <c r="BG29" i="3" l="1"/>
  <c r="BG16" i="3"/>
  <c r="BG17" i="3" s="1"/>
  <c r="BG30" i="3" s="1"/>
  <c r="BG18" i="3"/>
  <c r="BG31" i="3" s="1"/>
  <c r="BH15" i="3"/>
  <c r="AW25" i="3"/>
  <c r="BF20" i="3"/>
  <c r="BF21" i="3" s="1"/>
  <c r="BH16" i="3" l="1"/>
  <c r="BH29" i="3"/>
  <c r="BG20" i="3"/>
  <c r="BG21" i="3" s="1"/>
  <c r="BH18" i="3"/>
  <c r="BH17" i="3"/>
  <c r="BH30" i="3" s="1"/>
  <c r="BI15" i="3"/>
  <c r="AW26" i="3"/>
  <c r="AW34" i="3"/>
  <c r="BH20" i="3" l="1"/>
  <c r="BH21" i="3" s="1"/>
  <c r="BH31" i="3"/>
  <c r="BI29" i="3"/>
  <c r="BI16" i="3"/>
  <c r="BI17" i="3" s="1"/>
  <c r="BI30" i="3" s="1"/>
  <c r="BI18" i="3"/>
  <c r="BJ15" i="3"/>
  <c r="AX22" i="3"/>
  <c r="AX23" i="3" s="1"/>
  <c r="BJ16" i="3" l="1"/>
  <c r="BJ17" i="3" s="1"/>
  <c r="BJ30" i="3" s="1"/>
  <c r="BJ29" i="3"/>
  <c r="BI20" i="3"/>
  <c r="BI21" i="3" s="1"/>
  <c r="BI31" i="3"/>
  <c r="BJ18" i="3"/>
  <c r="BL15" i="3"/>
  <c r="BK15" i="3"/>
  <c r="AX24" i="3"/>
  <c r="AX32" i="3" s="1"/>
  <c r="BK29" i="3" l="1"/>
  <c r="BK16" i="3"/>
  <c r="BK17" i="3" s="1"/>
  <c r="BK30" i="3" s="1"/>
  <c r="BL29" i="3"/>
  <c r="BJ20" i="3"/>
  <c r="BJ21" i="3" s="1"/>
  <c r="BJ31" i="3"/>
  <c r="BK18" i="3"/>
  <c r="BL16" i="3"/>
  <c r="BL17" i="3" s="1"/>
  <c r="BL30" i="3" s="1"/>
  <c r="BL18" i="3"/>
  <c r="AX25" i="3"/>
  <c r="BL20" i="3" l="1"/>
  <c r="BL21" i="3" s="1"/>
  <c r="BL31" i="3"/>
  <c r="BK20" i="3"/>
  <c r="BK21" i="3" s="1"/>
  <c r="BK31" i="3"/>
  <c r="AX26" i="3"/>
  <c r="AX34" i="3"/>
  <c r="AY22" i="3" s="1"/>
  <c r="AY23" i="3" s="1"/>
  <c r="AY24" i="3" l="1"/>
  <c r="AY32" i="3" s="1"/>
  <c r="AY25" i="3" l="1"/>
  <c r="AY26" i="3" l="1"/>
  <c r="AY34" i="3"/>
  <c r="AZ22" i="3" s="1"/>
  <c r="AZ23" i="3" s="1"/>
  <c r="AZ24" i="3" l="1"/>
  <c r="AZ32" i="3" s="1"/>
  <c r="AZ25" i="3" l="1"/>
  <c r="AZ34" i="3" l="1"/>
  <c r="BA22" i="3" s="1"/>
  <c r="BA23" i="3" s="1"/>
  <c r="AZ26" i="3"/>
  <c r="BA24" i="3" l="1"/>
  <c r="BA32" i="3" s="1"/>
  <c r="BA25" i="3" l="1"/>
  <c r="BA26" i="3" l="1"/>
  <c r="BA34" i="3"/>
  <c r="BB22" i="3" s="1"/>
  <c r="BB23" i="3" s="1"/>
  <c r="BB24" i="3" l="1"/>
  <c r="BB32" i="3" s="1"/>
  <c r="BB25" i="3" l="1"/>
  <c r="BB26" i="3" s="1"/>
  <c r="BB34" i="3" l="1"/>
  <c r="BC22" i="3" s="1"/>
  <c r="BC23" i="3" s="1"/>
  <c r="BC24" i="3" l="1"/>
  <c r="BC32" i="3" s="1"/>
  <c r="BC25" i="3" l="1"/>
  <c r="BC26" i="3" l="1"/>
  <c r="BC34" i="3"/>
  <c r="BD22" i="3" s="1"/>
  <c r="BD23" i="3" s="1"/>
  <c r="BD24" i="3" l="1"/>
  <c r="BD32" i="3" s="1"/>
  <c r="BD25" i="3" l="1"/>
  <c r="BD26" i="3" l="1"/>
  <c r="BD34" i="3"/>
  <c r="BE22" i="3" s="1"/>
  <c r="BE23" i="3" s="1"/>
  <c r="BE24" i="3" l="1"/>
  <c r="BE32" i="3" s="1"/>
  <c r="BE25" i="3" l="1"/>
  <c r="BE26" i="3" s="1"/>
  <c r="BE34" i="3" l="1"/>
  <c r="BF22" i="3" s="1"/>
  <c r="BF23" i="3" s="1"/>
  <c r="BF24" i="3" l="1"/>
  <c r="BF32" i="3" s="1"/>
  <c r="BF25" i="3" l="1"/>
  <c r="BF26" i="3" s="1"/>
  <c r="BF34" i="3" l="1"/>
  <c r="BG22" i="3" s="1"/>
  <c r="BG23" i="3" s="1"/>
  <c r="BG24" i="3" l="1"/>
  <c r="BG32" i="3" s="1"/>
  <c r="BG25" i="3" l="1"/>
  <c r="BG34" i="3" s="1"/>
  <c r="BH22" i="3" l="1"/>
  <c r="BH23" i="3" s="1"/>
  <c r="BH24" i="3" s="1"/>
  <c r="BG26" i="3"/>
  <c r="BH25" i="3" l="1"/>
  <c r="BH34" i="3" s="1"/>
  <c r="BI22" i="3" s="1"/>
  <c r="BH32" i="3"/>
  <c r="BH26" i="3" l="1"/>
  <c r="BI23" i="3"/>
  <c r="BI24" i="3" s="1"/>
  <c r="BI25" i="3" l="1"/>
  <c r="BI34" i="3" s="1"/>
  <c r="BJ22" i="3" s="1"/>
  <c r="BJ23" i="3" s="1"/>
  <c r="BJ24" i="3" s="1"/>
  <c r="BJ32" i="3" s="1"/>
  <c r="BI32" i="3"/>
  <c r="BI26" i="3" l="1"/>
  <c r="BJ25" i="3"/>
  <c r="BJ34" i="3" s="1"/>
  <c r="BK22" i="3" s="1"/>
  <c r="BJ26" i="3" l="1"/>
  <c r="BK23" i="3" l="1"/>
  <c r="BK24" i="3" s="1"/>
  <c r="BK32" i="3" s="1"/>
  <c r="BK25" i="3" l="1"/>
  <c r="BK34" i="3" s="1"/>
  <c r="BK26" i="3" l="1"/>
  <c r="BL22" i="3"/>
  <c r="BL23" i="3" s="1"/>
  <c r="BL24" i="3" l="1"/>
  <c r="BL25" i="3" l="1"/>
  <c r="BL26" i="3" s="1"/>
  <c r="BL32" i="3"/>
  <c r="BL34" i="3" l="1"/>
  <c r="BM25" i="3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BO33" i="3" s="1"/>
  <c r="BO34" i="3" s="1"/>
  <c r="CU25" i="3" l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tc={316D5915-EBB2-4710-A5B4-E7BA638A6A3F}</author>
    <author>tc={B1FDD252-23E6-4597-81CB-94BE01382710}</author>
    <author>tc={40D7F6D4-94FB-41AD-9B66-6EAA39E6AF95}</author>
    <author>tc={1C045D63-D9FC-44DC-A757-A0BD3F5361CF}</author>
    <author>tc={A817ED1C-3C73-4078-9612-0D873ED4026B}</author>
  </authors>
  <commentList>
    <comment ref="AC4" authorId="0" shapeId="0" xr:uid="{316D5915-EBB2-4710-A5B4-E7BA638A6A3F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in early March</t>
      </text>
    </comment>
    <comment ref="AE7" authorId="1" shapeId="0" xr:uid="{B1FDD252-23E6-4597-81CB-94BE01382710}">
      <text>
        <t>[Threaded comment]
Your version of Excel allows you to read this threaded comment; however, any edits to it will get removed if the file is opened in a newer version of Excel. Learn more: https://go.microsoft.com/fwlink/?linkid=870924
Comment:
    39 transfusions to date, 10 in Q3</t>
      </text>
    </comment>
    <comment ref="AT15" authorId="2" shapeId="0" xr:uid="{40D7F6D4-94FB-41AD-9B66-6EAA39E6AF95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Q122: reiterates 8.4-8.6B guidance
Q222: increases to 8.6-8.8B
Q322: increases full year product guidance to 8.8-8.9B</t>
      </text>
    </comment>
    <comment ref="AV15" authorId="3" shapeId="0" xr:uid="{1C045D63-D9FC-44DC-A757-A0BD3F5361C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Q124: Product 10.55-10.75, reiterated from last quarter
Q423: Product 10.55-10.75</t>
      </text>
    </comment>
    <comment ref="AW15" authorId="4" shapeId="0" xr:uid="{A817ED1C-3C73-4078-9612-0D873ED4026B}">
      <text>
        <t>[Threaded comment]
Your version of Excel allows you to read this threaded comment; however, any edits to it will get removed if the file is opened in a newer version of Excel. Learn more: https://go.microsoft.com/fwlink/?linkid=870924
Comment:
    Q325: raised to 11.9-12.0B
Q125: raised to 11.85-12.0B
Q424: 11.75-12.0B</t>
      </text>
    </comment>
  </commentList>
</comments>
</file>

<file path=xl/sharedStrings.xml><?xml version="1.0" encoding="utf-8"?>
<sst xmlns="http://schemas.openxmlformats.org/spreadsheetml/2006/main" count="618" uniqueCount="417">
  <si>
    <t>Price</t>
  </si>
  <si>
    <t>Shares</t>
  </si>
  <si>
    <t>MC</t>
  </si>
  <si>
    <t>Cash</t>
  </si>
  <si>
    <t>Debt</t>
  </si>
  <si>
    <t>EV</t>
  </si>
  <si>
    <t>Q122</t>
  </si>
  <si>
    <t>Brand</t>
  </si>
  <si>
    <t>Generic</t>
  </si>
  <si>
    <t>Indication</t>
  </si>
  <si>
    <t>MOA</t>
  </si>
  <si>
    <t>Approval</t>
  </si>
  <si>
    <t>IP</t>
  </si>
  <si>
    <t>Kalydeco</t>
  </si>
  <si>
    <t>ivacaftor</t>
  </si>
  <si>
    <t>Cystic Fibrosis</t>
  </si>
  <si>
    <t>Cystic Fibrosis (G551D)</t>
  </si>
  <si>
    <t>CFTR potentiator</t>
  </si>
  <si>
    <t>Economics</t>
  </si>
  <si>
    <t>Mitsubishi Tanabe in Japan?</t>
  </si>
  <si>
    <t>Main</t>
  </si>
  <si>
    <t>Trikafta</t>
  </si>
  <si>
    <t>Symdeko</t>
  </si>
  <si>
    <t>Orkambi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</si>
  <si>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</si>
  <si>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</si>
  <si>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</si>
  <si>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</si>
  <si>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</si>
  <si>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</si>
  <si>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</si>
  <si>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</si>
  <si>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</si>
  <si>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</si>
  <si>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</si>
  <si>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</si>
  <si>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Phase</t>
  </si>
  <si>
    <t>CRSP</t>
  </si>
  <si>
    <t>CFF/RPRX</t>
  </si>
  <si>
    <t>VX-147</t>
  </si>
  <si>
    <t>APOL1 FSGS</t>
  </si>
  <si>
    <t>SCD/TDT</t>
  </si>
  <si>
    <t>MRNA</t>
  </si>
  <si>
    <t>Pain</t>
  </si>
  <si>
    <t>Nav1.8</t>
  </si>
  <si>
    <t>mRNA</t>
  </si>
  <si>
    <t>CRISPR</t>
  </si>
  <si>
    <t>VX-880</t>
  </si>
  <si>
    <t>T1D</t>
  </si>
  <si>
    <t>cell therapy</t>
  </si>
  <si>
    <t>corrector</t>
  </si>
  <si>
    <t>I</t>
  </si>
  <si>
    <t>DMD</t>
  </si>
  <si>
    <t>COGS</t>
  </si>
  <si>
    <t>Gross Profit</t>
  </si>
  <si>
    <t>SG&amp;A</t>
  </si>
  <si>
    <t>R&amp;D</t>
  </si>
  <si>
    <t>OpEx</t>
  </si>
  <si>
    <t>OpInc</t>
  </si>
  <si>
    <t>Patent</t>
  </si>
  <si>
    <t>Crystalline forms of C.sub.21H.sub.22Cl.sub.2N.sub.4O.sub.2</t>
  </si>
  <si>
    <t>Title</t>
  </si>
  <si>
    <t>Assignee</t>
  </si>
  <si>
    <t>Biomed Valley Discoveries, Inc. (Kansas City, MO); Vertex Pharmaceuticals Incorporated (Boston, MA)</t>
  </si>
  <si>
    <t>Inventors</t>
  </si>
  <si>
    <t>DeCrescenzo; Gary (Parkville, MO), Welsch; Dean (Parkville, MO), Vlahova; Petinka I. (West Lafayette, IN), Boerrigter; Stephan X. M. (West Lafayette, IN), Aronov; Alexander (Newton, MA), Keshavarz-Shokri; Ali (San Diego, CA), Scangas; Alexander N. (Wilmington, MA), Stavropoulos; Kathy (Quincy, MA), Littler; Benjamin (Carlsbad, CA), Kadiyala; Irina Nikolaevna (Newton, MA), Alargova; Rossitza Gueorguieva (Brighton, MA)</t>
  </si>
  <si>
    <t>Importance</t>
  </si>
  <si>
    <t>BVD-523</t>
  </si>
  <si>
    <t>ulixertinib</t>
  </si>
  <si>
    <t>ERK</t>
  </si>
  <si>
    <t>Compounds useful as inhibitors of ATR kinase</t>
  </si>
  <si>
    <t>Filed</t>
  </si>
  <si>
    <t>Issued</t>
  </si>
  <si>
    <t>Vertex</t>
  </si>
  <si>
    <t>Ahmad; Nadia (Didcot, GB), Boyall; Dean (Faringdon, GB), Charrier; Jean-Damien (Wantage, GB), Davis; Chris (Salisbury, GB), Davis; Rebecca (Witney, GB), Durrant; Steven (Abingdon, GB), Etxebarria I Jardi; Gorka (Abingdon, GB), Fraysse; Damien (Abingdon, GB), Jimenez; Juan-Miguel (Abingdon, GB), Kay; David (Purton, GB), Knegtel; Ronald (Abingdon, GB), Middleton; Donald (Sandwich, GB), O'Donnell; Michael (Abingdon, GB), Panesar; Maninder (Didcot, GB), Pierard; Francoise (Abingdon, GB), Pinder; Joanne (Didcot, GB), Shaw; David (Oxford, GB), Storck; Pierre-Henri (Abingdon, GB), Studley; John (Witney, GB), Twin; Heather (Wantage, GB)</t>
  </si>
  <si>
    <t>Notes</t>
  </si>
  <si>
    <t>Outlicensed ERK inhibitor</t>
  </si>
  <si>
    <t>ATR inhibitor</t>
  </si>
  <si>
    <t>Materials and methods for treatment of Duchenne Muscular Dystrophy</t>
  </si>
  <si>
    <t>Kabadi; Ami Meda (Cambridge, MA), Cowan; Chad Albert (Cambridge, MA), Lundberg; Ante Sven (Cambridge, MA)</t>
  </si>
  <si>
    <t>2016?! CRISPR patent</t>
  </si>
  <si>
    <t>Deuterated pyridone amides and prodrugs thereof as modulators of sodium channels</t>
  </si>
  <si>
    <t>Jiang; Licong (San Diego, CA), Hadida Ruah; Sara Sabina (La Jolla, CA)</t>
  </si>
  <si>
    <t>Tanoury; Gerald J. (Marlborough, MA), Nugent; William Aloysius (Manomet, MA), Dvornikovs; Vadims (Lancaster, MA), Rose; Peter Jamison (Littleton, MA)</t>
  </si>
  <si>
    <t>Methods of preparing inhibitors of influenza viruses replication</t>
  </si>
  <si>
    <t>Why still filing on this post sale to JNJ?</t>
  </si>
  <si>
    <t>Solid forms of n-[2,4-bis(1,1-dimethylethyl)-5-hydroxyphenyl]-1,4-dihydro-4-oxoquinoline- -3-carboxamide</t>
  </si>
  <si>
    <t xml:space="preserve">	Hurter; Patricia (Harvard, MA), Rowe; William (Medford, MA), Young; Christopher R. (Waltham, MA), Costache; Adriana (Cambridge, MA), Connelly; Patrick R. (Harvard, MA), Krawiec; Mariusz (Marlborough, MA), Gong; Yuchuan (Waukegan, IL), Feng; Yushi (Zionsville, IN), Trudeau; Martin (Shannon, CA)</t>
  </si>
  <si>
    <t>Molecule</t>
  </si>
  <si>
    <t>N-[2,4-bis(1,1-dimethylethyl)-5-hydroxyphenyl]-1,4-dihydro-4-oxoquinoline-3-carboxamide</t>
  </si>
  <si>
    <t>Materials and methods for treatment of hemoglobinopathies</t>
  </si>
  <si>
    <t>Chakraborty; Tirtha (Cambridge, MA), Mishra; Bibhu Prasad (Wakefield, MA)</t>
  </si>
  <si>
    <t>CRISPR for HbF; where is CRSP?</t>
  </si>
  <si>
    <t>Methods of treatment for cystic fibrosis</t>
  </si>
  <si>
    <t>Chen; Weichao George (San Diego, CA), Haseltine; Eric L. (Melrose, MA), Moskowitz; Samuel (Waban, MA), Robertson; Sarah (Somerville, MA), Waltz; David (Waban, MA)</t>
  </si>
  <si>
    <t>telaprevir</t>
  </si>
  <si>
    <t>HCV</t>
  </si>
  <si>
    <t>Protease Inhibitor</t>
  </si>
  <si>
    <t>Incivek, aka Incivo, aka Telavic</t>
  </si>
  <si>
    <t>Approved</t>
  </si>
  <si>
    <t>VX-222</t>
  </si>
  <si>
    <t>Non-Nucleoside Polymerase Inhibitor</t>
  </si>
  <si>
    <t>II</t>
  </si>
  <si>
    <t>ALS-2158</t>
  </si>
  <si>
    <t>ALS-2200</t>
  </si>
  <si>
    <t>NS5B Polymerase Inhibitor</t>
  </si>
  <si>
    <t>Oncology</t>
  </si>
  <si>
    <t>lumacaftor</t>
  </si>
  <si>
    <t>Orkambi, fka VX-809</t>
  </si>
  <si>
    <t>CFTR corrector</t>
  </si>
  <si>
    <t>lumacaftor/ivacaftor</t>
  </si>
  <si>
    <t>tezacaftor</t>
  </si>
  <si>
    <t>Symdeko, Trikafta, VX-661</t>
  </si>
  <si>
    <t>elexacaftor</t>
  </si>
  <si>
    <t>tezacaftor/ivacaftor</t>
  </si>
  <si>
    <t>elexacaftor/ivacaftor/tezacaftor</t>
  </si>
  <si>
    <t>Regulatory</t>
  </si>
  <si>
    <t>Interest</t>
  </si>
  <si>
    <t>Pretax</t>
  </si>
  <si>
    <t>Taxes</t>
  </si>
  <si>
    <t>Net Income</t>
  </si>
  <si>
    <t>EPS</t>
  </si>
  <si>
    <t>VERV</t>
  </si>
  <si>
    <t>Liver Disease</t>
  </si>
  <si>
    <t>7/20/22: Verve collaboration for liver disease. $25m upfront.</t>
  </si>
  <si>
    <t>7/18/22: Q2 earnings date.</t>
  </si>
  <si>
    <t>7/11/22: To acquire Viacyte for $320m.</t>
  </si>
  <si>
    <t>Type 1 Diabetes</t>
  </si>
  <si>
    <t>stem cell-derived, fully differentiated pancreatic islet cell replacement therapy</t>
  </si>
  <si>
    <t>Administration</t>
  </si>
  <si>
    <t>infusion into hepatic portal vein with immunosuppression</t>
  </si>
  <si>
    <t>Clinical Trials</t>
  </si>
  <si>
    <t>Phase I/II n=17 single-arm, open-label</t>
  </si>
  <si>
    <t>Part B n=5</t>
  </si>
  <si>
    <t>Part C n=10</t>
  </si>
  <si>
    <t>7/5/22: VX-880 clinical hold lifted.</t>
  </si>
  <si>
    <t>6/11/22: EHA Congress CTX001 data</t>
  </si>
  <si>
    <t>exa-cel, exagamglogene autotemcel</t>
  </si>
  <si>
    <t>beta-thalassemia, sickle cell disease</t>
  </si>
  <si>
    <t xml:space="preserve">    2/44 had -75% and -98% reductions in transfusion volume</t>
  </si>
  <si>
    <t xml:space="preserve">  Increases in HbF, mean Hb &gt;11g/dL by month 3</t>
  </si>
  <si>
    <t xml:space="preserve">  31/31 SCD free from VOCs from 2.0-32.3mo follow-up</t>
  </si>
  <si>
    <t xml:space="preserve">  42/44 TDT transfusion-free, 1.2-37.2mo follow-up</t>
  </si>
  <si>
    <t xml:space="preserve">    two unrelated SAEs</t>
  </si>
  <si>
    <t>CMO: Carmen Bozic</t>
  </si>
  <si>
    <t>EHA2022 update n=44 TDT, n=31 SCD #LB2367</t>
  </si>
  <si>
    <t>Phase I "CLIMB-131" long-term follow-up</t>
  </si>
  <si>
    <t>Phase I/III "CLIMB-121"</t>
  </si>
  <si>
    <t>Phase I/III "CLIMB-111"</t>
  </si>
  <si>
    <t>Phase III component fully enrolled</t>
  </si>
  <si>
    <t>Phase III "CLIMB-141" n=12 pediatric TDT</t>
  </si>
  <si>
    <t>Phase III "CLIMB-151" n=12 pediatric SCD</t>
  </si>
  <si>
    <t>6/10/22: EU CF Conference presentation for Trikafta</t>
  </si>
  <si>
    <t>83,000 CF WW</t>
  </si>
  <si>
    <t>elexacaftor, tezacaftor, ivacaftor</t>
  </si>
  <si>
    <t>6/8/22: investor conference</t>
  </si>
  <si>
    <t>inaxaplin</t>
  </si>
  <si>
    <t>6/8/22: inaxaplin FTD &amp; PRIME designation</t>
  </si>
  <si>
    <t>APOL1-mediated kidney disease, 100k patients US+EU</t>
  </si>
  <si>
    <t>Founded: 1989</t>
  </si>
  <si>
    <t>exagamglogene autotemcel</t>
  </si>
  <si>
    <t>6/6/22: VX-880 data at ADA</t>
  </si>
  <si>
    <t>Part A n=2 half dose</t>
  </si>
  <si>
    <t xml:space="preserve">  P2 35.9% time-in-range to 51.9% with -30% insulin use at day 150</t>
  </si>
  <si>
    <t xml:space="preserve">  P1 40.1% time-in-range to 99.9% with insulin independence at day 270</t>
  </si>
  <si>
    <t>Cell &amp; Genetic Therapies: Bastiano Sanna</t>
  </si>
  <si>
    <t>cell therapy+device</t>
  </si>
  <si>
    <t>6/2/22: CTX001 latebreaker accepted at EHA</t>
  </si>
  <si>
    <t>https://library.ehaweb.org/eha/#!*menu=16*browseby=9*sortby=1*trend=4016</t>
  </si>
  <si>
    <t>5/31/22: VX-880 data to be presented at ADA</t>
  </si>
  <si>
    <t>5/18/22: BOD addition</t>
  </si>
  <si>
    <t>5/17/22: Headquarters expansion</t>
  </si>
  <si>
    <t>5/17/22: Health equity donations</t>
  </si>
  <si>
    <t>5/5/22: Q1 results</t>
  </si>
  <si>
    <t>Gross Margin</t>
  </si>
  <si>
    <t>CEO: Reshma Kewalramani</t>
  </si>
  <si>
    <t>Expanded in children 6-11 years old 6/21</t>
  </si>
  <si>
    <t>Tax Rate</t>
  </si>
  <si>
    <t>Canada</t>
  </si>
  <si>
    <t>MA granted for 6-11yo</t>
  </si>
  <si>
    <t>Australia</t>
  </si>
  <si>
    <t>signed reimbursement agreement with PBS</t>
  </si>
  <si>
    <t>Phase III 2-5yo</t>
  </si>
  <si>
    <t>sNDA by YE22</t>
  </si>
  <si>
    <t>Filed sNDA for 12-24 months old</t>
  </si>
  <si>
    <t>EMA</t>
  </si>
  <si>
    <t>6-11yo label approved</t>
  </si>
  <si>
    <t>UK</t>
  </si>
  <si>
    <t>Reimbursed</t>
  </si>
  <si>
    <t>25 countries approved/reimbursed as of Q122.</t>
  </si>
  <si>
    <t>Phase III "SKYLINE 102"</t>
  </si>
  <si>
    <t>VX-121/tezacaftor/VX-561 vs. Trikafta</t>
  </si>
  <si>
    <t>non-viral ex vivo transfection</t>
  </si>
  <si>
    <t>plans submissions in late 2022</t>
  </si>
  <si>
    <t>APOL1 inhibitor</t>
  </si>
  <si>
    <t>Sulfonamides as modulators of sodium channels</t>
  </si>
  <si>
    <t>Hadida-Ruah; Sara Sabina (LaJolla, CA), Anderson; Corey (San Diego, CA), Termin; Andreas P. (Encinitas, CA), Bear; Brian Richard (Carlsbad, CA), Arumugam; Vijayalaksmi (San Marcos, CA), Krenitsky; Paul (San Diego, CA), Johnson; James Philip (San Diego, CA)</t>
  </si>
  <si>
    <t>Modulator of cystic fibrosis transmembrane conductance regulator, pharmaceutical compositions, methods of treatment, and process for making the modulator</t>
  </si>
  <si>
    <t>Alcacio; Timothy (San Diego, CA), Baek; Minson (San Diego, CA), Grootenhuis; Peter (Del Mar, CA), Hadida Ruah; Sara Sabina (La Jolla, CA), Hughes; Robert M. (San Diego, CA), Keshavarz-Shokri; Ali (San Diego, CA), McAuley-Aoki; Rachel (San Diego, CA), McCartney; Jason (Cardiff by the Sea, CA), Miller; Mark Thomas (San Diego, CA), Van Goor; Fredrick (San Diego, CA), Zhang; Beili (San Diego, CA), Anderson; Corey (San Diego, CA), Cleveland; Thomas (San Marcos, CA), Frieman; Bryan A. (La Jolla, CA), Khatuya; Haripada (San Diego, CA), Joshi; Pramod Virupax (San Diego, CA), Krenitsky; Paul John (San Diego, CA), Melillo; Vito (Escondido, CA), Pierre; Fabrice Jean Denis (La Jolla, CA), Termin; Andreas P. (Encinitas, CA), Uy; Johnny (San Diego, CA), Zhou; Jinglan (San Diego, CA), Abela; Alexander Russell (San Diego, CA), Busch; Brett Bradley (San Diego, CA), Paraselli; Prasuna (San Diego, CA)</t>
  </si>
  <si>
    <t>CFTR</t>
  </si>
  <si>
    <t>Method for treating cancer using a combination of Chk1 and ATR inhibitors</t>
  </si>
  <si>
    <t>Helleday; Thomas (Stockholm, SE), Sanjiv; Kumar (Stockholm, SE)</t>
  </si>
  <si>
    <t>ATR/Chk1 MOU</t>
  </si>
  <si>
    <t>Pharmaceutical compositions for treating cystic fibrosis</t>
  </si>
  <si>
    <t xml:space="preserve">	Chu; Cathy (Cambridge, MA), Dhamankar; Varsha (Watertown, MA), Dokou; Eleni (Cambridge, MA), Haseltine; Eric L. (Melrose, MA), Moskowitz; Samuel (Waban, MA), Robertson; Sarah (Somerville, MA), Waltz; David (Waban, MA), Chen; Weichao George (San Diego, CA)</t>
  </si>
  <si>
    <t>Formulation</t>
  </si>
  <si>
    <t>Crystalline forms and compositions of CFTR modulators</t>
  </si>
  <si>
    <t>Dhamankar; Varsha (Watertown, MA), Dinehart; Kirk Raymond (Holliston, MA), Dokou; Eleni (Newton, MA), Ferris; Lori Ann (Wilmington, MA), Gopinathan; Nishanth (Lynnfield, MA), McCarty; Katie (Watertown, MA), Metzler; Catherine (Medford, MA), Zhang; Beili (San Diego, CA), Moskowitz; Samuel (Waban, MA), Robertson; Sarah (Somerville, MA), Waltz; David (Waban, MA), Haseltine; Eric L. (Melrose, MA), Chen; Weichao George (San Diego, CA)</t>
  </si>
  <si>
    <t>Crystal</t>
  </si>
  <si>
    <t>Pharmaceutical composition and administrations thereof</t>
  </si>
  <si>
    <t>Dokou; Eleni (Cambridge, MA), Jamzad; Shahla (Belmont, MA), Caesar, Jr.; John P. (Lancaster, MA), Fawaz; Majed (Foxboro, MA), Das; Laura (Charlestown, MA), Gu; Chong-Hui (Waban, MA), Hurter; Patricia Nell (Harvard, MA), Israni; Meghna Jai (Boston, MA), Johnston; Meghan M. (Wakefield, MA), Knezic; Dragutin (Watertown, MA), Kuzmission; Andrew G. (Shrewsbury, MA), Wang; Hongren (Lexington, MA)</t>
  </si>
  <si>
    <t>Methods, compositions and kits for increasing genome editing efficiency</t>
  </si>
  <si>
    <t>Abdul-Manan; Norzehan (Boston, MA), Newsome; David A. (Boston, MA), Zwahlen; Jacque (Boston, MA)</t>
  </si>
  <si>
    <t>DNAPK inhibitor to increase CRISPR efficiency</t>
  </si>
  <si>
    <t>Method for treating cancer using a combination of DNA-damaging agents and DNA-PK inhibitors</t>
  </si>
  <si>
    <t>Boucher; Diane M. (Boston, MA), Hillier; Shawn M. (Boston, MA), Tsai; Wanjung (Boston, MA), Hare; Brian (Boston, MA), Markland; William (Boston, MA), Newsome; David A. (Boston, MA), Penney; Marina S. (Boston, MA)</t>
  </si>
  <si>
    <t>Compounds useful as inhibitors of ATR kinase and combination therapies thereof</t>
  </si>
  <si>
    <t>Pollard; John Robert (Abingdon, GB), Reaper; Philip Michael (Abingdon, GB), Asmal; Mohammed (Newton, MA)</t>
  </si>
  <si>
    <t>Modulators of ATP-binding cassette transporters</t>
  </si>
  <si>
    <t>Hadida Ruah; Sara S. (La Jolla, CA), Hamilton; Matthew M. (Hackettstown, NJ), Miller; Mark (San Diego, CA), Grootenhuis; Peter D. J. (San Diego, CA)</t>
  </si>
  <si>
    <t xml:space="preserve">	Clemens; Jeremy J. (San Diego, CA), Abela; Alexander Russell (Escondido, CA), Anderson; Corey Don (San Diego, CA), Busch; Brett B. (San Diego, CA), Chen; Weichao George (San Diego, CA), Cleveland; Thomas (San Marcos, CA), Coon; Timothy Richard (Carlsbad, CA), Frieman; Bryan (La Jolla, CA), Ghirmai; Senait G. (San Diego, CA), Grootenhuis; Peter (Del Mar, CA), Gulevich; Anton V. (San Diego, CA), Hadida Ruah; Sara Sabina (La Jolla, CA), Hsia; Clara Kuang-Ju (San Diego, CA), Kang; Ping (San Diego, CA), Khatuya; Haripada (San Diego, CA), McCartney; Jason (Cardiff by the Sea, CA), Miller; Mark Thomas (San Diego, CA), Paraselli; Prasuna (San Diego, CA), Pierre; Fabrice (La Jolla, CA), Swift; Sara E. (San Diego, CA), Termin; Andreas (Encinitas, CA), Uy; Johnny (San Diego, CA), Vogel; Carl V. (Carlsbad, CA), Zhou; Jinglan (San Diego, CA)</t>
  </si>
  <si>
    <t>Modulators of cystic fibrosis transmembrane conductance regulator, pharmaceutical compositions, methods of treatment, and process for making the modulators</t>
  </si>
  <si>
    <t>Pteridinone compounds and uses thereof</t>
  </si>
  <si>
    <t xml:space="preserve">	Lauffer; David J. (Stow, MA), Bemis; Guy (Boston, MA), Boyd; Michael (Boston, MA), Deininger; David (Boston, MA), Deng; Hongbo (Southborough, MA), Dorsch; Warren (Boston, MA), Gu; Wenxin (Concord, MA), Hoover; Russell R. (Harvard, MA), Johnson, Jr.; Mac Arthur (Derry, NH), Ledeboer; Mark Willem (Boston, MA), Ledford; Brian (Boston, MA), Maltais; Francois (Boston, MA), Penney; Marina (Acton, MA), Takemoto; Darin (Belmont, MA), Waal; Nathan D. (Cambridge, MA), Wang; Tiansheng (Concord, MA), Li; Pan (Lexington, MA)</t>
  </si>
  <si>
    <t>WFS1 inhibitor</t>
  </si>
  <si>
    <t>Pharmaceutical compositions of 3-(6-(1-(2,2-difluorobenzo[d][1,3]dioxol-5-yl) cyclopropanecarboxamido)-3-methylpyridin-2-yl) benzoic acid and administration thereof</t>
  </si>
  <si>
    <t>Verwijs; Marinus Jacobus (Framingham, MA), Alargova; Rossitza Gueorguieva (Brighton, MA), Kaushik; Ritu Rohit (Long Island City, NY), Kadiyala; Irina Nikolaevna (Newton, MA), Young; Christopher (Waltham, MA)</t>
  </si>
  <si>
    <t>PE of Phase III portion is 2 year eGFR slope</t>
  </si>
  <si>
    <t>4/21/22: Q1 results day.</t>
  </si>
  <si>
    <t>4/20/22: Health Canada Trikafta approval for 6-11yo</t>
  </si>
  <si>
    <t>Dosing</t>
  </si>
  <si>
    <t>Placebo</t>
  </si>
  <si>
    <t>SPID48 change from baseline</t>
  </si>
  <si>
    <t>100mg first dose/50mg q12h</t>
  </si>
  <si>
    <t>Loading dose with q12h thereafter</t>
  </si>
  <si>
    <t>60mg first dose/30mg q12h</t>
  </si>
  <si>
    <t>20mg first dose/10mg q12h</t>
  </si>
  <si>
    <t>hydrocodone</t>
  </si>
  <si>
    <t>p=0.0251</t>
  </si>
  <si>
    <t>p=NS</t>
  </si>
  <si>
    <t>Phase II n=303 dose-ranging abdominoplasty</t>
  </si>
  <si>
    <t>Phase II n=274 dose-ranging bunionectomy</t>
  </si>
  <si>
    <t>p=0.0097</t>
  </si>
  <si>
    <t>3/31/22: VX-548 Phase II data</t>
  </si>
  <si>
    <t>3/26/22: Australia Trikafta reimbursement agreement</t>
  </si>
  <si>
    <t>3/22/22: VX-147 Phase II/III initiation</t>
  </si>
  <si>
    <t>3/1/22: investor conference</t>
  </si>
  <si>
    <t>1/26/22: Q421 results</t>
  </si>
  <si>
    <t>VX-150</t>
  </si>
  <si>
    <t>Discontinued?</t>
  </si>
  <si>
    <t>Assets</t>
  </si>
  <si>
    <t>AR</t>
  </si>
  <si>
    <t>Inventory</t>
  </si>
  <si>
    <t>Prepaids</t>
  </si>
  <si>
    <t>PP&amp;E</t>
  </si>
  <si>
    <t>Goodwill</t>
  </si>
  <si>
    <t>Leases</t>
  </si>
  <si>
    <t>Other</t>
  </si>
  <si>
    <t>AP</t>
  </si>
  <si>
    <t>AE</t>
  </si>
  <si>
    <t>OCL</t>
  </si>
  <si>
    <t>CoCo</t>
  </si>
  <si>
    <t>LTL</t>
  </si>
  <si>
    <t>L+SE</t>
  </si>
  <si>
    <t>SE</t>
  </si>
  <si>
    <t>Model NI</t>
  </si>
  <si>
    <t>Reported NI</t>
  </si>
  <si>
    <t>SBC</t>
  </si>
  <si>
    <t>Depreciation</t>
  </si>
  <si>
    <t>Equity</t>
  </si>
  <si>
    <t>NonCash</t>
  </si>
  <si>
    <t>WC</t>
  </si>
  <si>
    <t>CapEx</t>
  </si>
  <si>
    <t>Investments</t>
  </si>
  <si>
    <t>CFFI</t>
  </si>
  <si>
    <t>CFFO</t>
  </si>
  <si>
    <t>CIC</t>
  </si>
  <si>
    <t>FX</t>
  </si>
  <si>
    <t>CFFF</t>
  </si>
  <si>
    <t>ESOP issuance</t>
  </si>
  <si>
    <t>ESOP tax</t>
  </si>
  <si>
    <t>SG&amp;A %</t>
  </si>
  <si>
    <t>ROIC</t>
  </si>
  <si>
    <t>Discount</t>
  </si>
  <si>
    <t>NPV</t>
  </si>
  <si>
    <t>Terminal</t>
  </si>
  <si>
    <t>Share</t>
  </si>
  <si>
    <t>Q123</t>
  </si>
  <si>
    <t>Q223</t>
  </si>
  <si>
    <t>Q323</t>
  </si>
  <si>
    <t>Q423</t>
  </si>
  <si>
    <t>Revenue y/y</t>
  </si>
  <si>
    <t>VX-634</t>
  </si>
  <si>
    <t>AATD</t>
  </si>
  <si>
    <t>IND clearance PR 10/11/2022</t>
  </si>
  <si>
    <t>VX-864</t>
  </si>
  <si>
    <t>CSO: David Altshuler</t>
  </si>
  <si>
    <t>Alpha-1 antitrypsin deficiency. SERPINA1 gene mutations.</t>
  </si>
  <si>
    <t>10/11/22: VX-634 IND approved.</t>
  </si>
  <si>
    <t>Q119</t>
  </si>
  <si>
    <t>Q219</t>
  </si>
  <si>
    <t>Q319</t>
  </si>
  <si>
    <t>Q419</t>
  </si>
  <si>
    <t>Q418</t>
  </si>
  <si>
    <t>Q318</t>
  </si>
  <si>
    <t>VX-522</t>
  </si>
  <si>
    <t>vanzacaftor/tezacaftor/deutivacaftor</t>
  </si>
  <si>
    <t>Phase III bunionectomy or abdominoplasty n=2000</t>
  </si>
  <si>
    <t>Q124</t>
  </si>
  <si>
    <t>Q224</t>
  </si>
  <si>
    <t>Q324</t>
  </si>
  <si>
    <t>Q424</t>
  </si>
  <si>
    <t>Other CF</t>
  </si>
  <si>
    <t>suzetrigine</t>
  </si>
  <si>
    <t>Alpine acquisition.</t>
  </si>
  <si>
    <t>Casgevy, fka CTX001</t>
  </si>
  <si>
    <t>Casgevy</t>
  </si>
  <si>
    <t>Phase III RIDGELINE</t>
  </si>
  <si>
    <t>nebulized</t>
  </si>
  <si>
    <t>Nebulized</t>
  </si>
  <si>
    <t>Phase I/II</t>
  </si>
  <si>
    <t>MAD portion - results late 2024-early 2025</t>
  </si>
  <si>
    <t>VX-993</t>
  </si>
  <si>
    <t>Phase III DPN - initiate in 2H24</t>
  </si>
  <si>
    <t>Phase II LSR (painful lumbosacral radiculopathy)</t>
  </si>
  <si>
    <t>interim analysis at 1 year - advanced into Phase III portion after IDMC unblinded review</t>
  </si>
  <si>
    <t>Study was halted -- why?</t>
  </si>
  <si>
    <t>Dosing has resumed</t>
  </si>
  <si>
    <t>VX-264</t>
  </si>
  <si>
    <t>DM1</t>
  </si>
  <si>
    <t>VX-670</t>
  </si>
  <si>
    <t>Entrada</t>
  </si>
  <si>
    <t>ADPKD</t>
  </si>
  <si>
    <t>VX-407</t>
  </si>
  <si>
    <t>Phase III moderate-to-severe acute pain</t>
  </si>
  <si>
    <t>NPRS time-weighted sum 48 hours primary endpoint</t>
  </si>
  <si>
    <t>VX-548 vs. placebo: 48.4, p&lt;0.0001 and 29.3 in study 2?, p=0.0002.</t>
  </si>
  <si>
    <t>Safety</t>
  </si>
  <si>
    <t>80k opioid deaths in the US in 2023</t>
  </si>
  <si>
    <t>Buybacks</t>
  </si>
  <si>
    <t>Employees</t>
  </si>
  <si>
    <t>476</t>
  </si>
  <si>
    <t>326</t>
  </si>
  <si>
    <t>123</t>
  </si>
  <si>
    <t>ViaCyte</t>
  </si>
  <si>
    <t>8/7/24: Casgevy reimbursement for TDBT in England.</t>
  </si>
  <si>
    <t>Reimbursement</t>
  </si>
  <si>
    <t>England TDBT approved 8/7/24.</t>
  </si>
  <si>
    <t>MHRA approval 11/15/23.</t>
  </si>
  <si>
    <t>International: Ludovic Fenaux</t>
  </si>
  <si>
    <t>Q125</t>
  </si>
  <si>
    <t>Q225</t>
  </si>
  <si>
    <t>Q325</t>
  </si>
  <si>
    <t>Q425</t>
  </si>
  <si>
    <t>Journavx</t>
  </si>
  <si>
    <t>Journavx, fka VX-548</t>
  </si>
  <si>
    <t>FDA approval 12/20/2024</t>
  </si>
  <si>
    <t>Alyftrek</t>
  </si>
  <si>
    <t>Phase III "SKYLINE 103" n=597 F508del/F508del, F/G or F/RF - NCT05076149</t>
  </si>
  <si>
    <t>Alyftrek; fka VX-121, fka VX561</t>
  </si>
  <si>
    <t>vanzacaftor, deutivacaftor; Alyftrek (deutivacaftor, tezacaftor, vanzacaftor)</t>
  </si>
  <si>
    <t>APRIL/BRAF</t>
  </si>
  <si>
    <t>Alpine $4.9B acquisition</t>
  </si>
  <si>
    <t>Alyfrek</t>
  </si>
  <si>
    <t>7495103 expires 11/20/2027</t>
  </si>
  <si>
    <t>ivacaftor expires 2027</t>
  </si>
  <si>
    <t>2/12/2018 FDA</t>
  </si>
  <si>
    <t>ivacaftor, tezacaftor</t>
  </si>
  <si>
    <t>Tezacaftor</t>
  </si>
  <si>
    <t>7645789 COM for tezacaftor expires 5/1/2027</t>
  </si>
  <si>
    <t>tezacaftor expires 2027</t>
  </si>
  <si>
    <t>expires 2027</t>
  </si>
  <si>
    <t>Elexacaftor</t>
  </si>
  <si>
    <t>expires 2037</t>
  </si>
  <si>
    <t>VX-828</t>
  </si>
  <si>
    <t>CF</t>
  </si>
  <si>
    <t>VX-973</t>
  </si>
  <si>
    <t>zimislecel</t>
  </si>
  <si>
    <t>povetacicept</t>
  </si>
  <si>
    <t>ALPN-303</t>
  </si>
  <si>
    <t>IgAN, pMN, LN, AAV</t>
  </si>
  <si>
    <t>UPCR -66% at 48 weeks</t>
  </si>
  <si>
    <t>interim analysis 2026</t>
  </si>
  <si>
    <t>Phase II/III "AMPLITUDE" n=400 proteinuric kidney disease with two APOL1 mutations</t>
  </si>
  <si>
    <t>IND-enabling, IND in 2023??</t>
  </si>
  <si>
    <t>Pricing</t>
  </si>
  <si>
    <t>$500/month</t>
  </si>
  <si>
    <t>Q126</t>
  </si>
  <si>
    <t>Q226</t>
  </si>
  <si>
    <t>Q326</t>
  </si>
  <si>
    <t>Q426</t>
  </si>
  <si>
    <t>III enrollment complete</t>
  </si>
  <si>
    <t>IGaN, MN</t>
  </si>
  <si>
    <t>myeloablative conditioning followed by autologous SCT of ex-vivo treated cells</t>
  </si>
  <si>
    <t>I/II</t>
  </si>
  <si>
    <t>Phase III DPN</t>
  </si>
  <si>
    <t>two Phase 3 trials, data in 2027</t>
  </si>
  <si>
    <t>Manufacturing issue?</t>
  </si>
  <si>
    <t>II/III 48 week data YE26</t>
  </si>
  <si>
    <t>II single arm study initiated</t>
  </si>
  <si>
    <t>oligo+peptide</t>
  </si>
  <si>
    <t>I/II data in 1H26</t>
  </si>
  <si>
    <t>also reported -64% in IGaN</t>
  </si>
  <si>
    <t>UPCR -82% at 48 weeks for MN</t>
  </si>
  <si>
    <t>Phase III "RAINER" IGaN</t>
  </si>
  <si>
    <t>80mg vs. placebo, enrollment complete</t>
  </si>
  <si>
    <t>11/8/25: RAINER-3 update.</t>
  </si>
  <si>
    <t>Phase II "RUBY-3" n=21 IGaN, n=10 MN</t>
  </si>
  <si>
    <t>Phase II/III "OLYMPUS" MN</t>
  </si>
  <si>
    <t>corrector 3.0</t>
  </si>
  <si>
    <t>2H26: VX-828 results</t>
  </si>
  <si>
    <t>VX-581</t>
  </si>
  <si>
    <t>VX-272</t>
  </si>
  <si>
    <t>abandoned</t>
  </si>
  <si>
    <t>2H26: complete enrollment in DPN Phase III studies</t>
  </si>
  <si>
    <t>Nav1.7</t>
  </si>
  <si>
    <t>Early 2027: AMPLITUDE interim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</si>
</sst>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4" fontId="0" fillId="0" borderId="0" xfId="0" applyNumberFormat="1"/>
    <xf numFmtId="0" fontId="2" fillId="0" borderId="4" xfId="1" applyBorder="1"/>
    <xf numFmtId="0" fontId="3" fillId="0" borderId="0" xfId="0" applyFont="1"/>
    <xf numFmtId="0" fontId="4" fillId="0" borderId="0" xfId="0" applyFont="1"/>
    <xf numFmtId="9" fontId="0" fillId="0" borderId="0" xfId="0" applyNumberFormat="1" applyAlignment="1">
      <alignment horizontal="right"/>
    </xf>
    <xf numFmtId="0" fontId="5" fillId="0" borderId="4" xfId="1" applyFont="1" applyBorder="1"/>
    <xf numFmtId="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6" xfId="1" applyBorder="1"/>
    <xf numFmtId="0" fontId="6" fillId="0" borderId="4" xfId="1" applyFont="1" applyBorder="1"/>
    <xf numFmtId="3" fontId="0" fillId="0" borderId="0" xfId="0" quotePrefix="1" applyNumberFormat="1" applyAlignment="1">
      <alignment horizontal="right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A487D97-2DDB-40D2-9372-F4A400794B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83548</xdr:colOff>
      <xdr:row>0</xdr:row>
      <xdr:rowOff>0</xdr:rowOff>
    </xdr:from>
    <xdr:to>
      <xdr:col>33</xdr:col>
      <xdr:colOff>83548</xdr:colOff>
      <xdr:row>88</xdr:row>
      <xdr:rowOff>140368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B9F702-024A-69B4-71E0-99C142A871D1}"/>
            </a:ext>
          </a:extLst>
        </xdr:cNvPr>
        <xdr:cNvCxnSpPr/>
      </xdr:nvCxnSpPr>
      <xdr:spPr>
        <a:xfrm>
          <a:off x="20559577" y="0"/>
          <a:ext cx="0" cy="142047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84866</xdr:colOff>
      <xdr:row>0</xdr:row>
      <xdr:rowOff>79399</xdr:rowOff>
    </xdr:from>
    <xdr:to>
      <xdr:col>49</xdr:col>
      <xdr:colOff>84866</xdr:colOff>
      <xdr:row>57</xdr:row>
      <xdr:rowOff>54452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15D485-C164-4435-B335-635A75EE85AD}"/>
            </a:ext>
          </a:extLst>
        </xdr:cNvPr>
        <xdr:cNvCxnSpPr/>
      </xdr:nvCxnSpPr>
      <xdr:spPr>
        <a:xfrm>
          <a:off x="30256437" y="79399"/>
          <a:ext cx="0" cy="90900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55756</xdr:colOff>
      <xdr:row>2</xdr:row>
      <xdr:rowOff>27878</xdr:rowOff>
    </xdr:from>
    <xdr:to>
      <xdr:col>11</xdr:col>
      <xdr:colOff>551056</xdr:colOff>
      <xdr:row>19</xdr:row>
      <xdr:rowOff>132653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00A97-C9B6-1C67-3BC2-E17B34B41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890" y="353122"/>
          <a:ext cx="2855642" cy="286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346364</xdr:colOff>
      <xdr:row>2</xdr:row>
      <xdr:rowOff>103910</xdr:rowOff>
    </xdr:from>
    <xdr:to>
      <xdr:col>11</xdr:col>
      <xdr:colOff>252846</xdr:colOff>
      <xdr:row>20</xdr:row>
      <xdr:rowOff>48491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E5402-8F6D-4FF2-FD63-DE75C0D6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3103" y="424296"/>
          <a:ext cx="2850573" cy="2828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2</xdr:row>
      <xdr:rowOff>89557</xdr:rowOff>
    </xdr:from>
    <xdr:to>
      <xdr:col>14</xdr:col>
      <xdr:colOff>385978</xdr:colOff>
      <xdr:row>14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766E0-1608-88C4-7544-D8DAFEE9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413407"/>
          <a:ext cx="3281578" cy="1986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504825</xdr:colOff>
      <xdr:row>16</xdr:row>
      <xdr:rowOff>9525</xdr:rowOff>
    </xdr:from>
    <xdr:to>
      <xdr:col>14</xdr:col>
      <xdr:colOff>314325</xdr:colOff>
      <xdr:row>33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D0ACF-84D1-38F1-A6FE-CFB3F027B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600325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608093</xdr:colOff>
      <xdr:row>5</xdr:row>
      <xdr:rowOff>14653</xdr:rowOff>
    </xdr:from>
    <xdr:to>
      <xdr:col>15</xdr:col>
      <xdr:colOff>571497</xdr:colOff>
      <xdr:row>24</xdr:row>
      <xdr:rowOff>116498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2BE4B835-17E9-AA59-F3FD-C7002BFE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497" y="820615"/>
          <a:ext cx="4828481" cy="3164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69396</xdr:colOff>
      <xdr:row>2</xdr:row>
      <xdr:rowOff>126547</xdr:rowOff>
    </xdr:from>
    <xdr:to>
      <xdr:col>15</xdr:col>
      <xdr:colOff>348343</xdr:colOff>
      <xdr:row>15</xdr:row>
      <xdr:rowOff>145597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C147-C2F0-EB15-8AD2-BF04A110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453118"/>
          <a:ext cx="2058761" cy="214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B8BFC03-2370-4716-A729-D8FACAD01755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" dT="2025-05-09T02:31:46.83" personId="{FB8BFC03-2370-4716-A729-D8FACAD01755}" id="{316D5915-EBB2-4710-A5B4-E7BA638A6A3F}">
    <text>Available in early March</text>
  </threadedComment>
  <threadedComment ref="AE7" dT="2025-11-10T18:34:21.09" personId="{FB8BFC03-2370-4716-A729-D8FACAD01755}" id="{B1FDD252-23E6-4597-81CB-94BE01382710}">
    <text>39 transfusions to date, 10 in Q3</text>
  </threadedComment>
  <threadedComment ref="AT15" dT="2022-07-21T11:22:03.36" personId="{FB8BFC03-2370-4716-A729-D8FACAD01755}" id="{40D7F6D4-94FB-41AD-9B66-6EAA39E6AF95}">
    <text>Q122: reiterates 8.4-8.6B guidance
Q222: increases to 8.6-8.8B
Q322: increases full year product guidance to 8.8-8.9B</text>
  </threadedComment>
  <threadedComment ref="AV15" dT="2024-05-23T16:04:58.44" personId="{FB8BFC03-2370-4716-A729-D8FACAD01755}" id="{1C045D63-D9FC-44DC-A757-A0BD3F5361CF}">
    <text>Q124: Product 10.55-10.75, reiterated from last quarter
Q423: Product 10.55-10.75</text>
  </threadedComment>
  <threadedComment ref="AW15" dT="2025-05-09T00:54:14.43" personId="{FB8BFC03-2370-4716-A729-D8FACAD01755}" id="{A817ED1C-3C73-4078-9612-0D873ED4026B}">
    <text>Q325: raised to 11.9-12.0B
Q125: raised to 11.85-12.0B
Q424: 11.75-12.0B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library.ehaweb.org/eha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29E-6F91-4168-8EDB-015B16A97FEA}">
  <dimension ref="A1:E2"/>
  <sheetViews>
    <sheetView workbookViewId="0">
      <selection activeCell="C2" sqref="C2"/>
    </sheetView>
  </sheetViews>
  <sheetFormatPr defaultRowHeight="12.5" x14ac:dyDescent="0.25"/>
  <sheetData>
    <row r="1" spans="1:5" x14ac:dyDescent="0.25">
      <c r="A1" t="s">
        <v>20</v>
      </c>
    </row>
    <row r="2" spans="1:5" x14ac:dyDescent="0.25">
      <c r="B2" t="s">
        <v>305</v>
      </c>
      <c r="C2" t="s">
        <v>375</v>
      </c>
      <c r="D2" t="s">
        <v>394</v>
      </c>
      <c r="E2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4A94-C7D9-4203-913D-E82693A2B152}">
  <dimension ref="B2:N57"/>
  <sheetViews>
    <sheetView zoomScale="115" zoomScaleNormal="115" workbookViewId="0"/>
  </sheetViews>
  <sheetFormatPr defaultColWidth="8.81640625" defaultRowHeight="12.5" x14ac:dyDescent="0.25"/>
  <cols>
    <col min="1" max="1" width="3.1796875" customWidth="1"/>
    <col min="2" max="2" width="11.26953125" customWidth="1"/>
    <col min="3" max="3" width="31.1796875" customWidth="1"/>
    <col min="4" max="4" width="22.453125" customWidth="1"/>
    <col min="5" max="5" width="16.453125" customWidth="1"/>
    <col min="6" max="6" width="11" customWidth="1"/>
    <col min="8" max="8" width="11.453125" customWidth="1"/>
    <col min="9" max="9" width="4.1796875" customWidth="1"/>
    <col min="11" max="11" width="4.453125" customWidth="1"/>
  </cols>
  <sheetData>
    <row r="2" spans="2:14" x14ac:dyDescent="0.25"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6" t="s">
        <v>18</v>
      </c>
      <c r="L2" t="s">
        <v>0</v>
      </c>
      <c r="M2" s="1">
        <v>528</v>
      </c>
    </row>
    <row r="3" spans="2:14" x14ac:dyDescent="0.25">
      <c r="B3" s="16" t="s">
        <v>21</v>
      </c>
      <c r="C3" t="s">
        <v>115</v>
      </c>
      <c r="D3" t="s">
        <v>15</v>
      </c>
      <c r="F3" s="15">
        <v>43759</v>
      </c>
      <c r="G3" t="s">
        <v>373</v>
      </c>
      <c r="H3" s="8" t="s">
        <v>38</v>
      </c>
      <c r="L3" t="s">
        <v>1</v>
      </c>
      <c r="M3" s="2">
        <v>253.80500000000001</v>
      </c>
      <c r="N3" s="3" t="s">
        <v>387</v>
      </c>
    </row>
    <row r="4" spans="2:14" x14ac:dyDescent="0.25">
      <c r="B4" s="16" t="s">
        <v>22</v>
      </c>
      <c r="C4" t="s">
        <v>114</v>
      </c>
      <c r="D4" t="s">
        <v>15</v>
      </c>
      <c r="F4" s="15">
        <v>43446</v>
      </c>
      <c r="G4" t="s">
        <v>371</v>
      </c>
      <c r="H4" s="8" t="s">
        <v>38</v>
      </c>
      <c r="L4" t="s">
        <v>2</v>
      </c>
      <c r="M4" s="2">
        <f>+M3*M2</f>
        <v>134009.04</v>
      </c>
      <c r="N4" s="3"/>
    </row>
    <row r="5" spans="2:14" x14ac:dyDescent="0.25">
      <c r="B5" s="16" t="s">
        <v>23</v>
      </c>
      <c r="C5" t="s">
        <v>110</v>
      </c>
      <c r="D5" t="s">
        <v>15</v>
      </c>
      <c r="E5" t="s">
        <v>109</v>
      </c>
      <c r="H5" s="8" t="s">
        <v>38</v>
      </c>
      <c r="L5" t="s">
        <v>3</v>
      </c>
      <c r="M5" s="2">
        <v>13000</v>
      </c>
      <c r="N5" s="3" t="s">
        <v>387</v>
      </c>
    </row>
    <row r="6" spans="2:14" x14ac:dyDescent="0.25">
      <c r="B6" s="16" t="s">
        <v>13</v>
      </c>
      <c r="C6" t="s">
        <v>14</v>
      </c>
      <c r="D6" t="s">
        <v>16</v>
      </c>
      <c r="E6" t="s">
        <v>17</v>
      </c>
      <c r="F6" s="15">
        <v>40939</v>
      </c>
      <c r="G6" t="s">
        <v>371</v>
      </c>
      <c r="H6" s="8" t="s">
        <v>19</v>
      </c>
      <c r="L6" t="s">
        <v>4</v>
      </c>
      <c r="M6" s="2">
        <v>0</v>
      </c>
      <c r="N6" s="3" t="s">
        <v>387</v>
      </c>
    </row>
    <row r="7" spans="2:14" x14ac:dyDescent="0.25">
      <c r="B7" s="16" t="s">
        <v>316</v>
      </c>
      <c r="C7" t="s">
        <v>160</v>
      </c>
      <c r="D7" t="s">
        <v>41</v>
      </c>
      <c r="E7" t="s">
        <v>46</v>
      </c>
      <c r="H7" s="8" t="s">
        <v>37</v>
      </c>
      <c r="L7" t="s">
        <v>5</v>
      </c>
      <c r="M7" s="2">
        <f>+M4-M5+M6</f>
        <v>121009.04000000001</v>
      </c>
      <c r="N7" s="3"/>
    </row>
    <row r="8" spans="2:14" x14ac:dyDescent="0.25">
      <c r="B8" s="16" t="s">
        <v>357</v>
      </c>
      <c r="C8" t="s">
        <v>306</v>
      </c>
      <c r="D8" t="s">
        <v>15</v>
      </c>
      <c r="F8" s="15">
        <v>45646</v>
      </c>
      <c r="H8" s="8"/>
    </row>
    <row r="9" spans="2:14" ht="13" x14ac:dyDescent="0.3">
      <c r="B9" s="28" t="s">
        <v>354</v>
      </c>
      <c r="C9" t="s">
        <v>313</v>
      </c>
      <c r="D9" s="26" t="s">
        <v>43</v>
      </c>
      <c r="E9" s="26" t="s">
        <v>44</v>
      </c>
      <c r="F9" s="26"/>
      <c r="H9" s="8"/>
    </row>
    <row r="10" spans="2:14" x14ac:dyDescent="0.25">
      <c r="B10" s="4"/>
      <c r="C10" s="5"/>
      <c r="D10" s="5"/>
      <c r="E10" s="5"/>
      <c r="F10" s="5" t="s">
        <v>36</v>
      </c>
      <c r="G10" s="5"/>
      <c r="H10" s="6"/>
    </row>
    <row r="11" spans="2:14" x14ac:dyDescent="0.25">
      <c r="B11" s="16" t="s">
        <v>39</v>
      </c>
      <c r="C11" t="s">
        <v>156</v>
      </c>
      <c r="D11" t="s">
        <v>40</v>
      </c>
      <c r="F11" t="s">
        <v>398</v>
      </c>
      <c r="H11" s="8"/>
      <c r="J11" t="s">
        <v>159</v>
      </c>
    </row>
    <row r="12" spans="2:14" x14ac:dyDescent="0.25">
      <c r="B12" s="16" t="s">
        <v>379</v>
      </c>
      <c r="C12" t="s">
        <v>378</v>
      </c>
      <c r="D12" t="s">
        <v>392</v>
      </c>
      <c r="E12" t="s">
        <v>361</v>
      </c>
      <c r="F12" t="s">
        <v>391</v>
      </c>
      <c r="H12" s="8"/>
      <c r="J12" t="s">
        <v>144</v>
      </c>
    </row>
    <row r="13" spans="2:14" x14ac:dyDescent="0.25">
      <c r="B13" s="16" t="s">
        <v>47</v>
      </c>
      <c r="C13" t="s">
        <v>377</v>
      </c>
      <c r="D13" t="s">
        <v>48</v>
      </c>
      <c r="E13" t="s">
        <v>49</v>
      </c>
      <c r="F13" t="s">
        <v>51</v>
      </c>
      <c r="H13" s="8"/>
      <c r="J13" t="s">
        <v>296</v>
      </c>
    </row>
    <row r="14" spans="2:14" x14ac:dyDescent="0.25">
      <c r="B14" s="7" t="s">
        <v>305</v>
      </c>
      <c r="C14" t="s">
        <v>318</v>
      </c>
      <c r="D14" t="s">
        <v>15</v>
      </c>
      <c r="E14" t="s">
        <v>45</v>
      </c>
      <c r="F14" t="s">
        <v>394</v>
      </c>
      <c r="H14" s="8" t="s">
        <v>42</v>
      </c>
      <c r="J14" t="s">
        <v>165</v>
      </c>
    </row>
    <row r="15" spans="2:14" x14ac:dyDescent="0.25">
      <c r="B15" s="7" t="s">
        <v>322</v>
      </c>
      <c r="D15" t="s">
        <v>43</v>
      </c>
      <c r="E15" t="s">
        <v>44</v>
      </c>
      <c r="F15" t="s">
        <v>102</v>
      </c>
      <c r="H15" s="8"/>
      <c r="J15" t="s">
        <v>175</v>
      </c>
    </row>
    <row r="16" spans="2:14" x14ac:dyDescent="0.25">
      <c r="B16" s="7" t="s">
        <v>376</v>
      </c>
      <c r="D16" t="s">
        <v>43</v>
      </c>
      <c r="E16" t="s">
        <v>44</v>
      </c>
      <c r="F16" t="s">
        <v>102</v>
      </c>
      <c r="H16" s="8"/>
      <c r="J16" t="s">
        <v>349</v>
      </c>
    </row>
    <row r="17" spans="2:8" x14ac:dyDescent="0.25">
      <c r="B17" s="7" t="s">
        <v>328</v>
      </c>
      <c r="D17" t="s">
        <v>48</v>
      </c>
      <c r="E17" t="s">
        <v>166</v>
      </c>
      <c r="F17" t="s">
        <v>51</v>
      </c>
      <c r="H17" s="8"/>
    </row>
    <row r="18" spans="2:8" x14ac:dyDescent="0.25">
      <c r="B18" s="7" t="s">
        <v>295</v>
      </c>
      <c r="D18" t="s">
        <v>293</v>
      </c>
      <c r="E18" t="s">
        <v>50</v>
      </c>
      <c r="F18" t="s">
        <v>102</v>
      </c>
      <c r="H18" s="8"/>
    </row>
    <row r="19" spans="2:8" x14ac:dyDescent="0.25">
      <c r="B19" s="7" t="s">
        <v>330</v>
      </c>
      <c r="D19" t="s">
        <v>329</v>
      </c>
      <c r="E19" t="s">
        <v>400</v>
      </c>
      <c r="F19" t="s">
        <v>401</v>
      </c>
      <c r="H19" s="8" t="s">
        <v>331</v>
      </c>
    </row>
    <row r="20" spans="2:8" x14ac:dyDescent="0.25">
      <c r="B20" s="7" t="s">
        <v>374</v>
      </c>
      <c r="D20" t="s">
        <v>375</v>
      </c>
      <c r="E20" t="s">
        <v>409</v>
      </c>
      <c r="F20" t="s">
        <v>102</v>
      </c>
      <c r="H20" s="8"/>
    </row>
    <row r="21" spans="2:8" x14ac:dyDescent="0.25">
      <c r="B21" s="7" t="s">
        <v>333</v>
      </c>
      <c r="D21" t="s">
        <v>332</v>
      </c>
      <c r="F21" t="s">
        <v>399</v>
      </c>
      <c r="H21" s="8"/>
    </row>
    <row r="22" spans="2:8" x14ac:dyDescent="0.25">
      <c r="B22" s="7" t="s">
        <v>411</v>
      </c>
      <c r="D22" t="s">
        <v>375</v>
      </c>
      <c r="E22" t="s">
        <v>409</v>
      </c>
      <c r="H22" s="8"/>
    </row>
    <row r="23" spans="2:8" x14ac:dyDescent="0.25">
      <c r="B23" s="7" t="s">
        <v>412</v>
      </c>
      <c r="D23" t="s">
        <v>375</v>
      </c>
      <c r="E23" t="s">
        <v>409</v>
      </c>
      <c r="H23" s="8"/>
    </row>
    <row r="24" spans="2:8" x14ac:dyDescent="0.25">
      <c r="B24" s="7"/>
      <c r="D24" t="s">
        <v>52</v>
      </c>
      <c r="E24" t="s">
        <v>46</v>
      </c>
      <c r="F24" t="s">
        <v>384</v>
      </c>
      <c r="H24" s="8"/>
    </row>
    <row r="25" spans="2:8" x14ac:dyDescent="0.25">
      <c r="B25" s="7"/>
      <c r="D25" t="s">
        <v>43</v>
      </c>
      <c r="E25" t="s">
        <v>415</v>
      </c>
      <c r="H25" s="8"/>
    </row>
    <row r="26" spans="2:8" x14ac:dyDescent="0.25">
      <c r="B26" s="7"/>
      <c r="D26" t="s">
        <v>123</v>
      </c>
      <c r="E26" t="s">
        <v>46</v>
      </c>
      <c r="H26" s="8" t="s">
        <v>122</v>
      </c>
    </row>
    <row r="27" spans="2:8" x14ac:dyDescent="0.25">
      <c r="B27" s="27" t="s">
        <v>292</v>
      </c>
      <c r="C27" s="9"/>
      <c r="D27" s="9" t="s">
        <v>293</v>
      </c>
      <c r="E27" s="9" t="s">
        <v>50</v>
      </c>
      <c r="F27" s="9" t="s">
        <v>51</v>
      </c>
      <c r="G27" s="9"/>
      <c r="H27" s="10"/>
    </row>
    <row r="29" spans="2:8" ht="13" x14ac:dyDescent="0.3">
      <c r="B29" t="s">
        <v>314</v>
      </c>
      <c r="E29" s="17" t="s">
        <v>345</v>
      </c>
    </row>
    <row r="30" spans="2:8" ht="13" x14ac:dyDescent="0.3">
      <c r="E30" s="17" t="s">
        <v>298</v>
      </c>
    </row>
    <row r="31" spans="2:8" ht="13" x14ac:dyDescent="0.3">
      <c r="B31" t="s">
        <v>410</v>
      </c>
      <c r="E31" s="17" t="s">
        <v>124</v>
      </c>
    </row>
    <row r="32" spans="2:8" ht="13" x14ac:dyDescent="0.3">
      <c r="B32" t="s">
        <v>414</v>
      </c>
      <c r="E32" s="17" t="s">
        <v>125</v>
      </c>
    </row>
    <row r="33" spans="2:5" ht="13" x14ac:dyDescent="0.3">
      <c r="B33" t="s">
        <v>416</v>
      </c>
      <c r="E33" s="17" t="s">
        <v>126</v>
      </c>
    </row>
    <row r="34" spans="2:5" ht="13" x14ac:dyDescent="0.3">
      <c r="E34" s="17" t="s">
        <v>135</v>
      </c>
    </row>
    <row r="35" spans="2:5" ht="13" x14ac:dyDescent="0.3">
      <c r="E35" s="17" t="s">
        <v>136</v>
      </c>
    </row>
    <row r="36" spans="2:5" ht="13" x14ac:dyDescent="0.3">
      <c r="E36" s="17" t="s">
        <v>152</v>
      </c>
    </row>
    <row r="37" spans="2:5" ht="13" x14ac:dyDescent="0.3">
      <c r="E37" s="17" t="s">
        <v>155</v>
      </c>
    </row>
    <row r="38" spans="2:5" ht="13" x14ac:dyDescent="0.3">
      <c r="E38" s="17" t="s">
        <v>157</v>
      </c>
    </row>
    <row r="39" spans="2:5" ht="13" x14ac:dyDescent="0.3">
      <c r="E39" s="17" t="s">
        <v>161</v>
      </c>
    </row>
    <row r="40" spans="2:5" ht="13" x14ac:dyDescent="0.3">
      <c r="E40" s="17" t="s">
        <v>167</v>
      </c>
    </row>
    <row r="41" spans="2:5" ht="13" x14ac:dyDescent="0.3">
      <c r="E41" s="17" t="s">
        <v>169</v>
      </c>
    </row>
    <row r="42" spans="2:5" ht="13" x14ac:dyDescent="0.3">
      <c r="E42" s="17" t="s">
        <v>170</v>
      </c>
    </row>
    <row r="43" spans="2:5" ht="13" x14ac:dyDescent="0.3">
      <c r="E43" s="17" t="s">
        <v>171</v>
      </c>
    </row>
    <row r="44" spans="2:5" ht="13" x14ac:dyDescent="0.3">
      <c r="E44" s="17" t="s">
        <v>172</v>
      </c>
    </row>
    <row r="45" spans="2:5" ht="13" x14ac:dyDescent="0.3">
      <c r="E45" s="17" t="s">
        <v>173</v>
      </c>
    </row>
    <row r="46" spans="2:5" ht="13" x14ac:dyDescent="0.3">
      <c r="E46" s="17" t="s">
        <v>228</v>
      </c>
    </row>
    <row r="47" spans="2:5" ht="13" x14ac:dyDescent="0.3">
      <c r="E47" s="17" t="s">
        <v>229</v>
      </c>
    </row>
    <row r="48" spans="2:5" ht="13" x14ac:dyDescent="0.3">
      <c r="E48" s="17" t="s">
        <v>243</v>
      </c>
    </row>
    <row r="49" spans="5:5" ht="13" x14ac:dyDescent="0.3">
      <c r="E49" s="17" t="s">
        <v>244</v>
      </c>
    </row>
    <row r="50" spans="5:5" ht="13" x14ac:dyDescent="0.3">
      <c r="E50" s="17" t="s">
        <v>245</v>
      </c>
    </row>
    <row r="51" spans="5:5" ht="13" x14ac:dyDescent="0.3">
      <c r="E51" s="17" t="s">
        <v>246</v>
      </c>
    </row>
    <row r="52" spans="5:5" ht="13" x14ac:dyDescent="0.3">
      <c r="E52" s="17" t="s">
        <v>247</v>
      </c>
    </row>
    <row r="54" spans="5:5" ht="13" x14ac:dyDescent="0.3">
      <c r="E54" s="17" t="s">
        <v>362</v>
      </c>
    </row>
    <row r="57" spans="5:5" ht="13" x14ac:dyDescent="0.3">
      <c r="E57" s="17" t="s">
        <v>406</v>
      </c>
    </row>
  </sheetData>
  <hyperlinks>
    <hyperlink ref="B4" location="Symdeko!A1" display="Symdeko" xr:uid="{C2ABB3C4-317B-4C42-B59A-79B30666B3E0}"/>
    <hyperlink ref="B6" location="Kalydeco!A1" display="Kalydeco" xr:uid="{EEBD4082-1D83-43E3-A2D1-75DBB6BD2997}"/>
    <hyperlink ref="B13" location="'VX-880'!A1" display="VX-880" xr:uid="{E8018D7F-9B73-4E6B-A79D-A97660AF55C8}"/>
    <hyperlink ref="B3" location="Trikafta!A1" display="Trikafta" xr:uid="{FCEBE0EB-001B-4AF7-8302-88E3A55A88B1}"/>
    <hyperlink ref="B11" location="inaxaplin!A1" display="VX-147" xr:uid="{362A6FBB-2244-4147-8746-8E7FC462FB02}"/>
    <hyperlink ref="B7" location="Casgevy!A1" display="Casgevy" xr:uid="{EE1FBA3F-8223-4960-A117-1323E22DA27E}"/>
    <hyperlink ref="B5" location="Orkambi!A1" display="Orkambi" xr:uid="{5B227DE1-747D-41D9-AFFC-27BF0DF44345}"/>
    <hyperlink ref="B27" location="'VX-634'!A1" display="VX-634" xr:uid="{28A7C8E1-14DE-4193-86D6-B95B3E551AF5}"/>
    <hyperlink ref="B8" location="Alyftrek!A1" display="Alyftrek" xr:uid="{ECC6416F-1E64-4473-A6C6-D23E81B80E70}"/>
    <hyperlink ref="B9" location="'VX-548'!A1" display="VX-548" xr:uid="{67203671-9821-4D42-B3BF-32EA7ACD3A76}"/>
    <hyperlink ref="B12" location="povetacicept!A1" display="ALPN-303" xr:uid="{E8DF8A0B-F5F3-4133-992E-15093D7ABE3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67B-C4D8-4F55-9938-4004F5DC3025}">
  <dimension ref="A1:DT80"/>
  <sheetViews>
    <sheetView tabSelected="1" zoomScale="175" zoomScaleNormal="175" workbookViewId="0">
      <pane xSplit="2" ySplit="2" topLeftCell="AW3" activePane="bottomRight" state="frozen"/>
      <selection pane="topRight" activeCell="C1" sqref="C1"/>
      <selection pane="bottomLeft" activeCell="A4" sqref="A4"/>
      <selection pane="bottomRight" activeCell="BE26" sqref="BE26"/>
    </sheetView>
  </sheetViews>
  <sheetFormatPr defaultColWidth="8.81640625" defaultRowHeight="12.5" x14ac:dyDescent="0.25"/>
  <cols>
    <col min="1" max="1" width="5" bestFit="1" customWidth="1"/>
    <col min="2" max="2" width="17.453125" customWidth="1"/>
    <col min="3" max="21" width="9.1796875" style="3"/>
    <col min="25" max="28" width="7.6328125" customWidth="1"/>
    <col min="29" max="32" width="7.7265625" customWidth="1"/>
    <col min="33" max="36" width="8" customWidth="1"/>
    <col min="62" max="62" width="8.7265625" customWidth="1"/>
  </cols>
  <sheetData>
    <row r="1" spans="1:64" x14ac:dyDescent="0.25">
      <c r="A1" s="11" t="s">
        <v>20</v>
      </c>
    </row>
    <row r="2" spans="1:64" x14ac:dyDescent="0.25">
      <c r="C2" s="3" t="s">
        <v>304</v>
      </c>
      <c r="D2" s="3" t="s">
        <v>303</v>
      </c>
      <c r="E2" s="3" t="s">
        <v>299</v>
      </c>
      <c r="F2" s="3" t="s">
        <v>300</v>
      </c>
      <c r="G2" s="3" t="s">
        <v>301</v>
      </c>
      <c r="H2" s="3" t="s">
        <v>302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6</v>
      </c>
      <c r="R2" s="3" t="s">
        <v>33</v>
      </c>
      <c r="S2" s="3" t="s">
        <v>34</v>
      </c>
      <c r="T2" s="3" t="s">
        <v>35</v>
      </c>
      <c r="U2" s="3" t="s">
        <v>287</v>
      </c>
      <c r="V2" s="3" t="s">
        <v>288</v>
      </c>
      <c r="W2" s="3" t="s">
        <v>289</v>
      </c>
      <c r="X2" s="3" t="s">
        <v>290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350</v>
      </c>
      <c r="AD2" s="3" t="s">
        <v>351</v>
      </c>
      <c r="AE2" s="3" t="s">
        <v>352</v>
      </c>
      <c r="AF2" s="3" t="s">
        <v>353</v>
      </c>
      <c r="AG2" s="3" t="s">
        <v>387</v>
      </c>
      <c r="AH2" s="3" t="s">
        <v>388</v>
      </c>
      <c r="AI2" s="3" t="s">
        <v>389</v>
      </c>
      <c r="AJ2" s="3" t="s">
        <v>390</v>
      </c>
      <c r="AK2" s="3"/>
      <c r="AM2">
        <v>2015</v>
      </c>
      <c r="AN2">
        <f>+AM2+1</f>
        <v>2016</v>
      </c>
      <c r="AO2">
        <f t="shared" ref="AO2:BG2" si="0">+AN2+1</f>
        <v>2017</v>
      </c>
      <c r="AP2">
        <f t="shared" si="0"/>
        <v>2018</v>
      </c>
      <c r="AQ2">
        <f t="shared" si="0"/>
        <v>2019</v>
      </c>
      <c r="AR2">
        <f t="shared" si="0"/>
        <v>2020</v>
      </c>
      <c r="AS2">
        <f t="shared" si="0"/>
        <v>2021</v>
      </c>
      <c r="AT2">
        <f t="shared" si="0"/>
        <v>2022</v>
      </c>
      <c r="AU2">
        <f t="shared" si="0"/>
        <v>2023</v>
      </c>
      <c r="AV2">
        <f t="shared" si="0"/>
        <v>2024</v>
      </c>
      <c r="AW2">
        <f t="shared" si="0"/>
        <v>2025</v>
      </c>
      <c r="AX2">
        <f t="shared" si="0"/>
        <v>2026</v>
      </c>
      <c r="AY2">
        <f t="shared" si="0"/>
        <v>2027</v>
      </c>
      <c r="AZ2">
        <f t="shared" si="0"/>
        <v>2028</v>
      </c>
      <c r="BA2">
        <f t="shared" si="0"/>
        <v>2029</v>
      </c>
      <c r="BB2">
        <f t="shared" si="0"/>
        <v>2030</v>
      </c>
      <c r="BC2">
        <f t="shared" si="0"/>
        <v>2031</v>
      </c>
      <c r="BD2">
        <f t="shared" si="0"/>
        <v>2032</v>
      </c>
      <c r="BE2">
        <f t="shared" si="0"/>
        <v>2033</v>
      </c>
      <c r="BF2">
        <f t="shared" si="0"/>
        <v>2034</v>
      </c>
      <c r="BG2">
        <f t="shared" si="0"/>
        <v>2035</v>
      </c>
      <c r="BH2">
        <f t="shared" ref="BH2" si="1">+BG2+1</f>
        <v>2036</v>
      </c>
      <c r="BI2">
        <f t="shared" ref="BI2" si="2">+BH2+1</f>
        <v>2037</v>
      </c>
      <c r="BJ2">
        <f t="shared" ref="BJ2" si="3">+BI2+1</f>
        <v>2038</v>
      </c>
      <c r="BK2">
        <f t="shared" ref="BK2" si="4">+BJ2+1</f>
        <v>2039</v>
      </c>
      <c r="BL2">
        <f t="shared" ref="BL2" si="5">+BK2+1</f>
        <v>2040</v>
      </c>
    </row>
    <row r="3" spans="1:64" x14ac:dyDescent="0.25">
      <c r="B3" t="s">
        <v>47</v>
      </c>
      <c r="AX3" s="2"/>
      <c r="AY3" s="2">
        <v>800</v>
      </c>
      <c r="AZ3" s="2">
        <v>1200</v>
      </c>
      <c r="BA3" s="2">
        <v>1400</v>
      </c>
      <c r="BB3" s="2">
        <v>1600</v>
      </c>
      <c r="BC3" s="2">
        <f>+BB3*1.01</f>
        <v>1616</v>
      </c>
      <c r="BD3" s="2">
        <f t="shared" ref="BD3:BG5" si="6">+BC3*1.01</f>
        <v>1632.16</v>
      </c>
      <c r="BE3" s="2">
        <f t="shared" si="6"/>
        <v>1648.4816000000001</v>
      </c>
      <c r="BF3" s="2">
        <f t="shared" si="6"/>
        <v>1664.966416</v>
      </c>
      <c r="BG3" s="2">
        <f t="shared" si="6"/>
        <v>1681.6160801599999</v>
      </c>
      <c r="BH3" s="2">
        <f t="shared" ref="BH3:BH5" si="7">+BG3*1.01</f>
        <v>1698.4322409616</v>
      </c>
      <c r="BI3" s="2">
        <f t="shared" ref="BI3:BI5" si="8">+BH3*1.01</f>
        <v>1715.4165633712159</v>
      </c>
      <c r="BJ3" s="2">
        <f t="shared" ref="BJ3:BJ5" si="9">+BI3*1.01</f>
        <v>1732.5707290049281</v>
      </c>
      <c r="BK3" s="2">
        <f t="shared" ref="BK3:BK5" si="10">+BJ3*1.01</f>
        <v>1749.8964362949773</v>
      </c>
      <c r="BL3" s="2">
        <f t="shared" ref="BL3" si="11">+BK3*1.01</f>
        <v>1767.3954006579272</v>
      </c>
    </row>
    <row r="4" spans="1:64" s="2" customFormat="1" x14ac:dyDescent="0.25">
      <c r="B4" s="2" t="s">
        <v>354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AC4" s="2">
        <v>1.3</v>
      </c>
      <c r="AD4" s="2">
        <v>12</v>
      </c>
      <c r="AE4" s="2">
        <v>19.600000000000001</v>
      </c>
      <c r="AF4" s="2">
        <v>26.7</v>
      </c>
      <c r="AG4" s="2">
        <v>29</v>
      </c>
      <c r="AH4" s="2">
        <f>+AG4+2</f>
        <v>31</v>
      </c>
      <c r="AI4" s="2">
        <f>+AH4+2</f>
        <v>33</v>
      </c>
      <c r="AJ4" s="2">
        <f>+AI4+2</f>
        <v>35</v>
      </c>
      <c r="AW4" s="2">
        <f t="shared" ref="AW4:AW7" si="12">SUM(AD4:AG4)</f>
        <v>87.3</v>
      </c>
      <c r="AX4" s="2">
        <f>SUM(AG4:AJ4)</f>
        <v>128</v>
      </c>
      <c r="AY4" s="2">
        <v>400</v>
      </c>
      <c r="AZ4" s="2">
        <v>600</v>
      </c>
      <c r="BA4" s="2">
        <v>800</v>
      </c>
      <c r="BB4" s="2">
        <f>+BA4*1.01</f>
        <v>808</v>
      </c>
      <c r="BC4" s="2">
        <f>+BB4*1.01</f>
        <v>816.08</v>
      </c>
      <c r="BD4" s="2">
        <f t="shared" ref="BD4:BF5" si="13">+BC4*1.01</f>
        <v>824.24080000000004</v>
      </c>
      <c r="BE4" s="2">
        <f t="shared" si="13"/>
        <v>832.48320799999999</v>
      </c>
      <c r="BF4" s="2">
        <f t="shared" si="13"/>
        <v>840.80804007999996</v>
      </c>
      <c r="BG4" s="2">
        <f t="shared" si="6"/>
        <v>849.21612048079999</v>
      </c>
      <c r="BH4" s="2">
        <f t="shared" si="7"/>
        <v>857.70828168560797</v>
      </c>
      <c r="BI4" s="2">
        <f t="shared" si="8"/>
        <v>866.28536450246406</v>
      </c>
      <c r="BJ4" s="2">
        <f t="shared" si="9"/>
        <v>874.94821814748866</v>
      </c>
      <c r="BK4" s="2">
        <f t="shared" si="10"/>
        <v>883.69770032896361</v>
      </c>
      <c r="BL4" s="2">
        <f t="shared" ref="BL4" si="14">+BK4*0.1</f>
        <v>88.369770032896369</v>
      </c>
    </row>
    <row r="5" spans="1:64" s="2" customFormat="1" x14ac:dyDescent="0.25">
      <c r="B5" s="2" t="s">
        <v>378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AX5" s="2">
        <v>300</v>
      </c>
      <c r="AY5" s="2">
        <v>500</v>
      </c>
      <c r="AZ5" s="2">
        <v>700</v>
      </c>
      <c r="BA5" s="2">
        <v>900</v>
      </c>
      <c r="BB5" s="2">
        <f>+BA5*1.01</f>
        <v>909</v>
      </c>
      <c r="BC5" s="2">
        <f t="shared" ref="BC5" si="15">+BB5*1.01</f>
        <v>918.09</v>
      </c>
      <c r="BD5" s="2">
        <f t="shared" si="13"/>
        <v>927.2709000000001</v>
      </c>
      <c r="BE5" s="2">
        <f t="shared" si="13"/>
        <v>936.54360900000006</v>
      </c>
      <c r="BF5" s="2">
        <f t="shared" si="13"/>
        <v>945.90904509000006</v>
      </c>
      <c r="BG5" s="2">
        <f t="shared" si="6"/>
        <v>955.36813554090008</v>
      </c>
      <c r="BH5" s="2">
        <f t="shared" si="7"/>
        <v>964.92181689630911</v>
      </c>
      <c r="BI5" s="2">
        <f t="shared" si="8"/>
        <v>974.57103506527221</v>
      </c>
      <c r="BJ5" s="2">
        <f t="shared" si="9"/>
        <v>984.31674541592497</v>
      </c>
      <c r="BK5" s="2">
        <f t="shared" si="10"/>
        <v>994.15991287008421</v>
      </c>
      <c r="BL5" s="2">
        <f t="shared" ref="BL5" si="16">+BK5*1.01</f>
        <v>1004.1015119987851</v>
      </c>
    </row>
    <row r="6" spans="1:64" s="2" customFormat="1" x14ac:dyDescent="0.25">
      <c r="B6" s="2" t="s">
        <v>39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64" s="2" customFormat="1" x14ac:dyDescent="0.25">
      <c r="B7" s="2" t="s">
        <v>316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AC7" s="2">
        <v>14.2</v>
      </c>
      <c r="AD7" s="2">
        <v>30.4</v>
      </c>
      <c r="AE7" s="2">
        <v>16.899999999999999</v>
      </c>
      <c r="AF7" s="2">
        <v>54.3</v>
      </c>
      <c r="AG7" s="2">
        <v>42.9</v>
      </c>
      <c r="AH7" s="2">
        <f>+AG7+5</f>
        <v>47.9</v>
      </c>
      <c r="AI7" s="2">
        <f>+AH7+5</f>
        <v>52.9</v>
      </c>
      <c r="AJ7" s="2">
        <f>+AI7+5</f>
        <v>57.9</v>
      </c>
      <c r="AW7" s="2">
        <f t="shared" ref="AW7:AW13" si="17">SUM(AD7:AG7)</f>
        <v>144.5</v>
      </c>
      <c r="AX7" s="2">
        <f>SUM(AG7:AJ7)</f>
        <v>201.6</v>
      </c>
      <c r="AY7" s="2">
        <f t="shared" ref="AY7:BL7" si="18">+AX7*1.01</f>
        <v>203.61599999999999</v>
      </c>
      <c r="AZ7" s="2">
        <f t="shared" si="18"/>
        <v>205.65215999999998</v>
      </c>
      <c r="BA7" s="2">
        <f t="shared" si="18"/>
        <v>207.70868159999998</v>
      </c>
      <c r="BB7" s="2">
        <f t="shared" si="18"/>
        <v>209.78576841599997</v>
      </c>
      <c r="BC7" s="2">
        <f t="shared" si="18"/>
        <v>211.88362610015997</v>
      </c>
      <c r="BD7" s="2">
        <f t="shared" si="18"/>
        <v>214.00246236116158</v>
      </c>
      <c r="BE7" s="2">
        <f t="shared" si="18"/>
        <v>216.1424869847732</v>
      </c>
      <c r="BF7" s="2">
        <f t="shared" si="18"/>
        <v>218.30391185462094</v>
      </c>
      <c r="BG7" s="2">
        <f t="shared" si="18"/>
        <v>220.48695097316715</v>
      </c>
      <c r="BH7" s="2">
        <f t="shared" si="18"/>
        <v>222.69182048289883</v>
      </c>
      <c r="BI7" s="2">
        <f t="shared" si="18"/>
        <v>224.91873868772782</v>
      </c>
      <c r="BJ7" s="2">
        <f t="shared" si="18"/>
        <v>227.16792607460511</v>
      </c>
      <c r="BK7" s="2">
        <f t="shared" si="18"/>
        <v>229.43960533535116</v>
      </c>
      <c r="BL7" s="2">
        <f t="shared" si="18"/>
        <v>231.73400138870468</v>
      </c>
    </row>
    <row r="8" spans="1:64" s="2" customFormat="1" x14ac:dyDescent="0.25">
      <c r="B8" s="2" t="s">
        <v>257</v>
      </c>
      <c r="C8" s="12"/>
      <c r="D8" s="12">
        <v>1.9330000000000001</v>
      </c>
      <c r="E8" s="12">
        <v>1.1819999999999999</v>
      </c>
      <c r="F8" s="12">
        <v>0.91300000000000003</v>
      </c>
      <c r="G8" s="12"/>
      <c r="H8" s="12"/>
      <c r="I8" s="12">
        <v>0</v>
      </c>
      <c r="J8" s="12"/>
      <c r="K8" s="12">
        <v>2</v>
      </c>
      <c r="L8" s="12"/>
      <c r="M8" s="12"/>
      <c r="N8" s="12"/>
      <c r="O8" s="12"/>
      <c r="P8" s="12"/>
      <c r="Q8" s="12"/>
      <c r="R8" s="12"/>
      <c r="S8" s="12"/>
      <c r="T8" s="12"/>
      <c r="U8" s="12"/>
      <c r="AD8" s="2">
        <v>20.7</v>
      </c>
      <c r="AE8" s="2">
        <f>175.8-AE7-AE4</f>
        <v>139.30000000000001</v>
      </c>
      <c r="AF8" s="2">
        <f>237.4-AF7-AF4</f>
        <v>156.40000000000003</v>
      </c>
      <c r="AG8" s="2">
        <v>135.9</v>
      </c>
      <c r="AH8" s="2">
        <f>+AG8</f>
        <v>135.9</v>
      </c>
      <c r="AI8" s="2">
        <f>+AH8</f>
        <v>135.9</v>
      </c>
      <c r="AJ8" s="2">
        <f>+AI8</f>
        <v>135.9</v>
      </c>
      <c r="AW8" s="2">
        <f t="shared" si="17"/>
        <v>452.30000000000007</v>
      </c>
      <c r="AX8" s="2">
        <f t="shared" ref="AX8" si="19">SUM(AG8:AJ8)</f>
        <v>543.6</v>
      </c>
    </row>
    <row r="9" spans="1:64" s="2" customFormat="1" x14ac:dyDescent="0.25">
      <c r="B9" s="2" t="s">
        <v>363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AC9" s="2">
        <v>53.9</v>
      </c>
      <c r="AD9" s="2">
        <v>156.80000000000001</v>
      </c>
      <c r="AE9" s="2">
        <v>247</v>
      </c>
      <c r="AF9" s="2">
        <v>380.1</v>
      </c>
      <c r="AG9" s="2">
        <v>424.4</v>
      </c>
      <c r="AH9" s="2">
        <f>+AG9+15</f>
        <v>439.4</v>
      </c>
      <c r="AI9" s="2">
        <f>+AH9+15</f>
        <v>454.4</v>
      </c>
      <c r="AJ9" s="2">
        <f>+AI9+15</f>
        <v>469.4</v>
      </c>
      <c r="AV9" s="2">
        <f t="shared" ref="AV9:AV19" si="20">SUM(Y9:AB9)</f>
        <v>0</v>
      </c>
      <c r="AW9" s="2">
        <f t="shared" si="17"/>
        <v>1208.3000000000002</v>
      </c>
      <c r="AX9" s="2">
        <f t="shared" ref="AX9" si="21">SUM(AG9:AJ9)</f>
        <v>1787.6</v>
      </c>
      <c r="AY9" s="2">
        <f>+AX9*1.5</f>
        <v>2681.3999999999996</v>
      </c>
      <c r="AZ9" s="2">
        <f>+AY9*1.5</f>
        <v>4022.0999999999995</v>
      </c>
      <c r="BA9" s="2">
        <f>+AZ9*1.3</f>
        <v>5228.7299999999996</v>
      </c>
      <c r="BB9" s="2">
        <f>+BA9*1.3</f>
        <v>6797.3489999999993</v>
      </c>
      <c r="BC9" s="2">
        <f>+BB9*1.15</f>
        <v>7816.9513499999985</v>
      </c>
      <c r="BD9" s="2">
        <f>+BC9*1.03</f>
        <v>8051.4598904999984</v>
      </c>
      <c r="BE9" s="2">
        <f t="shared" ref="BE9:BK9" si="22">+BD9*1.03</f>
        <v>8293.0036872149994</v>
      </c>
      <c r="BF9" s="2">
        <f t="shared" si="22"/>
        <v>8541.7937978314494</v>
      </c>
      <c r="BG9" s="2">
        <f t="shared" si="22"/>
        <v>8798.0476117663929</v>
      </c>
      <c r="BH9" s="2">
        <f t="shared" si="22"/>
        <v>9061.9890401193843</v>
      </c>
      <c r="BI9" s="2">
        <f t="shared" si="22"/>
        <v>9333.8487113229658</v>
      </c>
      <c r="BJ9" s="2">
        <f t="shared" si="22"/>
        <v>9613.8641726626556</v>
      </c>
      <c r="BK9" s="2">
        <f t="shared" si="22"/>
        <v>9902.2800978425348</v>
      </c>
      <c r="BL9" s="2">
        <f>+BK9*0.5</f>
        <v>4951.1400489212674</v>
      </c>
    </row>
    <row r="10" spans="1:64" s="2" customFormat="1" x14ac:dyDescent="0.25">
      <c r="B10" s="2" t="s">
        <v>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420</v>
      </c>
      <c r="I10" s="12">
        <v>895</v>
      </c>
      <c r="J10" s="12">
        <v>918</v>
      </c>
      <c r="K10" s="12">
        <v>960</v>
      </c>
      <c r="L10" s="12">
        <v>1091</v>
      </c>
      <c r="M10" s="12">
        <v>1193.2</v>
      </c>
      <c r="N10" s="12">
        <v>1256</v>
      </c>
      <c r="O10" s="12">
        <v>1556</v>
      </c>
      <c r="P10" s="12">
        <v>1693</v>
      </c>
      <c r="Q10" s="12">
        <v>1761.6</v>
      </c>
      <c r="R10" s="12">
        <v>1893</v>
      </c>
      <c r="S10" s="12">
        <v>2010.5</v>
      </c>
      <c r="T10" s="12">
        <v>2022</v>
      </c>
      <c r="U10" s="12">
        <v>2096.6999999999998</v>
      </c>
      <c r="V10" s="2">
        <v>2240.4</v>
      </c>
      <c r="W10" s="2">
        <v>2274.3000000000002</v>
      </c>
      <c r="X10" s="2">
        <v>2333.3000000000002</v>
      </c>
      <c r="Y10" s="2">
        <v>2483.6</v>
      </c>
      <c r="Z10" s="2">
        <v>2449.1999999999998</v>
      </c>
      <c r="AA10" s="2">
        <v>2585</v>
      </c>
      <c r="AB10" s="2">
        <v>2720.8</v>
      </c>
      <c r="AC10" s="2">
        <v>2535.5</v>
      </c>
      <c r="AD10" s="2">
        <v>2551.1</v>
      </c>
      <c r="AE10" s="2">
        <v>2653.6</v>
      </c>
      <c r="AF10" s="2">
        <v>2572.5</v>
      </c>
      <c r="AG10" s="2">
        <v>2354.6999999999998</v>
      </c>
      <c r="AH10" s="2">
        <f>+AG10</f>
        <v>2354.6999999999998</v>
      </c>
      <c r="AI10" s="2">
        <f>+AH10</f>
        <v>2354.6999999999998</v>
      </c>
      <c r="AJ10" s="2">
        <f>+AI10</f>
        <v>2354.6999999999998</v>
      </c>
      <c r="AS10" s="2">
        <f>SUM(M10:P10)</f>
        <v>5698.2</v>
      </c>
      <c r="AT10" s="2">
        <f t="shared" ref="AT10:AT12" si="23">SUM(Q10:T10)</f>
        <v>7687.1</v>
      </c>
      <c r="AU10" s="2">
        <f>SUM(U10:X10)</f>
        <v>8944.7000000000007</v>
      </c>
      <c r="AV10" s="2">
        <f t="shared" si="20"/>
        <v>10238.599999999999</v>
      </c>
      <c r="AW10" s="2">
        <f t="shared" si="17"/>
        <v>10131.9</v>
      </c>
      <c r="AX10" s="2">
        <f t="shared" ref="AX10" si="24">SUM(AG10:AJ10)</f>
        <v>9418.7999999999993</v>
      </c>
      <c r="AY10" s="2">
        <f>+AX10-1200</f>
        <v>8218.7999999999993</v>
      </c>
      <c r="AZ10" s="2">
        <f>+AY10-1800</f>
        <v>6418.7999999999993</v>
      </c>
      <c r="BA10" s="2">
        <f>+AZ10-1600</f>
        <v>4818.7999999999993</v>
      </c>
      <c r="BB10" s="2">
        <f>+BA10-2000</f>
        <v>2818.7999999999993</v>
      </c>
      <c r="BC10" s="2">
        <f>+BB10-500</f>
        <v>2318.7999999999993</v>
      </c>
      <c r="BD10" s="2">
        <f>+BC10*0.8</f>
        <v>1855.0399999999995</v>
      </c>
      <c r="BE10" s="2">
        <f t="shared" ref="BE10:BL10" si="25">+BD10*0.8</f>
        <v>1484.0319999999997</v>
      </c>
      <c r="BF10" s="2">
        <f t="shared" si="25"/>
        <v>1187.2255999999998</v>
      </c>
      <c r="BG10" s="2">
        <f t="shared" si="25"/>
        <v>949.7804799999999</v>
      </c>
      <c r="BH10" s="2">
        <f t="shared" si="25"/>
        <v>759.82438400000001</v>
      </c>
      <c r="BI10" s="2">
        <f t="shared" si="25"/>
        <v>607.85950720000005</v>
      </c>
      <c r="BJ10" s="2">
        <f t="shared" si="25"/>
        <v>486.28760576000008</v>
      </c>
      <c r="BK10" s="2">
        <f t="shared" si="25"/>
        <v>389.0300846080001</v>
      </c>
      <c r="BL10" s="2">
        <f t="shared" si="25"/>
        <v>311.22406768640008</v>
      </c>
    </row>
    <row r="11" spans="1:64" s="2" customFormat="1" x14ac:dyDescent="0.25">
      <c r="B11" s="2" t="s">
        <v>22</v>
      </c>
      <c r="C11" s="12">
        <v>255</v>
      </c>
      <c r="D11" s="12">
        <v>294</v>
      </c>
      <c r="E11" s="12">
        <v>320</v>
      </c>
      <c r="F11" s="12">
        <v>362</v>
      </c>
      <c r="G11" s="12">
        <v>404</v>
      </c>
      <c r="H11" s="12">
        <v>331.5</v>
      </c>
      <c r="I11" s="12">
        <v>173</v>
      </c>
      <c r="J11" s="12">
        <v>172</v>
      </c>
      <c r="K11" s="12">
        <v>156</v>
      </c>
      <c r="L11" s="12">
        <v>128</v>
      </c>
      <c r="M11" s="12">
        <v>125.1</v>
      </c>
      <c r="N11" s="12">
        <v>134</v>
      </c>
      <c r="O11" s="12">
        <v>81</v>
      </c>
      <c r="P11" s="12">
        <v>80</v>
      </c>
      <c r="Q11" s="12">
        <v>64.8</v>
      </c>
      <c r="R11" s="12">
        <v>43</v>
      </c>
      <c r="S11" s="12">
        <v>38.200000000000003</v>
      </c>
      <c r="T11" s="12">
        <v>34</v>
      </c>
      <c r="U11" s="12"/>
      <c r="AS11" s="2">
        <f t="shared" ref="AS11:AS16" si="26">SUM(M11:P11)</f>
        <v>420.1</v>
      </c>
      <c r="AT11" s="2">
        <f t="shared" si="23"/>
        <v>180</v>
      </c>
      <c r="AU11" s="29" t="s">
        <v>343</v>
      </c>
      <c r="AV11" s="2">
        <f t="shared" si="20"/>
        <v>0</v>
      </c>
      <c r="AW11" s="2">
        <f t="shared" si="17"/>
        <v>0</v>
      </c>
      <c r="AX11" s="2">
        <f t="shared" ref="AX11:AX13" si="27">SUM(AG11:AJ11)</f>
        <v>0</v>
      </c>
    </row>
    <row r="12" spans="1:64" s="2" customFormat="1" x14ac:dyDescent="0.25">
      <c r="B12" s="2" t="s">
        <v>23</v>
      </c>
      <c r="C12" s="12">
        <v>282</v>
      </c>
      <c r="D12" s="12">
        <v>315</v>
      </c>
      <c r="E12" s="12">
        <v>293</v>
      </c>
      <c r="F12" s="12">
        <v>316</v>
      </c>
      <c r="G12" s="12">
        <v>297</v>
      </c>
      <c r="H12" s="12">
        <v>269.8</v>
      </c>
      <c r="I12" s="12">
        <v>234</v>
      </c>
      <c r="J12" s="12">
        <v>231.7</v>
      </c>
      <c r="K12" s="12">
        <v>226</v>
      </c>
      <c r="L12" s="12">
        <v>215</v>
      </c>
      <c r="M12" s="12">
        <v>218.7</v>
      </c>
      <c r="N12" s="12">
        <v>221</v>
      </c>
      <c r="O12" s="12">
        <v>185</v>
      </c>
      <c r="P12" s="12">
        <v>147</v>
      </c>
      <c r="Q12" s="12">
        <v>132.1</v>
      </c>
      <c r="R12" s="12">
        <v>122</v>
      </c>
      <c r="S12" s="12">
        <v>146.19999999999999</v>
      </c>
      <c r="T12" s="12">
        <v>111</v>
      </c>
      <c r="U12" s="12"/>
      <c r="AS12" s="2">
        <f t="shared" si="26"/>
        <v>771.7</v>
      </c>
      <c r="AT12" s="2">
        <f t="shared" si="23"/>
        <v>511.29999999999995</v>
      </c>
      <c r="AU12" s="29" t="s">
        <v>342</v>
      </c>
      <c r="AV12" s="2">
        <f t="shared" si="20"/>
        <v>0</v>
      </c>
      <c r="AW12" s="2">
        <f t="shared" si="17"/>
        <v>0</v>
      </c>
      <c r="AX12" s="2">
        <f t="shared" si="27"/>
        <v>0</v>
      </c>
    </row>
    <row r="13" spans="1:64" s="2" customFormat="1" x14ac:dyDescent="0.25">
      <c r="B13" s="2" t="s">
        <v>312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>
        <v>278.10000000000002</v>
      </c>
      <c r="V13" s="2">
        <v>252.8</v>
      </c>
      <c r="W13" s="2">
        <v>209.3</v>
      </c>
      <c r="X13" s="2">
        <v>184.4</v>
      </c>
      <c r="Y13" s="2">
        <v>207</v>
      </c>
      <c r="Z13" s="2">
        <v>196.4</v>
      </c>
      <c r="AA13" s="2">
        <v>186.9</v>
      </c>
      <c r="AB13" s="2">
        <v>191.2</v>
      </c>
      <c r="AC13" s="2">
        <f>170.8-AC7+10</f>
        <v>166.60000000000002</v>
      </c>
      <c r="AD13" s="2">
        <f>236.1-AD7-AD4</f>
        <v>193.7</v>
      </c>
      <c r="AU13" s="2">
        <f>SUM(U13:X13)</f>
        <v>924.6</v>
      </c>
      <c r="AV13" s="2">
        <f t="shared" si="20"/>
        <v>781.5</v>
      </c>
      <c r="AW13" s="2">
        <f t="shared" si="17"/>
        <v>193.7</v>
      </c>
      <c r="AX13" s="2">
        <f t="shared" si="27"/>
        <v>0</v>
      </c>
      <c r="AY13" s="2">
        <f t="shared" ref="AY13:BF13" si="28">+AX13*1.01</f>
        <v>0</v>
      </c>
      <c r="AZ13" s="2">
        <f t="shared" si="28"/>
        <v>0</v>
      </c>
      <c r="BA13" s="2">
        <f t="shared" si="28"/>
        <v>0</v>
      </c>
      <c r="BB13" s="2">
        <f t="shared" si="28"/>
        <v>0</v>
      </c>
      <c r="BC13" s="2">
        <f t="shared" si="28"/>
        <v>0</v>
      </c>
      <c r="BD13" s="2">
        <f t="shared" si="28"/>
        <v>0</v>
      </c>
      <c r="BE13" s="2">
        <f t="shared" si="28"/>
        <v>0</v>
      </c>
      <c r="BF13" s="2">
        <f t="shared" si="28"/>
        <v>0</v>
      </c>
      <c r="BG13" s="2">
        <f t="shared" ref="BG13:BL13" si="29">+BF13*0.5</f>
        <v>0</v>
      </c>
      <c r="BH13" s="2">
        <f t="shared" si="29"/>
        <v>0</v>
      </c>
      <c r="BI13" s="2">
        <f t="shared" si="29"/>
        <v>0</v>
      </c>
      <c r="BJ13" s="2">
        <f t="shared" si="29"/>
        <v>0</v>
      </c>
      <c r="BK13" s="2">
        <f t="shared" si="29"/>
        <v>0</v>
      </c>
      <c r="BL13" s="2">
        <f t="shared" si="29"/>
        <v>0</v>
      </c>
    </row>
    <row r="14" spans="1:64" s="2" customFormat="1" x14ac:dyDescent="0.25">
      <c r="B14" s="2" t="s">
        <v>13</v>
      </c>
      <c r="C14" s="12">
        <v>246</v>
      </c>
      <c r="D14" s="12">
        <v>259</v>
      </c>
      <c r="E14" s="12">
        <v>244</v>
      </c>
      <c r="F14" s="12">
        <v>262</v>
      </c>
      <c r="G14" s="12">
        <v>249</v>
      </c>
      <c r="H14" s="12">
        <v>235.7</v>
      </c>
      <c r="I14" s="12">
        <v>213</v>
      </c>
      <c r="J14" s="12">
        <v>202.7</v>
      </c>
      <c r="K14" s="12">
        <v>194</v>
      </c>
      <c r="L14" s="12">
        <v>193</v>
      </c>
      <c r="M14" s="12">
        <v>186.3</v>
      </c>
      <c r="N14" s="12">
        <v>183</v>
      </c>
      <c r="O14" s="12">
        <v>162</v>
      </c>
      <c r="P14" s="12">
        <v>152</v>
      </c>
      <c r="Q14" s="12">
        <v>139</v>
      </c>
      <c r="R14" s="12">
        <v>139</v>
      </c>
      <c r="S14" s="12">
        <v>139.4</v>
      </c>
      <c r="T14" s="12">
        <v>136</v>
      </c>
      <c r="U14" s="12"/>
      <c r="AS14" s="2">
        <f t="shared" si="26"/>
        <v>683.3</v>
      </c>
      <c r="AT14" s="2">
        <f>SUM(Q14:T14)</f>
        <v>553.4</v>
      </c>
      <c r="AU14" s="29" t="s">
        <v>341</v>
      </c>
      <c r="AV14" s="2">
        <f t="shared" si="20"/>
        <v>0</v>
      </c>
    </row>
    <row r="15" spans="1:64" s="13" customFormat="1" ht="13" x14ac:dyDescent="0.3">
      <c r="B15" s="13" t="s">
        <v>24</v>
      </c>
      <c r="C15" s="14">
        <f t="shared" ref="C15:K15" si="30">SUM(C10:C14)+C8</f>
        <v>783</v>
      </c>
      <c r="D15" s="14">
        <f t="shared" si="30"/>
        <v>869.93299999999999</v>
      </c>
      <c r="E15" s="14">
        <f t="shared" si="30"/>
        <v>858.18200000000002</v>
      </c>
      <c r="F15" s="14">
        <f t="shared" si="30"/>
        <v>940.91300000000001</v>
      </c>
      <c r="G15" s="14">
        <f t="shared" si="30"/>
        <v>950</v>
      </c>
      <c r="H15" s="14">
        <f t="shared" si="30"/>
        <v>1257</v>
      </c>
      <c r="I15" s="14">
        <f t="shared" si="30"/>
        <v>1515</v>
      </c>
      <c r="J15" s="14">
        <f t="shared" si="30"/>
        <v>1524.4</v>
      </c>
      <c r="K15" s="14">
        <f t="shared" si="30"/>
        <v>1538</v>
      </c>
      <c r="L15" s="14">
        <f t="shared" ref="L15:P15" si="31">SUM(L10:L14)</f>
        <v>1627</v>
      </c>
      <c r="M15" s="14">
        <f t="shared" si="31"/>
        <v>1723.3</v>
      </c>
      <c r="N15" s="14">
        <f t="shared" si="31"/>
        <v>1794</v>
      </c>
      <c r="O15" s="14">
        <f t="shared" si="31"/>
        <v>1984</v>
      </c>
      <c r="P15" s="14">
        <f t="shared" si="31"/>
        <v>2072</v>
      </c>
      <c r="Q15" s="14">
        <f>SUM(Q10:Q14)</f>
        <v>2097.5</v>
      </c>
      <c r="R15" s="14">
        <f t="shared" ref="R15:W15" si="32">SUM(R10:R14)</f>
        <v>2197</v>
      </c>
      <c r="S15" s="14">
        <f t="shared" si="32"/>
        <v>2334.2999999999997</v>
      </c>
      <c r="T15" s="14">
        <f t="shared" si="32"/>
        <v>2303</v>
      </c>
      <c r="U15" s="14">
        <f t="shared" si="32"/>
        <v>2374.7999999999997</v>
      </c>
      <c r="V15" s="14">
        <f t="shared" si="32"/>
        <v>2493.2000000000003</v>
      </c>
      <c r="W15" s="14">
        <f t="shared" si="32"/>
        <v>2483.6000000000004</v>
      </c>
      <c r="X15" s="14">
        <f>+X13+X10</f>
        <v>2517.7000000000003</v>
      </c>
      <c r="Y15" s="14">
        <f t="shared" ref="Y15:AB15" si="33">SUM(Y10:Y14)</f>
        <v>2690.6</v>
      </c>
      <c r="Z15" s="14">
        <f t="shared" si="33"/>
        <v>2645.6</v>
      </c>
      <c r="AA15" s="14">
        <f t="shared" si="33"/>
        <v>2771.9</v>
      </c>
      <c r="AB15" s="14">
        <f t="shared" si="33"/>
        <v>2912</v>
      </c>
      <c r="AC15" s="14">
        <f>SUM(AC7:AC14)</f>
        <v>2770.2</v>
      </c>
      <c r="AD15" s="14">
        <f t="shared" ref="AD15:AJ15" si="34">SUM(AD3:AD14)</f>
        <v>2964.7</v>
      </c>
      <c r="AE15" s="14">
        <f t="shared" si="34"/>
        <v>3076.4</v>
      </c>
      <c r="AF15" s="14">
        <f t="shared" si="34"/>
        <v>3190</v>
      </c>
      <c r="AG15" s="14">
        <f t="shared" si="34"/>
        <v>2986.8999999999996</v>
      </c>
      <c r="AH15" s="14">
        <f t="shared" si="34"/>
        <v>3008.8999999999996</v>
      </c>
      <c r="AI15" s="14">
        <f t="shared" si="34"/>
        <v>3030.8999999999996</v>
      </c>
      <c r="AJ15" s="14">
        <f t="shared" si="34"/>
        <v>3052.8999999999996</v>
      </c>
      <c r="AK15" s="14"/>
      <c r="AR15" s="13">
        <f t="shared" ref="AR15" si="35">SUM(AR10:AR14)</f>
        <v>0</v>
      </c>
      <c r="AS15" s="13">
        <f>SUM(AS10:AS14)</f>
        <v>7573.3</v>
      </c>
      <c r="AT15" s="13">
        <f>SUM(AT10:AT14)</f>
        <v>8931.7999999999993</v>
      </c>
      <c r="AU15" s="13">
        <f t="shared" ref="AU15:BG15" si="36">SUM(AU3:AU14)</f>
        <v>9869.3000000000011</v>
      </c>
      <c r="AV15" s="13">
        <f t="shared" si="36"/>
        <v>11020.099999999999</v>
      </c>
      <c r="AW15" s="13">
        <f>SUM(AW3:AW14)</f>
        <v>12218</v>
      </c>
      <c r="AX15" s="13">
        <f>SUM(AX3:AX14)</f>
        <v>12379.599999999999</v>
      </c>
      <c r="AY15" s="13">
        <f t="shared" si="36"/>
        <v>12803.815999999999</v>
      </c>
      <c r="AZ15" s="13">
        <f t="shared" si="36"/>
        <v>13146.552159999999</v>
      </c>
      <c r="BA15" s="13">
        <f t="shared" si="36"/>
        <v>13355.2386816</v>
      </c>
      <c r="BB15" s="13">
        <f t="shared" si="36"/>
        <v>13142.934768415998</v>
      </c>
      <c r="BC15" s="13">
        <f t="shared" si="36"/>
        <v>13697.804976100157</v>
      </c>
      <c r="BD15" s="13">
        <f t="shared" si="36"/>
        <v>13504.174052861159</v>
      </c>
      <c r="BE15" s="13">
        <f t="shared" si="36"/>
        <v>13410.686591199772</v>
      </c>
      <c r="BF15" s="13">
        <f t="shared" si="36"/>
        <v>13399.00681085607</v>
      </c>
      <c r="BG15" s="13">
        <f t="shared" si="36"/>
        <v>13454.515378921258</v>
      </c>
      <c r="BH15" s="13">
        <f t="shared" ref="BH15:BL15" si="37">SUM(BH3:BH14)</f>
        <v>13565.5675841458</v>
      </c>
      <c r="BI15" s="13">
        <f t="shared" si="37"/>
        <v>13722.899920149646</v>
      </c>
      <c r="BJ15" s="13">
        <f t="shared" si="37"/>
        <v>13919.155397065602</v>
      </c>
      <c r="BK15" s="13">
        <f t="shared" si="37"/>
        <v>14148.503837279912</v>
      </c>
      <c r="BL15" s="13">
        <f t="shared" si="37"/>
        <v>8353.9648006859807</v>
      </c>
    </row>
    <row r="16" spans="1:64" s="2" customFormat="1" x14ac:dyDescent="0.25">
      <c r="B16" s="2" t="s">
        <v>53</v>
      </c>
      <c r="C16" s="12">
        <v>111.255</v>
      </c>
      <c r="D16" s="12">
        <v>122.289</v>
      </c>
      <c r="E16" s="12">
        <v>95.091999999999999</v>
      </c>
      <c r="F16" s="12">
        <v>135.74</v>
      </c>
      <c r="G16" s="12">
        <v>131.91399999999999</v>
      </c>
      <c r="H16" s="12">
        <v>185.012</v>
      </c>
      <c r="I16" s="12">
        <v>162.49700000000001</v>
      </c>
      <c r="J16" s="12">
        <v>184.5</v>
      </c>
      <c r="K16" s="12">
        <v>186.18199999999999</v>
      </c>
      <c r="L16" s="12">
        <v>203.1</v>
      </c>
      <c r="M16" s="12">
        <v>192.3</v>
      </c>
      <c r="N16" s="12">
        <v>228</v>
      </c>
      <c r="O16" s="12">
        <v>236.512</v>
      </c>
      <c r="P16" s="12">
        <v>247.4</v>
      </c>
      <c r="Q16" s="12">
        <v>145.80000000000001</v>
      </c>
      <c r="R16" s="12">
        <v>261.8</v>
      </c>
      <c r="S16" s="12">
        <v>287</v>
      </c>
      <c r="T16" s="12">
        <v>280.89999999999998</v>
      </c>
      <c r="U16" s="12">
        <v>265</v>
      </c>
      <c r="V16" s="2">
        <v>306.8</v>
      </c>
      <c r="W16" s="2">
        <v>317</v>
      </c>
      <c r="X16" s="2">
        <v>364.2</v>
      </c>
      <c r="Y16" s="2">
        <v>335.8</v>
      </c>
      <c r="Z16" s="2">
        <v>365</v>
      </c>
      <c r="AA16" s="2">
        <v>385.7</v>
      </c>
      <c r="AB16" s="2">
        <v>416.3</v>
      </c>
      <c r="AC16" s="2">
        <v>355.4</v>
      </c>
      <c r="AD16" s="2">
        <v>399.9</v>
      </c>
      <c r="AE16" s="2">
        <v>407</v>
      </c>
      <c r="AF16" s="2">
        <v>457.7</v>
      </c>
      <c r="AG16" s="2">
        <v>384.6</v>
      </c>
      <c r="AS16" s="2">
        <f t="shared" si="26"/>
        <v>904.21199999999999</v>
      </c>
      <c r="AT16" s="2">
        <f>SUM(Q16:T16)</f>
        <v>975.5</v>
      </c>
      <c r="AU16" s="2">
        <f t="shared" ref="AU16:AU19" si="38">SUM(U16:X16)</f>
        <v>1253</v>
      </c>
      <c r="AV16" s="2">
        <f t="shared" si="20"/>
        <v>1502.8</v>
      </c>
      <c r="AW16" s="2">
        <f t="shared" ref="AW16:AW19" si="39">SUM(AD16:AG16)</f>
        <v>1649.1999999999998</v>
      </c>
      <c r="AX16" s="2">
        <f t="shared" ref="AV16:BD16" si="40">+AX15*0.07</f>
        <v>866.572</v>
      </c>
      <c r="AY16" s="2">
        <f t="shared" si="40"/>
        <v>896.26711999999998</v>
      </c>
      <c r="AZ16" s="2">
        <f t="shared" si="40"/>
        <v>920.25865120000003</v>
      </c>
      <c r="BA16" s="2">
        <f t="shared" si="40"/>
        <v>934.86670771200011</v>
      </c>
      <c r="BB16" s="2">
        <f t="shared" si="40"/>
        <v>920.00543378911993</v>
      </c>
      <c r="BC16" s="2">
        <f t="shared" si="40"/>
        <v>958.84634832701101</v>
      </c>
      <c r="BD16" s="2">
        <f t="shared" si="40"/>
        <v>945.29218370028127</v>
      </c>
      <c r="BE16" s="2">
        <f t="shared" ref="BE16:BJ16" si="41">+BE15*0.05</f>
        <v>670.53432955998869</v>
      </c>
      <c r="BF16" s="2">
        <f t="shared" si="41"/>
        <v>669.95034054280359</v>
      </c>
      <c r="BG16" s="2">
        <f t="shared" si="41"/>
        <v>672.725768946063</v>
      </c>
      <c r="BH16" s="2">
        <f t="shared" si="41"/>
        <v>678.27837920729007</v>
      </c>
      <c r="BI16" s="2">
        <f t="shared" si="41"/>
        <v>686.1449960074824</v>
      </c>
      <c r="BJ16" s="2">
        <f t="shared" si="41"/>
        <v>695.95776985328018</v>
      </c>
      <c r="BK16" s="2">
        <f>+BK15*0.05</f>
        <v>707.42519186399568</v>
      </c>
      <c r="BL16" s="2">
        <f t="shared" ref="BL16" si="42">+BL15*0.07</f>
        <v>584.77753604801865</v>
      </c>
    </row>
    <row r="17" spans="2:124" s="2" customFormat="1" x14ac:dyDescent="0.25">
      <c r="B17" s="2" t="s">
        <v>54</v>
      </c>
      <c r="C17" s="12">
        <f t="shared" ref="C17:J17" si="43">+C15-C16</f>
        <v>671.745</v>
      </c>
      <c r="D17" s="12">
        <f t="shared" si="43"/>
        <v>747.64400000000001</v>
      </c>
      <c r="E17" s="12">
        <f t="shared" si="43"/>
        <v>763.09</v>
      </c>
      <c r="F17" s="12">
        <f t="shared" si="43"/>
        <v>805.173</v>
      </c>
      <c r="G17" s="12">
        <f t="shared" si="43"/>
        <v>818.08600000000001</v>
      </c>
      <c r="H17" s="12">
        <f t="shared" si="43"/>
        <v>1071.9880000000001</v>
      </c>
      <c r="I17" s="12">
        <f t="shared" si="43"/>
        <v>1352.5029999999999</v>
      </c>
      <c r="J17" s="12">
        <f t="shared" si="43"/>
        <v>1339.9</v>
      </c>
      <c r="K17" s="12">
        <f t="shared" ref="K17:L17" si="44">+K15-K16</f>
        <v>1351.818</v>
      </c>
      <c r="L17" s="12">
        <f t="shared" si="44"/>
        <v>1423.9</v>
      </c>
      <c r="M17" s="12">
        <f>+M15-M16</f>
        <v>1531</v>
      </c>
      <c r="N17" s="12">
        <f>+N15-N16</f>
        <v>1566</v>
      </c>
      <c r="O17" s="12">
        <f>+O15-O16</f>
        <v>1747.4880000000001</v>
      </c>
      <c r="P17" s="12">
        <f>+P15-P16</f>
        <v>1824.6</v>
      </c>
      <c r="Q17" s="12">
        <f>+Q15-Q16</f>
        <v>1951.7</v>
      </c>
      <c r="R17" s="12">
        <f t="shared" ref="R17:T17" si="45">+R15-R16</f>
        <v>1935.2</v>
      </c>
      <c r="S17" s="12">
        <f>+S15-S16</f>
        <v>2047.2999999999997</v>
      </c>
      <c r="T17" s="12">
        <f t="shared" si="45"/>
        <v>2022.1</v>
      </c>
      <c r="U17" s="12">
        <f t="shared" ref="U17:AB17" si="46">+U15-U16</f>
        <v>2109.7999999999997</v>
      </c>
      <c r="V17" s="2">
        <f t="shared" si="46"/>
        <v>2186.4</v>
      </c>
      <c r="W17" s="2">
        <f t="shared" si="46"/>
        <v>2166.6000000000004</v>
      </c>
      <c r="X17" s="2">
        <f t="shared" si="46"/>
        <v>2153.5000000000005</v>
      </c>
      <c r="Y17" s="2">
        <f t="shared" si="46"/>
        <v>2354.7999999999997</v>
      </c>
      <c r="Z17" s="2">
        <f t="shared" si="46"/>
        <v>2280.6</v>
      </c>
      <c r="AA17" s="2">
        <f t="shared" si="46"/>
        <v>2386.2000000000003</v>
      </c>
      <c r="AB17" s="2">
        <f t="shared" si="46"/>
        <v>2495.6999999999998</v>
      </c>
      <c r="AC17" s="2">
        <f>+AC15-AC16</f>
        <v>2414.7999999999997</v>
      </c>
      <c r="AD17" s="2">
        <f>+AD15-AD16</f>
        <v>2564.7999999999997</v>
      </c>
      <c r="AE17" s="2">
        <f>+AE15-AE16</f>
        <v>2669.4</v>
      </c>
      <c r="AF17" s="2">
        <f>+AF15*0.87</f>
        <v>2775.3</v>
      </c>
      <c r="AG17" s="2">
        <f>+AG15-AG16</f>
        <v>2602.2999999999997</v>
      </c>
      <c r="AR17" s="2">
        <f t="shared" ref="AR17" si="47">+AR15-AR16</f>
        <v>0</v>
      </c>
      <c r="AS17" s="2">
        <f>+AS15-AS16</f>
        <v>6669.0879999999997</v>
      </c>
      <c r="AT17" s="2">
        <f>+AT15-AT16</f>
        <v>7956.2999999999993</v>
      </c>
      <c r="AU17" s="2">
        <f>+AU15-AU16</f>
        <v>8616.3000000000011</v>
      </c>
      <c r="AV17" s="2">
        <f t="shared" ref="AV17:BG17" si="48">+AV15-AV16</f>
        <v>9517.2999999999993</v>
      </c>
      <c r="AW17" s="2">
        <f>+AW15-AW16</f>
        <v>10568.8</v>
      </c>
      <c r="AX17" s="2">
        <f t="shared" si="48"/>
        <v>11513.027999999998</v>
      </c>
      <c r="AY17" s="2">
        <f t="shared" si="48"/>
        <v>11907.548879999998</v>
      </c>
      <c r="AZ17" s="2">
        <f t="shared" si="48"/>
        <v>12226.293508799999</v>
      </c>
      <c r="BA17" s="2">
        <f t="shared" si="48"/>
        <v>12420.371973887999</v>
      </c>
      <c r="BB17" s="2">
        <f t="shared" si="48"/>
        <v>12222.929334626879</v>
      </c>
      <c r="BC17" s="2">
        <f t="shared" si="48"/>
        <v>12738.958627773145</v>
      </c>
      <c r="BD17" s="2">
        <f t="shared" si="48"/>
        <v>12558.881869160878</v>
      </c>
      <c r="BE17" s="2">
        <f t="shared" si="48"/>
        <v>12740.152261639783</v>
      </c>
      <c r="BF17" s="2">
        <f t="shared" si="48"/>
        <v>12729.056470313266</v>
      </c>
      <c r="BG17" s="2">
        <f t="shared" si="48"/>
        <v>12781.789609975196</v>
      </c>
      <c r="BH17" s="2">
        <f t="shared" ref="BH17:BL17" si="49">+BH15-BH16</f>
        <v>12887.28920493851</v>
      </c>
      <c r="BI17" s="2">
        <f t="shared" si="49"/>
        <v>13036.754924142164</v>
      </c>
      <c r="BJ17" s="2">
        <f t="shared" si="49"/>
        <v>13223.197627212323</v>
      </c>
      <c r="BK17" s="2">
        <f t="shared" si="49"/>
        <v>13441.078645415917</v>
      </c>
      <c r="BL17" s="2">
        <f t="shared" si="49"/>
        <v>7769.1872646379616</v>
      </c>
    </row>
    <row r="18" spans="2:124" s="2" customFormat="1" x14ac:dyDescent="0.25">
      <c r="B18" s="2" t="s">
        <v>55</v>
      </c>
      <c r="C18" s="12">
        <v>137.29499999999999</v>
      </c>
      <c r="D18" s="12">
        <v>153.21</v>
      </c>
      <c r="E18" s="12">
        <v>147.04499999999999</v>
      </c>
      <c r="F18" s="12">
        <v>156.50200000000001</v>
      </c>
      <c r="G18" s="12">
        <v>159.67400000000001</v>
      </c>
      <c r="H18" s="12">
        <v>195.27699999999999</v>
      </c>
      <c r="I18" s="12">
        <v>182.25800000000001</v>
      </c>
      <c r="J18" s="12">
        <v>191.8</v>
      </c>
      <c r="K18" s="12">
        <v>184.55099999999999</v>
      </c>
      <c r="L18" s="12">
        <v>175</v>
      </c>
      <c r="M18" s="12">
        <v>151</v>
      </c>
      <c r="N18" s="12">
        <v>194.6</v>
      </c>
      <c r="O18" s="12">
        <v>198.18899999999999</v>
      </c>
      <c r="P18" s="12">
        <v>210</v>
      </c>
      <c r="Q18" s="12">
        <v>167</v>
      </c>
      <c r="R18" s="12">
        <v>173.3</v>
      </c>
      <c r="S18" s="12">
        <v>180.4</v>
      </c>
      <c r="T18" s="12">
        <v>225.6</v>
      </c>
      <c r="U18" s="12">
        <v>196.9</v>
      </c>
      <c r="V18" s="2">
        <v>219.6</v>
      </c>
      <c r="W18" s="2">
        <v>215.7</v>
      </c>
      <c r="X18" s="2">
        <v>285.60000000000002</v>
      </c>
      <c r="Y18" s="2">
        <v>272</v>
      </c>
      <c r="Z18" s="2">
        <v>280.39999999999998</v>
      </c>
      <c r="AA18" s="2">
        <v>300.10000000000002</v>
      </c>
      <c r="AB18" s="2">
        <v>310.10000000000002</v>
      </c>
      <c r="AC18" s="2">
        <v>333</v>
      </c>
      <c r="AD18" s="2">
        <v>359.4</v>
      </c>
      <c r="AE18" s="2">
        <v>369</v>
      </c>
      <c r="AF18" s="2">
        <v>487</v>
      </c>
      <c r="AG18" s="2">
        <v>493.7</v>
      </c>
      <c r="AR18" s="2">
        <v>609</v>
      </c>
      <c r="AS18" s="2">
        <v>673</v>
      </c>
      <c r="AT18" s="2">
        <f t="shared" ref="AT18:AT19" si="50">SUM(Q18:T18)</f>
        <v>746.30000000000007</v>
      </c>
      <c r="AU18" s="2">
        <f t="shared" si="38"/>
        <v>917.80000000000007</v>
      </c>
      <c r="AV18" s="2">
        <f t="shared" si="20"/>
        <v>1162.5999999999999</v>
      </c>
      <c r="AW18" s="2">
        <f t="shared" si="39"/>
        <v>1709.1000000000001</v>
      </c>
      <c r="AX18" s="2">
        <f t="shared" ref="AV18:BG18" si="51">+AX15*0.1</f>
        <v>1237.96</v>
      </c>
      <c r="AY18" s="2">
        <f t="shared" si="51"/>
        <v>1280.3815999999999</v>
      </c>
      <c r="AZ18" s="2">
        <f t="shared" si="51"/>
        <v>1314.6552160000001</v>
      </c>
      <c r="BA18" s="2">
        <f t="shared" si="51"/>
        <v>1335.5238681600001</v>
      </c>
      <c r="BB18" s="2">
        <f t="shared" si="51"/>
        <v>1314.2934768415998</v>
      </c>
      <c r="BC18" s="2">
        <f t="shared" si="51"/>
        <v>1369.7804976100158</v>
      </c>
      <c r="BD18" s="2">
        <f t="shared" si="51"/>
        <v>1350.417405286116</v>
      </c>
      <c r="BE18" s="2">
        <f t="shared" si="51"/>
        <v>1341.0686591199774</v>
      </c>
      <c r="BF18" s="2">
        <f t="shared" si="51"/>
        <v>1339.9006810856072</v>
      </c>
      <c r="BG18" s="2">
        <f t="shared" si="51"/>
        <v>1345.451537892126</v>
      </c>
      <c r="BH18" s="2">
        <f t="shared" ref="BH18:BL18" si="52">+BH15*0.1</f>
        <v>1356.5567584145801</v>
      </c>
      <c r="BI18" s="2">
        <f t="shared" si="52"/>
        <v>1372.2899920149648</v>
      </c>
      <c r="BJ18" s="2">
        <f t="shared" si="52"/>
        <v>1391.9155397065604</v>
      </c>
      <c r="BK18" s="2">
        <f t="shared" si="52"/>
        <v>1414.8503837279914</v>
      </c>
      <c r="BL18" s="2">
        <f t="shared" si="52"/>
        <v>835.39648006859807</v>
      </c>
    </row>
    <row r="19" spans="2:124" s="2" customFormat="1" x14ac:dyDescent="0.25">
      <c r="B19" s="2" t="s">
        <v>56</v>
      </c>
      <c r="C19" s="12">
        <v>330.51</v>
      </c>
      <c r="D19" s="12">
        <v>437.88099999999997</v>
      </c>
      <c r="E19" s="12">
        <v>339.49</v>
      </c>
      <c r="F19" s="12">
        <v>379.09100000000001</v>
      </c>
      <c r="G19" s="12">
        <v>555.94799999999998</v>
      </c>
      <c r="H19" s="12">
        <v>480.01100000000002</v>
      </c>
      <c r="I19" s="12">
        <v>448.52800000000002</v>
      </c>
      <c r="J19" s="12">
        <v>420.9</v>
      </c>
      <c r="K19" s="12">
        <v>493.49700000000001</v>
      </c>
      <c r="L19" s="12">
        <v>364</v>
      </c>
      <c r="M19" s="12">
        <v>380</v>
      </c>
      <c r="N19" s="12">
        <v>448.7</v>
      </c>
      <c r="O19" s="12">
        <v>493.75099999999998</v>
      </c>
      <c r="P19" s="12">
        <v>493</v>
      </c>
      <c r="Q19" s="12">
        <v>520</v>
      </c>
      <c r="R19" s="12">
        <v>514.79999999999995</v>
      </c>
      <c r="S19" s="12">
        <v>548.5</v>
      </c>
      <c r="T19" s="12">
        <v>623.20000000000005</v>
      </c>
      <c r="U19" s="12">
        <v>663.5</v>
      </c>
      <c r="V19" s="2">
        <v>708.4</v>
      </c>
      <c r="W19" s="2">
        <v>726</v>
      </c>
      <c r="X19" s="2">
        <v>698.8</v>
      </c>
      <c r="Y19" s="2">
        <v>669.7</v>
      </c>
      <c r="Z19" s="2">
        <v>697.2</v>
      </c>
      <c r="AA19" s="2">
        <v>764</v>
      </c>
      <c r="AB19" s="2">
        <v>899.8</v>
      </c>
      <c r="AC19" s="2">
        <v>879</v>
      </c>
      <c r="AD19" s="2">
        <v>878.1</v>
      </c>
      <c r="AE19" s="2">
        <v>861.1</v>
      </c>
      <c r="AF19" s="2">
        <v>973.7</v>
      </c>
      <c r="AG19" s="2">
        <v>961.6</v>
      </c>
      <c r="AR19" s="2">
        <v>1372</v>
      </c>
      <c r="AS19" s="2">
        <v>1658</v>
      </c>
      <c r="AT19" s="2">
        <f t="shared" si="50"/>
        <v>2206.5</v>
      </c>
      <c r="AU19" s="2">
        <f t="shared" si="38"/>
        <v>2796.7</v>
      </c>
      <c r="AV19" s="2">
        <f>SUM(Y19:AB19)</f>
        <v>3030.7</v>
      </c>
      <c r="AW19" s="2">
        <f t="shared" si="39"/>
        <v>3674.5</v>
      </c>
    </row>
    <row r="20" spans="2:124" s="2" customFormat="1" x14ac:dyDescent="0.25">
      <c r="B20" s="2" t="s">
        <v>57</v>
      </c>
      <c r="C20" s="12">
        <f t="shared" ref="C20:D20" si="53">SUM(C18:C19)</f>
        <v>467.80499999999995</v>
      </c>
      <c r="D20" s="12">
        <f t="shared" si="53"/>
        <v>591.09100000000001</v>
      </c>
      <c r="E20" s="12">
        <f t="shared" ref="E20:G20" si="54">SUM(E18:E19)</f>
        <v>486.53499999999997</v>
      </c>
      <c r="F20" s="12">
        <f t="shared" si="54"/>
        <v>535.59300000000007</v>
      </c>
      <c r="G20" s="12">
        <f t="shared" si="54"/>
        <v>715.62199999999996</v>
      </c>
      <c r="H20" s="12">
        <f t="shared" ref="H20:I20" si="55">SUM(H18:H19)</f>
        <v>675.28800000000001</v>
      </c>
      <c r="I20" s="12">
        <f t="shared" si="55"/>
        <v>630.78600000000006</v>
      </c>
      <c r="J20" s="12">
        <f t="shared" ref="J20" si="56">SUM(J18:J19)</f>
        <v>612.70000000000005</v>
      </c>
      <c r="K20" s="12">
        <f t="shared" ref="K20:L20" si="57">SUM(K18:K19)</f>
        <v>678.048</v>
      </c>
      <c r="L20" s="12">
        <f t="shared" si="57"/>
        <v>539</v>
      </c>
      <c r="M20" s="12">
        <f>SUM(M18:M19)</f>
        <v>531</v>
      </c>
      <c r="N20" s="12">
        <f t="shared" ref="N20:Q20" si="58">SUM(N18:N19)</f>
        <v>643.29999999999995</v>
      </c>
      <c r="O20" s="12">
        <f t="shared" si="58"/>
        <v>691.93999999999994</v>
      </c>
      <c r="P20" s="12">
        <f>SUM(P18:P19)</f>
        <v>703</v>
      </c>
      <c r="Q20" s="12">
        <f t="shared" si="58"/>
        <v>687</v>
      </c>
      <c r="R20" s="12">
        <f>SUM(R18:R19)</f>
        <v>688.09999999999991</v>
      </c>
      <c r="S20" s="12">
        <f>SUM(S18:S19)</f>
        <v>728.9</v>
      </c>
      <c r="T20" s="12">
        <f t="shared" ref="T20:U20" si="59">SUM(T18:T19)</f>
        <v>848.80000000000007</v>
      </c>
      <c r="U20" s="12">
        <f t="shared" si="59"/>
        <v>860.4</v>
      </c>
      <c r="V20" s="12">
        <f t="shared" ref="V20:Y20" si="60">SUM(V18:V19)</f>
        <v>928</v>
      </c>
      <c r="W20" s="12">
        <f t="shared" si="60"/>
        <v>941.7</v>
      </c>
      <c r="X20" s="12">
        <f t="shared" si="60"/>
        <v>984.4</v>
      </c>
      <c r="Y20" s="12">
        <f t="shared" si="60"/>
        <v>941.7</v>
      </c>
      <c r="Z20" s="12">
        <f t="shared" ref="Z20:AB20" si="61">SUM(Z18:Z19)</f>
        <v>977.6</v>
      </c>
      <c r="AA20" s="12">
        <f t="shared" si="61"/>
        <v>1064.0999999999999</v>
      </c>
      <c r="AB20" s="12">
        <f t="shared" si="61"/>
        <v>1209.9000000000001</v>
      </c>
      <c r="AC20" s="12">
        <f t="shared" ref="AC20:AG20" si="62">SUM(AC18:AC19)</f>
        <v>1212</v>
      </c>
      <c r="AD20" s="12">
        <f t="shared" si="62"/>
        <v>1237.5</v>
      </c>
      <c r="AE20" s="12">
        <f t="shared" si="62"/>
        <v>1230.0999999999999</v>
      </c>
      <c r="AF20" s="12">
        <f t="shared" si="62"/>
        <v>1460.7</v>
      </c>
      <c r="AG20" s="12">
        <f t="shared" si="62"/>
        <v>1455.3</v>
      </c>
      <c r="AH20" s="12"/>
      <c r="AI20" s="12"/>
      <c r="AJ20" s="12"/>
      <c r="AK20" s="12"/>
      <c r="AR20" s="12">
        <f t="shared" ref="AR20:AT20" si="63">SUM(AR18:AR19)</f>
        <v>1981</v>
      </c>
      <c r="AS20" s="12">
        <f t="shared" si="63"/>
        <v>2331</v>
      </c>
      <c r="AT20" s="12">
        <f t="shared" si="63"/>
        <v>2952.8</v>
      </c>
      <c r="AU20" s="12">
        <f t="shared" ref="AU20:BG22" si="64">SUM(AU18:AU19)</f>
        <v>3714.5</v>
      </c>
      <c r="AV20" s="12">
        <f>SUM(AV18:AV19)</f>
        <v>4193.2999999999993</v>
      </c>
      <c r="AW20" s="12">
        <f t="shared" si="64"/>
        <v>5383.6</v>
      </c>
      <c r="AX20" s="12">
        <f t="shared" si="64"/>
        <v>1237.96</v>
      </c>
      <c r="AY20" s="12">
        <f t="shared" si="64"/>
        <v>1280.3815999999999</v>
      </c>
      <c r="AZ20" s="12">
        <f t="shared" si="64"/>
        <v>1314.6552160000001</v>
      </c>
      <c r="BA20" s="12">
        <f t="shared" si="64"/>
        <v>1335.5238681600001</v>
      </c>
      <c r="BB20" s="12">
        <f t="shared" si="64"/>
        <v>1314.2934768415998</v>
      </c>
      <c r="BC20" s="12">
        <f t="shared" si="64"/>
        <v>1369.7804976100158</v>
      </c>
      <c r="BD20" s="12">
        <f t="shared" si="64"/>
        <v>1350.417405286116</v>
      </c>
      <c r="BE20" s="12">
        <f t="shared" si="64"/>
        <v>1341.0686591199774</v>
      </c>
      <c r="BF20" s="12">
        <f t="shared" si="64"/>
        <v>1339.9006810856072</v>
      </c>
      <c r="BG20" s="12">
        <f t="shared" si="64"/>
        <v>1345.451537892126</v>
      </c>
      <c r="BH20" s="12">
        <f t="shared" ref="BH20:BL20" si="65">SUM(BH18:BH19)</f>
        <v>1356.5567584145801</v>
      </c>
      <c r="BI20" s="12">
        <f t="shared" si="65"/>
        <v>1372.2899920149648</v>
      </c>
      <c r="BJ20" s="12">
        <f t="shared" si="65"/>
        <v>1391.9155397065604</v>
      </c>
      <c r="BK20" s="12">
        <f t="shared" si="65"/>
        <v>1414.8503837279914</v>
      </c>
      <c r="BL20" s="12">
        <f t="shared" si="65"/>
        <v>835.39648006859807</v>
      </c>
    </row>
    <row r="21" spans="2:124" x14ac:dyDescent="0.25">
      <c r="B21" s="2" t="s">
        <v>58</v>
      </c>
      <c r="C21" s="12">
        <f t="shared" ref="C21:D21" si="66">C17-C20</f>
        <v>203.94000000000005</v>
      </c>
      <c r="D21" s="12">
        <f t="shared" si="66"/>
        <v>156.553</v>
      </c>
      <c r="E21" s="12">
        <f t="shared" ref="E21:G21" si="67">E17-E20</f>
        <v>276.55500000000006</v>
      </c>
      <c r="F21" s="12">
        <f t="shared" si="67"/>
        <v>269.57999999999993</v>
      </c>
      <c r="G21" s="12">
        <f t="shared" si="67"/>
        <v>102.46400000000006</v>
      </c>
      <c r="H21" s="12">
        <f t="shared" ref="H21:I21" si="68">H17-H20</f>
        <v>396.70000000000005</v>
      </c>
      <c r="I21" s="12">
        <f t="shared" si="68"/>
        <v>721.71699999999987</v>
      </c>
      <c r="J21" s="12">
        <f t="shared" ref="J21" si="69">J17-J20</f>
        <v>727.2</v>
      </c>
      <c r="K21" s="12">
        <f t="shared" ref="K21:L21" si="70">K17-K20</f>
        <v>673.77</v>
      </c>
      <c r="L21" s="12">
        <f t="shared" si="70"/>
        <v>884.90000000000009</v>
      </c>
      <c r="M21" s="12">
        <f>M17-M20</f>
        <v>1000</v>
      </c>
      <c r="N21" s="12">
        <f t="shared" ref="N21:Q21" si="71">N17-N20</f>
        <v>922.7</v>
      </c>
      <c r="O21" s="12">
        <f t="shared" si="71"/>
        <v>1055.5480000000002</v>
      </c>
      <c r="P21" s="12">
        <f>P17-P20</f>
        <v>1121.5999999999999</v>
      </c>
      <c r="Q21" s="12">
        <f t="shared" si="71"/>
        <v>1264.7</v>
      </c>
      <c r="R21" s="12">
        <f>R17-R20</f>
        <v>1247.1000000000001</v>
      </c>
      <c r="S21" s="12">
        <f>S17-S20</f>
        <v>1318.3999999999996</v>
      </c>
      <c r="T21" s="12">
        <f t="shared" ref="T21:U21" si="72">T17-T20</f>
        <v>1173.2999999999997</v>
      </c>
      <c r="U21" s="12">
        <f t="shared" si="72"/>
        <v>1249.3999999999996</v>
      </c>
      <c r="V21" s="12">
        <f t="shared" ref="V21:Y21" si="73">V17-V20</f>
        <v>1258.4000000000001</v>
      </c>
      <c r="W21" s="12">
        <f t="shared" si="73"/>
        <v>1224.9000000000003</v>
      </c>
      <c r="X21" s="12">
        <f>X17-X20</f>
        <v>1169.1000000000004</v>
      </c>
      <c r="Y21" s="12">
        <f t="shared" si="73"/>
        <v>1413.0999999999997</v>
      </c>
      <c r="Z21" s="12">
        <f t="shared" ref="Z21:AB21" si="74">Z17-Z20</f>
        <v>1303</v>
      </c>
      <c r="AA21" s="12">
        <f t="shared" si="74"/>
        <v>1322.1000000000004</v>
      </c>
      <c r="AB21" s="12">
        <f t="shared" si="74"/>
        <v>1285.7999999999997</v>
      </c>
      <c r="AC21" s="12">
        <f t="shared" ref="AC21:AG21" si="75">AC17-AC20</f>
        <v>1202.7999999999997</v>
      </c>
      <c r="AD21" s="12">
        <f t="shared" si="75"/>
        <v>1327.2999999999997</v>
      </c>
      <c r="AE21" s="12">
        <f t="shared" si="75"/>
        <v>1439.3000000000002</v>
      </c>
      <c r="AF21" s="12">
        <f t="shared" si="75"/>
        <v>1314.6000000000001</v>
      </c>
      <c r="AG21" s="12">
        <f t="shared" si="75"/>
        <v>1146.9999999999998</v>
      </c>
      <c r="AH21" s="12"/>
      <c r="AI21" s="12"/>
      <c r="AJ21" s="12"/>
      <c r="AK21" s="12"/>
      <c r="AR21" s="12">
        <f t="shared" ref="AR21:AT21" si="76">AR17-AR20</f>
        <v>-1981</v>
      </c>
      <c r="AS21" s="12">
        <f t="shared" si="76"/>
        <v>4338.0879999999997</v>
      </c>
      <c r="AT21" s="12">
        <f t="shared" si="76"/>
        <v>5003.4999999999991</v>
      </c>
      <c r="AU21" s="12">
        <f t="shared" ref="AU21:BG21" si="77">AU17-AU20</f>
        <v>4901.8000000000011</v>
      </c>
      <c r="AV21" s="12">
        <f t="shared" si="77"/>
        <v>5324</v>
      </c>
      <c r="AW21" s="12">
        <f t="shared" si="77"/>
        <v>5185.1999999999989</v>
      </c>
      <c r="AX21" s="12">
        <f t="shared" si="77"/>
        <v>10275.067999999999</v>
      </c>
      <c r="AY21" s="12">
        <f t="shared" si="77"/>
        <v>10627.167279999998</v>
      </c>
      <c r="AZ21" s="12">
        <f t="shared" si="77"/>
        <v>10911.638292799998</v>
      </c>
      <c r="BA21" s="12">
        <f t="shared" si="77"/>
        <v>11084.848105727999</v>
      </c>
      <c r="BB21" s="12">
        <f t="shared" si="77"/>
        <v>10908.635857785279</v>
      </c>
      <c r="BC21" s="12">
        <f t="shared" si="77"/>
        <v>11369.178130163129</v>
      </c>
      <c r="BD21" s="12">
        <f t="shared" si="77"/>
        <v>11208.464463874761</v>
      </c>
      <c r="BE21" s="12">
        <f t="shared" si="77"/>
        <v>11399.083602519806</v>
      </c>
      <c r="BF21" s="12">
        <f t="shared" si="77"/>
        <v>11389.155789227658</v>
      </c>
      <c r="BG21" s="12">
        <f t="shared" si="77"/>
        <v>11436.33807208307</v>
      </c>
      <c r="BH21" s="12">
        <f t="shared" ref="BH21:BL21" si="78">BH17-BH20</f>
        <v>11530.732446523929</v>
      </c>
      <c r="BI21" s="12">
        <f t="shared" si="78"/>
        <v>11664.464932127199</v>
      </c>
      <c r="BJ21" s="12">
        <f t="shared" si="78"/>
        <v>11831.282087505762</v>
      </c>
      <c r="BK21" s="12">
        <f t="shared" si="78"/>
        <v>12026.228261687926</v>
      </c>
      <c r="BL21" s="12">
        <f t="shared" si="78"/>
        <v>6933.7907845693635</v>
      </c>
    </row>
    <row r="22" spans="2:124" s="2" customFormat="1" x14ac:dyDescent="0.25">
      <c r="B22" s="2" t="s">
        <v>117</v>
      </c>
      <c r="C22" s="12">
        <f>10.543-18.686</f>
        <v>-8.1430000000000007</v>
      </c>
      <c r="D22" s="12">
        <f>13.971-18.744</f>
        <v>-4.7729999999999997</v>
      </c>
      <c r="E22" s="12">
        <f>15.615-14.868</f>
        <v>0.74699999999999989</v>
      </c>
      <c r="F22" s="12">
        <f>18.076-14.837</f>
        <v>3.2390000000000008</v>
      </c>
      <c r="G22" s="12">
        <f>17.628-14.548</f>
        <v>3.08</v>
      </c>
      <c r="H22" s="12">
        <f>12.359-14.249</f>
        <v>-1.8900000000000006</v>
      </c>
      <c r="I22" s="12">
        <f>12.576-14.136</f>
        <v>-1.5599999999999987</v>
      </c>
      <c r="J22" s="12">
        <f>4.243-13.871</f>
        <v>-9.6280000000000001</v>
      </c>
      <c r="K22" s="12">
        <f>3.1-13.856</f>
        <v>-10.756</v>
      </c>
      <c r="L22" s="12">
        <f>2.3-16.3</f>
        <v>-14</v>
      </c>
      <c r="M22" s="12">
        <f>1.5-15.7</f>
        <v>-14.2</v>
      </c>
      <c r="N22" s="12">
        <f>1.1-15.5</f>
        <v>-14.4</v>
      </c>
      <c r="O22" s="12">
        <f>1.116-15.255</f>
        <v>-14.139000000000001</v>
      </c>
      <c r="P22" s="12">
        <f>1.2-15.1</f>
        <v>-13.9</v>
      </c>
      <c r="Q22" s="12">
        <f>1.6-14.9</f>
        <v>-13.3</v>
      </c>
      <c r="R22" s="12">
        <f>10.8-14.6</f>
        <v>-3.7999999999999989</v>
      </c>
      <c r="S22" s="12">
        <f>46-13.7</f>
        <v>32.299999999999997</v>
      </c>
      <c r="T22" s="12">
        <f>86-11.6</f>
        <v>74.400000000000006</v>
      </c>
      <c r="U22" s="12">
        <f>122.6-11.4-5.1</f>
        <v>106.1</v>
      </c>
      <c r="V22" s="2">
        <f>144.7-11.2+2</f>
        <v>135.5</v>
      </c>
      <c r="W22" s="2">
        <f>167.9-10.9-9.7</f>
        <v>147.30000000000001</v>
      </c>
      <c r="X22" s="2">
        <f>179.5-10.6-9.8</f>
        <v>159.1</v>
      </c>
      <c r="Y22" s="2">
        <f>181.2-10.4-4.2</f>
        <v>166.6</v>
      </c>
      <c r="Z22" s="2">
        <f>156.5-9.9-10.4</f>
        <v>136.19999999999999</v>
      </c>
      <c r="AA22" s="2">
        <f>132.2-7.5-6.1</f>
        <v>118.6</v>
      </c>
      <c r="AB22" s="2">
        <f>128.2-2.8-7.7</f>
        <v>117.69999999999999</v>
      </c>
      <c r="AC22" s="2">
        <f>+AB22</f>
        <v>117.69999999999999</v>
      </c>
      <c r="AD22" s="2">
        <v>7.8</v>
      </c>
      <c r="AE22" s="2">
        <f>125.7-3.3</f>
        <v>122.4</v>
      </c>
      <c r="AF22" s="2">
        <f>121.9-3.3</f>
        <v>118.60000000000001</v>
      </c>
      <c r="AG22" s="2">
        <v>114.8</v>
      </c>
      <c r="AT22" s="2">
        <f t="shared" ref="AT22:AT24" si="79">SUM(Q22:T22)</f>
        <v>89.6</v>
      </c>
      <c r="AU22" s="2">
        <f>SUM(U22:X22)</f>
        <v>548</v>
      </c>
      <c r="AV22" s="2">
        <f>SUM(Y22:AB22)</f>
        <v>539.09999999999991</v>
      </c>
      <c r="AW22" s="2">
        <f t="shared" ref="AW22:AW24" si="80">SUM(AD22:AG22)</f>
        <v>363.6</v>
      </c>
      <c r="AX22" s="2">
        <f t="shared" ref="AV22:BI22" si="81">+AW34*$BO$32</f>
        <v>689.31</v>
      </c>
      <c r="AY22" s="2">
        <f t="shared" si="81"/>
        <v>952.45507199999986</v>
      </c>
      <c r="AZ22" s="2">
        <f t="shared" si="81"/>
        <v>1230.3660084479998</v>
      </c>
      <c r="BA22" s="2">
        <f t="shared" si="81"/>
        <v>1521.7741116779519</v>
      </c>
      <c r="BB22" s="2">
        <f t="shared" si="81"/>
        <v>1824.3330448956947</v>
      </c>
      <c r="BC22" s="2">
        <f t="shared" si="81"/>
        <v>2129.9242985600381</v>
      </c>
      <c r="BD22" s="2">
        <f t="shared" si="81"/>
        <v>2453.9027568493939</v>
      </c>
      <c r="BE22" s="2">
        <f t="shared" si="81"/>
        <v>2781.7995701467735</v>
      </c>
      <c r="BF22" s="2">
        <f t="shared" si="81"/>
        <v>3122.1407662907714</v>
      </c>
      <c r="BG22" s="2">
        <f t="shared" si="81"/>
        <v>3470.4118836232142</v>
      </c>
      <c r="BH22" s="2">
        <f t="shared" si="81"/>
        <v>3828.1738825601651</v>
      </c>
      <c r="BI22" s="2">
        <f t="shared" si="81"/>
        <v>4196.7876344581828</v>
      </c>
      <c r="BJ22" s="2">
        <f t="shared" ref="BJ22:BL22" si="82">+BI34*$BO$32</f>
        <v>4577.4576960562326</v>
      </c>
      <c r="BK22" s="2">
        <f>+BJ34*$BO$32</f>
        <v>4971.2674508617201</v>
      </c>
      <c r="BL22" s="2">
        <f t="shared" si="82"/>
        <v>5379.2073479629116</v>
      </c>
    </row>
    <row r="23" spans="2:124" x14ac:dyDescent="0.25">
      <c r="B23" s="2" t="s">
        <v>118</v>
      </c>
      <c r="C23" s="12">
        <f t="shared" ref="C23:D23" si="83">+C21+C22</f>
        <v>195.79700000000005</v>
      </c>
      <c r="D23" s="12">
        <f t="shared" si="83"/>
        <v>151.78</v>
      </c>
      <c r="E23" s="12">
        <f t="shared" ref="E23:F23" si="84">+E21+E22</f>
        <v>277.30200000000008</v>
      </c>
      <c r="F23" s="12">
        <f t="shared" si="84"/>
        <v>272.8189999999999</v>
      </c>
      <c r="G23" s="12">
        <f t="shared" ref="G23:J23" si="85">+G21+G22</f>
        <v>105.54400000000005</v>
      </c>
      <c r="H23" s="12">
        <f t="shared" si="85"/>
        <v>394.81000000000006</v>
      </c>
      <c r="I23" s="12">
        <f t="shared" si="85"/>
        <v>720.15699999999993</v>
      </c>
      <c r="J23" s="12">
        <f t="shared" si="85"/>
        <v>717.572</v>
      </c>
      <c r="K23" s="12">
        <f>+K21+K22</f>
        <v>663.01400000000001</v>
      </c>
      <c r="L23" s="12">
        <f>+L21+L22</f>
        <v>870.90000000000009</v>
      </c>
      <c r="M23" s="12">
        <f>+M21+M22</f>
        <v>985.8</v>
      </c>
      <c r="N23" s="12">
        <f t="shared" ref="N23:Q23" si="86">+N21+N22</f>
        <v>908.30000000000007</v>
      </c>
      <c r="O23" s="12">
        <f t="shared" si="86"/>
        <v>1041.4090000000003</v>
      </c>
      <c r="P23" s="12">
        <f t="shared" si="86"/>
        <v>1107.6999999999998</v>
      </c>
      <c r="Q23" s="12">
        <f t="shared" si="86"/>
        <v>1251.4000000000001</v>
      </c>
      <c r="R23" s="12">
        <f t="shared" ref="R23" si="87">+R21+R22</f>
        <v>1243.3000000000002</v>
      </c>
      <c r="S23" s="12">
        <f t="shared" ref="S23" si="88">+S21+S22</f>
        <v>1350.6999999999996</v>
      </c>
      <c r="T23" s="12">
        <f t="shared" ref="T23:AG23" si="89">+T21+T22</f>
        <v>1247.6999999999998</v>
      </c>
      <c r="U23" s="12">
        <f t="shared" si="89"/>
        <v>1355.4999999999995</v>
      </c>
      <c r="V23" s="12">
        <f t="shared" si="89"/>
        <v>1393.9</v>
      </c>
      <c r="W23" s="12">
        <f t="shared" si="89"/>
        <v>1372.2000000000003</v>
      </c>
      <c r="X23" s="12">
        <f t="shared" si="89"/>
        <v>1328.2000000000003</v>
      </c>
      <c r="Y23" s="12">
        <f t="shared" si="89"/>
        <v>1579.6999999999996</v>
      </c>
      <c r="Z23" s="12">
        <f t="shared" si="89"/>
        <v>1439.2</v>
      </c>
      <c r="AA23" s="12">
        <f t="shared" si="89"/>
        <v>1440.7000000000003</v>
      </c>
      <c r="AB23" s="12">
        <f t="shared" si="89"/>
        <v>1403.4999999999998</v>
      </c>
      <c r="AC23" s="12">
        <f t="shared" si="89"/>
        <v>1320.4999999999998</v>
      </c>
      <c r="AD23" s="12">
        <f t="shared" si="89"/>
        <v>1335.0999999999997</v>
      </c>
      <c r="AE23" s="12">
        <f t="shared" si="89"/>
        <v>1561.7000000000003</v>
      </c>
      <c r="AF23" s="12">
        <f t="shared" si="89"/>
        <v>1433.2</v>
      </c>
      <c r="AG23" s="12">
        <f t="shared" si="89"/>
        <v>1261.7999999999997</v>
      </c>
      <c r="AH23" s="12"/>
      <c r="AI23" s="12"/>
      <c r="AJ23" s="12"/>
      <c r="AK23" s="12"/>
      <c r="AT23" s="2">
        <f>+AT21+AT22</f>
        <v>5093.0999999999995</v>
      </c>
      <c r="AU23" s="2">
        <f t="shared" ref="AU23:BG23" si="90">+AU21+AU22</f>
        <v>5449.8000000000011</v>
      </c>
      <c r="AV23" s="2">
        <f t="shared" si="90"/>
        <v>5863.1</v>
      </c>
      <c r="AW23" s="2">
        <f t="shared" si="90"/>
        <v>5548.7999999999993</v>
      </c>
      <c r="AX23" s="2">
        <f t="shared" si="90"/>
        <v>10964.377999999999</v>
      </c>
      <c r="AY23" s="2">
        <f t="shared" si="90"/>
        <v>11579.622351999999</v>
      </c>
      <c r="AZ23" s="2">
        <f t="shared" si="90"/>
        <v>12142.004301247998</v>
      </c>
      <c r="BA23" s="2">
        <f t="shared" si="90"/>
        <v>12606.622217405951</v>
      </c>
      <c r="BB23" s="2">
        <f t="shared" si="90"/>
        <v>12732.968902680974</v>
      </c>
      <c r="BC23" s="2">
        <f t="shared" si="90"/>
        <v>13499.102428723167</v>
      </c>
      <c r="BD23" s="2">
        <f t="shared" si="90"/>
        <v>13662.367220724154</v>
      </c>
      <c r="BE23" s="2">
        <f t="shared" si="90"/>
        <v>14180.883172666579</v>
      </c>
      <c r="BF23" s="2">
        <f t="shared" si="90"/>
        <v>14511.296555518429</v>
      </c>
      <c r="BG23" s="2">
        <f t="shared" si="90"/>
        <v>14906.749955706284</v>
      </c>
      <c r="BH23" s="2">
        <f t="shared" ref="BH23:BL23" si="91">+BH21+BH22</f>
        <v>15358.906329084093</v>
      </c>
      <c r="BI23" s="2">
        <f t="shared" si="91"/>
        <v>15861.252566585383</v>
      </c>
      <c r="BJ23" s="2">
        <f t="shared" si="91"/>
        <v>16408.739783561996</v>
      </c>
      <c r="BK23" s="2">
        <f t="shared" si="91"/>
        <v>16997.495712549644</v>
      </c>
      <c r="BL23" s="2">
        <f t="shared" si="91"/>
        <v>12312.998132532275</v>
      </c>
    </row>
    <row r="24" spans="2:124" s="2" customFormat="1" x14ac:dyDescent="0.25">
      <c r="B24" s="2" t="s">
        <v>119</v>
      </c>
      <c r="C24" s="12">
        <v>8.0549999999999997</v>
      </c>
      <c r="D24" s="12">
        <v>0</v>
      </c>
      <c r="E24" s="12">
        <v>51.533999999999999</v>
      </c>
      <c r="F24" s="12">
        <v>59.710999999999999</v>
      </c>
      <c r="G24" s="12">
        <v>13.148</v>
      </c>
      <c r="H24" s="12">
        <v>93.715999999999994</v>
      </c>
      <c r="I24" s="12">
        <v>54.780999999999999</v>
      </c>
      <c r="J24" s="12">
        <v>-12.5</v>
      </c>
      <c r="K24" s="12">
        <v>78.436999999999998</v>
      </c>
      <c r="L24" s="12">
        <v>198</v>
      </c>
      <c r="M24" s="12">
        <v>206</v>
      </c>
      <c r="N24" s="12">
        <v>10.9</v>
      </c>
      <c r="O24" s="12">
        <v>230.81299999999999</v>
      </c>
      <c r="P24" s="12">
        <v>239</v>
      </c>
      <c r="Q24" s="12">
        <v>249</v>
      </c>
      <c r="R24" s="12">
        <v>258.60000000000002</v>
      </c>
      <c r="S24" s="12">
        <v>245.9</v>
      </c>
      <c r="T24" s="12">
        <v>257.89999999999998</v>
      </c>
      <c r="U24" s="12">
        <v>214.4</v>
      </c>
      <c r="V24" s="2">
        <v>269.39999999999998</v>
      </c>
      <c r="W24" s="2">
        <v>256.8</v>
      </c>
      <c r="X24" s="2">
        <v>178.8</v>
      </c>
      <c r="Y24" s="2">
        <v>261.10000000000002</v>
      </c>
      <c r="Z24" s="2">
        <v>300.60000000000002</v>
      </c>
      <c r="AA24" s="2">
        <v>282.7</v>
      </c>
      <c r="AB24" s="2">
        <v>279.7</v>
      </c>
      <c r="AC24" s="2">
        <f>+AC23*0.1</f>
        <v>132.04999999999998</v>
      </c>
      <c r="AD24" s="2">
        <v>282.2</v>
      </c>
      <c r="AE24" s="2">
        <v>263.7</v>
      </c>
      <c r="AF24" s="2">
        <v>200.9</v>
      </c>
      <c r="AG24" s="2">
        <v>280.10000000000002</v>
      </c>
      <c r="AT24" s="2">
        <f t="shared" si="79"/>
        <v>1011.4</v>
      </c>
      <c r="AU24" s="2">
        <f>SUM(U24:X24)</f>
        <v>919.39999999999986</v>
      </c>
      <c r="AV24" s="2">
        <f>SUM(Y24:AB24)</f>
        <v>1124.1000000000001</v>
      </c>
      <c r="AW24" s="2">
        <f t="shared" si="80"/>
        <v>1026.9000000000001</v>
      </c>
      <c r="AX24" s="2">
        <f t="shared" ref="AV24:BG24" si="92">+AX23*0.2</f>
        <v>2192.8755999999998</v>
      </c>
      <c r="AY24" s="2">
        <f t="shared" si="92"/>
        <v>2315.9244703999998</v>
      </c>
      <c r="AZ24" s="2">
        <f t="shared" si="92"/>
        <v>2428.4008602495996</v>
      </c>
      <c r="BA24" s="2">
        <f t="shared" si="92"/>
        <v>2521.3244434811904</v>
      </c>
      <c r="BB24" s="2">
        <f t="shared" si="92"/>
        <v>2546.593780536195</v>
      </c>
      <c r="BC24" s="2">
        <f t="shared" si="92"/>
        <v>2699.8204857446335</v>
      </c>
      <c r="BD24" s="2">
        <f t="shared" si="92"/>
        <v>2732.4734441448309</v>
      </c>
      <c r="BE24" s="2">
        <f t="shared" si="92"/>
        <v>2836.1766345333162</v>
      </c>
      <c r="BF24" s="2">
        <f t="shared" si="92"/>
        <v>2902.2593111036858</v>
      </c>
      <c r="BG24" s="2">
        <f t="shared" si="92"/>
        <v>2981.3499911412569</v>
      </c>
      <c r="BH24" s="2">
        <f t="shared" ref="BH24:BL24" si="93">+BH23*0.2</f>
        <v>3071.7812658168186</v>
      </c>
      <c r="BI24" s="2">
        <f t="shared" si="93"/>
        <v>3172.2505133170766</v>
      </c>
      <c r="BJ24" s="2">
        <f>+BJ23*0.2</f>
        <v>3281.7479567123992</v>
      </c>
      <c r="BK24" s="2">
        <f>+BK23*0.2</f>
        <v>3399.4991425099288</v>
      </c>
      <c r="BL24" s="2">
        <f t="shared" si="93"/>
        <v>2462.599626506455</v>
      </c>
    </row>
    <row r="25" spans="2:124" x14ac:dyDescent="0.25">
      <c r="B25" s="2" t="s">
        <v>120</v>
      </c>
      <c r="C25" s="12">
        <f t="shared" ref="C25:D25" si="94">+C23-C24</f>
        <v>187.74200000000005</v>
      </c>
      <c r="D25" s="12">
        <f t="shared" si="94"/>
        <v>151.78</v>
      </c>
      <c r="E25" s="12">
        <f t="shared" ref="E25:F25" si="95">+E23-E24</f>
        <v>225.76800000000009</v>
      </c>
      <c r="F25" s="12">
        <f t="shared" si="95"/>
        <v>213.10799999999989</v>
      </c>
      <c r="G25" s="12">
        <f t="shared" ref="G25:J25" si="96">+G23-G24</f>
        <v>92.396000000000058</v>
      </c>
      <c r="H25" s="12">
        <f t="shared" si="96"/>
        <v>301.09400000000005</v>
      </c>
      <c r="I25" s="12">
        <f t="shared" si="96"/>
        <v>665.37599999999998</v>
      </c>
      <c r="J25" s="12">
        <f t="shared" si="96"/>
        <v>730.072</v>
      </c>
      <c r="K25" s="12">
        <f>+K23-K24</f>
        <v>584.577</v>
      </c>
      <c r="L25" s="12">
        <f>+L23-L24</f>
        <v>672.90000000000009</v>
      </c>
      <c r="M25" s="12">
        <f>+M23-M24</f>
        <v>779.8</v>
      </c>
      <c r="N25" s="12">
        <f t="shared" ref="N25:Y25" si="97">+N23-N24</f>
        <v>897.40000000000009</v>
      </c>
      <c r="O25" s="12">
        <f t="shared" si="97"/>
        <v>810.59600000000034</v>
      </c>
      <c r="P25" s="12">
        <f t="shared" si="97"/>
        <v>868.69999999999982</v>
      </c>
      <c r="Q25" s="12">
        <f t="shared" si="97"/>
        <v>1002.4000000000001</v>
      </c>
      <c r="R25" s="12">
        <f t="shared" si="97"/>
        <v>984.70000000000016</v>
      </c>
      <c r="S25" s="12">
        <f t="shared" si="97"/>
        <v>1104.7999999999995</v>
      </c>
      <c r="T25" s="12">
        <f t="shared" si="97"/>
        <v>989.79999999999984</v>
      </c>
      <c r="U25" s="12">
        <f t="shared" si="97"/>
        <v>1141.0999999999995</v>
      </c>
      <c r="V25" s="12">
        <f t="shared" si="97"/>
        <v>1124.5</v>
      </c>
      <c r="W25" s="12">
        <f t="shared" si="97"/>
        <v>1115.4000000000003</v>
      </c>
      <c r="X25" s="12">
        <f t="shared" si="97"/>
        <v>1149.4000000000003</v>
      </c>
      <c r="Y25" s="12">
        <f t="shared" si="97"/>
        <v>1318.5999999999995</v>
      </c>
      <c r="Z25" s="12">
        <f t="shared" ref="Z25:AG25" si="98">+Z23-Z24</f>
        <v>1138.5999999999999</v>
      </c>
      <c r="AA25" s="12">
        <f t="shared" si="98"/>
        <v>1158.0000000000002</v>
      </c>
      <c r="AB25" s="12">
        <f t="shared" si="98"/>
        <v>1123.7999999999997</v>
      </c>
      <c r="AC25" s="12">
        <f t="shared" si="98"/>
        <v>1188.4499999999998</v>
      </c>
      <c r="AD25" s="12">
        <f t="shared" si="98"/>
        <v>1052.8999999999996</v>
      </c>
      <c r="AE25" s="12">
        <f t="shared" si="98"/>
        <v>1298.0000000000002</v>
      </c>
      <c r="AF25" s="12">
        <f t="shared" si="98"/>
        <v>1232.3</v>
      </c>
      <c r="AG25" s="12">
        <f t="shared" si="98"/>
        <v>981.6999999999997</v>
      </c>
      <c r="AH25" s="12"/>
      <c r="AI25" s="12"/>
      <c r="AJ25" s="12"/>
      <c r="AK25" s="12"/>
      <c r="AT25" s="2">
        <f>+AT23-AT24</f>
        <v>4081.6999999999994</v>
      </c>
      <c r="AU25" s="2">
        <f t="shared" ref="AU25:BA25" si="99">+AU23-AU24</f>
        <v>4530.4000000000015</v>
      </c>
      <c r="AV25" s="2">
        <f t="shared" si="99"/>
        <v>4739</v>
      </c>
      <c r="AW25" s="2">
        <f t="shared" si="99"/>
        <v>4521.8999999999996</v>
      </c>
      <c r="AX25" s="2">
        <f t="shared" si="99"/>
        <v>8771.5023999999994</v>
      </c>
      <c r="AY25" s="2">
        <f t="shared" si="99"/>
        <v>9263.6978815999992</v>
      </c>
      <c r="AZ25" s="2">
        <f t="shared" si="99"/>
        <v>9713.6034409983986</v>
      </c>
      <c r="BA25" s="2">
        <f t="shared" si="99"/>
        <v>10085.297773924762</v>
      </c>
      <c r="BB25" s="2">
        <f t="shared" ref="BB25:BG25" si="100">+BB23-BB24</f>
        <v>10186.375122144778</v>
      </c>
      <c r="BC25" s="2">
        <f t="shared" si="100"/>
        <v>10799.281942978534</v>
      </c>
      <c r="BD25" s="2">
        <f t="shared" si="100"/>
        <v>10929.893776579323</v>
      </c>
      <c r="BE25" s="2">
        <f t="shared" si="100"/>
        <v>11344.706538133263</v>
      </c>
      <c r="BF25" s="2">
        <f t="shared" si="100"/>
        <v>11609.037244414743</v>
      </c>
      <c r="BG25" s="2">
        <f t="shared" si="100"/>
        <v>11925.399964565027</v>
      </c>
      <c r="BH25" s="2">
        <f t="shared" ref="BH25:BL25" si="101">+BH23-BH24</f>
        <v>12287.125063267275</v>
      </c>
      <c r="BI25" s="2">
        <f t="shared" si="101"/>
        <v>12689.002053268307</v>
      </c>
      <c r="BJ25" s="2">
        <f t="shared" si="101"/>
        <v>13126.991826849597</v>
      </c>
      <c r="BK25" s="2">
        <f t="shared" si="101"/>
        <v>13597.996570039715</v>
      </c>
      <c r="BL25" s="2">
        <f t="shared" si="101"/>
        <v>9850.3985060258201</v>
      </c>
      <c r="BM25" s="2">
        <f t="shared" ref="BM25:CR25" si="102">+BL25*(1+$BO$30)</f>
        <v>9357.8785807245295</v>
      </c>
      <c r="BN25" s="2">
        <f t="shared" si="102"/>
        <v>8889.9846516883026</v>
      </c>
      <c r="BO25" s="2">
        <f t="shared" si="102"/>
        <v>8445.4854191038867</v>
      </c>
      <c r="BP25" s="2">
        <f t="shared" si="102"/>
        <v>8023.2111481486918</v>
      </c>
      <c r="BQ25" s="2">
        <f t="shared" si="102"/>
        <v>7622.0505907412571</v>
      </c>
      <c r="BR25" s="2">
        <f t="shared" si="102"/>
        <v>7240.9480612041943</v>
      </c>
      <c r="BS25" s="2">
        <f t="shared" si="102"/>
        <v>6878.9006581439844</v>
      </c>
      <c r="BT25" s="2">
        <f t="shared" si="102"/>
        <v>6534.9556252367847</v>
      </c>
      <c r="BU25" s="2">
        <f t="shared" si="102"/>
        <v>6208.2078439749448</v>
      </c>
      <c r="BV25" s="2">
        <f t="shared" si="102"/>
        <v>5897.7974517761977</v>
      </c>
      <c r="BW25" s="2">
        <f t="shared" si="102"/>
        <v>5602.9075791873875</v>
      </c>
      <c r="BX25" s="2">
        <f t="shared" si="102"/>
        <v>5322.7622002280177</v>
      </c>
      <c r="BY25" s="2">
        <f t="shared" si="102"/>
        <v>5056.6240902166164</v>
      </c>
      <c r="BZ25" s="2">
        <f t="shared" si="102"/>
        <v>4803.792885705785</v>
      </c>
      <c r="CA25" s="2">
        <f t="shared" si="102"/>
        <v>4563.6032414204956</v>
      </c>
      <c r="CB25" s="2">
        <f t="shared" si="102"/>
        <v>4335.4230793494708</v>
      </c>
      <c r="CC25" s="2">
        <f t="shared" si="102"/>
        <v>4118.651925381997</v>
      </c>
      <c r="CD25" s="2">
        <f t="shared" si="102"/>
        <v>3912.719329112897</v>
      </c>
      <c r="CE25" s="2">
        <f t="shared" si="102"/>
        <v>3717.0833626572521</v>
      </c>
      <c r="CF25" s="2">
        <f t="shared" si="102"/>
        <v>3531.2291945243892</v>
      </c>
      <c r="CG25" s="2">
        <f t="shared" si="102"/>
        <v>3354.6677347981695</v>
      </c>
      <c r="CH25" s="2">
        <f t="shared" si="102"/>
        <v>3186.9343480582606</v>
      </c>
      <c r="CI25" s="2">
        <f t="shared" si="102"/>
        <v>3027.5876306553473</v>
      </c>
      <c r="CJ25" s="2">
        <f t="shared" si="102"/>
        <v>2876.2082491225797</v>
      </c>
      <c r="CK25" s="2">
        <f t="shared" si="102"/>
        <v>2732.3978366664505</v>
      </c>
      <c r="CL25" s="2">
        <f t="shared" si="102"/>
        <v>2595.777944833128</v>
      </c>
      <c r="CM25" s="2">
        <f t="shared" si="102"/>
        <v>2465.9890475914713</v>
      </c>
      <c r="CN25" s="2">
        <f t="shared" si="102"/>
        <v>2342.6895952118975</v>
      </c>
      <c r="CO25" s="2">
        <f t="shared" si="102"/>
        <v>2225.5551154513028</v>
      </c>
      <c r="CP25" s="2">
        <f t="shared" si="102"/>
        <v>2114.2773596787374</v>
      </c>
      <c r="CQ25" s="2">
        <f t="shared" si="102"/>
        <v>2008.5634916948004</v>
      </c>
      <c r="CR25" s="2">
        <f t="shared" si="102"/>
        <v>1908.1353171100602</v>
      </c>
      <c r="CS25" s="2">
        <f t="shared" ref="CS25:DT25" si="103">+CR25*(1+$BO$30)</f>
        <v>1812.728551254557</v>
      </c>
      <c r="CT25" s="2">
        <f t="shared" si="103"/>
        <v>1722.0921236918291</v>
      </c>
      <c r="CU25" s="2">
        <f t="shared" si="103"/>
        <v>1635.9875175072375</v>
      </c>
      <c r="CV25" s="2">
        <f t="shared" si="103"/>
        <v>1554.1881416318756</v>
      </c>
      <c r="CW25" s="2">
        <f t="shared" si="103"/>
        <v>1476.4787345502818</v>
      </c>
      <c r="CX25" s="2">
        <f t="shared" si="103"/>
        <v>1402.6547978227677</v>
      </c>
      <c r="CY25" s="2">
        <f t="shared" si="103"/>
        <v>1332.5220579316292</v>
      </c>
      <c r="CZ25" s="2">
        <f t="shared" si="103"/>
        <v>1265.8959550350478</v>
      </c>
      <c r="DA25" s="2">
        <f t="shared" si="103"/>
        <v>1202.6011572832954</v>
      </c>
      <c r="DB25" s="2">
        <f t="shared" si="103"/>
        <v>1142.4710994191305</v>
      </c>
      <c r="DC25" s="2">
        <f t="shared" si="103"/>
        <v>1085.3475444481739</v>
      </c>
      <c r="DD25" s="2">
        <f t="shared" si="103"/>
        <v>1031.0801672257653</v>
      </c>
      <c r="DE25" s="2">
        <f t="shared" si="103"/>
        <v>979.526158864477</v>
      </c>
      <c r="DF25" s="2">
        <f t="shared" si="103"/>
        <v>930.5498509212531</v>
      </c>
      <c r="DG25" s="2">
        <f t="shared" si="103"/>
        <v>884.02235837519038</v>
      </c>
      <c r="DH25" s="2">
        <f t="shared" si="103"/>
        <v>839.82124045643081</v>
      </c>
      <c r="DI25" s="2">
        <f t="shared" si="103"/>
        <v>797.83017843360926</v>
      </c>
      <c r="DJ25" s="2">
        <f t="shared" si="103"/>
        <v>757.93866951192877</v>
      </c>
      <c r="DK25" s="2">
        <f t="shared" si="103"/>
        <v>720.04173603633228</v>
      </c>
      <c r="DL25" s="2">
        <f t="shared" si="103"/>
        <v>684.03964923451565</v>
      </c>
      <c r="DM25" s="2">
        <f t="shared" si="103"/>
        <v>649.83766677278982</v>
      </c>
      <c r="DN25" s="2">
        <f t="shared" si="103"/>
        <v>617.34578343415035</v>
      </c>
      <c r="DO25" s="2">
        <f t="shared" si="103"/>
        <v>586.47849426244284</v>
      </c>
      <c r="DP25" s="2">
        <f t="shared" si="103"/>
        <v>557.15456954932063</v>
      </c>
      <c r="DQ25" s="2">
        <f t="shared" si="103"/>
        <v>529.2968410718546</v>
      </c>
      <c r="DR25" s="2">
        <f t="shared" si="103"/>
        <v>502.83199901826185</v>
      </c>
      <c r="DS25" s="2">
        <f t="shared" si="103"/>
        <v>477.69039906734872</v>
      </c>
      <c r="DT25" s="2">
        <f t="shared" si="103"/>
        <v>453.80587911398129</v>
      </c>
    </row>
    <row r="26" spans="2:124" s="1" customFormat="1" x14ac:dyDescent="0.25">
      <c r="B26" s="1" t="s">
        <v>121</v>
      </c>
      <c r="C26" s="21">
        <f t="shared" ref="C26:D26" si="104">+C25/C27</f>
        <v>0.72267387254222692</v>
      </c>
      <c r="D26" s="21">
        <f t="shared" si="104"/>
        <v>0.58419164626730091</v>
      </c>
      <c r="E26" s="21">
        <f t="shared" ref="E26:G26" si="105">+E25/E27</f>
        <v>0.86775439607956217</v>
      </c>
      <c r="F26" s="21">
        <f t="shared" si="105"/>
        <v>0.82020768064290128</v>
      </c>
      <c r="G26" s="21">
        <f t="shared" si="105"/>
        <v>0.35472390612462734</v>
      </c>
      <c r="H26" s="21">
        <f t="shared" ref="H26:I26" si="106">+H25/H27</f>
        <v>1.1487402139576055</v>
      </c>
      <c r="I26" s="21">
        <f t="shared" si="106"/>
        <v>2.5250023717814924</v>
      </c>
      <c r="J26" s="21">
        <f t="shared" ref="J26:K26" si="107">+J25/J27</f>
        <v>2.771692046028329</v>
      </c>
      <c r="K26" s="21">
        <f t="shared" si="107"/>
        <v>2.2136444018645935</v>
      </c>
      <c r="L26" s="21">
        <f t="shared" ref="L26:P26" si="108">+L25/L27</f>
        <v>2.5575826681870013</v>
      </c>
      <c r="M26" s="21">
        <f t="shared" si="108"/>
        <v>2.9774723176785032</v>
      </c>
      <c r="N26" s="21">
        <f t="shared" si="108"/>
        <v>3.438314176245211</v>
      </c>
      <c r="O26" s="21">
        <f t="shared" si="108"/>
        <v>3.1211942689261374</v>
      </c>
      <c r="P26" s="21">
        <f t="shared" si="108"/>
        <v>3.3801556420233454</v>
      </c>
      <c r="Q26" s="21">
        <f>+Q25/Q27</f>
        <v>3.8867778208607993</v>
      </c>
      <c r="R26" s="21">
        <f t="shared" ref="R26:Y26" si="109">+R25/R27</f>
        <v>3.8063393892539628</v>
      </c>
      <c r="S26" s="21">
        <f t="shared" si="109"/>
        <v>4.2574181117533696</v>
      </c>
      <c r="T26" s="21">
        <f t="shared" si="109"/>
        <v>3.8025355359200916</v>
      </c>
      <c r="U26" s="21">
        <f t="shared" si="109"/>
        <v>4.3837879369957715</v>
      </c>
      <c r="V26" s="21">
        <f t="shared" si="109"/>
        <v>4.3183563748079878</v>
      </c>
      <c r="W26" s="21">
        <f t="shared" si="109"/>
        <v>4.280122793553339</v>
      </c>
      <c r="X26" s="21">
        <f t="shared" si="109"/>
        <v>4.4055193560751258</v>
      </c>
      <c r="Y26" s="21">
        <f t="shared" si="109"/>
        <v>5.0501723477594762</v>
      </c>
      <c r="Z26" s="21">
        <f t="shared" ref="Z26:AG26" si="110">+Z25/Z27</f>
        <v>4.411468423091824</v>
      </c>
      <c r="AA26" s="21">
        <f t="shared" si="110"/>
        <v>4.4367816091954033</v>
      </c>
      <c r="AB26" s="21">
        <f t="shared" si="110"/>
        <v>4.3140115163147783</v>
      </c>
      <c r="AC26" s="21">
        <f t="shared" si="110"/>
        <v>4.5797687861271665</v>
      </c>
      <c r="AD26" s="21">
        <f t="shared" si="110"/>
        <v>4.0668211664735407</v>
      </c>
      <c r="AE26" s="21">
        <f t="shared" si="110"/>
        <v>5.0388198757763982</v>
      </c>
      <c r="AF26" s="21">
        <f t="shared" si="110"/>
        <v>4.8117922686450596</v>
      </c>
      <c r="AG26" s="21">
        <f t="shared" si="110"/>
        <v>3.8302770191182196</v>
      </c>
      <c r="AH26" s="21"/>
      <c r="AI26" s="21"/>
      <c r="AJ26" s="21"/>
      <c r="AK26" s="21"/>
      <c r="AT26" s="1">
        <f>+AT25/AT27</f>
        <v>15.753377074488615</v>
      </c>
      <c r="AU26" s="1">
        <f t="shared" ref="AU26:BG26" si="111">+AU25/AU27</f>
        <v>17.38783342928421</v>
      </c>
      <c r="AV26" s="1">
        <f t="shared" si="111"/>
        <v>18.214663207456518</v>
      </c>
      <c r="AW26" s="1">
        <f t="shared" si="111"/>
        <v>17.525046022672221</v>
      </c>
      <c r="AX26" s="1">
        <f t="shared" si="111"/>
        <v>33.994777250266445</v>
      </c>
      <c r="AY26" s="1">
        <f t="shared" si="111"/>
        <v>35.902326834996607</v>
      </c>
      <c r="AZ26" s="1">
        <f t="shared" si="111"/>
        <v>37.645977874230788</v>
      </c>
      <c r="BA26" s="1">
        <f t="shared" si="111"/>
        <v>39.086513996414155</v>
      </c>
      <c r="BB26" s="1">
        <f t="shared" si="111"/>
        <v>39.478248705143997</v>
      </c>
      <c r="BC26" s="1">
        <f t="shared" si="111"/>
        <v>41.853626365579053</v>
      </c>
      <c r="BD26" s="1">
        <f t="shared" si="111"/>
        <v>42.359824732407034</v>
      </c>
      <c r="BE26" s="1">
        <f t="shared" si="111"/>
        <v>43.967470354164377</v>
      </c>
      <c r="BF26" s="1">
        <f t="shared" si="111"/>
        <v>44.991908708128065</v>
      </c>
      <c r="BG26" s="1">
        <f t="shared" si="111"/>
        <v>46.218001994244851</v>
      </c>
      <c r="BH26" s="1">
        <f t="shared" ref="BH26:BL26" si="112">+BH25/BH27</f>
        <v>47.619901417565259</v>
      </c>
      <c r="BI26" s="1">
        <f t="shared" si="112"/>
        <v>49.177413247818265</v>
      </c>
      <c r="BJ26" s="1">
        <f t="shared" si="112"/>
        <v>50.874883545585107</v>
      </c>
      <c r="BK26" s="1">
        <f t="shared" si="112"/>
        <v>52.700306443328039</v>
      </c>
      <c r="BL26" s="1">
        <f t="shared" si="112"/>
        <v>38.176139932277188</v>
      </c>
    </row>
    <row r="27" spans="2:124" s="2" customFormat="1" x14ac:dyDescent="0.25">
      <c r="B27" s="2" t="s">
        <v>1</v>
      </c>
      <c r="C27" s="12">
        <v>259.78800000000001</v>
      </c>
      <c r="D27" s="12">
        <v>259.81200000000001</v>
      </c>
      <c r="E27" s="12">
        <v>260.17500000000001</v>
      </c>
      <c r="F27" s="12">
        <v>259.822</v>
      </c>
      <c r="G27" s="12">
        <v>260.47300000000001</v>
      </c>
      <c r="H27" s="12">
        <v>262.108</v>
      </c>
      <c r="I27" s="12">
        <v>263.51499999999999</v>
      </c>
      <c r="J27" s="12">
        <v>263.40300000000002</v>
      </c>
      <c r="K27" s="12">
        <v>264.07900000000001</v>
      </c>
      <c r="L27" s="12">
        <v>263.10000000000002</v>
      </c>
      <c r="M27" s="12">
        <v>261.89999999999998</v>
      </c>
      <c r="N27" s="12">
        <v>261</v>
      </c>
      <c r="O27" s="12">
        <v>259.70699999999999</v>
      </c>
      <c r="P27" s="12">
        <v>257</v>
      </c>
      <c r="Q27" s="12">
        <v>257.89999999999998</v>
      </c>
      <c r="R27" s="12">
        <v>258.7</v>
      </c>
      <c r="S27" s="12">
        <v>259.5</v>
      </c>
      <c r="T27" s="12">
        <v>260.3</v>
      </c>
      <c r="U27" s="12">
        <v>260.3</v>
      </c>
      <c r="V27" s="2">
        <v>260.39999999999998</v>
      </c>
      <c r="W27" s="2">
        <v>260.60000000000002</v>
      </c>
      <c r="X27" s="2">
        <v>260.89999999999998</v>
      </c>
      <c r="Y27" s="2">
        <v>261.10000000000002</v>
      </c>
      <c r="Z27" s="2">
        <v>258.10000000000002</v>
      </c>
      <c r="AA27" s="2">
        <v>261</v>
      </c>
      <c r="AB27" s="2">
        <v>260.5</v>
      </c>
      <c r="AC27" s="2">
        <v>259.5</v>
      </c>
      <c r="AD27" s="2">
        <v>258.89999999999998</v>
      </c>
      <c r="AE27" s="2">
        <v>257.60000000000002</v>
      </c>
      <c r="AF27" s="2">
        <v>256.10000000000002</v>
      </c>
      <c r="AG27" s="2">
        <v>256.3</v>
      </c>
      <c r="AT27" s="2">
        <f>AVERAGE(Q27:T27)</f>
        <v>259.09999999999997</v>
      </c>
      <c r="AU27" s="2">
        <f>AVERAGE(U27:X27)</f>
        <v>260.55</v>
      </c>
      <c r="AV27" s="2">
        <f>AVERAGE(Y27:AB27)</f>
        <v>260.17500000000001</v>
      </c>
      <c r="AW27" s="2">
        <f>AVERAGE(AC27:AF27)</f>
        <v>258.02499999999998</v>
      </c>
      <c r="AX27" s="2">
        <f t="shared" ref="AV27:BG27" si="113">+AW27</f>
        <v>258.02499999999998</v>
      </c>
      <c r="AY27" s="2">
        <f t="shared" si="113"/>
        <v>258.02499999999998</v>
      </c>
      <c r="AZ27" s="2">
        <f t="shared" si="113"/>
        <v>258.02499999999998</v>
      </c>
      <c r="BA27" s="2">
        <f t="shared" si="113"/>
        <v>258.02499999999998</v>
      </c>
      <c r="BB27" s="2">
        <f t="shared" si="113"/>
        <v>258.02499999999998</v>
      </c>
      <c r="BC27" s="2">
        <f t="shared" si="113"/>
        <v>258.02499999999998</v>
      </c>
      <c r="BD27" s="2">
        <f t="shared" si="113"/>
        <v>258.02499999999998</v>
      </c>
      <c r="BE27" s="2">
        <f t="shared" si="113"/>
        <v>258.02499999999998</v>
      </c>
      <c r="BF27" s="2">
        <f t="shared" si="113"/>
        <v>258.02499999999998</v>
      </c>
      <c r="BG27" s="2">
        <f t="shared" si="113"/>
        <v>258.02499999999998</v>
      </c>
      <c r="BH27" s="2">
        <f t="shared" ref="BH27" si="114">+BG27</f>
        <v>258.02499999999998</v>
      </c>
      <c r="BI27" s="2">
        <f t="shared" ref="BI27" si="115">+BH27</f>
        <v>258.02499999999998</v>
      </c>
      <c r="BJ27" s="2">
        <f t="shared" ref="BJ27" si="116">+BI27</f>
        <v>258.02499999999998</v>
      </c>
      <c r="BK27" s="2">
        <f t="shared" ref="BK27" si="117">+BJ27</f>
        <v>258.02499999999998</v>
      </c>
      <c r="BL27" s="2">
        <f t="shared" ref="BL27" si="118">+BK27</f>
        <v>258.02499999999998</v>
      </c>
    </row>
    <row r="29" spans="2:124" s="26" customFormat="1" ht="13" x14ac:dyDescent="0.3">
      <c r="B29" s="13" t="s">
        <v>291</v>
      </c>
      <c r="C29" s="24"/>
      <c r="D29" s="24"/>
      <c r="E29" s="24"/>
      <c r="F29" s="24"/>
      <c r="G29" s="25">
        <f t="shared" ref="G29:P29" si="119">+G15/C15-1</f>
        <v>0.21328224776500648</v>
      </c>
      <c r="H29" s="25">
        <f t="shared" si="119"/>
        <v>0.44493886310784858</v>
      </c>
      <c r="I29" s="25">
        <f t="shared" si="119"/>
        <v>0.76535979547461963</v>
      </c>
      <c r="J29" s="25">
        <f t="shared" si="119"/>
        <v>0.62012853473169161</v>
      </c>
      <c r="K29" s="25">
        <f t="shared" si="119"/>
        <v>0.61894736842105269</v>
      </c>
      <c r="L29" s="25">
        <f t="shared" si="119"/>
        <v>0.29435163086714389</v>
      </c>
      <c r="M29" s="25">
        <f t="shared" si="119"/>
        <v>0.13749174917491747</v>
      </c>
      <c r="N29" s="25">
        <f t="shared" si="119"/>
        <v>0.176856468118604</v>
      </c>
      <c r="O29" s="25">
        <f t="shared" si="119"/>
        <v>0.28998699609882972</v>
      </c>
      <c r="P29" s="25">
        <f t="shared" si="119"/>
        <v>0.27350952673632456</v>
      </c>
      <c r="Q29" s="25">
        <f t="shared" ref="Q29:T29" si="120">+Q15/M15-1</f>
        <v>0.21714153078396103</v>
      </c>
      <c r="R29" s="25">
        <f t="shared" si="120"/>
        <v>0.2246376811594204</v>
      </c>
      <c r="S29" s="25">
        <f t="shared" si="120"/>
        <v>0.17656249999999996</v>
      </c>
      <c r="T29" s="25">
        <f t="shared" si="120"/>
        <v>0.1114864864864864</v>
      </c>
      <c r="U29" s="25">
        <f t="shared" ref="U29" si="121">+U15/Q15-1</f>
        <v>0.13220500595947549</v>
      </c>
      <c r="V29" s="25">
        <f t="shared" ref="V29" si="122">+V15/R15-1</f>
        <v>0.13482020937642258</v>
      </c>
      <c r="W29" s="25">
        <f t="shared" ref="W29" si="123">+W15/S15-1</f>
        <v>6.3959216895857818E-2</v>
      </c>
      <c r="X29" s="25">
        <f t="shared" ref="X29:Y29" si="124">+X15/T15-1</f>
        <v>9.3226226660877209E-2</v>
      </c>
      <c r="Y29" s="25">
        <f t="shared" si="124"/>
        <v>0.13297961933636526</v>
      </c>
      <c r="Z29" s="25">
        <f t="shared" ref="Z29" si="125">+Z15/V15-1</f>
        <v>6.1126263436547257E-2</v>
      </c>
      <c r="AA29" s="25">
        <f>+AA15/W15-1</f>
        <v>0.11608149460460604</v>
      </c>
      <c r="AB29" s="25">
        <f t="shared" ref="AB29" si="126">+AB15/X15-1</f>
        <v>0.15661119275529245</v>
      </c>
      <c r="AC29" s="25">
        <f>+AC15/Y15-1</f>
        <v>2.9584479298297772E-2</v>
      </c>
      <c r="AD29" s="25">
        <f t="shared" ref="AD29" si="127">+AD15/Z15-1</f>
        <v>0.12061536135470208</v>
      </c>
      <c r="AE29" s="25">
        <f t="shared" ref="AE29" si="128">+AE15/AA15-1</f>
        <v>0.10985244777950132</v>
      </c>
      <c r="AF29" s="25">
        <f t="shared" ref="AF29:AG29" si="129">+AF15/AB15-1</f>
        <v>9.5467032967033072E-2</v>
      </c>
      <c r="AG29" s="25">
        <f t="shared" si="129"/>
        <v>7.822539888816693E-2</v>
      </c>
      <c r="AH29" s="25">
        <f t="shared" ref="AH29" si="130">+AH15/AD15-1</f>
        <v>1.4908759739602706E-2</v>
      </c>
      <c r="AI29" s="25">
        <f t="shared" ref="AI29" si="131">+AI15/AE15-1</f>
        <v>-1.4790014302431542E-2</v>
      </c>
      <c r="AJ29" s="25">
        <f t="shared" ref="AJ29" si="132">+AJ15/AF15-1</f>
        <v>-4.2978056426332456E-2</v>
      </c>
      <c r="AK29" s="25"/>
      <c r="AT29" s="30">
        <f>+AT15/AS15-1</f>
        <v>0.17938019093393875</v>
      </c>
      <c r="AU29" s="30">
        <f>+AU15/AT15-1</f>
        <v>0.10496204572426637</v>
      </c>
      <c r="AV29" s="30">
        <f>+AV15/AU15-1</f>
        <v>0.11660401446911095</v>
      </c>
      <c r="AW29" s="30">
        <f>+AW15/AV15-1</f>
        <v>0.10870137294579929</v>
      </c>
      <c r="AX29" s="30">
        <f t="shared" ref="AX29:BL29" si="133">+AX15/AW15-1</f>
        <v>1.3226387297429865E-2</v>
      </c>
      <c r="AY29" s="30">
        <f t="shared" si="133"/>
        <v>3.426734304824075E-2</v>
      </c>
      <c r="AZ29" s="30">
        <f t="shared" si="133"/>
        <v>2.6768282205867466E-2</v>
      </c>
      <c r="BA29" s="30">
        <f t="shared" si="133"/>
        <v>1.5873859477388619E-2</v>
      </c>
      <c r="BB29" s="30">
        <f t="shared" si="133"/>
        <v>-1.5896676820647215E-2</v>
      </c>
      <c r="BC29" s="30">
        <f t="shared" si="133"/>
        <v>4.2218136014611884E-2</v>
      </c>
      <c r="BD29" s="30">
        <f t="shared" si="133"/>
        <v>-1.4135908897581984E-2</v>
      </c>
      <c r="BE29" s="30">
        <f t="shared" si="133"/>
        <v>-6.9228566882681974E-3</v>
      </c>
      <c r="BF29" s="30">
        <f t="shared" si="133"/>
        <v>-8.7093082552291978E-4</v>
      </c>
      <c r="BG29" s="30">
        <f t="shared" si="133"/>
        <v>4.1427375065004046E-3</v>
      </c>
      <c r="BH29" s="30">
        <f t="shared" si="133"/>
        <v>8.2538985683962007E-3</v>
      </c>
      <c r="BI29" s="30">
        <f t="shared" si="133"/>
        <v>1.1597917671187119E-2</v>
      </c>
      <c r="BJ29" s="30">
        <f t="shared" si="133"/>
        <v>1.4301312263291344E-2</v>
      </c>
      <c r="BK29" s="30">
        <f t="shared" si="133"/>
        <v>1.6477180811032444E-2</v>
      </c>
      <c r="BL29" s="30">
        <f t="shared" si="133"/>
        <v>-0.40955136339758358</v>
      </c>
    </row>
    <row r="30" spans="2:124" x14ac:dyDescent="0.25">
      <c r="B30" s="2" t="s">
        <v>174</v>
      </c>
      <c r="C30" s="19">
        <f t="shared" ref="C30" si="134">C17/C15</f>
        <v>0.85791187739463604</v>
      </c>
      <c r="D30" s="19">
        <f t="shared" ref="D30:H30" si="135">D17/D15</f>
        <v>0.8594271053058109</v>
      </c>
      <c r="E30" s="19">
        <f t="shared" si="135"/>
        <v>0.88919366754371454</v>
      </c>
      <c r="F30" s="19">
        <f t="shared" si="135"/>
        <v>0.8557358650587249</v>
      </c>
      <c r="G30" s="19">
        <f t="shared" si="135"/>
        <v>0.86114315789473683</v>
      </c>
      <c r="H30" s="19">
        <f t="shared" si="135"/>
        <v>0.8528146380270486</v>
      </c>
      <c r="I30" s="19">
        <f t="shared" ref="I30:J30" si="136">I17/I15</f>
        <v>0.8927412541254125</v>
      </c>
      <c r="J30" s="19">
        <f t="shared" si="136"/>
        <v>0.87896877459984257</v>
      </c>
      <c r="K30" s="19">
        <f t="shared" ref="K30:L30" si="137">K17/K15</f>
        <v>0.87894538361508456</v>
      </c>
      <c r="L30" s="19">
        <f t="shared" si="137"/>
        <v>0.87516902274124164</v>
      </c>
      <c r="M30" s="19">
        <f t="shared" ref="M30:P30" si="138">M17/M15</f>
        <v>0.888411768119306</v>
      </c>
      <c r="N30" s="19">
        <f t="shared" si="138"/>
        <v>0.87290969899665549</v>
      </c>
      <c r="O30" s="19">
        <f t="shared" si="138"/>
        <v>0.88079032258064516</v>
      </c>
      <c r="P30" s="19">
        <f t="shared" si="138"/>
        <v>0.88059845559845551</v>
      </c>
      <c r="Q30" s="19">
        <f t="shared" ref="Q30:R30" si="139">Q17/Q15</f>
        <v>0.93048867699642435</v>
      </c>
      <c r="R30" s="19">
        <f t="shared" si="139"/>
        <v>0.88083750568957675</v>
      </c>
      <c r="S30" s="19">
        <f>S17/S15</f>
        <v>0.8770509360407831</v>
      </c>
      <c r="T30" s="19">
        <f>T17/T15</f>
        <v>0.87802865827181931</v>
      </c>
      <c r="U30" s="19">
        <f t="shared" ref="U30:X30" si="140">U17/U15</f>
        <v>0.88841165571837633</v>
      </c>
      <c r="V30" s="19">
        <f t="shared" si="140"/>
        <v>0.87694529119204234</v>
      </c>
      <c r="W30" s="19">
        <f t="shared" si="140"/>
        <v>0.87236269930745691</v>
      </c>
      <c r="X30" s="19">
        <f t="shared" si="140"/>
        <v>0.85534416332366847</v>
      </c>
      <c r="Y30" s="19">
        <f t="shared" ref="Y30:AF30" si="141">Y17/Y15</f>
        <v>0.87519512376421604</v>
      </c>
      <c r="Z30" s="19">
        <f t="shared" si="141"/>
        <v>0.86203507710916238</v>
      </c>
      <c r="AA30" s="19">
        <f t="shared" si="141"/>
        <v>0.86085356614596498</v>
      </c>
      <c r="AB30" s="19">
        <f t="shared" si="141"/>
        <v>0.85703983516483506</v>
      </c>
      <c r="AC30" s="19">
        <f t="shared" si="141"/>
        <v>0.87170601400620895</v>
      </c>
      <c r="AD30" s="19">
        <f t="shared" si="141"/>
        <v>0.86511282760481667</v>
      </c>
      <c r="AE30" s="19">
        <f t="shared" si="141"/>
        <v>0.86770250942660254</v>
      </c>
      <c r="AF30" s="19">
        <f t="shared" si="141"/>
        <v>0.87000000000000011</v>
      </c>
      <c r="AG30" s="19">
        <f t="shared" ref="AG30:AJ30" si="142">AG17/AG15</f>
        <v>0.87123773812313776</v>
      </c>
      <c r="AH30" s="19">
        <f t="shared" si="142"/>
        <v>0</v>
      </c>
      <c r="AI30" s="19">
        <f t="shared" si="142"/>
        <v>0</v>
      </c>
      <c r="AJ30" s="19">
        <f t="shared" si="142"/>
        <v>0</v>
      </c>
      <c r="AK30" s="19"/>
      <c r="AS30" s="19">
        <f t="shared" ref="AS30:AT30" si="143">AS17/AS15</f>
        <v>0.88060528435424446</v>
      </c>
      <c r="AT30" s="19">
        <f t="shared" si="143"/>
        <v>0.89078349268904367</v>
      </c>
      <c r="AU30" s="19">
        <f t="shared" ref="AU30:BG30" si="144">AU17/AU15</f>
        <v>0.87304064118022551</v>
      </c>
      <c r="AV30" s="19">
        <f t="shared" si="144"/>
        <v>0.86363100153356143</v>
      </c>
      <c r="AW30" s="19">
        <f t="shared" si="144"/>
        <v>0.86501882468489111</v>
      </c>
      <c r="AX30" s="19">
        <f t="shared" si="144"/>
        <v>0.92999999999999994</v>
      </c>
      <c r="AY30" s="19">
        <f t="shared" si="144"/>
        <v>0.92999999999999994</v>
      </c>
      <c r="AZ30" s="19">
        <f t="shared" si="144"/>
        <v>0.93</v>
      </c>
      <c r="BA30" s="19">
        <f t="shared" si="144"/>
        <v>0.92999999999999994</v>
      </c>
      <c r="BB30" s="19">
        <f t="shared" si="144"/>
        <v>0.93</v>
      </c>
      <c r="BC30" s="19">
        <f t="shared" si="144"/>
        <v>0.92999999999999994</v>
      </c>
      <c r="BD30" s="19">
        <f t="shared" si="144"/>
        <v>0.92999999999999994</v>
      </c>
      <c r="BE30" s="19">
        <f t="shared" si="144"/>
        <v>0.95</v>
      </c>
      <c r="BF30" s="19">
        <f t="shared" si="144"/>
        <v>0.95</v>
      </c>
      <c r="BG30" s="19">
        <f t="shared" si="144"/>
        <v>0.95000000000000007</v>
      </c>
      <c r="BH30" s="19">
        <f t="shared" ref="BH30:BL30" si="145">BH17/BH15</f>
        <v>0.95000000000000007</v>
      </c>
      <c r="BI30" s="19">
        <f t="shared" si="145"/>
        <v>0.95</v>
      </c>
      <c r="BJ30" s="19">
        <f t="shared" si="145"/>
        <v>0.95000000000000007</v>
      </c>
      <c r="BK30" s="19">
        <f t="shared" si="145"/>
        <v>0.95000000000000007</v>
      </c>
      <c r="BL30" s="19">
        <f t="shared" si="145"/>
        <v>0.92999999999999994</v>
      </c>
      <c r="BN30" t="s">
        <v>285</v>
      </c>
      <c r="BO30" s="23">
        <v>-0.05</v>
      </c>
    </row>
    <row r="31" spans="2:124" x14ac:dyDescent="0.25">
      <c r="B31" s="2" t="s">
        <v>281</v>
      </c>
      <c r="C31" s="19">
        <f t="shared" ref="C31" si="146">+C18/C15</f>
        <v>0.17534482758620687</v>
      </c>
      <c r="D31" s="19">
        <f t="shared" ref="D31:H31" si="147">+D18/D15</f>
        <v>0.17611701131006641</v>
      </c>
      <c r="E31" s="19">
        <f t="shared" si="147"/>
        <v>0.1713447730201752</v>
      </c>
      <c r="F31" s="19">
        <f t="shared" si="147"/>
        <v>0.16632993698673523</v>
      </c>
      <c r="G31" s="19">
        <f t="shared" si="147"/>
        <v>0.16807789473684212</v>
      </c>
      <c r="H31" s="19">
        <f t="shared" si="147"/>
        <v>0.15535163086714399</v>
      </c>
      <c r="I31" s="19">
        <f t="shared" ref="I31:J31" si="148">+I18/I15</f>
        <v>0.12030231023102311</v>
      </c>
      <c r="J31" s="19">
        <f t="shared" si="148"/>
        <v>0.12581999475203359</v>
      </c>
      <c r="K31" s="19">
        <f t="shared" ref="K31:S31" si="149">+K18/K15</f>
        <v>0.11999414824447334</v>
      </c>
      <c r="L31" s="19">
        <f t="shared" si="149"/>
        <v>0.107559926244622</v>
      </c>
      <c r="M31" s="19">
        <f t="shared" si="149"/>
        <v>8.7622584576103987E-2</v>
      </c>
      <c r="N31" s="19">
        <f t="shared" si="149"/>
        <v>0.1084726867335563</v>
      </c>
      <c r="O31" s="19">
        <f t="shared" si="149"/>
        <v>9.9893649193548387E-2</v>
      </c>
      <c r="P31" s="19">
        <f t="shared" si="149"/>
        <v>0.10135135135135136</v>
      </c>
      <c r="Q31" s="19">
        <f t="shared" si="149"/>
        <v>7.9618593563766382E-2</v>
      </c>
      <c r="R31" s="19">
        <f t="shared" si="149"/>
        <v>7.8880291306326816E-2</v>
      </c>
      <c r="S31" s="19">
        <f t="shared" si="149"/>
        <v>7.7282268774364921E-2</v>
      </c>
      <c r="T31" s="19">
        <f>+T18/T15</f>
        <v>9.7959183673469383E-2</v>
      </c>
      <c r="U31" s="19">
        <f t="shared" ref="U31:X31" si="150">+U18/U15</f>
        <v>8.2912245241704582E-2</v>
      </c>
      <c r="V31" s="19">
        <f t="shared" si="150"/>
        <v>8.8079576447938374E-2</v>
      </c>
      <c r="W31" s="19">
        <f t="shared" si="150"/>
        <v>8.6849734256724098E-2</v>
      </c>
      <c r="X31" s="19">
        <f t="shared" si="150"/>
        <v>0.11343686698176907</v>
      </c>
      <c r="Y31" s="19">
        <f t="shared" ref="Y31:AB31" si="151">+Y18/Y15</f>
        <v>0.1010926930796105</v>
      </c>
      <c r="Z31" s="19">
        <f t="shared" si="151"/>
        <v>0.10598729966737223</v>
      </c>
      <c r="AA31" s="19">
        <f t="shared" si="151"/>
        <v>0.10826508892817202</v>
      </c>
      <c r="AB31" s="19">
        <f t="shared" si="151"/>
        <v>0.10649038461538463</v>
      </c>
      <c r="AC31" s="19">
        <f t="shared" ref="AC31:AF31" si="152">+AC18/AC15</f>
        <v>0.12020792722547109</v>
      </c>
      <c r="AD31" s="19">
        <f t="shared" si="152"/>
        <v>0.12122643100482343</v>
      </c>
      <c r="AE31" s="19">
        <f t="shared" si="152"/>
        <v>0.11994539071642178</v>
      </c>
      <c r="AF31" s="19">
        <f t="shared" si="152"/>
        <v>0.15266457680250783</v>
      </c>
      <c r="AG31" s="19">
        <f t="shared" ref="AG31:AJ31" si="153">+AG18/AG15</f>
        <v>0.16528842612742309</v>
      </c>
      <c r="AH31" s="19">
        <f t="shared" si="153"/>
        <v>0</v>
      </c>
      <c r="AI31" s="19">
        <f t="shared" si="153"/>
        <v>0</v>
      </c>
      <c r="AJ31" s="19">
        <f t="shared" si="153"/>
        <v>0</v>
      </c>
      <c r="AK31" s="19"/>
      <c r="AS31" s="19"/>
      <c r="AT31" s="19">
        <f>+AT18/AT15</f>
        <v>8.3555386372287793E-2</v>
      </c>
      <c r="AU31" s="19">
        <f t="shared" ref="AU31:BG31" si="154">+AU18/AU15</f>
        <v>9.2995450538538693E-2</v>
      </c>
      <c r="AV31" s="19">
        <f t="shared" si="154"/>
        <v>0.10549813522563317</v>
      </c>
      <c r="AW31" s="19">
        <f t="shared" si="154"/>
        <v>0.1398837780324112</v>
      </c>
      <c r="AX31" s="19">
        <f t="shared" si="154"/>
        <v>0.10000000000000002</v>
      </c>
      <c r="AY31" s="19">
        <f t="shared" si="154"/>
        <v>0.1</v>
      </c>
      <c r="AZ31" s="19">
        <f t="shared" si="154"/>
        <v>0.10000000000000002</v>
      </c>
      <c r="BA31" s="19">
        <f t="shared" si="154"/>
        <v>0.1</v>
      </c>
      <c r="BB31" s="19">
        <f t="shared" si="154"/>
        <v>0.1</v>
      </c>
      <c r="BC31" s="19">
        <f t="shared" si="154"/>
        <v>0.1</v>
      </c>
      <c r="BD31" s="19">
        <f t="shared" si="154"/>
        <v>0.1</v>
      </c>
      <c r="BE31" s="19">
        <f t="shared" si="154"/>
        <v>0.10000000000000002</v>
      </c>
      <c r="BF31" s="19">
        <f t="shared" si="154"/>
        <v>0.10000000000000002</v>
      </c>
      <c r="BG31" s="19">
        <f t="shared" si="154"/>
        <v>0.10000000000000002</v>
      </c>
      <c r="BH31" s="19">
        <f t="shared" ref="BH31:BL31" si="155">+BH18/BH15</f>
        <v>0.10000000000000002</v>
      </c>
      <c r="BI31" s="19">
        <f t="shared" si="155"/>
        <v>0.10000000000000002</v>
      </c>
      <c r="BJ31" s="19">
        <f t="shared" si="155"/>
        <v>0.1</v>
      </c>
      <c r="BK31" s="19">
        <f t="shared" si="155"/>
        <v>0.10000000000000002</v>
      </c>
      <c r="BL31" s="19">
        <f t="shared" si="155"/>
        <v>0.1</v>
      </c>
      <c r="BN31" t="s">
        <v>283</v>
      </c>
      <c r="BO31" s="23">
        <v>0.06</v>
      </c>
    </row>
    <row r="32" spans="2:124" x14ac:dyDescent="0.25">
      <c r="B32" s="2" t="s">
        <v>177</v>
      </c>
      <c r="C32" s="19">
        <f t="shared" ref="C32" si="156">C24/C23</f>
        <v>4.1139547592659732E-2</v>
      </c>
      <c r="D32" s="19">
        <f t="shared" ref="D32:H32" si="157">D24/D23</f>
        <v>0</v>
      </c>
      <c r="E32" s="19">
        <f t="shared" si="157"/>
        <v>0.18584070796460173</v>
      </c>
      <c r="F32" s="19">
        <f t="shared" si="157"/>
        <v>0.21886672115945011</v>
      </c>
      <c r="G32" s="19">
        <f t="shared" si="157"/>
        <v>0.1245736375350564</v>
      </c>
      <c r="H32" s="19">
        <f t="shared" si="157"/>
        <v>0.23736987411666366</v>
      </c>
      <c r="I32" s="19">
        <f t="shared" ref="I32:J32" si="158">I24/I23</f>
        <v>7.6068135142753596E-2</v>
      </c>
      <c r="J32" s="19">
        <f t="shared" si="158"/>
        <v>-1.7419854732347417E-2</v>
      </c>
      <c r="K32" s="19">
        <f t="shared" ref="K32:L32" si="159">K24/K23</f>
        <v>0.1183036858950188</v>
      </c>
      <c r="L32" s="19">
        <f t="shared" si="159"/>
        <v>0.22735101619014811</v>
      </c>
      <c r="M32" s="19">
        <f>M24/M23</f>
        <v>0.20896733617366606</v>
      </c>
      <c r="N32" s="19">
        <f t="shared" ref="N32:T32" si="160">N24/N23</f>
        <v>1.2000440383133325E-2</v>
      </c>
      <c r="O32" s="19">
        <f t="shared" si="160"/>
        <v>0.22163530370872531</v>
      </c>
      <c r="P32" s="19">
        <f t="shared" si="160"/>
        <v>0.21576239053895463</v>
      </c>
      <c r="Q32" s="19">
        <f t="shared" si="160"/>
        <v>0.19897714559693142</v>
      </c>
      <c r="R32" s="19">
        <f t="shared" si="160"/>
        <v>0.20799485240891175</v>
      </c>
      <c r="S32" s="19">
        <f t="shared" si="160"/>
        <v>0.18205374990745546</v>
      </c>
      <c r="T32" s="19">
        <f t="shared" si="160"/>
        <v>0.20670032860463253</v>
      </c>
      <c r="U32" s="19">
        <f t="shared" ref="U32:X32" si="161">U24/U23</f>
        <v>0.15817041682036154</v>
      </c>
      <c r="V32" s="19">
        <f t="shared" si="161"/>
        <v>0.1932706793887653</v>
      </c>
      <c r="W32" s="19">
        <f t="shared" si="161"/>
        <v>0.18714473108876253</v>
      </c>
      <c r="X32" s="19">
        <f t="shared" si="161"/>
        <v>0.13461828037946091</v>
      </c>
      <c r="Y32" s="19">
        <f t="shared" ref="Y32:AB32" si="162">Y24/Y23</f>
        <v>0.16528454769893022</v>
      </c>
      <c r="Z32" s="19">
        <f t="shared" si="162"/>
        <v>0.20886603668704837</v>
      </c>
      <c r="AA32" s="19">
        <f t="shared" si="162"/>
        <v>0.19622405774970497</v>
      </c>
      <c r="AB32" s="19">
        <f t="shared" si="162"/>
        <v>0.19928749554684719</v>
      </c>
      <c r="AC32" s="19">
        <f t="shared" ref="AC32:AF32" si="163">AC24/AC23</f>
        <v>0.1</v>
      </c>
      <c r="AD32" s="19">
        <f t="shared" si="163"/>
        <v>0.21136993483634189</v>
      </c>
      <c r="AE32" s="19">
        <f t="shared" si="163"/>
        <v>0.16885445348018183</v>
      </c>
      <c r="AF32" s="19">
        <f t="shared" si="163"/>
        <v>0.14017583030979627</v>
      </c>
      <c r="AG32" s="19">
        <f t="shared" ref="AG32:AJ32" si="164">AG24/AG23</f>
        <v>0.22198446663496599</v>
      </c>
      <c r="AH32" s="19" t="e">
        <f t="shared" si="164"/>
        <v>#DIV/0!</v>
      </c>
      <c r="AI32" s="19" t="e">
        <f t="shared" si="164"/>
        <v>#DIV/0!</v>
      </c>
      <c r="AJ32" s="19" t="e">
        <f t="shared" si="164"/>
        <v>#DIV/0!</v>
      </c>
      <c r="AK32" s="19"/>
      <c r="AT32" s="23">
        <f>+AT24/AT23</f>
        <v>0.19858239579038309</v>
      </c>
      <c r="AU32" s="23">
        <f t="shared" ref="AU32:BG32" si="165">+AU24/AU23</f>
        <v>0.16870343865829932</v>
      </c>
      <c r="AV32" s="23">
        <f t="shared" si="165"/>
        <v>0.19172451433541984</v>
      </c>
      <c r="AW32" s="23">
        <f t="shared" si="165"/>
        <v>0.1850670415224914</v>
      </c>
      <c r="AX32" s="23">
        <f t="shared" si="165"/>
        <v>0.2</v>
      </c>
      <c r="AY32" s="23">
        <f t="shared" si="165"/>
        <v>0.2</v>
      </c>
      <c r="AZ32" s="23">
        <f t="shared" si="165"/>
        <v>0.2</v>
      </c>
      <c r="BA32" s="23">
        <f t="shared" si="165"/>
        <v>0.2</v>
      </c>
      <c r="BB32" s="23">
        <f t="shared" si="165"/>
        <v>0.2</v>
      </c>
      <c r="BC32" s="23">
        <f t="shared" si="165"/>
        <v>0.2</v>
      </c>
      <c r="BD32" s="23">
        <f t="shared" si="165"/>
        <v>0.2</v>
      </c>
      <c r="BE32" s="23">
        <f t="shared" si="165"/>
        <v>0.20000000000000004</v>
      </c>
      <c r="BF32" s="23">
        <f t="shared" si="165"/>
        <v>0.2</v>
      </c>
      <c r="BG32" s="23">
        <f t="shared" si="165"/>
        <v>0.2</v>
      </c>
      <c r="BH32" s="23">
        <f t="shared" ref="BH32:BL32" si="166">+BH24/BH23</f>
        <v>0.2</v>
      </c>
      <c r="BI32" s="23">
        <f t="shared" si="166"/>
        <v>0.2</v>
      </c>
      <c r="BJ32" s="23">
        <f t="shared" si="166"/>
        <v>0.2</v>
      </c>
      <c r="BK32" s="23">
        <f t="shared" si="166"/>
        <v>0.2</v>
      </c>
      <c r="BL32" s="23">
        <f t="shared" si="166"/>
        <v>0.2</v>
      </c>
      <c r="BN32" t="s">
        <v>282</v>
      </c>
      <c r="BO32" s="23">
        <v>0.03</v>
      </c>
    </row>
    <row r="33" spans="2:67" x14ac:dyDescent="0.25">
      <c r="BN33" t="s">
        <v>284</v>
      </c>
      <c r="BO33" s="2">
        <f>NPV(BO31,AW25:CT25)+Main!M5-Main!M6</f>
        <v>148874.8734287566</v>
      </c>
    </row>
    <row r="34" spans="2:67" s="2" customFormat="1" x14ac:dyDescent="0.25">
      <c r="B34" s="2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>
        <f>6304.33+619.638</f>
        <v>6923.9679999999998</v>
      </c>
      <c r="N34" s="12">
        <f>6063.678+644.315</f>
        <v>6707.9930000000004</v>
      </c>
      <c r="O34" s="12">
        <f>6275.698+685.187</f>
        <v>6960.8850000000002</v>
      </c>
      <c r="P34" s="12">
        <f>6795+729.9</f>
        <v>7524.9</v>
      </c>
      <c r="Q34" s="12">
        <f>7600.1+638</f>
        <v>8238.1</v>
      </c>
      <c r="R34" s="12">
        <f>8702.2+551.2</f>
        <v>9253.4000000000015</v>
      </c>
      <c r="S34" s="12">
        <f>9171.5+599.2</f>
        <v>9770.7000000000007</v>
      </c>
      <c r="T34" s="12">
        <f>10504+274.5</f>
        <v>10778.5</v>
      </c>
      <c r="U34" s="12">
        <f>9289.9+1124.2+1081.5</f>
        <v>11495.6</v>
      </c>
      <c r="V34" s="2">
        <f>10151.1+1085.2+1357.3</f>
        <v>12593.6</v>
      </c>
      <c r="W34" s="2">
        <f>11110.2+818+1700</f>
        <v>13628.2</v>
      </c>
      <c r="X34" s="2">
        <f>10369.1+849.2+2497.8</f>
        <v>13716.100000000002</v>
      </c>
      <c r="Y34" s="2">
        <f>9158+1013.3+4381.4</f>
        <v>14552.699999999999</v>
      </c>
      <c r="Z34" s="2">
        <f>+Y34+Z25</f>
        <v>15691.3</v>
      </c>
      <c r="AA34" s="2">
        <f>+Z34+AA25</f>
        <v>16849.3</v>
      </c>
      <c r="AB34" s="2">
        <f>+AA34+AB25</f>
        <v>17973.099999999999</v>
      </c>
      <c r="AC34" s="2">
        <f>6201.2+5156.5</f>
        <v>11357.7</v>
      </c>
      <c r="AE34" s="2">
        <f>6287+5722.8</f>
        <v>12009.8</v>
      </c>
      <c r="AT34" s="2">
        <f>+T34</f>
        <v>10778.5</v>
      </c>
      <c r="AU34" s="2">
        <f>+X34</f>
        <v>13716.100000000002</v>
      </c>
      <c r="AV34" s="2">
        <f t="shared" ref="AV34:BG34" si="167">+AU34+AV25</f>
        <v>18455.100000000002</v>
      </c>
      <c r="AW34" s="2">
        <f t="shared" si="167"/>
        <v>22977</v>
      </c>
      <c r="AX34" s="2">
        <f t="shared" si="167"/>
        <v>31748.502399999998</v>
      </c>
      <c r="AY34" s="2">
        <f t="shared" si="167"/>
        <v>41012.200281599995</v>
      </c>
      <c r="AZ34" s="2">
        <f t="shared" si="167"/>
        <v>50725.803722598394</v>
      </c>
      <c r="BA34" s="2">
        <f t="shared" si="167"/>
        <v>60811.101496523159</v>
      </c>
      <c r="BB34" s="2">
        <f t="shared" si="167"/>
        <v>70997.476618667934</v>
      </c>
      <c r="BC34" s="2">
        <f t="shared" si="167"/>
        <v>81796.758561646464</v>
      </c>
      <c r="BD34" s="2">
        <f t="shared" si="167"/>
        <v>92726.652338225787</v>
      </c>
      <c r="BE34" s="2">
        <f t="shared" si="167"/>
        <v>104071.35887635905</v>
      </c>
      <c r="BF34" s="2">
        <f t="shared" si="167"/>
        <v>115680.3961207738</v>
      </c>
      <c r="BG34" s="2">
        <f t="shared" si="167"/>
        <v>127605.79608533884</v>
      </c>
      <c r="BH34" s="2">
        <f t="shared" ref="BH34" si="168">+BG34+BH25</f>
        <v>139892.92114860611</v>
      </c>
      <c r="BI34" s="2">
        <f t="shared" ref="BI34" si="169">+BH34+BI25</f>
        <v>152581.92320187442</v>
      </c>
      <c r="BJ34" s="2">
        <f t="shared" ref="BJ34" si="170">+BI34+BJ25</f>
        <v>165708.915028724</v>
      </c>
      <c r="BK34" s="2">
        <f t="shared" ref="BK34" si="171">+BJ34+BK25</f>
        <v>179306.91159876372</v>
      </c>
      <c r="BL34" s="2">
        <f t="shared" ref="BL34" si="172">+BK34+BL25</f>
        <v>189157.31010478953</v>
      </c>
      <c r="BN34" s="2" t="s">
        <v>286</v>
      </c>
      <c r="BO34" s="1">
        <f>BO33/Main!M3</f>
        <v>586.57186985582075</v>
      </c>
    </row>
    <row r="35" spans="2:67" s="2" customFormat="1" x14ac:dyDescent="0.25">
      <c r="B35" s="2" t="s">
        <v>251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>
        <v>977.55100000000004</v>
      </c>
      <c r="N35" s="12">
        <v>929.14200000000005</v>
      </c>
      <c r="O35" s="12">
        <v>1100.3720000000001</v>
      </c>
      <c r="P35" s="12">
        <v>1136.8</v>
      </c>
      <c r="Q35" s="12">
        <v>1292.8</v>
      </c>
      <c r="R35" s="12">
        <v>1332.9</v>
      </c>
      <c r="S35" s="12">
        <v>1385.2</v>
      </c>
      <c r="T35" s="12">
        <v>1442.2</v>
      </c>
      <c r="U35" s="12">
        <v>1547.8</v>
      </c>
      <c r="V35" s="2">
        <v>1556.2</v>
      </c>
      <c r="W35" s="2">
        <v>1538.7</v>
      </c>
      <c r="X35" s="2">
        <v>1563.4</v>
      </c>
      <c r="Y35" s="2">
        <v>1793.2</v>
      </c>
      <c r="AC35" s="2">
        <v>1805.1</v>
      </c>
      <c r="AE35" s="2">
        <v>1946.4</v>
      </c>
    </row>
    <row r="36" spans="2:67" s="2" customFormat="1" x14ac:dyDescent="0.25">
      <c r="B36" s="2" t="s">
        <v>252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>
        <v>298.863</v>
      </c>
      <c r="N36" s="12">
        <v>321.62</v>
      </c>
      <c r="O36" s="12">
        <v>333.45600000000002</v>
      </c>
      <c r="P36" s="12">
        <v>353.1</v>
      </c>
      <c r="Q36" s="12">
        <v>338.9</v>
      </c>
      <c r="R36" s="12">
        <v>367.7</v>
      </c>
      <c r="S36" s="12">
        <v>388.2</v>
      </c>
      <c r="T36" s="12">
        <v>460.6</v>
      </c>
      <c r="U36" s="12">
        <v>535.1</v>
      </c>
      <c r="V36" s="2">
        <v>603.5</v>
      </c>
      <c r="W36" s="2">
        <v>688.7</v>
      </c>
      <c r="X36" s="2">
        <v>738.8</v>
      </c>
      <c r="Y36" s="2">
        <v>813.1</v>
      </c>
      <c r="AC36" s="2">
        <v>1359.7</v>
      </c>
      <c r="AE36" s="2">
        <v>1626.8</v>
      </c>
    </row>
    <row r="37" spans="2:67" s="2" customFormat="1" x14ac:dyDescent="0.25">
      <c r="B37" s="2" t="s">
        <v>253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338.92500000000001</v>
      </c>
      <c r="N37" s="12">
        <v>498.75900000000001</v>
      </c>
      <c r="O37" s="12">
        <v>457.827</v>
      </c>
      <c r="P37" s="12">
        <v>545.79999999999995</v>
      </c>
      <c r="Q37" s="12">
        <v>491.5</v>
      </c>
      <c r="R37" s="12">
        <v>549.5</v>
      </c>
      <c r="S37" s="12">
        <v>726.9</v>
      </c>
      <c r="T37" s="12">
        <v>553.5</v>
      </c>
      <c r="U37" s="12">
        <v>468.7</v>
      </c>
      <c r="V37" s="2">
        <v>476.9</v>
      </c>
      <c r="W37" s="2">
        <v>540.20000000000005</v>
      </c>
      <c r="X37" s="2">
        <v>623.70000000000005</v>
      </c>
      <c r="Y37" s="2">
        <v>511.1</v>
      </c>
      <c r="AC37" s="2">
        <v>642.79999999999995</v>
      </c>
      <c r="AE37" s="2">
        <v>709.4</v>
      </c>
    </row>
    <row r="38" spans="2:67" s="2" customFormat="1" x14ac:dyDescent="0.25">
      <c r="B38" s="2" t="s">
        <v>254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986.12300000000005</v>
      </c>
      <c r="N38" s="12">
        <v>1021.2329999999999</v>
      </c>
      <c r="O38" s="12">
        <v>1042.347</v>
      </c>
      <c r="P38" s="12">
        <v>1094.0999999999999</v>
      </c>
      <c r="Q38" s="12">
        <v>1107.4000000000001</v>
      </c>
      <c r="R38" s="12">
        <v>1100.0999999999999</v>
      </c>
      <c r="S38" s="12">
        <v>1118.7</v>
      </c>
      <c r="T38" s="12">
        <v>1108.4000000000001</v>
      </c>
      <c r="U38" s="12">
        <v>1111.7</v>
      </c>
      <c r="V38" s="2">
        <v>1122.4000000000001</v>
      </c>
      <c r="W38" s="2">
        <v>1124</v>
      </c>
      <c r="X38" s="2">
        <v>1159.3</v>
      </c>
      <c r="Y38" s="2">
        <v>1172.8</v>
      </c>
      <c r="AC38" s="2">
        <v>1295.9000000000001</v>
      </c>
      <c r="AE38" s="2">
        <v>1425.1</v>
      </c>
    </row>
    <row r="39" spans="2:67" s="2" customFormat="1" x14ac:dyDescent="0.25">
      <c r="B39" s="2" t="s">
        <v>255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>
        <f>1002.158+400</f>
        <v>1402.1579999999999</v>
      </c>
      <c r="N39" s="12">
        <f>1002.158+400</f>
        <v>1402.1579999999999</v>
      </c>
      <c r="O39" s="12">
        <f>1002.158+400</f>
        <v>1402.1579999999999</v>
      </c>
      <c r="P39" s="12">
        <f>1002.2+400</f>
        <v>1402.2</v>
      </c>
      <c r="Q39" s="12">
        <f>1002.2+400</f>
        <v>1402.2</v>
      </c>
      <c r="R39" s="12">
        <f>1002.2+387</f>
        <v>1389.2</v>
      </c>
      <c r="S39" s="12">
        <f>1075.2+603.6</f>
        <v>1678.8000000000002</v>
      </c>
      <c r="T39" s="12">
        <f>1088+603.6</f>
        <v>1691.6</v>
      </c>
      <c r="U39" s="12">
        <f>1088+603.6</f>
        <v>1691.6</v>
      </c>
      <c r="V39" s="2">
        <f>1088+603.6</f>
        <v>1691.6</v>
      </c>
      <c r="W39" s="2">
        <f>1088+603.6</f>
        <v>1691.6</v>
      </c>
      <c r="X39" s="2">
        <f>1088+839.9</f>
        <v>1927.9</v>
      </c>
      <c r="Y39" s="2">
        <f>1088+834.9</f>
        <v>1922.9</v>
      </c>
      <c r="AC39" s="2">
        <v>1529.2</v>
      </c>
      <c r="AE39" s="2">
        <v>1517.8</v>
      </c>
    </row>
    <row r="40" spans="2:67" s="2" customFormat="1" x14ac:dyDescent="0.25">
      <c r="B40" s="2" t="s">
        <v>119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815.89</v>
      </c>
      <c r="N40" s="12">
        <v>952.80799999999999</v>
      </c>
      <c r="O40" s="12">
        <v>933.83900000000006</v>
      </c>
      <c r="P40" s="12">
        <v>934.5</v>
      </c>
      <c r="Q40" s="12">
        <v>945.5</v>
      </c>
      <c r="R40" s="12">
        <v>1143.8</v>
      </c>
      <c r="S40" s="12">
        <v>1162.7</v>
      </c>
      <c r="T40" s="12">
        <v>1246.9000000000001</v>
      </c>
      <c r="U40" s="12">
        <v>1359.9</v>
      </c>
      <c r="V40" s="2">
        <v>1538</v>
      </c>
      <c r="W40" s="2">
        <v>1729.1</v>
      </c>
      <c r="X40" s="2">
        <v>1812.1</v>
      </c>
      <c r="Y40" s="2">
        <v>1963</v>
      </c>
      <c r="AC40" s="2">
        <v>2544.3000000000002</v>
      </c>
      <c r="AE40" s="2">
        <v>2937.2</v>
      </c>
    </row>
    <row r="41" spans="2:67" s="2" customFormat="1" x14ac:dyDescent="0.25">
      <c r="B41" s="2" t="s">
        <v>256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>
        <v>322.31900000000002</v>
      </c>
      <c r="N41" s="12">
        <v>316.87400000000002</v>
      </c>
      <c r="O41" s="12">
        <v>312.34300000000002</v>
      </c>
      <c r="P41" s="12">
        <v>330.3</v>
      </c>
      <c r="Q41" s="12">
        <v>329</v>
      </c>
      <c r="R41" s="12">
        <v>318.3</v>
      </c>
      <c r="S41" s="12">
        <v>342.7</v>
      </c>
      <c r="T41" s="12">
        <v>347.4</v>
      </c>
      <c r="U41" s="12">
        <v>336.3</v>
      </c>
      <c r="V41" s="2">
        <v>324.3</v>
      </c>
      <c r="W41" s="2">
        <v>310.5</v>
      </c>
      <c r="X41" s="2">
        <v>293.60000000000002</v>
      </c>
      <c r="Y41" s="2">
        <v>312.89999999999998</v>
      </c>
      <c r="AC41" s="2">
        <v>1338.5</v>
      </c>
      <c r="AE41" s="2">
        <v>1591.8</v>
      </c>
    </row>
    <row r="42" spans="2:67" s="2" customFormat="1" x14ac:dyDescent="0.25">
      <c r="B42" s="2" t="s">
        <v>257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49.262</v>
      </c>
      <c r="N42" s="12">
        <v>71.099000000000004</v>
      </c>
      <c r="O42" s="12">
        <v>75.518000000000001</v>
      </c>
      <c r="P42" s="12">
        <v>110.8</v>
      </c>
      <c r="Q42" s="12">
        <v>110.7</v>
      </c>
      <c r="R42" s="12">
        <v>127.3</v>
      </c>
      <c r="S42" s="12">
        <v>132.5</v>
      </c>
      <c r="T42" s="12">
        <v>521.79999999999995</v>
      </c>
      <c r="U42" s="12">
        <v>427.5</v>
      </c>
      <c r="V42" s="2">
        <v>442.7</v>
      </c>
      <c r="W42" s="2">
        <v>475.2</v>
      </c>
      <c r="X42" s="2">
        <v>895.3</v>
      </c>
      <c r="Y42" s="2">
        <v>875.7</v>
      </c>
      <c r="AC42" s="2">
        <v>1007.3</v>
      </c>
      <c r="AE42" s="2">
        <v>1098</v>
      </c>
    </row>
    <row r="43" spans="2:67" s="2" customFormat="1" x14ac:dyDescent="0.25">
      <c r="B43" s="2" t="s">
        <v>250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>
        <f t="shared" ref="M43:R43" si="173">SUM(M34:M42)</f>
        <v>12115.058999999997</v>
      </c>
      <c r="N43" s="12">
        <f t="shared" si="173"/>
        <v>12221.686</v>
      </c>
      <c r="O43" s="12">
        <f t="shared" si="173"/>
        <v>12618.744999999999</v>
      </c>
      <c r="P43" s="12">
        <f t="shared" si="173"/>
        <v>13432.499999999998</v>
      </c>
      <c r="Q43" s="12">
        <f t="shared" si="173"/>
        <v>14256.1</v>
      </c>
      <c r="R43" s="12">
        <f t="shared" si="173"/>
        <v>15582.2</v>
      </c>
      <c r="S43" s="12">
        <f t="shared" ref="S43:AC43" si="174">SUM(S34:S42)</f>
        <v>16706.400000000005</v>
      </c>
      <c r="T43" s="12">
        <f t="shared" si="174"/>
        <v>18150.900000000001</v>
      </c>
      <c r="U43" s="12">
        <f t="shared" si="174"/>
        <v>18974.2</v>
      </c>
      <c r="V43" s="12">
        <f t="shared" si="174"/>
        <v>20349.2</v>
      </c>
      <c r="W43" s="12">
        <f t="shared" si="174"/>
        <v>21726.2</v>
      </c>
      <c r="X43" s="12">
        <f t="shared" si="174"/>
        <v>22730.199999999997</v>
      </c>
      <c r="Y43" s="12">
        <f t="shared" si="174"/>
        <v>23917.4</v>
      </c>
      <c r="Z43" s="12">
        <f t="shared" si="174"/>
        <v>15691.3</v>
      </c>
      <c r="AA43" s="12">
        <f t="shared" si="174"/>
        <v>16849.3</v>
      </c>
      <c r="AB43" s="12">
        <f t="shared" si="174"/>
        <v>17973.099999999999</v>
      </c>
      <c r="AC43" s="12">
        <f t="shared" si="174"/>
        <v>22880.5</v>
      </c>
      <c r="AD43" s="12"/>
      <c r="AE43" s="12">
        <f t="shared" ref="AE43" si="175">SUM(AE34:AE42)</f>
        <v>24862.299999999996</v>
      </c>
      <c r="AF43" s="12"/>
      <c r="AG43" s="12"/>
      <c r="AH43" s="12"/>
      <c r="AI43" s="12"/>
      <c r="AJ43" s="12"/>
      <c r="AK43" s="12"/>
    </row>
    <row r="45" spans="2:67" s="2" customFormat="1" x14ac:dyDescent="0.25">
      <c r="B45" s="2" t="s">
        <v>258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127.839</v>
      </c>
      <c r="N45" s="12">
        <v>127.53400000000001</v>
      </c>
      <c r="O45" s="12">
        <v>127.863</v>
      </c>
      <c r="P45" s="12">
        <v>195</v>
      </c>
      <c r="Q45" s="12">
        <v>173.6</v>
      </c>
      <c r="R45" s="12">
        <v>198</v>
      </c>
      <c r="S45" s="12">
        <v>126.9</v>
      </c>
      <c r="T45" s="12">
        <v>303.89999999999998</v>
      </c>
      <c r="U45" s="12">
        <v>323.2</v>
      </c>
      <c r="V45" s="2">
        <v>363</v>
      </c>
      <c r="W45" s="2">
        <v>375.9</v>
      </c>
      <c r="X45" s="2">
        <v>364.9</v>
      </c>
      <c r="Y45" s="2">
        <v>351.4</v>
      </c>
      <c r="AC45" s="2">
        <v>3396.8</v>
      </c>
      <c r="AE45" s="2">
        <v>4033.8</v>
      </c>
    </row>
    <row r="46" spans="2:67" s="2" customFormat="1" x14ac:dyDescent="0.25">
      <c r="B46" s="2" t="s">
        <v>259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1532.037</v>
      </c>
      <c r="N46" s="12">
        <v>1482.556</v>
      </c>
      <c r="O46" s="12">
        <v>1584.992</v>
      </c>
      <c r="P46" s="12">
        <v>1678.6</v>
      </c>
      <c r="Q46" s="12">
        <v>1720.5</v>
      </c>
      <c r="R46" s="12">
        <v>2119.5</v>
      </c>
      <c r="S46" s="12">
        <v>2264.4</v>
      </c>
      <c r="T46" s="12">
        <v>2126.6999999999998</v>
      </c>
      <c r="U46" s="12">
        <v>2326</v>
      </c>
      <c r="V46" s="2">
        <v>2598.1</v>
      </c>
      <c r="W46" s="2">
        <v>2907.3</v>
      </c>
      <c r="X46" s="2">
        <v>2655.3</v>
      </c>
      <c r="Y46" s="2">
        <v>2795.9</v>
      </c>
      <c r="AC46" s="2">
        <v>386.4</v>
      </c>
      <c r="AE46" s="2">
        <v>441.5</v>
      </c>
    </row>
    <row r="47" spans="2:67" s="2" customFormat="1" x14ac:dyDescent="0.25">
      <c r="B47" s="2" t="s">
        <v>260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>
        <v>284.17399999999998</v>
      </c>
      <c r="N47" s="12">
        <v>226.358</v>
      </c>
      <c r="O47" s="12">
        <v>201.40899999999999</v>
      </c>
      <c r="P47" s="12">
        <v>268.39999999999998</v>
      </c>
      <c r="Q47" s="12">
        <v>286.10000000000002</v>
      </c>
      <c r="R47" s="12">
        <v>238.7</v>
      </c>
      <c r="S47" s="12">
        <v>218</v>
      </c>
      <c r="T47" s="12">
        <v>311.5</v>
      </c>
      <c r="U47" s="12">
        <v>377</v>
      </c>
      <c r="V47" s="2">
        <v>391</v>
      </c>
      <c r="W47" s="2">
        <v>316.2</v>
      </c>
      <c r="X47" s="2">
        <v>527.20000000000005</v>
      </c>
      <c r="Y47" s="2">
        <v>648.6</v>
      </c>
      <c r="AC47" s="2">
        <v>0</v>
      </c>
      <c r="AE47" s="2">
        <v>0</v>
      </c>
    </row>
    <row r="48" spans="2:67" s="2" customFormat="1" x14ac:dyDescent="0.25">
      <c r="B48" s="2" t="s">
        <v>256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f>530.33+368.467</f>
        <v>898.79700000000003</v>
      </c>
      <c r="N48" s="12">
        <f>524.925+368.924</f>
        <v>893.84899999999993</v>
      </c>
      <c r="O48" s="12">
        <f>513.255+363.545</f>
        <v>876.8</v>
      </c>
      <c r="P48" s="12">
        <f>509.8+377.4</f>
        <v>887.2</v>
      </c>
      <c r="Q48" s="12">
        <f>495.5+377</f>
        <v>872.5</v>
      </c>
      <c r="R48" s="12">
        <f>482.3+365</f>
        <v>847.3</v>
      </c>
      <c r="S48" s="12">
        <f>442.3+382.3</f>
        <v>824.6</v>
      </c>
      <c r="T48" s="12">
        <f>430.8+379.5</f>
        <v>810.3</v>
      </c>
      <c r="U48" s="12">
        <f>417.6+371.6</f>
        <v>789.2</v>
      </c>
      <c r="V48" s="2">
        <f>404.1+363.5</f>
        <v>767.6</v>
      </c>
      <c r="W48" s="2">
        <f>390.3+354.4</f>
        <v>744.7</v>
      </c>
      <c r="X48" s="2">
        <f>376.1+348.6</f>
        <v>724.7</v>
      </c>
      <c r="Y48" s="2">
        <f>361.5+359.8</f>
        <v>721.3</v>
      </c>
      <c r="AC48" s="2">
        <f>1537.7+111.4</f>
        <v>1649.1000000000001</v>
      </c>
      <c r="AE48" s="2">
        <v>1834.8</v>
      </c>
    </row>
    <row r="49" spans="2:37" s="2" customFormat="1" x14ac:dyDescent="0.25">
      <c r="B49" s="2" t="s">
        <v>261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v>185.7</v>
      </c>
      <c r="N49" s="12">
        <v>187.3</v>
      </c>
      <c r="O49" s="12">
        <v>188.5</v>
      </c>
      <c r="P49" s="12">
        <v>186.5</v>
      </c>
      <c r="Q49" s="12">
        <v>179</v>
      </c>
      <c r="R49" s="12">
        <v>129.80000000000001</v>
      </c>
      <c r="S49" s="12">
        <v>127.2</v>
      </c>
      <c r="T49" s="12">
        <v>0</v>
      </c>
      <c r="U49" s="12">
        <v>0</v>
      </c>
      <c r="V49" s="2">
        <v>0</v>
      </c>
      <c r="W49" s="2">
        <v>0</v>
      </c>
      <c r="X49" s="2">
        <v>0</v>
      </c>
      <c r="Y49" s="2">
        <v>0</v>
      </c>
      <c r="AC49" s="2">
        <v>0</v>
      </c>
      <c r="AE49" s="2">
        <v>0</v>
      </c>
    </row>
    <row r="50" spans="2:37" s="2" customFormat="1" x14ac:dyDescent="0.25">
      <c r="B50" s="2" t="s">
        <v>262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>
        <v>106.258</v>
      </c>
      <c r="N50" s="12">
        <v>107.693</v>
      </c>
      <c r="O50" s="12">
        <v>108.473</v>
      </c>
      <c r="P50" s="12">
        <v>116.8</v>
      </c>
      <c r="Q50" s="12">
        <v>117.4</v>
      </c>
      <c r="R50" s="12">
        <v>115.4</v>
      </c>
      <c r="S50" s="12">
        <v>115.7</v>
      </c>
      <c r="T50" s="12">
        <v>685.8</v>
      </c>
      <c r="U50" s="12">
        <v>726.5</v>
      </c>
      <c r="V50" s="2">
        <v>759.3</v>
      </c>
      <c r="W50" s="2">
        <v>869.3</v>
      </c>
      <c r="X50" s="2">
        <v>877.7</v>
      </c>
      <c r="Y50" s="2">
        <v>853.6</v>
      </c>
      <c r="AC50" s="2">
        <v>951.9</v>
      </c>
      <c r="AE50" s="2">
        <v>1233.4000000000001</v>
      </c>
    </row>
    <row r="51" spans="2:37" s="2" customFormat="1" x14ac:dyDescent="0.25">
      <c r="B51" s="2" t="s">
        <v>264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8980.2540000000008</v>
      </c>
      <c r="N51" s="12">
        <v>9196.3960000000006</v>
      </c>
      <c r="O51" s="12">
        <v>9530.7080000000005</v>
      </c>
      <c r="P51" s="12">
        <v>10100</v>
      </c>
      <c r="Q51" s="12">
        <v>10907</v>
      </c>
      <c r="R51" s="12">
        <v>11933.5</v>
      </c>
      <c r="S51" s="12">
        <v>13029.6</v>
      </c>
      <c r="T51" s="12">
        <v>13912.7</v>
      </c>
      <c r="U51" s="12">
        <v>14432.3</v>
      </c>
      <c r="V51" s="2">
        <v>15470.2</v>
      </c>
      <c r="W51" s="2">
        <v>16512.8</v>
      </c>
      <c r="X51" s="2">
        <v>17580.400000000001</v>
      </c>
      <c r="Y51" s="2">
        <v>18546.599999999999</v>
      </c>
      <c r="AC51" s="2">
        <v>16496.3</v>
      </c>
      <c r="AE51" s="2">
        <v>17318.8</v>
      </c>
    </row>
    <row r="52" spans="2:37" s="2" customFormat="1" x14ac:dyDescent="0.25">
      <c r="B52" s="2" t="s">
        <v>263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f t="shared" ref="M52:R52" si="176">SUM(M45:M51)</f>
        <v>12115.059000000001</v>
      </c>
      <c r="N52" s="12">
        <f t="shared" si="176"/>
        <v>12221.686000000002</v>
      </c>
      <c r="O52" s="12">
        <f t="shared" si="176"/>
        <v>12618.745000000001</v>
      </c>
      <c r="P52" s="12">
        <f t="shared" si="176"/>
        <v>13432.5</v>
      </c>
      <c r="Q52" s="12">
        <f t="shared" si="176"/>
        <v>14256.1</v>
      </c>
      <c r="R52" s="12">
        <f t="shared" si="176"/>
        <v>15582.2</v>
      </c>
      <c r="S52" s="12">
        <f t="shared" ref="S52:X52" si="177">SUM(S45:S51)</f>
        <v>16706.400000000001</v>
      </c>
      <c r="T52" s="12">
        <f t="shared" si="177"/>
        <v>18150.900000000001</v>
      </c>
      <c r="U52" s="12">
        <f t="shared" si="177"/>
        <v>18974.199999999997</v>
      </c>
      <c r="V52" s="12">
        <f t="shared" si="177"/>
        <v>20349.2</v>
      </c>
      <c r="W52" s="12">
        <f t="shared" si="177"/>
        <v>21726.2</v>
      </c>
      <c r="X52" s="12">
        <f t="shared" si="177"/>
        <v>22730.2</v>
      </c>
      <c r="Y52" s="12">
        <f>SUM(Y45:Y51)</f>
        <v>23917.399999999998</v>
      </c>
      <c r="Z52" s="12">
        <f t="shared" ref="Z52:AC52" si="178">SUM(Z45:Z51)</f>
        <v>0</v>
      </c>
      <c r="AA52" s="12">
        <f t="shared" si="178"/>
        <v>0</v>
      </c>
      <c r="AB52" s="12">
        <f t="shared" si="178"/>
        <v>0</v>
      </c>
      <c r="AC52" s="12">
        <f t="shared" si="178"/>
        <v>22880.5</v>
      </c>
      <c r="AD52" s="12"/>
      <c r="AE52" s="12">
        <f t="shared" ref="AE52" si="179">SUM(AE45:AE51)</f>
        <v>24862.3</v>
      </c>
      <c r="AF52" s="12"/>
      <c r="AG52" s="12"/>
      <c r="AH52" s="12"/>
      <c r="AI52" s="12"/>
      <c r="AJ52" s="12"/>
      <c r="AK52" s="12"/>
    </row>
    <row r="54" spans="2:37" s="2" customFormat="1" x14ac:dyDescent="0.25">
      <c r="B54" s="2" t="s">
        <v>265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>
        <f t="shared" ref="M54:P54" si="180">+M25</f>
        <v>779.8</v>
      </c>
      <c r="N54" s="12">
        <f t="shared" si="180"/>
        <v>897.40000000000009</v>
      </c>
      <c r="O54" s="12">
        <f t="shared" si="180"/>
        <v>810.59600000000034</v>
      </c>
      <c r="P54" s="12">
        <f t="shared" si="180"/>
        <v>868.69999999999982</v>
      </c>
      <c r="Q54" s="12">
        <f t="shared" ref="Q54:AE54" si="181">+Q25</f>
        <v>1002.4000000000001</v>
      </c>
      <c r="R54" s="12">
        <f t="shared" si="181"/>
        <v>984.70000000000016</v>
      </c>
      <c r="S54" s="12">
        <f t="shared" si="181"/>
        <v>1104.7999999999995</v>
      </c>
      <c r="T54" s="12">
        <f t="shared" si="181"/>
        <v>989.79999999999984</v>
      </c>
      <c r="U54" s="12">
        <f t="shared" si="181"/>
        <v>1141.0999999999995</v>
      </c>
      <c r="V54" s="12">
        <f t="shared" si="181"/>
        <v>1124.5</v>
      </c>
      <c r="W54" s="12">
        <f t="shared" si="181"/>
        <v>1115.4000000000003</v>
      </c>
      <c r="X54" s="12">
        <f t="shared" si="181"/>
        <v>1149.4000000000003</v>
      </c>
      <c r="Y54" s="2">
        <f t="shared" si="181"/>
        <v>1318.5999999999995</v>
      </c>
      <c r="Z54" s="2">
        <f t="shared" si="181"/>
        <v>1138.5999999999999</v>
      </c>
      <c r="AA54" s="2">
        <f t="shared" si="181"/>
        <v>1158.0000000000002</v>
      </c>
      <c r="AB54" s="2">
        <f t="shared" si="181"/>
        <v>1123.7999999999997</v>
      </c>
      <c r="AC54" s="2">
        <f t="shared" si="181"/>
        <v>1188.4499999999998</v>
      </c>
      <c r="AD54" s="2">
        <f t="shared" si="181"/>
        <v>1052.8999999999996</v>
      </c>
      <c r="AE54" s="2">
        <f t="shared" si="181"/>
        <v>1298.0000000000002</v>
      </c>
    </row>
    <row r="55" spans="2:37" s="2" customFormat="1" x14ac:dyDescent="0.25">
      <c r="B55" s="2" t="s">
        <v>266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>
        <v>653.13800000000003</v>
      </c>
      <c r="N55" s="12">
        <f>720.062-M55</f>
        <v>66.923999999999978</v>
      </c>
      <c r="O55" s="12">
        <f>1571.99-N55-M55</f>
        <v>851.928</v>
      </c>
      <c r="P55" s="12">
        <f>2342.1-O55-N55-M55</f>
        <v>770.11</v>
      </c>
      <c r="Q55" s="12">
        <v>762.1</v>
      </c>
      <c r="R55" s="12">
        <f>1572.6-Q55</f>
        <v>810.49999999999989</v>
      </c>
      <c r="S55" s="12">
        <f>2503.1-R55-Q55</f>
        <v>930.49999999999989</v>
      </c>
      <c r="T55" s="12">
        <f>3322-S55-R55-Q55</f>
        <v>818.9</v>
      </c>
      <c r="U55" s="12">
        <v>699.8</v>
      </c>
      <c r="V55" s="2">
        <f>1615.5-U55</f>
        <v>915.7</v>
      </c>
      <c r="W55" s="2">
        <f>2650.8-V55-U55</f>
        <v>1035.3000000000002</v>
      </c>
      <c r="X55" s="2">
        <f>3619.6-W55-V55-U55</f>
        <v>968.79999999999973</v>
      </c>
      <c r="Y55" s="2">
        <v>1099.5999999999999</v>
      </c>
      <c r="AC55" s="2">
        <v>646.29999999999995</v>
      </c>
    </row>
    <row r="56" spans="2:37" s="2" customFormat="1" x14ac:dyDescent="0.25">
      <c r="B56" s="2" t="s">
        <v>267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>
        <v>115.17400000000001</v>
      </c>
      <c r="N56" s="12">
        <f>219.796-M56</f>
        <v>104.62199999999999</v>
      </c>
      <c r="O56" s="12">
        <f>322.792-N56-M56</f>
        <v>102.99599999999998</v>
      </c>
      <c r="P56" s="12">
        <f>441.4-O56-N56-M56</f>
        <v>118.608</v>
      </c>
      <c r="Q56" s="12">
        <v>130.30000000000001</v>
      </c>
      <c r="R56" s="12">
        <f>244.2-Q56</f>
        <v>113.89999999999998</v>
      </c>
      <c r="S56" s="12">
        <f>379.8-R56-Q56</f>
        <v>135.60000000000002</v>
      </c>
      <c r="T56" s="12">
        <f>491.3-S56-R56-Q56</f>
        <v>111.5</v>
      </c>
      <c r="U56" s="12">
        <v>122.4</v>
      </c>
      <c r="V56" s="2">
        <f>241.7-U56</f>
        <v>119.29999999999998</v>
      </c>
      <c r="W56" s="2">
        <f>372.6-V56-U56</f>
        <v>130.90000000000003</v>
      </c>
      <c r="X56" s="2">
        <f>581.2-W56-V56-U56</f>
        <v>208.6</v>
      </c>
      <c r="Y56" s="2">
        <v>191.9</v>
      </c>
      <c r="AC56" s="2">
        <v>166.1</v>
      </c>
    </row>
    <row r="57" spans="2:37" s="2" customFormat="1" x14ac:dyDescent="0.25">
      <c r="B57" s="2" t="s">
        <v>268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>
        <v>28.834</v>
      </c>
      <c r="N57" s="12">
        <f>60.072-M57</f>
        <v>31.238000000000003</v>
      </c>
      <c r="O57" s="12">
        <f>91.768-N57-M57</f>
        <v>31.696000000000002</v>
      </c>
      <c r="P57" s="12">
        <f>125.6-O57-N57-M57</f>
        <v>33.831999999999994</v>
      </c>
      <c r="Q57" s="12">
        <v>35.9</v>
      </c>
      <c r="R57" s="12">
        <f>73.2-Q57</f>
        <v>37.300000000000004</v>
      </c>
      <c r="S57" s="12">
        <f>109.9-R57-Q57</f>
        <v>36.699999999999996</v>
      </c>
      <c r="T57" s="12">
        <f>148.3-S57-R57-Q57</f>
        <v>38.400000000000013</v>
      </c>
      <c r="U57" s="12">
        <v>38.799999999999997</v>
      </c>
      <c r="V57" s="2">
        <f>80.2-U57</f>
        <v>41.400000000000006</v>
      </c>
      <c r="W57" s="2">
        <f>122.3-V57-U57</f>
        <v>42.099999999999994</v>
      </c>
      <c r="X57" s="2">
        <f>181.3-W57-V57-U57</f>
        <v>59.000000000000014</v>
      </c>
      <c r="Y57" s="2">
        <v>53.5</v>
      </c>
      <c r="AC57" s="2">
        <v>48.4</v>
      </c>
    </row>
    <row r="58" spans="2:37" s="2" customFormat="1" x14ac:dyDescent="0.25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AC58" s="2">
        <v>379</v>
      </c>
    </row>
    <row r="59" spans="2:37" s="2" customFormat="1" x14ac:dyDescent="0.25">
      <c r="B59" s="2" t="s">
        <v>261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>
        <v>-3.9</v>
      </c>
      <c r="N59" s="12">
        <f>-2.3-M59</f>
        <v>1.6</v>
      </c>
      <c r="O59" s="12">
        <f>-1.1-N59-M59</f>
        <v>1.1999999999999997</v>
      </c>
      <c r="P59" s="12">
        <f>-3.1-O59-N59-M59</f>
        <v>-2.0000000000000004</v>
      </c>
      <c r="Q59" s="12">
        <v>-7.5</v>
      </c>
      <c r="R59" s="12">
        <f>-56.7-Q59</f>
        <v>-49.2</v>
      </c>
      <c r="S59" s="12">
        <f>-59.3-R59-Q59</f>
        <v>-2.5999999999999943</v>
      </c>
      <c r="T59" s="12">
        <f>-57.5-S59-R59-Q59</f>
        <v>1.7999999999999972</v>
      </c>
      <c r="U59" s="12">
        <v>-1.9</v>
      </c>
      <c r="V59" s="2">
        <f>-2.5-U59</f>
        <v>-0.60000000000000009</v>
      </c>
      <c r="W59" s="2">
        <f>-1.3-V59-U59</f>
        <v>1.2</v>
      </c>
      <c r="X59" s="2">
        <f>-51.6-W59-V59-U59</f>
        <v>-50.300000000000004</v>
      </c>
      <c r="Y59" s="2">
        <v>-0.1</v>
      </c>
      <c r="AC59" s="2">
        <v>0</v>
      </c>
    </row>
    <row r="60" spans="2:37" s="2" customFormat="1" x14ac:dyDescent="0.25">
      <c r="B60" s="2" t="s">
        <v>119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>
        <v>57.042999999999999</v>
      </c>
      <c r="N60" s="12">
        <f>-180.895-M60</f>
        <v>-237.93800000000002</v>
      </c>
      <c r="O60" s="12">
        <f>-112.654-N60-M60</f>
        <v>68.241000000000014</v>
      </c>
      <c r="P60" s="12">
        <f>-154.6-O60-N60-M60</f>
        <v>-41.945999999999991</v>
      </c>
      <c r="Q60" s="12">
        <v>-12.3</v>
      </c>
      <c r="R60" s="12">
        <f>-241.7-Q60</f>
        <v>-229.39999999999998</v>
      </c>
      <c r="S60" s="12">
        <f>-424-R60-Q60</f>
        <v>-182.3</v>
      </c>
      <c r="T60" s="12">
        <f>-275.9-S60-R60-Q60</f>
        <v>148.10000000000002</v>
      </c>
      <c r="U60" s="12">
        <v>-113.4</v>
      </c>
      <c r="V60" s="2">
        <f>-290-U60</f>
        <v>-176.6</v>
      </c>
      <c r="W60" s="2">
        <f>-405.5-V60-U60</f>
        <v>-115.5</v>
      </c>
      <c r="X60" s="2">
        <f>-536.5-W60-V60-U60</f>
        <v>-131</v>
      </c>
      <c r="Y60" s="2">
        <v>-158.30000000000001</v>
      </c>
      <c r="AC60" s="2">
        <v>-191.6</v>
      </c>
    </row>
    <row r="61" spans="2:37" s="2" customFormat="1" x14ac:dyDescent="0.25">
      <c r="B61" s="2" t="s">
        <v>269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>
        <v>52.295000000000002</v>
      </c>
      <c r="N61" s="12">
        <f>41.686-M61</f>
        <v>-10.609000000000002</v>
      </c>
      <c r="O61" s="12">
        <f>-4.993-N61-M61</f>
        <v>-46.679000000000002</v>
      </c>
      <c r="P61" s="12">
        <f>-17.1-O61-N61-M61</f>
        <v>-12.106999999999999</v>
      </c>
      <c r="Q61" s="12">
        <v>75.599999999999994</v>
      </c>
      <c r="R61" s="12">
        <f>159.8-Q61</f>
        <v>84.200000000000017</v>
      </c>
      <c r="S61" s="12">
        <f>143.1-R61-Q61</f>
        <v>-16.700000000000017</v>
      </c>
      <c r="T61" s="12">
        <f>149.1-S61-R61-Q61</f>
        <v>6</v>
      </c>
      <c r="U61" s="12">
        <v>-6.4</v>
      </c>
      <c r="V61" s="2">
        <f>-6-U61</f>
        <v>0.40000000000000036</v>
      </c>
      <c r="W61" s="2">
        <f>0.2-V61-U61</f>
        <v>6.2</v>
      </c>
      <c r="X61" s="2">
        <f>0.6-W61-V61-U61</f>
        <v>0.39999999999999947</v>
      </c>
      <c r="Y61" s="2">
        <v>27</v>
      </c>
      <c r="AC61" s="2">
        <v>15</v>
      </c>
    </row>
    <row r="62" spans="2:37" s="2" customFormat="1" x14ac:dyDescent="0.25">
      <c r="B62" s="2" t="s">
        <v>270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>
        <v>2.3319999999999999</v>
      </c>
      <c r="N62" s="12">
        <f>11.186-M62</f>
        <v>8.8539999999999992</v>
      </c>
      <c r="O62" s="12">
        <f>20.588-N62-M62</f>
        <v>9.402000000000001</v>
      </c>
      <c r="P62" s="12">
        <f>14.4-O62-N62-M62</f>
        <v>-6.1879999999999997</v>
      </c>
      <c r="Q62" s="12">
        <v>4.9000000000000004</v>
      </c>
      <c r="R62" s="12">
        <f>-6.3-Q62</f>
        <v>-11.2</v>
      </c>
      <c r="S62" s="12">
        <f>-32.8-R62-Q62</f>
        <v>-26.5</v>
      </c>
      <c r="T62" s="12">
        <f>11.8-S62-R62-Q62</f>
        <v>44.6</v>
      </c>
      <c r="U62" s="12">
        <v>21.7</v>
      </c>
      <c r="V62" s="2">
        <f>11.1-U62</f>
        <v>-10.6</v>
      </c>
      <c r="W62" s="2">
        <f>-9.6-V62-U62</f>
        <v>-20.7</v>
      </c>
      <c r="X62" s="2">
        <f>8.4-W62-V62-U62</f>
        <v>18.000000000000004</v>
      </c>
      <c r="Y62" s="2">
        <v>-36.299999999999997</v>
      </c>
      <c r="AC62" s="2">
        <v>24.2</v>
      </c>
    </row>
    <row r="63" spans="2:37" s="2" customFormat="1" x14ac:dyDescent="0.25">
      <c r="B63" s="2" t="s">
        <v>271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>
        <f>-98.373-22.785-13.319-10.644+152.983+8.277</f>
        <v>16.138999999999996</v>
      </c>
      <c r="N63" s="12">
        <f>-45.848-47.492-92.187-24.345+107.526-45.973-M63</f>
        <v>-164.45799999999997</v>
      </c>
      <c r="O63" s="12">
        <f>-231.166-65.827-107.672-22.043+254.157-67.333-N63-M63</f>
        <v>-91.564999999999984</v>
      </c>
      <c r="P63" s="12">
        <f>-274.7-92.8-91.8+31.9+305.4+16.8-O63-N63-M63</f>
        <v>134.68399999999991</v>
      </c>
      <c r="Q63" s="12">
        <f>-165.2+2+67.6-14.5+61.6+15.7</f>
        <v>-32.799999999999997</v>
      </c>
      <c r="R63" s="12">
        <f>-249.3-31.3+85.3+30.8+547.1-31.7-Q63</f>
        <v>383.70000000000005</v>
      </c>
      <c r="S63" s="12">
        <f>-368.8-58.1-41.9-39.1+980.3-40.7-R63-Q63</f>
        <v>80.799999999999883</v>
      </c>
      <c r="T63" s="12">
        <f>-358.6-136.4-326.4+120.8+542.5+498.9-S63-R63-Q63</f>
        <v>-90.899999999999991</v>
      </c>
      <c r="U63" s="12">
        <f>-90.5-82.6+46.2+35.7+140.7+89.4</f>
        <v>138.9</v>
      </c>
      <c r="V63" s="2">
        <f>-93.4-155.4+26.6+71.3+417.4+117.8-U63</f>
        <v>245.39999999999995</v>
      </c>
      <c r="W63" s="2">
        <f>-99.5-252.9-94.4+80.5+786.1+153.4-V63-U63</f>
        <v>188.90000000000006</v>
      </c>
      <c r="X63" s="2">
        <f>-84.1-322.9-545.7+48.7+429.4+208.9-W63-V63-U63</f>
        <v>-838.90000000000009</v>
      </c>
      <c r="Y63" s="2">
        <f>-251.6-80.1+99.2+0.1+194.1+167.6</f>
        <v>129.29999999999998</v>
      </c>
      <c r="AC63" s="2">
        <f>-169.6-167.1-28.1+26.2+48.1+22</f>
        <v>-268.5</v>
      </c>
    </row>
    <row r="64" spans="2:37" s="2" customFormat="1" x14ac:dyDescent="0.25">
      <c r="B64" s="2" t="s">
        <v>275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>
        <f t="shared" ref="M64:Y64" si="182">SUM(M55:M63)</f>
        <v>921.05499999999995</v>
      </c>
      <c r="N64" s="12">
        <f t="shared" si="182"/>
        <v>-199.76700000000002</v>
      </c>
      <c r="O64" s="12">
        <f t="shared" si="182"/>
        <v>927.21900000000028</v>
      </c>
      <c r="P64" s="12">
        <f t="shared" si="182"/>
        <v>994.99299999999994</v>
      </c>
      <c r="Q64" s="12">
        <f t="shared" si="182"/>
        <v>956.20000000000016</v>
      </c>
      <c r="R64" s="12">
        <f t="shared" si="182"/>
        <v>1139.7999999999997</v>
      </c>
      <c r="S64" s="12">
        <f t="shared" si="182"/>
        <v>955.49999999999989</v>
      </c>
      <c r="T64" s="12">
        <f t="shared" si="182"/>
        <v>1078.3999999999996</v>
      </c>
      <c r="U64" s="12">
        <f t="shared" si="182"/>
        <v>899.9</v>
      </c>
      <c r="V64" s="12">
        <f t="shared" si="182"/>
        <v>1134.4000000000001</v>
      </c>
      <c r="W64" s="12">
        <f t="shared" si="182"/>
        <v>1268.4000000000003</v>
      </c>
      <c r="X64" s="12">
        <f t="shared" si="182"/>
        <v>234.59999999999968</v>
      </c>
      <c r="Y64" s="2">
        <f t="shared" si="182"/>
        <v>1306.6000000000001</v>
      </c>
      <c r="AC64" s="2">
        <f>SUM(AC55:AC63)</f>
        <v>818.90000000000009</v>
      </c>
    </row>
    <row r="66" spans="2:29" s="2" customFormat="1" x14ac:dyDescent="0.25">
      <c r="B66" s="2" t="s">
        <v>272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>
        <v>-70.926000000000002</v>
      </c>
      <c r="N66" s="12">
        <f>-120.763-M66</f>
        <v>-49.837000000000003</v>
      </c>
      <c r="O66" s="12">
        <f>-173.285-N66-M66</f>
        <v>-52.521999999999991</v>
      </c>
      <c r="P66" s="12">
        <f>-235-O66-N66-M66</f>
        <v>-61.715000000000018</v>
      </c>
      <c r="Q66" s="12">
        <v>-63.6</v>
      </c>
      <c r="R66" s="12">
        <f>-116.9-Q66</f>
        <v>-53.300000000000004</v>
      </c>
      <c r="S66" s="12">
        <f>-171.1-R66-Q66</f>
        <v>-54.199999999999982</v>
      </c>
      <c r="T66" s="12">
        <f>-204.7-S66-R66-Q66</f>
        <v>-33.599999999999987</v>
      </c>
      <c r="U66" s="12">
        <v>-42.1</v>
      </c>
      <c r="V66" s="2">
        <f>-101.7-U66</f>
        <v>-59.6</v>
      </c>
      <c r="W66" s="2">
        <f>-142.3-V66-U66</f>
        <v>-40.600000000000016</v>
      </c>
      <c r="X66" s="2">
        <f>-200.4-W66-V66-U66</f>
        <v>-58.099999999999987</v>
      </c>
      <c r="Y66" s="2">
        <v>-68.400000000000006</v>
      </c>
      <c r="AC66" s="2">
        <v>-40.700000000000003</v>
      </c>
    </row>
    <row r="67" spans="2:29" s="2" customFormat="1" x14ac:dyDescent="0.25">
      <c r="B67" s="2" t="s">
        <v>344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-295.89999999999998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AC67" s="2">
        <v>0</v>
      </c>
    </row>
    <row r="68" spans="2:29" s="2" customFormat="1" x14ac:dyDescent="0.25">
      <c r="B68" s="2" t="s">
        <v>273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>
        <f>-121.455+118.072</f>
        <v>-3.3829999999999956</v>
      </c>
      <c r="N68" s="12">
        <f>-239.458+221.271-15-M68</f>
        <v>-29.804000000000016</v>
      </c>
      <c r="O68" s="12">
        <f>-447.759+452.133-37.991-N68-M68</f>
        <v>-0.43000000000002103</v>
      </c>
      <c r="P68" s="12">
        <f>-528.2+499.3-77-O68-N68-M68</f>
        <v>-72.283000000000001</v>
      </c>
      <c r="Q68" s="12">
        <f>-117.1+129.7</f>
        <v>12.599999999999994</v>
      </c>
      <c r="R68" s="12">
        <f>-227.9+242.3-10-Q68</f>
        <v>-8.1999999999999886</v>
      </c>
      <c r="S68" s="12">
        <f>-417.8+435.9-47.8-R68-Q68</f>
        <v>-34.100000000000037</v>
      </c>
      <c r="T68" s="12">
        <f>-692.7+920-47.8-S68-R68-Q68</f>
        <v>209.19999999999996</v>
      </c>
      <c r="U68" s="12">
        <f>-1816.6+50-24.9</f>
        <v>-1791.5</v>
      </c>
      <c r="V68" s="2">
        <f>-2390.8+289.8+95.1-29.9-U68</f>
        <v>-244.30000000000018</v>
      </c>
      <c r="W68" s="2">
        <f>-2798+621+95.1-31-V68-U68</f>
        <v>-77.099999999999909</v>
      </c>
      <c r="X68" s="2">
        <f>-3786.5+839.1+95.1-31-58-W68-V68-U68</f>
        <v>-828.40000000000009</v>
      </c>
      <c r="Y68" s="2">
        <f>-2598.5+710.5-180</f>
        <v>-2068</v>
      </c>
      <c r="AC68" s="2">
        <f>-5.3-1647.4+1637.6</f>
        <v>-15.100000000000136</v>
      </c>
    </row>
    <row r="69" spans="2:29" s="2" customFormat="1" x14ac:dyDescent="0.25">
      <c r="B69" s="2" t="s">
        <v>274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f t="shared" ref="M69:R69" si="183">M66+M68</f>
        <v>-74.308999999999997</v>
      </c>
      <c r="N69" s="12">
        <f t="shared" si="183"/>
        <v>-79.64100000000002</v>
      </c>
      <c r="O69" s="12">
        <f t="shared" si="183"/>
        <v>-52.952000000000012</v>
      </c>
      <c r="P69" s="12">
        <f t="shared" si="183"/>
        <v>-133.99800000000002</v>
      </c>
      <c r="Q69" s="12">
        <f t="shared" si="183"/>
        <v>-51.000000000000007</v>
      </c>
      <c r="R69" s="12">
        <f t="shared" si="183"/>
        <v>-61.499999999999993</v>
      </c>
      <c r="S69" s="12">
        <f>S66+S68+S67</f>
        <v>-384.2</v>
      </c>
      <c r="T69" s="12">
        <f>T66+T68+T67</f>
        <v>175.59999999999997</v>
      </c>
      <c r="U69" s="12">
        <f>+U66+U68</f>
        <v>-1833.6</v>
      </c>
      <c r="V69" s="12">
        <f>+V66+V68</f>
        <v>-303.9000000000002</v>
      </c>
      <c r="W69" s="12">
        <f>+W66+W68</f>
        <v>-117.69999999999993</v>
      </c>
      <c r="X69" s="12">
        <f>+X66+X68</f>
        <v>-886.50000000000011</v>
      </c>
      <c r="Y69" s="2">
        <f>+Y66+Y68</f>
        <v>-2136.4</v>
      </c>
      <c r="AC69" s="2">
        <f>+AC66+AC68</f>
        <v>-55.800000000000139</v>
      </c>
    </row>
    <row r="71" spans="2:29" s="2" customFormat="1" x14ac:dyDescent="0.25">
      <c r="B71" s="2" t="s">
        <v>279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>
        <v>15.558999999999999</v>
      </c>
      <c r="N71" s="12">
        <f>53.494-M71</f>
        <v>37.935000000000002</v>
      </c>
      <c r="O71" s="12">
        <f>67.289-N71-M71</f>
        <v>13.795</v>
      </c>
      <c r="P71" s="12">
        <f>102-O71-N71-M71</f>
        <v>34.710999999999999</v>
      </c>
      <c r="Q71" s="12">
        <v>33.700000000000003</v>
      </c>
      <c r="R71" s="12">
        <f>98.1-Q71</f>
        <v>64.399999999999991</v>
      </c>
      <c r="S71" s="12">
        <f>134.7-R71-Q71</f>
        <v>36.599999999999994</v>
      </c>
      <c r="T71" s="12">
        <f>186.3-S71-R71-Q71</f>
        <v>51.600000000000023</v>
      </c>
      <c r="U71" s="12">
        <v>14.2</v>
      </c>
      <c r="V71" s="2">
        <f>72.8-U71</f>
        <v>58.599999999999994</v>
      </c>
      <c r="W71" s="2">
        <f>88.2-V71-U71</f>
        <v>15.400000000000009</v>
      </c>
      <c r="X71" s="2">
        <f>134.6-W71-V71-U71</f>
        <v>46.399999999999991</v>
      </c>
      <c r="Y71" s="2">
        <v>16.899999999999999</v>
      </c>
      <c r="AC71" s="2">
        <v>16.7</v>
      </c>
    </row>
    <row r="72" spans="2:29" s="2" customFormat="1" x14ac:dyDescent="0.25">
      <c r="B72" s="2" t="s">
        <v>280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>
        <v>-102.14</v>
      </c>
      <c r="N72" s="12">
        <f>-105.664-M72</f>
        <v>-3.5240000000000009</v>
      </c>
      <c r="O72" s="12">
        <f>-134.223-N72-M72</f>
        <v>-28.559000000000012</v>
      </c>
      <c r="P72" s="12">
        <f>-135.9-O72-N72-M72</f>
        <v>-1.6769999999999925</v>
      </c>
      <c r="Q72" s="12">
        <v>-117.5</v>
      </c>
      <c r="R72" s="12">
        <f>-121.9-Q72</f>
        <v>-4.4000000000000057</v>
      </c>
      <c r="S72" s="12">
        <f>-169.9-R72-Q72</f>
        <v>-48</v>
      </c>
      <c r="T72" s="12">
        <f>-172-S72-R72-Q72</f>
        <v>-2.0999999999999943</v>
      </c>
      <c r="U72" s="12">
        <v>-166.6</v>
      </c>
      <c r="V72" s="2">
        <f>-169.7-U72</f>
        <v>-3.0999999999999943</v>
      </c>
      <c r="W72" s="2">
        <f>-222.9-V72-U72</f>
        <v>-53.200000000000017</v>
      </c>
      <c r="X72" s="2">
        <f>-226.1-W72-V72-U72</f>
        <v>-3.1999999999999886</v>
      </c>
      <c r="Y72" s="2">
        <v>0</v>
      </c>
      <c r="AC72" s="2">
        <v>-270.5</v>
      </c>
    </row>
    <row r="73" spans="2:29" s="2" customFormat="1" x14ac:dyDescent="0.25">
      <c r="B73" s="2" t="s">
        <v>339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>
        <v>-424.952</v>
      </c>
      <c r="N73" s="12">
        <f>-424.952-M73</f>
        <v>0</v>
      </c>
      <c r="O73" s="12">
        <f>-1057.225-N73-M73</f>
        <v>-632.27299999999991</v>
      </c>
      <c r="P73" s="12">
        <f>-1425.4-O73-N73-M73</f>
        <v>-368.17500000000018</v>
      </c>
      <c r="Q73" s="12">
        <v>0</v>
      </c>
      <c r="R73" s="12">
        <v>0</v>
      </c>
      <c r="S73" s="12">
        <v>0</v>
      </c>
      <c r="T73" s="12">
        <v>0</v>
      </c>
      <c r="U73" s="12">
        <v>-132.80000000000001</v>
      </c>
      <c r="V73" s="2">
        <f>-161.1-U73</f>
        <v>-28.299999999999983</v>
      </c>
      <c r="W73" s="2">
        <f>-278.1-V73-U73</f>
        <v>-117.00000000000003</v>
      </c>
      <c r="X73" s="2">
        <f>-427.6-W73-V73-U73</f>
        <v>-149.50000000000006</v>
      </c>
      <c r="Y73" s="2">
        <v>-131.19999999999999</v>
      </c>
      <c r="AC73" s="2">
        <v>-426.1</v>
      </c>
    </row>
    <row r="74" spans="2:29" s="2" customFormat="1" x14ac:dyDescent="0.25">
      <c r="B74" s="2" t="s">
        <v>256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f>-12.233+3.632</f>
        <v>-8.6010000000000009</v>
      </c>
      <c r="N74" s="12">
        <f>-22.535+11.625-M74</f>
        <v>-2.3089999999999993</v>
      </c>
      <c r="O74" s="12">
        <f>-34.592+12.647-N74-M74</f>
        <v>-11.035000000000002</v>
      </c>
      <c r="P74" s="12">
        <f>-47+22.6-O74-N74-M74</f>
        <v>-2.4549999999999965</v>
      </c>
      <c r="Q74" s="12">
        <v>-12.9</v>
      </c>
      <c r="R74" s="12">
        <f>-25.6-Q74</f>
        <v>-12.700000000000001</v>
      </c>
      <c r="S74" s="12">
        <f>-75.1-R74-Q74</f>
        <v>-49.499999999999993</v>
      </c>
      <c r="T74" s="12">
        <f>-85.5-S74-R74-Q74</f>
        <v>-10.400000000000004</v>
      </c>
      <c r="U74" s="12">
        <v>-10.6</v>
      </c>
      <c r="V74" s="2">
        <f>-21.6-U74</f>
        <v>-11.000000000000002</v>
      </c>
      <c r="W74" s="2">
        <f>-32.9-V74-U74</f>
        <v>-11.299999999999999</v>
      </c>
      <c r="X74" s="2">
        <f>-44.9-W74-V74-U74+1.8</f>
        <v>-10.200000000000001</v>
      </c>
      <c r="Y74" s="2">
        <f>-233.5-13.2</f>
        <v>-246.7</v>
      </c>
      <c r="AC74" s="2">
        <v>-1.3</v>
      </c>
    </row>
    <row r="75" spans="2:29" s="2" customFormat="1" x14ac:dyDescent="0.25">
      <c r="B75" s="2" t="s">
        <v>257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1.48</v>
      </c>
      <c r="N75" s="12">
        <f>2.928-M75</f>
        <v>1.448</v>
      </c>
      <c r="O75" s="12">
        <f>4.339-N75-M75</f>
        <v>1.4110000000000005</v>
      </c>
      <c r="P75" s="12">
        <f>5.7-O75-N75-M75</f>
        <v>1.3609999999999998</v>
      </c>
      <c r="Q75" s="12">
        <v>1.3</v>
      </c>
      <c r="R75" s="12">
        <f>1.7-Q75</f>
        <v>0.39999999999999991</v>
      </c>
      <c r="S75" s="12">
        <f>2.4-R75-Q75</f>
        <v>0.7</v>
      </c>
      <c r="T75" s="12">
        <f>3.5-S75-R75-Q75</f>
        <v>1.0999999999999999</v>
      </c>
      <c r="U75" s="12">
        <v>1.1000000000000001</v>
      </c>
      <c r="V75" s="2">
        <f>2.2-U75</f>
        <v>1.1000000000000001</v>
      </c>
      <c r="W75" s="2">
        <f>3.3-V75-U75</f>
        <v>1.0999999999999996</v>
      </c>
      <c r="X75" s="2">
        <f>0-W75-V75-U75</f>
        <v>-3.3</v>
      </c>
      <c r="Y75" s="2">
        <v>3.5</v>
      </c>
      <c r="AC75" s="2">
        <v>0.8</v>
      </c>
    </row>
    <row r="76" spans="2:29" s="2" customFormat="1" x14ac:dyDescent="0.25">
      <c r="B76" s="2" t="s">
        <v>278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>
        <f t="shared" ref="M76:P76" si="184">SUM(M71:M75)</f>
        <v>-518.654</v>
      </c>
      <c r="N76" s="12">
        <f t="shared" si="184"/>
        <v>33.550000000000004</v>
      </c>
      <c r="O76" s="12">
        <f t="shared" si="184"/>
        <v>-656.66099999999994</v>
      </c>
      <c r="P76" s="12">
        <f t="shared" si="184"/>
        <v>-336.23500000000018</v>
      </c>
      <c r="Q76" s="12">
        <f t="shared" ref="Q76:Y76" si="185">SUM(Q71:Q75)</f>
        <v>-95.4</v>
      </c>
      <c r="R76" s="12">
        <f t="shared" si="185"/>
        <v>47.699999999999982</v>
      </c>
      <c r="S76" s="12">
        <f t="shared" si="185"/>
        <v>-60.199999999999996</v>
      </c>
      <c r="T76" s="12">
        <f t="shared" si="185"/>
        <v>40.200000000000024</v>
      </c>
      <c r="U76" s="2">
        <f t="shared" si="185"/>
        <v>-294.70000000000005</v>
      </c>
      <c r="V76" s="2">
        <f t="shared" si="185"/>
        <v>17.300000000000018</v>
      </c>
      <c r="W76" s="2">
        <f t="shared" si="185"/>
        <v>-165.00000000000006</v>
      </c>
      <c r="X76" s="2">
        <f t="shared" si="185"/>
        <v>-119.80000000000005</v>
      </c>
      <c r="Y76" s="2">
        <f t="shared" si="185"/>
        <v>-357.5</v>
      </c>
      <c r="AC76" s="2">
        <f t="shared" ref="AC76" si="186">SUM(AC71:AC75)</f>
        <v>-680.40000000000009</v>
      </c>
    </row>
    <row r="77" spans="2:29" s="2" customFormat="1" x14ac:dyDescent="0.25">
      <c r="B77" s="2" t="s">
        <v>277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-4.03</v>
      </c>
      <c r="N77" s="12">
        <f>-0.011-M77</f>
        <v>4.0190000000000001</v>
      </c>
      <c r="O77" s="12">
        <f>-8.472-N77-M77</f>
        <v>-8.4609999999999985</v>
      </c>
      <c r="P77" s="12">
        <f>-13.4-O77-N77-M77</f>
        <v>-4.9280000000000017</v>
      </c>
      <c r="Q77" s="12">
        <v>-5.9</v>
      </c>
      <c r="R77" s="12">
        <f>-31.8-Q77</f>
        <v>-25.9</v>
      </c>
      <c r="S77" s="12">
        <f>-70-R77-Q77</f>
        <v>-38.200000000000003</v>
      </c>
      <c r="T77" s="12">
        <f>-29.2-S77-R77-Q77</f>
        <v>40.800000000000004</v>
      </c>
      <c r="U77" s="2">
        <v>12</v>
      </c>
      <c r="V77" s="2">
        <f>22-U77</f>
        <v>10</v>
      </c>
      <c r="W77" s="2">
        <f>-0.5-V77-U77</f>
        <v>-22.5</v>
      </c>
      <c r="X77" s="2">
        <f>26.9-W77-V77-U77</f>
        <v>27.4</v>
      </c>
      <c r="Y77" s="2">
        <v>-15.6</v>
      </c>
      <c r="AC77" s="2">
        <v>30.5</v>
      </c>
    </row>
    <row r="78" spans="2:29" s="2" customFormat="1" x14ac:dyDescent="0.25">
      <c r="B78" s="2" t="s">
        <v>276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f t="shared" ref="M78:P78" si="187">+M76+M77+M69+M64</f>
        <v>324.06200000000001</v>
      </c>
      <c r="N78" s="12">
        <f t="shared" si="187"/>
        <v>-241.83900000000006</v>
      </c>
      <c r="O78" s="12">
        <f t="shared" si="187"/>
        <v>209.14500000000032</v>
      </c>
      <c r="P78" s="12">
        <f t="shared" si="187"/>
        <v>519.83199999999977</v>
      </c>
      <c r="Q78" s="12">
        <f>+Q76+Q77+Q69+Q64</f>
        <v>803.90000000000009</v>
      </c>
      <c r="R78" s="12">
        <f>+R76+R77+R69+R64</f>
        <v>1100.0999999999997</v>
      </c>
      <c r="S78" s="12">
        <f>+S76+S77+S69+S64</f>
        <v>472.89999999999986</v>
      </c>
      <c r="T78" s="12">
        <f>+T76+T77+T69+T64</f>
        <v>1334.9999999999995</v>
      </c>
      <c r="U78" s="2">
        <f>+U77+U76+U69+U64</f>
        <v>-1216.4000000000001</v>
      </c>
      <c r="V78" s="2">
        <f>+V77+V76+V69+V64</f>
        <v>857.8</v>
      </c>
      <c r="W78" s="2">
        <f>+W77+W76+W69+W64</f>
        <v>963.20000000000027</v>
      </c>
      <c r="X78" s="2">
        <f>+X77+X76+X69+X64</f>
        <v>-744.30000000000052</v>
      </c>
      <c r="Y78" s="2">
        <f>+Y77+Y76+Y69+Y64</f>
        <v>-1202.8999999999999</v>
      </c>
      <c r="AC78" s="2">
        <f>+AC77+AC76+AC69+AC64</f>
        <v>113.19999999999982</v>
      </c>
    </row>
    <row r="79" spans="2:29" s="2" customFormat="1" x14ac:dyDescent="0.2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2:29" x14ac:dyDescent="0.25">
      <c r="B80" t="s">
        <v>340</v>
      </c>
      <c r="P80" s="12">
        <v>3900</v>
      </c>
      <c r="T80" s="12">
        <v>4800</v>
      </c>
      <c r="X80" s="2">
        <v>5400</v>
      </c>
    </row>
  </sheetData>
  <hyperlinks>
    <hyperlink ref="A1" location="Main!A1" display="Main" xr:uid="{D2F5C3D2-A250-4343-8A6C-E8A5C19A1A0C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5BEA-589C-4679-9414-3940926A76D9}">
  <dimension ref="A1:H1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8" x14ac:dyDescent="0.25">
      <c r="A1" s="11" t="s">
        <v>20</v>
      </c>
    </row>
    <row r="2" spans="1:8" x14ac:dyDescent="0.25">
      <c r="B2" t="s">
        <v>7</v>
      </c>
      <c r="C2" t="s">
        <v>21</v>
      </c>
      <c r="H2" t="s">
        <v>372</v>
      </c>
    </row>
    <row r="3" spans="1:8" x14ac:dyDescent="0.25">
      <c r="B3" t="s">
        <v>8</v>
      </c>
      <c r="C3" t="s">
        <v>154</v>
      </c>
    </row>
    <row r="4" spans="1:8" x14ac:dyDescent="0.25">
      <c r="B4" t="s">
        <v>9</v>
      </c>
      <c r="C4" t="s">
        <v>153</v>
      </c>
    </row>
    <row r="5" spans="1:8" x14ac:dyDescent="0.25">
      <c r="B5" t="s">
        <v>12</v>
      </c>
      <c r="C5" t="s">
        <v>365</v>
      </c>
    </row>
    <row r="6" spans="1:8" x14ac:dyDescent="0.25">
      <c r="C6" t="s">
        <v>370</v>
      </c>
    </row>
    <row r="7" spans="1:8" x14ac:dyDescent="0.25">
      <c r="B7" t="s">
        <v>116</v>
      </c>
      <c r="C7" t="s">
        <v>176</v>
      </c>
    </row>
    <row r="8" spans="1:8" x14ac:dyDescent="0.25">
      <c r="B8" t="s">
        <v>188</v>
      </c>
      <c r="C8" t="s">
        <v>189</v>
      </c>
    </row>
    <row r="9" spans="1:8" x14ac:dyDescent="0.25">
      <c r="B9" t="s">
        <v>178</v>
      </c>
      <c r="C9" t="s">
        <v>179</v>
      </c>
    </row>
    <row r="10" spans="1:8" x14ac:dyDescent="0.25">
      <c r="B10" t="s">
        <v>180</v>
      </c>
      <c r="C10" t="s">
        <v>181</v>
      </c>
    </row>
    <row r="11" spans="1:8" x14ac:dyDescent="0.25">
      <c r="B11" t="s">
        <v>185</v>
      </c>
      <c r="C11" t="s">
        <v>186</v>
      </c>
    </row>
    <row r="12" spans="1:8" x14ac:dyDescent="0.25">
      <c r="B12" t="s">
        <v>187</v>
      </c>
      <c r="C12" t="s">
        <v>186</v>
      </c>
    </row>
    <row r="13" spans="1:8" x14ac:dyDescent="0.25">
      <c r="B13" t="s">
        <v>131</v>
      </c>
    </row>
    <row r="14" spans="1:8" ht="13" x14ac:dyDescent="0.3">
      <c r="C14" s="18" t="s">
        <v>182</v>
      </c>
    </row>
    <row r="15" spans="1:8" x14ac:dyDescent="0.25">
      <c r="C15" t="s">
        <v>183</v>
      </c>
    </row>
  </sheetData>
  <hyperlinks>
    <hyperlink ref="A1" location="Main!A1" display="Main" xr:uid="{81E4C234-025B-413E-B9C8-D7764BCDF027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6387-11D8-4B2C-A093-43065AD20DB4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23</v>
      </c>
    </row>
    <row r="3" spans="1:3" x14ac:dyDescent="0.25">
      <c r="B3" t="s">
        <v>8</v>
      </c>
      <c r="C3" t="s">
        <v>110</v>
      </c>
    </row>
    <row r="4" spans="1:3" x14ac:dyDescent="0.25">
      <c r="B4" t="s">
        <v>116</v>
      </c>
      <c r="C4" t="s">
        <v>184</v>
      </c>
    </row>
  </sheetData>
  <hyperlinks>
    <hyperlink ref="A1" location="Main!A1" display="Main" xr:uid="{2558785C-ADB2-4095-9A7B-C13C6F6F08D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770F-9056-4627-9D3F-7EDFE9146A1F}">
  <dimension ref="A1:H7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8" x14ac:dyDescent="0.25">
      <c r="A1" s="11" t="s">
        <v>20</v>
      </c>
    </row>
    <row r="2" spans="1:8" x14ac:dyDescent="0.25">
      <c r="B2" t="s">
        <v>7</v>
      </c>
      <c r="C2" t="s">
        <v>22</v>
      </c>
      <c r="H2" t="s">
        <v>368</v>
      </c>
    </row>
    <row r="3" spans="1:8" x14ac:dyDescent="0.25">
      <c r="B3" t="s">
        <v>8</v>
      </c>
      <c r="C3" t="s">
        <v>367</v>
      </c>
    </row>
    <row r="4" spans="1:8" x14ac:dyDescent="0.25">
      <c r="B4" t="s">
        <v>9</v>
      </c>
      <c r="C4" t="s">
        <v>15</v>
      </c>
    </row>
    <row r="5" spans="1:8" x14ac:dyDescent="0.25">
      <c r="B5" t="s">
        <v>116</v>
      </c>
    </row>
    <row r="6" spans="1:8" x14ac:dyDescent="0.25">
      <c r="B6" t="s">
        <v>11</v>
      </c>
      <c r="C6" t="s">
        <v>366</v>
      </c>
    </row>
    <row r="7" spans="1:8" x14ac:dyDescent="0.25">
      <c r="B7" t="s">
        <v>12</v>
      </c>
      <c r="C7" t="s">
        <v>369</v>
      </c>
    </row>
  </sheetData>
  <hyperlinks>
    <hyperlink ref="A1" location="Main!A1" display="Main" xr:uid="{E5C88E55-6C29-4777-9D64-A162F6CEE2A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BF29-0A94-4770-AA68-CFDB5D68D6D1}">
  <dimension ref="A1:C6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13</v>
      </c>
    </row>
    <row r="3" spans="1:3" x14ac:dyDescent="0.25">
      <c r="B3" t="s">
        <v>8</v>
      </c>
    </row>
    <row r="4" spans="1:3" x14ac:dyDescent="0.25">
      <c r="B4" t="s">
        <v>9</v>
      </c>
      <c r="C4" t="s">
        <v>15</v>
      </c>
    </row>
    <row r="5" spans="1:3" x14ac:dyDescent="0.25">
      <c r="B5" t="s">
        <v>88</v>
      </c>
      <c r="C5" t="s">
        <v>89</v>
      </c>
    </row>
    <row r="6" spans="1:3" x14ac:dyDescent="0.25">
      <c r="B6" t="s">
        <v>12</v>
      </c>
      <c r="C6" t="s">
        <v>364</v>
      </c>
    </row>
  </sheetData>
  <hyperlinks>
    <hyperlink ref="A1" location="Main!A1" display="Main" xr:uid="{00432356-2035-497F-B68F-E19036CF21B5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4667-B707-436E-8242-61F1E098F287}">
  <dimension ref="A1:I28"/>
  <sheetViews>
    <sheetView zoomScale="190" zoomScaleNormal="190" workbookViewId="0">
      <selection activeCell="C8" sqref="C8"/>
    </sheetView>
  </sheetViews>
  <sheetFormatPr defaultColWidth="8.81640625" defaultRowHeight="12.5" x14ac:dyDescent="0.25"/>
  <cols>
    <col min="1" max="1" width="5" bestFit="1" customWidth="1"/>
    <col min="2" max="2" width="14.54296875" bestFit="1" customWidth="1"/>
  </cols>
  <sheetData>
    <row r="1" spans="1:9" x14ac:dyDescent="0.25">
      <c r="A1" s="11" t="s">
        <v>20</v>
      </c>
    </row>
    <row r="2" spans="1:9" x14ac:dyDescent="0.25">
      <c r="B2" t="s">
        <v>7</v>
      </c>
      <c r="C2" t="s">
        <v>315</v>
      </c>
    </row>
    <row r="3" spans="1:9" x14ac:dyDescent="0.25">
      <c r="B3" t="s">
        <v>8</v>
      </c>
      <c r="C3" t="s">
        <v>137</v>
      </c>
    </row>
    <row r="4" spans="1:9" x14ac:dyDescent="0.25">
      <c r="B4" t="s">
        <v>9</v>
      </c>
      <c r="C4" t="s">
        <v>138</v>
      </c>
    </row>
    <row r="5" spans="1:9" x14ac:dyDescent="0.25">
      <c r="B5" t="s">
        <v>18</v>
      </c>
      <c r="C5" t="s">
        <v>37</v>
      </c>
    </row>
    <row r="6" spans="1:9" x14ac:dyDescent="0.25">
      <c r="B6" t="s">
        <v>10</v>
      </c>
      <c r="C6" t="s">
        <v>192</v>
      </c>
    </row>
    <row r="7" spans="1:9" x14ac:dyDescent="0.25">
      <c r="B7" t="s">
        <v>129</v>
      </c>
      <c r="C7" t="s">
        <v>393</v>
      </c>
    </row>
    <row r="8" spans="1:9" x14ac:dyDescent="0.25">
      <c r="B8" t="s">
        <v>116</v>
      </c>
      <c r="C8" t="s">
        <v>193</v>
      </c>
    </row>
    <row r="9" spans="1:9" x14ac:dyDescent="0.25">
      <c r="C9" t="s">
        <v>348</v>
      </c>
    </row>
    <row r="10" spans="1:9" x14ac:dyDescent="0.25">
      <c r="B10" t="s">
        <v>346</v>
      </c>
      <c r="C10" t="s">
        <v>347</v>
      </c>
    </row>
    <row r="11" spans="1:9" x14ac:dyDescent="0.25">
      <c r="B11" t="s">
        <v>131</v>
      </c>
    </row>
    <row r="12" spans="1:9" ht="13" x14ac:dyDescent="0.3">
      <c r="C12" s="18" t="s">
        <v>148</v>
      </c>
    </row>
    <row r="13" spans="1:9" x14ac:dyDescent="0.25">
      <c r="C13" t="s">
        <v>145</v>
      </c>
      <c r="I13" s="11" t="s">
        <v>168</v>
      </c>
    </row>
    <row r="14" spans="1:9" x14ac:dyDescent="0.25">
      <c r="C14" t="s">
        <v>142</v>
      </c>
    </row>
    <row r="15" spans="1:9" x14ac:dyDescent="0.25">
      <c r="C15" t="s">
        <v>139</v>
      </c>
    </row>
    <row r="16" spans="1:9" x14ac:dyDescent="0.25">
      <c r="C16" t="s">
        <v>140</v>
      </c>
    </row>
    <row r="17" spans="3:3" x14ac:dyDescent="0.25">
      <c r="C17" t="s">
        <v>141</v>
      </c>
    </row>
    <row r="18" spans="3:3" x14ac:dyDescent="0.25">
      <c r="C18" t="s">
        <v>143</v>
      </c>
    </row>
    <row r="19" spans="3:3" x14ac:dyDescent="0.25">
      <c r="C19" t="s">
        <v>149</v>
      </c>
    </row>
    <row r="21" spans="3:3" ht="13" x14ac:dyDescent="0.3">
      <c r="C21" s="18" t="s">
        <v>147</v>
      </c>
    </row>
    <row r="22" spans="3:3" x14ac:dyDescent="0.25">
      <c r="C22" t="s">
        <v>149</v>
      </c>
    </row>
    <row r="24" spans="3:3" ht="13" x14ac:dyDescent="0.3">
      <c r="C24" s="18" t="s">
        <v>146</v>
      </c>
    </row>
    <row r="26" spans="3:3" ht="13" x14ac:dyDescent="0.3">
      <c r="C26" s="18" t="s">
        <v>150</v>
      </c>
    </row>
    <row r="28" spans="3:3" ht="13" x14ac:dyDescent="0.3">
      <c r="C28" s="18" t="s">
        <v>151</v>
      </c>
    </row>
  </sheetData>
  <hyperlinks>
    <hyperlink ref="A1" location="Main!A1" display="Main" xr:uid="{B7375EF0-5582-4E12-AC44-5AB9BFB39A26}"/>
    <hyperlink ref="I13" r:id="rId1" location="!*menu=16*browseby=9*sortby=1*trend=4016" xr:uid="{5FC3E2BD-FEEC-4C40-834C-9C4DE1F9CFC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57B1-62FF-469A-BFF1-F8D2D83B9698}">
  <dimension ref="A1:C17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  <col min="2" max="2" width="14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47</v>
      </c>
    </row>
    <row r="3" spans="1:3" x14ac:dyDescent="0.25">
      <c r="B3" t="s">
        <v>8</v>
      </c>
      <c r="C3" t="s">
        <v>377</v>
      </c>
    </row>
    <row r="4" spans="1:3" x14ac:dyDescent="0.25">
      <c r="B4" t="s">
        <v>9</v>
      </c>
      <c r="C4" t="s">
        <v>127</v>
      </c>
    </row>
    <row r="5" spans="1:3" x14ac:dyDescent="0.25">
      <c r="B5" t="s">
        <v>10</v>
      </c>
      <c r="C5" t="s">
        <v>128</v>
      </c>
    </row>
    <row r="6" spans="1:3" x14ac:dyDescent="0.25">
      <c r="B6" t="s">
        <v>129</v>
      </c>
      <c r="C6" t="s">
        <v>130</v>
      </c>
    </row>
    <row r="7" spans="1:3" x14ac:dyDescent="0.25">
      <c r="B7" t="s">
        <v>131</v>
      </c>
    </row>
    <row r="8" spans="1:3" ht="13" x14ac:dyDescent="0.3">
      <c r="C8" s="18" t="s">
        <v>132</v>
      </c>
    </row>
    <row r="9" spans="1:3" x14ac:dyDescent="0.25">
      <c r="C9" t="s">
        <v>162</v>
      </c>
    </row>
    <row r="10" spans="1:3" x14ac:dyDescent="0.25">
      <c r="C10" t="s">
        <v>164</v>
      </c>
    </row>
    <row r="11" spans="1:3" x14ac:dyDescent="0.25">
      <c r="C11" t="s">
        <v>163</v>
      </c>
    </row>
    <row r="12" spans="1:3" x14ac:dyDescent="0.25">
      <c r="C12" t="s">
        <v>133</v>
      </c>
    </row>
    <row r="13" spans="1:3" x14ac:dyDescent="0.25">
      <c r="C13" t="s">
        <v>134</v>
      </c>
    </row>
    <row r="15" spans="1:3" x14ac:dyDescent="0.25">
      <c r="C15" t="s">
        <v>326</v>
      </c>
    </row>
    <row r="16" spans="1:3" x14ac:dyDescent="0.25">
      <c r="C16" t="s">
        <v>327</v>
      </c>
    </row>
    <row r="17" spans="3:3" x14ac:dyDescent="0.25">
      <c r="C17" t="s">
        <v>397</v>
      </c>
    </row>
  </sheetData>
  <hyperlinks>
    <hyperlink ref="A1" location="Main!A1" display="Main" xr:uid="{9BF225D4-86E4-4BAF-A010-4C234C9F13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D72A-F23C-49FA-B015-8CB9FAFD237F}">
  <dimension ref="A1:D16"/>
  <sheetViews>
    <sheetView zoomScale="220" zoomScaleNormal="22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4" x14ac:dyDescent="0.25">
      <c r="A1" s="11" t="s">
        <v>20</v>
      </c>
    </row>
    <row r="2" spans="1:4" x14ac:dyDescent="0.25">
      <c r="B2" t="s">
        <v>7</v>
      </c>
      <c r="C2" t="s">
        <v>379</v>
      </c>
    </row>
    <row r="3" spans="1:4" x14ac:dyDescent="0.25">
      <c r="B3" t="s">
        <v>8</v>
      </c>
      <c r="C3" t="s">
        <v>378</v>
      </c>
    </row>
    <row r="4" spans="1:4" x14ac:dyDescent="0.25">
      <c r="B4" t="s">
        <v>9</v>
      </c>
      <c r="C4" t="s">
        <v>380</v>
      </c>
    </row>
    <row r="5" spans="1:4" x14ac:dyDescent="0.25">
      <c r="B5" t="s">
        <v>131</v>
      </c>
    </row>
    <row r="6" spans="1:4" ht="13" x14ac:dyDescent="0.3">
      <c r="C6" s="18" t="s">
        <v>404</v>
      </c>
    </row>
    <row r="7" spans="1:4" x14ac:dyDescent="0.25">
      <c r="C7" t="s">
        <v>405</v>
      </c>
    </row>
    <row r="8" spans="1:4" x14ac:dyDescent="0.25">
      <c r="C8" t="s">
        <v>382</v>
      </c>
    </row>
    <row r="10" spans="1:4" ht="13" x14ac:dyDescent="0.3">
      <c r="C10" s="18" t="s">
        <v>407</v>
      </c>
    </row>
    <row r="11" spans="1:4" x14ac:dyDescent="0.25">
      <c r="C11" t="s">
        <v>381</v>
      </c>
    </row>
    <row r="12" spans="1:4" x14ac:dyDescent="0.25">
      <c r="D12" t="s">
        <v>402</v>
      </c>
    </row>
    <row r="13" spans="1:4" x14ac:dyDescent="0.25">
      <c r="C13" t="s">
        <v>403</v>
      </c>
    </row>
    <row r="16" spans="1:4" ht="13" x14ac:dyDescent="0.3">
      <c r="C16" s="18" t="s">
        <v>408</v>
      </c>
    </row>
  </sheetData>
  <hyperlinks>
    <hyperlink ref="A1" location="Main!A1" display="Main" xr:uid="{22B1C448-9C83-4D95-99CC-9F72F9CD7C8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8714-88C7-42B3-B2FD-3531313A58EB}">
  <dimension ref="A1:N14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81640625" customWidth="1"/>
    <col min="3" max="3" width="12.26953125" customWidth="1"/>
  </cols>
  <sheetData>
    <row r="1" spans="1:14" x14ac:dyDescent="0.25">
      <c r="A1" s="11" t="s">
        <v>20</v>
      </c>
    </row>
    <row r="2" spans="1:14" x14ac:dyDescent="0.25">
      <c r="B2" t="s">
        <v>7</v>
      </c>
      <c r="C2" t="s">
        <v>359</v>
      </c>
      <c r="H2" s="20"/>
      <c r="N2" s="8"/>
    </row>
    <row r="3" spans="1:14" x14ac:dyDescent="0.25">
      <c r="B3" t="s">
        <v>8</v>
      </c>
      <c r="C3" t="s">
        <v>360</v>
      </c>
    </row>
    <row r="4" spans="1:14" x14ac:dyDescent="0.25">
      <c r="B4" t="s">
        <v>9</v>
      </c>
      <c r="C4" t="s">
        <v>15</v>
      </c>
    </row>
    <row r="5" spans="1:14" x14ac:dyDescent="0.25">
      <c r="B5" t="s">
        <v>116</v>
      </c>
      <c r="C5" t="s">
        <v>356</v>
      </c>
    </row>
    <row r="6" spans="1:14" x14ac:dyDescent="0.25">
      <c r="B6" t="s">
        <v>131</v>
      </c>
    </row>
    <row r="7" spans="1:14" ht="13" x14ac:dyDescent="0.3">
      <c r="C7" s="18" t="s">
        <v>190</v>
      </c>
    </row>
    <row r="8" spans="1:14" x14ac:dyDescent="0.25">
      <c r="C8" t="s">
        <v>191</v>
      </c>
    </row>
    <row r="10" spans="1:14" ht="13" x14ac:dyDescent="0.3">
      <c r="C10" s="18" t="s">
        <v>358</v>
      </c>
    </row>
    <row r="14" spans="1:14" ht="13" x14ac:dyDescent="0.3">
      <c r="C14" s="18" t="s">
        <v>317</v>
      </c>
    </row>
  </sheetData>
  <hyperlinks>
    <hyperlink ref="A1" location="Main!A1" display="Main" xr:uid="{D27BB88E-1A8F-41E5-B99C-BA493095DC2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47AF-768E-4B06-9E84-BC4ABCFB8ABD}">
  <dimension ref="A1:E40"/>
  <sheetViews>
    <sheetView zoomScale="115" zoomScaleNormal="115" workbookViewId="0">
      <selection activeCell="C12" sqref="C12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25.26953125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355</v>
      </c>
    </row>
    <row r="3" spans="1:3" x14ac:dyDescent="0.25">
      <c r="B3" t="s">
        <v>8</v>
      </c>
      <c r="C3" t="s">
        <v>313</v>
      </c>
    </row>
    <row r="4" spans="1:3" x14ac:dyDescent="0.25">
      <c r="B4" t="s">
        <v>9</v>
      </c>
      <c r="C4" t="s">
        <v>43</v>
      </c>
    </row>
    <row r="5" spans="1:3" x14ac:dyDescent="0.25">
      <c r="B5" t="s">
        <v>10</v>
      </c>
      <c r="C5" t="s">
        <v>44</v>
      </c>
    </row>
    <row r="6" spans="1:3" x14ac:dyDescent="0.25">
      <c r="B6" t="s">
        <v>230</v>
      </c>
      <c r="C6" t="s">
        <v>234</v>
      </c>
    </row>
    <row r="7" spans="1:3" x14ac:dyDescent="0.25">
      <c r="B7" t="s">
        <v>337</v>
      </c>
      <c r="C7" t="s">
        <v>338</v>
      </c>
    </row>
    <row r="8" spans="1:3" x14ac:dyDescent="0.25">
      <c r="B8" t="s">
        <v>385</v>
      </c>
      <c r="C8" t="s">
        <v>386</v>
      </c>
    </row>
    <row r="9" spans="1:3" x14ac:dyDescent="0.25">
      <c r="B9" t="s">
        <v>131</v>
      </c>
    </row>
    <row r="10" spans="1:3" ht="13" x14ac:dyDescent="0.3">
      <c r="C10" s="18" t="s">
        <v>395</v>
      </c>
    </row>
    <row r="11" spans="1:3" x14ac:dyDescent="0.25">
      <c r="C11" t="s">
        <v>396</v>
      </c>
    </row>
    <row r="13" spans="1:3" ht="13" x14ac:dyDescent="0.3">
      <c r="C13" s="18" t="s">
        <v>307</v>
      </c>
    </row>
    <row r="17" spans="3:5" ht="13" x14ac:dyDescent="0.3">
      <c r="C17" s="18" t="s">
        <v>241</v>
      </c>
    </row>
    <row r="18" spans="3:5" ht="13" x14ac:dyDescent="0.3">
      <c r="C18" s="18"/>
      <c r="D18" t="s">
        <v>232</v>
      </c>
    </row>
    <row r="19" spans="3:5" x14ac:dyDescent="0.25">
      <c r="C19" t="s">
        <v>231</v>
      </c>
      <c r="D19" s="22">
        <v>101</v>
      </c>
    </row>
    <row r="20" spans="3:5" x14ac:dyDescent="0.25">
      <c r="C20" t="s">
        <v>233</v>
      </c>
      <c r="D20" s="22">
        <v>137.80000000000001</v>
      </c>
      <c r="E20" t="s">
        <v>238</v>
      </c>
    </row>
    <row r="21" spans="3:5" x14ac:dyDescent="0.25">
      <c r="C21" t="s">
        <v>235</v>
      </c>
      <c r="D21" s="22">
        <v>86.9</v>
      </c>
      <c r="E21" t="s">
        <v>239</v>
      </c>
    </row>
    <row r="22" spans="3:5" x14ac:dyDescent="0.25">
      <c r="C22" t="s">
        <v>236</v>
      </c>
      <c r="D22" s="22">
        <v>112.9</v>
      </c>
      <c r="E22" t="s">
        <v>239</v>
      </c>
    </row>
    <row r="23" spans="3:5" x14ac:dyDescent="0.25">
      <c r="C23" t="s">
        <v>237</v>
      </c>
      <c r="D23" s="22">
        <v>115.6</v>
      </c>
      <c r="E23" t="s">
        <v>239</v>
      </c>
    </row>
    <row r="24" spans="3:5" x14ac:dyDescent="0.25">
      <c r="D24" s="22"/>
    </row>
    <row r="25" spans="3:5" x14ac:dyDescent="0.25">
      <c r="D25" s="22"/>
    </row>
    <row r="26" spans="3:5" ht="13" x14ac:dyDescent="0.3">
      <c r="C26" s="18" t="s">
        <v>240</v>
      </c>
    </row>
    <row r="27" spans="3:5" x14ac:dyDescent="0.25">
      <c r="D27" t="s">
        <v>232</v>
      </c>
    </row>
    <row r="28" spans="3:5" x14ac:dyDescent="0.25">
      <c r="C28" t="s">
        <v>231</v>
      </c>
      <c r="D28">
        <v>72.7</v>
      </c>
    </row>
    <row r="29" spans="3:5" x14ac:dyDescent="0.25">
      <c r="C29" t="s">
        <v>233</v>
      </c>
      <c r="D29">
        <v>110.5</v>
      </c>
      <c r="E29" t="s">
        <v>242</v>
      </c>
    </row>
    <row r="30" spans="3:5" x14ac:dyDescent="0.25">
      <c r="C30" t="s">
        <v>235</v>
      </c>
      <c r="D30">
        <v>95.1</v>
      </c>
      <c r="E30" t="s">
        <v>239</v>
      </c>
    </row>
    <row r="31" spans="3:5" x14ac:dyDescent="0.25">
      <c r="C31" t="s">
        <v>237</v>
      </c>
      <c r="D31">
        <v>85.2</v>
      </c>
      <c r="E31" t="s">
        <v>239</v>
      </c>
    </row>
    <row r="33" spans="3:3" ht="13" x14ac:dyDescent="0.3">
      <c r="C33" s="18" t="s">
        <v>323</v>
      </c>
    </row>
    <row r="35" spans="3:3" ht="13" x14ac:dyDescent="0.3">
      <c r="C35" s="18" t="s">
        <v>324</v>
      </c>
    </row>
    <row r="38" spans="3:3" ht="13" x14ac:dyDescent="0.3">
      <c r="C38" s="18" t="s">
        <v>334</v>
      </c>
    </row>
    <row r="39" spans="3:3" x14ac:dyDescent="0.25">
      <c r="C39" t="s">
        <v>335</v>
      </c>
    </row>
    <row r="40" spans="3:3" x14ac:dyDescent="0.25">
      <c r="C40" t="s">
        <v>336</v>
      </c>
    </row>
  </sheetData>
  <hyperlinks>
    <hyperlink ref="A1" location="Main!A1" display="Main" xr:uid="{9F1444FB-1FC7-4AF6-9D19-F860F1DDD4D6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AB23-686C-478E-AA6A-03F37C9331A3}">
  <dimension ref="A1:C7"/>
  <sheetViews>
    <sheetView zoomScale="280" zoomScaleNormal="28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305</v>
      </c>
    </row>
    <row r="3" spans="1:3" x14ac:dyDescent="0.25">
      <c r="B3" t="s">
        <v>9</v>
      </c>
      <c r="C3" t="s">
        <v>15</v>
      </c>
    </row>
    <row r="4" spans="1:3" x14ac:dyDescent="0.25">
      <c r="B4" t="s">
        <v>129</v>
      </c>
      <c r="C4" t="s">
        <v>319</v>
      </c>
    </row>
    <row r="5" spans="1:3" x14ac:dyDescent="0.25">
      <c r="B5" t="s">
        <v>131</v>
      </c>
    </row>
    <row r="6" spans="1:3" ht="13" x14ac:dyDescent="0.3">
      <c r="C6" s="18" t="s">
        <v>320</v>
      </c>
    </row>
    <row r="7" spans="1:3" x14ac:dyDescent="0.25">
      <c r="C7" t="s">
        <v>321</v>
      </c>
    </row>
  </sheetData>
  <hyperlinks>
    <hyperlink ref="A1" location="Main!A1" display="Main" xr:uid="{C0D50ABE-2133-4DD7-AC00-5588FBC472D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0169-374E-454F-AD84-2EA69EF52EB1}">
  <dimension ref="A1:C9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39</v>
      </c>
    </row>
    <row r="3" spans="1:3" x14ac:dyDescent="0.25">
      <c r="B3" t="s">
        <v>8</v>
      </c>
      <c r="C3" t="s">
        <v>156</v>
      </c>
    </row>
    <row r="4" spans="1:3" x14ac:dyDescent="0.25">
      <c r="B4" t="s">
        <v>9</v>
      </c>
      <c r="C4" t="s">
        <v>158</v>
      </c>
    </row>
    <row r="5" spans="1:3" x14ac:dyDescent="0.25">
      <c r="B5" t="s">
        <v>10</v>
      </c>
      <c r="C5" t="s">
        <v>194</v>
      </c>
    </row>
    <row r="6" spans="1:3" x14ac:dyDescent="0.25">
      <c r="B6" t="s">
        <v>131</v>
      </c>
    </row>
    <row r="7" spans="1:3" ht="13" x14ac:dyDescent="0.3">
      <c r="C7" s="18" t="s">
        <v>383</v>
      </c>
    </row>
    <row r="8" spans="1:3" x14ac:dyDescent="0.25">
      <c r="C8" t="s">
        <v>227</v>
      </c>
    </row>
    <row r="9" spans="1:3" x14ac:dyDescent="0.25">
      <c r="C9" t="s">
        <v>325</v>
      </c>
    </row>
  </sheetData>
  <hyperlinks>
    <hyperlink ref="A1" location="Main!A1" display="Main" xr:uid="{8E17983A-F281-41DE-94AE-3C971B03D303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D23D-12F6-4A5D-93D1-1862668A41BC}">
  <dimension ref="A1:C4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292</v>
      </c>
    </row>
    <row r="3" spans="1:3" x14ac:dyDescent="0.25">
      <c r="B3" t="s">
        <v>9</v>
      </c>
      <c r="C3" t="s">
        <v>297</v>
      </c>
    </row>
    <row r="4" spans="1:3" x14ac:dyDescent="0.25">
      <c r="B4" t="s">
        <v>116</v>
      </c>
      <c r="C4" t="s">
        <v>294</v>
      </c>
    </row>
  </sheetData>
  <hyperlinks>
    <hyperlink ref="A1" location="Main!A1" display="Main" xr:uid="{0A34DDFA-7AD8-4524-8897-4C2FF35B4CE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003B-178C-466F-BE10-E90BCC8A1B78}">
  <dimension ref="A1:I24"/>
  <sheetViews>
    <sheetView workbookViewId="0"/>
  </sheetViews>
  <sheetFormatPr defaultColWidth="8.81640625" defaultRowHeight="12.5" x14ac:dyDescent="0.25"/>
  <cols>
    <col min="1" max="1" width="5" bestFit="1" customWidth="1"/>
    <col min="3" max="3" width="15.81640625" customWidth="1"/>
    <col min="7" max="8" width="10.1796875" bestFit="1" customWidth="1"/>
  </cols>
  <sheetData>
    <row r="1" spans="1:9" x14ac:dyDescent="0.25">
      <c r="A1" s="11" t="s">
        <v>20</v>
      </c>
    </row>
    <row r="2" spans="1:9" x14ac:dyDescent="0.25">
      <c r="B2" t="s">
        <v>59</v>
      </c>
      <c r="C2" t="s">
        <v>61</v>
      </c>
      <c r="D2" t="s">
        <v>62</v>
      </c>
      <c r="E2" t="s">
        <v>64</v>
      </c>
      <c r="F2" t="s">
        <v>66</v>
      </c>
      <c r="G2" t="s">
        <v>71</v>
      </c>
      <c r="H2" t="s">
        <v>72</v>
      </c>
      <c r="I2" t="s">
        <v>75</v>
      </c>
    </row>
    <row r="3" spans="1:9" x14ac:dyDescent="0.25">
      <c r="B3">
        <v>11390600</v>
      </c>
      <c r="C3" t="s">
        <v>60</v>
      </c>
      <c r="D3" t="s">
        <v>63</v>
      </c>
      <c r="E3" t="s">
        <v>65</v>
      </c>
      <c r="F3">
        <v>2</v>
      </c>
      <c r="G3" s="15">
        <v>44019</v>
      </c>
      <c r="H3" s="15">
        <v>44761</v>
      </c>
      <c r="I3" t="s">
        <v>76</v>
      </c>
    </row>
    <row r="4" spans="1:9" x14ac:dyDescent="0.25">
      <c r="B4">
        <v>11370798</v>
      </c>
      <c r="C4" t="s">
        <v>70</v>
      </c>
      <c r="D4" t="s">
        <v>73</v>
      </c>
      <c r="E4" t="s">
        <v>74</v>
      </c>
      <c r="F4">
        <v>2</v>
      </c>
      <c r="G4" s="15">
        <v>44074</v>
      </c>
      <c r="H4" s="15">
        <v>44740</v>
      </c>
      <c r="I4" t="s">
        <v>77</v>
      </c>
    </row>
    <row r="5" spans="1:9" x14ac:dyDescent="0.25">
      <c r="B5">
        <v>11369692</v>
      </c>
      <c r="C5" t="s">
        <v>78</v>
      </c>
      <c r="D5" t="s">
        <v>73</v>
      </c>
      <c r="E5" t="s">
        <v>79</v>
      </c>
      <c r="F5">
        <v>5</v>
      </c>
      <c r="G5" s="15">
        <v>42671</v>
      </c>
      <c r="H5" s="15">
        <v>44740</v>
      </c>
      <c r="I5" t="s">
        <v>80</v>
      </c>
    </row>
    <row r="6" spans="1:9" x14ac:dyDescent="0.25">
      <c r="B6">
        <v>11358977</v>
      </c>
      <c r="C6" t="s">
        <v>81</v>
      </c>
      <c r="D6" t="s">
        <v>73</v>
      </c>
      <c r="E6" t="s">
        <v>82</v>
      </c>
      <c r="F6">
        <v>8</v>
      </c>
      <c r="G6" s="15">
        <v>43236</v>
      </c>
      <c r="H6" s="15">
        <v>44726</v>
      </c>
      <c r="I6" t="s">
        <v>44</v>
      </c>
    </row>
    <row r="7" spans="1:9" x14ac:dyDescent="0.25">
      <c r="B7">
        <v>11345700</v>
      </c>
      <c r="C7" t="s">
        <v>84</v>
      </c>
      <c r="D7" t="s">
        <v>73</v>
      </c>
      <c r="E7" t="s">
        <v>83</v>
      </c>
      <c r="F7">
        <v>1</v>
      </c>
      <c r="G7" s="15">
        <v>43899</v>
      </c>
      <c r="H7" s="15">
        <v>44712</v>
      </c>
      <c r="I7" t="s">
        <v>85</v>
      </c>
    </row>
    <row r="8" spans="1:9" x14ac:dyDescent="0.25">
      <c r="B8">
        <v>11291662</v>
      </c>
      <c r="C8" t="s">
        <v>86</v>
      </c>
      <c r="D8" t="s">
        <v>73</v>
      </c>
      <c r="E8" t="s">
        <v>87</v>
      </c>
      <c r="F8">
        <v>3</v>
      </c>
      <c r="G8" s="15">
        <v>43804</v>
      </c>
      <c r="H8" s="15">
        <v>44656</v>
      </c>
      <c r="I8" t="s">
        <v>13</v>
      </c>
    </row>
    <row r="9" spans="1:9" x14ac:dyDescent="0.25">
      <c r="B9">
        <v>11268077</v>
      </c>
      <c r="C9" t="s">
        <v>90</v>
      </c>
      <c r="D9" t="s">
        <v>73</v>
      </c>
      <c r="E9" t="s">
        <v>91</v>
      </c>
      <c r="F9">
        <v>5</v>
      </c>
      <c r="G9" s="15">
        <v>43501</v>
      </c>
      <c r="H9" s="15">
        <v>44628</v>
      </c>
      <c r="I9" t="s">
        <v>92</v>
      </c>
    </row>
    <row r="10" spans="1:9" x14ac:dyDescent="0.25">
      <c r="B10">
        <v>11253509</v>
      </c>
      <c r="C10" t="s">
        <v>93</v>
      </c>
      <c r="D10" t="s">
        <v>73</v>
      </c>
      <c r="E10" t="s">
        <v>94</v>
      </c>
      <c r="F10">
        <v>2</v>
      </c>
      <c r="G10" s="15">
        <v>43259</v>
      </c>
      <c r="H10" s="15">
        <v>44614</v>
      </c>
    </row>
    <row r="11" spans="1:9" x14ac:dyDescent="0.25">
      <c r="B11">
        <v>11203571</v>
      </c>
      <c r="C11" t="s">
        <v>195</v>
      </c>
      <c r="D11" t="s">
        <v>73</v>
      </c>
      <c r="E11" t="s">
        <v>196</v>
      </c>
      <c r="F11">
        <v>8</v>
      </c>
      <c r="G11" s="15">
        <v>41835</v>
      </c>
      <c r="H11" s="15">
        <v>44551</v>
      </c>
      <c r="I11" t="s">
        <v>44</v>
      </c>
    </row>
    <row r="12" spans="1:9" x14ac:dyDescent="0.25">
      <c r="B12">
        <v>11186566</v>
      </c>
      <c r="C12" t="s">
        <v>197</v>
      </c>
      <c r="D12" t="s">
        <v>73</v>
      </c>
      <c r="E12" t="s">
        <v>198</v>
      </c>
      <c r="F12">
        <v>6</v>
      </c>
      <c r="G12" s="15">
        <v>43803</v>
      </c>
      <c r="H12" s="15">
        <v>44530</v>
      </c>
      <c r="I12" t="s">
        <v>199</v>
      </c>
    </row>
    <row r="13" spans="1:9" x14ac:dyDescent="0.25">
      <c r="B13">
        <v>11179394</v>
      </c>
      <c r="C13" t="s">
        <v>200</v>
      </c>
      <c r="D13" t="s">
        <v>73</v>
      </c>
      <c r="E13" t="s">
        <v>201</v>
      </c>
      <c r="F13">
        <v>3</v>
      </c>
      <c r="G13" s="15">
        <v>42172</v>
      </c>
      <c r="H13" s="15">
        <v>44523</v>
      </c>
      <c r="I13" t="s">
        <v>202</v>
      </c>
    </row>
    <row r="14" spans="1:9" x14ac:dyDescent="0.25">
      <c r="B14">
        <v>11179367</v>
      </c>
      <c r="C14" t="s">
        <v>203</v>
      </c>
      <c r="D14" t="s">
        <v>73</v>
      </c>
      <c r="E14" t="s">
        <v>204</v>
      </c>
      <c r="F14">
        <v>2</v>
      </c>
      <c r="G14" s="15">
        <v>43500</v>
      </c>
      <c r="H14" s="15">
        <v>44523</v>
      </c>
      <c r="I14" t="s">
        <v>205</v>
      </c>
    </row>
    <row r="15" spans="1:9" x14ac:dyDescent="0.25">
      <c r="B15">
        <v>11155533</v>
      </c>
      <c r="C15" t="s">
        <v>206</v>
      </c>
      <c r="D15" t="s">
        <v>73</v>
      </c>
      <c r="E15" t="s">
        <v>207</v>
      </c>
      <c r="F15">
        <v>2</v>
      </c>
      <c r="G15" s="15">
        <v>43915</v>
      </c>
      <c r="H15" s="15">
        <v>44495</v>
      </c>
      <c r="I15" t="s">
        <v>208</v>
      </c>
    </row>
    <row r="16" spans="1:9" x14ac:dyDescent="0.25">
      <c r="B16">
        <v>11147770</v>
      </c>
      <c r="C16" t="s">
        <v>209</v>
      </c>
      <c r="D16" t="s">
        <v>73</v>
      </c>
      <c r="E16" t="s">
        <v>210</v>
      </c>
      <c r="F16">
        <v>2</v>
      </c>
      <c r="G16" s="15">
        <v>43536</v>
      </c>
      <c r="H16" s="15">
        <v>44488</v>
      </c>
      <c r="I16" t="s">
        <v>205</v>
      </c>
    </row>
    <row r="17" spans="2:9" x14ac:dyDescent="0.25">
      <c r="B17">
        <v>11124805</v>
      </c>
      <c r="C17" t="s">
        <v>211</v>
      </c>
      <c r="D17" t="s">
        <v>73</v>
      </c>
      <c r="E17" t="s">
        <v>212</v>
      </c>
      <c r="F17">
        <v>7</v>
      </c>
      <c r="G17" s="15">
        <v>42929</v>
      </c>
      <c r="H17" s="15">
        <v>44460</v>
      </c>
      <c r="I17" t="s">
        <v>213</v>
      </c>
    </row>
    <row r="18" spans="2:9" x14ac:dyDescent="0.25">
      <c r="B18">
        <v>11117900</v>
      </c>
      <c r="C18" t="s">
        <v>70</v>
      </c>
      <c r="D18" t="s">
        <v>73</v>
      </c>
      <c r="E18" t="s">
        <v>74</v>
      </c>
      <c r="F18">
        <v>3</v>
      </c>
      <c r="G18" s="15">
        <v>43683</v>
      </c>
      <c r="H18" s="15">
        <v>44453</v>
      </c>
    </row>
    <row r="19" spans="2:9" x14ac:dyDescent="0.25">
      <c r="B19">
        <v>11110108</v>
      </c>
      <c r="C19" t="s">
        <v>214</v>
      </c>
      <c r="D19" t="s">
        <v>73</v>
      </c>
      <c r="E19" t="s">
        <v>215</v>
      </c>
      <c r="F19">
        <v>2</v>
      </c>
      <c r="G19" s="15">
        <v>43005</v>
      </c>
      <c r="H19" s="15">
        <v>44446</v>
      </c>
    </row>
    <row r="20" spans="2:9" x14ac:dyDescent="0.25">
      <c r="B20">
        <v>11110086</v>
      </c>
      <c r="C20" t="s">
        <v>216</v>
      </c>
      <c r="D20" t="s">
        <v>73</v>
      </c>
      <c r="E20" t="s">
        <v>217</v>
      </c>
      <c r="F20">
        <v>3</v>
      </c>
      <c r="G20" s="15">
        <v>43656</v>
      </c>
      <c r="H20" s="15">
        <v>44446</v>
      </c>
    </row>
    <row r="21" spans="2:9" x14ac:dyDescent="0.25">
      <c r="B21">
        <v>11084804</v>
      </c>
      <c r="C21" t="s">
        <v>218</v>
      </c>
      <c r="D21" t="s">
        <v>73</v>
      </c>
      <c r="E21" t="s">
        <v>219</v>
      </c>
      <c r="F21">
        <v>5</v>
      </c>
      <c r="G21" s="15">
        <v>43874</v>
      </c>
      <c r="H21" s="15">
        <v>44418</v>
      </c>
      <c r="I21" t="s">
        <v>199</v>
      </c>
    </row>
    <row r="22" spans="2:9" x14ac:dyDescent="0.25">
      <c r="B22">
        <v>11066417</v>
      </c>
      <c r="C22" t="s">
        <v>221</v>
      </c>
      <c r="D22" t="s">
        <v>73</v>
      </c>
      <c r="E22" t="s">
        <v>220</v>
      </c>
      <c r="F22">
        <v>6</v>
      </c>
      <c r="G22" s="15">
        <v>43510</v>
      </c>
      <c r="H22" s="15">
        <v>44397</v>
      </c>
    </row>
    <row r="23" spans="2:9" x14ac:dyDescent="0.25">
      <c r="B23">
        <v>11059826</v>
      </c>
      <c r="C23" t="s">
        <v>222</v>
      </c>
      <c r="D23" t="s">
        <v>73</v>
      </c>
      <c r="E23" t="s">
        <v>223</v>
      </c>
      <c r="F23">
        <v>5</v>
      </c>
      <c r="G23" s="15">
        <v>43578</v>
      </c>
      <c r="H23" s="15">
        <v>44390</v>
      </c>
      <c r="I23" t="s">
        <v>224</v>
      </c>
    </row>
    <row r="24" spans="2:9" x14ac:dyDescent="0.25">
      <c r="B24">
        <v>11052075</v>
      </c>
      <c r="C24" t="s">
        <v>225</v>
      </c>
      <c r="D24" t="s">
        <v>73</v>
      </c>
      <c r="E24" t="s">
        <v>226</v>
      </c>
      <c r="G24" s="15">
        <v>43679</v>
      </c>
      <c r="H24" s="15">
        <v>44383</v>
      </c>
      <c r="I24" t="s">
        <v>205</v>
      </c>
    </row>
  </sheetData>
  <hyperlinks>
    <hyperlink ref="A1" location="Main!A1" display="Main" xr:uid="{28B9CEB8-4D0A-4224-9448-513A0C99A97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8C55-E312-4CB5-A877-7A6998D5236F}">
  <dimension ref="A1:F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ColWidth="8.81640625" defaultRowHeight="12.5" x14ac:dyDescent="0.25"/>
  <cols>
    <col min="1" max="1" width="5" bestFit="1" customWidth="1"/>
    <col min="2" max="2" width="17.26953125" customWidth="1"/>
  </cols>
  <sheetData>
    <row r="1" spans="1:6" x14ac:dyDescent="0.25">
      <c r="A1" s="11" t="s">
        <v>20</v>
      </c>
    </row>
    <row r="2" spans="1:6" x14ac:dyDescent="0.25">
      <c r="B2" t="s">
        <v>7</v>
      </c>
      <c r="C2" t="s">
        <v>8</v>
      </c>
      <c r="D2" t="s">
        <v>10</v>
      </c>
      <c r="E2" t="s">
        <v>9</v>
      </c>
      <c r="F2" t="s">
        <v>99</v>
      </c>
    </row>
    <row r="3" spans="1:6" x14ac:dyDescent="0.25">
      <c r="B3" t="s">
        <v>98</v>
      </c>
      <c r="C3" t="s">
        <v>95</v>
      </c>
      <c r="D3" t="s">
        <v>97</v>
      </c>
      <c r="E3" t="s">
        <v>96</v>
      </c>
      <c r="F3" s="15">
        <v>40686</v>
      </c>
    </row>
    <row r="4" spans="1:6" x14ac:dyDescent="0.25">
      <c r="B4" t="s">
        <v>108</v>
      </c>
      <c r="C4" t="s">
        <v>107</v>
      </c>
      <c r="D4" t="s">
        <v>109</v>
      </c>
      <c r="E4" t="s">
        <v>15</v>
      </c>
      <c r="F4" s="15">
        <v>42187</v>
      </c>
    </row>
    <row r="5" spans="1:6" x14ac:dyDescent="0.25">
      <c r="B5" t="s">
        <v>112</v>
      </c>
      <c r="C5" t="s">
        <v>111</v>
      </c>
      <c r="E5" t="s">
        <v>15</v>
      </c>
    </row>
    <row r="6" spans="1:6" x14ac:dyDescent="0.25">
      <c r="B6" t="s">
        <v>21</v>
      </c>
      <c r="C6" t="s">
        <v>113</v>
      </c>
      <c r="E6" t="s">
        <v>15</v>
      </c>
    </row>
    <row r="8" spans="1:6" x14ac:dyDescent="0.25">
      <c r="F8" t="s">
        <v>36</v>
      </c>
    </row>
    <row r="9" spans="1:6" x14ac:dyDescent="0.25">
      <c r="B9" t="s">
        <v>103</v>
      </c>
      <c r="D9" t="s">
        <v>105</v>
      </c>
      <c r="E9" t="s">
        <v>96</v>
      </c>
      <c r="F9" t="s">
        <v>51</v>
      </c>
    </row>
    <row r="10" spans="1:6" x14ac:dyDescent="0.25">
      <c r="B10" t="s">
        <v>104</v>
      </c>
      <c r="D10" t="s">
        <v>105</v>
      </c>
      <c r="E10" t="s">
        <v>96</v>
      </c>
      <c r="F10" t="s">
        <v>51</v>
      </c>
    </row>
    <row r="11" spans="1:6" x14ac:dyDescent="0.25">
      <c r="B11" t="s">
        <v>67</v>
      </c>
      <c r="C11" t="s">
        <v>68</v>
      </c>
      <c r="D11" t="s">
        <v>69</v>
      </c>
      <c r="E11" t="s">
        <v>106</v>
      </c>
      <c r="F11" t="s">
        <v>51</v>
      </c>
    </row>
    <row r="12" spans="1:6" x14ac:dyDescent="0.25">
      <c r="B12" t="s">
        <v>248</v>
      </c>
      <c r="D12" t="s">
        <v>44</v>
      </c>
      <c r="E12" t="s">
        <v>43</v>
      </c>
      <c r="F12" t="s">
        <v>249</v>
      </c>
    </row>
    <row r="13" spans="1:6" x14ac:dyDescent="0.25">
      <c r="B13" t="s">
        <v>100</v>
      </c>
      <c r="D13" t="s">
        <v>101</v>
      </c>
      <c r="E13" t="s">
        <v>96</v>
      </c>
      <c r="F13" t="s">
        <v>102</v>
      </c>
    </row>
  </sheetData>
  <hyperlinks>
    <hyperlink ref="A1" location="Main!A1" display="Main" xr:uid="{BFCC45F9-5F22-4038-BA76-0C95746441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Main</vt:lpstr>
      <vt:lpstr>Model</vt:lpstr>
      <vt:lpstr>Trikafta</vt:lpstr>
      <vt:lpstr>Orkambi</vt:lpstr>
      <vt:lpstr>Symdeko</vt:lpstr>
      <vt:lpstr>Kalydeco</vt:lpstr>
      <vt:lpstr>Casgevy</vt:lpstr>
      <vt:lpstr>VX-880</vt:lpstr>
      <vt:lpstr>povetacicept</vt:lpstr>
      <vt:lpstr>Alyftrek</vt:lpstr>
      <vt:lpstr>VX-548</vt:lpstr>
      <vt:lpstr>VX-522</vt:lpstr>
      <vt:lpstr>inaxaplin</vt:lpstr>
      <vt:lpstr>VX-634</vt:lpstr>
      <vt:lpstr>IP</vt:lpstr>
      <vt:lpstr>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2022-07-19T23:53:26Z</dcterms:created>
  <dcterms:modified xsi:type="dcterms:W3CDTF">2026-07-04T01:05:21Z</dcterms:modified>
</cp:coreProperties>
</file>