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ECFF4CA-ECA2-4455-B2B1-47C4480B8834}" xr6:coauthVersionLast="47" xr6:coauthVersionMax="47" xr10:uidLastSave="{00000000-0000-0000-0000-000000000000}"/>
  <bookViews>
    <workbookView xWindow="500" yWindow="1650" windowWidth="20990" windowHeight="18600" tabRatio="319" activeTab="1" xr2:uid="{00000000-000D-0000-FFFF-FFFF00000000}"/>
  </bookViews>
  <sheets>
    <sheet name="Main" sheetId="1" r:id="rId1"/>
    <sheet name="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51" i="2" l="1"/>
  <c r="AC46" i="2"/>
  <c r="AC41" i="2"/>
  <c r="AC60" i="2"/>
  <c r="AB60" i="2"/>
  <c r="AD51" i="2"/>
  <c r="AD60" i="2" s="1"/>
  <c r="AC49" i="2"/>
  <c r="AB49" i="2"/>
  <c r="AD41" i="2"/>
  <c r="AD40" i="2" s="1"/>
  <c r="AC40" i="2"/>
  <c r="AB40" i="2"/>
  <c r="V13" i="2"/>
  <c r="V18" i="2" s="1"/>
  <c r="W11" i="2"/>
  <c r="W13" i="2" s="1"/>
  <c r="W18" i="2" s="1"/>
  <c r="Z11" i="2"/>
  <c r="Z13" i="2" s="1"/>
  <c r="Z18" i="2" s="1"/>
  <c r="AD11" i="2"/>
  <c r="AD13" i="2" s="1"/>
  <c r="AC11" i="2"/>
  <c r="AC13" i="2" s="1"/>
  <c r="AB11" i="2"/>
  <c r="AB13" i="2" s="1"/>
  <c r="AA11" i="2"/>
  <c r="AA13" i="2" s="1"/>
  <c r="AA18" i="2" s="1"/>
  <c r="Y11" i="2"/>
  <c r="Y13" i="2" s="1"/>
  <c r="Y18" i="2" s="1"/>
  <c r="Y63" i="2"/>
  <c r="Z63" i="2" s="1"/>
  <c r="Y56" i="2"/>
  <c r="Y51" i="2"/>
  <c r="Y41" i="2"/>
  <c r="Y40" i="2" s="1"/>
  <c r="Y46" i="2"/>
  <c r="X82" i="2"/>
  <c r="Y82" i="2" s="1"/>
  <c r="Z82" i="2" s="1"/>
  <c r="X80" i="2"/>
  <c r="Y80" i="2" s="1"/>
  <c r="X79" i="2"/>
  <c r="Y79" i="2" s="1"/>
  <c r="Z79" i="2" s="1"/>
  <c r="X78" i="2"/>
  <c r="Y78" i="2" s="1"/>
  <c r="Z78" i="2" s="1"/>
  <c r="X77" i="2"/>
  <c r="Y77" i="2" s="1"/>
  <c r="Z77" i="2" s="1"/>
  <c r="X69" i="2"/>
  <c r="Y69" i="2" s="1"/>
  <c r="Z69" i="2" s="1"/>
  <c r="X68" i="2"/>
  <c r="Y68" i="2" s="1"/>
  <c r="Z68" i="2" s="1"/>
  <c r="X67" i="2"/>
  <c r="Y67" i="2" s="1"/>
  <c r="Z67" i="2" s="1"/>
  <c r="X66" i="2"/>
  <c r="Y66" i="2" s="1"/>
  <c r="Z66" i="2" s="1"/>
  <c r="X65" i="2"/>
  <c r="Y65" i="2" s="1"/>
  <c r="Z65" i="2" s="1"/>
  <c r="X64" i="2"/>
  <c r="Y64" i="2" s="1"/>
  <c r="Z64" i="2" s="1"/>
  <c r="X63" i="2"/>
  <c r="X56" i="2"/>
  <c r="X51" i="2"/>
  <c r="X46" i="2"/>
  <c r="X41" i="2"/>
  <c r="Z58" i="2"/>
  <c r="Z51" i="2"/>
  <c r="Z60" i="2" s="1"/>
  <c r="Z46" i="2"/>
  <c r="Z41" i="2"/>
  <c r="Z19" i="2"/>
  <c r="AE23" i="2"/>
  <c r="AD23" i="2"/>
  <c r="AH23" i="2" s="1"/>
  <c r="AC23" i="2"/>
  <c r="AG23" i="2" s="1"/>
  <c r="AE22" i="2"/>
  <c r="AD22" i="2"/>
  <c r="AH22" i="2" s="1"/>
  <c r="AC22" i="2"/>
  <c r="AG22" i="2" s="1"/>
  <c r="AE21" i="2"/>
  <c r="AE24" i="2" s="1"/>
  <c r="AD21" i="2"/>
  <c r="AH21" i="2" s="1"/>
  <c r="AC21" i="2"/>
  <c r="AG21" i="2" s="1"/>
  <c r="AB21" i="2"/>
  <c r="AF21" i="2" s="1"/>
  <c r="AB23" i="2"/>
  <c r="AF23" i="2" s="1"/>
  <c r="AB22" i="2"/>
  <c r="AF22" i="2" s="1"/>
  <c r="AB26" i="2"/>
  <c r="AC26" i="2" s="1"/>
  <c r="AD26" i="2" s="1"/>
  <c r="AB31" i="2"/>
  <c r="AC31" i="2" s="1"/>
  <c r="AD31" i="2" s="1"/>
  <c r="AE31" i="2" s="1"/>
  <c r="AF31" i="2" s="1"/>
  <c r="AG31" i="2" s="1"/>
  <c r="AH31" i="2" s="1"/>
  <c r="AE16" i="2"/>
  <c r="AH16" i="2"/>
  <c r="AG16" i="2"/>
  <c r="AF16" i="2"/>
  <c r="AE15" i="2"/>
  <c r="AH15" i="2"/>
  <c r="AG15" i="2"/>
  <c r="AF15" i="2"/>
  <c r="AE14" i="2"/>
  <c r="AH14" i="2"/>
  <c r="AG14" i="2"/>
  <c r="AF14" i="2"/>
  <c r="AF12" i="2"/>
  <c r="AE12" i="2"/>
  <c r="AH12" i="2"/>
  <c r="AG12" i="2"/>
  <c r="X11" i="2"/>
  <c r="X13" i="2" s="1"/>
  <c r="X18" i="2" s="1"/>
  <c r="AH8" i="2"/>
  <c r="AS8" i="2"/>
  <c r="AG8" i="2"/>
  <c r="AF8" i="2"/>
  <c r="AE8" i="2"/>
  <c r="AV15" i="2"/>
  <c r="AV11" i="2"/>
  <c r="AU16" i="2"/>
  <c r="AU15" i="2"/>
  <c r="AU14" i="2"/>
  <c r="AU12" i="2"/>
  <c r="AT16" i="2"/>
  <c r="AT15" i="2"/>
  <c r="AT14" i="2"/>
  <c r="AT12" i="2"/>
  <c r="AT11" i="2"/>
  <c r="AT13" i="2" s="1"/>
  <c r="AT18" i="2" s="1"/>
  <c r="AS16" i="2"/>
  <c r="AS15" i="2"/>
  <c r="AS14" i="2"/>
  <c r="AS11" i="2"/>
  <c r="AS12" i="2"/>
  <c r="AS13" i="2" s="1"/>
  <c r="AS9" i="2"/>
  <c r="AT9" i="2"/>
  <c r="AT8" i="2"/>
  <c r="AU9" i="2"/>
  <c r="AU8" i="2"/>
  <c r="AV9" i="2"/>
  <c r="AE9" i="2"/>
  <c r="AA79" i="2"/>
  <c r="AA77" i="2"/>
  <c r="AA81" i="2" s="1"/>
  <c r="AA74" i="2"/>
  <c r="AA75" i="2" s="1"/>
  <c r="AA69" i="2"/>
  <c r="AA70" i="2" s="1"/>
  <c r="AA58" i="2"/>
  <c r="AA51" i="2"/>
  <c r="AA60" i="2" s="1"/>
  <c r="X49" i="2"/>
  <c r="AA46" i="2"/>
  <c r="AA41" i="2"/>
  <c r="X40" i="2"/>
  <c r="AA24" i="2"/>
  <c r="AA19" i="2"/>
  <c r="AG2" i="2"/>
  <c r="AB2" i="2"/>
  <c r="AF2" i="2" s="1"/>
  <c r="Z2" i="2"/>
  <c r="AH2" i="2" s="1"/>
  <c r="AA2" i="2"/>
  <c r="AE2" i="2" s="1"/>
  <c r="X72" i="2"/>
  <c r="Y72" i="2" s="1"/>
  <c r="Z72" i="2" s="1"/>
  <c r="Y26" i="2"/>
  <c r="Y19" i="2"/>
  <c r="X26" i="2"/>
  <c r="X19" i="2"/>
  <c r="AR18" i="2"/>
  <c r="U56" i="2"/>
  <c r="U51" i="2"/>
  <c r="U46" i="2"/>
  <c r="U41" i="2"/>
  <c r="U40" i="2" s="1"/>
  <c r="T82" i="2"/>
  <c r="U82" i="2" s="1"/>
  <c r="T80" i="2"/>
  <c r="U80" i="2" s="1"/>
  <c r="V80" i="2" s="1"/>
  <c r="T78" i="2"/>
  <c r="U78" i="2" s="1"/>
  <c r="V78" i="2" s="1"/>
  <c r="T73" i="2"/>
  <c r="U73" i="2" s="1"/>
  <c r="V73" i="2" s="1"/>
  <c r="T72" i="2"/>
  <c r="U72" i="2" s="1"/>
  <c r="T68" i="2"/>
  <c r="U68" i="2" s="1"/>
  <c r="V68" i="2" s="1"/>
  <c r="T67" i="2"/>
  <c r="U67" i="2" s="1"/>
  <c r="V67" i="2" s="1"/>
  <c r="T66" i="2"/>
  <c r="U66" i="2" s="1"/>
  <c r="V66" i="2" s="1"/>
  <c r="T65" i="2"/>
  <c r="U65" i="2" s="1"/>
  <c r="V65" i="2" s="1"/>
  <c r="T64" i="2"/>
  <c r="U64" i="2" s="1"/>
  <c r="V64" i="2" s="1"/>
  <c r="T63" i="2"/>
  <c r="U63" i="2" s="1"/>
  <c r="V63" i="2" s="1"/>
  <c r="T56" i="2"/>
  <c r="T51" i="2"/>
  <c r="T46" i="2"/>
  <c r="T41" i="2"/>
  <c r="T49" i="2" s="1"/>
  <c r="S79" i="2"/>
  <c r="T79" i="2" s="1"/>
  <c r="U79" i="2" s="1"/>
  <c r="V79" i="2" s="1"/>
  <c r="S77" i="2"/>
  <c r="T77" i="2" s="1"/>
  <c r="S74" i="2"/>
  <c r="T74" i="2" s="1"/>
  <c r="S69" i="2"/>
  <c r="T69" i="2" s="1"/>
  <c r="U69" i="2" s="1"/>
  <c r="V69" i="2" s="1"/>
  <c r="S56" i="2"/>
  <c r="S51" i="2"/>
  <c r="Y24" i="2"/>
  <c r="X24" i="2"/>
  <c r="R40" i="2"/>
  <c r="R49" i="2"/>
  <c r="S46" i="2"/>
  <c r="S41" i="2"/>
  <c r="S49" i="2" s="1"/>
  <c r="T26" i="2"/>
  <c r="T24" i="2"/>
  <c r="T19" i="2"/>
  <c r="U26" i="2"/>
  <c r="U24" i="2"/>
  <c r="U19" i="2"/>
  <c r="W79" i="2"/>
  <c r="W77" i="2"/>
  <c r="W74" i="2"/>
  <c r="W75" i="2" s="1"/>
  <c r="W69" i="2"/>
  <c r="W70" i="2" s="1"/>
  <c r="S26" i="2"/>
  <c r="S24" i="2"/>
  <c r="S19" i="2"/>
  <c r="AQ18" i="2"/>
  <c r="W56" i="2"/>
  <c r="W51" i="2"/>
  <c r="W46" i="2"/>
  <c r="W41" i="2"/>
  <c r="W26" i="2"/>
  <c r="W24" i="2"/>
  <c r="W19" i="2"/>
  <c r="V56" i="2"/>
  <c r="V51" i="2"/>
  <c r="V46" i="2"/>
  <c r="V41" i="2"/>
  <c r="V26" i="2"/>
  <c r="V24" i="2"/>
  <c r="V19" i="2"/>
  <c r="U13" i="2"/>
  <c r="U18" i="2" s="1"/>
  <c r="T13" i="2"/>
  <c r="T18" i="2" s="1"/>
  <c r="S13" i="2"/>
  <c r="S18" i="2" s="1"/>
  <c r="R26" i="2"/>
  <c r="R24" i="2"/>
  <c r="R19" i="2"/>
  <c r="R13" i="2"/>
  <c r="R18" i="2" s="1"/>
  <c r="Q13" i="2"/>
  <c r="Q18" i="2" s="1"/>
  <c r="P13" i="2"/>
  <c r="P18" i="2" s="1"/>
  <c r="O13" i="2"/>
  <c r="O18" i="2" s="1"/>
  <c r="AN19" i="2"/>
  <c r="AM19" i="2"/>
  <c r="AN24" i="2"/>
  <c r="AM24" i="2"/>
  <c r="AM18" i="2"/>
  <c r="Q56" i="2"/>
  <c r="Q51" i="2"/>
  <c r="Q46" i="2"/>
  <c r="Q41" i="2"/>
  <c r="Q19" i="2"/>
  <c r="P59" i="2"/>
  <c r="O60" i="2"/>
  <c r="P56" i="2"/>
  <c r="O40" i="2"/>
  <c r="P51" i="2"/>
  <c r="O49" i="2"/>
  <c r="P46" i="2"/>
  <c r="P41" i="2"/>
  <c r="P26" i="2"/>
  <c r="P19" i="2"/>
  <c r="O26" i="2"/>
  <c r="O19" i="2"/>
  <c r="AS23" i="2"/>
  <c r="AT23" i="2" s="1"/>
  <c r="AU23" i="2" s="1"/>
  <c r="AS21" i="2"/>
  <c r="AT21" i="2" s="1"/>
  <c r="AU21" i="2" s="1"/>
  <c r="AV21" i="2" s="1"/>
  <c r="AW21" i="2" s="1"/>
  <c r="AX21" i="2" s="1"/>
  <c r="AY21" i="2" s="1"/>
  <c r="AZ21" i="2" s="1"/>
  <c r="AR69" i="2"/>
  <c r="AR70" i="2" s="1"/>
  <c r="AN18" i="2"/>
  <c r="N56" i="2"/>
  <c r="N51" i="2"/>
  <c r="N46" i="2"/>
  <c r="N41" i="2"/>
  <c r="AS2" i="2"/>
  <c r="AT2" i="2" s="1"/>
  <c r="AU2" i="2" s="1"/>
  <c r="AV2" i="2" s="1"/>
  <c r="AW2" i="2" s="1"/>
  <c r="AX2" i="2" s="1"/>
  <c r="AY2" i="2" s="1"/>
  <c r="AZ2" i="2" s="1"/>
  <c r="R2" i="2"/>
  <c r="V2" i="2" s="1"/>
  <c r="Q2" i="2"/>
  <c r="U2" i="2" s="1"/>
  <c r="Y2" i="2" s="1"/>
  <c r="P2" i="2"/>
  <c r="T2" i="2" s="1"/>
  <c r="X2" i="2" s="1"/>
  <c r="O2" i="2"/>
  <c r="S2" i="2" s="1"/>
  <c r="AO24" i="2"/>
  <c r="AO19" i="2"/>
  <c r="AP24" i="2"/>
  <c r="AP19" i="2"/>
  <c r="AP18" i="2"/>
  <c r="AO18" i="2"/>
  <c r="G19" i="2"/>
  <c r="G24" i="2"/>
  <c r="G18" i="2"/>
  <c r="K19" i="2"/>
  <c r="H19" i="2"/>
  <c r="H18" i="2"/>
  <c r="L19" i="2"/>
  <c r="I19" i="2"/>
  <c r="I18" i="2"/>
  <c r="M24" i="2"/>
  <c r="L24" i="2"/>
  <c r="K24" i="2"/>
  <c r="J24" i="2"/>
  <c r="I24" i="2"/>
  <c r="H24" i="2"/>
  <c r="F24" i="2"/>
  <c r="F25" i="2" s="1"/>
  <c r="E24" i="2"/>
  <c r="E25" i="2" s="1"/>
  <c r="D24" i="2"/>
  <c r="D25" i="2" s="1"/>
  <c r="C24" i="2"/>
  <c r="C25" i="2" s="1"/>
  <c r="M19" i="2"/>
  <c r="M18" i="2"/>
  <c r="L18" i="2"/>
  <c r="K18" i="2"/>
  <c r="J18" i="2"/>
  <c r="N18" i="2"/>
  <c r="J19" i="2"/>
  <c r="N19" i="2"/>
  <c r="AQ19" i="2"/>
  <c r="AQ24" i="2"/>
  <c r="AR19" i="2"/>
  <c r="AR24" i="2"/>
  <c r="N24" i="2"/>
  <c r="G4" i="1"/>
  <c r="Y60" i="2" l="1"/>
  <c r="AV16" i="2"/>
  <c r="AC18" i="2"/>
  <c r="AE11" i="2"/>
  <c r="AE13" i="2" s="1"/>
  <c r="AS18" i="2"/>
  <c r="AB18" i="2"/>
  <c r="AB34" i="2" s="1"/>
  <c r="W20" i="2"/>
  <c r="Z70" i="2"/>
  <c r="AF24" i="2"/>
  <c r="Y81" i="2"/>
  <c r="Z80" i="2"/>
  <c r="Z81" i="2" s="1"/>
  <c r="AG24" i="2"/>
  <c r="AH24" i="2"/>
  <c r="AA49" i="2"/>
  <c r="X74" i="2"/>
  <c r="Y74" i="2" s="1"/>
  <c r="Z74" i="2" s="1"/>
  <c r="AA83" i="2"/>
  <c r="X60" i="2"/>
  <c r="AC24" i="2"/>
  <c r="AD49" i="2"/>
  <c r="AF9" i="2"/>
  <c r="AG9" i="2" s="1"/>
  <c r="AW8" i="2"/>
  <c r="AB20" i="2"/>
  <c r="AB19" i="2" s="1"/>
  <c r="AB36" i="2"/>
  <c r="AC20" i="2"/>
  <c r="AC36" i="2" s="1"/>
  <c r="AC34" i="2"/>
  <c r="AC25" i="2"/>
  <c r="AC37" i="2" s="1"/>
  <c r="Z75" i="2"/>
  <c r="Y70" i="2"/>
  <c r="Y49" i="2"/>
  <c r="X81" i="2"/>
  <c r="X70" i="2"/>
  <c r="Z49" i="2"/>
  <c r="Z40" i="2"/>
  <c r="AD24" i="2"/>
  <c r="AB24" i="2"/>
  <c r="AE26" i="2"/>
  <c r="AD18" i="2"/>
  <c r="AV14" i="2"/>
  <c r="AE18" i="2"/>
  <c r="AV12" i="2"/>
  <c r="AV13" i="2" s="1"/>
  <c r="AU11" i="2"/>
  <c r="AU13" i="2" s="1"/>
  <c r="AU18" i="2" s="1"/>
  <c r="AV8" i="2"/>
  <c r="AA20" i="2"/>
  <c r="AA36" i="2" s="1"/>
  <c r="AA34" i="2"/>
  <c r="R20" i="2"/>
  <c r="R25" i="2" s="1"/>
  <c r="AA40" i="2"/>
  <c r="Q60" i="2"/>
  <c r="U60" i="2"/>
  <c r="S60" i="2"/>
  <c r="Y34" i="2"/>
  <c r="T81" i="2"/>
  <c r="S81" i="2"/>
  <c r="G7" i="1"/>
  <c r="U77" i="2"/>
  <c r="T20" i="2"/>
  <c r="T25" i="2" s="1"/>
  <c r="S75" i="2"/>
  <c r="V70" i="2"/>
  <c r="U74" i="2"/>
  <c r="V74" i="2" s="1"/>
  <c r="T75" i="2"/>
  <c r="V72" i="2"/>
  <c r="W81" i="2"/>
  <c r="W83" i="2" s="1"/>
  <c r="Y20" i="2"/>
  <c r="Y36" i="2" s="1"/>
  <c r="Z20" i="2"/>
  <c r="V82" i="2"/>
  <c r="T40" i="2"/>
  <c r="T60" i="2"/>
  <c r="S40" i="2"/>
  <c r="U49" i="2"/>
  <c r="Z34" i="2"/>
  <c r="U70" i="2"/>
  <c r="T70" i="2"/>
  <c r="U20" i="2"/>
  <c r="U36" i="2" s="1"/>
  <c r="S70" i="2"/>
  <c r="Z24" i="2"/>
  <c r="X34" i="2"/>
  <c r="S20" i="2"/>
  <c r="S36" i="2" s="1"/>
  <c r="V49" i="2"/>
  <c r="Q40" i="2"/>
  <c r="W49" i="2"/>
  <c r="V60" i="2"/>
  <c r="W60" i="2"/>
  <c r="W36" i="2"/>
  <c r="W25" i="2"/>
  <c r="N49" i="2"/>
  <c r="W34" i="2"/>
  <c r="V40" i="2"/>
  <c r="N60" i="2"/>
  <c r="W40" i="2"/>
  <c r="V20" i="2"/>
  <c r="V25" i="2" s="1"/>
  <c r="V34" i="2"/>
  <c r="AM20" i="2"/>
  <c r="AM25" i="2" s="1"/>
  <c r="AM27" i="2" s="1"/>
  <c r="AM29" i="2" s="1"/>
  <c r="AM30" i="2" s="1"/>
  <c r="T34" i="2"/>
  <c r="P40" i="2"/>
  <c r="S34" i="2"/>
  <c r="AN20" i="2"/>
  <c r="AN25" i="2" s="1"/>
  <c r="AN27" i="2" s="1"/>
  <c r="AN29" i="2" s="1"/>
  <c r="AN30" i="2" s="1"/>
  <c r="Q20" i="2"/>
  <c r="Q36" i="2" s="1"/>
  <c r="U34" i="2"/>
  <c r="AP20" i="2"/>
  <c r="AP36" i="2" s="1"/>
  <c r="O20" i="2"/>
  <c r="Q49" i="2"/>
  <c r="AS22" i="2"/>
  <c r="AT22" i="2" s="1"/>
  <c r="AU22" i="2" s="1"/>
  <c r="AV22" i="2" s="1"/>
  <c r="AW22" i="2" s="1"/>
  <c r="AX22" i="2" s="1"/>
  <c r="AY22" i="2" s="1"/>
  <c r="AZ22" i="2" s="1"/>
  <c r="P49" i="2"/>
  <c r="P60" i="2"/>
  <c r="AS26" i="2"/>
  <c r="H20" i="2"/>
  <c r="H36" i="2" s="1"/>
  <c r="Q24" i="2"/>
  <c r="P24" i="2"/>
  <c r="AS31" i="2"/>
  <c r="AT31" i="2" s="1"/>
  <c r="AU31" i="2" s="1"/>
  <c r="AV31" i="2" s="1"/>
  <c r="AW31" i="2" s="1"/>
  <c r="AX31" i="2" s="1"/>
  <c r="AY31" i="2" s="1"/>
  <c r="AZ31" i="2" s="1"/>
  <c r="AV23" i="2"/>
  <c r="AW23" i="2" s="1"/>
  <c r="AX23" i="2" s="1"/>
  <c r="AY23" i="2" s="1"/>
  <c r="AZ23" i="2" s="1"/>
  <c r="P20" i="2"/>
  <c r="P36" i="2" s="1"/>
  <c r="R36" i="2"/>
  <c r="R34" i="2"/>
  <c r="AR34" i="2"/>
  <c r="AQ34" i="2"/>
  <c r="O24" i="2"/>
  <c r="I20" i="2"/>
  <c r="I36" i="2" s="1"/>
  <c r="AP34" i="2"/>
  <c r="AO20" i="2"/>
  <c r="AO36" i="2" s="1"/>
  <c r="L34" i="2"/>
  <c r="N40" i="2"/>
  <c r="M34" i="2"/>
  <c r="N20" i="2"/>
  <c r="N36" i="2" s="1"/>
  <c r="P34" i="2"/>
  <c r="K34" i="2"/>
  <c r="Q34" i="2"/>
  <c r="N34" i="2"/>
  <c r="G20" i="2"/>
  <c r="K20" i="2"/>
  <c r="K36" i="2" s="1"/>
  <c r="L20" i="2"/>
  <c r="L36" i="2" s="1"/>
  <c r="J20" i="2"/>
  <c r="J36" i="2" s="1"/>
  <c r="M20" i="2"/>
  <c r="M36" i="2" s="1"/>
  <c r="AQ20" i="2"/>
  <c r="AQ36" i="2" s="1"/>
  <c r="AR20" i="2"/>
  <c r="AR36" i="2" s="1"/>
  <c r="AC19" i="2" l="1"/>
  <c r="X75" i="2"/>
  <c r="AB25" i="2"/>
  <c r="AB37" i="2" s="1"/>
  <c r="AC27" i="2"/>
  <c r="AC28" i="2" s="1"/>
  <c r="AC38" i="2" s="1"/>
  <c r="T27" i="2"/>
  <c r="T29" i="2" s="1"/>
  <c r="T62" i="2" s="1"/>
  <c r="T37" i="2"/>
  <c r="R27" i="2"/>
  <c r="R29" i="2" s="1"/>
  <c r="R30" i="2" s="1"/>
  <c r="R37" i="2"/>
  <c r="Y75" i="2"/>
  <c r="Y83" i="2" s="1"/>
  <c r="Z83" i="2"/>
  <c r="W27" i="2"/>
  <c r="W37" i="2"/>
  <c r="U25" i="2"/>
  <c r="U27" i="2"/>
  <c r="U29" i="2" s="1"/>
  <c r="U37" i="2"/>
  <c r="V27" i="2"/>
  <c r="V29" i="2" s="1"/>
  <c r="V37" i="2"/>
  <c r="AE34" i="2"/>
  <c r="AE20" i="2"/>
  <c r="AE19" i="2" s="1"/>
  <c r="AF11" i="2"/>
  <c r="AF13" i="2" s="1"/>
  <c r="AF18" i="2" s="1"/>
  <c r="AF34" i="2" s="1"/>
  <c r="AH9" i="2"/>
  <c r="AH11" i="2" s="1"/>
  <c r="AH13" i="2" s="1"/>
  <c r="AH18" i="2" s="1"/>
  <c r="AG11" i="2"/>
  <c r="AG13" i="2" s="1"/>
  <c r="AG18" i="2" s="1"/>
  <c r="AG20" i="2" s="1"/>
  <c r="AW9" i="2"/>
  <c r="AF20" i="2"/>
  <c r="AF19" i="2"/>
  <c r="AH20" i="2"/>
  <c r="AH19" i="2" s="1"/>
  <c r="AH34" i="2"/>
  <c r="AD20" i="2"/>
  <c r="AD36" i="2" s="1"/>
  <c r="AD34" i="2"/>
  <c r="X83" i="2"/>
  <c r="AF26" i="2"/>
  <c r="AA25" i="2"/>
  <c r="T30" i="2"/>
  <c r="Y25" i="2"/>
  <c r="S83" i="2"/>
  <c r="S25" i="2"/>
  <c r="T83" i="2"/>
  <c r="V77" i="2"/>
  <c r="V81" i="2" s="1"/>
  <c r="U81" i="2"/>
  <c r="Z36" i="2"/>
  <c r="Z25" i="2"/>
  <c r="V75" i="2"/>
  <c r="U75" i="2"/>
  <c r="U83" i="2" s="1"/>
  <c r="V30" i="2"/>
  <c r="V62" i="2"/>
  <c r="X20" i="2"/>
  <c r="U30" i="2"/>
  <c r="U62" i="2"/>
  <c r="H25" i="2"/>
  <c r="V36" i="2"/>
  <c r="N25" i="2"/>
  <c r="W38" i="2"/>
  <c r="W29" i="2"/>
  <c r="U38" i="2"/>
  <c r="V38" i="2"/>
  <c r="T36" i="2"/>
  <c r="AP25" i="2"/>
  <c r="AP37" i="2" s="1"/>
  <c r="AS24" i="2"/>
  <c r="P25" i="2"/>
  <c r="O34" i="2"/>
  <c r="M25" i="2"/>
  <c r="AT24" i="2"/>
  <c r="AS34" i="2"/>
  <c r="Q25" i="2"/>
  <c r="I25" i="2"/>
  <c r="AO25" i="2"/>
  <c r="K25" i="2"/>
  <c r="AQ25" i="2"/>
  <c r="G25" i="2"/>
  <c r="G36" i="2"/>
  <c r="J25" i="2"/>
  <c r="L25" i="2"/>
  <c r="AR25" i="2"/>
  <c r="AG34" i="2" l="1"/>
  <c r="AC29" i="2"/>
  <c r="AC30" i="2" s="1"/>
  <c r="AP27" i="2"/>
  <c r="AP29" i="2" s="1"/>
  <c r="AP30" i="2" s="1"/>
  <c r="AB27" i="2"/>
  <c r="AB28" i="2" s="1"/>
  <c r="AB38" i="2" s="1"/>
  <c r="P27" i="2"/>
  <c r="P38" i="2" s="1"/>
  <c r="P37" i="2"/>
  <c r="H27" i="2"/>
  <c r="H37" i="2"/>
  <c r="L27" i="2"/>
  <c r="L29" i="2" s="1"/>
  <c r="L30" i="2" s="1"/>
  <c r="L37" i="2"/>
  <c r="S27" i="2"/>
  <c r="S29" i="2" s="1"/>
  <c r="S30" i="2" s="1"/>
  <c r="S37" i="2"/>
  <c r="N27" i="2"/>
  <c r="N29" i="2" s="1"/>
  <c r="N30" i="2" s="1"/>
  <c r="N37" i="2"/>
  <c r="J27" i="2"/>
  <c r="J37" i="2"/>
  <c r="G27" i="2"/>
  <c r="G37" i="2"/>
  <c r="K27" i="2"/>
  <c r="K38" i="2" s="1"/>
  <c r="K37" i="2"/>
  <c r="I27" i="2"/>
  <c r="I37" i="2"/>
  <c r="Q27" i="2"/>
  <c r="Q38" i="2" s="1"/>
  <c r="Q37" i="2"/>
  <c r="M27" i="2"/>
  <c r="M29" i="2" s="1"/>
  <c r="M30" i="2" s="1"/>
  <c r="M37" i="2"/>
  <c r="Y27" i="2"/>
  <c r="Y38" i="2" s="1"/>
  <c r="Y37" i="2"/>
  <c r="AE36" i="2"/>
  <c r="AE25" i="2"/>
  <c r="AG36" i="2"/>
  <c r="AG25" i="2"/>
  <c r="AG37" i="2" s="1"/>
  <c r="AG19" i="2"/>
  <c r="AF36" i="2"/>
  <c r="AF25" i="2"/>
  <c r="AF37" i="2" s="1"/>
  <c r="AD25" i="2"/>
  <c r="AD37" i="2" s="1"/>
  <c r="AD19" i="2"/>
  <c r="AH36" i="2"/>
  <c r="AH25" i="2"/>
  <c r="AH37" i="2" s="1"/>
  <c r="Z27" i="2"/>
  <c r="Z38" i="2" s="1"/>
  <c r="Z37" i="2"/>
  <c r="AB29" i="2"/>
  <c r="AB30" i="2" s="1"/>
  <c r="AG26" i="2"/>
  <c r="AA27" i="2"/>
  <c r="AA37" i="2"/>
  <c r="S38" i="2"/>
  <c r="S62" i="2"/>
  <c r="V83" i="2"/>
  <c r="X36" i="2"/>
  <c r="X25" i="2"/>
  <c r="N38" i="2"/>
  <c r="W30" i="2"/>
  <c r="W62" i="2"/>
  <c r="T38" i="2"/>
  <c r="AP38" i="2"/>
  <c r="AQ27" i="2"/>
  <c r="AQ29" i="2" s="1"/>
  <c r="AQ30" i="2" s="1"/>
  <c r="AQ37" i="2"/>
  <c r="AO27" i="2"/>
  <c r="AO29" i="2" s="1"/>
  <c r="AO30" i="2" s="1"/>
  <c r="AO37" i="2"/>
  <c r="AR27" i="2"/>
  <c r="AR38" i="2" s="1"/>
  <c r="AR37" i="2"/>
  <c r="AU24" i="2"/>
  <c r="AT34" i="2"/>
  <c r="AT19" i="2"/>
  <c r="AT20" i="2" s="1"/>
  <c r="AS19" i="2"/>
  <c r="AS20" i="2" s="1"/>
  <c r="R38" i="2"/>
  <c r="P29" i="2"/>
  <c r="P30" i="2" s="1"/>
  <c r="O36" i="2"/>
  <c r="O25" i="2"/>
  <c r="L38" i="2" l="1"/>
  <c r="O27" i="2"/>
  <c r="O37" i="2"/>
  <c r="I29" i="2"/>
  <c r="I30" i="2" s="1"/>
  <c r="I38" i="2"/>
  <c r="AF27" i="2"/>
  <c r="K29" i="2"/>
  <c r="K30" i="2" s="1"/>
  <c r="Y29" i="2"/>
  <c r="G29" i="2"/>
  <c r="G30" i="2" s="1"/>
  <c r="G38" i="2"/>
  <c r="J29" i="2"/>
  <c r="J30" i="2" s="1"/>
  <c r="J38" i="2"/>
  <c r="H29" i="2"/>
  <c r="H30" i="2" s="1"/>
  <c r="H38" i="2"/>
  <c r="M38" i="2"/>
  <c r="AD27" i="2"/>
  <c r="X27" i="2"/>
  <c r="X37" i="2"/>
  <c r="AE37" i="2"/>
  <c r="AE27" i="2"/>
  <c r="Z29" i="2"/>
  <c r="Z30" i="2" s="1"/>
  <c r="AF28" i="2"/>
  <c r="AF38" i="2" s="1"/>
  <c r="AH26" i="2"/>
  <c r="AH27" i="2" s="1"/>
  <c r="AG27" i="2"/>
  <c r="AA29" i="2"/>
  <c r="AA38" i="2"/>
  <c r="Y30" i="2"/>
  <c r="Y62" i="2"/>
  <c r="AR29" i="2"/>
  <c r="AR30" i="2" s="1"/>
  <c r="AO38" i="2"/>
  <c r="X38" i="2"/>
  <c r="AQ38" i="2"/>
  <c r="AT36" i="2"/>
  <c r="AT25" i="2"/>
  <c r="AT37" i="2" s="1"/>
  <c r="AV24" i="2"/>
  <c r="AS36" i="2"/>
  <c r="AS25" i="2"/>
  <c r="AV18" i="2"/>
  <c r="AV34" i="2" s="1"/>
  <c r="AU34" i="2"/>
  <c r="AU19" i="2"/>
  <c r="AU20" i="2" s="1"/>
  <c r="Q29" i="2"/>
  <c r="Q30" i="2" s="1"/>
  <c r="AD28" i="2" l="1"/>
  <c r="AD38" i="2" s="1"/>
  <c r="AD29" i="2"/>
  <c r="AD30" i="2" s="1"/>
  <c r="AE28" i="2"/>
  <c r="AE38" i="2" s="1"/>
  <c r="AF29" i="2"/>
  <c r="AF30" i="2" s="1"/>
  <c r="Z62" i="2"/>
  <c r="AG28" i="2"/>
  <c r="AG38" i="2" s="1"/>
  <c r="AG29" i="2"/>
  <c r="AG30" i="2" s="1"/>
  <c r="AH28" i="2"/>
  <c r="AH38" i="2" s="1"/>
  <c r="AA62" i="2"/>
  <c r="AA30" i="2"/>
  <c r="AR62" i="2"/>
  <c r="X29" i="2"/>
  <c r="AS27" i="2"/>
  <c r="AS37" i="2"/>
  <c r="AU36" i="2"/>
  <c r="AU25" i="2"/>
  <c r="AU37" i="2" s="1"/>
  <c r="O38" i="2"/>
  <c r="AS28" i="2"/>
  <c r="AW24" i="2"/>
  <c r="AV19" i="2"/>
  <c r="AV20" i="2" s="1"/>
  <c r="AW18" i="2"/>
  <c r="O29" i="2"/>
  <c r="AH29" i="2" l="1"/>
  <c r="AH30" i="2" s="1"/>
  <c r="AE29" i="2"/>
  <c r="AE30" i="2" s="1"/>
  <c r="X30" i="2"/>
  <c r="X62" i="2"/>
  <c r="AS38" i="2"/>
  <c r="AS29" i="2"/>
  <c r="AS30" i="2" s="1"/>
  <c r="AV36" i="2"/>
  <c r="AV25" i="2"/>
  <c r="AV37" i="2" s="1"/>
  <c r="AW34" i="2"/>
  <c r="AW19" i="2"/>
  <c r="AW20" i="2" s="1"/>
  <c r="AX18" i="2"/>
  <c r="O30" i="2"/>
  <c r="AS40" i="2"/>
  <c r="AX24" i="2"/>
  <c r="AZ24" i="2" l="1"/>
  <c r="AY24" i="2"/>
  <c r="AT26" i="2"/>
  <c r="AT27" i="2" s="1"/>
  <c r="AX34" i="2"/>
  <c r="AX19" i="2"/>
  <c r="AX20" i="2" s="1"/>
  <c r="AY18" i="2"/>
  <c r="AW36" i="2"/>
  <c r="AW25" i="2"/>
  <c r="AW37" i="2" s="1"/>
  <c r="AX36" i="2" l="1"/>
  <c r="AX25" i="2"/>
  <c r="AX37" i="2" s="1"/>
  <c r="AY34" i="2"/>
  <c r="AY19" i="2"/>
  <c r="AY20" i="2" s="1"/>
  <c r="AZ18" i="2"/>
  <c r="AT28" i="2"/>
  <c r="AT38" i="2" s="1"/>
  <c r="AT29" i="2" l="1"/>
  <c r="AZ19" i="2"/>
  <c r="AZ20" i="2" s="1"/>
  <c r="AZ34" i="2"/>
  <c r="AY25" i="2"/>
  <c r="AY37" i="2" s="1"/>
  <c r="AY36" i="2"/>
  <c r="AZ36" i="2" l="1"/>
  <c r="AZ25" i="2"/>
  <c r="AZ37" i="2" s="1"/>
  <c r="AT30" i="2"/>
  <c r="AT40" i="2"/>
  <c r="AU26" i="2" l="1"/>
  <c r="AU27" i="2" s="1"/>
  <c r="AU28" i="2" l="1"/>
  <c r="AU38" i="2" s="1"/>
  <c r="AU29" i="2" l="1"/>
  <c r="AU30" i="2" s="1"/>
  <c r="AU40" i="2" l="1"/>
  <c r="AV26" i="2" s="1"/>
  <c r="AV27" i="2" s="1"/>
  <c r="AV28" i="2" l="1"/>
  <c r="AV38" i="2" s="1"/>
  <c r="AV29" i="2" l="1"/>
  <c r="AV30" i="2" l="1"/>
  <c r="AV40" i="2"/>
  <c r="AW26" i="2" l="1"/>
  <c r="AW27" i="2" s="1"/>
  <c r="AW28" i="2" l="1"/>
  <c r="AW38" i="2" s="1"/>
  <c r="AW29" i="2" l="1"/>
  <c r="AW30" i="2" s="1"/>
  <c r="AW40" i="2" l="1"/>
  <c r="AX26" i="2" s="1"/>
  <c r="AX27" i="2" s="1"/>
  <c r="AX28" i="2" l="1"/>
  <c r="AX38" i="2" s="1"/>
  <c r="AX29" i="2" l="1"/>
  <c r="AX30" i="2" s="1"/>
  <c r="AX40" i="2" l="1"/>
  <c r="AY26" i="2" s="1"/>
  <c r="AY27" i="2" s="1"/>
  <c r="AY28" i="2" l="1"/>
  <c r="AY38" i="2" s="1"/>
  <c r="AY29" i="2" l="1"/>
  <c r="AY30" i="2" l="1"/>
  <c r="AY40" i="2"/>
  <c r="AZ26" i="2" l="1"/>
  <c r="AZ27" i="2" s="1"/>
  <c r="AZ28" i="2" l="1"/>
  <c r="AZ38" i="2" s="1"/>
  <c r="AZ29" i="2" l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BC43" i="2" s="1"/>
  <c r="BC44" i="2" s="1"/>
  <c r="BC46" i="2" s="1"/>
  <c r="AZ40" i="2" l="1"/>
  <c r="AZ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tc={91674395-ECF1-496E-8E8E-18027BB9B0AB}</author>
    <author>tc={A4A66BCC-1D5A-42FB-AF87-0976A774FC6D}</author>
    <author>tc={DF3A69DD-1198-42A5-A83A-5484CF412A11}</author>
  </authors>
  <commentList>
    <comment ref="X34" authorId="0" shapeId="0" xr:uid="{91674395-ECF1-496E-8E8E-18027BB9B0AB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8-10%</t>
      </text>
    </comment>
    <comment ref="AU34" authorId="1" shapeId="0" xr:uid="{A4A66BCC-1D5A-42FB-AF87-0976A774FC6D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DD revenue growth</t>
      </text>
    </comment>
    <comment ref="V80" authorId="2" shapeId="0" xr:uid="{DF3A69DD-1198-42A5-A83A-5484CF412A1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Didn’t add up?</t>
      </text>
    </comment>
  </commentList>
</comments>
</file>

<file path=xl/sharedStrings.xml><?xml version="1.0" encoding="utf-8"?>
<sst xmlns="http://schemas.openxmlformats.org/spreadsheetml/2006/main" count="139" uniqueCount="130">
  <si>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</si>
  <si>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</si>
  <si>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</si>
  <si>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</si>
  <si>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</si>
  <si>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</si>
  <si>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</si>
  <si>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</si>
  <si>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</si>
  <si>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Q222</t>
  </si>
  <si>
    <t>Q322</t>
  </si>
  <si>
    <t>Q321</t>
  </si>
  <si>
    <t>Q221</t>
  </si>
  <si>
    <t>Q121</t>
  </si>
  <si>
    <t>FQ422</t>
  </si>
  <si>
    <t>FQ421</t>
  </si>
  <si>
    <t>COGS</t>
  </si>
  <si>
    <t>Gross Profit</t>
  </si>
  <si>
    <t>Gross Margin</t>
  </si>
  <si>
    <t>S&amp;M</t>
  </si>
  <si>
    <t>R&amp;D</t>
  </si>
  <si>
    <t>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</si>
  <si>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</si>
  <si>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</si>
  <si>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</si>
  <si>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</si>
  <si>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</si>
  <si>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</si>
  <si>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</si>
  <si>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NGEPS</t>
  </si>
  <si>
    <t>FY21</t>
  </si>
  <si>
    <t>FY22</t>
  </si>
  <si>
    <t>Revenue y/y</t>
  </si>
  <si>
    <t>Cloud Services</t>
  </si>
  <si>
    <t>Hardware</t>
  </si>
  <si>
    <t>Services</t>
  </si>
  <si>
    <t>FQ123</t>
  </si>
  <si>
    <t>FQ223</t>
  </si>
  <si>
    <t>FQ323</t>
  </si>
  <si>
    <t>FQ423</t>
  </si>
  <si>
    <t>Q420</t>
  </si>
  <si>
    <t>FY20</t>
  </si>
  <si>
    <t>Q320</t>
  </si>
  <si>
    <t>Q220</t>
  </si>
  <si>
    <t>Q120</t>
  </si>
  <si>
    <t>FY19</t>
  </si>
  <si>
    <t>FY23</t>
  </si>
  <si>
    <t>FY24</t>
  </si>
  <si>
    <t>FY25</t>
  </si>
  <si>
    <t>FY26</t>
  </si>
  <si>
    <t>FY27</t>
  </si>
  <si>
    <t>FY28</t>
  </si>
  <si>
    <t>FY29</t>
  </si>
  <si>
    <t>FY30</t>
  </si>
  <si>
    <t>Assets</t>
  </si>
  <si>
    <t>AR</t>
  </si>
  <si>
    <t>Prepaids</t>
  </si>
  <si>
    <t>PPE</t>
  </si>
  <si>
    <t>Goodwill</t>
  </si>
  <si>
    <t>DT</t>
  </si>
  <si>
    <t>ONCA</t>
  </si>
  <si>
    <t>DR</t>
  </si>
  <si>
    <t>AP</t>
  </si>
  <si>
    <t>Compensation</t>
  </si>
  <si>
    <t>OCL</t>
  </si>
  <si>
    <t>ONCL</t>
  </si>
  <si>
    <t>SE</t>
  </si>
  <si>
    <t>L+SE</t>
  </si>
  <si>
    <t>Net Cash</t>
  </si>
  <si>
    <t>FY18</t>
  </si>
  <si>
    <t>Model NI</t>
  </si>
  <si>
    <t>Reported NI</t>
  </si>
  <si>
    <t>Depreciation</t>
  </si>
  <si>
    <t>Intangibles</t>
  </si>
  <si>
    <t>SBC</t>
  </si>
  <si>
    <t>Other</t>
  </si>
  <si>
    <t>WC</t>
  </si>
  <si>
    <t>CFFO</t>
  </si>
  <si>
    <t>CapEx</t>
  </si>
  <si>
    <t>Acquisitions</t>
  </si>
  <si>
    <t>Investments</t>
  </si>
  <si>
    <t>Tax Rate</t>
  </si>
  <si>
    <t>ROIC</t>
  </si>
  <si>
    <t>Discount</t>
  </si>
  <si>
    <t>NPV</t>
  </si>
  <si>
    <t>Terminal</t>
  </si>
  <si>
    <t>Share</t>
  </si>
  <si>
    <t>Delta</t>
  </si>
  <si>
    <t>Operating Margin</t>
  </si>
  <si>
    <t>FQ124</t>
  </si>
  <si>
    <t>FQ224</t>
  </si>
  <si>
    <t>FQ324</t>
  </si>
  <si>
    <t>FQ424</t>
  </si>
  <si>
    <t>Cerner</t>
  </si>
  <si>
    <t>FY17</t>
  </si>
  <si>
    <t>FQ125</t>
  </si>
  <si>
    <t>FQ225</t>
  </si>
  <si>
    <t>FQ325</t>
  </si>
  <si>
    <t>FQ425</t>
  </si>
  <si>
    <t xml:space="preserve">  Cloud Services</t>
  </si>
  <si>
    <t xml:space="preserve">    NetSuite</t>
  </si>
  <si>
    <t>CEO: Safra Catz</t>
  </si>
  <si>
    <t>NetSuite</t>
  </si>
  <si>
    <t>Fusion Cloud</t>
  </si>
  <si>
    <t>Revenue CC y/y</t>
  </si>
  <si>
    <t>CFFI</t>
  </si>
  <si>
    <t>Shares/Buybacks</t>
  </si>
  <si>
    <t>Dividends</t>
  </si>
  <si>
    <t>CFFF</t>
  </si>
  <si>
    <t>FX</t>
  </si>
  <si>
    <t>CIC</t>
  </si>
  <si>
    <t xml:space="preserve">    Fusion</t>
  </si>
  <si>
    <t xml:space="preserve">    Cloud SaaS</t>
  </si>
  <si>
    <t xml:space="preserve">    Cloud IaaS</t>
  </si>
  <si>
    <t>Cloud DB: 2.1B</t>
  </si>
  <si>
    <t xml:space="preserve">  AWS, Azure, GCP collaborations</t>
  </si>
  <si>
    <t>RPO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</si>
  <si>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</si>
  <si>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</si>
  <si>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</si>
  <si>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</si>
  <si>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</si>
  <si>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</si>
  <si>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</si>
  <si>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</si>
  <si>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Q325</t>
  </si>
  <si>
    <t>Software License</t>
  </si>
  <si>
    <t>Software Support</t>
  </si>
  <si>
    <t>Lease ROU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</si>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</sst>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m/d/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18"/>
    </font>
    <font>
      <b/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2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5" fillId="0" borderId="0" xfId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9" fontId="2" fillId="0" borderId="0" xfId="0" applyNumberFormat="1" applyFont="1"/>
    <xf numFmtId="4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40DFB76-DC69-4A56-93BC-1C4FCEC984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41672</xdr:colOff>
      <xdr:row>0</xdr:row>
      <xdr:rowOff>0</xdr:rowOff>
    </xdr:from>
    <xdr:to>
      <xdr:col>30</xdr:col>
      <xdr:colOff>41672</xdr:colOff>
      <xdr:row>87</xdr:row>
      <xdr:rowOff>123031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FCF9D3-5100-8A80-28CE-CF7450CB3CAC}"/>
            </a:ext>
          </a:extLst>
        </xdr:cNvPr>
        <xdr:cNvCxnSpPr/>
      </xdr:nvCxnSpPr>
      <xdr:spPr>
        <a:xfrm>
          <a:off x="19618722" y="0"/>
          <a:ext cx="0" cy="1362948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19255</xdr:colOff>
      <xdr:row>0</xdr:row>
      <xdr:rowOff>41672</xdr:rowOff>
    </xdr:from>
    <xdr:to>
      <xdr:col>47</xdr:col>
      <xdr:colOff>19255</xdr:colOff>
      <xdr:row>86</xdr:row>
      <xdr:rowOff>38307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76DD61-519C-41F5-9F0F-40218F5D1A06}"/>
            </a:ext>
          </a:extLst>
        </xdr:cNvPr>
        <xdr:cNvCxnSpPr/>
      </xdr:nvCxnSpPr>
      <xdr:spPr>
        <a:xfrm>
          <a:off x="30106349" y="41672"/>
          <a:ext cx="0" cy="133475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7216FEC0-B7FB-466B-9D42-622825855BC7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4" dT="2024-09-11T18:30:08.76" personId="{7216FEC0-B7FB-466B-9D42-622825855BC7}" id="{91674395-ECF1-496E-8E8E-18027BB9B0AB}">
    <text>Guidance: 8-10%</text>
  </threadedComment>
  <threadedComment ref="AU34" dT="2024-09-11T18:29:26.52" personId="{7216FEC0-B7FB-466B-9D42-622825855BC7}" id="{A4A66BCC-1D5A-42FB-AF87-0976A774FC6D}">
    <text>Q125 guidance: DD revenue growth</text>
  </threadedComment>
  <threadedComment ref="V80" dT="2024-09-11T18:53:29.19" personId="{7216FEC0-B7FB-466B-9D42-622825855BC7}" id="{DF3A69DD-1198-42A5-A83A-5484CF412A11}">
    <text>Didn’t add up?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04C5-FAB4-8B42-B6A2-F2686B3BB573}">
  <dimension ref="B2:H10"/>
  <sheetViews>
    <sheetView zoomScale="205" zoomScaleNormal="205" zoomScaleSheetLayoutView="100" workbookViewId="0">
      <selection activeCell="G3" sqref="G3"/>
    </sheetView>
  </sheetViews>
  <sheetFormatPr defaultColWidth="8.54296875" defaultRowHeight="12.5" x14ac:dyDescent="0.25"/>
  <cols>
    <col min="1" max="6" width="8.54296875" style="1"/>
    <col min="7" max="7" width="8.26953125" style="1" customWidth="1"/>
    <col min="8" max="16384" width="8.54296875" style="1"/>
  </cols>
  <sheetData>
    <row r="2" spans="2:8" x14ac:dyDescent="0.25">
      <c r="B2" s="1" t="s">
        <v>93</v>
      </c>
      <c r="F2" s="1" t="s">
        <v>0</v>
      </c>
      <c r="G2" s="2">
        <v>150</v>
      </c>
    </row>
    <row r="3" spans="2:8" x14ac:dyDescent="0.25">
      <c r="B3" s="1" t="s">
        <v>102</v>
      </c>
      <c r="F3" s="1" t="s">
        <v>1</v>
      </c>
      <c r="G3" s="3">
        <v>2909</v>
      </c>
      <c r="H3" s="4" t="s">
        <v>125</v>
      </c>
    </row>
    <row r="4" spans="2:8" x14ac:dyDescent="0.25">
      <c r="B4" s="1" t="s">
        <v>103</v>
      </c>
      <c r="F4" s="1" t="s">
        <v>2</v>
      </c>
      <c r="G4" s="3">
        <f>G3*G2</f>
        <v>436350</v>
      </c>
    </row>
    <row r="5" spans="2:8" x14ac:dyDescent="0.25">
      <c r="F5" s="1" t="s">
        <v>3</v>
      </c>
      <c r="G5" s="3">
        <v>11005</v>
      </c>
      <c r="H5" s="4" t="s">
        <v>125</v>
      </c>
    </row>
    <row r="6" spans="2:8" x14ac:dyDescent="0.25">
      <c r="B6" s="1" t="s">
        <v>114</v>
      </c>
      <c r="F6" s="1" t="s">
        <v>4</v>
      </c>
      <c r="G6" s="3">
        <v>91315</v>
      </c>
      <c r="H6" s="4" t="s">
        <v>125</v>
      </c>
    </row>
    <row r="7" spans="2:8" x14ac:dyDescent="0.25">
      <c r="B7" s="1" t="s">
        <v>115</v>
      </c>
      <c r="F7" s="1" t="s">
        <v>5</v>
      </c>
      <c r="G7" s="3">
        <f>G4-G5+G6</f>
        <v>516660</v>
      </c>
    </row>
    <row r="10" spans="2:8" x14ac:dyDescent="0.25">
      <c r="F10" s="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EAAF-34CF-A143-8837-7F659B2590CD}">
  <dimension ref="A1:EK83"/>
  <sheetViews>
    <sheetView tabSelected="1" zoomScaleNormal="100" zoomScaleSheetLayoutView="100" workbookViewId="0">
      <pane xSplit="2" ySplit="3" topLeftCell="T4" activePane="bottomRight" state="frozen"/>
      <selection pane="topRight" activeCell="C1" sqref="C1"/>
      <selection pane="bottomLeft" activeCell="A4" sqref="A4"/>
      <selection pane="bottomRight" activeCell="AD16" sqref="AD16"/>
    </sheetView>
  </sheetViews>
  <sheetFormatPr defaultColWidth="8.54296875" defaultRowHeight="12.5" x14ac:dyDescent="0.25"/>
  <cols>
    <col min="1" max="1" width="5" style="1" bestFit="1" customWidth="1"/>
    <col min="2" max="2" width="17.453125" style="1" customWidth="1"/>
    <col min="3" max="8" width="9" style="4" customWidth="1"/>
    <col min="9" max="16" width="9.7265625" style="4" customWidth="1"/>
    <col min="17" max="39" width="9" style="4" customWidth="1"/>
    <col min="40" max="40" width="8.54296875" style="1"/>
    <col min="41" max="42" width="8.54296875" style="4"/>
    <col min="43" max="44" width="9.54296875" style="4" customWidth="1"/>
    <col min="45" max="54" width="8.54296875" style="1"/>
    <col min="55" max="55" width="9.26953125" style="1" customWidth="1"/>
    <col min="56" max="16384" width="8.54296875" style="1"/>
  </cols>
  <sheetData>
    <row r="1" spans="1:52" x14ac:dyDescent="0.25">
      <c r="A1" s="10" t="s">
        <v>7</v>
      </c>
    </row>
    <row r="2" spans="1:52" s="11" customFormat="1" x14ac:dyDescent="0.25">
      <c r="C2" s="12"/>
      <c r="D2" s="12"/>
      <c r="E2" s="12"/>
      <c r="F2" s="12"/>
      <c r="G2" s="12">
        <v>44074</v>
      </c>
      <c r="H2" s="12">
        <v>44165</v>
      </c>
      <c r="I2" s="12">
        <v>44255</v>
      </c>
      <c r="J2" s="12">
        <v>44347</v>
      </c>
      <c r="K2" s="12">
        <v>44439</v>
      </c>
      <c r="L2" s="12">
        <v>44530</v>
      </c>
      <c r="M2" s="12">
        <v>44620</v>
      </c>
      <c r="N2" s="12">
        <v>44712</v>
      </c>
      <c r="O2" s="12">
        <f>+K2+365</f>
        <v>44804</v>
      </c>
      <c r="P2" s="12">
        <f t="shared" ref="P2:V2" si="0">+L2+365</f>
        <v>44895</v>
      </c>
      <c r="Q2" s="12">
        <f t="shared" si="0"/>
        <v>44985</v>
      </c>
      <c r="R2" s="12">
        <f t="shared" si="0"/>
        <v>45077</v>
      </c>
      <c r="S2" s="12">
        <f t="shared" si="0"/>
        <v>45169</v>
      </c>
      <c r="T2" s="12">
        <f t="shared" si="0"/>
        <v>45260</v>
      </c>
      <c r="U2" s="12">
        <f t="shared" si="0"/>
        <v>45350</v>
      </c>
      <c r="V2" s="12">
        <f t="shared" si="0"/>
        <v>45442</v>
      </c>
      <c r="W2" s="12">
        <v>45535</v>
      </c>
      <c r="X2" s="12">
        <f>+T2+366</f>
        <v>45626</v>
      </c>
      <c r="Y2" s="12">
        <f>+U2+365</f>
        <v>45715</v>
      </c>
      <c r="Z2" s="12">
        <f>+V2+365</f>
        <v>45807</v>
      </c>
      <c r="AA2" s="12">
        <f>+W2+365</f>
        <v>45900</v>
      </c>
      <c r="AB2" s="12">
        <f t="shared" ref="AB2:AH2" si="1">+X2+365</f>
        <v>45991</v>
      </c>
      <c r="AC2" s="12">
        <v>46081</v>
      </c>
      <c r="AD2" s="12">
        <v>46173</v>
      </c>
      <c r="AE2" s="12">
        <f t="shared" si="1"/>
        <v>46265</v>
      </c>
      <c r="AF2" s="12">
        <f t="shared" si="1"/>
        <v>46356</v>
      </c>
      <c r="AG2" s="12">
        <f t="shared" si="1"/>
        <v>46446</v>
      </c>
      <c r="AH2" s="12">
        <f t="shared" si="1"/>
        <v>46538</v>
      </c>
      <c r="AI2" s="12"/>
      <c r="AJ2" s="12"/>
      <c r="AK2" s="12"/>
      <c r="AL2" s="12"/>
      <c r="AM2" s="12">
        <v>42886</v>
      </c>
      <c r="AN2" s="12">
        <v>43251</v>
      </c>
      <c r="AO2" s="12">
        <v>43616</v>
      </c>
      <c r="AP2" s="12">
        <v>43982</v>
      </c>
      <c r="AQ2" s="12">
        <v>44347</v>
      </c>
      <c r="AR2" s="12">
        <v>44712</v>
      </c>
      <c r="AS2" s="12">
        <f>AR2+365</f>
        <v>45077</v>
      </c>
      <c r="AT2" s="12">
        <f>AS2+366</f>
        <v>45443</v>
      </c>
      <c r="AU2" s="12">
        <f t="shared" ref="AU2" si="2">AT2+365</f>
        <v>45808</v>
      </c>
      <c r="AV2" s="12">
        <f t="shared" ref="AV2:AW2" si="3">AU2+365</f>
        <v>46173</v>
      </c>
      <c r="AW2" s="12">
        <f t="shared" si="3"/>
        <v>46538</v>
      </c>
      <c r="AX2" s="12">
        <f>AW2+366</f>
        <v>46904</v>
      </c>
      <c r="AY2" s="12">
        <f t="shared" ref="AY2" si="4">AX2+365</f>
        <v>47269</v>
      </c>
      <c r="AZ2" s="12">
        <f>AY2+365</f>
        <v>47634</v>
      </c>
    </row>
    <row r="3" spans="1:52" x14ac:dyDescent="0.25">
      <c r="C3" s="4" t="s">
        <v>44</v>
      </c>
      <c r="D3" s="4" t="s">
        <v>43</v>
      </c>
      <c r="E3" s="4" t="s">
        <v>42</v>
      </c>
      <c r="F3" s="4" t="s">
        <v>40</v>
      </c>
      <c r="G3" s="4" t="s">
        <v>13</v>
      </c>
      <c r="H3" s="4" t="s">
        <v>12</v>
      </c>
      <c r="I3" s="4" t="s">
        <v>11</v>
      </c>
      <c r="J3" s="4" t="s">
        <v>15</v>
      </c>
      <c r="K3" s="4" t="s">
        <v>6</v>
      </c>
      <c r="L3" s="4" t="s">
        <v>9</v>
      </c>
      <c r="M3" s="4" t="s">
        <v>10</v>
      </c>
      <c r="N3" s="4" t="s">
        <v>14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95</v>
      </c>
      <c r="X3" s="4" t="s">
        <v>96</v>
      </c>
      <c r="Y3" s="4" t="s">
        <v>97</v>
      </c>
      <c r="Z3" s="4" t="s">
        <v>98</v>
      </c>
      <c r="AA3" s="4" t="s">
        <v>117</v>
      </c>
      <c r="AB3" s="4" t="s">
        <v>118</v>
      </c>
      <c r="AC3" s="4" t="s">
        <v>119</v>
      </c>
      <c r="AD3" s="4" t="s">
        <v>120</v>
      </c>
      <c r="AE3" s="4" t="s">
        <v>121</v>
      </c>
      <c r="AF3" s="4" t="s">
        <v>122</v>
      </c>
      <c r="AG3" s="4" t="s">
        <v>123</v>
      </c>
      <c r="AH3" s="4" t="s">
        <v>124</v>
      </c>
      <c r="AM3" s="4" t="s">
        <v>94</v>
      </c>
      <c r="AN3" s="4" t="s">
        <v>69</v>
      </c>
      <c r="AO3" s="4" t="s">
        <v>45</v>
      </c>
      <c r="AP3" s="4" t="s">
        <v>41</v>
      </c>
      <c r="AQ3" s="4" t="s">
        <v>30</v>
      </c>
      <c r="AR3" s="4" t="s">
        <v>31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</row>
    <row r="4" spans="1:52" x14ac:dyDescent="0.25">
      <c r="B4" s="1" t="s">
        <v>116</v>
      </c>
      <c r="U4" s="5">
        <v>80000</v>
      </c>
      <c r="V4" s="5">
        <v>98000</v>
      </c>
      <c r="W4" s="5">
        <v>99000</v>
      </c>
      <c r="X4" s="5">
        <v>97000</v>
      </c>
      <c r="Y4" s="5">
        <v>130000</v>
      </c>
      <c r="Z4" s="5">
        <v>138000</v>
      </c>
      <c r="AA4" s="5">
        <v>455000</v>
      </c>
      <c r="AN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N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B6" s="1" t="s">
        <v>100</v>
      </c>
      <c r="P6" s="4">
        <v>600</v>
      </c>
      <c r="Q6" s="5">
        <v>700</v>
      </c>
      <c r="R6" s="5">
        <v>700</v>
      </c>
      <c r="S6" s="5">
        <v>700</v>
      </c>
      <c r="T6" s="5">
        <v>800</v>
      </c>
      <c r="U6" s="5">
        <v>800</v>
      </c>
      <c r="V6" s="5">
        <v>800</v>
      </c>
      <c r="W6" s="5">
        <v>900</v>
      </c>
      <c r="AN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B7" s="1" t="s">
        <v>111</v>
      </c>
      <c r="P7" s="4">
        <v>600</v>
      </c>
      <c r="Q7" s="5">
        <v>700</v>
      </c>
      <c r="R7" s="5">
        <v>700</v>
      </c>
      <c r="S7" s="5">
        <v>800</v>
      </c>
      <c r="T7" s="5">
        <v>800</v>
      </c>
      <c r="U7" s="5">
        <v>800</v>
      </c>
      <c r="V7" s="5">
        <v>800</v>
      </c>
      <c r="W7" s="5"/>
      <c r="AN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B8" s="1" t="s">
        <v>112</v>
      </c>
      <c r="O8" s="5">
        <v>2700</v>
      </c>
      <c r="P8" s="5">
        <v>2800</v>
      </c>
      <c r="Q8" s="5">
        <v>2900</v>
      </c>
      <c r="R8" s="5">
        <v>3000</v>
      </c>
      <c r="S8" s="5">
        <v>3100</v>
      </c>
      <c r="T8" s="5">
        <v>3200</v>
      </c>
      <c r="U8" s="5">
        <v>3300</v>
      </c>
      <c r="V8" s="5">
        <v>3300</v>
      </c>
      <c r="W8" s="5">
        <v>3469</v>
      </c>
      <c r="X8" s="5">
        <v>3503</v>
      </c>
      <c r="Y8" s="5">
        <v>3558</v>
      </c>
      <c r="Z8" s="5">
        <v>3742</v>
      </c>
      <c r="AA8" s="5">
        <v>3839</v>
      </c>
      <c r="AB8" s="5">
        <v>3898</v>
      </c>
      <c r="AC8" s="5">
        <v>4026</v>
      </c>
      <c r="AD8" s="5">
        <v>4126</v>
      </c>
      <c r="AE8" s="5">
        <f t="shared" ref="AE8:AH8" si="5">+AA8*1.05</f>
        <v>4030.9500000000003</v>
      </c>
      <c r="AF8" s="5">
        <f t="shared" si="5"/>
        <v>4092.9</v>
      </c>
      <c r="AG8" s="5">
        <f t="shared" si="5"/>
        <v>4227.3</v>
      </c>
      <c r="AH8" s="5">
        <f t="shared" si="5"/>
        <v>4332.3</v>
      </c>
      <c r="AN8" s="4"/>
      <c r="AS8" s="5">
        <f>SUM(O8:R8)</f>
        <v>11400</v>
      </c>
      <c r="AT8" s="5">
        <f>SUM(S8:V8)</f>
        <v>12900</v>
      </c>
      <c r="AU8" s="5">
        <f>SUM(W8:Z8)</f>
        <v>14272</v>
      </c>
      <c r="AV8" s="5">
        <f>SUM(AA8:AD8)</f>
        <v>15889</v>
      </c>
      <c r="AW8" s="5">
        <f>SUM(AE8:AH8)</f>
        <v>16683.45</v>
      </c>
      <c r="AX8" s="4"/>
      <c r="AY8" s="4"/>
      <c r="AZ8" s="4"/>
    </row>
    <row r="9" spans="1:52" x14ac:dyDescent="0.25">
      <c r="B9" s="1" t="s">
        <v>113</v>
      </c>
      <c r="O9" s="5">
        <v>900</v>
      </c>
      <c r="P9" s="5">
        <v>1000</v>
      </c>
      <c r="Q9" s="5">
        <v>1200</v>
      </c>
      <c r="R9" s="5">
        <v>1400</v>
      </c>
      <c r="S9" s="5">
        <v>1500</v>
      </c>
      <c r="T9" s="5">
        <v>1600</v>
      </c>
      <c r="U9" s="5">
        <v>1800</v>
      </c>
      <c r="V9" s="5">
        <v>2000</v>
      </c>
      <c r="W9" s="5">
        <v>2154</v>
      </c>
      <c r="X9" s="5">
        <v>2434</v>
      </c>
      <c r="Y9" s="5">
        <v>2652</v>
      </c>
      <c r="Z9" s="5">
        <v>2995</v>
      </c>
      <c r="AA9" s="5">
        <v>3347</v>
      </c>
      <c r="AB9" s="5">
        <v>4079</v>
      </c>
      <c r="AC9" s="5">
        <v>4888</v>
      </c>
      <c r="AD9" s="5">
        <v>5787</v>
      </c>
      <c r="AE9" s="5">
        <f>+AD9+1000</f>
        <v>6787</v>
      </c>
      <c r="AF9" s="5">
        <f>+AE9+1000</f>
        <v>7787</v>
      </c>
      <c r="AG9" s="5">
        <f>+AF9+1000</f>
        <v>8787</v>
      </c>
      <c r="AH9" s="5">
        <f>+AG9+1000</f>
        <v>9787</v>
      </c>
      <c r="AN9" s="4"/>
      <c r="AS9" s="5">
        <f>SUM(O9:R9)</f>
        <v>4500</v>
      </c>
      <c r="AT9" s="5">
        <f>SUM(S9:V9)</f>
        <v>6900</v>
      </c>
      <c r="AU9" s="5">
        <f>SUM(W9:Z9)</f>
        <v>10235</v>
      </c>
      <c r="AV9" s="5">
        <f t="shared" ref="AV9:AV16" si="6">SUM(AA9:AD9)</f>
        <v>18101</v>
      </c>
      <c r="AW9" s="5">
        <f t="shared" ref="AW9" si="7">SUM(AE9:AH9)</f>
        <v>33148</v>
      </c>
      <c r="AX9" s="5">
        <v>73000</v>
      </c>
      <c r="AY9" s="5">
        <v>114000</v>
      </c>
      <c r="AZ9" s="5">
        <v>144000</v>
      </c>
    </row>
    <row r="10" spans="1:52" x14ac:dyDescent="0.25">
      <c r="AN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B11" s="1" t="s">
        <v>99</v>
      </c>
      <c r="O11" s="5">
        <v>3579</v>
      </c>
      <c r="P11" s="5">
        <v>3813</v>
      </c>
      <c r="Q11" s="5">
        <v>4053</v>
      </c>
      <c r="R11" s="5">
        <v>4437</v>
      </c>
      <c r="S11" s="5">
        <v>4635</v>
      </c>
      <c r="T11" s="5">
        <v>4775</v>
      </c>
      <c r="U11" s="5">
        <v>5054</v>
      </c>
      <c r="V11" s="5">
        <v>5311</v>
      </c>
      <c r="W11" s="5">
        <f>+W9+W8</f>
        <v>5623</v>
      </c>
      <c r="X11" s="5">
        <f>+X9+X8</f>
        <v>5937</v>
      </c>
      <c r="Y11" s="5">
        <f>+Y9+Y8</f>
        <v>6210</v>
      </c>
      <c r="Z11" s="5">
        <f>+Z9+Z8</f>
        <v>6737</v>
      </c>
      <c r="AA11" s="5">
        <f t="shared" ref="AA11:AD11" si="8">+AA9+AA8</f>
        <v>7186</v>
      </c>
      <c r="AB11" s="5">
        <f t="shared" si="8"/>
        <v>7977</v>
      </c>
      <c r="AC11" s="5">
        <f t="shared" si="8"/>
        <v>8914</v>
      </c>
      <c r="AD11" s="5">
        <f t="shared" si="8"/>
        <v>9913</v>
      </c>
      <c r="AE11" s="5">
        <f t="shared" ref="AE11:AH11" si="9">+AE9+AE8</f>
        <v>10817.95</v>
      </c>
      <c r="AF11" s="5">
        <f t="shared" si="9"/>
        <v>11879.9</v>
      </c>
      <c r="AG11" s="5">
        <f t="shared" si="9"/>
        <v>13014.3</v>
      </c>
      <c r="AH11" s="5">
        <f t="shared" si="9"/>
        <v>14119.3</v>
      </c>
      <c r="AI11" s="5"/>
      <c r="AJ11" s="5"/>
      <c r="AK11" s="5"/>
      <c r="AN11" s="4"/>
      <c r="AS11" s="5">
        <f>SUM(O11:R11)</f>
        <v>15882</v>
      </c>
      <c r="AT11" s="5">
        <f t="shared" ref="AT11:AT16" si="10">SUM(S11:V11)</f>
        <v>19775</v>
      </c>
      <c r="AU11" s="5">
        <f t="shared" ref="AU11:AU16" si="11">SUM(W11:Z11)</f>
        <v>24507</v>
      </c>
      <c r="AV11" s="5">
        <f t="shared" si="6"/>
        <v>33990</v>
      </c>
      <c r="AW11" s="4"/>
      <c r="AX11" s="4"/>
      <c r="AY11" s="4"/>
      <c r="AZ11" s="4"/>
    </row>
    <row r="12" spans="1:52" s="16" customFormat="1" ht="13" x14ac:dyDescent="0.3">
      <c r="B12" s="16" t="s">
        <v>127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>
        <v>4838</v>
      </c>
      <c r="P12" s="18">
        <v>4785</v>
      </c>
      <c r="Q12" s="18">
        <v>4870</v>
      </c>
      <c r="R12" s="18">
        <v>4933</v>
      </c>
      <c r="S12" s="18">
        <v>4912</v>
      </c>
      <c r="T12" s="18">
        <v>4864</v>
      </c>
      <c r="U12" s="18">
        <v>4909</v>
      </c>
      <c r="V12" s="18">
        <v>4923</v>
      </c>
      <c r="W12" s="18">
        <v>4896</v>
      </c>
      <c r="X12" s="18">
        <v>4869</v>
      </c>
      <c r="Y12" s="18">
        <v>4797</v>
      </c>
      <c r="Z12" s="18">
        <v>4961</v>
      </c>
      <c r="AA12" s="18">
        <v>4955</v>
      </c>
      <c r="AB12" s="18">
        <v>4938</v>
      </c>
      <c r="AC12" s="18">
        <v>4969</v>
      </c>
      <c r="AD12" s="18">
        <v>4943</v>
      </c>
      <c r="AE12" s="18">
        <f t="shared" ref="AE12:AH12" si="12">+AA12</f>
        <v>4955</v>
      </c>
      <c r="AF12" s="18">
        <f t="shared" si="12"/>
        <v>4938</v>
      </c>
      <c r="AG12" s="18">
        <f t="shared" si="12"/>
        <v>4969</v>
      </c>
      <c r="AH12" s="18">
        <f t="shared" si="12"/>
        <v>4943</v>
      </c>
      <c r="AI12" s="18"/>
      <c r="AJ12" s="18"/>
      <c r="AK12" s="18"/>
      <c r="AL12" s="17"/>
      <c r="AM12" s="17"/>
      <c r="AN12" s="17"/>
      <c r="AO12" s="17"/>
      <c r="AP12" s="17"/>
      <c r="AQ12" s="17"/>
      <c r="AR12" s="17"/>
      <c r="AS12" s="5">
        <f>SUM(O12:R12)</f>
        <v>19426</v>
      </c>
      <c r="AT12" s="5">
        <f t="shared" si="10"/>
        <v>19608</v>
      </c>
      <c r="AU12" s="5">
        <f t="shared" si="11"/>
        <v>19523</v>
      </c>
      <c r="AV12" s="5">
        <f t="shared" si="6"/>
        <v>19805</v>
      </c>
      <c r="AW12" s="17"/>
      <c r="AX12" s="17"/>
      <c r="AY12" s="17"/>
      <c r="AZ12" s="17"/>
    </row>
    <row r="13" spans="1:52" s="3" customFormat="1" x14ac:dyDescent="0.25">
      <c r="B13" s="3" t="s">
        <v>33</v>
      </c>
      <c r="C13" s="5"/>
      <c r="D13" s="5"/>
      <c r="E13" s="5"/>
      <c r="F13" s="5"/>
      <c r="G13" s="5">
        <v>6947</v>
      </c>
      <c r="H13" s="5">
        <v>7112</v>
      </c>
      <c r="I13" s="5">
        <v>7252</v>
      </c>
      <c r="J13" s="5">
        <v>7389</v>
      </c>
      <c r="K13" s="5">
        <v>7371</v>
      </c>
      <c r="L13" s="5">
        <v>7554</v>
      </c>
      <c r="M13" s="5">
        <v>7637</v>
      </c>
      <c r="N13" s="5">
        <v>7612</v>
      </c>
      <c r="O13" s="5">
        <f t="shared" ref="O13:P13" si="13">+O12+O11</f>
        <v>8417</v>
      </c>
      <c r="P13" s="5">
        <f t="shared" si="13"/>
        <v>8598</v>
      </c>
      <c r="Q13" s="5">
        <f t="shared" ref="Q13" si="14">+Q12+Q11</f>
        <v>8923</v>
      </c>
      <c r="R13" s="5">
        <f>+R12+R11</f>
        <v>9370</v>
      </c>
      <c r="S13" s="5">
        <f t="shared" ref="S13" si="15">+S12+S11</f>
        <v>9547</v>
      </c>
      <c r="T13" s="5">
        <f t="shared" ref="T13" si="16">+T12+T11</f>
        <v>9639</v>
      </c>
      <c r="U13" s="5">
        <f t="shared" ref="U13" si="17">+U12+U11</f>
        <v>9963</v>
      </c>
      <c r="V13" s="5">
        <f t="shared" ref="V13:AB13" si="18">+V11+V12</f>
        <v>10234</v>
      </c>
      <c r="W13" s="5">
        <f t="shared" si="18"/>
        <v>10519</v>
      </c>
      <c r="X13" s="5">
        <f t="shared" si="18"/>
        <v>10806</v>
      </c>
      <c r="Y13" s="5">
        <f t="shared" si="18"/>
        <v>11007</v>
      </c>
      <c r="Z13" s="5">
        <f t="shared" si="18"/>
        <v>11698</v>
      </c>
      <c r="AA13" s="5">
        <f t="shared" si="18"/>
        <v>12141</v>
      </c>
      <c r="AB13" s="5">
        <f t="shared" ref="AB13:AH13" si="19">+AB11+AB12</f>
        <v>12915</v>
      </c>
      <c r="AC13" s="5">
        <f t="shared" si="19"/>
        <v>13883</v>
      </c>
      <c r="AD13" s="5">
        <f t="shared" si="19"/>
        <v>14856</v>
      </c>
      <c r="AE13" s="5">
        <f t="shared" si="19"/>
        <v>15772.95</v>
      </c>
      <c r="AF13" s="5">
        <f t="shared" si="19"/>
        <v>16817.900000000001</v>
      </c>
      <c r="AG13" s="5">
        <f t="shared" si="19"/>
        <v>17983.3</v>
      </c>
      <c r="AH13" s="5">
        <f t="shared" si="19"/>
        <v>19062.3</v>
      </c>
      <c r="AI13" s="5"/>
      <c r="AJ13" s="5"/>
      <c r="AK13" s="5"/>
      <c r="AL13" s="5"/>
      <c r="AM13" s="5">
        <v>23800</v>
      </c>
      <c r="AN13" s="3">
        <v>26254</v>
      </c>
      <c r="AO13" s="5">
        <v>26707</v>
      </c>
      <c r="AP13" s="5">
        <v>27392</v>
      </c>
      <c r="AQ13" s="5">
        <v>28700</v>
      </c>
      <c r="AR13" s="5">
        <v>30174</v>
      </c>
      <c r="AS13" s="5">
        <f>+AS12+AS11</f>
        <v>35308</v>
      </c>
      <c r="AT13" s="5">
        <f>+AT12+AT11</f>
        <v>39383</v>
      </c>
      <c r="AU13" s="5">
        <f>+AU12+AU11</f>
        <v>44030</v>
      </c>
      <c r="AV13" s="5">
        <f>+AV12+AV11</f>
        <v>53795</v>
      </c>
    </row>
    <row r="14" spans="1:52" s="19" customFormat="1" x14ac:dyDescent="0.25">
      <c r="B14" s="19" t="s">
        <v>126</v>
      </c>
      <c r="C14" s="20"/>
      <c r="D14" s="20"/>
      <c r="E14" s="20"/>
      <c r="F14" s="20"/>
      <c r="G14" s="20">
        <v>886</v>
      </c>
      <c r="H14" s="20">
        <v>1092</v>
      </c>
      <c r="I14" s="20">
        <v>1276</v>
      </c>
      <c r="J14" s="20">
        <v>2144</v>
      </c>
      <c r="K14" s="20">
        <v>813</v>
      </c>
      <c r="L14" s="20">
        <v>1237</v>
      </c>
      <c r="M14" s="20">
        <v>1289</v>
      </c>
      <c r="N14" s="20">
        <v>2539</v>
      </c>
      <c r="O14" s="20">
        <v>904</v>
      </c>
      <c r="P14" s="20">
        <v>1435</v>
      </c>
      <c r="Q14" s="20">
        <v>1288</v>
      </c>
      <c r="R14" s="20">
        <v>2152</v>
      </c>
      <c r="S14" s="20">
        <v>809</v>
      </c>
      <c r="T14" s="20">
        <v>1178</v>
      </c>
      <c r="U14" s="20">
        <v>1256</v>
      </c>
      <c r="V14" s="20">
        <v>1838</v>
      </c>
      <c r="W14" s="20">
        <v>870</v>
      </c>
      <c r="X14" s="20">
        <v>1195</v>
      </c>
      <c r="Y14" s="20">
        <v>1129</v>
      </c>
      <c r="Z14" s="20">
        <v>2007</v>
      </c>
      <c r="AA14" s="20">
        <v>766</v>
      </c>
      <c r="AB14" s="20">
        <v>939</v>
      </c>
      <c r="AC14" s="20">
        <v>1150</v>
      </c>
      <c r="AD14" s="20">
        <v>1881</v>
      </c>
      <c r="AE14" s="20">
        <f t="shared" ref="AE14:AE16" si="20">+AA14</f>
        <v>766</v>
      </c>
      <c r="AF14" s="20">
        <f t="shared" ref="AF14:AF16" si="21">+AB14</f>
        <v>939</v>
      </c>
      <c r="AG14" s="20">
        <f t="shared" ref="AG14:AG16" si="22">+AC14</f>
        <v>1150</v>
      </c>
      <c r="AH14" s="20">
        <f t="shared" ref="AH14:AH16" si="23">+AD14</f>
        <v>1881</v>
      </c>
      <c r="AI14" s="20"/>
      <c r="AJ14" s="20"/>
      <c r="AK14" s="20"/>
      <c r="AL14" s="20"/>
      <c r="AM14" s="20">
        <v>6418</v>
      </c>
      <c r="AN14" s="19">
        <v>6190</v>
      </c>
      <c r="AO14" s="20">
        <v>5855</v>
      </c>
      <c r="AP14" s="20">
        <v>5127</v>
      </c>
      <c r="AQ14" s="20">
        <v>5399</v>
      </c>
      <c r="AR14" s="20">
        <v>5878</v>
      </c>
      <c r="AS14" s="5">
        <f t="shared" ref="AS14:AS16" si="24">SUM(O14:R14)</f>
        <v>5779</v>
      </c>
      <c r="AT14" s="5">
        <f t="shared" si="10"/>
        <v>5081</v>
      </c>
      <c r="AU14" s="5">
        <f t="shared" si="11"/>
        <v>5201</v>
      </c>
      <c r="AV14" s="5">
        <f t="shared" si="6"/>
        <v>4736</v>
      </c>
    </row>
    <row r="15" spans="1:52" s="3" customFormat="1" x14ac:dyDescent="0.25">
      <c r="B15" s="3" t="s">
        <v>34</v>
      </c>
      <c r="C15" s="5"/>
      <c r="D15" s="5"/>
      <c r="E15" s="5"/>
      <c r="F15" s="5"/>
      <c r="G15" s="5">
        <v>814</v>
      </c>
      <c r="H15" s="5">
        <v>844</v>
      </c>
      <c r="I15" s="5">
        <v>820</v>
      </c>
      <c r="J15" s="5">
        <v>882</v>
      </c>
      <c r="K15" s="5">
        <v>763</v>
      </c>
      <c r="L15" s="5">
        <v>767</v>
      </c>
      <c r="M15" s="5">
        <v>798</v>
      </c>
      <c r="N15" s="5">
        <v>856</v>
      </c>
      <c r="O15" s="5">
        <v>763</v>
      </c>
      <c r="P15" s="5">
        <v>850</v>
      </c>
      <c r="Q15" s="5">
        <v>811</v>
      </c>
      <c r="R15" s="5">
        <v>850</v>
      </c>
      <c r="S15" s="5">
        <v>714</v>
      </c>
      <c r="T15" s="5">
        <v>756</v>
      </c>
      <c r="U15" s="5">
        <v>754</v>
      </c>
      <c r="V15" s="5">
        <v>842</v>
      </c>
      <c r="W15" s="5">
        <v>655</v>
      </c>
      <c r="X15" s="5">
        <v>728</v>
      </c>
      <c r="Y15" s="5">
        <v>703</v>
      </c>
      <c r="Z15" s="5">
        <v>850</v>
      </c>
      <c r="AA15" s="5">
        <v>670</v>
      </c>
      <c r="AB15" s="20">
        <v>776</v>
      </c>
      <c r="AC15" s="20">
        <v>714</v>
      </c>
      <c r="AD15" s="20">
        <v>924</v>
      </c>
      <c r="AE15" s="20">
        <f t="shared" si="20"/>
        <v>670</v>
      </c>
      <c r="AF15" s="20">
        <f t="shared" si="21"/>
        <v>776</v>
      </c>
      <c r="AG15" s="20">
        <f t="shared" si="22"/>
        <v>714</v>
      </c>
      <c r="AH15" s="20">
        <f t="shared" si="23"/>
        <v>924</v>
      </c>
      <c r="AI15" s="5"/>
      <c r="AJ15" s="5"/>
      <c r="AK15" s="5"/>
      <c r="AL15" s="5"/>
      <c r="AM15" s="5">
        <v>4152</v>
      </c>
      <c r="AN15" s="3">
        <v>3993</v>
      </c>
      <c r="AO15" s="5">
        <v>3704</v>
      </c>
      <c r="AP15" s="5">
        <v>3443</v>
      </c>
      <c r="AQ15" s="5">
        <v>3359</v>
      </c>
      <c r="AR15" s="5">
        <v>3183</v>
      </c>
      <c r="AS15" s="5">
        <f t="shared" si="24"/>
        <v>3274</v>
      </c>
      <c r="AT15" s="5">
        <f t="shared" si="10"/>
        <v>3066</v>
      </c>
      <c r="AU15" s="5">
        <f t="shared" si="11"/>
        <v>2936</v>
      </c>
      <c r="AV15" s="5">
        <f t="shared" si="6"/>
        <v>3084</v>
      </c>
    </row>
    <row r="16" spans="1:52" s="3" customFormat="1" x14ac:dyDescent="0.25">
      <c r="B16" s="3" t="s">
        <v>35</v>
      </c>
      <c r="C16" s="5"/>
      <c r="D16" s="5"/>
      <c r="E16" s="5"/>
      <c r="F16" s="5"/>
      <c r="G16" s="5">
        <v>720</v>
      </c>
      <c r="H16" s="5">
        <v>752</v>
      </c>
      <c r="I16" s="5">
        <v>737</v>
      </c>
      <c r="J16" s="5">
        <v>812</v>
      </c>
      <c r="K16" s="5">
        <v>781</v>
      </c>
      <c r="L16" s="5">
        <v>802</v>
      </c>
      <c r="M16" s="5">
        <v>789</v>
      </c>
      <c r="N16" s="5">
        <v>833</v>
      </c>
      <c r="O16" s="5">
        <v>1361</v>
      </c>
      <c r="P16" s="5">
        <v>1392</v>
      </c>
      <c r="Q16" s="5">
        <v>1376</v>
      </c>
      <c r="R16" s="5">
        <v>1465</v>
      </c>
      <c r="S16" s="5">
        <v>1383</v>
      </c>
      <c r="T16" s="5">
        <v>1368</v>
      </c>
      <c r="U16" s="5">
        <v>1307</v>
      </c>
      <c r="V16" s="5">
        <v>1373</v>
      </c>
      <c r="W16" s="5">
        <v>1263</v>
      </c>
      <c r="X16" s="5">
        <v>1330</v>
      </c>
      <c r="Y16" s="5">
        <v>1291</v>
      </c>
      <c r="Z16" s="5">
        <v>1348</v>
      </c>
      <c r="AA16" s="5">
        <v>1349</v>
      </c>
      <c r="AB16" s="20">
        <v>1428</v>
      </c>
      <c r="AC16" s="20">
        <v>1443</v>
      </c>
      <c r="AD16" s="20">
        <v>1523</v>
      </c>
      <c r="AE16" s="20">
        <f t="shared" si="20"/>
        <v>1349</v>
      </c>
      <c r="AF16" s="20">
        <f t="shared" si="21"/>
        <v>1428</v>
      </c>
      <c r="AG16" s="20">
        <f t="shared" si="22"/>
        <v>1443</v>
      </c>
      <c r="AH16" s="20">
        <f t="shared" si="23"/>
        <v>1523</v>
      </c>
      <c r="AI16" s="5"/>
      <c r="AJ16" s="5"/>
      <c r="AK16" s="5"/>
      <c r="AL16" s="5"/>
      <c r="AM16" s="5">
        <v>3358</v>
      </c>
      <c r="AN16" s="3">
        <v>3394</v>
      </c>
      <c r="AO16" s="5">
        <v>3240</v>
      </c>
      <c r="AP16" s="5">
        <v>3106</v>
      </c>
      <c r="AQ16" s="5">
        <v>3021</v>
      </c>
      <c r="AR16" s="5">
        <v>3205</v>
      </c>
      <c r="AS16" s="5">
        <f t="shared" si="24"/>
        <v>5594</v>
      </c>
      <c r="AT16" s="5">
        <f t="shared" si="10"/>
        <v>5431</v>
      </c>
      <c r="AU16" s="5">
        <f t="shared" si="11"/>
        <v>5232</v>
      </c>
      <c r="AV16" s="5">
        <f t="shared" si="6"/>
        <v>5743</v>
      </c>
    </row>
    <row r="18" spans="2:141" s="8" customFormat="1" ht="13" x14ac:dyDescent="0.3">
      <c r="B18" s="8" t="s">
        <v>8</v>
      </c>
      <c r="C18" s="9"/>
      <c r="D18" s="9"/>
      <c r="E18" s="9"/>
      <c r="F18" s="9"/>
      <c r="G18" s="9">
        <f t="shared" ref="G18:Q18" si="25">SUM(G13:G16)</f>
        <v>9367</v>
      </c>
      <c r="H18" s="9">
        <f t="shared" si="25"/>
        <v>9800</v>
      </c>
      <c r="I18" s="9">
        <f t="shared" si="25"/>
        <v>10085</v>
      </c>
      <c r="J18" s="9">
        <f t="shared" si="25"/>
        <v>11227</v>
      </c>
      <c r="K18" s="9">
        <f t="shared" si="25"/>
        <v>9728</v>
      </c>
      <c r="L18" s="9">
        <f t="shared" si="25"/>
        <v>10360</v>
      </c>
      <c r="M18" s="9">
        <f t="shared" si="25"/>
        <v>10513</v>
      </c>
      <c r="N18" s="9">
        <f t="shared" si="25"/>
        <v>11840</v>
      </c>
      <c r="O18" s="9">
        <f t="shared" si="25"/>
        <v>11445</v>
      </c>
      <c r="P18" s="9">
        <f t="shared" si="25"/>
        <v>12275</v>
      </c>
      <c r="Q18" s="9">
        <f t="shared" si="25"/>
        <v>12398</v>
      </c>
      <c r="R18" s="9">
        <f t="shared" ref="R18:AH18" si="26">SUM(R13:R16)</f>
        <v>13837</v>
      </c>
      <c r="S18" s="9">
        <f t="shared" si="26"/>
        <v>12453</v>
      </c>
      <c r="T18" s="9">
        <f t="shared" si="26"/>
        <v>12941</v>
      </c>
      <c r="U18" s="9">
        <f t="shared" si="26"/>
        <v>13280</v>
      </c>
      <c r="V18" s="9">
        <f t="shared" si="26"/>
        <v>14287</v>
      </c>
      <c r="W18" s="9">
        <f>SUM(W13:W16)</f>
        <v>13307</v>
      </c>
      <c r="X18" s="9">
        <f t="shared" si="26"/>
        <v>14059</v>
      </c>
      <c r="Y18" s="9">
        <f t="shared" si="26"/>
        <v>14130</v>
      </c>
      <c r="Z18" s="9">
        <f t="shared" si="26"/>
        <v>15903</v>
      </c>
      <c r="AA18" s="9">
        <f>SUM(AA13:AA16)</f>
        <v>14926</v>
      </c>
      <c r="AB18" s="9">
        <f t="shared" si="26"/>
        <v>16058</v>
      </c>
      <c r="AC18" s="9">
        <f t="shared" si="26"/>
        <v>17190</v>
      </c>
      <c r="AD18" s="9">
        <f t="shared" si="26"/>
        <v>19184</v>
      </c>
      <c r="AE18" s="9">
        <f t="shared" si="26"/>
        <v>18557.95</v>
      </c>
      <c r="AF18" s="9">
        <f t="shared" si="26"/>
        <v>19960.900000000001</v>
      </c>
      <c r="AG18" s="9">
        <f t="shared" si="26"/>
        <v>21290.3</v>
      </c>
      <c r="AH18" s="9">
        <f t="shared" si="26"/>
        <v>23390.3</v>
      </c>
      <c r="AI18" s="9"/>
      <c r="AJ18" s="9"/>
      <c r="AK18" s="9"/>
      <c r="AL18" s="9"/>
      <c r="AM18" s="9">
        <f t="shared" ref="AM18:AP18" si="27">SUM(AM13:AM16)</f>
        <v>37728</v>
      </c>
      <c r="AN18" s="9">
        <f t="shared" si="27"/>
        <v>39831</v>
      </c>
      <c r="AO18" s="9">
        <f t="shared" si="27"/>
        <v>39506</v>
      </c>
      <c r="AP18" s="9">
        <f t="shared" si="27"/>
        <v>39068</v>
      </c>
      <c r="AQ18" s="9">
        <f>SUM(AQ13:AQ16)</f>
        <v>40479</v>
      </c>
      <c r="AR18" s="9">
        <f>SUM(AR13:AR16)</f>
        <v>42440</v>
      </c>
      <c r="AS18" s="9">
        <f>SUM(AS13:AS16)</f>
        <v>49955</v>
      </c>
      <c r="AT18" s="9">
        <f>SUM(AT13:AT16)</f>
        <v>52961</v>
      </c>
      <c r="AU18" s="9">
        <f>SUM(AU13:AU16)</f>
        <v>57399</v>
      </c>
      <c r="AV18" s="9">
        <f t="shared" ref="AV18:AZ18" si="28">AU18*1.03</f>
        <v>59120.97</v>
      </c>
      <c r="AW18" s="9">
        <f t="shared" si="28"/>
        <v>60894.599099999999</v>
      </c>
      <c r="AX18" s="9">
        <f t="shared" si="28"/>
        <v>62721.437073000001</v>
      </c>
      <c r="AY18" s="9">
        <f t="shared" si="28"/>
        <v>64603.080185190003</v>
      </c>
      <c r="AZ18" s="9">
        <f t="shared" si="28"/>
        <v>66541.1725907457</v>
      </c>
    </row>
    <row r="19" spans="2:141" s="3" customFormat="1" x14ac:dyDescent="0.25">
      <c r="B19" s="3" t="s">
        <v>16</v>
      </c>
      <c r="C19" s="5"/>
      <c r="D19" s="5"/>
      <c r="E19" s="5"/>
      <c r="F19" s="5"/>
      <c r="G19" s="5">
        <f>1011+246+623</f>
        <v>1880</v>
      </c>
      <c r="H19" s="5">
        <f>1064+244+631</f>
        <v>1939</v>
      </c>
      <c r="I19" s="5">
        <f>1064+230+621</f>
        <v>1915</v>
      </c>
      <c r="J19" s="5">
        <f>(1214+253+655)</f>
        <v>2122</v>
      </c>
      <c r="K19" s="5">
        <f>1214+245+644</f>
        <v>2103</v>
      </c>
      <c r="L19" s="5">
        <f>1259+229+671</f>
        <v>2159</v>
      </c>
      <c r="M19" s="5">
        <f>1305+244+669</f>
        <v>2218</v>
      </c>
      <c r="N19" s="5">
        <f>1435+254+707</f>
        <v>2396</v>
      </c>
      <c r="O19" s="5">
        <f>1735+249+1053</f>
        <v>3037</v>
      </c>
      <c r="P19" s="5">
        <f>1891+286+1181</f>
        <v>3358</v>
      </c>
      <c r="Q19" s="5">
        <f>1980+244+1215</f>
        <v>3439</v>
      </c>
      <c r="R19" s="5">
        <f>2157+261+1312</f>
        <v>3730</v>
      </c>
      <c r="S19" s="5">
        <f>2179+219+1212</f>
        <v>3610</v>
      </c>
      <c r="T19" s="5">
        <f>2274+213+1253</f>
        <v>3740</v>
      </c>
      <c r="U19" s="5">
        <f>2452+217+1200</f>
        <v>3869</v>
      </c>
      <c r="V19" s="5">
        <f>2522+241+1160</f>
        <v>3923</v>
      </c>
      <c r="W19" s="5">
        <f>2597+162+1147</f>
        <v>3906</v>
      </c>
      <c r="X19" s="5">
        <f>2746+172+1167</f>
        <v>4085</v>
      </c>
      <c r="Y19" s="5">
        <f>2882+197+1116</f>
        <v>4195</v>
      </c>
      <c r="Z19" s="5">
        <f>3343+252+1145</f>
        <v>4740</v>
      </c>
      <c r="AA19" s="5">
        <f>3607+178+1099</f>
        <v>4884</v>
      </c>
      <c r="AB19" s="5">
        <f>+AB18-AB20</f>
        <v>5459.7199999999993</v>
      </c>
      <c r="AC19" s="5">
        <f t="shared" ref="AC19:AH19" si="29">+AC18-AC20</f>
        <v>6016.5</v>
      </c>
      <c r="AD19" s="5">
        <f t="shared" si="29"/>
        <v>6906.24</v>
      </c>
      <c r="AE19" s="5">
        <f t="shared" si="29"/>
        <v>6866.4415000000008</v>
      </c>
      <c r="AF19" s="5">
        <f t="shared" si="29"/>
        <v>7585.1419999999998</v>
      </c>
      <c r="AG19" s="5">
        <f t="shared" si="29"/>
        <v>8303.2170000000006</v>
      </c>
      <c r="AH19" s="5">
        <f t="shared" si="29"/>
        <v>9356.1200000000008</v>
      </c>
      <c r="AI19" s="5"/>
      <c r="AJ19" s="5"/>
      <c r="AK19" s="5"/>
      <c r="AL19" s="5"/>
      <c r="AM19" s="5">
        <f>3015+1653+2801</f>
        <v>7469</v>
      </c>
      <c r="AN19" s="3">
        <f>3612+1581+2888</f>
        <v>8081</v>
      </c>
      <c r="AO19" s="5">
        <f>3782+1360+2853</f>
        <v>7995</v>
      </c>
      <c r="AP19" s="5">
        <f>4006+1116+2816</f>
        <v>7938</v>
      </c>
      <c r="AQ19" s="5">
        <f>(4353+972+2530)</f>
        <v>7855</v>
      </c>
      <c r="AR19" s="5">
        <f>(5213+972+2692)</f>
        <v>8877</v>
      </c>
      <c r="AS19" s="3">
        <f>SUM(O19:R19)</f>
        <v>13564</v>
      </c>
      <c r="AT19" s="3">
        <f>AT18*0.2</f>
        <v>10592.2</v>
      </c>
      <c r="AU19" s="3">
        <f t="shared" ref="AU19:AZ19" si="30">AU18*0.2</f>
        <v>11479.800000000001</v>
      </c>
      <c r="AV19" s="3">
        <f t="shared" si="30"/>
        <v>11824.194000000001</v>
      </c>
      <c r="AW19" s="3">
        <f t="shared" si="30"/>
        <v>12178.919820000001</v>
      </c>
      <c r="AX19" s="3">
        <f t="shared" si="30"/>
        <v>12544.287414600001</v>
      </c>
      <c r="AY19" s="3">
        <f t="shared" si="30"/>
        <v>12920.616037038002</v>
      </c>
      <c r="AZ19" s="3">
        <f t="shared" si="30"/>
        <v>13308.23451814914</v>
      </c>
    </row>
    <row r="20" spans="2:141" s="3" customFormat="1" x14ac:dyDescent="0.25">
      <c r="B20" s="3" t="s">
        <v>17</v>
      </c>
      <c r="C20" s="5"/>
      <c r="D20" s="5"/>
      <c r="E20" s="5"/>
      <c r="F20" s="5"/>
      <c r="G20" s="5">
        <f t="shared" ref="G20" si="31">G18-G19</f>
        <v>7487</v>
      </c>
      <c r="H20" s="5">
        <f>H18-H19</f>
        <v>7861</v>
      </c>
      <c r="I20" s="5">
        <f>I18-I19</f>
        <v>8170</v>
      </c>
      <c r="J20" s="5">
        <f>J18-J19</f>
        <v>9105</v>
      </c>
      <c r="K20" s="5">
        <f t="shared" ref="K20:O20" si="32">K18-K19</f>
        <v>7625</v>
      </c>
      <c r="L20" s="5">
        <f t="shared" si="32"/>
        <v>8201</v>
      </c>
      <c r="M20" s="5">
        <f t="shared" si="32"/>
        <v>8295</v>
      </c>
      <c r="N20" s="5">
        <f t="shared" si="32"/>
        <v>9444</v>
      </c>
      <c r="O20" s="5">
        <f t="shared" si="32"/>
        <v>8408</v>
      </c>
      <c r="P20" s="5">
        <f t="shared" ref="P20" si="33">P18*0.8</f>
        <v>9820</v>
      </c>
      <c r="Q20" s="5">
        <f>Q18-Q19</f>
        <v>8959</v>
      </c>
      <c r="R20" s="5">
        <f t="shared" ref="R20:S20" si="34">+R18-R19</f>
        <v>10107</v>
      </c>
      <c r="S20" s="5">
        <f t="shared" si="34"/>
        <v>8843</v>
      </c>
      <c r="T20" s="5">
        <f t="shared" ref="T20:AA20" si="35">+T18-T19</f>
        <v>9201</v>
      </c>
      <c r="U20" s="5">
        <f t="shared" si="35"/>
        <v>9411</v>
      </c>
      <c r="V20" s="5">
        <f t="shared" si="35"/>
        <v>10364</v>
      </c>
      <c r="W20" s="5">
        <f t="shared" si="35"/>
        <v>9401</v>
      </c>
      <c r="X20" s="5">
        <f t="shared" si="35"/>
        <v>9974</v>
      </c>
      <c r="Y20" s="5">
        <f t="shared" si="35"/>
        <v>9935</v>
      </c>
      <c r="Z20" s="5">
        <f t="shared" si="35"/>
        <v>11163</v>
      </c>
      <c r="AA20" s="5">
        <f t="shared" si="35"/>
        <v>10042</v>
      </c>
      <c r="AB20" s="5">
        <f>+AB18*0.66</f>
        <v>10598.28</v>
      </c>
      <c r="AC20" s="5">
        <f>+AC18*0.65</f>
        <v>11173.5</v>
      </c>
      <c r="AD20" s="5">
        <f>+AD18*0.64</f>
        <v>12277.76</v>
      </c>
      <c r="AE20" s="5">
        <f>+AE18*0.63</f>
        <v>11691.5085</v>
      </c>
      <c r="AF20" s="5">
        <f>+AF18*0.62</f>
        <v>12375.758000000002</v>
      </c>
      <c r="AG20" s="5">
        <f>+AG18*0.61</f>
        <v>12987.082999999999</v>
      </c>
      <c r="AH20" s="5">
        <f>+AH18*0.6</f>
        <v>14034.179999999998</v>
      </c>
      <c r="AI20" s="5"/>
      <c r="AJ20" s="5"/>
      <c r="AK20" s="5"/>
      <c r="AL20" s="5"/>
      <c r="AM20" s="5">
        <f t="shared" ref="AM20:AO20" si="36">AM18-AM19</f>
        <v>30259</v>
      </c>
      <c r="AN20" s="5">
        <f t="shared" si="36"/>
        <v>31750</v>
      </c>
      <c r="AO20" s="5">
        <f t="shared" si="36"/>
        <v>31511</v>
      </c>
      <c r="AP20" s="5">
        <f t="shared" ref="AP20" si="37">AP18-AP19</f>
        <v>31130</v>
      </c>
      <c r="AQ20" s="5">
        <f>AQ18-AQ19</f>
        <v>32624</v>
      </c>
      <c r="AR20" s="5">
        <f t="shared" ref="AR20" si="38">AR18-AR19</f>
        <v>33563</v>
      </c>
      <c r="AS20" s="3">
        <f>AS18-AS19</f>
        <v>36391</v>
      </c>
      <c r="AT20" s="3">
        <f t="shared" ref="AT20:AZ20" si="39">AT18-AT19</f>
        <v>42368.800000000003</v>
      </c>
      <c r="AU20" s="3">
        <f t="shared" si="39"/>
        <v>45919.199999999997</v>
      </c>
      <c r="AV20" s="3">
        <f t="shared" si="39"/>
        <v>47296.775999999998</v>
      </c>
      <c r="AW20" s="3">
        <f t="shared" si="39"/>
        <v>48715.679279999997</v>
      </c>
      <c r="AX20" s="3">
        <f t="shared" si="39"/>
        <v>50177.149658399998</v>
      </c>
      <c r="AY20" s="3">
        <f t="shared" si="39"/>
        <v>51682.464148152001</v>
      </c>
      <c r="AZ20" s="3">
        <f t="shared" si="39"/>
        <v>53232.93807259656</v>
      </c>
    </row>
    <row r="21" spans="2:141" s="3" customFormat="1" x14ac:dyDescent="0.25">
      <c r="B21" s="3" t="s">
        <v>19</v>
      </c>
      <c r="C21" s="5"/>
      <c r="D21" s="5"/>
      <c r="E21" s="5"/>
      <c r="F21" s="5"/>
      <c r="G21" s="5">
        <v>1854</v>
      </c>
      <c r="H21" s="5">
        <v>1836</v>
      </c>
      <c r="I21" s="5">
        <v>1915</v>
      </c>
      <c r="J21" s="5">
        <v>2077</v>
      </c>
      <c r="K21" s="5">
        <v>1854</v>
      </c>
      <c r="L21" s="5">
        <v>1954</v>
      </c>
      <c r="M21" s="5">
        <v>2004</v>
      </c>
      <c r="N21" s="5">
        <v>2238</v>
      </c>
      <c r="O21" s="5">
        <v>2177</v>
      </c>
      <c r="P21" s="5">
        <v>2216</v>
      </c>
      <c r="Q21" s="5">
        <v>2150</v>
      </c>
      <c r="R21" s="5">
        <v>2289</v>
      </c>
      <c r="S21" s="5">
        <v>2026</v>
      </c>
      <c r="T21" s="5">
        <v>2093</v>
      </c>
      <c r="U21" s="5">
        <v>2042</v>
      </c>
      <c r="V21" s="5">
        <v>2114</v>
      </c>
      <c r="W21" s="5">
        <v>2036</v>
      </c>
      <c r="X21" s="5">
        <v>2190</v>
      </c>
      <c r="Y21" s="5">
        <v>2119</v>
      </c>
      <c r="Z21" s="5">
        <v>2306</v>
      </c>
      <c r="AA21" s="5">
        <v>2063</v>
      </c>
      <c r="AB21" s="5">
        <f t="shared" ref="AB21" si="40">+X21*1.01</f>
        <v>2211.9</v>
      </c>
      <c r="AC21" s="5">
        <f t="shared" ref="AC21:AC23" si="41">+Y21*1.01</f>
        <v>2140.19</v>
      </c>
      <c r="AD21" s="5">
        <f t="shared" ref="AD21:AD23" si="42">+Z21*1.01</f>
        <v>2329.06</v>
      </c>
      <c r="AE21" s="5">
        <f t="shared" ref="AE21:AE23" si="43">+AA21*1.01</f>
        <v>2083.63</v>
      </c>
      <c r="AF21" s="5">
        <f t="shared" ref="AF21:AF23" si="44">+AB21*1.01</f>
        <v>2234.0190000000002</v>
      </c>
      <c r="AG21" s="5">
        <f t="shared" ref="AG21:AG23" si="45">+AC21*1.01</f>
        <v>2161.5918999999999</v>
      </c>
      <c r="AH21" s="5">
        <f t="shared" ref="AH21:AH23" si="46">+AD21*1.01</f>
        <v>2352.3505999999998</v>
      </c>
      <c r="AI21" s="5"/>
      <c r="AJ21" s="5"/>
      <c r="AK21" s="5"/>
      <c r="AL21" s="5"/>
      <c r="AM21" s="5">
        <v>8197</v>
      </c>
      <c r="AN21" s="3">
        <v>8431</v>
      </c>
      <c r="AO21" s="5">
        <v>8509</v>
      </c>
      <c r="AP21" s="5">
        <v>8094</v>
      </c>
      <c r="AQ21" s="5">
        <v>7682</v>
      </c>
      <c r="AR21" s="5">
        <v>8047</v>
      </c>
      <c r="AS21" s="3">
        <f t="shared" ref="AS21:AS23" si="47">SUM(O21:R21)</f>
        <v>8832</v>
      </c>
      <c r="AT21" s="3">
        <f>AS21*1.02</f>
        <v>9008.64</v>
      </c>
      <c r="AU21" s="3">
        <f t="shared" ref="AU21:AZ21" si="48">AT21*1.02</f>
        <v>9188.8127999999997</v>
      </c>
      <c r="AV21" s="3">
        <f t="shared" si="48"/>
        <v>9372.5890560000007</v>
      </c>
      <c r="AW21" s="3">
        <f t="shared" si="48"/>
        <v>9560.040837120001</v>
      </c>
      <c r="AX21" s="3">
        <f t="shared" si="48"/>
        <v>9751.241653862402</v>
      </c>
      <c r="AY21" s="3">
        <f t="shared" si="48"/>
        <v>9946.2664869396503</v>
      </c>
      <c r="AZ21" s="3">
        <f t="shared" si="48"/>
        <v>10145.191816678444</v>
      </c>
    </row>
    <row r="22" spans="2:141" s="3" customFormat="1" x14ac:dyDescent="0.25">
      <c r="B22" s="3" t="s">
        <v>20</v>
      </c>
      <c r="C22" s="5"/>
      <c r="D22" s="5"/>
      <c r="E22" s="5"/>
      <c r="F22" s="5"/>
      <c r="G22" s="5">
        <v>1589</v>
      </c>
      <c r="H22" s="5">
        <v>1601</v>
      </c>
      <c r="I22" s="5">
        <v>1621</v>
      </c>
      <c r="J22" s="5">
        <v>1715</v>
      </c>
      <c r="K22" s="5">
        <v>1684</v>
      </c>
      <c r="L22" s="5">
        <v>1754</v>
      </c>
      <c r="M22" s="5">
        <v>1816</v>
      </c>
      <c r="N22" s="5">
        <v>1965</v>
      </c>
      <c r="O22" s="5">
        <v>2093</v>
      </c>
      <c r="P22" s="5">
        <v>2158</v>
      </c>
      <c r="Q22" s="5">
        <v>2146</v>
      </c>
      <c r="R22" s="5">
        <v>2289</v>
      </c>
      <c r="S22" s="5">
        <v>2216</v>
      </c>
      <c r="T22" s="5">
        <v>2226</v>
      </c>
      <c r="U22" s="5">
        <v>2248</v>
      </c>
      <c r="V22" s="5">
        <v>2226</v>
      </c>
      <c r="W22" s="5">
        <v>2306</v>
      </c>
      <c r="X22" s="5">
        <v>2471</v>
      </c>
      <c r="Y22" s="5">
        <v>2429</v>
      </c>
      <c r="Z22" s="5">
        <v>2654</v>
      </c>
      <c r="AA22" s="5">
        <v>2491</v>
      </c>
      <c r="AB22" s="5">
        <f>+X22*1.01</f>
        <v>2495.71</v>
      </c>
      <c r="AC22" s="5">
        <f t="shared" si="41"/>
        <v>2453.29</v>
      </c>
      <c r="AD22" s="5">
        <f t="shared" si="42"/>
        <v>2680.54</v>
      </c>
      <c r="AE22" s="5">
        <f t="shared" si="43"/>
        <v>2515.91</v>
      </c>
      <c r="AF22" s="5">
        <f t="shared" si="44"/>
        <v>2520.6671000000001</v>
      </c>
      <c r="AG22" s="5">
        <f t="shared" si="45"/>
        <v>2477.8229000000001</v>
      </c>
      <c r="AH22" s="5">
        <f t="shared" si="46"/>
        <v>2707.3454000000002</v>
      </c>
      <c r="AI22" s="5"/>
      <c r="AJ22" s="5"/>
      <c r="AK22" s="5"/>
      <c r="AL22" s="5"/>
      <c r="AM22" s="5">
        <v>6159</v>
      </c>
      <c r="AN22" s="3">
        <v>6091</v>
      </c>
      <c r="AO22" s="5">
        <v>6026</v>
      </c>
      <c r="AP22" s="5">
        <v>6067</v>
      </c>
      <c r="AQ22" s="5">
        <v>6527</v>
      </c>
      <c r="AR22" s="5">
        <v>7219</v>
      </c>
      <c r="AS22" s="3">
        <f t="shared" si="47"/>
        <v>8686</v>
      </c>
      <c r="AT22" s="3">
        <f t="shared" ref="AT22:AZ22" si="49">AS22*1.01</f>
        <v>8772.86</v>
      </c>
      <c r="AU22" s="3">
        <f t="shared" si="49"/>
        <v>8860.588600000001</v>
      </c>
      <c r="AV22" s="3">
        <f t="shared" si="49"/>
        <v>8949.1944860000003</v>
      </c>
      <c r="AW22" s="3">
        <f t="shared" si="49"/>
        <v>9038.6864308599997</v>
      </c>
      <c r="AX22" s="3">
        <f t="shared" si="49"/>
        <v>9129.0732951686005</v>
      </c>
      <c r="AY22" s="3">
        <f t="shared" si="49"/>
        <v>9220.3640281202861</v>
      </c>
      <c r="AZ22" s="3">
        <f t="shared" si="49"/>
        <v>9312.5676684014888</v>
      </c>
    </row>
    <row r="23" spans="2:141" s="3" customFormat="1" x14ac:dyDescent="0.25">
      <c r="B23" s="3" t="s">
        <v>21</v>
      </c>
      <c r="C23" s="5"/>
      <c r="D23" s="5"/>
      <c r="E23" s="5"/>
      <c r="F23" s="5"/>
      <c r="G23" s="5">
        <v>295</v>
      </c>
      <c r="H23" s="5">
        <v>324</v>
      </c>
      <c r="I23" s="5">
        <v>330</v>
      </c>
      <c r="J23" s="5">
        <v>306</v>
      </c>
      <c r="K23" s="5">
        <v>298</v>
      </c>
      <c r="L23" s="5">
        <v>319</v>
      </c>
      <c r="M23" s="5">
        <v>335</v>
      </c>
      <c r="N23" s="5">
        <v>364</v>
      </c>
      <c r="O23" s="5">
        <v>411</v>
      </c>
      <c r="P23" s="5">
        <v>366</v>
      </c>
      <c r="Q23" s="5">
        <v>402</v>
      </c>
      <c r="R23" s="5">
        <v>400</v>
      </c>
      <c r="S23" s="5">
        <v>393</v>
      </c>
      <c r="T23" s="5">
        <v>375</v>
      </c>
      <c r="U23" s="5">
        <v>377</v>
      </c>
      <c r="V23" s="5">
        <v>402</v>
      </c>
      <c r="W23" s="5">
        <v>358</v>
      </c>
      <c r="X23" s="5">
        <v>387</v>
      </c>
      <c r="Y23" s="5">
        <v>390</v>
      </c>
      <c r="Z23" s="5">
        <v>467</v>
      </c>
      <c r="AA23" s="5">
        <v>376</v>
      </c>
      <c r="AB23" s="5">
        <f t="shared" ref="AB23" si="50">+X23*1.01</f>
        <v>390.87</v>
      </c>
      <c r="AC23" s="5">
        <f t="shared" si="41"/>
        <v>393.9</v>
      </c>
      <c r="AD23" s="5">
        <f t="shared" si="42"/>
        <v>471.67</v>
      </c>
      <c r="AE23" s="5">
        <f t="shared" si="43"/>
        <v>379.76</v>
      </c>
      <c r="AF23" s="5">
        <f t="shared" si="44"/>
        <v>394.77870000000001</v>
      </c>
      <c r="AG23" s="5">
        <f t="shared" si="45"/>
        <v>397.839</v>
      </c>
      <c r="AH23" s="5">
        <f t="shared" si="46"/>
        <v>476.38670000000002</v>
      </c>
      <c r="AI23" s="5"/>
      <c r="AJ23" s="5"/>
      <c r="AK23" s="5"/>
      <c r="AL23" s="5"/>
      <c r="AM23" s="5">
        <v>1176</v>
      </c>
      <c r="AN23" s="3">
        <v>1289</v>
      </c>
      <c r="AO23" s="5">
        <v>1265</v>
      </c>
      <c r="AP23" s="5">
        <v>1181</v>
      </c>
      <c r="AQ23" s="5">
        <v>1254</v>
      </c>
      <c r="AR23" s="5">
        <v>1317</v>
      </c>
      <c r="AS23" s="3">
        <f t="shared" si="47"/>
        <v>1579</v>
      </c>
      <c r="AT23" s="3">
        <f t="shared" ref="AT23:AZ23" si="51">AS23*1.01</f>
        <v>1594.79</v>
      </c>
      <c r="AU23" s="3">
        <f t="shared" si="51"/>
        <v>1610.7379000000001</v>
      </c>
      <c r="AV23" s="3">
        <f t="shared" si="51"/>
        <v>1626.8452790000001</v>
      </c>
      <c r="AW23" s="3">
        <f t="shared" si="51"/>
        <v>1643.1137317900002</v>
      </c>
      <c r="AX23" s="3">
        <f t="shared" si="51"/>
        <v>1659.5448691079002</v>
      </c>
      <c r="AY23" s="3">
        <f t="shared" si="51"/>
        <v>1676.1403177989794</v>
      </c>
      <c r="AZ23" s="3">
        <f t="shared" si="51"/>
        <v>1692.9017209769693</v>
      </c>
    </row>
    <row r="24" spans="2:141" s="3" customFormat="1" x14ac:dyDescent="0.25">
      <c r="B24" s="3" t="s">
        <v>22</v>
      </c>
      <c r="C24" s="5">
        <f t="shared" ref="C24:M24" si="52">SUM(C21:C23)</f>
        <v>0</v>
      </c>
      <c r="D24" s="5">
        <f t="shared" si="52"/>
        <v>0</v>
      </c>
      <c r="E24" s="5">
        <f t="shared" si="52"/>
        <v>0</v>
      </c>
      <c r="F24" s="5">
        <f t="shared" si="52"/>
        <v>0</v>
      </c>
      <c r="G24" s="5">
        <f t="shared" ref="G24" si="53">SUM(G21:G23)</f>
        <v>3738</v>
      </c>
      <c r="H24" s="5">
        <f t="shared" si="52"/>
        <v>3761</v>
      </c>
      <c r="I24" s="5">
        <f t="shared" si="52"/>
        <v>3866</v>
      </c>
      <c r="J24" s="5">
        <f t="shared" si="52"/>
        <v>4098</v>
      </c>
      <c r="K24" s="5">
        <f t="shared" si="52"/>
        <v>3836</v>
      </c>
      <c r="L24" s="5">
        <f t="shared" si="52"/>
        <v>4027</v>
      </c>
      <c r="M24" s="5">
        <f t="shared" si="52"/>
        <v>4155</v>
      </c>
      <c r="N24" s="5">
        <f>SUM(N21:N23)</f>
        <v>4567</v>
      </c>
      <c r="O24" s="5">
        <f t="shared" ref="O24:T24" si="54">SUM(O21:O23)</f>
        <v>4681</v>
      </c>
      <c r="P24" s="5">
        <f t="shared" si="54"/>
        <v>4740</v>
      </c>
      <c r="Q24" s="5">
        <f t="shared" si="54"/>
        <v>4698</v>
      </c>
      <c r="R24" s="5">
        <f t="shared" si="54"/>
        <v>4978</v>
      </c>
      <c r="S24" s="5">
        <f t="shared" si="54"/>
        <v>4635</v>
      </c>
      <c r="T24" s="5">
        <f t="shared" si="54"/>
        <v>4694</v>
      </c>
      <c r="U24" s="5">
        <f t="shared" ref="U24:AA24" si="55">SUM(U21:U23)</f>
        <v>4667</v>
      </c>
      <c r="V24" s="5">
        <f t="shared" si="55"/>
        <v>4742</v>
      </c>
      <c r="W24" s="5">
        <f t="shared" si="55"/>
        <v>4700</v>
      </c>
      <c r="X24" s="5">
        <f t="shared" si="55"/>
        <v>5048</v>
      </c>
      <c r="Y24" s="5">
        <f t="shared" si="55"/>
        <v>4938</v>
      </c>
      <c r="Z24" s="5">
        <f t="shared" si="55"/>
        <v>5427</v>
      </c>
      <c r="AA24" s="5">
        <f t="shared" si="55"/>
        <v>4930</v>
      </c>
      <c r="AB24" s="5">
        <f t="shared" ref="AB24:AH24" si="56">SUM(AB21:AB23)</f>
        <v>5098.4800000000005</v>
      </c>
      <c r="AC24" s="5">
        <f t="shared" si="56"/>
        <v>4987.3799999999992</v>
      </c>
      <c r="AD24" s="5">
        <f t="shared" si="56"/>
        <v>5481.27</v>
      </c>
      <c r="AE24" s="5">
        <f t="shared" si="56"/>
        <v>4979.3</v>
      </c>
      <c r="AF24" s="5">
        <f t="shared" si="56"/>
        <v>5149.4648000000007</v>
      </c>
      <c r="AG24" s="5">
        <f t="shared" si="56"/>
        <v>5037.2538000000004</v>
      </c>
      <c r="AH24" s="5">
        <f t="shared" si="56"/>
        <v>5536.0826999999999</v>
      </c>
      <c r="AI24" s="5"/>
      <c r="AJ24" s="5"/>
      <c r="AK24" s="5"/>
      <c r="AL24" s="5"/>
      <c r="AM24" s="5">
        <f t="shared" ref="AM24:AO24" si="57">SUM(AM21:AM23)</f>
        <v>15532</v>
      </c>
      <c r="AN24" s="5">
        <f t="shared" si="57"/>
        <v>15811</v>
      </c>
      <c r="AO24" s="5">
        <f t="shared" si="57"/>
        <v>15800</v>
      </c>
      <c r="AP24" s="5">
        <f t="shared" ref="AP24" si="58">SUM(AP21:AP23)</f>
        <v>15342</v>
      </c>
      <c r="AQ24" s="5">
        <f>SUM(AQ21:AQ23)</f>
        <v>15463</v>
      </c>
      <c r="AR24" s="5">
        <f>SUM(AR21:AR23)</f>
        <v>16583</v>
      </c>
      <c r="AS24" s="5">
        <f t="shared" ref="AS24" si="59">SUM(AS21:AS23)</f>
        <v>19097</v>
      </c>
      <c r="AT24" s="5">
        <f t="shared" ref="AT24" si="60">SUM(AT21:AT23)</f>
        <v>19376.29</v>
      </c>
      <c r="AU24" s="5">
        <f t="shared" ref="AU24" si="61">SUM(AU21:AU23)</f>
        <v>19660.139300000003</v>
      </c>
      <c r="AV24" s="5">
        <f t="shared" ref="AV24" si="62">SUM(AV21:AV23)</f>
        <v>19948.628821000002</v>
      </c>
      <c r="AW24" s="5">
        <f t="shared" ref="AW24" si="63">SUM(AW21:AW23)</f>
        <v>20241.84099977</v>
      </c>
      <c r="AX24" s="5">
        <f t="shared" ref="AX24" si="64">SUM(AX21:AX23)</f>
        <v>20539.859818138902</v>
      </c>
      <c r="AY24" s="5">
        <f t="shared" ref="AY24" si="65">SUM(AY21:AY23)</f>
        <v>20842.770832858914</v>
      </c>
      <c r="AZ24" s="5">
        <f t="shared" ref="AZ24" si="66">SUM(AZ21:AZ23)</f>
        <v>21150.661206056902</v>
      </c>
    </row>
    <row r="25" spans="2:141" s="3" customFormat="1" x14ac:dyDescent="0.25">
      <c r="B25" s="3" t="s">
        <v>23</v>
      </c>
      <c r="C25" s="5">
        <f t="shared" ref="C25:M25" si="67">C20-C24</f>
        <v>0</v>
      </c>
      <c r="D25" s="5">
        <f t="shared" si="67"/>
        <v>0</v>
      </c>
      <c r="E25" s="5">
        <f t="shared" si="67"/>
        <v>0</v>
      </c>
      <c r="F25" s="5">
        <f t="shared" si="67"/>
        <v>0</v>
      </c>
      <c r="G25" s="5">
        <f t="shared" ref="G25" si="68">G20-G24</f>
        <v>3749</v>
      </c>
      <c r="H25" s="5">
        <f t="shared" si="67"/>
        <v>4100</v>
      </c>
      <c r="I25" s="5">
        <f t="shared" si="67"/>
        <v>4304</v>
      </c>
      <c r="J25" s="5">
        <f t="shared" si="67"/>
        <v>5007</v>
      </c>
      <c r="K25" s="5">
        <f t="shared" si="67"/>
        <v>3789</v>
      </c>
      <c r="L25" s="5">
        <f t="shared" si="67"/>
        <v>4174</v>
      </c>
      <c r="M25" s="5">
        <f t="shared" si="67"/>
        <v>4140</v>
      </c>
      <c r="N25" s="5">
        <f>N20-N24</f>
        <v>4877</v>
      </c>
      <c r="O25" s="5">
        <f t="shared" ref="O25:T25" si="69">O20-O24</f>
        <v>3727</v>
      </c>
      <c r="P25" s="5">
        <f t="shared" si="69"/>
        <v>5080</v>
      </c>
      <c r="Q25" s="5">
        <f t="shared" si="69"/>
        <v>4261</v>
      </c>
      <c r="R25" s="5">
        <f t="shared" si="69"/>
        <v>5129</v>
      </c>
      <c r="S25" s="5">
        <f t="shared" si="69"/>
        <v>4208</v>
      </c>
      <c r="T25" s="5">
        <f t="shared" si="69"/>
        <v>4507</v>
      </c>
      <c r="U25" s="5">
        <f t="shared" ref="U25:AA25" si="70">U20-U24</f>
        <v>4744</v>
      </c>
      <c r="V25" s="5">
        <f t="shared" si="70"/>
        <v>5622</v>
      </c>
      <c r="W25" s="5">
        <f t="shared" si="70"/>
        <v>4701</v>
      </c>
      <c r="X25" s="5">
        <f t="shared" si="70"/>
        <v>4926</v>
      </c>
      <c r="Y25" s="5">
        <f t="shared" si="70"/>
        <v>4997</v>
      </c>
      <c r="Z25" s="5">
        <f t="shared" si="70"/>
        <v>5736</v>
      </c>
      <c r="AA25" s="5">
        <f t="shared" si="70"/>
        <v>5112</v>
      </c>
      <c r="AB25" s="5">
        <f t="shared" ref="AB25:AH25" si="71">AB20-AB24</f>
        <v>5499.8</v>
      </c>
      <c r="AC25" s="5">
        <f t="shared" si="71"/>
        <v>6186.1200000000008</v>
      </c>
      <c r="AD25" s="5">
        <f t="shared" si="71"/>
        <v>6796.49</v>
      </c>
      <c r="AE25" s="5">
        <f t="shared" si="71"/>
        <v>6712.2084999999997</v>
      </c>
      <c r="AF25" s="5">
        <f t="shared" si="71"/>
        <v>7226.293200000001</v>
      </c>
      <c r="AG25" s="5">
        <f t="shared" si="71"/>
        <v>7949.8291999999983</v>
      </c>
      <c r="AH25" s="5">
        <f t="shared" si="71"/>
        <v>8498.0972999999976</v>
      </c>
      <c r="AI25" s="5"/>
      <c r="AJ25" s="5"/>
      <c r="AK25" s="5"/>
      <c r="AL25" s="5"/>
      <c r="AM25" s="5">
        <f t="shared" ref="AM25:AO25" si="72">AM20-AM24</f>
        <v>14727</v>
      </c>
      <c r="AN25" s="5">
        <f t="shared" si="72"/>
        <v>15939</v>
      </c>
      <c r="AO25" s="5">
        <f t="shared" si="72"/>
        <v>15711</v>
      </c>
      <c r="AP25" s="5">
        <f t="shared" ref="AP25" si="73">AP20-AP24</f>
        <v>15788</v>
      </c>
      <c r="AQ25" s="5">
        <f>AQ20-AQ24</f>
        <v>17161</v>
      </c>
      <c r="AR25" s="5">
        <f>AR20-AR24</f>
        <v>16980</v>
      </c>
      <c r="AS25" s="5">
        <f t="shared" ref="AS25" si="74">AS20-AS24</f>
        <v>17294</v>
      </c>
      <c r="AT25" s="5">
        <f t="shared" ref="AT25" si="75">AT20-AT24</f>
        <v>22992.510000000002</v>
      </c>
      <c r="AU25" s="5">
        <f t="shared" ref="AU25" si="76">AU20-AU24</f>
        <v>26259.060699999995</v>
      </c>
      <c r="AV25" s="5">
        <f t="shared" ref="AV25" si="77">AV20-AV24</f>
        <v>27348.147178999996</v>
      </c>
      <c r="AW25" s="5">
        <f t="shared" ref="AW25" si="78">AW20-AW24</f>
        <v>28473.838280229997</v>
      </c>
      <c r="AX25" s="5">
        <f t="shared" ref="AX25" si="79">AX20-AX24</f>
        <v>29637.289840261095</v>
      </c>
      <c r="AY25" s="5">
        <f t="shared" ref="AY25" si="80">AY20-AY24</f>
        <v>30839.693315293087</v>
      </c>
      <c r="AZ25" s="5">
        <f t="shared" ref="AZ25" si="81">AZ20-AZ24</f>
        <v>32082.276866539658</v>
      </c>
    </row>
    <row r="26" spans="2:141" s="3" customFormat="1" x14ac:dyDescent="0.25">
      <c r="B26" s="3" t="s">
        <v>24</v>
      </c>
      <c r="C26" s="5"/>
      <c r="D26" s="5"/>
      <c r="E26" s="5"/>
      <c r="F26" s="5"/>
      <c r="G26" s="5">
        <v>-614</v>
      </c>
      <c r="H26" s="5">
        <v>-600</v>
      </c>
      <c r="I26" s="5">
        <v>-585</v>
      </c>
      <c r="J26" s="5">
        <v>-697</v>
      </c>
      <c r="K26" s="5">
        <v>-705</v>
      </c>
      <c r="L26" s="5">
        <v>-679</v>
      </c>
      <c r="M26" s="5">
        <v>-667</v>
      </c>
      <c r="N26" s="5">
        <v>-704</v>
      </c>
      <c r="O26" s="5">
        <f>-787-180</f>
        <v>-967</v>
      </c>
      <c r="P26" s="5">
        <f>-856-71</f>
        <v>-927</v>
      </c>
      <c r="Q26" s="5">
        <v>-908</v>
      </c>
      <c r="R26" s="5">
        <f>-955-76</f>
        <v>-1031</v>
      </c>
      <c r="S26" s="5">
        <f>-872-49</f>
        <v>-921</v>
      </c>
      <c r="T26" s="5">
        <f>-888-14</f>
        <v>-902</v>
      </c>
      <c r="U26" s="5">
        <f>-876-9</f>
        <v>-885</v>
      </c>
      <c r="V26" s="5">
        <f>-876-26</f>
        <v>-902</v>
      </c>
      <c r="W26" s="5">
        <f>-842+20</f>
        <v>-822</v>
      </c>
      <c r="X26" s="5">
        <f>-866+36</f>
        <v>-830</v>
      </c>
      <c r="Y26" s="5">
        <f>-892-18</f>
        <v>-910</v>
      </c>
      <c r="Z26" s="5">
        <v>-978</v>
      </c>
      <c r="AA26" s="5">
        <v>-923</v>
      </c>
      <c r="AB26" s="5">
        <f>+AA26</f>
        <v>-923</v>
      </c>
      <c r="AC26" s="5">
        <f t="shared" ref="AC26:AH26" si="82">+AB26</f>
        <v>-923</v>
      </c>
      <c r="AD26" s="5">
        <f t="shared" si="82"/>
        <v>-923</v>
      </c>
      <c r="AE26" s="5">
        <f t="shared" si="82"/>
        <v>-923</v>
      </c>
      <c r="AF26" s="5">
        <f t="shared" si="82"/>
        <v>-923</v>
      </c>
      <c r="AG26" s="5">
        <f t="shared" si="82"/>
        <v>-923</v>
      </c>
      <c r="AH26" s="5">
        <f t="shared" si="82"/>
        <v>-923</v>
      </c>
      <c r="AI26" s="5"/>
      <c r="AJ26" s="5"/>
      <c r="AK26" s="5"/>
      <c r="AL26" s="5"/>
      <c r="AM26" s="5">
        <v>-1798</v>
      </c>
      <c r="AN26" s="5">
        <v>-2025</v>
      </c>
      <c r="AO26" s="5">
        <v>-2082</v>
      </c>
      <c r="AP26" s="5">
        <v>-1995</v>
      </c>
      <c r="AQ26" s="5">
        <v>-2496</v>
      </c>
      <c r="AR26" s="5">
        <v>-2755</v>
      </c>
      <c r="AS26" s="3">
        <f t="shared" ref="AS26:AS28" si="83">SUM(O26:R26)</f>
        <v>-3833</v>
      </c>
      <c r="AT26" s="3">
        <f t="shared" ref="AT26:AZ26" si="84">AS40*$BC$41</f>
        <v>0</v>
      </c>
      <c r="AU26" s="3">
        <f t="shared" si="84"/>
        <v>195.43633500000004</v>
      </c>
      <c r="AV26" s="3">
        <f t="shared" si="84"/>
        <v>420.29955979749997</v>
      </c>
      <c r="AW26" s="3">
        <f t="shared" si="84"/>
        <v>656.33135707727865</v>
      </c>
      <c r="AX26" s="3">
        <f t="shared" si="84"/>
        <v>903.9377989943905</v>
      </c>
      <c r="AY26" s="3">
        <f t="shared" si="84"/>
        <v>1163.538233928062</v>
      </c>
      <c r="AZ26" s="3">
        <f t="shared" si="84"/>
        <v>1435.5657020964418</v>
      </c>
    </row>
    <row r="27" spans="2:141" x14ac:dyDescent="0.25">
      <c r="B27" s="1" t="s">
        <v>25</v>
      </c>
      <c r="G27" s="5">
        <f t="shared" ref="G27" si="85">+G25+G26</f>
        <v>3135</v>
      </c>
      <c r="H27" s="5">
        <f t="shared" ref="H27:J27" si="86">+H25+H26</f>
        <v>3500</v>
      </c>
      <c r="I27" s="5">
        <f t="shared" si="86"/>
        <v>3719</v>
      </c>
      <c r="J27" s="5">
        <f t="shared" si="86"/>
        <v>4310</v>
      </c>
      <c r="K27" s="5">
        <f t="shared" ref="K27" si="87">+K25+K26</f>
        <v>3084</v>
      </c>
      <c r="L27" s="5">
        <f t="shared" ref="L27" si="88">+L25+L26</f>
        <v>3495</v>
      </c>
      <c r="M27" s="5">
        <f t="shared" ref="M27" si="89">+M25+M26</f>
        <v>3473</v>
      </c>
      <c r="N27" s="5">
        <f>+N25+N26</f>
        <v>4173</v>
      </c>
      <c r="O27" s="5">
        <f t="shared" ref="O27:T27" si="90">+O25+O26</f>
        <v>2760</v>
      </c>
      <c r="P27" s="5">
        <f t="shared" si="90"/>
        <v>4153</v>
      </c>
      <c r="Q27" s="5">
        <f t="shared" si="90"/>
        <v>3353</v>
      </c>
      <c r="R27" s="5">
        <f t="shared" si="90"/>
        <v>4098</v>
      </c>
      <c r="S27" s="5">
        <f t="shared" si="90"/>
        <v>3287</v>
      </c>
      <c r="T27" s="5">
        <f t="shared" si="90"/>
        <v>3605</v>
      </c>
      <c r="U27" s="5">
        <f t="shared" ref="U27:AH27" si="91">+U25+U26</f>
        <v>3859</v>
      </c>
      <c r="V27" s="5">
        <f t="shared" si="91"/>
        <v>4720</v>
      </c>
      <c r="W27" s="5">
        <f t="shared" si="91"/>
        <v>3879</v>
      </c>
      <c r="X27" s="5">
        <f t="shared" si="91"/>
        <v>4096</v>
      </c>
      <c r="Y27" s="5">
        <f t="shared" si="91"/>
        <v>4087</v>
      </c>
      <c r="Z27" s="5">
        <f t="shared" si="91"/>
        <v>4758</v>
      </c>
      <c r="AA27" s="5">
        <f t="shared" si="91"/>
        <v>4189</v>
      </c>
      <c r="AB27" s="5">
        <f t="shared" si="91"/>
        <v>4576.8</v>
      </c>
      <c r="AC27" s="5">
        <f t="shared" si="91"/>
        <v>5263.1200000000008</v>
      </c>
      <c r="AD27" s="5">
        <f t="shared" si="91"/>
        <v>5873.49</v>
      </c>
      <c r="AE27" s="5">
        <f t="shared" si="91"/>
        <v>5789.2084999999997</v>
      </c>
      <c r="AF27" s="5">
        <f t="shared" si="91"/>
        <v>6303.293200000001</v>
      </c>
      <c r="AG27" s="5">
        <f t="shared" si="91"/>
        <v>7026.8291999999983</v>
      </c>
      <c r="AH27" s="5">
        <f t="shared" si="91"/>
        <v>7575.0972999999976</v>
      </c>
      <c r="AI27" s="5"/>
      <c r="AJ27" s="5"/>
      <c r="AK27" s="5"/>
      <c r="AL27" s="5"/>
      <c r="AM27" s="5">
        <f t="shared" ref="AM27:AO27" si="92">+AM25+AM26</f>
        <v>12929</v>
      </c>
      <c r="AN27" s="5">
        <f t="shared" si="92"/>
        <v>13914</v>
      </c>
      <c r="AO27" s="5">
        <f t="shared" si="92"/>
        <v>13629</v>
      </c>
      <c r="AP27" s="5">
        <f t="shared" ref="AP27:AQ27" si="93">+AP25+AP26</f>
        <v>13793</v>
      </c>
      <c r="AQ27" s="5">
        <f t="shared" si="93"/>
        <v>14665</v>
      </c>
      <c r="AR27" s="5">
        <f>+AR25+AR26</f>
        <v>14225</v>
      </c>
      <c r="AS27" s="5">
        <f t="shared" ref="AS27" si="94">+AS25+AS26</f>
        <v>13461</v>
      </c>
      <c r="AT27" s="5">
        <f t="shared" ref="AT27" si="95">+AT25+AT26</f>
        <v>22992.510000000002</v>
      </c>
      <c r="AU27" s="5">
        <f t="shared" ref="AU27" si="96">+AU25+AU26</f>
        <v>26454.497034999993</v>
      </c>
      <c r="AV27" s="5">
        <f t="shared" ref="AV27" si="97">+AV25+AV26</f>
        <v>27768.446738797495</v>
      </c>
      <c r="AW27" s="5">
        <f t="shared" ref="AW27" si="98">+AW25+AW26</f>
        <v>29130.169637307274</v>
      </c>
      <c r="AX27" s="5">
        <f t="shared" ref="AX27" si="99">+AX25+AX26</f>
        <v>30541.227639255485</v>
      </c>
      <c r="AY27" s="5">
        <f t="shared" ref="AY27" si="100">+AY25+AY26</f>
        <v>32003.231549221149</v>
      </c>
      <c r="AZ27" s="5">
        <f t="shared" ref="AZ27" si="101">+AZ25+AZ26</f>
        <v>33517.842568636101</v>
      </c>
    </row>
    <row r="28" spans="2:141" x14ac:dyDescent="0.25">
      <c r="B28" s="1" t="s">
        <v>26</v>
      </c>
      <c r="G28" s="4">
        <v>344</v>
      </c>
      <c r="H28" s="4">
        <v>530</v>
      </c>
      <c r="I28" s="4">
        <v>0</v>
      </c>
      <c r="J28" s="5">
        <v>124</v>
      </c>
      <c r="K28" s="5">
        <v>224</v>
      </c>
      <c r="L28" s="5">
        <v>0</v>
      </c>
      <c r="M28" s="5">
        <v>521</v>
      </c>
      <c r="N28" s="5">
        <v>435</v>
      </c>
      <c r="O28" s="5">
        <v>108</v>
      </c>
      <c r="P28" s="5">
        <v>403</v>
      </c>
      <c r="Q28" s="5">
        <v>322</v>
      </c>
      <c r="R28" s="5">
        <v>-210</v>
      </c>
      <c r="S28" s="5">
        <v>778</v>
      </c>
      <c r="T28" s="5">
        <v>872</v>
      </c>
      <c r="U28" s="5">
        <v>925</v>
      </c>
      <c r="V28" s="5">
        <v>1158</v>
      </c>
      <c r="W28" s="5">
        <v>922</v>
      </c>
      <c r="X28" s="5">
        <v>239</v>
      </c>
      <c r="Y28" s="5">
        <v>512</v>
      </c>
      <c r="Z28" s="5">
        <v>724</v>
      </c>
      <c r="AA28" s="5">
        <v>500</v>
      </c>
      <c r="AB28" s="5">
        <f>+AB27*0.15</f>
        <v>686.52</v>
      </c>
      <c r="AC28" s="5">
        <f t="shared" ref="AC28:AH28" si="102">+AC27*0.15</f>
        <v>789.46800000000007</v>
      </c>
      <c r="AD28" s="5">
        <f t="shared" si="102"/>
        <v>881.0234999999999</v>
      </c>
      <c r="AE28" s="5">
        <f t="shared" si="102"/>
        <v>868.38127499999996</v>
      </c>
      <c r="AF28" s="5">
        <f t="shared" si="102"/>
        <v>945.49398000000008</v>
      </c>
      <c r="AG28" s="5">
        <f t="shared" si="102"/>
        <v>1054.0243799999996</v>
      </c>
      <c r="AH28" s="5">
        <f t="shared" si="102"/>
        <v>1136.2645949999996</v>
      </c>
      <c r="AI28" s="5"/>
      <c r="AJ28" s="5"/>
      <c r="AK28" s="5"/>
      <c r="AM28" s="5">
        <v>2182</v>
      </c>
      <c r="AN28" s="3">
        <v>9066</v>
      </c>
      <c r="AO28" s="5">
        <v>1185</v>
      </c>
      <c r="AP28" s="5">
        <v>1928</v>
      </c>
      <c r="AQ28" s="5">
        <v>0</v>
      </c>
      <c r="AR28" s="5">
        <v>932</v>
      </c>
      <c r="AS28" s="3">
        <f t="shared" si="83"/>
        <v>623</v>
      </c>
      <c r="AT28" s="3">
        <f>AT27*0.15</f>
        <v>3448.8765000000003</v>
      </c>
      <c r="AU28" s="3">
        <f>AU27*0.15</f>
        <v>3968.1745552499988</v>
      </c>
      <c r="AV28" s="3">
        <f>AV27*0.15</f>
        <v>4165.2670108196244</v>
      </c>
      <c r="AW28" s="3">
        <f t="shared" ref="AW28:AZ28" si="103">AW27*0.15</f>
        <v>4369.5254455960912</v>
      </c>
      <c r="AX28" s="3">
        <f>AX27*0.15</f>
        <v>4581.1841458883227</v>
      </c>
      <c r="AY28" s="3">
        <f t="shared" si="103"/>
        <v>4800.4847323831718</v>
      </c>
      <c r="AZ28" s="3">
        <f t="shared" si="103"/>
        <v>5027.6763852954145</v>
      </c>
    </row>
    <row r="29" spans="2:141" x14ac:dyDescent="0.25">
      <c r="B29" s="1" t="s">
        <v>27</v>
      </c>
      <c r="G29" s="5">
        <f t="shared" ref="G29" si="104">G27-G28</f>
        <v>2791</v>
      </c>
      <c r="H29" s="5">
        <f>H27-H28</f>
        <v>2970</v>
      </c>
      <c r="I29" s="5">
        <f>I27-I28</f>
        <v>3719</v>
      </c>
      <c r="J29" s="5">
        <f>J27-J28</f>
        <v>4186</v>
      </c>
      <c r="K29" s="5">
        <f t="shared" ref="K29:M29" si="105">K27-K28</f>
        <v>2860</v>
      </c>
      <c r="L29" s="5">
        <f t="shared" si="105"/>
        <v>3495</v>
      </c>
      <c r="M29" s="5">
        <f t="shared" si="105"/>
        <v>2952</v>
      </c>
      <c r="N29" s="5">
        <f>N27-N28</f>
        <v>3738</v>
      </c>
      <c r="O29" s="5">
        <f t="shared" ref="O29:T29" si="106">O27-O28</f>
        <v>2652</v>
      </c>
      <c r="P29" s="5">
        <f t="shared" si="106"/>
        <v>3750</v>
      </c>
      <c r="Q29" s="5">
        <f t="shared" si="106"/>
        <v>3031</v>
      </c>
      <c r="R29" s="5">
        <f t="shared" si="106"/>
        <v>4308</v>
      </c>
      <c r="S29" s="5">
        <f t="shared" si="106"/>
        <v>2509</v>
      </c>
      <c r="T29" s="5">
        <f t="shared" si="106"/>
        <v>2733</v>
      </c>
      <c r="U29" s="5">
        <f t="shared" ref="U29:AH29" si="107">U27-U28</f>
        <v>2934</v>
      </c>
      <c r="V29" s="5">
        <f t="shared" si="107"/>
        <v>3562</v>
      </c>
      <c r="W29" s="5">
        <f t="shared" si="107"/>
        <v>2957</v>
      </c>
      <c r="X29" s="5">
        <f t="shared" si="107"/>
        <v>3857</v>
      </c>
      <c r="Y29" s="5">
        <f t="shared" si="107"/>
        <v>3575</v>
      </c>
      <c r="Z29" s="5">
        <f t="shared" si="107"/>
        <v>4034</v>
      </c>
      <c r="AA29" s="5">
        <f t="shared" si="107"/>
        <v>3689</v>
      </c>
      <c r="AB29" s="5">
        <f t="shared" si="107"/>
        <v>3890.28</v>
      </c>
      <c r="AC29" s="5">
        <f t="shared" si="107"/>
        <v>4473.652000000001</v>
      </c>
      <c r="AD29" s="5">
        <f t="shared" si="107"/>
        <v>4992.4664999999995</v>
      </c>
      <c r="AE29" s="5">
        <f t="shared" si="107"/>
        <v>4920.827225</v>
      </c>
      <c r="AF29" s="5">
        <f t="shared" si="107"/>
        <v>5357.7992200000008</v>
      </c>
      <c r="AG29" s="5">
        <f t="shared" si="107"/>
        <v>5972.8048199999985</v>
      </c>
      <c r="AH29" s="5">
        <f t="shared" si="107"/>
        <v>6438.832704999998</v>
      </c>
      <c r="AI29" s="5"/>
      <c r="AJ29" s="5"/>
      <c r="AK29" s="5"/>
      <c r="AM29" s="5">
        <f t="shared" ref="AM29:AO29" si="108">AM27-AM28</f>
        <v>10747</v>
      </c>
      <c r="AN29" s="5">
        <f t="shared" si="108"/>
        <v>4848</v>
      </c>
      <c r="AO29" s="5">
        <f t="shared" si="108"/>
        <v>12444</v>
      </c>
      <c r="AP29" s="5">
        <f t="shared" ref="AP29" si="109">AP27-AP28</f>
        <v>11865</v>
      </c>
      <c r="AQ29" s="5">
        <f>AQ27-AQ28</f>
        <v>14665</v>
      </c>
      <c r="AR29" s="5">
        <f>AR27-AR28</f>
        <v>13293</v>
      </c>
      <c r="AS29" s="5">
        <f t="shared" ref="AS29" si="110">AS27-AS28</f>
        <v>12838</v>
      </c>
      <c r="AT29" s="5">
        <f t="shared" ref="AT29" si="111">AT27-AT28</f>
        <v>19543.633500000004</v>
      </c>
      <c r="AU29" s="5">
        <f t="shared" ref="AU29" si="112">AU27-AU28</f>
        <v>22486.322479749993</v>
      </c>
      <c r="AV29" s="5">
        <f t="shared" ref="AV29" si="113">AV27-AV28</f>
        <v>23603.179727977869</v>
      </c>
      <c r="AW29" s="5">
        <f t="shared" ref="AW29" si="114">AW27-AW28</f>
        <v>24760.644191711181</v>
      </c>
      <c r="AX29" s="5">
        <f t="shared" ref="AX29" si="115">AX27-AX28</f>
        <v>25960.043493367164</v>
      </c>
      <c r="AY29" s="5">
        <f t="shared" ref="AY29" si="116">AY27-AY28</f>
        <v>27202.746816837978</v>
      </c>
      <c r="AZ29" s="5">
        <f t="shared" ref="AZ29" si="117">AZ27-AZ28</f>
        <v>28490.166183340687</v>
      </c>
      <c r="BA29" s="3">
        <f t="shared" ref="BA29:CF29" si="118">AZ29*(1+$BC$40)</f>
        <v>28775.067845174093</v>
      </c>
      <c r="BB29" s="3">
        <f t="shared" si="118"/>
        <v>29062.818523625836</v>
      </c>
      <c r="BC29" s="3">
        <f t="shared" si="118"/>
        <v>29353.446708862095</v>
      </c>
      <c r="BD29" s="3">
        <f t="shared" si="118"/>
        <v>29646.981175950717</v>
      </c>
      <c r="BE29" s="3">
        <f t="shared" si="118"/>
        <v>29943.450987710225</v>
      </c>
      <c r="BF29" s="3">
        <f t="shared" si="118"/>
        <v>30242.885497587326</v>
      </c>
      <c r="BG29" s="3">
        <f t="shared" si="118"/>
        <v>30545.3143525632</v>
      </c>
      <c r="BH29" s="3">
        <f t="shared" si="118"/>
        <v>30850.767496088833</v>
      </c>
      <c r="BI29" s="3">
        <f t="shared" si="118"/>
        <v>31159.275171049721</v>
      </c>
      <c r="BJ29" s="3">
        <f t="shared" si="118"/>
        <v>31470.867922760219</v>
      </c>
      <c r="BK29" s="3">
        <f t="shared" si="118"/>
        <v>31785.576601987821</v>
      </c>
      <c r="BL29" s="3">
        <f t="shared" si="118"/>
        <v>32103.4323680077</v>
      </c>
      <c r="BM29" s="3">
        <f t="shared" si="118"/>
        <v>32424.466691687776</v>
      </c>
      <c r="BN29" s="3">
        <f t="shared" si="118"/>
        <v>32748.711358604654</v>
      </c>
      <c r="BO29" s="3">
        <f t="shared" si="118"/>
        <v>33076.198472190699</v>
      </c>
      <c r="BP29" s="3">
        <f t="shared" si="118"/>
        <v>33406.96045691261</v>
      </c>
      <c r="BQ29" s="3">
        <f t="shared" si="118"/>
        <v>33741.030061481739</v>
      </c>
      <c r="BR29" s="3">
        <f t="shared" si="118"/>
        <v>34078.440362096553</v>
      </c>
      <c r="BS29" s="3">
        <f t="shared" si="118"/>
        <v>34419.224765717518</v>
      </c>
      <c r="BT29" s="3">
        <f t="shared" si="118"/>
        <v>34763.417013374696</v>
      </c>
      <c r="BU29" s="3">
        <f t="shared" si="118"/>
        <v>35111.05118350844</v>
      </c>
      <c r="BV29" s="3">
        <f t="shared" si="118"/>
        <v>35462.161695343522</v>
      </c>
      <c r="BW29" s="3">
        <f t="shared" si="118"/>
        <v>35816.783312296961</v>
      </c>
      <c r="BX29" s="3">
        <f t="shared" si="118"/>
        <v>36174.951145419931</v>
      </c>
      <c r="BY29" s="3">
        <f t="shared" si="118"/>
        <v>36536.700656874127</v>
      </c>
      <c r="BZ29" s="3">
        <f t="shared" si="118"/>
        <v>36902.067663442867</v>
      </c>
      <c r="CA29" s="3">
        <f t="shared" si="118"/>
        <v>37271.088340077295</v>
      </c>
      <c r="CB29" s="3">
        <f t="shared" si="118"/>
        <v>37643.799223478069</v>
      </c>
      <c r="CC29" s="3">
        <f t="shared" si="118"/>
        <v>38020.237215712848</v>
      </c>
      <c r="CD29" s="3">
        <f t="shared" si="118"/>
        <v>38400.43958786998</v>
      </c>
      <c r="CE29" s="3">
        <f t="shared" si="118"/>
        <v>38784.443983748679</v>
      </c>
      <c r="CF29" s="3">
        <f t="shared" si="118"/>
        <v>39172.288423586164</v>
      </c>
      <c r="CG29" s="3">
        <f t="shared" ref="CG29:DL29" si="119">CF29*(1+$BC$40)</f>
        <v>39564.011307822024</v>
      </c>
      <c r="CH29" s="3">
        <f t="shared" si="119"/>
        <v>39959.651420900242</v>
      </c>
      <c r="CI29" s="3">
        <f t="shared" si="119"/>
        <v>40359.247935109248</v>
      </c>
      <c r="CJ29" s="3">
        <f t="shared" si="119"/>
        <v>40762.840414460341</v>
      </c>
      <c r="CK29" s="3">
        <f t="shared" si="119"/>
        <v>41170.468818604946</v>
      </c>
      <c r="CL29" s="3">
        <f t="shared" si="119"/>
        <v>41582.173506790998</v>
      </c>
      <c r="CM29" s="3">
        <f t="shared" si="119"/>
        <v>41997.995241858909</v>
      </c>
      <c r="CN29" s="3">
        <f t="shared" si="119"/>
        <v>42417.975194277496</v>
      </c>
      <c r="CO29" s="3">
        <f t="shared" si="119"/>
        <v>42842.154946220275</v>
      </c>
      <c r="CP29" s="3">
        <f t="shared" si="119"/>
        <v>43270.576495682479</v>
      </c>
      <c r="CQ29" s="3">
        <f t="shared" si="119"/>
        <v>43703.282260639302</v>
      </c>
      <c r="CR29" s="3">
        <f t="shared" si="119"/>
        <v>44140.315083245696</v>
      </c>
      <c r="CS29" s="3">
        <f t="shared" si="119"/>
        <v>44581.718234078151</v>
      </c>
      <c r="CT29" s="3">
        <f t="shared" si="119"/>
        <v>45027.535416418934</v>
      </c>
      <c r="CU29" s="3">
        <f t="shared" si="119"/>
        <v>45477.810770583121</v>
      </c>
      <c r="CV29" s="3">
        <f t="shared" si="119"/>
        <v>45932.588878288952</v>
      </c>
      <c r="CW29" s="3">
        <f t="shared" si="119"/>
        <v>46391.914767071845</v>
      </c>
      <c r="CX29" s="3">
        <f t="shared" si="119"/>
        <v>46855.833914742565</v>
      </c>
      <c r="CY29" s="3">
        <f t="shared" si="119"/>
        <v>47324.392253889993</v>
      </c>
      <c r="CZ29" s="3">
        <f t="shared" si="119"/>
        <v>47797.636176428896</v>
      </c>
      <c r="DA29" s="3">
        <f t="shared" si="119"/>
        <v>48275.612538193185</v>
      </c>
      <c r="DB29" s="3">
        <f t="shared" si="119"/>
        <v>48758.368663575115</v>
      </c>
      <c r="DC29" s="3">
        <f t="shared" si="119"/>
        <v>49245.952350210864</v>
      </c>
      <c r="DD29" s="3">
        <f t="shared" si="119"/>
        <v>49738.411873712976</v>
      </c>
      <c r="DE29" s="3">
        <f t="shared" si="119"/>
        <v>50235.795992450105</v>
      </c>
      <c r="DF29" s="3">
        <f t="shared" si="119"/>
        <v>50738.153952374603</v>
      </c>
      <c r="DG29" s="3">
        <f t="shared" si="119"/>
        <v>51245.53549189835</v>
      </c>
      <c r="DH29" s="3">
        <f t="shared" si="119"/>
        <v>51757.990846817331</v>
      </c>
      <c r="DI29" s="3">
        <f t="shared" si="119"/>
        <v>52275.570755285502</v>
      </c>
      <c r="DJ29" s="3">
        <f t="shared" si="119"/>
        <v>52798.326462838355</v>
      </c>
      <c r="DK29" s="3">
        <f t="shared" si="119"/>
        <v>53326.309727466738</v>
      </c>
      <c r="DL29" s="3">
        <f t="shared" si="119"/>
        <v>53859.572824741408</v>
      </c>
      <c r="DM29" s="3">
        <f t="shared" ref="DM29:EK29" si="120">DL29*(1+$BC$40)</f>
        <v>54398.16855298882</v>
      </c>
      <c r="DN29" s="3">
        <f t="shared" si="120"/>
        <v>54942.150238518712</v>
      </c>
      <c r="DO29" s="3">
        <f t="shared" si="120"/>
        <v>55491.571740903899</v>
      </c>
      <c r="DP29" s="3">
        <f t="shared" si="120"/>
        <v>56046.487458312935</v>
      </c>
      <c r="DQ29" s="3">
        <f t="shared" si="120"/>
        <v>56606.952332896064</v>
      </c>
      <c r="DR29" s="3">
        <f t="shared" si="120"/>
        <v>57173.021856225023</v>
      </c>
      <c r="DS29" s="3">
        <f t="shared" si="120"/>
        <v>57744.752074787277</v>
      </c>
      <c r="DT29" s="3">
        <f t="shared" si="120"/>
        <v>58322.199595535152</v>
      </c>
      <c r="DU29" s="3">
        <f t="shared" si="120"/>
        <v>58905.421591490507</v>
      </c>
      <c r="DV29" s="3">
        <f t="shared" si="120"/>
        <v>59494.475807405412</v>
      </c>
      <c r="DW29" s="3">
        <f t="shared" si="120"/>
        <v>60089.420565479464</v>
      </c>
      <c r="DX29" s="3">
        <f t="shared" si="120"/>
        <v>60690.314771134261</v>
      </c>
      <c r="DY29" s="3">
        <f t="shared" si="120"/>
        <v>61297.217918845607</v>
      </c>
      <c r="DZ29" s="3">
        <f t="shared" si="120"/>
        <v>61910.190098034065</v>
      </c>
      <c r="EA29" s="3">
        <f t="shared" si="120"/>
        <v>62529.291999014407</v>
      </c>
      <c r="EB29" s="3">
        <f t="shared" si="120"/>
        <v>63154.584919004556</v>
      </c>
      <c r="EC29" s="3">
        <f t="shared" si="120"/>
        <v>63786.130768194598</v>
      </c>
      <c r="ED29" s="3">
        <f t="shared" si="120"/>
        <v>64423.992075876544</v>
      </c>
      <c r="EE29" s="3">
        <f t="shared" si="120"/>
        <v>65068.23199663531</v>
      </c>
      <c r="EF29" s="3">
        <f t="shared" si="120"/>
        <v>65718.914316601658</v>
      </c>
      <c r="EG29" s="3">
        <f t="shared" si="120"/>
        <v>66376.103459767677</v>
      </c>
      <c r="EH29" s="3">
        <f t="shared" si="120"/>
        <v>67039.864494365349</v>
      </c>
      <c r="EI29" s="3">
        <f t="shared" si="120"/>
        <v>67710.263139308998</v>
      </c>
      <c r="EJ29" s="3">
        <f t="shared" si="120"/>
        <v>68387.36577070209</v>
      </c>
      <c r="EK29" s="3">
        <f t="shared" si="120"/>
        <v>69071.239428409113</v>
      </c>
    </row>
    <row r="30" spans="2:141" x14ac:dyDescent="0.25">
      <c r="B30" s="1" t="s">
        <v>28</v>
      </c>
      <c r="G30" s="6">
        <f t="shared" ref="G30" si="121">G29/G31</f>
        <v>0.89829417444480208</v>
      </c>
      <c r="H30" s="6">
        <f>H29/H31</f>
        <v>0.97504924491135914</v>
      </c>
      <c r="I30" s="6">
        <f>I29/I31</f>
        <v>1.2421509686038743</v>
      </c>
      <c r="J30" s="6">
        <f>J29/J31</f>
        <v>1.4223581379544683</v>
      </c>
      <c r="K30" s="6">
        <f t="shared" ref="K30:T30" si="122">K29/K31</f>
        <v>0.99965047186298495</v>
      </c>
      <c r="L30" s="6">
        <f t="shared" si="122"/>
        <v>1.2973273942093542</v>
      </c>
      <c r="M30" s="6">
        <f t="shared" si="122"/>
        <v>1.0718954248366013</v>
      </c>
      <c r="N30" s="6">
        <f t="shared" si="122"/>
        <v>1.363238512035011</v>
      </c>
      <c r="O30" s="6">
        <f t="shared" si="122"/>
        <v>0.96541681834728799</v>
      </c>
      <c r="P30" s="6">
        <f t="shared" si="122"/>
        <v>1.3656227239621268</v>
      </c>
      <c r="Q30" s="6">
        <f t="shared" si="122"/>
        <v>1.0918587896253602</v>
      </c>
      <c r="R30" s="6">
        <f t="shared" si="122"/>
        <v>1.5407725321888412</v>
      </c>
      <c r="S30" s="6">
        <f t="shared" si="122"/>
        <v>0.88877081119376555</v>
      </c>
      <c r="T30" s="6">
        <f t="shared" si="122"/>
        <v>0.9701810436634718</v>
      </c>
      <c r="U30" s="6">
        <f t="shared" ref="U30:AH30" si="123">U29/U31</f>
        <v>1.0407946080170274</v>
      </c>
      <c r="V30" s="6">
        <f t="shared" si="123"/>
        <v>1.2568807339449541</v>
      </c>
      <c r="W30" s="6">
        <f t="shared" si="123"/>
        <v>1.0371799368642582</v>
      </c>
      <c r="X30" s="6">
        <f t="shared" si="123"/>
        <v>1.3443708609271523</v>
      </c>
      <c r="Y30" s="6">
        <f t="shared" si="123"/>
        <v>1.2439109255393179</v>
      </c>
      <c r="Z30" s="6">
        <f t="shared" si="123"/>
        <v>1.4050853361198188</v>
      </c>
      <c r="AA30" s="6">
        <f t="shared" si="123"/>
        <v>1.2681333791680991</v>
      </c>
      <c r="AB30" s="6">
        <f t="shared" si="123"/>
        <v>1.3373255414231695</v>
      </c>
      <c r="AC30" s="6">
        <f t="shared" si="123"/>
        <v>1.5378659333104163</v>
      </c>
      <c r="AD30" s="6">
        <f t="shared" si="123"/>
        <v>1.7162139910622205</v>
      </c>
      <c r="AE30" s="6">
        <f t="shared" si="123"/>
        <v>1.6915872206943967</v>
      </c>
      <c r="AF30" s="6">
        <f t="shared" si="123"/>
        <v>1.8418010381574428</v>
      </c>
      <c r="AG30" s="6">
        <f t="shared" si="123"/>
        <v>2.0532158198693704</v>
      </c>
      <c r="AH30" s="6">
        <f t="shared" si="123"/>
        <v>2.2134179116534884</v>
      </c>
      <c r="AI30" s="6"/>
      <c r="AJ30" s="6"/>
      <c r="AK30" s="6"/>
      <c r="AM30" s="6">
        <f t="shared" ref="AM30:AO30" si="124">AM29/AM31</f>
        <v>2.5484941901825944</v>
      </c>
      <c r="AN30" s="6">
        <f t="shared" si="124"/>
        <v>1.1439358187824447</v>
      </c>
      <c r="AO30" s="6">
        <f t="shared" si="124"/>
        <v>3.334405144694534</v>
      </c>
      <c r="AP30" s="6">
        <f t="shared" ref="AP30" si="125">AP29/AP31</f>
        <v>3.6020036429872495</v>
      </c>
      <c r="AQ30" s="6">
        <f>AQ29/AQ31</f>
        <v>4.852746525479815</v>
      </c>
      <c r="AR30" s="6">
        <f t="shared" ref="AR30:AS30" si="126">AR29/AR31</f>
        <v>4.7713567839195976</v>
      </c>
      <c r="AS30" s="6">
        <f t="shared" si="126"/>
        <v>4.6409399005874379</v>
      </c>
      <c r="AT30" s="6">
        <f t="shared" ref="AT30:AZ30" si="127">AT29/AT31</f>
        <v>7.0650279258924549</v>
      </c>
      <c r="AU30" s="6">
        <f t="shared" si="127"/>
        <v>8.1288106569362828</v>
      </c>
      <c r="AV30" s="6">
        <f t="shared" si="127"/>
        <v>8.5325548045107524</v>
      </c>
      <c r="AW30" s="6">
        <f t="shared" si="127"/>
        <v>8.9509784696651362</v>
      </c>
      <c r="AX30" s="6">
        <f t="shared" si="127"/>
        <v>9.3845615882032227</v>
      </c>
      <c r="AY30" s="6">
        <f t="shared" si="127"/>
        <v>9.8337991204113795</v>
      </c>
      <c r="AZ30" s="6">
        <f t="shared" si="127"/>
        <v>10.299201512278604</v>
      </c>
    </row>
    <row r="31" spans="2:141" s="3" customFormat="1" x14ac:dyDescent="0.25">
      <c r="B31" s="3" t="s">
        <v>1</v>
      </c>
      <c r="C31" s="5"/>
      <c r="D31" s="5"/>
      <c r="E31" s="5"/>
      <c r="F31" s="5"/>
      <c r="G31" s="5">
        <v>3107</v>
      </c>
      <c r="H31" s="5">
        <v>3046</v>
      </c>
      <c r="I31" s="5">
        <v>2994</v>
      </c>
      <c r="J31" s="5">
        <v>2943</v>
      </c>
      <c r="K31" s="5">
        <v>2861</v>
      </c>
      <c r="L31" s="5">
        <v>2694</v>
      </c>
      <c r="M31" s="5">
        <v>2754</v>
      </c>
      <c r="N31" s="5">
        <v>2742</v>
      </c>
      <c r="O31" s="5">
        <v>2747</v>
      </c>
      <c r="P31" s="5">
        <v>2746</v>
      </c>
      <c r="Q31" s="5">
        <v>2776</v>
      </c>
      <c r="R31" s="5">
        <v>2796</v>
      </c>
      <c r="S31" s="5">
        <v>2823</v>
      </c>
      <c r="T31" s="5">
        <v>2817</v>
      </c>
      <c r="U31" s="5">
        <v>2819</v>
      </c>
      <c r="V31" s="5">
        <v>2834</v>
      </c>
      <c r="W31" s="5">
        <v>2851</v>
      </c>
      <c r="X31" s="5">
        <v>2869</v>
      </c>
      <c r="Y31" s="5">
        <v>2874</v>
      </c>
      <c r="Z31" s="5">
        <v>2871</v>
      </c>
      <c r="AA31" s="5">
        <v>2909</v>
      </c>
      <c r="AB31" s="5">
        <f>+AA31</f>
        <v>2909</v>
      </c>
      <c r="AC31" s="5">
        <f t="shared" ref="AC31:AH31" si="128">+AB31</f>
        <v>2909</v>
      </c>
      <c r="AD31" s="5">
        <f t="shared" si="128"/>
        <v>2909</v>
      </c>
      <c r="AE31" s="5">
        <f t="shared" si="128"/>
        <v>2909</v>
      </c>
      <c r="AF31" s="5">
        <f t="shared" si="128"/>
        <v>2909</v>
      </c>
      <c r="AG31" s="5">
        <f t="shared" si="128"/>
        <v>2909</v>
      </c>
      <c r="AH31" s="5">
        <f t="shared" si="128"/>
        <v>2909</v>
      </c>
      <c r="AI31" s="5"/>
      <c r="AJ31" s="5"/>
      <c r="AK31" s="5"/>
      <c r="AL31" s="5"/>
      <c r="AM31" s="5">
        <v>4217</v>
      </c>
      <c r="AN31" s="3">
        <v>4238</v>
      </c>
      <c r="AO31" s="5">
        <v>3732</v>
      </c>
      <c r="AP31" s="5">
        <v>3294</v>
      </c>
      <c r="AQ31" s="5">
        <v>3022</v>
      </c>
      <c r="AR31" s="5">
        <v>2786</v>
      </c>
      <c r="AS31" s="3">
        <f>AVERAGE(O31:R31)</f>
        <v>2766.25</v>
      </c>
      <c r="AT31" s="3">
        <f>AS31</f>
        <v>2766.25</v>
      </c>
      <c r="AU31" s="3">
        <f t="shared" ref="AU31:AZ31" si="129">AT31</f>
        <v>2766.25</v>
      </c>
      <c r="AV31" s="3">
        <f t="shared" si="129"/>
        <v>2766.25</v>
      </c>
      <c r="AW31" s="3">
        <f t="shared" si="129"/>
        <v>2766.25</v>
      </c>
      <c r="AX31" s="3">
        <f t="shared" si="129"/>
        <v>2766.25</v>
      </c>
      <c r="AY31" s="3">
        <f t="shared" si="129"/>
        <v>2766.25</v>
      </c>
      <c r="AZ31" s="3">
        <f t="shared" si="129"/>
        <v>2766.25</v>
      </c>
    </row>
    <row r="32" spans="2:141" x14ac:dyDescent="0.25">
      <c r="B32" s="1" t="s">
        <v>29</v>
      </c>
      <c r="N32" s="4">
        <v>1.54</v>
      </c>
      <c r="O32" s="4">
        <v>1.03</v>
      </c>
      <c r="P32" s="4">
        <v>1.21</v>
      </c>
      <c r="AR32" s="4">
        <v>1.54</v>
      </c>
    </row>
    <row r="34" spans="2:55" x14ac:dyDescent="0.25">
      <c r="B34" s="1" t="s">
        <v>32</v>
      </c>
      <c r="K34" s="7">
        <f>K18/G18-1</f>
        <v>3.8539553752535483E-2</v>
      </c>
      <c r="L34" s="7">
        <f>L18/H18-1</f>
        <v>5.7142857142857162E-2</v>
      </c>
      <c r="M34" s="7">
        <f>M18/I18-1</f>
        <v>4.2439266236985684E-2</v>
      </c>
      <c r="N34" s="7">
        <f>N18/J18-1</f>
        <v>5.4600516611739591E-2</v>
      </c>
      <c r="O34" s="7">
        <f t="shared" ref="O34:R34" si="130">O18/K18-1</f>
        <v>0.17650082236842102</v>
      </c>
      <c r="P34" s="7">
        <f t="shared" si="130"/>
        <v>0.18484555984555984</v>
      </c>
      <c r="Q34" s="7">
        <f t="shared" si="130"/>
        <v>0.17930181679824986</v>
      </c>
      <c r="R34" s="7">
        <f t="shared" si="130"/>
        <v>0.16866554054054061</v>
      </c>
      <c r="S34" s="7">
        <f t="shared" ref="S34" si="131">S18/O18-1</f>
        <v>8.8073394495412849E-2</v>
      </c>
      <c r="T34" s="7">
        <f t="shared" ref="T34" si="132">T18/P18-1</f>
        <v>5.425661914460278E-2</v>
      </c>
      <c r="U34" s="7">
        <f t="shared" ref="U34" si="133">U18/Q18-1</f>
        <v>7.114050653331172E-2</v>
      </c>
      <c r="V34" s="7">
        <f t="shared" ref="V34:AB34" si="134">V18/R18-1</f>
        <v>3.2521500325215058E-2</v>
      </c>
      <c r="W34" s="7">
        <f t="shared" si="134"/>
        <v>6.857785272625061E-2</v>
      </c>
      <c r="X34" s="7">
        <f t="shared" si="134"/>
        <v>8.6392087164824938E-2</v>
      </c>
      <c r="Y34" s="7">
        <f>Y18/U18-1</f>
        <v>6.4006024096385561E-2</v>
      </c>
      <c r="Z34" s="7">
        <f t="shared" si="134"/>
        <v>0.11310982011618953</v>
      </c>
      <c r="AA34" s="7">
        <f t="shared" si="134"/>
        <v>0.12166528894566775</v>
      </c>
      <c r="AB34" s="7">
        <f t="shared" si="134"/>
        <v>0.14218649975104913</v>
      </c>
      <c r="AC34" s="7">
        <f t="shared" ref="AC34" si="135">AC18/Y18-1</f>
        <v>0.21656050955414008</v>
      </c>
      <c r="AD34" s="7">
        <f t="shared" ref="AD34" si="136">AD18/Z18-1</f>
        <v>0.20631327422498891</v>
      </c>
      <c r="AE34" s="7">
        <f t="shared" ref="AE34" si="137">AE18/AA18-1</f>
        <v>0.243330430121935</v>
      </c>
      <c r="AF34" s="7">
        <f t="shared" ref="AF34" si="138">AF18/AB18-1</f>
        <v>0.24305019305019315</v>
      </c>
      <c r="AG34" s="7">
        <f t="shared" ref="AG34" si="139">AG18/AC18-1</f>
        <v>0.23852821407795233</v>
      </c>
      <c r="AH34" s="7">
        <f t="shared" ref="AH34" si="140">AH18/AD18-1</f>
        <v>0.21926084236864041</v>
      </c>
      <c r="AI34" s="7"/>
      <c r="AJ34" s="7"/>
      <c r="AK34" s="7"/>
      <c r="AL34" s="7"/>
      <c r="AM34" s="7"/>
      <c r="AO34" s="13"/>
      <c r="AP34" s="13">
        <f t="shared" ref="AP34:AQ34" si="141">AP18/AO18-1</f>
        <v>-1.108692350529028E-2</v>
      </c>
      <c r="AQ34" s="13">
        <f t="shared" si="141"/>
        <v>3.6116514794716892E-2</v>
      </c>
      <c r="AR34" s="13">
        <f>AR18/AQ18-1</f>
        <v>4.8444872650015958E-2</v>
      </c>
      <c r="AS34" s="13">
        <f t="shared" ref="AS34:AZ34" si="142">AS18/AR18-1</f>
        <v>0.17707351555136674</v>
      </c>
      <c r="AT34" s="13">
        <f t="shared" si="142"/>
        <v>6.0174156741066964E-2</v>
      </c>
      <c r="AU34" s="13">
        <f t="shared" si="142"/>
        <v>8.3797511376295875E-2</v>
      </c>
      <c r="AV34" s="13">
        <f>AV18/AU18-1</f>
        <v>3.0000000000000027E-2</v>
      </c>
      <c r="AW34" s="13">
        <f t="shared" si="142"/>
        <v>3.0000000000000027E-2</v>
      </c>
      <c r="AX34" s="13">
        <f t="shared" si="142"/>
        <v>3.0000000000000027E-2</v>
      </c>
      <c r="AY34" s="13">
        <f t="shared" si="142"/>
        <v>3.0000000000000027E-2</v>
      </c>
      <c r="AZ34" s="13">
        <f t="shared" si="142"/>
        <v>3.0000000000000027E-2</v>
      </c>
    </row>
    <row r="35" spans="2:55" x14ac:dyDescent="0.25">
      <c r="B35" s="1" t="s">
        <v>104</v>
      </c>
      <c r="K35" s="7"/>
      <c r="L35" s="7"/>
      <c r="M35" s="7"/>
      <c r="N35" s="7"/>
      <c r="O35" s="7"/>
      <c r="P35" s="7"/>
      <c r="Q35" s="7"/>
      <c r="R35" s="7"/>
      <c r="S35" s="7">
        <v>0.08</v>
      </c>
      <c r="T35" s="7"/>
      <c r="U35" s="7"/>
      <c r="V35" s="7"/>
      <c r="W35" s="7">
        <v>0.08</v>
      </c>
      <c r="X35" s="7">
        <v>0.09</v>
      </c>
      <c r="Y35" s="7">
        <v>0.08</v>
      </c>
      <c r="Z35" s="7">
        <v>0.11</v>
      </c>
      <c r="AA35" s="7">
        <v>0.11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</row>
    <row r="36" spans="2:55" x14ac:dyDescent="0.25">
      <c r="B36" s="1" t="s">
        <v>18</v>
      </c>
      <c r="G36" s="7">
        <f t="shared" ref="G36:M36" si="143">G20/G18</f>
        <v>0.79929539874025834</v>
      </c>
      <c r="H36" s="7">
        <f t="shared" si="143"/>
        <v>0.80214285714285716</v>
      </c>
      <c r="I36" s="7">
        <f t="shared" si="143"/>
        <v>0.8101140307387209</v>
      </c>
      <c r="J36" s="7">
        <f t="shared" si="143"/>
        <v>0.81099136011401085</v>
      </c>
      <c r="K36" s="7">
        <f t="shared" si="143"/>
        <v>0.78381990131578949</v>
      </c>
      <c r="L36" s="7">
        <f t="shared" si="143"/>
        <v>0.79160231660231661</v>
      </c>
      <c r="M36" s="7">
        <f t="shared" si="143"/>
        <v>0.78902311423951299</v>
      </c>
      <c r="N36" s="7">
        <f>N20/N18</f>
        <v>0.79763513513513518</v>
      </c>
      <c r="O36" s="7">
        <f t="shared" ref="O36:AA36" si="144">O20/O18</f>
        <v>0.73464394932284838</v>
      </c>
      <c r="P36" s="7">
        <f t="shared" si="144"/>
        <v>0.8</v>
      </c>
      <c r="Q36" s="7">
        <f t="shared" si="144"/>
        <v>0.72261655105662204</v>
      </c>
      <c r="R36" s="7">
        <f t="shared" si="144"/>
        <v>0.73043289730432892</v>
      </c>
      <c r="S36" s="7">
        <f t="shared" si="144"/>
        <v>0.71011001365132898</v>
      </c>
      <c r="T36" s="7">
        <f t="shared" si="144"/>
        <v>0.71099605903716867</v>
      </c>
      <c r="U36" s="7">
        <f t="shared" si="144"/>
        <v>0.70865963855421688</v>
      </c>
      <c r="V36" s="7">
        <f t="shared" si="144"/>
        <v>0.72541471267585922</v>
      </c>
      <c r="W36" s="7">
        <f t="shared" si="144"/>
        <v>0.70647027880063129</v>
      </c>
      <c r="X36" s="7">
        <f t="shared" si="144"/>
        <v>0.70943879365530982</v>
      </c>
      <c r="Y36" s="7">
        <f t="shared" si="144"/>
        <v>0.70311394196744514</v>
      </c>
      <c r="Z36" s="7">
        <f t="shared" si="144"/>
        <v>0.70194302961705335</v>
      </c>
      <c r="AA36" s="7">
        <f t="shared" si="144"/>
        <v>0.67278574299879401</v>
      </c>
      <c r="AB36" s="7">
        <f t="shared" ref="AB36:AH36" si="145">AB20/AB18</f>
        <v>0.66</v>
      </c>
      <c r="AC36" s="7">
        <f t="shared" si="145"/>
        <v>0.65</v>
      </c>
      <c r="AD36" s="7">
        <f t="shared" si="145"/>
        <v>0.64</v>
      </c>
      <c r="AE36" s="7">
        <f t="shared" si="145"/>
        <v>0.63</v>
      </c>
      <c r="AF36" s="7">
        <f t="shared" si="145"/>
        <v>0.62</v>
      </c>
      <c r="AG36" s="7">
        <f t="shared" si="145"/>
        <v>0.61</v>
      </c>
      <c r="AH36" s="7">
        <f t="shared" si="145"/>
        <v>0.6</v>
      </c>
      <c r="AI36" s="7"/>
      <c r="AJ36" s="7"/>
      <c r="AK36" s="7"/>
      <c r="AL36" s="7"/>
      <c r="AM36" s="7"/>
      <c r="AN36" s="7"/>
      <c r="AO36" s="7">
        <f t="shared" ref="AO36:AQ36" si="146">AO20/AO18</f>
        <v>0.79762567711233734</v>
      </c>
      <c r="AP36" s="7">
        <f t="shared" si="146"/>
        <v>0.79681580833418653</v>
      </c>
      <c r="AQ36" s="7">
        <f t="shared" si="146"/>
        <v>0.80594876355641198</v>
      </c>
      <c r="AR36" s="7">
        <f>AR20/AR18</f>
        <v>0.79083411875589071</v>
      </c>
      <c r="AS36" s="7">
        <f t="shared" ref="AS36:AZ36" si="147">AS20/AS18</f>
        <v>0.72847562806525878</v>
      </c>
      <c r="AT36" s="7">
        <f t="shared" si="147"/>
        <v>0.8</v>
      </c>
      <c r="AU36" s="7">
        <f t="shared" si="147"/>
        <v>0.79999999999999993</v>
      </c>
      <c r="AV36" s="7">
        <f t="shared" si="147"/>
        <v>0.79999999999999993</v>
      </c>
      <c r="AW36" s="7">
        <f t="shared" si="147"/>
        <v>0.79999999999999993</v>
      </c>
      <c r="AX36" s="7">
        <f t="shared" si="147"/>
        <v>0.79999999999999993</v>
      </c>
      <c r="AY36" s="7">
        <f t="shared" si="147"/>
        <v>0.79999999999999993</v>
      </c>
      <c r="AZ36" s="7">
        <f t="shared" si="147"/>
        <v>0.8</v>
      </c>
    </row>
    <row r="37" spans="2:55" x14ac:dyDescent="0.25">
      <c r="B37" s="1" t="s">
        <v>88</v>
      </c>
      <c r="G37" s="7">
        <f t="shared" ref="G37:Z37" si="148">+G25/G18</f>
        <v>0.40023486708658057</v>
      </c>
      <c r="H37" s="7">
        <f t="shared" si="148"/>
        <v>0.41836734693877553</v>
      </c>
      <c r="I37" s="7">
        <f t="shared" si="148"/>
        <v>0.4267724343083788</v>
      </c>
      <c r="J37" s="7">
        <f t="shared" si="148"/>
        <v>0.44597844482052196</v>
      </c>
      <c r="K37" s="7">
        <f t="shared" si="148"/>
        <v>0.38949424342105265</v>
      </c>
      <c r="L37" s="7">
        <f t="shared" si="148"/>
        <v>0.40289575289575291</v>
      </c>
      <c r="M37" s="7">
        <f t="shared" si="148"/>
        <v>0.39379815466565204</v>
      </c>
      <c r="N37" s="7">
        <f t="shared" si="148"/>
        <v>0.41190878378378376</v>
      </c>
      <c r="O37" s="7">
        <f t="shared" si="148"/>
        <v>0.32564438619484493</v>
      </c>
      <c r="P37" s="7">
        <f t="shared" si="148"/>
        <v>0.41384928716904279</v>
      </c>
      <c r="Q37" s="7">
        <f t="shared" si="148"/>
        <v>0.34368446523632845</v>
      </c>
      <c r="R37" s="7">
        <f t="shared" si="148"/>
        <v>0.37067283370672832</v>
      </c>
      <c r="S37" s="7">
        <f t="shared" si="148"/>
        <v>0.33791054364410184</v>
      </c>
      <c r="T37" s="7">
        <f t="shared" si="148"/>
        <v>0.34827293099451356</v>
      </c>
      <c r="U37" s="7">
        <f t="shared" si="148"/>
        <v>0.35722891566265058</v>
      </c>
      <c r="V37" s="7">
        <f t="shared" si="148"/>
        <v>0.39350458458738713</v>
      </c>
      <c r="W37" s="7">
        <f t="shared" si="148"/>
        <v>0.35327271360937851</v>
      </c>
      <c r="X37" s="7">
        <f t="shared" si="148"/>
        <v>0.35038053915641226</v>
      </c>
      <c r="Y37" s="7">
        <f t="shared" si="148"/>
        <v>0.35364472753007786</v>
      </c>
      <c r="Z37" s="7">
        <f t="shared" si="148"/>
        <v>0.36068666289379364</v>
      </c>
      <c r="AA37" s="7">
        <f>+AA25/AA18</f>
        <v>0.3424896154361517</v>
      </c>
      <c r="AB37" s="7">
        <f t="shared" ref="AB37:AH37" si="149">+AB25/AB18</f>
        <v>0.34249595217337153</v>
      </c>
      <c r="AC37" s="7">
        <f t="shared" si="149"/>
        <v>0.35986736474694597</v>
      </c>
      <c r="AD37" s="7">
        <f t="shared" si="149"/>
        <v>0.35427908673894909</v>
      </c>
      <c r="AE37" s="7">
        <f t="shared" si="149"/>
        <v>0.36168911436877454</v>
      </c>
      <c r="AF37" s="7">
        <f t="shared" si="149"/>
        <v>0.36202241381901618</v>
      </c>
      <c r="AG37" s="7">
        <f t="shared" si="149"/>
        <v>0.37340146451670475</v>
      </c>
      <c r="AH37" s="7">
        <f t="shared" si="149"/>
        <v>0.36331715711213614</v>
      </c>
      <c r="AI37" s="7"/>
      <c r="AJ37" s="7"/>
      <c r="AK37" s="7"/>
      <c r="AL37" s="7"/>
      <c r="AM37" s="7"/>
      <c r="AN37" s="7"/>
      <c r="AO37" s="7">
        <f t="shared" ref="AO37:AQ37" si="150">AO25/AO18</f>
        <v>0.39768642737811977</v>
      </c>
      <c r="AP37" s="7">
        <f t="shared" si="150"/>
        <v>0.40411590048121226</v>
      </c>
      <c r="AQ37" s="7">
        <f t="shared" si="150"/>
        <v>0.42394822006472493</v>
      </c>
      <c r="AR37" s="7">
        <f>AR25/AR18</f>
        <v>0.40009425070688032</v>
      </c>
      <c r="AS37" s="7">
        <f t="shared" ref="AS37:AZ37" si="151">AS25/AS18</f>
        <v>0.34619157241517368</v>
      </c>
      <c r="AT37" s="7">
        <f t="shared" si="151"/>
        <v>0.43414040520382929</v>
      </c>
      <c r="AU37" s="7">
        <f t="shared" si="151"/>
        <v>0.45748289517238966</v>
      </c>
      <c r="AV37" s="7">
        <f t="shared" si="151"/>
        <v>0.46257947356073481</v>
      </c>
      <c r="AW37" s="7">
        <f t="shared" si="151"/>
        <v>0.46759217896271521</v>
      </c>
      <c r="AX37" s="7">
        <f t="shared" si="151"/>
        <v>0.47252249347805841</v>
      </c>
      <c r="AY37" s="7">
        <f t="shared" si="151"/>
        <v>0.47737187185020574</v>
      </c>
      <c r="AZ37" s="7">
        <f t="shared" si="151"/>
        <v>0.48214174198369242</v>
      </c>
    </row>
    <row r="38" spans="2:55" x14ac:dyDescent="0.25">
      <c r="B38" s="1" t="s">
        <v>81</v>
      </c>
      <c r="G38" s="7">
        <f t="shared" ref="G38:J38" si="152">G28/G27</f>
        <v>0.10972886762360447</v>
      </c>
      <c r="H38" s="7">
        <f t="shared" si="152"/>
        <v>0.15142857142857144</v>
      </c>
      <c r="I38" s="7">
        <f t="shared" si="152"/>
        <v>0</v>
      </c>
      <c r="J38" s="7">
        <f t="shared" si="152"/>
        <v>2.877030162412993E-2</v>
      </c>
      <c r="K38" s="7">
        <f t="shared" ref="K38:N38" si="153">K28/K27</f>
        <v>7.2632944228274973E-2</v>
      </c>
      <c r="L38" s="7">
        <f t="shared" si="153"/>
        <v>0</v>
      </c>
      <c r="M38" s="7">
        <f t="shared" si="153"/>
        <v>0.15001439677512238</v>
      </c>
      <c r="N38" s="7">
        <f t="shared" si="153"/>
        <v>0.10424155283968368</v>
      </c>
      <c r="O38" s="7">
        <f>O28/O27</f>
        <v>3.9130434782608699E-2</v>
      </c>
      <c r="P38" s="7">
        <f t="shared" ref="P38:AA38" si="154">P28/P27</f>
        <v>9.7038285576691544E-2</v>
      </c>
      <c r="Q38" s="7">
        <f t="shared" si="154"/>
        <v>9.6033402922755737E-2</v>
      </c>
      <c r="R38" s="7">
        <f t="shared" si="154"/>
        <v>-5.1244509516837483E-2</v>
      </c>
      <c r="S38" s="7">
        <f t="shared" si="154"/>
        <v>0.23668999087313661</v>
      </c>
      <c r="T38" s="7">
        <f t="shared" si="154"/>
        <v>0.2418862690707351</v>
      </c>
      <c r="U38" s="7">
        <f t="shared" si="154"/>
        <v>0.23969940399067116</v>
      </c>
      <c r="V38" s="7">
        <f t="shared" si="154"/>
        <v>0.24533898305084745</v>
      </c>
      <c r="W38" s="7">
        <f t="shared" si="154"/>
        <v>0.2376901263212168</v>
      </c>
      <c r="X38" s="7">
        <f t="shared" si="154"/>
        <v>5.8349609375E-2</v>
      </c>
      <c r="Y38" s="7">
        <f t="shared" si="154"/>
        <v>0.12527526302911671</v>
      </c>
      <c r="Z38" s="7">
        <f t="shared" si="154"/>
        <v>0.15216477511559479</v>
      </c>
      <c r="AA38" s="7">
        <f t="shared" si="154"/>
        <v>0.11936022917164001</v>
      </c>
      <c r="AB38" s="7">
        <f t="shared" ref="AB38:AH38" si="155">AB28/AB27</f>
        <v>0.15</v>
      </c>
      <c r="AC38" s="7">
        <f t="shared" si="155"/>
        <v>0.15</v>
      </c>
      <c r="AD38" s="7">
        <f t="shared" si="155"/>
        <v>0.15</v>
      </c>
      <c r="AE38" s="7">
        <f t="shared" si="155"/>
        <v>0.15</v>
      </c>
      <c r="AF38" s="7">
        <f t="shared" si="155"/>
        <v>0.15</v>
      </c>
      <c r="AG38" s="7">
        <f t="shared" si="155"/>
        <v>0.15</v>
      </c>
      <c r="AH38" s="7">
        <f t="shared" si="155"/>
        <v>0.15</v>
      </c>
      <c r="AI38" s="7"/>
      <c r="AJ38" s="7"/>
      <c r="AK38" s="7"/>
      <c r="AL38" s="7"/>
      <c r="AM38" s="7"/>
      <c r="AN38" s="7"/>
      <c r="AO38" s="7">
        <f t="shared" ref="AO38:AZ38" si="156">AO28/AO27</f>
        <v>8.6946951353731011E-2</v>
      </c>
      <c r="AP38" s="7">
        <f t="shared" si="156"/>
        <v>0.13978104835786268</v>
      </c>
      <c r="AQ38" s="7">
        <f t="shared" si="156"/>
        <v>0</v>
      </c>
      <c r="AR38" s="7">
        <f t="shared" si="156"/>
        <v>6.5518453427065027E-2</v>
      </c>
      <c r="AS38" s="7">
        <f t="shared" si="156"/>
        <v>4.6281851274050961E-2</v>
      </c>
      <c r="AT38" s="7">
        <f t="shared" si="156"/>
        <v>0.15</v>
      </c>
      <c r="AU38" s="7">
        <f t="shared" si="156"/>
        <v>0.15</v>
      </c>
      <c r="AV38" s="7">
        <f t="shared" si="156"/>
        <v>0.15</v>
      </c>
      <c r="AW38" s="7">
        <f t="shared" si="156"/>
        <v>0.15</v>
      </c>
      <c r="AX38" s="7">
        <f t="shared" si="156"/>
        <v>0.15</v>
      </c>
      <c r="AY38" s="7">
        <f t="shared" si="156"/>
        <v>0.15</v>
      </c>
      <c r="AZ38" s="7">
        <f t="shared" si="156"/>
        <v>0.15</v>
      </c>
    </row>
    <row r="40" spans="2:55" x14ac:dyDescent="0.25">
      <c r="B40" s="1" t="s">
        <v>68</v>
      </c>
      <c r="N40" s="5">
        <f t="shared" ref="N40:U40" si="157">N41-N51</f>
        <v>-53957</v>
      </c>
      <c r="O40" s="5">
        <f t="shared" si="157"/>
        <v>0</v>
      </c>
      <c r="P40" s="5">
        <f t="shared" si="157"/>
        <v>-83569</v>
      </c>
      <c r="Q40" s="5">
        <f t="shared" si="157"/>
        <v>-83042</v>
      </c>
      <c r="R40" s="5">
        <f t="shared" si="157"/>
        <v>0</v>
      </c>
      <c r="S40" s="5">
        <f t="shared" si="157"/>
        <v>-76858</v>
      </c>
      <c r="T40" s="5">
        <f t="shared" si="157"/>
        <v>-80099</v>
      </c>
      <c r="U40" s="5">
        <f t="shared" si="157"/>
        <v>-78076</v>
      </c>
      <c r="V40" s="5">
        <f t="shared" ref="V40:AD40" si="158">+V41-V51</f>
        <v>-76208</v>
      </c>
      <c r="W40" s="5">
        <f t="shared" si="158"/>
        <v>-73604</v>
      </c>
      <c r="X40" s="5">
        <f t="shared" si="158"/>
        <v>-77313</v>
      </c>
      <c r="Y40" s="5">
        <f t="shared" si="158"/>
        <v>-78453</v>
      </c>
      <c r="Z40" s="5">
        <f t="shared" si="158"/>
        <v>-81365</v>
      </c>
      <c r="AA40" s="5">
        <f t="shared" si="158"/>
        <v>-80310</v>
      </c>
      <c r="AB40" s="5">
        <f t="shared" si="158"/>
        <v>0</v>
      </c>
      <c r="AC40" s="5">
        <f t="shared" si="158"/>
        <v>-95473</v>
      </c>
      <c r="AD40" s="5">
        <f t="shared" si="158"/>
        <v>-97647</v>
      </c>
      <c r="AE40" s="5"/>
      <c r="AF40" s="5"/>
      <c r="AG40" s="5"/>
      <c r="AH40" s="5"/>
      <c r="AI40" s="5"/>
      <c r="AJ40" s="5"/>
      <c r="AK40" s="5"/>
      <c r="AS40" s="3">
        <f>R40</f>
        <v>0</v>
      </c>
      <c r="AT40" s="3">
        <f>AS40+AT29</f>
        <v>19543.633500000004</v>
      </c>
      <c r="AU40" s="3">
        <f t="shared" ref="AU40:AZ40" si="159">AT40+AU29</f>
        <v>42029.955979749997</v>
      </c>
      <c r="AV40" s="3">
        <f t="shared" si="159"/>
        <v>65633.135707727866</v>
      </c>
      <c r="AW40" s="3">
        <f t="shared" si="159"/>
        <v>90393.779899439047</v>
      </c>
      <c r="AX40" s="3">
        <f t="shared" si="159"/>
        <v>116353.82339280621</v>
      </c>
      <c r="AY40" s="3">
        <f t="shared" si="159"/>
        <v>143556.57020964418</v>
      </c>
      <c r="AZ40" s="3">
        <f t="shared" si="159"/>
        <v>172046.73639298487</v>
      </c>
      <c r="BB40" s="1" t="s">
        <v>85</v>
      </c>
      <c r="BC40" s="14">
        <v>0.01</v>
      </c>
    </row>
    <row r="41" spans="2:55" s="3" customFormat="1" x14ac:dyDescent="0.25">
      <c r="B41" s="3" t="s">
        <v>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f>21383+519</f>
        <v>21902</v>
      </c>
      <c r="O41" s="5"/>
      <c r="P41" s="5">
        <f>6813+537</f>
        <v>7350</v>
      </c>
      <c r="Q41" s="5">
        <f>8219+550</f>
        <v>8769</v>
      </c>
      <c r="R41" s="5"/>
      <c r="S41" s="5">
        <f>11613+470</f>
        <v>12083</v>
      </c>
      <c r="T41" s="5">
        <f>8244+446</f>
        <v>8690</v>
      </c>
      <c r="U41" s="5">
        <f>9481+423</f>
        <v>9904</v>
      </c>
      <c r="V41" s="5">
        <f>10454+207</f>
        <v>10661</v>
      </c>
      <c r="W41" s="5">
        <f>10616+295</f>
        <v>10911</v>
      </c>
      <c r="X41" s="5">
        <f>10941+370</f>
        <v>11311</v>
      </c>
      <c r="Y41" s="5">
        <f>17406+417</f>
        <v>17823</v>
      </c>
      <c r="Z41" s="5">
        <f>10786+417</f>
        <v>11203</v>
      </c>
      <c r="AA41" s="5">
        <f>10445+560</f>
        <v>11005</v>
      </c>
      <c r="AB41" s="5"/>
      <c r="AC41" s="5">
        <f>38455+677</f>
        <v>39132</v>
      </c>
      <c r="AD41" s="5">
        <f>31289+605</f>
        <v>31894</v>
      </c>
      <c r="AE41" s="5"/>
      <c r="AF41" s="5"/>
      <c r="AG41" s="5"/>
      <c r="AH41" s="5"/>
      <c r="AI41" s="5"/>
      <c r="AJ41" s="5"/>
      <c r="AK41" s="5"/>
      <c r="AL41" s="5"/>
      <c r="AM41" s="5"/>
      <c r="AO41" s="5"/>
      <c r="AP41" s="5"/>
      <c r="AQ41" s="5"/>
      <c r="AR41" s="5"/>
      <c r="BB41" s="1" t="s">
        <v>82</v>
      </c>
      <c r="BC41" s="14">
        <v>0.01</v>
      </c>
    </row>
    <row r="42" spans="2:55" s="3" customFormat="1" x14ac:dyDescent="0.25">
      <c r="B42" s="3" t="s">
        <v>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5953</v>
      </c>
      <c r="O42" s="5"/>
      <c r="P42" s="5">
        <v>6197</v>
      </c>
      <c r="Q42" s="5">
        <v>6213</v>
      </c>
      <c r="R42" s="5"/>
      <c r="S42" s="5">
        <v>6519</v>
      </c>
      <c r="T42" s="5">
        <v>6804</v>
      </c>
      <c r="U42" s="5">
        <v>7297</v>
      </c>
      <c r="V42" s="5">
        <v>7874</v>
      </c>
      <c r="W42" s="5">
        <v>8021</v>
      </c>
      <c r="X42" s="5">
        <v>8177</v>
      </c>
      <c r="Y42" s="5">
        <v>8051</v>
      </c>
      <c r="Z42" s="5">
        <v>8558</v>
      </c>
      <c r="AA42" s="5">
        <v>8843</v>
      </c>
      <c r="AB42" s="5"/>
      <c r="AC42" s="5">
        <v>10719</v>
      </c>
      <c r="AD42" s="5">
        <v>10385</v>
      </c>
      <c r="AE42" s="5"/>
      <c r="AF42" s="5"/>
      <c r="AG42" s="5"/>
      <c r="AH42" s="5"/>
      <c r="AI42" s="5"/>
      <c r="AJ42" s="5"/>
      <c r="AK42" s="5"/>
      <c r="AL42" s="5"/>
      <c r="AM42" s="5"/>
      <c r="AO42" s="5"/>
      <c r="AP42" s="5"/>
      <c r="AQ42" s="5"/>
      <c r="AR42" s="5"/>
      <c r="BB42" s="1" t="s">
        <v>83</v>
      </c>
      <c r="BC42" s="14">
        <v>0.06</v>
      </c>
    </row>
    <row r="43" spans="2:55" s="3" customFormat="1" x14ac:dyDescent="0.25">
      <c r="B43" s="3" t="s">
        <v>56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3778</v>
      </c>
      <c r="O43" s="5"/>
      <c r="P43" s="5">
        <v>4014</v>
      </c>
      <c r="Q43" s="5">
        <v>3714</v>
      </c>
      <c r="R43" s="5"/>
      <c r="S43" s="5">
        <v>3564</v>
      </c>
      <c r="T43" s="5">
        <v>3795</v>
      </c>
      <c r="U43" s="5">
        <v>3862</v>
      </c>
      <c r="V43" s="5">
        <v>4019</v>
      </c>
      <c r="W43" s="5">
        <v>4140</v>
      </c>
      <c r="X43" s="5">
        <v>4015</v>
      </c>
      <c r="Y43" s="5">
        <v>4242</v>
      </c>
      <c r="Z43" s="5">
        <v>4818</v>
      </c>
      <c r="AA43" s="5">
        <v>4786</v>
      </c>
      <c r="AB43" s="5"/>
      <c r="AC43" s="5">
        <v>5023</v>
      </c>
      <c r="AD43" s="5">
        <v>4288</v>
      </c>
      <c r="AE43" s="5"/>
      <c r="AF43" s="5"/>
      <c r="AG43" s="5"/>
      <c r="AH43" s="5"/>
      <c r="AI43" s="5"/>
      <c r="AJ43" s="5"/>
      <c r="AK43" s="5"/>
      <c r="AL43" s="5"/>
      <c r="AM43" s="5"/>
      <c r="AO43" s="5"/>
      <c r="AP43" s="5"/>
      <c r="AQ43" s="5"/>
      <c r="AR43" s="5"/>
      <c r="BB43" s="1" t="s">
        <v>84</v>
      </c>
      <c r="BC43" s="3">
        <f>NPV(BC42,AT29:EK29)+N40</f>
        <v>458996.73533945804</v>
      </c>
    </row>
    <row r="44" spans="2:55" s="3" customFormat="1" x14ac:dyDescent="0.25">
      <c r="B44" s="3" t="s">
        <v>57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9716</v>
      </c>
      <c r="O44" s="5"/>
      <c r="P44" s="5">
        <v>14351</v>
      </c>
      <c r="Q44" s="5">
        <v>16345</v>
      </c>
      <c r="R44" s="5"/>
      <c r="S44" s="5">
        <v>17644</v>
      </c>
      <c r="T44" s="5">
        <v>18009</v>
      </c>
      <c r="U44" s="5">
        <v>19117</v>
      </c>
      <c r="V44" s="5">
        <v>21536</v>
      </c>
      <c r="W44" s="5">
        <v>23094</v>
      </c>
      <c r="X44" s="5">
        <v>26432</v>
      </c>
      <c r="Y44" s="5">
        <v>31970</v>
      </c>
      <c r="Z44" s="5">
        <v>43522</v>
      </c>
      <c r="AA44" s="5">
        <v>53194</v>
      </c>
      <c r="AB44" s="5"/>
      <c r="AC44" s="5">
        <v>83617</v>
      </c>
      <c r="AD44" s="5">
        <v>99957</v>
      </c>
      <c r="AE44" s="5"/>
      <c r="AF44" s="5"/>
      <c r="AG44" s="5"/>
      <c r="AH44" s="5"/>
      <c r="AI44" s="5"/>
      <c r="AJ44" s="5"/>
      <c r="AK44" s="5"/>
      <c r="AL44" s="5"/>
      <c r="AM44" s="5"/>
      <c r="AO44" s="5"/>
      <c r="AP44" s="5"/>
      <c r="AQ44" s="5"/>
      <c r="AR44" s="5"/>
      <c r="BB44" s="1" t="s">
        <v>86</v>
      </c>
      <c r="BC44" s="15">
        <f>BC43/O31</f>
        <v>167.09018396048708</v>
      </c>
    </row>
    <row r="45" spans="2:55" s="3" customFormat="1" x14ac:dyDescent="0.25">
      <c r="B45" s="3" t="s">
        <v>128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>
        <v>29690</v>
      </c>
      <c r="AE45" s="5"/>
      <c r="AF45" s="5"/>
      <c r="AG45" s="5"/>
      <c r="AH45" s="5"/>
      <c r="AI45" s="5"/>
      <c r="AJ45" s="5"/>
      <c r="AK45" s="5"/>
      <c r="AL45" s="5"/>
      <c r="AM45" s="5"/>
      <c r="AO45" s="5"/>
      <c r="AP45" s="5"/>
      <c r="AQ45" s="5"/>
      <c r="AR45" s="5"/>
      <c r="BB45" s="1"/>
      <c r="BC45" s="15"/>
    </row>
    <row r="46" spans="2:55" s="3" customFormat="1" x14ac:dyDescent="0.25">
      <c r="B46" s="3" t="s">
        <v>58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1440+43811</f>
        <v>45251</v>
      </c>
      <c r="O46" s="5"/>
      <c r="P46" s="5">
        <f>11593+61513</f>
        <v>73106</v>
      </c>
      <c r="Q46" s="5">
        <f>10707+61499</f>
        <v>72206</v>
      </c>
      <c r="R46" s="5"/>
      <c r="S46" s="5">
        <f>9074+62206</f>
        <v>71280</v>
      </c>
      <c r="T46" s="5">
        <f>8378+62231</f>
        <v>70609</v>
      </c>
      <c r="U46" s="5">
        <f>7629+62222</f>
        <v>69851</v>
      </c>
      <c r="V46" s="5">
        <f>6890+62230</f>
        <v>69120</v>
      </c>
      <c r="W46" s="5">
        <f>62249+6270</f>
        <v>68519</v>
      </c>
      <c r="X46" s="5">
        <f>5679+62204</f>
        <v>67883</v>
      </c>
      <c r="Y46" s="5">
        <f>5131+62171</f>
        <v>67302</v>
      </c>
      <c r="Z46" s="5">
        <f>4587+62207</f>
        <v>66794</v>
      </c>
      <c r="AA46" s="5">
        <f>4167+62211</f>
        <v>66378</v>
      </c>
      <c r="AB46" s="5"/>
      <c r="AC46" s="5">
        <f>3641+62274</f>
        <v>65915</v>
      </c>
      <c r="AD46" s="5">
        <v>62261</v>
      </c>
      <c r="AE46" s="5"/>
      <c r="AF46" s="5"/>
      <c r="AG46" s="5"/>
      <c r="AH46" s="5"/>
      <c r="AI46" s="5"/>
      <c r="AJ46" s="5"/>
      <c r="AK46" s="5"/>
      <c r="AL46" s="5"/>
      <c r="AM46" s="5"/>
      <c r="AO46" s="5"/>
      <c r="AP46" s="5"/>
      <c r="AQ46" s="5"/>
      <c r="AR46" s="5"/>
      <c r="BB46" s="1" t="s">
        <v>87</v>
      </c>
      <c r="BC46" s="14">
        <f>BC44/Main!G2-1</f>
        <v>0.11393455973658062</v>
      </c>
    </row>
    <row r="47" spans="2:55" s="3" customFormat="1" x14ac:dyDescent="0.25">
      <c r="B47" s="3" t="s">
        <v>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12782</v>
      </c>
      <c r="O47" s="5"/>
      <c r="P47" s="5">
        <v>12091</v>
      </c>
      <c r="Q47" s="5">
        <v>12153</v>
      </c>
      <c r="R47" s="5"/>
      <c r="S47" s="5">
        <v>12243</v>
      </c>
      <c r="T47" s="5">
        <v>12758</v>
      </c>
      <c r="U47" s="5">
        <v>12688</v>
      </c>
      <c r="V47" s="5">
        <v>12273</v>
      </c>
      <c r="W47" s="5">
        <v>12219</v>
      </c>
      <c r="X47" s="5">
        <v>11984</v>
      </c>
      <c r="Y47" s="5">
        <v>11799</v>
      </c>
      <c r="Z47" s="5">
        <v>11877</v>
      </c>
      <c r="AA47" s="5">
        <v>11734</v>
      </c>
      <c r="AB47" s="5"/>
      <c r="AC47" s="5">
        <v>11360</v>
      </c>
      <c r="AD47" s="5">
        <v>11541</v>
      </c>
      <c r="AE47" s="5"/>
      <c r="AF47" s="5"/>
      <c r="AG47" s="5"/>
      <c r="AH47" s="5"/>
      <c r="AI47" s="5"/>
      <c r="AJ47" s="5"/>
      <c r="AK47" s="5"/>
      <c r="AL47" s="5"/>
      <c r="AM47" s="5"/>
      <c r="AO47" s="5"/>
      <c r="AP47" s="5"/>
      <c r="AQ47" s="5"/>
      <c r="AR47" s="5"/>
    </row>
    <row r="48" spans="2:55" s="3" customFormat="1" x14ac:dyDescent="0.25">
      <c r="B48" s="3" t="s">
        <v>60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9915</v>
      </c>
      <c r="O48" s="5"/>
      <c r="P48" s="5">
        <v>11360</v>
      </c>
      <c r="Q48" s="5">
        <v>12220</v>
      </c>
      <c r="R48" s="5"/>
      <c r="S48" s="5">
        <v>13329</v>
      </c>
      <c r="T48" s="5">
        <v>13659</v>
      </c>
      <c r="U48" s="5">
        <v>14363</v>
      </c>
      <c r="V48" s="5">
        <v>15493</v>
      </c>
      <c r="W48" s="5">
        <v>17310</v>
      </c>
      <c r="X48" s="5">
        <v>18681</v>
      </c>
      <c r="Y48" s="5">
        <v>20191</v>
      </c>
      <c r="Z48" s="5">
        <v>21589</v>
      </c>
      <c r="AA48" s="5">
        <v>24509</v>
      </c>
      <c r="AB48" s="5"/>
      <c r="AC48" s="5">
        <v>29474</v>
      </c>
      <c r="AD48" s="5">
        <v>11743</v>
      </c>
      <c r="AE48" s="5"/>
      <c r="AF48" s="5"/>
      <c r="AG48" s="5"/>
      <c r="AH48" s="5"/>
      <c r="AI48" s="5"/>
      <c r="AJ48" s="5"/>
      <c r="AK48" s="5"/>
      <c r="AL48" s="5"/>
      <c r="AM48" s="5"/>
      <c r="AO48" s="5"/>
      <c r="AP48" s="5"/>
      <c r="AQ48" s="5"/>
      <c r="AR48" s="5"/>
    </row>
    <row r="49" spans="2:44" s="3" customFormat="1" x14ac:dyDescent="0.25">
      <c r="B49" s="3" t="s">
        <v>54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f t="shared" ref="N49:AD49" si="160">SUM(N41:N48)</f>
        <v>109297</v>
      </c>
      <c r="O49" s="5">
        <f t="shared" si="160"/>
        <v>0</v>
      </c>
      <c r="P49" s="5">
        <f t="shared" si="160"/>
        <v>128469</v>
      </c>
      <c r="Q49" s="5">
        <f t="shared" si="160"/>
        <v>131620</v>
      </c>
      <c r="R49" s="5">
        <f t="shared" si="160"/>
        <v>0</v>
      </c>
      <c r="S49" s="5">
        <f t="shared" si="160"/>
        <v>136662</v>
      </c>
      <c r="T49" s="5">
        <f t="shared" si="160"/>
        <v>134324</v>
      </c>
      <c r="U49" s="5">
        <f t="shared" si="160"/>
        <v>137082</v>
      </c>
      <c r="V49" s="5">
        <f t="shared" si="160"/>
        <v>140976</v>
      </c>
      <c r="W49" s="5">
        <f t="shared" si="160"/>
        <v>144214</v>
      </c>
      <c r="X49" s="5">
        <f t="shared" si="160"/>
        <v>148483</v>
      </c>
      <c r="Y49" s="5">
        <f t="shared" si="160"/>
        <v>161378</v>
      </c>
      <c r="Z49" s="5">
        <f t="shared" si="160"/>
        <v>168361</v>
      </c>
      <c r="AA49" s="5">
        <f t="shared" si="160"/>
        <v>180449</v>
      </c>
      <c r="AB49" s="5">
        <f t="shared" si="160"/>
        <v>0</v>
      </c>
      <c r="AC49" s="5">
        <f t="shared" si="160"/>
        <v>245240</v>
      </c>
      <c r="AD49" s="5">
        <f t="shared" si="160"/>
        <v>261759</v>
      </c>
      <c r="AE49" s="5"/>
      <c r="AF49" s="5"/>
      <c r="AG49" s="5"/>
      <c r="AH49" s="5"/>
      <c r="AI49" s="5"/>
      <c r="AJ49" s="5"/>
      <c r="AK49" s="5"/>
      <c r="AL49" s="5"/>
      <c r="AM49" s="5"/>
      <c r="AO49" s="5"/>
      <c r="AP49" s="5"/>
      <c r="AQ49" s="5"/>
      <c r="AR49" s="5"/>
    </row>
    <row r="51" spans="2:44" s="3" customFormat="1" x14ac:dyDescent="0.25">
      <c r="B51" s="3" t="s">
        <v>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f>3749+72110</f>
        <v>75859</v>
      </c>
      <c r="O51" s="5"/>
      <c r="P51" s="5">
        <f>81173+9746</f>
        <v>90919</v>
      </c>
      <c r="Q51" s="5">
        <f>5415+86396</f>
        <v>91811</v>
      </c>
      <c r="R51" s="5"/>
      <c r="S51" s="5">
        <f>84442+4499</f>
        <v>88941</v>
      </c>
      <c r="T51" s="5">
        <f>82468+6321</f>
        <v>88789</v>
      </c>
      <c r="U51" s="5">
        <f>5510+82470</f>
        <v>87980</v>
      </c>
      <c r="V51" s="5">
        <f>10605+76264</f>
        <v>86869</v>
      </c>
      <c r="W51" s="5">
        <f>9201+75314</f>
        <v>84515</v>
      </c>
      <c r="X51" s="5">
        <f>8162+80462</f>
        <v>88624</v>
      </c>
      <c r="Y51" s="5">
        <f>8167+88109</f>
        <v>96276</v>
      </c>
      <c r="Z51" s="5">
        <f>7271+85297</f>
        <v>92568</v>
      </c>
      <c r="AA51" s="5">
        <f>9079+82236</f>
        <v>91315</v>
      </c>
      <c r="AB51" s="5"/>
      <c r="AC51" s="5">
        <f>9887+124718</f>
        <v>134605</v>
      </c>
      <c r="AD51" s="5">
        <f>7199+122342</f>
        <v>129541</v>
      </c>
      <c r="AE51" s="5"/>
      <c r="AF51" s="5"/>
      <c r="AG51" s="5"/>
      <c r="AH51" s="5"/>
      <c r="AI51" s="5"/>
      <c r="AJ51" s="5"/>
      <c r="AK51" s="5"/>
      <c r="AL51" s="5"/>
      <c r="AM51" s="5"/>
      <c r="AO51" s="5"/>
      <c r="AP51" s="5"/>
      <c r="AQ51" s="5"/>
      <c r="AR51" s="5"/>
    </row>
    <row r="52" spans="2:44" s="3" customFormat="1" x14ac:dyDescent="0.25">
      <c r="B52" s="3" t="s">
        <v>62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1317</v>
      </c>
      <c r="O52" s="5"/>
      <c r="P52" s="5">
        <v>1647</v>
      </c>
      <c r="Q52" s="5">
        <v>1610</v>
      </c>
      <c r="R52" s="5"/>
      <c r="S52" s="5">
        <v>1034</v>
      </c>
      <c r="T52" s="5">
        <v>1107</v>
      </c>
      <c r="U52" s="5">
        <v>1658</v>
      </c>
      <c r="V52" s="5">
        <v>2357</v>
      </c>
      <c r="W52" s="5">
        <v>2207</v>
      </c>
      <c r="X52" s="5">
        <v>2679</v>
      </c>
      <c r="Y52" s="5">
        <v>2423</v>
      </c>
      <c r="Z52" s="5">
        <v>5113</v>
      </c>
      <c r="AA52" s="5">
        <v>8203</v>
      </c>
      <c r="AB52" s="5"/>
      <c r="AC52" s="5">
        <v>9474</v>
      </c>
      <c r="AD52" s="5">
        <v>10977</v>
      </c>
      <c r="AE52" s="5"/>
      <c r="AF52" s="5"/>
      <c r="AG52" s="5"/>
      <c r="AH52" s="5"/>
      <c r="AI52" s="5"/>
      <c r="AJ52" s="5"/>
      <c r="AK52" s="5"/>
      <c r="AL52" s="5"/>
      <c r="AM52" s="5"/>
      <c r="AO52" s="5"/>
      <c r="AP52" s="5"/>
      <c r="AQ52" s="5"/>
      <c r="AR52" s="5"/>
    </row>
    <row r="53" spans="2:44" s="3" customFormat="1" x14ac:dyDescent="0.25">
      <c r="B53" s="3" t="s">
        <v>63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1944</v>
      </c>
      <c r="O53" s="5"/>
      <c r="P53" s="5">
        <v>1780</v>
      </c>
      <c r="Q53" s="5">
        <v>1736</v>
      </c>
      <c r="R53" s="5"/>
      <c r="S53" s="5">
        <v>1818</v>
      </c>
      <c r="T53" s="5">
        <v>1706</v>
      </c>
      <c r="U53" s="5">
        <v>1796</v>
      </c>
      <c r="V53" s="5">
        <v>1916</v>
      </c>
      <c r="W53" s="5">
        <v>1772</v>
      </c>
      <c r="X53" s="5">
        <v>1653</v>
      </c>
      <c r="Y53" s="5">
        <v>1839</v>
      </c>
      <c r="Z53" s="5">
        <v>2243</v>
      </c>
      <c r="AA53" s="5">
        <v>1794</v>
      </c>
      <c r="AB53" s="5"/>
      <c r="AC53" s="5">
        <v>1940</v>
      </c>
      <c r="AD53" s="5">
        <v>2225</v>
      </c>
      <c r="AE53" s="5"/>
      <c r="AF53" s="5"/>
      <c r="AG53" s="5"/>
      <c r="AH53" s="5"/>
      <c r="AI53" s="5"/>
      <c r="AJ53" s="5"/>
      <c r="AK53" s="5"/>
      <c r="AL53" s="5"/>
      <c r="AM53" s="5"/>
      <c r="AO53" s="5"/>
      <c r="AP53" s="5"/>
      <c r="AQ53" s="5"/>
      <c r="AR53" s="5"/>
    </row>
    <row r="54" spans="2:44" s="3" customFormat="1" x14ac:dyDescent="0.25">
      <c r="B54" s="3" t="s">
        <v>61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8357</v>
      </c>
      <c r="O54" s="5"/>
      <c r="P54" s="5">
        <v>8705</v>
      </c>
      <c r="Q54" s="5">
        <v>8598</v>
      </c>
      <c r="R54" s="5"/>
      <c r="S54" s="5">
        <v>11120</v>
      </c>
      <c r="T54" s="5">
        <v>8878</v>
      </c>
      <c r="U54" s="5">
        <v>8931</v>
      </c>
      <c r="V54" s="5">
        <v>9313</v>
      </c>
      <c r="W54" s="5">
        <v>11455</v>
      </c>
      <c r="X54" s="5">
        <v>9430</v>
      </c>
      <c r="Y54" s="5">
        <v>9019</v>
      </c>
      <c r="Z54" s="5">
        <v>9387</v>
      </c>
      <c r="AA54" s="5">
        <v>12098</v>
      </c>
      <c r="AB54" s="5"/>
      <c r="AC54" s="5">
        <v>9881</v>
      </c>
      <c r="AD54" s="5">
        <v>9916</v>
      </c>
      <c r="AE54" s="5"/>
      <c r="AF54" s="5"/>
      <c r="AG54" s="5"/>
      <c r="AH54" s="5"/>
      <c r="AI54" s="5"/>
      <c r="AJ54" s="5"/>
      <c r="AK54" s="5"/>
      <c r="AL54" s="5"/>
      <c r="AM54" s="5"/>
      <c r="AO54" s="5"/>
      <c r="AP54" s="5"/>
      <c r="AQ54" s="5"/>
      <c r="AR54" s="5"/>
    </row>
    <row r="55" spans="2:44" s="3" customFormat="1" x14ac:dyDescent="0.25">
      <c r="B55" s="3" t="s">
        <v>64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4144</v>
      </c>
      <c r="O55" s="5"/>
      <c r="P55" s="5">
        <v>5228</v>
      </c>
      <c r="Q55" s="5">
        <v>5521</v>
      </c>
      <c r="R55" s="5"/>
      <c r="S55" s="5">
        <v>6886</v>
      </c>
      <c r="T55" s="5">
        <v>6395</v>
      </c>
      <c r="U55" s="5">
        <v>6990</v>
      </c>
      <c r="V55" s="5">
        <v>7353</v>
      </c>
      <c r="W55" s="5">
        <v>7410</v>
      </c>
      <c r="X55" s="5">
        <v>7128</v>
      </c>
      <c r="Y55" s="5">
        <v>8175</v>
      </c>
      <c r="Z55" s="5">
        <v>8629</v>
      </c>
      <c r="AA55" s="5">
        <v>8700</v>
      </c>
      <c r="AB55" s="5"/>
      <c r="AC55" s="5">
        <v>9555</v>
      </c>
      <c r="AD55" s="5">
        <v>11447</v>
      </c>
      <c r="AE55" s="5"/>
      <c r="AF55" s="5"/>
      <c r="AG55" s="5"/>
      <c r="AH55" s="5"/>
      <c r="AI55" s="5"/>
      <c r="AJ55" s="5"/>
      <c r="AK55" s="5"/>
      <c r="AL55" s="5"/>
      <c r="AM55" s="5"/>
      <c r="AO55" s="5"/>
      <c r="AP55" s="5"/>
      <c r="AQ55" s="5"/>
      <c r="AR55" s="5"/>
    </row>
    <row r="56" spans="2:44" s="3" customFormat="1" x14ac:dyDescent="0.25">
      <c r="B56" s="3" t="s">
        <v>59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f>12210+6031</f>
        <v>18241</v>
      </c>
      <c r="O56" s="5"/>
      <c r="P56" s="5">
        <f>11128+7165</f>
        <v>18293</v>
      </c>
      <c r="Q56" s="5">
        <f>11335+6814</f>
        <v>18149</v>
      </c>
      <c r="R56" s="5"/>
      <c r="S56" s="5">
        <f>5281+11201</f>
        <v>16482</v>
      </c>
      <c r="T56" s="5">
        <f>10046+5244</f>
        <v>15290</v>
      </c>
      <c r="U56" s="5">
        <f>10451+4483</f>
        <v>14934</v>
      </c>
      <c r="V56" s="5">
        <f>10817+3692</f>
        <v>14509</v>
      </c>
      <c r="W56" s="5">
        <f>3442+11038</f>
        <v>14480</v>
      </c>
      <c r="X56" s="5">
        <f>2864+9553</f>
        <v>12417</v>
      </c>
      <c r="Y56" s="5">
        <f>2208+9813</f>
        <v>12021</v>
      </c>
      <c r="Z56" s="5">
        <v>10269</v>
      </c>
      <c r="AA56" s="5">
        <v>10583</v>
      </c>
      <c r="AB56" s="5"/>
      <c r="AC56" s="5">
        <v>11402</v>
      </c>
      <c r="AD56" s="5">
        <v>11771</v>
      </c>
      <c r="AE56" s="5"/>
      <c r="AF56" s="5"/>
      <c r="AG56" s="5"/>
      <c r="AH56" s="5"/>
      <c r="AI56" s="5"/>
      <c r="AJ56" s="5"/>
      <c r="AK56" s="5"/>
      <c r="AL56" s="5"/>
      <c r="AM56" s="5"/>
      <c r="AO56" s="5"/>
      <c r="AP56" s="5"/>
      <c r="AQ56" s="5"/>
      <c r="AR56" s="5"/>
    </row>
    <row r="57" spans="2:44" s="3" customFormat="1" x14ac:dyDescent="0.25">
      <c r="B57" s="3" t="s">
        <v>129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18512</v>
      </c>
      <c r="AD57" s="5">
        <v>26648</v>
      </c>
      <c r="AE57" s="5"/>
      <c r="AF57" s="5"/>
      <c r="AG57" s="5"/>
      <c r="AH57" s="5"/>
      <c r="AI57" s="5"/>
      <c r="AJ57" s="5"/>
      <c r="AK57" s="5"/>
      <c r="AL57" s="5"/>
      <c r="AM57" s="5"/>
      <c r="AO57" s="5"/>
      <c r="AP57" s="5"/>
      <c r="AQ57" s="5"/>
      <c r="AR57" s="5"/>
    </row>
    <row r="58" spans="2:44" s="3" customFormat="1" x14ac:dyDescent="0.25">
      <c r="B58" s="3" t="s">
        <v>65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5203</v>
      </c>
      <c r="O58" s="5"/>
      <c r="P58" s="5">
        <v>5673</v>
      </c>
      <c r="Q58" s="5">
        <v>6107</v>
      </c>
      <c r="R58" s="5"/>
      <c r="S58" s="5">
        <v>7540</v>
      </c>
      <c r="T58" s="5">
        <v>7781</v>
      </c>
      <c r="U58" s="5">
        <v>8611</v>
      </c>
      <c r="V58" s="5">
        <v>9420</v>
      </c>
      <c r="W58" s="5">
        <v>11106</v>
      </c>
      <c r="X58" s="5">
        <v>12316</v>
      </c>
      <c r="Y58" s="5">
        <v>14364</v>
      </c>
      <c r="Z58" s="5">
        <f>11536+7647</f>
        <v>19183</v>
      </c>
      <c r="AA58" s="5">
        <f>8996+14094</f>
        <v>23090</v>
      </c>
      <c r="AB58" s="5"/>
      <c r="AC58" s="5">
        <v>10820</v>
      </c>
      <c r="AD58" s="5">
        <v>16178</v>
      </c>
      <c r="AE58" s="5"/>
      <c r="AF58" s="5"/>
      <c r="AG58" s="5"/>
      <c r="AH58" s="5"/>
      <c r="AI58" s="5"/>
      <c r="AJ58" s="5"/>
      <c r="AK58" s="5"/>
      <c r="AL58" s="5"/>
      <c r="AM58" s="5"/>
      <c r="AO58" s="5"/>
      <c r="AP58" s="5"/>
      <c r="AQ58" s="5"/>
      <c r="AR58" s="5"/>
    </row>
    <row r="59" spans="2:44" s="3" customFormat="1" x14ac:dyDescent="0.25">
      <c r="B59" s="3" t="s">
        <v>66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-5768</v>
      </c>
      <c r="O59" s="5"/>
      <c r="P59" s="5">
        <f>-4246+470</f>
        <v>-3776</v>
      </c>
      <c r="Q59" s="5">
        <v>-1912</v>
      </c>
      <c r="R59" s="5"/>
      <c r="S59" s="5">
        <v>2841</v>
      </c>
      <c r="T59" s="5">
        <v>4378</v>
      </c>
      <c r="U59" s="5">
        <v>6182</v>
      </c>
      <c r="V59" s="5">
        <v>9239</v>
      </c>
      <c r="W59" s="5">
        <v>11269</v>
      </c>
      <c r="X59" s="5">
        <v>14236</v>
      </c>
      <c r="Y59" s="5">
        <v>17261</v>
      </c>
      <c r="Z59" s="5">
        <v>20969</v>
      </c>
      <c r="AA59" s="5">
        <v>24666</v>
      </c>
      <c r="AB59" s="5"/>
      <c r="AC59" s="5">
        <v>39051</v>
      </c>
      <c r="AD59" s="5">
        <v>43056</v>
      </c>
      <c r="AE59" s="5"/>
      <c r="AF59" s="5"/>
      <c r="AG59" s="5"/>
      <c r="AH59" s="5"/>
      <c r="AI59" s="5"/>
      <c r="AJ59" s="5"/>
      <c r="AK59" s="5"/>
      <c r="AL59" s="5"/>
      <c r="AM59" s="5"/>
      <c r="AO59" s="5"/>
      <c r="AP59" s="5"/>
      <c r="AQ59" s="5"/>
      <c r="AR59" s="5"/>
    </row>
    <row r="60" spans="2:44" s="3" customFormat="1" x14ac:dyDescent="0.25">
      <c r="B60" s="3" t="s">
        <v>67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f>SUM(N51:N59)</f>
        <v>109297</v>
      </c>
      <c r="O60" s="5">
        <f>SUM(O51:O59)</f>
        <v>0</v>
      </c>
      <c r="P60" s="5">
        <f>SUM(P51:P59)</f>
        <v>128469</v>
      </c>
      <c r="Q60" s="5">
        <f>SUM(Q51:Q59)</f>
        <v>131620</v>
      </c>
      <c r="R60" s="5"/>
      <c r="S60" s="5">
        <f t="shared" ref="S60:AD60" si="161">SUM(S51:S59)</f>
        <v>136662</v>
      </c>
      <c r="T60" s="5">
        <f t="shared" si="161"/>
        <v>134324</v>
      </c>
      <c r="U60" s="5">
        <f t="shared" si="161"/>
        <v>137082</v>
      </c>
      <c r="V60" s="5">
        <f t="shared" si="161"/>
        <v>140976</v>
      </c>
      <c r="W60" s="5">
        <f t="shared" si="161"/>
        <v>144214</v>
      </c>
      <c r="X60" s="5">
        <f t="shared" si="161"/>
        <v>148483</v>
      </c>
      <c r="Y60" s="5">
        <f t="shared" si="161"/>
        <v>161378</v>
      </c>
      <c r="Z60" s="5">
        <f t="shared" si="161"/>
        <v>168361</v>
      </c>
      <c r="AA60" s="5">
        <f t="shared" si="161"/>
        <v>180449</v>
      </c>
      <c r="AB60" s="5">
        <f t="shared" si="161"/>
        <v>0</v>
      </c>
      <c r="AC60" s="5">
        <f t="shared" si="161"/>
        <v>245240</v>
      </c>
      <c r="AD60" s="5">
        <f t="shared" si="161"/>
        <v>261759</v>
      </c>
      <c r="AE60" s="5"/>
      <c r="AF60" s="5"/>
      <c r="AG60" s="5"/>
      <c r="AH60" s="5"/>
      <c r="AI60" s="5"/>
      <c r="AJ60" s="5"/>
      <c r="AK60" s="5"/>
      <c r="AL60" s="5"/>
      <c r="AM60" s="5"/>
      <c r="AO60" s="5"/>
      <c r="AP60" s="5"/>
      <c r="AQ60" s="5"/>
      <c r="AR60" s="5"/>
    </row>
    <row r="62" spans="2:44" s="3" customFormat="1" x14ac:dyDescent="0.25">
      <c r="B62" s="3" t="s">
        <v>70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f t="shared" ref="S62:V62" si="162">+S29</f>
        <v>2509</v>
      </c>
      <c r="T62" s="5">
        <f t="shared" si="162"/>
        <v>2733</v>
      </c>
      <c r="U62" s="5">
        <f t="shared" si="162"/>
        <v>2934</v>
      </c>
      <c r="V62" s="5">
        <f t="shared" si="162"/>
        <v>3562</v>
      </c>
      <c r="W62" s="5">
        <f>+W29</f>
        <v>2957</v>
      </c>
      <c r="X62" s="5">
        <f t="shared" ref="X62:AA62" si="163">+X29</f>
        <v>3857</v>
      </c>
      <c r="Y62" s="5">
        <f t="shared" si="163"/>
        <v>3575</v>
      </c>
      <c r="Z62" s="5">
        <f t="shared" si="163"/>
        <v>4034</v>
      </c>
      <c r="AA62" s="5">
        <f t="shared" si="163"/>
        <v>3689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O62" s="5"/>
      <c r="AP62" s="5"/>
      <c r="AQ62" s="5"/>
      <c r="AR62" s="5">
        <f>+AR29</f>
        <v>13293</v>
      </c>
    </row>
    <row r="63" spans="2:44" s="3" customFormat="1" x14ac:dyDescent="0.25">
      <c r="B63" s="3" t="s">
        <v>71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2420</v>
      </c>
      <c r="T63" s="5">
        <f>4923-S63</f>
        <v>2503</v>
      </c>
      <c r="U63" s="5">
        <f>7323-T63-S63</f>
        <v>2400</v>
      </c>
      <c r="V63" s="5">
        <f>10467-U63-T63-S63</f>
        <v>3144</v>
      </c>
      <c r="W63" s="5">
        <v>2929</v>
      </c>
      <c r="X63" s="5">
        <f>6080-W63</f>
        <v>3151</v>
      </c>
      <c r="Y63" s="5">
        <f>9016-X63-W63</f>
        <v>2936</v>
      </c>
      <c r="Z63" s="5">
        <f>12443-Y63-X63-W63</f>
        <v>3427</v>
      </c>
      <c r="AA63" s="5">
        <v>2927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O63" s="5"/>
      <c r="AP63" s="5"/>
      <c r="AQ63" s="5"/>
      <c r="AR63" s="5">
        <v>6717</v>
      </c>
    </row>
    <row r="64" spans="2:44" s="3" customFormat="1" x14ac:dyDescent="0.25">
      <c r="B64" s="3" t="s">
        <v>72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712</v>
      </c>
      <c r="T64" s="5">
        <f>1510-S64</f>
        <v>798</v>
      </c>
      <c r="U64" s="5">
        <f>2318-T64-S64</f>
        <v>808</v>
      </c>
      <c r="V64" s="5">
        <f>3129-U64-T64-S64</f>
        <v>811</v>
      </c>
      <c r="W64" s="5">
        <v>804</v>
      </c>
      <c r="X64" s="5">
        <f>1712-W64</f>
        <v>908</v>
      </c>
      <c r="Y64" s="5">
        <f>2715-X64-W64</f>
        <v>1003</v>
      </c>
      <c r="Z64" s="5">
        <f>3867-Y64-X64-W64</f>
        <v>1152</v>
      </c>
      <c r="AA64" s="5">
        <v>1351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O64" s="5"/>
      <c r="AP64" s="5"/>
      <c r="AQ64" s="5"/>
      <c r="AR64" s="5">
        <v>1972</v>
      </c>
    </row>
    <row r="65" spans="2:44" s="3" customFormat="1" x14ac:dyDescent="0.25">
      <c r="B65" s="3" t="s">
        <v>73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763</v>
      </c>
      <c r="T65" s="5">
        <f>1518-S65</f>
        <v>755</v>
      </c>
      <c r="U65" s="5">
        <f>2267-T65-S65</f>
        <v>749</v>
      </c>
      <c r="V65" s="5">
        <f>3010-U65-T65-S65</f>
        <v>743</v>
      </c>
      <c r="W65" s="5">
        <v>624</v>
      </c>
      <c r="X65" s="5">
        <f>1215-W65</f>
        <v>591</v>
      </c>
      <c r="Y65" s="5">
        <f>1763-X65-W65</f>
        <v>548</v>
      </c>
      <c r="Z65" s="5">
        <f>2307-Y65-X65-W65</f>
        <v>544</v>
      </c>
      <c r="AA65" s="5">
        <v>420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O65" s="5"/>
      <c r="AP65" s="5"/>
      <c r="AQ65" s="5"/>
      <c r="AR65" s="5">
        <v>1150</v>
      </c>
    </row>
    <row r="66" spans="2:44" s="3" customFormat="1" x14ac:dyDescent="0.25">
      <c r="B66" s="3" t="s">
        <v>59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-517</v>
      </c>
      <c r="T66" s="5">
        <f>-1049-S66</f>
        <v>-532</v>
      </c>
      <c r="U66" s="5">
        <f>-1755-T66-S66</f>
        <v>-706</v>
      </c>
      <c r="V66" s="5">
        <f>-2139-U66-T66-S66</f>
        <v>-384</v>
      </c>
      <c r="W66" s="5">
        <v>-151</v>
      </c>
      <c r="X66" s="5">
        <f>-601-W66</f>
        <v>-450</v>
      </c>
      <c r="Y66" s="5">
        <f>-1097-X66-W66</f>
        <v>-496</v>
      </c>
      <c r="Z66" s="5">
        <f>-1637-Y66-X66-W66</f>
        <v>-540</v>
      </c>
      <c r="AA66" s="5">
        <v>515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O66" s="5"/>
      <c r="AP66" s="5"/>
      <c r="AQ66" s="5"/>
      <c r="AR66" s="5">
        <v>-1146</v>
      </c>
    </row>
    <row r="67" spans="2:44" s="3" customFormat="1" x14ac:dyDescent="0.25">
      <c r="B67" s="3" t="s">
        <v>74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849</v>
      </c>
      <c r="T67" s="5">
        <f>1878-S67</f>
        <v>1029</v>
      </c>
      <c r="U67" s="5">
        <f>2927-T67-S67</f>
        <v>1049</v>
      </c>
      <c r="V67" s="5">
        <f>3974-U67-T67-S67</f>
        <v>1047</v>
      </c>
      <c r="W67" s="5">
        <v>1007</v>
      </c>
      <c r="X67" s="5">
        <f>2176-W67</f>
        <v>1169</v>
      </c>
      <c r="Y67" s="5">
        <f>3374-X67-W67</f>
        <v>1198</v>
      </c>
      <c r="Z67" s="5">
        <f>4674-Y67-X67-W67</f>
        <v>1300</v>
      </c>
      <c r="AA67" s="5">
        <v>1124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O67" s="5"/>
      <c r="AP67" s="5"/>
      <c r="AQ67" s="5"/>
      <c r="AR67" s="5">
        <v>2613</v>
      </c>
    </row>
    <row r="68" spans="2:44" s="3" customFormat="1" x14ac:dyDescent="0.25">
      <c r="B68" s="3" t="s">
        <v>75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169</v>
      </c>
      <c r="T68" s="5">
        <f>331-S68</f>
        <v>162</v>
      </c>
      <c r="U68" s="5">
        <f>631-T68-S68</f>
        <v>300</v>
      </c>
      <c r="V68" s="5">
        <f>720-U68-T68-S68</f>
        <v>89</v>
      </c>
      <c r="W68" s="5">
        <v>130</v>
      </c>
      <c r="X68" s="5">
        <f>298-W68</f>
        <v>168</v>
      </c>
      <c r="Y68" s="5">
        <f>422-X68-W68</f>
        <v>124</v>
      </c>
      <c r="Z68" s="5">
        <f>667-Y68-X68-W68</f>
        <v>245</v>
      </c>
      <c r="AA68" s="5">
        <v>164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O68" s="5"/>
      <c r="AP68" s="5"/>
      <c r="AQ68" s="5"/>
      <c r="AR68" s="5">
        <v>220</v>
      </c>
    </row>
    <row r="69" spans="2:44" s="3" customFormat="1" x14ac:dyDescent="0.25">
      <c r="B69" s="3" t="s">
        <v>76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f>380+269-457+69+2317</f>
        <v>2578</v>
      </c>
      <c r="T69" s="5">
        <f>145+301-1048-1541+149-S69</f>
        <v>-4572</v>
      </c>
      <c r="U69" s="5">
        <f>-409+457-682-788+303-T69-S69</f>
        <v>875</v>
      </c>
      <c r="V69" s="5">
        <f>-965+542-594-127+656-U69-T69-S69</f>
        <v>631</v>
      </c>
      <c r="W69" s="5">
        <f>-81+367-531+24+2305</f>
        <v>2084</v>
      </c>
      <c r="X69" s="5">
        <f>-451+676-1143-1685+454-W69</f>
        <v>-4233</v>
      </c>
      <c r="Y69" s="5">
        <f>-312+603-633-1222+35-X69-W69</f>
        <v>620</v>
      </c>
      <c r="Z69" s="5">
        <f>-653+266-608-659+154-Y69-X69-W69</f>
        <v>29</v>
      </c>
      <c r="AA69" s="5">
        <f>-245+59-334-391+2550</f>
        <v>1639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O69" s="5"/>
      <c r="AP69" s="5"/>
      <c r="AQ69" s="5"/>
      <c r="AR69" s="5">
        <f>-874+11-733-398+7</f>
        <v>-1987</v>
      </c>
    </row>
    <row r="70" spans="2:44" s="3" customFormat="1" x14ac:dyDescent="0.25">
      <c r="B70" s="3" t="s">
        <v>77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f t="shared" ref="S70:V70" si="164">SUM(S63:S69)</f>
        <v>6974</v>
      </c>
      <c r="T70" s="5">
        <f t="shared" si="164"/>
        <v>143</v>
      </c>
      <c r="U70" s="5">
        <f t="shared" si="164"/>
        <v>5475</v>
      </c>
      <c r="V70" s="5">
        <f t="shared" si="164"/>
        <v>6081</v>
      </c>
      <c r="W70" s="5">
        <f>SUM(W63:W69)</f>
        <v>7427</v>
      </c>
      <c r="X70" s="5">
        <f t="shared" ref="X70:AA70" si="165">SUM(X63:X69)</f>
        <v>1304</v>
      </c>
      <c r="Y70" s="5">
        <f t="shared" si="165"/>
        <v>5933</v>
      </c>
      <c r="Z70" s="5">
        <f t="shared" si="165"/>
        <v>6157</v>
      </c>
      <c r="AA70" s="5">
        <f t="shared" si="165"/>
        <v>8140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O70" s="5"/>
      <c r="AP70" s="5">
        <v>13139</v>
      </c>
      <c r="AQ70" s="5">
        <v>15887</v>
      </c>
      <c r="AR70" s="5">
        <f>SUM(AR63:AR69)</f>
        <v>9539</v>
      </c>
    </row>
    <row r="72" spans="2:44" s="3" customFormat="1" x14ac:dyDescent="0.25">
      <c r="B72" s="3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-1314</v>
      </c>
      <c r="T72" s="5">
        <f>-2394-S72</f>
        <v>-1080</v>
      </c>
      <c r="U72" s="5">
        <f>-4068-T72-S72</f>
        <v>-1674</v>
      </c>
      <c r="V72" s="5">
        <f>-6866-U72-T72-S72</f>
        <v>-2798</v>
      </c>
      <c r="W72" s="5">
        <v>-2303</v>
      </c>
      <c r="X72" s="5">
        <f>-6273-W72</f>
        <v>-3970</v>
      </c>
      <c r="Y72" s="5">
        <f>-12135-X72-W72</f>
        <v>-5862</v>
      </c>
      <c r="Z72" s="5">
        <f>-21215-Y72-X72-W72</f>
        <v>-9080</v>
      </c>
      <c r="AA72" s="5">
        <v>-8502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O72" s="5"/>
      <c r="AP72" s="5">
        <v>-1564</v>
      </c>
      <c r="AQ72" s="5">
        <v>-2135</v>
      </c>
      <c r="AR72" s="5">
        <v>-4511</v>
      </c>
    </row>
    <row r="73" spans="2:44" s="3" customFormat="1" x14ac:dyDescent="0.25">
      <c r="B73" s="3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0</v>
      </c>
      <c r="T73" s="5">
        <f>-59-S73</f>
        <v>-59</v>
      </c>
      <c r="U73" s="5">
        <f>-59-T73-S73</f>
        <v>0</v>
      </c>
      <c r="V73" s="5">
        <f>-63-U73-T73-S73</f>
        <v>-4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O73" s="5"/>
      <c r="AP73" s="5"/>
      <c r="AQ73" s="5"/>
      <c r="AR73" s="5">
        <v>-148</v>
      </c>
    </row>
    <row r="74" spans="2:44" s="3" customFormat="1" x14ac:dyDescent="0.25">
      <c r="B74" s="3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f>-333+85</f>
        <v>-248</v>
      </c>
      <c r="T74" s="5">
        <f>-515+157-S74</f>
        <v>-110</v>
      </c>
      <c r="U74" s="5">
        <f>-674+207-T74-S74</f>
        <v>-109</v>
      </c>
      <c r="V74" s="5">
        <f>-1003+572-U74-T74-S74</f>
        <v>36</v>
      </c>
      <c r="W74" s="5">
        <f>15-477</f>
        <v>-462</v>
      </c>
      <c r="X74" s="5">
        <f>356-636-W74</f>
        <v>182</v>
      </c>
      <c r="Y74" s="5">
        <f>-838+444-X74-W74</f>
        <v>-114</v>
      </c>
      <c r="Z74" s="5">
        <f>-1272+776-Y74-X74-W74</f>
        <v>-102</v>
      </c>
      <c r="AA74" s="5">
        <f>-471+255</f>
        <v>-216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O74" s="5"/>
      <c r="AP74" s="5"/>
      <c r="AQ74" s="5"/>
      <c r="AR74" s="5"/>
    </row>
    <row r="75" spans="2:44" s="3" customFormat="1" x14ac:dyDescent="0.25">
      <c r="B75" s="3" t="s">
        <v>105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f t="shared" ref="S75:AA75" si="166">SUM(S72:S74)</f>
        <v>-1562</v>
      </c>
      <c r="T75" s="5">
        <f t="shared" si="166"/>
        <v>-1249</v>
      </c>
      <c r="U75" s="5">
        <f t="shared" si="166"/>
        <v>-1783</v>
      </c>
      <c r="V75" s="5">
        <f t="shared" si="166"/>
        <v>-2766</v>
      </c>
      <c r="W75" s="5">
        <f t="shared" si="166"/>
        <v>-2765</v>
      </c>
      <c r="X75" s="5">
        <f t="shared" si="166"/>
        <v>-3788</v>
      </c>
      <c r="Y75" s="5">
        <f t="shared" si="166"/>
        <v>-5976</v>
      </c>
      <c r="Z75" s="5">
        <f t="shared" si="166"/>
        <v>-9182</v>
      </c>
      <c r="AA75" s="5">
        <f t="shared" si="166"/>
        <v>-8718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O75" s="5"/>
      <c r="AP75" s="5"/>
      <c r="AQ75" s="5"/>
      <c r="AR75" s="5"/>
    </row>
    <row r="76" spans="2:44" s="3" customFormat="1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O76" s="5"/>
      <c r="AP76" s="5"/>
      <c r="AQ76" s="5"/>
      <c r="AR76" s="5"/>
    </row>
    <row r="77" spans="2:44" s="3" customFormat="1" x14ac:dyDescent="0.25">
      <c r="B77" s="3" t="s">
        <v>106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>-150+308-1060</f>
        <v>-902</v>
      </c>
      <c r="T77" s="5">
        <f>-600+426-1733-S77</f>
        <v>-1005</v>
      </c>
      <c r="U77" s="5">
        <f>-1050+454-1865-T77-S77</f>
        <v>-554</v>
      </c>
      <c r="V77" s="5">
        <f>-1202+742-2040-U77-T77-S77</f>
        <v>-39</v>
      </c>
      <c r="W77" s="5">
        <f>-150+179-851</f>
        <v>-822</v>
      </c>
      <c r="X77" s="5">
        <f>-300+307-898-W77</f>
        <v>-69</v>
      </c>
      <c r="Y77" s="5">
        <f>-450+520-900-X77-W77</f>
        <v>61</v>
      </c>
      <c r="Z77" s="5">
        <f>-600+653-900-Y77-X77-W77</f>
        <v>-17</v>
      </c>
      <c r="AA77" s="5">
        <f>-95+1170-17</f>
        <v>1058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O77" s="5"/>
      <c r="AP77" s="5"/>
      <c r="AQ77" s="5"/>
      <c r="AR77" s="5"/>
    </row>
    <row r="78" spans="2:44" s="3" customFormat="1" x14ac:dyDescent="0.25">
      <c r="B78" s="3" t="s">
        <v>107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-1091</v>
      </c>
      <c r="T78" s="5">
        <f>-2190-S78</f>
        <v>-1099</v>
      </c>
      <c r="U78" s="5">
        <f>-3289-T78-S78</f>
        <v>-1099</v>
      </c>
      <c r="V78" s="5">
        <f>-4391-U78-T78-S78</f>
        <v>-1102</v>
      </c>
      <c r="W78" s="5">
        <v>-1103</v>
      </c>
      <c r="X78" s="5">
        <f>-2221-W78</f>
        <v>-1118</v>
      </c>
      <c r="Y78" s="5">
        <f>-3340-X78-W78</f>
        <v>-1119</v>
      </c>
      <c r="Z78" s="5">
        <f>-4743-Y78-X78-W78</f>
        <v>-1403</v>
      </c>
      <c r="AA78" s="5">
        <v>-1413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O78" s="5"/>
      <c r="AP78" s="5"/>
      <c r="AQ78" s="5"/>
      <c r="AR78" s="5"/>
    </row>
    <row r="79" spans="2:44" s="3" customFormat="1" x14ac:dyDescent="0.25">
      <c r="B79" s="3" t="s">
        <v>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f>-562-1000</f>
        <v>-1562</v>
      </c>
      <c r="T79" s="5">
        <f>1749-3500-S79</f>
        <v>-189</v>
      </c>
      <c r="U79" s="5">
        <f>936-3500-T79-S79</f>
        <v>-813</v>
      </c>
      <c r="V79" s="5">
        <f>-167-3500+4-U79-T79-S79</f>
        <v>-1099</v>
      </c>
      <c r="W79" s="5">
        <f>-396+5627-7630</f>
        <v>-2399</v>
      </c>
      <c r="X79" s="5">
        <f>-396+11837-9700-W79</f>
        <v>4140</v>
      </c>
      <c r="Y79" s="5">
        <f>-396+19548-9771-X79-W79</f>
        <v>7640</v>
      </c>
      <c r="Z79" s="5">
        <f>1889+19548-15841-Y79-X79-W79</f>
        <v>-3785</v>
      </c>
      <c r="AA79" s="5">
        <f>-238-1052</f>
        <v>-1290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O79" s="5"/>
      <c r="AP79" s="5"/>
      <c r="AQ79" s="5"/>
      <c r="AR79" s="5"/>
    </row>
    <row r="80" spans="2:44" s="3" customFormat="1" x14ac:dyDescent="0.25">
      <c r="B80" s="3" t="s">
        <v>75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27</v>
      </c>
      <c r="T80" s="5">
        <f>31-S80</f>
        <v>4</v>
      </c>
      <c r="U80" s="5">
        <f>34-T80-S80</f>
        <v>3</v>
      </c>
      <c r="V80" s="5">
        <f>0-U80-T80-S80</f>
        <v>-34</v>
      </c>
      <c r="W80" s="5">
        <v>-261</v>
      </c>
      <c r="X80" s="5">
        <f>-276-W80</f>
        <v>-15</v>
      </c>
      <c r="Y80" s="5">
        <f>-299-X80-W80</f>
        <v>-23</v>
      </c>
      <c r="Z80" s="5">
        <f>1092-Y80-X80-W80</f>
        <v>1391</v>
      </c>
      <c r="AA80" s="5">
        <v>1855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O80" s="5"/>
      <c r="AP80" s="5"/>
      <c r="AQ80" s="5"/>
      <c r="AR80" s="5"/>
    </row>
    <row r="81" spans="2:44" s="3" customFormat="1" x14ac:dyDescent="0.25">
      <c r="B81" s="3" t="s">
        <v>108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f>SUM(S77:S80)</f>
        <v>-3528</v>
      </c>
      <c r="T81" s="5">
        <f>SUM(T77:T80)</f>
        <v>-2289</v>
      </c>
      <c r="U81" s="5">
        <f>SUM(U77:U80)</f>
        <v>-2463</v>
      </c>
      <c r="V81" s="5">
        <f>SUM(V77:V80)</f>
        <v>-2274</v>
      </c>
      <c r="W81" s="5">
        <f>SUM(W77:W80)</f>
        <v>-4585</v>
      </c>
      <c r="X81" s="5">
        <f t="shared" ref="X81:AA81" si="167">SUM(X77:X80)</f>
        <v>2938</v>
      </c>
      <c r="Y81" s="5">
        <f t="shared" si="167"/>
        <v>6559</v>
      </c>
      <c r="Z81" s="5">
        <f t="shared" si="167"/>
        <v>-3814</v>
      </c>
      <c r="AA81" s="5">
        <f t="shared" si="167"/>
        <v>210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O81" s="5"/>
      <c r="AP81" s="5"/>
      <c r="AQ81" s="5"/>
      <c r="AR81" s="5"/>
    </row>
    <row r="82" spans="2:44" s="3" customFormat="1" x14ac:dyDescent="0.25">
      <c r="B82" s="3" t="s">
        <v>109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-36</v>
      </c>
      <c r="T82" s="5">
        <f>-10-S82</f>
        <v>26</v>
      </c>
      <c r="U82" s="5">
        <f>-2-T82-S82</f>
        <v>8</v>
      </c>
      <c r="V82" s="5">
        <f>-70-U82-T82-S82</f>
        <v>-68</v>
      </c>
      <c r="W82" s="5">
        <v>85</v>
      </c>
      <c r="X82" s="5">
        <f>-44-W82</f>
        <v>-129</v>
      </c>
      <c r="Y82" s="5">
        <f>-95-X82-W82</f>
        <v>-51</v>
      </c>
      <c r="Z82" s="5">
        <f>124-Y82-X82-W82</f>
        <v>219</v>
      </c>
      <c r="AA82" s="5">
        <v>27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O82" s="5"/>
      <c r="AP82" s="5"/>
      <c r="AQ82" s="5"/>
      <c r="AR82" s="5"/>
    </row>
    <row r="83" spans="2:44" s="3" customFormat="1" x14ac:dyDescent="0.25">
      <c r="B83" s="3" t="s">
        <v>110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f>+S81+S82+S75+S70</f>
        <v>1848</v>
      </c>
      <c r="T83" s="5">
        <f>+T81+T82+T75+T70</f>
        <v>-3369</v>
      </c>
      <c r="U83" s="5">
        <f>+U81+U82+U75+U70</f>
        <v>1237</v>
      </c>
      <c r="V83" s="5">
        <f>+V81+V82+V75+V70</f>
        <v>973</v>
      </c>
      <c r="W83" s="5">
        <f>+W81+W82+W75+W70</f>
        <v>162</v>
      </c>
      <c r="X83" s="5">
        <f t="shared" ref="X83:AA83" si="168">+X81+X82+X75+X70</f>
        <v>325</v>
      </c>
      <c r="Y83" s="5">
        <f t="shared" si="168"/>
        <v>6465</v>
      </c>
      <c r="Z83" s="5">
        <f t="shared" si="168"/>
        <v>-6620</v>
      </c>
      <c r="AA83" s="5">
        <f t="shared" si="168"/>
        <v>-341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O83" s="5"/>
      <c r="AP83" s="5"/>
      <c r="AQ83" s="5"/>
      <c r="AR83" s="5"/>
    </row>
  </sheetData>
  <hyperlinks>
    <hyperlink ref="A1" location="Main!A1" display="Main" xr:uid="{9063304A-9B64-48AF-9309-873C7B521AD3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2022-06-26T21:24:14Z</dcterms:created>
  <dcterms:modified xsi:type="dcterms:W3CDTF">2026-08-17T02:17:10Z</dcterms:modified>
</cp:coreProperties>
</file>