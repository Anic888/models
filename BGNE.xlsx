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CEDC24C-96DD-4DD8-8B4E-0D48A48F058D}" xr6:coauthVersionLast="47" xr6:coauthVersionMax="47" xr10:uidLastSave="{00000000-0000-0000-0000-000000000000}"/>
  <bookViews>
    <workbookView xWindow="20880" yWindow="3490" windowWidth="19050" windowHeight="16100" xr2:uid="{ECF363C9-B515-44DE-94FD-36ED756098F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/>
  <c r="L3" i="1"/>
  <c r="L4" i="1"/>
  <c r="L7" i="1" s="1"/>
</calcChain>
</file>

<file path=xl/sharedStrings.xml><?xml version="1.0" encoding="utf-8"?>
<sst xmlns="http://schemas.openxmlformats.org/spreadsheetml/2006/main" count="74" uniqueCount="68">
  <si>
    <t>Price</t>
  </si>
  <si>
    <t>Shares</t>
  </si>
  <si>
    <t>MC</t>
  </si>
  <si>
    <t>Cash</t>
  </si>
  <si>
    <t>Debt</t>
  </si>
  <si>
    <t>EV</t>
  </si>
  <si>
    <t>6160 HK</t>
  </si>
  <si>
    <t>688235 CH</t>
  </si>
  <si>
    <t>Global Head of R&amp;D: Lai Wang</t>
  </si>
  <si>
    <t>Brand</t>
  </si>
  <si>
    <t>Generic</t>
  </si>
  <si>
    <t>Brukinsa</t>
  </si>
  <si>
    <t>Indication</t>
  </si>
  <si>
    <t>MOA</t>
  </si>
  <si>
    <t>BTK</t>
  </si>
  <si>
    <t>Approved</t>
  </si>
  <si>
    <t>Economics</t>
  </si>
  <si>
    <t>IP</t>
  </si>
  <si>
    <t>Phase</t>
  </si>
  <si>
    <t>tislelizumab</t>
  </si>
  <si>
    <t>PD-1</t>
  </si>
  <si>
    <t>Q121</t>
  </si>
  <si>
    <t>Main</t>
  </si>
  <si>
    <t>Revenue</t>
  </si>
  <si>
    <t>Q120</t>
  </si>
  <si>
    <t>Q220</t>
  </si>
  <si>
    <t>Q320</t>
  </si>
  <si>
    <t>Q420</t>
  </si>
  <si>
    <t>Q221</t>
  </si>
  <si>
    <t>Q321</t>
  </si>
  <si>
    <t>Q421</t>
  </si>
  <si>
    <t>Q122</t>
  </si>
  <si>
    <t>Q222</t>
  </si>
  <si>
    <t>Q322</t>
  </si>
  <si>
    <t>Q422</t>
  </si>
  <si>
    <t>China</t>
  </si>
  <si>
    <t>Blincyto</t>
  </si>
  <si>
    <t>Kyprolis</t>
  </si>
  <si>
    <t>Revlimid</t>
  </si>
  <si>
    <t>AMGN</t>
  </si>
  <si>
    <t>BMY</t>
  </si>
  <si>
    <t>ociperlimab</t>
  </si>
  <si>
    <t>NVS</t>
  </si>
  <si>
    <t>100%?</t>
  </si>
  <si>
    <t>MCL, WM, MZL</t>
  </si>
  <si>
    <t>zanubrutinib</t>
  </si>
  <si>
    <t>eSCC</t>
  </si>
  <si>
    <t>TIGIT</t>
  </si>
  <si>
    <t>BGB-A445</t>
  </si>
  <si>
    <t>OX40 mab</t>
  </si>
  <si>
    <t>BGB-15025</t>
  </si>
  <si>
    <t>HPK1 inhibitor</t>
  </si>
  <si>
    <t>BGB-10188</t>
  </si>
  <si>
    <t>PI3Kdelta inhibitor</t>
  </si>
  <si>
    <t>BGB-23339</t>
  </si>
  <si>
    <t>TYK2 inhibitor</t>
  </si>
  <si>
    <t>BGB-16673</t>
  </si>
  <si>
    <t>BTK Protac</t>
  </si>
  <si>
    <t>blinatumomab</t>
  </si>
  <si>
    <t>zanidatamab</t>
  </si>
  <si>
    <t>HER2 mab</t>
  </si>
  <si>
    <t>Pobevcy</t>
  </si>
  <si>
    <t>pamiparib</t>
  </si>
  <si>
    <t>BGB-11417</t>
  </si>
  <si>
    <t>BCL-2</t>
  </si>
  <si>
    <t>LBL-007</t>
  </si>
  <si>
    <t>LAG-3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</si>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</sst>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9774A8-BF92-4D00-BA82-432C4C370C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AD9C-ECF7-494A-A17A-9227C0123BFA}">
  <dimension ref="B2:M19"/>
  <sheetViews>
    <sheetView tabSelected="1" zoomScale="115" zoomScaleNormal="115" workbookViewId="0">
      <selection activeCell="M12" sqref="M12"/>
    </sheetView>
  </sheetViews>
  <sheetFormatPr defaultRowHeight="12.5" x14ac:dyDescent="0.25"/>
  <cols>
    <col min="1" max="1" width="3.453125" customWidth="1"/>
    <col min="2" max="2" width="12.54296875" customWidth="1"/>
    <col min="3" max="3" width="13.81640625" customWidth="1"/>
    <col min="7" max="7" width="11.7265625" customWidth="1"/>
  </cols>
  <sheetData>
    <row r="2" spans="2:13" x14ac:dyDescent="0.25">
      <c r="B2" s="2" t="s">
        <v>9</v>
      </c>
      <c r="C2" s="3" t="s">
        <v>10</v>
      </c>
      <c r="D2" s="3" t="s">
        <v>12</v>
      </c>
      <c r="E2" s="3" t="s">
        <v>13</v>
      </c>
      <c r="F2" s="3" t="s">
        <v>15</v>
      </c>
      <c r="G2" s="3" t="s">
        <v>16</v>
      </c>
      <c r="H2" s="4" t="s">
        <v>17</v>
      </c>
      <c r="K2" t="s">
        <v>0</v>
      </c>
      <c r="L2" s="1">
        <v>316</v>
      </c>
    </row>
    <row r="3" spans="2:13" x14ac:dyDescent="0.25">
      <c r="B3" s="5" t="s">
        <v>11</v>
      </c>
      <c r="C3" t="s">
        <v>45</v>
      </c>
      <c r="D3" t="s">
        <v>44</v>
      </c>
      <c r="E3" t="s">
        <v>14</v>
      </c>
      <c r="G3" t="s">
        <v>43</v>
      </c>
      <c r="H3" s="6"/>
      <c r="K3" t="s">
        <v>1</v>
      </c>
      <c r="L3" s="11">
        <f>1445.262342/13</f>
        <v>111.1740263076923</v>
      </c>
      <c r="M3" s="10" t="s">
        <v>67</v>
      </c>
    </row>
    <row r="4" spans="2:13" x14ac:dyDescent="0.25">
      <c r="B4" s="5"/>
      <c r="C4" t="s">
        <v>19</v>
      </c>
      <c r="D4" t="s">
        <v>46</v>
      </c>
      <c r="E4" t="s">
        <v>20</v>
      </c>
      <c r="F4" t="s">
        <v>35</v>
      </c>
      <c r="G4" t="s">
        <v>42</v>
      </c>
      <c r="H4" s="6"/>
      <c r="K4" t="s">
        <v>2</v>
      </c>
      <c r="L4" s="11">
        <f>L2*L3</f>
        <v>35130.992313230767</v>
      </c>
      <c r="M4" s="10"/>
    </row>
    <row r="5" spans="2:13" x14ac:dyDescent="0.25">
      <c r="B5" s="5" t="s">
        <v>36</v>
      </c>
      <c r="C5" t="s">
        <v>58</v>
      </c>
      <c r="G5" t="s">
        <v>39</v>
      </c>
      <c r="H5" s="6"/>
      <c r="K5" t="s">
        <v>3</v>
      </c>
      <c r="L5" s="11">
        <v>4791.6760000000004</v>
      </c>
      <c r="M5" s="10" t="s">
        <v>67</v>
      </c>
    </row>
    <row r="6" spans="2:13" x14ac:dyDescent="0.25">
      <c r="B6" s="5" t="s">
        <v>37</v>
      </c>
      <c r="G6" t="s">
        <v>39</v>
      </c>
      <c r="H6" s="6"/>
      <c r="K6" t="s">
        <v>4</v>
      </c>
      <c r="L6" s="11">
        <f>116.14+962.515</f>
        <v>1078.655</v>
      </c>
      <c r="M6" s="10" t="s">
        <v>67</v>
      </c>
    </row>
    <row r="7" spans="2:13" x14ac:dyDescent="0.25">
      <c r="B7" s="5" t="s">
        <v>61</v>
      </c>
      <c r="H7" s="6"/>
      <c r="K7" t="s">
        <v>5</v>
      </c>
      <c r="L7" s="11">
        <f>L4-L5+L6</f>
        <v>31417.971313230766</v>
      </c>
    </row>
    <row r="8" spans="2:13" x14ac:dyDescent="0.25">
      <c r="B8" s="7" t="s">
        <v>38</v>
      </c>
      <c r="C8" s="8"/>
      <c r="D8" s="8"/>
      <c r="E8" s="8"/>
      <c r="F8" s="8"/>
      <c r="G8" s="8" t="s">
        <v>40</v>
      </c>
      <c r="H8" s="9"/>
    </row>
    <row r="9" spans="2:13" x14ac:dyDescent="0.25">
      <c r="B9" s="2"/>
      <c r="C9" s="3"/>
      <c r="D9" s="3"/>
      <c r="E9" s="3"/>
      <c r="F9" s="3" t="s">
        <v>18</v>
      </c>
      <c r="G9" s="3"/>
      <c r="H9" s="4"/>
      <c r="K9" t="s">
        <v>6</v>
      </c>
    </row>
    <row r="10" spans="2:13" x14ac:dyDescent="0.25">
      <c r="B10" s="5"/>
      <c r="C10" t="s">
        <v>41</v>
      </c>
      <c r="E10" t="s">
        <v>47</v>
      </c>
      <c r="G10" t="s">
        <v>42</v>
      </c>
      <c r="H10" s="6"/>
      <c r="K10" t="s">
        <v>7</v>
      </c>
    </row>
    <row r="11" spans="2:13" x14ac:dyDescent="0.25">
      <c r="B11" s="5" t="s">
        <v>48</v>
      </c>
      <c r="E11" t="s">
        <v>49</v>
      </c>
      <c r="H11" s="6"/>
    </row>
    <row r="12" spans="2:13" x14ac:dyDescent="0.25">
      <c r="B12" s="5"/>
      <c r="C12" t="s">
        <v>62</v>
      </c>
      <c r="H12" s="6"/>
      <c r="K12" t="s">
        <v>8</v>
      </c>
    </row>
    <row r="13" spans="2:13" x14ac:dyDescent="0.25">
      <c r="B13" s="5" t="s">
        <v>50</v>
      </c>
      <c r="E13" t="s">
        <v>51</v>
      </c>
      <c r="H13" s="6"/>
    </row>
    <row r="14" spans="2:13" x14ac:dyDescent="0.25">
      <c r="B14" s="5" t="s">
        <v>65</v>
      </c>
      <c r="E14" t="s">
        <v>66</v>
      </c>
      <c r="H14" s="6"/>
    </row>
    <row r="15" spans="2:13" x14ac:dyDescent="0.25">
      <c r="B15" s="5" t="s">
        <v>63</v>
      </c>
      <c r="E15" t="s">
        <v>64</v>
      </c>
      <c r="H15" s="6"/>
    </row>
    <row r="16" spans="2:13" x14ac:dyDescent="0.25">
      <c r="B16" s="5" t="s">
        <v>52</v>
      </c>
      <c r="E16" t="s">
        <v>53</v>
      </c>
      <c r="H16" s="6"/>
    </row>
    <row r="17" spans="2:8" x14ac:dyDescent="0.25">
      <c r="B17" s="5" t="s">
        <v>56</v>
      </c>
      <c r="E17" t="s">
        <v>57</v>
      </c>
      <c r="H17" s="6"/>
    </row>
    <row r="18" spans="2:8" x14ac:dyDescent="0.25">
      <c r="B18" s="5"/>
      <c r="C18" t="s">
        <v>59</v>
      </c>
      <c r="E18" t="s">
        <v>60</v>
      </c>
      <c r="H18" s="6"/>
    </row>
    <row r="19" spans="2:8" x14ac:dyDescent="0.25">
      <c r="B19" s="7" t="s">
        <v>54</v>
      </c>
      <c r="C19" s="8"/>
      <c r="D19" s="8"/>
      <c r="E19" s="8" t="s">
        <v>55</v>
      </c>
      <c r="F19" s="8"/>
      <c r="G19" s="8"/>
      <c r="H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31FD-6091-4033-9588-A2B60C306ED2}">
  <dimension ref="A1:N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RowHeight="12.5" x14ac:dyDescent="0.25"/>
  <cols>
    <col min="1" max="1" width="5" bestFit="1" customWidth="1"/>
    <col min="3" max="14" width="9.1796875" style="10"/>
  </cols>
  <sheetData>
    <row r="1" spans="1:14" x14ac:dyDescent="0.25">
      <c r="A1" t="s">
        <v>22</v>
      </c>
    </row>
    <row r="2" spans="1:14" x14ac:dyDescent="0.25"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21</v>
      </c>
      <c r="H2" s="10" t="s">
        <v>28</v>
      </c>
      <c r="I2" s="10" t="s">
        <v>29</v>
      </c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</row>
    <row r="3" spans="1:14" x14ac:dyDescent="0.25">
      <c r="B3" t="s">
        <v>11</v>
      </c>
      <c r="G3" s="10">
        <v>22.1</v>
      </c>
      <c r="K3" s="10">
        <v>104.3</v>
      </c>
    </row>
    <row r="4" spans="1:14" x14ac:dyDescent="0.25">
      <c r="B4" t="s">
        <v>19</v>
      </c>
      <c r="G4" s="10">
        <v>48.9</v>
      </c>
      <c r="K4" s="10">
        <v>87.6</v>
      </c>
    </row>
    <row r="5" spans="1:14" x14ac:dyDescent="0.25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2022-07-20T18:43:11Z</dcterms:created>
  <dcterms:modified xsi:type="dcterms:W3CDTF">2026-08-01T14:28:45Z</dcterms:modified>
</cp:coreProperties>
</file>