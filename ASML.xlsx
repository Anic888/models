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073AB92-6A9E-4064-861A-7F151D6A7267}" xr6:coauthVersionLast="47" xr6:coauthVersionMax="47" xr10:uidLastSave="{00000000-0000-0000-0000-000000000000}"/>
  <bookViews>
    <workbookView xWindow="17610" yWindow="6820" windowWidth="19890" windowHeight="10280" activeTab="1" xr2:uid="{0CB1B3B1-96D5-464B-8AAB-50F0DEF2837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K9" i="2"/>
  <c r="O9" i="2"/>
  <c r="L9" i="2"/>
  <c r="N9" i="2"/>
  <c r="T14" i="2"/>
  <c r="T15" i="2" s="1"/>
  <c r="S14" i="2"/>
  <c r="S15" i="2" s="1"/>
  <c r="R14" i="2"/>
  <c r="R15" i="2" s="1"/>
  <c r="Q14" i="2"/>
  <c r="Q15" i="2" s="1"/>
  <c r="P14" i="2"/>
  <c r="P15" i="2" s="1"/>
  <c r="O14" i="2"/>
  <c r="O15" i="2" s="1"/>
  <c r="N14" i="2"/>
  <c r="N15" i="2" s="1"/>
  <c r="M14" i="2"/>
  <c r="M15" i="2" s="1"/>
  <c r="T11" i="2"/>
  <c r="S9" i="2"/>
  <c r="R9" i="2"/>
  <c r="Q9" i="2"/>
  <c r="P9" i="2"/>
  <c r="T9" i="2"/>
  <c r="L5" i="1"/>
  <c r="L4" i="1"/>
  <c r="L7" i="1" s="1"/>
  <c r="L11" i="2"/>
  <c r="L14" i="2"/>
  <c r="K14" i="2"/>
  <c r="K15" i="2" s="1"/>
  <c r="J14" i="2"/>
  <c r="J15" i="2" s="1"/>
  <c r="I14" i="2"/>
  <c r="I15" i="2" s="1"/>
  <c r="H14" i="2"/>
  <c r="H11" i="2"/>
  <c r="H15" i="2" s="1"/>
  <c r="L15" i="2" l="1"/>
  <c r="L17" i="2" s="1"/>
  <c r="L19" i="2" s="1"/>
</calcChain>
</file>

<file path=xl/sharedStrings.xml><?xml version="1.0" encoding="utf-8"?>
<sst xmlns="http://schemas.openxmlformats.org/spreadsheetml/2006/main" count="41" uniqueCount="38">
  <si>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</si>
  <si>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</si>
  <si>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</si>
  <si>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</si>
  <si>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</si>
  <si>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</si>
  <si>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</si>
  <si>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</si>
  <si>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</si>
  <si>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</si>
  <si>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</si>
  <si>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</si>
  <si>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</si>
  <si>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</si>
  <si>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</si>
  <si>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</si>
  <si>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</si>
  <si>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</si>
  <si>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</si>
  <si>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</si>
  <si>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Units</t>
  </si>
  <si>
    <t>Bookings</t>
  </si>
  <si>
    <t>COGS</t>
  </si>
  <si>
    <t>Gross Profit</t>
  </si>
  <si>
    <t>R&amp;D</t>
  </si>
  <si>
    <t>SG&amp;A</t>
  </si>
  <si>
    <t>Operating Expenses</t>
  </si>
  <si>
    <t>Operating Income</t>
  </si>
  <si>
    <t>Q125</t>
  </si>
  <si>
    <t>Q225</t>
  </si>
  <si>
    <t>Q325</t>
  </si>
  <si>
    <t>Q425</t>
  </si>
  <si>
    <t>Q126</t>
  </si>
  <si>
    <t>Q226</t>
  </si>
  <si>
    <t>Q326</t>
  </si>
  <si>
    <t>Q426</t>
  </si>
  <si>
    <t>System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</si>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</sst>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9B50-704A-034F-8093-37F7EA0858AE}">
  <dimension ref="K2:M7"/>
  <sheetViews>
    <sheetView zoomScale="140" zoomScaleNormal="140" workbookViewId="0">
      <selection activeCell="L2" sqref="L2"/>
    </sheetView>
  </sheetViews>
  <sheetFormatPr defaultColWidth="10.6640625" defaultRowHeight="12.5" x14ac:dyDescent="0.25"/>
  <cols>
    <col min="1" max="12" width="10.6640625" style="1"/>
    <col min="13" max="13" width="6.83203125" style="1" customWidth="1"/>
    <col min="14" max="16384" width="10.6640625" style="1"/>
  </cols>
  <sheetData>
    <row r="2" spans="11:13" x14ac:dyDescent="0.25">
      <c r="K2" s="1" t="s">
        <v>0</v>
      </c>
      <c r="L2" s="2">
        <v>684</v>
      </c>
    </row>
    <row r="3" spans="11:13" x14ac:dyDescent="0.25">
      <c r="K3" s="1" t="s">
        <v>1</v>
      </c>
      <c r="L3" s="3">
        <v>393.5</v>
      </c>
      <c r="M3" s="4" t="s">
        <v>17</v>
      </c>
    </row>
    <row r="4" spans="11:13" x14ac:dyDescent="0.25">
      <c r="K4" s="1" t="s">
        <v>2</v>
      </c>
      <c r="L4" s="3">
        <f>L2*L3</f>
        <v>269154</v>
      </c>
    </row>
    <row r="5" spans="11:13" x14ac:dyDescent="0.25">
      <c r="K5" s="1" t="s">
        <v>3</v>
      </c>
      <c r="L5" s="3">
        <f>4813.6+205.3+1002.3</f>
        <v>6021.2000000000007</v>
      </c>
      <c r="M5" s="4" t="s">
        <v>17</v>
      </c>
    </row>
    <row r="6" spans="11:13" x14ac:dyDescent="0.25">
      <c r="K6" s="1" t="s">
        <v>4</v>
      </c>
      <c r="L6" s="3">
        <v>4608.2</v>
      </c>
      <c r="M6" s="4" t="s">
        <v>17</v>
      </c>
    </row>
    <row r="7" spans="11:13" x14ac:dyDescent="0.25">
      <c r="K7" s="1" t="s">
        <v>5</v>
      </c>
      <c r="L7" s="3">
        <f>L4-L5+L6</f>
        <v>267741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5B56-48A6-214D-919A-AB73CF1B0447}">
  <dimension ref="A1:V19"/>
  <sheetViews>
    <sheetView tabSelected="1" zoomScale="145" zoomScaleNormal="14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ColWidth="10.6640625" defaultRowHeight="12.5" x14ac:dyDescent="0.25"/>
  <cols>
    <col min="1" max="1" width="5.1640625" style="1" bestFit="1" customWidth="1"/>
    <col min="2" max="2" width="17.1640625" style="1" bestFit="1" customWidth="1"/>
    <col min="3" max="10" width="7.58203125" style="4" customWidth="1"/>
    <col min="11" max="22" width="7.08203125" style="4" customWidth="1"/>
    <col min="23" max="16384" width="10.6640625" style="1"/>
  </cols>
  <sheetData>
    <row r="1" spans="1:22" x14ac:dyDescent="0.25">
      <c r="A1" s="1" t="s">
        <v>6</v>
      </c>
    </row>
    <row r="2" spans="1:22" x14ac:dyDescent="0.25"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x14ac:dyDescent="0.25">
      <c r="B3" s="1" t="s">
        <v>20</v>
      </c>
      <c r="H3" s="4">
        <v>113</v>
      </c>
      <c r="I3" s="4">
        <v>112</v>
      </c>
      <c r="J3" s="4">
        <v>124</v>
      </c>
      <c r="K3" s="4">
        <v>70</v>
      </c>
      <c r="L3" s="4">
        <v>100</v>
      </c>
    </row>
    <row r="4" spans="1:22" x14ac:dyDescent="0.25">
      <c r="B4" s="1" t="s">
        <v>21</v>
      </c>
      <c r="H4" s="4">
        <v>4500</v>
      </c>
      <c r="I4" s="4">
        <v>2602</v>
      </c>
      <c r="J4" s="4">
        <v>9186</v>
      </c>
      <c r="K4" s="4">
        <v>3611</v>
      </c>
      <c r="L4" s="4">
        <v>5567</v>
      </c>
    </row>
    <row r="7" spans="1:22" s="3" customFormat="1" x14ac:dyDescent="0.25">
      <c r="B7" s="3" t="s">
        <v>36</v>
      </c>
      <c r="C7" s="5"/>
      <c r="D7" s="5"/>
      <c r="E7" s="5"/>
      <c r="F7" s="5"/>
      <c r="G7" s="5"/>
      <c r="H7" s="5"/>
      <c r="I7" s="5">
        <v>5308.2</v>
      </c>
      <c r="J7" s="5">
        <v>5926</v>
      </c>
      <c r="K7" s="8">
        <v>3965.9</v>
      </c>
      <c r="L7" s="8">
        <v>4760.8999999999996</v>
      </c>
      <c r="M7" s="8">
        <v>5926</v>
      </c>
      <c r="N7" s="8">
        <v>7115.9</v>
      </c>
      <c r="O7" s="8">
        <v>5740.4</v>
      </c>
      <c r="P7" s="8">
        <v>5596.1</v>
      </c>
      <c r="Q7" s="8">
        <v>5553.8</v>
      </c>
      <c r="R7" s="8">
        <v>7584</v>
      </c>
      <c r="S7" s="8">
        <v>6279.4</v>
      </c>
      <c r="T7" s="8">
        <v>6564.8</v>
      </c>
      <c r="U7" s="5"/>
      <c r="V7" s="5"/>
    </row>
    <row r="8" spans="1:22" s="3" customFormat="1" x14ac:dyDescent="0.25">
      <c r="B8" s="3" t="s">
        <v>37</v>
      </c>
      <c r="C8" s="5"/>
      <c r="D8" s="5"/>
      <c r="E8" s="5"/>
      <c r="F8" s="5"/>
      <c r="G8" s="5"/>
      <c r="H8" s="5"/>
      <c r="I8" s="5">
        <v>1364.8</v>
      </c>
      <c r="J8" s="5">
        <v>1541.3</v>
      </c>
      <c r="K8" s="8">
        <v>1324.1</v>
      </c>
      <c r="L8" s="8">
        <v>1481.9</v>
      </c>
      <c r="M8" s="8">
        <v>1541.3</v>
      </c>
      <c r="N8" s="8">
        <v>2146.9</v>
      </c>
      <c r="O8" s="8">
        <v>2001.1</v>
      </c>
      <c r="P8" s="8">
        <v>2095.6</v>
      </c>
      <c r="Q8" s="8">
        <v>1962.2</v>
      </c>
      <c r="R8" s="8">
        <v>2134.1</v>
      </c>
      <c r="S8" s="8">
        <v>2487.5</v>
      </c>
      <c r="T8" s="8">
        <v>2761.7</v>
      </c>
      <c r="U8" s="5"/>
      <c r="V8" s="5"/>
    </row>
    <row r="9" spans="1:22" s="6" customFormat="1" ht="13" x14ac:dyDescent="0.3">
      <c r="B9" s="6" t="s">
        <v>7</v>
      </c>
      <c r="C9" s="7"/>
      <c r="D9" s="7"/>
      <c r="E9" s="7"/>
      <c r="F9" s="7"/>
      <c r="G9" s="7"/>
      <c r="H9" s="7">
        <v>6902</v>
      </c>
      <c r="I9" s="7">
        <v>6673</v>
      </c>
      <c r="J9" s="7">
        <v>7237</v>
      </c>
      <c r="K9" s="7">
        <f t="shared" ref="J9:S9" si="0">+K7+K8</f>
        <v>5290</v>
      </c>
      <c r="L9" s="7">
        <f t="shared" si="0"/>
        <v>6242.7999999999993</v>
      </c>
      <c r="M9" s="7">
        <f t="shared" si="0"/>
        <v>7467.3</v>
      </c>
      <c r="N9" s="7">
        <f t="shared" si="0"/>
        <v>9262.7999999999993</v>
      </c>
      <c r="O9" s="7">
        <f t="shared" si="0"/>
        <v>7741.5</v>
      </c>
      <c r="P9" s="7">
        <f t="shared" si="0"/>
        <v>7691.7000000000007</v>
      </c>
      <c r="Q9" s="7">
        <f t="shared" si="0"/>
        <v>7516</v>
      </c>
      <c r="R9" s="7">
        <f t="shared" si="0"/>
        <v>9718.1</v>
      </c>
      <c r="S9" s="7">
        <f t="shared" si="0"/>
        <v>8766.9</v>
      </c>
      <c r="T9" s="7">
        <f>+T7+T8</f>
        <v>9326.5</v>
      </c>
      <c r="U9" s="7"/>
      <c r="V9" s="7"/>
    </row>
    <row r="10" spans="1:22" s="3" customFormat="1" x14ac:dyDescent="0.25">
      <c r="B10" s="3" t="s">
        <v>22</v>
      </c>
      <c r="C10" s="5"/>
      <c r="D10" s="5"/>
      <c r="E10" s="5"/>
      <c r="F10" s="5"/>
      <c r="G10" s="5"/>
      <c r="H10" s="5">
        <v>3358.3</v>
      </c>
      <c r="I10" s="5"/>
      <c r="J10" s="5"/>
      <c r="K10" s="5"/>
      <c r="L10" s="5">
        <v>3030.6</v>
      </c>
      <c r="M10" s="5"/>
      <c r="N10" s="5"/>
      <c r="O10" s="5"/>
      <c r="P10" s="5"/>
      <c r="Q10" s="5"/>
      <c r="R10" s="5"/>
      <c r="S10" s="5"/>
      <c r="T10" s="5">
        <v>4291.1000000000004</v>
      </c>
      <c r="U10" s="5"/>
      <c r="V10" s="5"/>
    </row>
    <row r="11" spans="1:22" s="3" customFormat="1" x14ac:dyDescent="0.25">
      <c r="B11" s="3" t="s">
        <v>23</v>
      </c>
      <c r="C11" s="5"/>
      <c r="D11" s="5"/>
      <c r="E11" s="5"/>
      <c r="F11" s="5"/>
      <c r="G11" s="5"/>
      <c r="H11" s="5">
        <f>H9-H10</f>
        <v>3543.7</v>
      </c>
      <c r="I11" s="5"/>
      <c r="J11" s="5"/>
      <c r="K11" s="5"/>
      <c r="L11" s="5">
        <f>L9-L10</f>
        <v>3212.1999999999994</v>
      </c>
      <c r="M11" s="5"/>
      <c r="N11" s="5"/>
      <c r="O11" s="5"/>
      <c r="P11" s="5"/>
      <c r="Q11" s="5"/>
      <c r="R11" s="5"/>
      <c r="S11" s="5"/>
      <c r="T11" s="5">
        <f>+T9-T10</f>
        <v>5035.3999999999996</v>
      </c>
      <c r="U11" s="5"/>
      <c r="V11" s="5"/>
    </row>
    <row r="12" spans="1:22" s="3" customFormat="1" x14ac:dyDescent="0.25">
      <c r="B12" s="3" t="s">
        <v>24</v>
      </c>
      <c r="C12" s="5"/>
      <c r="D12" s="5"/>
      <c r="E12" s="5"/>
      <c r="F12" s="5"/>
      <c r="G12" s="5"/>
      <c r="H12" s="5">
        <v>999.9</v>
      </c>
      <c r="I12" s="5"/>
      <c r="J12" s="5"/>
      <c r="K12" s="5"/>
      <c r="L12" s="5">
        <v>1100.5999999999999</v>
      </c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s="3" customFormat="1" x14ac:dyDescent="0.25">
      <c r="B13" s="3" t="s">
        <v>25</v>
      </c>
      <c r="C13" s="5"/>
      <c r="D13" s="5"/>
      <c r="E13" s="5"/>
      <c r="F13" s="5"/>
      <c r="G13" s="5"/>
      <c r="H13" s="5">
        <v>281.10000000000002</v>
      </c>
      <c r="I13" s="5"/>
      <c r="J13" s="5"/>
      <c r="K13" s="5"/>
      <c r="L13" s="5">
        <v>277</v>
      </c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s="3" customFormat="1" x14ac:dyDescent="0.25">
      <c r="B14" s="3" t="s">
        <v>26</v>
      </c>
      <c r="C14" s="5"/>
      <c r="D14" s="5"/>
      <c r="E14" s="5"/>
      <c r="F14" s="5"/>
      <c r="G14" s="5"/>
      <c r="H14" s="5">
        <f>H13+H12</f>
        <v>1281</v>
      </c>
      <c r="I14" s="5">
        <f t="shared" ref="I14:L14" si="1">I13+I12</f>
        <v>0</v>
      </c>
      <c r="J14" s="5">
        <f t="shared" si="1"/>
        <v>0</v>
      </c>
      <c r="K14" s="5">
        <f t="shared" si="1"/>
        <v>0</v>
      </c>
      <c r="L14" s="5">
        <f t="shared" si="1"/>
        <v>1377.6</v>
      </c>
      <c r="M14" s="5">
        <f t="shared" ref="M14:T14" si="2">M13+M12</f>
        <v>0</v>
      </c>
      <c r="N14" s="5">
        <f t="shared" si="2"/>
        <v>0</v>
      </c>
      <c r="O14" s="5">
        <f t="shared" si="2"/>
        <v>0</v>
      </c>
      <c r="P14" s="5">
        <f t="shared" si="2"/>
        <v>0</v>
      </c>
      <c r="Q14" s="5">
        <f t="shared" si="2"/>
        <v>0</v>
      </c>
      <c r="R14" s="5">
        <f t="shared" si="2"/>
        <v>0</v>
      </c>
      <c r="S14" s="5">
        <f t="shared" si="2"/>
        <v>0</v>
      </c>
      <c r="T14" s="5">
        <f t="shared" si="2"/>
        <v>0</v>
      </c>
      <c r="U14" s="5"/>
      <c r="V14" s="5"/>
    </row>
    <row r="15" spans="1:22" s="3" customFormat="1" x14ac:dyDescent="0.25">
      <c r="B15" s="3" t="s">
        <v>27</v>
      </c>
      <c r="C15" s="5"/>
      <c r="D15" s="5"/>
      <c r="E15" s="5"/>
      <c r="F15" s="5"/>
      <c r="G15" s="5"/>
      <c r="H15" s="5">
        <f>H11-H14</f>
        <v>2262.6999999999998</v>
      </c>
      <c r="I15" s="5">
        <f t="shared" ref="I15:L15" si="3">I11-I14</f>
        <v>0</v>
      </c>
      <c r="J15" s="5">
        <f t="shared" si="3"/>
        <v>0</v>
      </c>
      <c r="K15" s="5">
        <f t="shared" si="3"/>
        <v>0</v>
      </c>
      <c r="L15" s="5">
        <f t="shared" si="3"/>
        <v>1834.5999999999995</v>
      </c>
      <c r="M15" s="5">
        <f t="shared" ref="M15:T15" si="4">M11-M14</f>
        <v>0</v>
      </c>
      <c r="N15" s="5">
        <f t="shared" si="4"/>
        <v>0</v>
      </c>
      <c r="O15" s="5">
        <f t="shared" si="4"/>
        <v>0</v>
      </c>
      <c r="P15" s="5">
        <f t="shared" si="4"/>
        <v>0</v>
      </c>
      <c r="Q15" s="5">
        <f t="shared" si="4"/>
        <v>0</v>
      </c>
      <c r="R15" s="5">
        <f t="shared" si="4"/>
        <v>0</v>
      </c>
      <c r="S15" s="5">
        <f t="shared" si="4"/>
        <v>0</v>
      </c>
      <c r="T15" s="5">
        <f t="shared" si="4"/>
        <v>5035.3999999999996</v>
      </c>
      <c r="U15" s="5"/>
      <c r="V15" s="5"/>
    </row>
    <row r="16" spans="1:22" x14ac:dyDescent="0.25">
      <c r="L16" s="4">
        <v>-11.9</v>
      </c>
    </row>
    <row r="17" spans="12:20" x14ac:dyDescent="0.25">
      <c r="L17" s="5">
        <f>L15+L16</f>
        <v>1822.6999999999994</v>
      </c>
      <c r="P17" s="5"/>
      <c r="T17" s="5"/>
    </row>
    <row r="18" spans="12:20" x14ac:dyDescent="0.25">
      <c r="L18" s="4">
        <v>291.60000000000002</v>
      </c>
    </row>
    <row r="19" spans="12:20" x14ac:dyDescent="0.25">
      <c r="L19" s="5">
        <f>L17-L18</f>
        <v>1531.0999999999995</v>
      </c>
      <c r="P19" s="5"/>
      <c r="T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2024-09-30T04:11:02Z</dcterms:created>
  <dcterms:modified xsi:type="dcterms:W3CDTF">2026-08-18T14:16:14Z</dcterms:modified>
</cp:coreProperties>
</file>