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B5ECF251-6223-46FC-AE27-F98133FBFDB9}" xr6:coauthVersionLast="47" xr6:coauthVersionMax="47" xr10:uidLastSave="{00000000-0000-0000-0000-000000000000}"/>
  <bookViews>
    <workbookView xWindow="20160" yWindow="2100" windowWidth="14740" windowHeight="16580" xr2:uid="{EF1C5987-CB25-4913-BCB5-878BA8991ACA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5" i="2" l="1"/>
  <c r="J35" i="2"/>
  <c r="I35" i="2"/>
  <c r="H35" i="2"/>
  <c r="K30" i="2"/>
  <c r="K29" i="2"/>
  <c r="K25" i="2"/>
  <c r="J25" i="2"/>
  <c r="I25" i="2"/>
  <c r="H25" i="2"/>
  <c r="K23" i="2"/>
  <c r="J23" i="2"/>
  <c r="I23" i="2"/>
  <c r="H23" i="2"/>
  <c r="K20" i="2"/>
  <c r="K21" i="2" s="1"/>
  <c r="J20" i="2"/>
  <c r="J21" i="2" s="1"/>
  <c r="I20" i="2"/>
  <c r="I21" i="2" s="1"/>
  <c r="H20" i="2"/>
  <c r="H21" i="2" s="1"/>
  <c r="K17" i="2"/>
  <c r="L16" i="2"/>
  <c r="K16" i="2"/>
  <c r="J16" i="2"/>
  <c r="I16" i="2"/>
  <c r="H16" i="2"/>
  <c r="K14" i="2"/>
  <c r="J14" i="2"/>
  <c r="I14" i="2"/>
  <c r="H14" i="2"/>
  <c r="N6" i="1"/>
  <c r="N5" i="1"/>
  <c r="P35" i="2"/>
  <c r="Q35" i="2"/>
  <c r="R35" i="2"/>
  <c r="S35" i="2"/>
  <c r="T35" i="2"/>
  <c r="P17" i="2"/>
  <c r="P20" i="2" s="1"/>
  <c r="P14" i="2"/>
  <c r="P16" i="2" s="1"/>
  <c r="Q17" i="2"/>
  <c r="Q20" i="2" s="1"/>
  <c r="Q14" i="2"/>
  <c r="Q16" i="2" s="1"/>
  <c r="R17" i="2"/>
  <c r="R20" i="2" s="1"/>
  <c r="S17" i="2"/>
  <c r="S20" i="2" s="1"/>
  <c r="T17" i="2"/>
  <c r="T20" i="2" s="1"/>
  <c r="T7" i="2"/>
  <c r="S7" i="2"/>
  <c r="R7" i="2"/>
  <c r="S14" i="2"/>
  <c r="S16" i="2" s="1"/>
  <c r="R14" i="2"/>
  <c r="R16" i="2" s="1"/>
  <c r="T14" i="2"/>
  <c r="T16" i="2" s="1"/>
  <c r="T21" i="2" s="1"/>
  <c r="T23" i="2" s="1"/>
  <c r="T25" i="2" s="1"/>
  <c r="G41" i="2"/>
  <c r="G40" i="2"/>
  <c r="G35" i="2"/>
  <c r="C35" i="2"/>
  <c r="C17" i="2"/>
  <c r="C20" i="2" s="1"/>
  <c r="F20" i="2"/>
  <c r="E20" i="2"/>
  <c r="D20" i="2"/>
  <c r="G17" i="2"/>
  <c r="G20" i="2" s="1"/>
  <c r="C14" i="2"/>
  <c r="C16" i="2" s="1"/>
  <c r="C30" i="2" s="1"/>
  <c r="F14" i="2"/>
  <c r="F16" i="2" s="1"/>
  <c r="F30" i="2" s="1"/>
  <c r="E14" i="2"/>
  <c r="E16" i="2" s="1"/>
  <c r="E30" i="2" s="1"/>
  <c r="D14" i="2"/>
  <c r="D16" i="2" s="1"/>
  <c r="D30" i="2" s="1"/>
  <c r="G14" i="2"/>
  <c r="G16" i="2" s="1"/>
  <c r="N4" i="1"/>
  <c r="N7" i="1" s="1"/>
  <c r="R29" i="2" l="1"/>
  <c r="T29" i="2"/>
  <c r="S29" i="2"/>
  <c r="P21" i="2"/>
  <c r="P23" i="2" s="1"/>
  <c r="P25" i="2" s="1"/>
  <c r="Q29" i="2"/>
  <c r="Q21" i="2"/>
  <c r="Q23" i="2" s="1"/>
  <c r="Q25" i="2" s="1"/>
  <c r="S21" i="2"/>
  <c r="S23" i="2" s="1"/>
  <c r="S25" i="2" s="1"/>
  <c r="R21" i="2"/>
  <c r="R23" i="2" s="1"/>
  <c r="R25" i="2" s="1"/>
  <c r="G29" i="2"/>
  <c r="G21" i="2"/>
  <c r="G23" i="2" s="1"/>
  <c r="G25" i="2" s="1"/>
  <c r="G26" i="2" s="1"/>
  <c r="G30" i="2"/>
  <c r="D21" i="2"/>
  <c r="D23" i="2" s="1"/>
  <c r="D25" i="2" s="1"/>
  <c r="D26" i="2" s="1"/>
  <c r="C21" i="2"/>
  <c r="C23" i="2" s="1"/>
  <c r="C25" i="2" s="1"/>
  <c r="C26" i="2" s="1"/>
  <c r="E21" i="2"/>
  <c r="E23" i="2" s="1"/>
  <c r="E25" i="2" s="1"/>
  <c r="E26" i="2" s="1"/>
  <c r="F21" i="2"/>
  <c r="F23" i="2" s="1"/>
  <c r="F25" i="2" s="1"/>
  <c r="F26" i="2" s="1"/>
</calcChain>
</file>

<file path=xl/sharedStrings.xml><?xml version="1.0" encoding="utf-8"?>
<sst xmlns="http://schemas.openxmlformats.org/spreadsheetml/2006/main" count="53" uniqueCount="47">
  <si>
    <t>Price</t>
  </si>
  <si>
    <t>Shares</t>
  </si>
  <si>
    <t>MC</t>
  </si>
  <si>
    <t>Cash</t>
  </si>
  <si>
    <t>Debt</t>
  </si>
  <si>
    <t>EV</t>
  </si>
  <si>
    <t>Q125</t>
  </si>
  <si>
    <t>Main</t>
  </si>
  <si>
    <t>Revenue</t>
  </si>
  <si>
    <t>Q124</t>
  </si>
  <si>
    <t>Q224</t>
  </si>
  <si>
    <t>Q324</t>
  </si>
  <si>
    <t>Q424</t>
  </si>
  <si>
    <t>Q225</t>
  </si>
  <si>
    <t>Q325</t>
  </si>
  <si>
    <t>Q425</t>
  </si>
  <si>
    <t>Sales</t>
  </si>
  <si>
    <t>Franchise</t>
  </si>
  <si>
    <t>Franchise Rental</t>
  </si>
  <si>
    <t>Ads</t>
  </si>
  <si>
    <t>COGS</t>
  </si>
  <si>
    <t>Gross Profit</t>
  </si>
  <si>
    <t>G&amp;A</t>
  </si>
  <si>
    <t>Operating Expenses</t>
  </si>
  <si>
    <t>Operating Income</t>
  </si>
  <si>
    <t>Interest Expense</t>
  </si>
  <si>
    <t>Pretax Income</t>
  </si>
  <si>
    <t>Taxes</t>
  </si>
  <si>
    <t>Net Income</t>
  </si>
  <si>
    <t>Revenue y/y</t>
  </si>
  <si>
    <t>GM%</t>
  </si>
  <si>
    <t>CFFO</t>
  </si>
  <si>
    <t>FCF</t>
  </si>
  <si>
    <t>CX</t>
  </si>
  <si>
    <t>EPS</t>
  </si>
  <si>
    <t>Restaurant Margin</t>
  </si>
  <si>
    <t>Franchise Margin</t>
  </si>
  <si>
    <t>Stores</t>
  </si>
  <si>
    <t>US</t>
  </si>
  <si>
    <t xml:space="preserve">  Company-Owned</t>
  </si>
  <si>
    <t xml:space="preserve">  Number of Franchisees</t>
  </si>
  <si>
    <t>Franchise Fees/Store</t>
  </si>
  <si>
    <t>SSS</t>
  </si>
  <si>
    <t>Q126</t>
  </si>
  <si>
    <t>Q226</t>
  </si>
  <si>
    <t>Q326</t>
  </si>
  <si>
    <t>Q426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</si>
</sst>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" fontId="1" fillId="0" borderId="0" xfId="0" applyNumberFormat="1" applyFont="1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right"/>
    </xf>
    <xf numFmtId="3" fontId="2" fillId="0" borderId="0" xfId="0" applyNumberFormat="1" applyFont="1"/>
    <xf numFmtId="3" fontId="1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9" fontId="1" fillId="0" borderId="0" xfId="0" applyNumberFormat="1" applyFont="1" applyAlignment="1">
      <alignment horizontal="right"/>
    </xf>
    <xf numFmtId="9" fontId="1" fillId="0" borderId="0" xfId="0" applyNumberFormat="1" applyFont="1"/>
    <xf numFmtId="4" fontId="1" fillId="0" borderId="0" xfId="0" applyNumberFormat="1" applyFont="1" applyAlignment="1">
      <alignment horizontal="right"/>
    </xf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33421</xdr:colOff>
      <xdr:row>0</xdr:row>
      <xdr:rowOff>20053</xdr:rowOff>
    </xdr:from>
    <xdr:to>
      <xdr:col>7</xdr:col>
      <xdr:colOff>33421</xdr:colOff>
      <xdr:row>37</xdr:row>
      <xdr:rowOff>148897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A55721E-0286-4198-9614-5A4ED40C4281}"/>
            </a:ext>
          </a:extLst>
        </xdr:cNvPr>
        <xdr:cNvCxnSpPr/>
      </xdr:nvCxnSpPr>
      <xdr:spPr>
        <a:xfrm>
          <a:off x="4907593" y="20053"/>
          <a:ext cx="0" cy="597084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AF5CB-B27A-47FC-8A35-9156BADFFD59}">
  <dimension ref="M2:O7"/>
  <sheetViews>
    <sheetView tabSelected="1" zoomScaleNormal="100" workbookViewId="0">
      <selection activeCell="N7" sqref="N7"/>
    </sheetView>
  </sheetViews>
  <sheetFormatPr defaultRowHeight="12.5" x14ac:dyDescent="0.25"/>
  <cols>
    <col min="1" max="7" width="8.7265625" style="2"/>
    <col min="8" max="12" width="5.81640625" style="2" customWidth="1"/>
    <col min="13" max="16384" width="8.7265625" style="2"/>
  </cols>
  <sheetData>
    <row r="2" spans="13:15" x14ac:dyDescent="0.25">
      <c r="M2" s="1" t="s">
        <v>0</v>
      </c>
      <c r="N2" s="1">
        <v>7.9</v>
      </c>
    </row>
    <row r="3" spans="13:15" x14ac:dyDescent="0.25">
      <c r="M3" s="2" t="s">
        <v>1</v>
      </c>
      <c r="N3" s="3">
        <v>190.48063999999999</v>
      </c>
      <c r="O3" s="4" t="s">
        <v>43</v>
      </c>
    </row>
    <row r="4" spans="13:15" x14ac:dyDescent="0.25">
      <c r="M4" s="2" t="s">
        <v>2</v>
      </c>
      <c r="N4" s="3">
        <f>+N2*N3</f>
        <v>1504.7970560000001</v>
      </c>
    </row>
    <row r="5" spans="13:15" x14ac:dyDescent="0.25">
      <c r="M5" s="2" t="s">
        <v>3</v>
      </c>
      <c r="N5" s="3">
        <f>298.74+39.295+24.499</f>
        <v>362.53400000000005</v>
      </c>
      <c r="O5" s="4" t="s">
        <v>43</v>
      </c>
    </row>
    <row r="6" spans="13:15" x14ac:dyDescent="0.25">
      <c r="M6" s="2" t="s">
        <v>4</v>
      </c>
      <c r="N6" s="3">
        <f>2724.896+29.75</f>
        <v>2754.6460000000002</v>
      </c>
      <c r="O6" s="4" t="s">
        <v>43</v>
      </c>
    </row>
    <row r="7" spans="13:15" x14ac:dyDescent="0.25">
      <c r="M7" s="2" t="s">
        <v>5</v>
      </c>
      <c r="N7" s="3">
        <f>+N4-N5+N6</f>
        <v>3896.9090560000004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71F29-85BA-4E8E-8E27-4E45D075D969}">
  <dimension ref="A1:T41"/>
  <sheetViews>
    <sheetView zoomScale="145" zoomScaleNormal="145" workbookViewId="0">
      <pane xSplit="2" ySplit="2" topLeftCell="P6" activePane="bottomRight" state="frozen"/>
      <selection pane="topRight" activeCell="C1" sqref="C1"/>
      <selection pane="bottomLeft" activeCell="A3" sqref="A3"/>
      <selection pane="bottomRight" activeCell="U31" sqref="U31"/>
    </sheetView>
  </sheetViews>
  <sheetFormatPr defaultRowHeight="12.5" x14ac:dyDescent="0.25"/>
  <cols>
    <col min="1" max="1" width="4.6328125" style="2" bestFit="1" customWidth="1"/>
    <col min="2" max="2" width="21.54296875" style="2" customWidth="1"/>
    <col min="3" max="14" width="8.7265625" style="4"/>
    <col min="15" max="16384" width="8.7265625" style="2"/>
  </cols>
  <sheetData>
    <row r="1" spans="1:20" x14ac:dyDescent="0.25">
      <c r="A1" s="2" t="s">
        <v>7</v>
      </c>
    </row>
    <row r="2" spans="1:20" x14ac:dyDescent="0.25">
      <c r="C2" s="4" t="s">
        <v>9</v>
      </c>
      <c r="D2" s="4" t="s">
        <v>10</v>
      </c>
      <c r="E2" s="4" t="s">
        <v>11</v>
      </c>
      <c r="F2" s="4" t="s">
        <v>12</v>
      </c>
      <c r="G2" s="4" t="s">
        <v>6</v>
      </c>
      <c r="H2" s="4" t="s">
        <v>13</v>
      </c>
      <c r="I2" s="4" t="s">
        <v>14</v>
      </c>
      <c r="J2" s="4" t="s">
        <v>15</v>
      </c>
      <c r="K2" s="4" t="s">
        <v>43</v>
      </c>
      <c r="L2" s="4" t="s">
        <v>44</v>
      </c>
      <c r="M2" s="4" t="s">
        <v>45</v>
      </c>
      <c r="N2" s="4" t="s">
        <v>46</v>
      </c>
      <c r="P2" s="2">
        <v>2021</v>
      </c>
      <c r="Q2" s="2">
        <v>2021</v>
      </c>
      <c r="R2" s="2">
        <v>2022</v>
      </c>
      <c r="S2" s="2">
        <v>2023</v>
      </c>
      <c r="T2" s="2">
        <v>2024</v>
      </c>
    </row>
    <row r="3" spans="1:20" s="3" customFormat="1" x14ac:dyDescent="0.25">
      <c r="B3" s="3" t="s">
        <v>37</v>
      </c>
      <c r="C3" s="6"/>
      <c r="D3" s="6"/>
      <c r="E3" s="6"/>
      <c r="F3" s="6"/>
      <c r="G3" s="6">
        <v>7308</v>
      </c>
      <c r="H3" s="6"/>
      <c r="I3" s="6"/>
      <c r="J3" s="6"/>
      <c r="K3" s="6"/>
      <c r="L3" s="6"/>
      <c r="M3" s="6"/>
      <c r="N3" s="6"/>
      <c r="R3" s="3">
        <v>7095</v>
      </c>
      <c r="S3" s="3">
        <v>7240</v>
      </c>
      <c r="T3" s="3">
        <v>7240</v>
      </c>
    </row>
    <row r="4" spans="1:20" s="3" customFormat="1" x14ac:dyDescent="0.25">
      <c r="B4" s="3" t="s">
        <v>38</v>
      </c>
      <c r="C4" s="6"/>
      <c r="D4" s="6"/>
      <c r="E4" s="6"/>
      <c r="F4" s="6"/>
      <c r="G4" s="6">
        <v>5958</v>
      </c>
      <c r="H4" s="6"/>
      <c r="I4" s="6"/>
      <c r="J4" s="6"/>
      <c r="K4" s="6"/>
      <c r="L4" s="6"/>
      <c r="M4" s="6"/>
      <c r="N4" s="6"/>
      <c r="S4" s="9"/>
    </row>
    <row r="5" spans="1:20" s="3" customFormat="1" x14ac:dyDescent="0.25">
      <c r="B5" s="3" t="s">
        <v>39</v>
      </c>
      <c r="C5" s="6"/>
      <c r="D5" s="6"/>
      <c r="E5" s="6"/>
      <c r="F5" s="6"/>
      <c r="G5" s="6">
        <v>387</v>
      </c>
      <c r="H5" s="6"/>
      <c r="I5" s="6"/>
      <c r="J5" s="6"/>
      <c r="K5" s="6"/>
      <c r="L5" s="6"/>
      <c r="M5" s="6"/>
      <c r="N5" s="6"/>
    </row>
    <row r="6" spans="1:20" s="3" customFormat="1" x14ac:dyDescent="0.25">
      <c r="B6" s="3" t="s">
        <v>40</v>
      </c>
      <c r="C6" s="6"/>
      <c r="D6" s="6"/>
      <c r="E6" s="6"/>
      <c r="F6" s="6"/>
      <c r="G6" s="6">
        <v>205</v>
      </c>
      <c r="H6" s="6"/>
      <c r="I6" s="6"/>
      <c r="J6" s="6"/>
      <c r="K6" s="6"/>
      <c r="L6" s="6"/>
      <c r="M6" s="6"/>
      <c r="N6" s="6"/>
    </row>
    <row r="7" spans="1:20" s="3" customFormat="1" x14ac:dyDescent="0.25">
      <c r="B7" s="3" t="s">
        <v>41</v>
      </c>
      <c r="C7" s="6"/>
      <c r="D7" s="6"/>
      <c r="E7" s="6"/>
      <c r="F7" s="6"/>
      <c r="G7" s="6"/>
      <c r="H7" s="10"/>
      <c r="I7" s="6"/>
      <c r="J7" s="6"/>
      <c r="K7" s="6"/>
      <c r="L7" s="6"/>
      <c r="M7" s="6"/>
      <c r="N7" s="6"/>
      <c r="R7" s="3">
        <f>+R11*1000000/R3</f>
        <v>78675.123326286121</v>
      </c>
      <c r="S7" s="3">
        <f>+S11*1000000/S3</f>
        <v>81809.392265193368</v>
      </c>
      <c r="T7" s="3">
        <f>+T11*1000000/T3</f>
        <v>86464.088397790052</v>
      </c>
    </row>
    <row r="8" spans="1:20" s="3" customFormat="1" x14ac:dyDescent="0.25">
      <c r="B8" s="3" t="s">
        <v>42</v>
      </c>
      <c r="C8" s="6"/>
      <c r="D8" s="6"/>
      <c r="E8" s="6"/>
      <c r="F8" s="6"/>
      <c r="G8" s="10"/>
      <c r="H8" s="10"/>
      <c r="I8" s="6"/>
      <c r="J8" s="6"/>
      <c r="K8" s="6"/>
      <c r="L8" s="6"/>
      <c r="M8" s="6"/>
      <c r="N8" s="6"/>
      <c r="P8" s="11"/>
      <c r="Q8" s="11"/>
      <c r="R8" s="11">
        <v>3.9E-2</v>
      </c>
      <c r="S8" s="11">
        <v>3.6999999999999998E-2</v>
      </c>
      <c r="T8" s="11">
        <v>1.4E-2</v>
      </c>
    </row>
    <row r="9" spans="1:20" s="3" customFormat="1" x14ac:dyDescent="0.25">
      <c r="C9" s="6"/>
      <c r="D9" s="6"/>
      <c r="E9" s="6"/>
      <c r="F9" s="6"/>
      <c r="G9" s="6"/>
      <c r="H9" s="10"/>
      <c r="I9" s="6"/>
      <c r="J9" s="6"/>
      <c r="K9" s="6"/>
      <c r="L9" s="6"/>
      <c r="M9" s="6"/>
      <c r="N9" s="6"/>
    </row>
    <row r="10" spans="1:20" s="3" customFormat="1" x14ac:dyDescent="0.25">
      <c r="B10" s="3" t="s">
        <v>16</v>
      </c>
      <c r="C10" s="6">
        <v>225.32300000000001</v>
      </c>
      <c r="D10" s="6"/>
      <c r="E10" s="6"/>
      <c r="F10" s="6"/>
      <c r="G10" s="6">
        <v>219.51</v>
      </c>
      <c r="H10" s="6"/>
      <c r="I10" s="6"/>
      <c r="J10" s="6"/>
      <c r="K10" s="6">
        <v>225.49700000000001</v>
      </c>
      <c r="L10" s="6"/>
      <c r="M10" s="6"/>
      <c r="N10" s="6"/>
      <c r="P10" s="3">
        <v>722.8</v>
      </c>
      <c r="Q10" s="3">
        <v>734.1</v>
      </c>
      <c r="R10" s="3">
        <v>896.6</v>
      </c>
      <c r="S10" s="3">
        <v>930.1</v>
      </c>
      <c r="T10" s="3">
        <v>925.9</v>
      </c>
    </row>
    <row r="11" spans="1:20" s="3" customFormat="1" x14ac:dyDescent="0.25">
      <c r="B11" s="3" t="s">
        <v>17</v>
      </c>
      <c r="C11" s="6">
        <v>146.5</v>
      </c>
      <c r="D11" s="6"/>
      <c r="E11" s="6"/>
      <c r="F11" s="6"/>
      <c r="G11" s="6">
        <v>145.148</v>
      </c>
      <c r="H11" s="6"/>
      <c r="I11" s="6"/>
      <c r="J11" s="6"/>
      <c r="K11" s="6">
        <v>147.89500000000001</v>
      </c>
      <c r="L11" s="6"/>
      <c r="M11" s="6"/>
      <c r="N11" s="6"/>
      <c r="P11" s="3">
        <v>444.7</v>
      </c>
      <c r="Q11" s="3">
        <v>536.70000000000005</v>
      </c>
      <c r="R11" s="3">
        <v>558.20000000000005</v>
      </c>
      <c r="S11" s="3">
        <v>592.29999999999995</v>
      </c>
      <c r="T11" s="3">
        <v>626</v>
      </c>
    </row>
    <row r="12" spans="1:20" s="3" customFormat="1" x14ac:dyDescent="0.25">
      <c r="B12" s="3" t="s">
        <v>18</v>
      </c>
      <c r="C12" s="6">
        <v>57.985999999999997</v>
      </c>
      <c r="D12" s="6"/>
      <c r="E12" s="6"/>
      <c r="F12" s="6"/>
      <c r="G12" s="6">
        <v>58.454000000000001</v>
      </c>
      <c r="H12" s="6"/>
      <c r="I12" s="6"/>
      <c r="J12" s="6"/>
      <c r="K12" s="6">
        <v>58.904000000000003</v>
      </c>
      <c r="L12" s="6"/>
      <c r="M12" s="6"/>
      <c r="N12" s="6"/>
      <c r="P12" s="3">
        <v>232.6</v>
      </c>
      <c r="Q12" s="3">
        <v>236.7</v>
      </c>
      <c r="R12" s="3">
        <v>234.5</v>
      </c>
      <c r="S12" s="3">
        <v>230.2</v>
      </c>
      <c r="T12" s="3">
        <v>236.5</v>
      </c>
    </row>
    <row r="13" spans="1:20" s="3" customFormat="1" x14ac:dyDescent="0.25">
      <c r="B13" s="3" t="s">
        <v>19</v>
      </c>
      <c r="C13" s="6">
        <v>104.944</v>
      </c>
      <c r="D13" s="6"/>
      <c r="E13" s="6"/>
      <c r="F13" s="6"/>
      <c r="G13" s="6">
        <v>100.36</v>
      </c>
      <c r="H13" s="6"/>
      <c r="I13" s="6"/>
      <c r="J13" s="6"/>
      <c r="K13" s="6">
        <v>108.34099999999999</v>
      </c>
      <c r="L13" s="6"/>
      <c r="M13" s="6"/>
      <c r="N13" s="6"/>
      <c r="P13" s="3">
        <v>333.7</v>
      </c>
      <c r="Q13" s="3">
        <v>389.5</v>
      </c>
      <c r="R13" s="3">
        <v>406.2</v>
      </c>
      <c r="S13" s="3">
        <v>429</v>
      </c>
      <c r="T13" s="3">
        <v>458.1</v>
      </c>
    </row>
    <row r="14" spans="1:20" s="5" customFormat="1" ht="13" x14ac:dyDescent="0.3">
      <c r="B14" s="5" t="s">
        <v>8</v>
      </c>
      <c r="C14" s="7">
        <f>SUM(C10:C13)</f>
        <v>534.75299999999993</v>
      </c>
      <c r="D14" s="7">
        <f t="shared" ref="D14:F14" si="0">SUM(D10:D13)</f>
        <v>0</v>
      </c>
      <c r="E14" s="7">
        <f t="shared" si="0"/>
        <v>0</v>
      </c>
      <c r="F14" s="7">
        <f t="shared" si="0"/>
        <v>0</v>
      </c>
      <c r="G14" s="7">
        <f>SUM(G10:G13)</f>
        <v>523.47199999999998</v>
      </c>
      <c r="H14" s="7">
        <f t="shared" ref="H14:K14" si="1">SUM(H10:H13)</f>
        <v>0</v>
      </c>
      <c r="I14" s="7">
        <f t="shared" si="1"/>
        <v>0</v>
      </c>
      <c r="J14" s="7">
        <f t="shared" si="1"/>
        <v>0</v>
      </c>
      <c r="K14" s="7">
        <f t="shared" si="1"/>
        <v>540.63700000000006</v>
      </c>
      <c r="L14" s="7"/>
      <c r="M14" s="7"/>
      <c r="N14" s="7"/>
      <c r="P14" s="5">
        <f t="shared" ref="P14" si="2">SUM(P10:P13)</f>
        <v>1733.8</v>
      </c>
      <c r="Q14" s="5">
        <f t="shared" ref="Q14" si="3">SUM(Q10:Q13)</f>
        <v>1897.0000000000002</v>
      </c>
      <c r="R14" s="5">
        <f t="shared" ref="R14:S14" si="4">SUM(R10:R13)</f>
        <v>2095.5</v>
      </c>
      <c r="S14" s="5">
        <f t="shared" si="4"/>
        <v>2181.6000000000004</v>
      </c>
      <c r="T14" s="5">
        <f>SUM(T10:T13)</f>
        <v>2246.5</v>
      </c>
    </row>
    <row r="15" spans="1:20" s="3" customFormat="1" x14ac:dyDescent="0.25">
      <c r="B15" s="3" t="s">
        <v>20</v>
      </c>
      <c r="C15" s="6">
        <v>192.113</v>
      </c>
      <c r="D15" s="6"/>
      <c r="E15" s="6"/>
      <c r="F15" s="6"/>
      <c r="G15" s="6">
        <v>188.16900000000001</v>
      </c>
      <c r="H15" s="6"/>
      <c r="I15" s="6"/>
      <c r="J15" s="6"/>
      <c r="K15" s="6">
        <v>201.04900000000001</v>
      </c>
      <c r="L15" s="6"/>
      <c r="M15" s="6"/>
      <c r="N15" s="6"/>
      <c r="P15" s="3">
        <v>614.9</v>
      </c>
      <c r="Q15" s="3">
        <v>611.70000000000005</v>
      </c>
      <c r="R15" s="3">
        <v>773.2</v>
      </c>
      <c r="S15" s="3">
        <v>794.5</v>
      </c>
      <c r="T15" s="3">
        <v>783.2</v>
      </c>
    </row>
    <row r="16" spans="1:20" s="3" customFormat="1" x14ac:dyDescent="0.25">
      <c r="B16" s="3" t="s">
        <v>21</v>
      </c>
      <c r="C16" s="6">
        <f t="shared" ref="C16:F16" si="5">+C14-C15</f>
        <v>342.63999999999993</v>
      </c>
      <c r="D16" s="6">
        <f t="shared" si="5"/>
        <v>0</v>
      </c>
      <c r="E16" s="6">
        <f t="shared" si="5"/>
        <v>0</v>
      </c>
      <c r="F16" s="6">
        <f t="shared" si="5"/>
        <v>0</v>
      </c>
      <c r="G16" s="6">
        <f>+G14-G15</f>
        <v>335.303</v>
      </c>
      <c r="H16" s="6">
        <f t="shared" ref="H16:L16" si="6">+H14-H15</f>
        <v>0</v>
      </c>
      <c r="I16" s="6">
        <f t="shared" si="6"/>
        <v>0</v>
      </c>
      <c r="J16" s="6">
        <f t="shared" si="6"/>
        <v>0</v>
      </c>
      <c r="K16" s="6">
        <f t="shared" si="6"/>
        <v>339.58800000000008</v>
      </c>
      <c r="L16" s="6">
        <f t="shared" si="6"/>
        <v>0</v>
      </c>
      <c r="M16" s="6"/>
      <c r="N16" s="6"/>
      <c r="P16" s="3">
        <f t="shared" ref="P16" si="7">+P14-P15</f>
        <v>1118.9000000000001</v>
      </c>
      <c r="Q16" s="3">
        <f t="shared" ref="Q16" si="8">+Q14-Q15</f>
        <v>1285.3000000000002</v>
      </c>
      <c r="R16" s="3">
        <f t="shared" ref="R16:S16" si="9">+R14-R15</f>
        <v>1322.3</v>
      </c>
      <c r="S16" s="3">
        <f t="shared" si="9"/>
        <v>1387.1000000000004</v>
      </c>
      <c r="T16" s="3">
        <f>+T14-T15</f>
        <v>1463.3</v>
      </c>
    </row>
    <row r="17" spans="2:20" s="3" customFormat="1" x14ac:dyDescent="0.25">
      <c r="B17" s="3" t="s">
        <v>17</v>
      </c>
      <c r="C17" s="6">
        <f>14.742+31.778</f>
        <v>46.519999999999996</v>
      </c>
      <c r="D17" s="6"/>
      <c r="E17" s="6"/>
      <c r="F17" s="6"/>
      <c r="G17" s="6">
        <f>16.596+30.701</f>
        <v>47.296999999999997</v>
      </c>
      <c r="H17" s="6"/>
      <c r="I17" s="6"/>
      <c r="J17" s="6"/>
      <c r="K17" s="6">
        <f>21.991+30.176</f>
        <v>52.167000000000002</v>
      </c>
      <c r="L17" s="6"/>
      <c r="M17" s="6"/>
      <c r="N17" s="6"/>
      <c r="P17" s="3">
        <f>26.5+125.6</f>
        <v>152.1</v>
      </c>
      <c r="Q17" s="3">
        <f>42.9+132.4</f>
        <v>175.3</v>
      </c>
      <c r="R17" s="3">
        <f>46.7+124.1</f>
        <v>170.8</v>
      </c>
      <c r="S17" s="3">
        <f>57.2+125.4</f>
        <v>182.60000000000002</v>
      </c>
      <c r="T17" s="3">
        <f>67.7+127.4</f>
        <v>195.10000000000002</v>
      </c>
    </row>
    <row r="18" spans="2:20" s="3" customFormat="1" x14ac:dyDescent="0.25">
      <c r="B18" s="3" t="s">
        <v>19</v>
      </c>
      <c r="C18" s="6">
        <v>107.374</v>
      </c>
      <c r="D18" s="6"/>
      <c r="E18" s="6"/>
      <c r="F18" s="6"/>
      <c r="G18" s="6">
        <v>101.52800000000001</v>
      </c>
      <c r="H18" s="6"/>
      <c r="I18" s="6"/>
      <c r="J18" s="6"/>
      <c r="K18" s="6">
        <v>108.61499999999999</v>
      </c>
      <c r="L18" s="6"/>
      <c r="M18" s="6"/>
      <c r="N18" s="6"/>
      <c r="P18" s="3">
        <v>345.4</v>
      </c>
      <c r="Q18" s="3">
        <v>411.8</v>
      </c>
      <c r="R18" s="3">
        <v>430.8</v>
      </c>
      <c r="S18" s="3">
        <v>428</v>
      </c>
      <c r="T18" s="3">
        <v>478.1</v>
      </c>
    </row>
    <row r="19" spans="2:20" s="3" customFormat="1" x14ac:dyDescent="0.25">
      <c r="B19" s="3" t="s">
        <v>22</v>
      </c>
      <c r="C19" s="6">
        <v>63.756999999999998</v>
      </c>
      <c r="D19" s="6"/>
      <c r="E19" s="6"/>
      <c r="F19" s="6"/>
      <c r="G19" s="6">
        <v>68.203999999999994</v>
      </c>
      <c r="H19" s="6"/>
      <c r="I19" s="6"/>
      <c r="J19" s="6"/>
      <c r="K19" s="6">
        <v>72.843000000000004</v>
      </c>
      <c r="L19" s="6"/>
      <c r="M19" s="6"/>
      <c r="N19" s="6"/>
      <c r="P19" s="3">
        <v>206.9</v>
      </c>
      <c r="Q19" s="3">
        <v>243</v>
      </c>
      <c r="R19" s="3">
        <v>255</v>
      </c>
      <c r="S19" s="3">
        <v>250</v>
      </c>
      <c r="T19" s="3">
        <v>255.2</v>
      </c>
    </row>
    <row r="20" spans="2:20" s="3" customFormat="1" x14ac:dyDescent="0.25">
      <c r="B20" s="3" t="s">
        <v>23</v>
      </c>
      <c r="C20" s="6">
        <f t="shared" ref="C20:F20" si="10">SUM(C17:C19)</f>
        <v>217.65100000000001</v>
      </c>
      <c r="D20" s="6">
        <f t="shared" si="10"/>
        <v>0</v>
      </c>
      <c r="E20" s="6">
        <f t="shared" si="10"/>
        <v>0</v>
      </c>
      <c r="F20" s="6">
        <f t="shared" si="10"/>
        <v>0</v>
      </c>
      <c r="G20" s="6">
        <f>SUM(G17:G19)</f>
        <v>217.029</v>
      </c>
      <c r="H20" s="6">
        <f t="shared" ref="H20:L20" si="11">SUM(H17:H19)</f>
        <v>0</v>
      </c>
      <c r="I20" s="6">
        <f t="shared" si="11"/>
        <v>0</v>
      </c>
      <c r="J20" s="6">
        <f t="shared" si="11"/>
        <v>0</v>
      </c>
      <c r="K20" s="6">
        <f t="shared" si="11"/>
        <v>233.625</v>
      </c>
      <c r="L20" s="6"/>
      <c r="M20" s="6"/>
      <c r="N20" s="6"/>
      <c r="P20" s="3">
        <f t="shared" ref="P20" si="12">SUM(P17:P19)</f>
        <v>704.4</v>
      </c>
      <c r="Q20" s="3">
        <f t="shared" ref="Q20" si="13">SUM(Q17:Q19)</f>
        <v>830.1</v>
      </c>
      <c r="R20" s="3">
        <f t="shared" ref="R20:S20" si="14">SUM(R17:R19)</f>
        <v>856.6</v>
      </c>
      <c r="S20" s="3">
        <f t="shared" si="14"/>
        <v>860.6</v>
      </c>
      <c r="T20" s="3">
        <f>SUM(T17:T19)</f>
        <v>928.40000000000009</v>
      </c>
    </row>
    <row r="21" spans="2:20" s="3" customFormat="1" x14ac:dyDescent="0.25">
      <c r="B21" s="3" t="s">
        <v>24</v>
      </c>
      <c r="C21" s="6">
        <f t="shared" ref="C21:F21" si="15">C16-C20</f>
        <v>124.98899999999992</v>
      </c>
      <c r="D21" s="6">
        <f t="shared" si="15"/>
        <v>0</v>
      </c>
      <c r="E21" s="6">
        <f t="shared" si="15"/>
        <v>0</v>
      </c>
      <c r="F21" s="6">
        <f t="shared" si="15"/>
        <v>0</v>
      </c>
      <c r="G21" s="6">
        <f>G16-G20</f>
        <v>118.274</v>
      </c>
      <c r="H21" s="6">
        <f t="shared" ref="H21:L21" si="16">H16-H20</f>
        <v>0</v>
      </c>
      <c r="I21" s="6">
        <f t="shared" si="16"/>
        <v>0</v>
      </c>
      <c r="J21" s="6">
        <f t="shared" si="16"/>
        <v>0</v>
      </c>
      <c r="K21" s="6">
        <f t="shared" si="16"/>
        <v>105.96300000000008</v>
      </c>
      <c r="L21" s="6"/>
      <c r="M21" s="6"/>
      <c r="N21" s="6"/>
      <c r="P21" s="3">
        <f t="shared" ref="P21" si="17">P16-P20</f>
        <v>414.50000000000011</v>
      </c>
      <c r="Q21" s="3">
        <f t="shared" ref="Q21" si="18">Q16-Q20</f>
        <v>455.20000000000016</v>
      </c>
      <c r="R21" s="3">
        <f t="shared" ref="R21:S21" si="19">R16-R20</f>
        <v>465.69999999999993</v>
      </c>
      <c r="S21" s="3">
        <f t="shared" si="19"/>
        <v>526.50000000000034</v>
      </c>
      <c r="T21" s="3">
        <f>T16-T20</f>
        <v>534.89999999999986</v>
      </c>
    </row>
    <row r="22" spans="2:20" s="3" customFormat="1" x14ac:dyDescent="0.25">
      <c r="B22" s="3" t="s">
        <v>25</v>
      </c>
      <c r="C22" s="6"/>
      <c r="D22" s="6"/>
      <c r="E22" s="6"/>
      <c r="F22" s="6"/>
      <c r="G22" s="6">
        <v>-31.477</v>
      </c>
      <c r="H22" s="6"/>
      <c r="I22" s="6"/>
      <c r="J22" s="6"/>
      <c r="K22" s="6">
        <v>-34.106000000000002</v>
      </c>
      <c r="L22" s="6"/>
      <c r="M22" s="6"/>
      <c r="N22" s="6"/>
      <c r="P22" s="3">
        <v>-117.7</v>
      </c>
      <c r="Q22" s="3">
        <v>-109.2</v>
      </c>
      <c r="R22" s="3">
        <v>-122.3</v>
      </c>
      <c r="S22" s="3">
        <v>-124.1</v>
      </c>
      <c r="T22" s="3">
        <v>-123.9</v>
      </c>
    </row>
    <row r="23" spans="2:20" s="3" customFormat="1" x14ac:dyDescent="0.25">
      <c r="B23" s="3" t="s">
        <v>26</v>
      </c>
      <c r="C23" s="6">
        <f t="shared" ref="C23:F23" si="20">+C21+C22</f>
        <v>124.98899999999992</v>
      </c>
      <c r="D23" s="6">
        <f t="shared" si="20"/>
        <v>0</v>
      </c>
      <c r="E23" s="6">
        <f t="shared" si="20"/>
        <v>0</v>
      </c>
      <c r="F23" s="6">
        <f t="shared" si="20"/>
        <v>0</v>
      </c>
      <c r="G23" s="6">
        <f>+G21+G22</f>
        <v>86.796999999999997</v>
      </c>
      <c r="H23" s="6">
        <f t="shared" ref="H23:K23" si="21">+H21+H22</f>
        <v>0</v>
      </c>
      <c r="I23" s="6">
        <f t="shared" si="21"/>
        <v>0</v>
      </c>
      <c r="J23" s="6">
        <f t="shared" si="21"/>
        <v>0</v>
      </c>
      <c r="K23" s="6">
        <f t="shared" si="21"/>
        <v>71.857000000000085</v>
      </c>
      <c r="L23" s="6"/>
      <c r="M23" s="6"/>
      <c r="N23" s="6"/>
      <c r="P23" s="3">
        <f t="shared" ref="P23" si="22">+P21+P22</f>
        <v>296.80000000000013</v>
      </c>
      <c r="Q23" s="3">
        <f t="shared" ref="Q23" si="23">+Q21+Q22</f>
        <v>346.00000000000017</v>
      </c>
      <c r="R23" s="3">
        <f>+R21+R22</f>
        <v>343.39999999999992</v>
      </c>
      <c r="S23" s="3">
        <f>+S21+S22</f>
        <v>402.40000000000032</v>
      </c>
      <c r="T23" s="3">
        <f>+T21+T22</f>
        <v>410.99999999999989</v>
      </c>
    </row>
    <row r="24" spans="2:20" s="3" customFormat="1" x14ac:dyDescent="0.25">
      <c r="B24" s="3" t="s">
        <v>27</v>
      </c>
      <c r="C24" s="6">
        <v>15.464</v>
      </c>
      <c r="D24" s="6"/>
      <c r="E24" s="6"/>
      <c r="F24" s="6"/>
      <c r="G24" s="6">
        <v>15.685</v>
      </c>
      <c r="H24" s="6"/>
      <c r="I24" s="6"/>
      <c r="J24" s="6"/>
      <c r="K24" s="6">
        <v>11.452999999999999</v>
      </c>
      <c r="L24" s="6"/>
      <c r="M24" s="6"/>
      <c r="N24" s="6"/>
      <c r="P24" s="3">
        <v>35</v>
      </c>
      <c r="Q24" s="3">
        <v>40.200000000000003</v>
      </c>
      <c r="R24" s="3">
        <v>66.099999999999994</v>
      </c>
      <c r="S24" s="3">
        <v>75</v>
      </c>
      <c r="T24" s="3">
        <v>78</v>
      </c>
    </row>
    <row r="25" spans="2:20" s="3" customFormat="1" x14ac:dyDescent="0.25">
      <c r="B25" s="3" t="s">
        <v>28</v>
      </c>
      <c r="C25" s="6">
        <f t="shared" ref="C25:F25" si="24">+C23-C24</f>
        <v>109.52499999999992</v>
      </c>
      <c r="D25" s="6">
        <f t="shared" si="24"/>
        <v>0</v>
      </c>
      <c r="E25" s="6">
        <f t="shared" si="24"/>
        <v>0</v>
      </c>
      <c r="F25" s="6">
        <f t="shared" si="24"/>
        <v>0</v>
      </c>
      <c r="G25" s="6">
        <f>+G23-G24</f>
        <v>71.111999999999995</v>
      </c>
      <c r="H25" s="6">
        <f t="shared" ref="H25:K25" si="25">+H23-H24</f>
        <v>0</v>
      </c>
      <c r="I25" s="6">
        <f t="shared" si="25"/>
        <v>0</v>
      </c>
      <c r="J25" s="6">
        <f t="shared" si="25"/>
        <v>0</v>
      </c>
      <c r="K25" s="6">
        <f t="shared" si="25"/>
        <v>60.404000000000082</v>
      </c>
      <c r="L25" s="6"/>
      <c r="M25" s="6"/>
      <c r="N25" s="6"/>
      <c r="P25" s="3">
        <f t="shared" ref="P25" si="26">+P23-P24</f>
        <v>261.80000000000013</v>
      </c>
      <c r="Q25" s="3">
        <f t="shared" ref="Q25" si="27">+Q23-Q24</f>
        <v>305.80000000000018</v>
      </c>
      <c r="R25" s="3">
        <f>+R23-R24</f>
        <v>277.29999999999995</v>
      </c>
      <c r="S25" s="3">
        <f>+S23-S24</f>
        <v>327.40000000000032</v>
      </c>
      <c r="T25" s="3">
        <f>+T23-T24</f>
        <v>332.99999999999989</v>
      </c>
    </row>
    <row r="26" spans="2:20" x14ac:dyDescent="0.25">
      <c r="B26" s="2" t="s">
        <v>34</v>
      </c>
      <c r="C26" s="10">
        <f t="shared" ref="C26:F26" si="28">+C25/C27</f>
        <v>0.52918041658010018</v>
      </c>
      <c r="D26" s="10" t="e">
        <f t="shared" si="28"/>
        <v>#DIV/0!</v>
      </c>
      <c r="E26" s="10" t="e">
        <f t="shared" si="28"/>
        <v>#DIV/0!</v>
      </c>
      <c r="F26" s="10" t="e">
        <f t="shared" si="28"/>
        <v>#DIV/0!</v>
      </c>
      <c r="G26" s="10">
        <f>+G25/G27</f>
        <v>0.35270835296626774</v>
      </c>
    </row>
    <row r="27" spans="2:20" s="3" customFormat="1" x14ac:dyDescent="0.25">
      <c r="B27" s="3" t="s">
        <v>1</v>
      </c>
      <c r="C27" s="6">
        <v>206.971</v>
      </c>
      <c r="D27" s="6"/>
      <c r="E27" s="6"/>
      <c r="F27" s="6"/>
      <c r="G27" s="6">
        <v>201.61699999999999</v>
      </c>
      <c r="H27" s="6"/>
      <c r="I27" s="6"/>
      <c r="J27" s="6"/>
      <c r="K27" s="6"/>
      <c r="L27" s="6"/>
      <c r="M27" s="6"/>
      <c r="N27" s="6"/>
    </row>
    <row r="29" spans="2:20" x14ac:dyDescent="0.25">
      <c r="B29" s="2" t="s">
        <v>29</v>
      </c>
      <c r="G29" s="8">
        <f>+G14/C14-1</f>
        <v>-2.1095720828120501E-2</v>
      </c>
      <c r="K29" s="8">
        <f>+K14/G14-1</f>
        <v>3.2790674572852119E-2</v>
      </c>
      <c r="Q29" s="9">
        <f>+Q14/P14-1</f>
        <v>9.4128503864344459E-2</v>
      </c>
      <c r="R29" s="9">
        <f t="shared" ref="R29:T29" si="29">+R14/Q14-1</f>
        <v>0.10463890353189242</v>
      </c>
      <c r="S29" s="9">
        <f t="shared" si="29"/>
        <v>4.1088045812455398E-2</v>
      </c>
      <c r="T29" s="9">
        <f t="shared" si="29"/>
        <v>2.9748808214154598E-2</v>
      </c>
    </row>
    <row r="30" spans="2:20" x14ac:dyDescent="0.25">
      <c r="B30" s="9" t="s">
        <v>30</v>
      </c>
      <c r="C30" s="8">
        <f>+C16/C14</f>
        <v>0.64074441845113539</v>
      </c>
      <c r="D30" s="8" t="e">
        <f t="shared" ref="D30:G30" si="30">+D16/D14</f>
        <v>#DIV/0!</v>
      </c>
      <c r="E30" s="8" t="e">
        <f t="shared" si="30"/>
        <v>#DIV/0!</v>
      </c>
      <c r="F30" s="8" t="e">
        <f t="shared" si="30"/>
        <v>#DIV/0!</v>
      </c>
      <c r="G30" s="8">
        <f t="shared" si="30"/>
        <v>0.64053664761439011</v>
      </c>
      <c r="K30" s="8">
        <f t="shared" ref="K30" si="31">+K16/K14</f>
        <v>0.62812571096687808</v>
      </c>
    </row>
    <row r="33" spans="2:20" s="3" customFormat="1" x14ac:dyDescent="0.25">
      <c r="B33" s="3" t="s">
        <v>31</v>
      </c>
      <c r="C33" s="6">
        <v>99.986999999999995</v>
      </c>
      <c r="D33" s="6"/>
      <c r="E33" s="6"/>
      <c r="F33" s="6"/>
      <c r="G33" s="6">
        <v>85.415000000000006</v>
      </c>
      <c r="H33" s="6"/>
      <c r="I33" s="6"/>
      <c r="J33" s="6"/>
      <c r="K33" s="6">
        <v>59.389000000000003</v>
      </c>
      <c r="L33" s="6"/>
      <c r="M33" s="6"/>
      <c r="N33" s="6"/>
      <c r="P33" s="3">
        <v>284.36099999999999</v>
      </c>
      <c r="Q33" s="3">
        <v>345.77199999999999</v>
      </c>
      <c r="R33" s="3">
        <v>259.904</v>
      </c>
      <c r="S33" s="3">
        <v>345.416</v>
      </c>
      <c r="T33" s="3">
        <v>355.30700000000002</v>
      </c>
    </row>
    <row r="34" spans="2:20" s="3" customFormat="1" x14ac:dyDescent="0.25">
      <c r="B34" s="3" t="s">
        <v>33</v>
      </c>
      <c r="C34" s="6">
        <v>17.353999999999999</v>
      </c>
      <c r="D34" s="6"/>
      <c r="E34" s="6"/>
      <c r="F34" s="6"/>
      <c r="G34" s="6">
        <v>17.678999999999998</v>
      </c>
      <c r="H34" s="6"/>
      <c r="I34" s="6"/>
      <c r="J34" s="6"/>
      <c r="K34" s="6">
        <v>11.458</v>
      </c>
      <c r="L34" s="6"/>
      <c r="M34" s="6"/>
      <c r="N34" s="6"/>
      <c r="P34" s="3">
        <v>68.968999999999994</v>
      </c>
      <c r="Q34" s="3">
        <v>77.983999999999995</v>
      </c>
      <c r="R34" s="3">
        <v>85.543999999999997</v>
      </c>
      <c r="S34" s="3">
        <v>85.021000000000001</v>
      </c>
      <c r="T34" s="3">
        <v>94.388000000000005</v>
      </c>
    </row>
    <row r="35" spans="2:20" s="3" customFormat="1" x14ac:dyDescent="0.25">
      <c r="B35" s="3" t="s">
        <v>32</v>
      </c>
      <c r="C35" s="6">
        <f>+C33-C34</f>
        <v>82.632999999999996</v>
      </c>
      <c r="D35" s="6"/>
      <c r="E35" s="6"/>
      <c r="F35" s="6"/>
      <c r="G35" s="6">
        <f>+G33-G34</f>
        <v>67.736000000000004</v>
      </c>
      <c r="H35" s="6">
        <f t="shared" ref="H35:K35" si="32">+H33-H34</f>
        <v>0</v>
      </c>
      <c r="I35" s="6">
        <f t="shared" si="32"/>
        <v>0</v>
      </c>
      <c r="J35" s="6">
        <f t="shared" si="32"/>
        <v>0</v>
      </c>
      <c r="K35" s="6">
        <f t="shared" si="32"/>
        <v>47.931000000000004</v>
      </c>
      <c r="L35" s="6"/>
      <c r="M35" s="6"/>
      <c r="N35" s="6"/>
      <c r="P35" s="3">
        <f t="shared" ref="P35:Q35" si="33">+P33-P34</f>
        <v>215.392</v>
      </c>
      <c r="Q35" s="3">
        <f t="shared" si="33"/>
        <v>267.78800000000001</v>
      </c>
      <c r="R35" s="3">
        <f>+R33-R34</f>
        <v>174.36</v>
      </c>
      <c r="S35" s="3">
        <f>+S33-S34</f>
        <v>260.39499999999998</v>
      </c>
      <c r="T35" s="3">
        <f>+T33-T34</f>
        <v>260.91899999999998</v>
      </c>
    </row>
    <row r="40" spans="2:20" x14ac:dyDescent="0.25">
      <c r="B40" s="2" t="s">
        <v>35</v>
      </c>
      <c r="G40" s="8">
        <f>(G10-G15)/G10</f>
        <v>0.14277709443761097</v>
      </c>
    </row>
    <row r="41" spans="2:20" x14ac:dyDescent="0.25">
      <c r="B41" s="2" t="s">
        <v>36</v>
      </c>
      <c r="G41" s="8">
        <f>(G11-13.178)/G11</f>
        <v>0.90920990988508288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2025-05-19T18:35:16Z</dcterms:created>
  <dcterms:modified xsi:type="dcterms:W3CDTF">2026-06-30T15:47:21Z</dcterms:modified>
</cp:coreProperties>
</file>