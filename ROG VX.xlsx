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A9C834A-618D-4E22-BB2B-3984E3D3165D}" xr6:coauthVersionLast="47" xr6:coauthVersionMax="47" xr10:uidLastSave="{00000000-0000-0000-0000-000000000000}"/>
  <bookViews>
    <workbookView xWindow="11020" yWindow="4170" windowWidth="20170" windowHeight="14480" firstSheet="2" activeTab="3" xr2:uid="{00000000-000D-0000-FFFF-FFFF00000000}"/>
  </bookViews>
  <sheets>
    <sheet name="Management and Structure" sheetId="121" r:id="rId1"/>
    <sheet name="Debt" sheetId="129" r:id="rId2"/>
    <sheet name="Master" sheetId="132" r:id="rId3"/>
    <sheet name="Main" sheetId="101" r:id="rId4"/>
    <sheet name="Model" sheetId="99" r:id="rId5"/>
    <sheet name="Vabysmo" sheetId="136" r:id="rId6"/>
    <sheet name="Tecentriq" sheetId="131" r:id="rId7"/>
    <sheet name="Phesgo" sheetId="137" r:id="rId8"/>
    <sheet name="Diagnostics" sheetId="124" r:id="rId9"/>
    <sheet name="Elevidys" sheetId="139" r:id="rId10"/>
    <sheet name="Evrysdi" sheetId="138" r:id="rId11"/>
    <sheet name="MabThera" sheetId="115" r:id="rId12"/>
    <sheet name="Hemlibra" sheetId="134" r:id="rId13"/>
    <sheet name="Avastin" sheetId="113" r:id="rId14"/>
    <sheet name="Avastin Model" sheetId="128" r:id="rId15"/>
    <sheet name="Polivy" sheetId="133" r:id="rId16"/>
    <sheet name="Herceptin" sheetId="118" r:id="rId17"/>
    <sheet name="Pegasys" sheetId="119" r:id="rId18"/>
    <sheet name="Xeloda" sheetId="127" r:id="rId19"/>
    <sheet name="tiragolumab" sheetId="135" r:id="rId20"/>
    <sheet name="giredestrant" sheetId="140" r:id="rId21"/>
    <sheet name="fenebrutinib" sheetId="141" r:id="rId22"/>
    <sheet name="Actemra" sheetId="112" r:id="rId23"/>
    <sheet name="Lucentis" sheetId="123" r:id="rId24"/>
    <sheet name="Perjeta" sheetId="117" r:id="rId25"/>
    <sheet name="Ocrevus" sheetId="126" r:id="rId26"/>
    <sheet name="Kadcyla" sheetId="130" r:id="rId27"/>
    <sheet name="Mircera" sheetId="102" r:id="rId28"/>
    <sheet name="Tarceva" sheetId="122" r:id="rId29"/>
    <sheet name="Failures" sheetId="125" r:id="rId30"/>
    <sheet name="dalcetrapib" sheetId="111" r:id="rId31"/>
    <sheet name="aleglitazar" sheetId="120" r:id="rId32"/>
    <sheet name="R1626" sheetId="114" r:id="rId33"/>
    <sheet name="taspoglutide" sheetId="116" r:id="rId34"/>
  </sheets>
  <externalReferences>
    <externalReference r:id="rId35"/>
    <externalReference r:id="rId36"/>
    <externalReference r:id="rId37"/>
    <externalReference r:id="rId38"/>
    <externalReference r:id="rId39"/>
  </externalReferences>
  <definedNames>
    <definedName name="__FDS_HYPERLINK_TOGGLE_STATE__" hidden="1">"ON"</definedName>
    <definedName name="_50__Special_Reserve">#REF!</definedName>
    <definedName name="_SKF107647">[1]Sales!#REF!</definedName>
    <definedName name="Accrued_Expenditure">#REF!</definedName>
    <definedName name="Acellular_pertussis_booster">[1]Sales!$A$90:$AG$90</definedName>
    <definedName name="Acquisitions">#REF!</definedName>
    <definedName name="Amortisation">#REF!</definedName>
    <definedName name="Amortization_of_Acquired_Technology_Rights">#REF!</definedName>
    <definedName name="Amortization_of_Goodwill">#REF!</definedName>
    <definedName name="Amoxil">[1]Sales!$A$27:$AG$27</definedName>
    <definedName name="Androderm">[1]Sales!#REF!</definedName>
    <definedName name="Argentina">#REF!</definedName>
    <definedName name="ASSOC">#REF!</definedName>
    <definedName name="Associates">#REF!</definedName>
    <definedName name="Augmentin">[1]Sales!$A$26:$AG$26</definedName>
    <definedName name="Bactroban">[1]Sales!$A$35:$AG$35</definedName>
    <definedName name="beta_company">#REF!</definedName>
    <definedName name="beta_current">#REF!</definedName>
    <definedName name="beta_rd">#REF!</definedName>
    <definedName name="BLPH3" hidden="1">[2]stats!#REF!</definedName>
    <definedName name="BRL_32872">[1]Sales!#REF!</definedName>
    <definedName name="BRL_49653">[1]Sales!#REF!</definedName>
    <definedName name="BSMinorities">#REF!</definedName>
    <definedName name="Campylobacter">[1]Sales!$A$89:$AG$89</definedName>
    <definedName name="CAPEX">#REF!</definedName>
    <definedName name="CAPEX__Financial">#REF!</definedName>
    <definedName name="CAPEX__Intangibles">#REF!</definedName>
    <definedName name="CAPEX_SALES">#REF!</definedName>
    <definedName name="Case">#REF!</definedName>
    <definedName name="CASH_FLOW_ANALYSIS">#REF!</definedName>
    <definedName name="cash_min">'[3]earnings model'!#REF!</definedName>
    <definedName name="CFPS__DM">#REF!</definedName>
    <definedName name="Change_in_NWC">#REF!</definedName>
    <definedName name="Charts">#REF!</definedName>
    <definedName name="Charts1">#REF!</definedName>
    <definedName name="Charts2">#REF!</definedName>
    <definedName name="Chile1">#REF!</definedName>
    <definedName name="Chile2">#REF!</definedName>
    <definedName name="Classic_flu">[1]Sales!$A$67:$AG$67</definedName>
    <definedName name="Closed_End">#REF!</definedName>
    <definedName name="cogs">#REF!</definedName>
    <definedName name="COGS_1997_EBIT">#REF!</definedName>
    <definedName name="COGS_1998_EBIT">#REF!</definedName>
    <definedName name="COGS_1999_EBIT">#REF!</definedName>
    <definedName name="COGS_2000_EBIT">#REF!</definedName>
    <definedName name="COGS_2001_EBIT">#REF!</definedName>
    <definedName name="COGS_2002_EBIT">#REF!</definedName>
    <definedName name="COGS_2003_EBIT">#REF!</definedName>
    <definedName name="COGS_2004_EBIT">#REF!</definedName>
    <definedName name="COGS_2005_EBIT">#REF!</definedName>
    <definedName name="COGS_2006_EBIT">#REF!</definedName>
    <definedName name="CONSOLIDATED_BALANCE_SHEET">#REF!</definedName>
    <definedName name="ConversionRate">#REF!</definedName>
    <definedName name="Coreg_Kredex">[1]Sales!$A$100:$AG$100</definedName>
    <definedName name="Cost_capital_copy">#REF!</definedName>
    <definedName name="cost_debt">#REF!</definedName>
    <definedName name="Cost_of_capital">#REF!</definedName>
    <definedName name="Cost_of_Sales">#REF!</definedName>
    <definedName name="cost_pref">#REF!</definedName>
    <definedName name="costperhead">#REF!</definedName>
    <definedName name="Creditor_days">#REF!</definedName>
    <definedName name="_xlnm.Criteria">[4]gelxwork!#REF!</definedName>
    <definedName name="current_bus_wacc">#REF!</definedName>
    <definedName name="Date">#REF!</definedName>
    <definedName name="Debtor_days">#REF!</definedName>
    <definedName name="Deferred_Charges">#REF!</definedName>
    <definedName name="Depreciation">#REF!</definedName>
    <definedName name="Depreciation___Amortization">#REF!</definedName>
    <definedName name="Depreciation_of_PP_E">#REF!</definedName>
    <definedName name="Disposals">#REF!</definedName>
    <definedName name="Diversified">[1]Sales!#REF!</definedName>
    <definedName name="DOSESPLIT_1">'[5]Scenario Builder'!$C$5:$L$5</definedName>
    <definedName name="DOSESPLIT_10">'[5]Scenario Builder'!$C$14:$L$14</definedName>
    <definedName name="DOSESPLIT_11">'[5]Scenario Builder'!$C$15:$L$15</definedName>
    <definedName name="DOSESPLIT_2">'[5]Scenario Builder'!$C$6:$L$6</definedName>
    <definedName name="DOSESPLIT_3">'[5]Scenario Builder'!$C$7:$L$7</definedName>
    <definedName name="DOSESPLIT_4">'[5]Scenario Builder'!$C$8:$L$8</definedName>
    <definedName name="DOSESPLIT_5">'[5]Scenario Builder'!$C$9:$L$9</definedName>
    <definedName name="DOSESPLIT_6">'[5]Scenario Builder'!$C$10:$L$10</definedName>
    <definedName name="DOSESPLIT_7">'[5]Scenario Builder'!$C$11:$L$11</definedName>
    <definedName name="DOSESPLIT_8">'[5]Scenario Builder'!$C$12:$L$12</definedName>
    <definedName name="DOSESPLIT_9">'[5]Scenario Builder'!$C$13:$L$13</definedName>
    <definedName name="Doubt_Case">#REF!</definedName>
    <definedName name="dps_">#REF!</definedName>
    <definedName name="DPS__DM__Ord">#REF!</definedName>
    <definedName name="DPS__DM__Pref">#REF!</definedName>
    <definedName name="dps_ratio">#REF!</definedName>
    <definedName name="DVFA___SG_EPS__DM">#REF!</definedName>
    <definedName name="DVFA___SG_Net_Profit">#REF!</definedName>
    <definedName name="Dyazide">[1]Sales!#REF!</definedName>
    <definedName name="EBDIT">#REF!</definedName>
    <definedName name="ebit">#REF!</definedName>
    <definedName name="EBIT_CONT_BUS_NO_RD">#REF!</definedName>
    <definedName name="EBIT_CONT_BUS_RD">#REF!</definedName>
    <definedName name="ebit_margin">#REF!</definedName>
    <definedName name="ebita">#REF!</definedName>
    <definedName name="Engerix_B">[1]Sales!$A$64:$AG$64</definedName>
    <definedName name="Enterotoxogenic_E_coli">[1]Sales!$A$91:$AG$91</definedName>
    <definedName name="ENTERPRISE_VALUE">#REF!</definedName>
    <definedName name="eps">#REF!</definedName>
    <definedName name="EV">#REF!</definedName>
    <definedName name="EV_EBDIT">#REF!</definedName>
    <definedName name="EV_EBIT">#REF!</definedName>
    <definedName name="EV_SALES">#REF!</definedName>
    <definedName name="EXIT">#REF!</definedName>
    <definedName name="EXPLICIT_SWITCH">#REF!</definedName>
    <definedName name="Extraordinary_Expenses">#REF!</definedName>
    <definedName name="Extraordinary_Income">#REF!</definedName>
    <definedName name="Famvir">[1]Sales!#REF!</definedName>
    <definedName name="fixed_assets">#REF!</definedName>
    <definedName name="Form_AEPS">#REF!</definedName>
    <definedName name="Form_QEPS">#REF!</definedName>
    <definedName name="Form_QRev">#REF!</definedName>
    <definedName name="Germany_Sales">#REF!</definedName>
    <definedName name="guidance_new">#REF!</definedName>
    <definedName name="Halfan">[1]Sales!#REF!</definedName>
    <definedName name="Havrix">[1]Sales!$A$65:$AG$65</definedName>
    <definedName name="Headcount">#REF!</definedName>
    <definedName name="Herpes_simplex_Hep_B">[1]Sales!$A$94:$AG$94</definedName>
    <definedName name="Human_Papilloma_virus">[1]Sales!$A$95:$AG$95</definedName>
    <definedName name="Hycamtin">[1]Sales!$A$80:$AG$80</definedName>
    <definedName name="Idoxifene">[1]Sales!$A$81:$AG$81</definedName>
    <definedName name="inc_tax">#REF!</definedName>
    <definedName name="Income_tax">#REF!</definedName>
    <definedName name="Infanrix">[1]Sales!$A$86:$AG$86</definedName>
    <definedName name="InpatAdmiss_Case">#REF!</definedName>
    <definedName name="InpatRev_Case">#REF!</definedName>
    <definedName name="Intangible_Assets">#REF!</definedName>
    <definedName name="Keliximab">[1]Sales!#REF!</definedName>
    <definedName name="Kytril">[1]Sales!$A$46:$AG$46</definedName>
    <definedName name="Latin_Amercia">#REF!</definedName>
    <definedName name="LaunchYear_YYYY">YEAR(LaunchDate)</definedName>
    <definedName name="Lavanex">[1]Sales!$A$108:$AG$108</definedName>
    <definedName name="Lyme_Disease">[1]Sales!$A$87:$AG$87</definedName>
    <definedName name="MARGINS_1997_EBIT">#REF!</definedName>
    <definedName name="MARGINS_1998_EBIT">#REF!</definedName>
    <definedName name="MARGINS_1999_EBIT">#REF!</definedName>
    <definedName name="MARGINS_2000_EBIT">#REF!</definedName>
    <definedName name="MARGINS_2001_EBIT">#REF!</definedName>
    <definedName name="MARGINS_2002_EBIT">#REF!</definedName>
    <definedName name="MARGINS_2003_EBIT">#REF!</definedName>
    <definedName name="MARGINS_2004_EBIT">#REF!</definedName>
    <definedName name="MARGINS_2005_EBIT">#REF!</definedName>
    <definedName name="MARGINS_2006_EBIT">#REF!</definedName>
    <definedName name="market_cap">#REF!</definedName>
    <definedName name="MC">#REF!</definedName>
    <definedName name="Melanoma">[1]Sales!$A$93:$AG$93</definedName>
    <definedName name="Memric">[1]Sales!#REF!</definedName>
    <definedName name="Mexico1">#REF!</definedName>
    <definedName name="Mexico2">#REF!</definedName>
    <definedName name="Minorities">#REF!</definedName>
    <definedName name="Minority_Dividends">#REF!</definedName>
    <definedName name="Misc_Other">[1]Sales!#REF!</definedName>
    <definedName name="MKT_SHARE_1">'[5]Scenario Builder'!$C$19:$L$19</definedName>
    <definedName name="MKT_SHARE_10">'[5]Scenario Builder'!$C$28:$L$28</definedName>
    <definedName name="MKT_SHARE_11">'[5]Scenario Builder'!$C$29:$L$29</definedName>
    <definedName name="MKT_SHARE_2">'[5]Scenario Builder'!$C$20:$L$20</definedName>
    <definedName name="MKT_SHARE_3">'[5]Scenario Builder'!$C$21:$L$21</definedName>
    <definedName name="MKT_SHARE_4">'[5]Scenario Builder'!$C$22:$L$22</definedName>
    <definedName name="MKT_SHARE_5">'[5]Scenario Builder'!$C$23:$L$23</definedName>
    <definedName name="MKT_SHARE_6">'[5]Scenario Builder'!$C$24:$L$24</definedName>
    <definedName name="MKT_SHARE_7">'[5]Scenario Builder'!$C$25:$L$25</definedName>
    <definedName name="MKT_SHARE_8">'[5]Scenario Builder'!$C$26:$L$26</definedName>
    <definedName name="MKT_SHARE_9">'[5]Scenario Builder'!$C$27:$L$27</definedName>
    <definedName name="MMR_Varicella">[1]Sales!$A$96:$AG$96</definedName>
    <definedName name="mrp">#REF!</definedName>
    <definedName name="net">#REF!</definedName>
    <definedName name="net_cash">#REF!</definedName>
    <definedName name="Net_Interest">#REF!</definedName>
    <definedName name="Net_profit">#REF!</definedName>
    <definedName name="Net_Profit_after_Minorities">#REF!</definedName>
    <definedName name="Net_Working_Capital">#REF!</definedName>
    <definedName name="Net_Worth_Share__DM">#REF!</definedName>
    <definedName name="NEUP_MKT_SHARE_1">'[5]Scenario Builder'!$C$33:$L$33</definedName>
    <definedName name="NEUP_MKT_SHARE_10">'[5]Scenario Builder'!$C$42:$L$42</definedName>
    <definedName name="NEUP_MKT_SHARE_11">'[5]Scenario Builder'!$C$43:$L$43</definedName>
    <definedName name="NEUP_MKT_SHARE_2">'[5]Scenario Builder'!$C$34:$L$34</definedName>
    <definedName name="NEUP_MKT_SHARE_3">'[5]Scenario Builder'!$C$35:$L$35</definedName>
    <definedName name="NEUP_MKT_SHARE_4">'[5]Scenario Builder'!$C$36:$L$36</definedName>
    <definedName name="NEUP_MKT_SHARE_5">'[5]Scenario Builder'!$C$37:$L$37</definedName>
    <definedName name="NEUP_MKT_SHARE_6">'[5]Scenario Builder'!$C$38:$L$38</definedName>
    <definedName name="NEUP_MKT_SHARE_7">'[5]Scenario Builder'!$C$39:$L$39</definedName>
    <definedName name="NEUP_MKT_SHARE_8">'[5]Scenario Builder'!$C$40:$L$40</definedName>
    <definedName name="NEUP_MKT_SHARE_9">'[5]Scenario Builder'!$C$41:$L$41</definedName>
    <definedName name="NEW_SALES">[1]Sales!$X$112:$AG$112</definedName>
    <definedName name="New_sales_copy">[1]Sales!$AJ$112</definedName>
    <definedName name="NINT">#REF!</definedName>
    <definedName name="NOPAT_NCI">#REF!</definedName>
    <definedName name="North_America">#REF!</definedName>
    <definedName name="ONEPAGER">#REF!</definedName>
    <definedName name="Operating_profit">#REF!</definedName>
    <definedName name="Other_Cash_Items">#REF!</definedName>
    <definedName name="Other_Creditors">#REF!</definedName>
    <definedName name="Other_Europe_Sales">#REF!</definedName>
    <definedName name="Other_Financial_Assets">#REF!</definedName>
    <definedName name="Other_Provisions">#REF!</definedName>
    <definedName name="Other_Taxes">#REF!</definedName>
    <definedName name="Other1">#REF!</definedName>
    <definedName name="OutpatRev_Case">#REF!</definedName>
    <definedName name="OutpatVisit_Case">#REF!</definedName>
    <definedName name="Page1">#REF!</definedName>
    <definedName name="Page12">#REF!</definedName>
    <definedName name="Page2">#REF!</definedName>
    <definedName name="Parent_Company_Dividend">#REF!</definedName>
    <definedName name="PE">#REF!</definedName>
    <definedName name="Penbritin">[1]Sales!$A$33:$AG$33</definedName>
    <definedName name="Pension_Provisions">#REF!</definedName>
    <definedName name="PERSONNEL_ANALYSIS">#REF!</definedName>
    <definedName name="personnel_cost">#REF!</definedName>
    <definedName name="Personnel_Costs">#REF!</definedName>
    <definedName name="PHA_NI_00">#REF!</definedName>
    <definedName name="PHA_NI_01">#REF!</definedName>
    <definedName name="PHA_NI_02">#REF!</definedName>
    <definedName name="PHA_NI_03">#REF!</definedName>
    <definedName name="PHA_NI_04">#REF!</definedName>
    <definedName name="PHA_NI_98">#REF!</definedName>
    <definedName name="PHA_NI_99">#REF!</definedName>
    <definedName name="PHA_PHR_NI_00">#REF!</definedName>
    <definedName name="PHA_PHR_NI_01">#REF!</definedName>
    <definedName name="PHA_PHR_NI_02">#REF!</definedName>
    <definedName name="PHA_PHR_NI_03">#REF!</definedName>
    <definedName name="PHA_PHR_NI_04">#REF!</definedName>
    <definedName name="PHA_PHR_NI_99">#REF!</definedName>
    <definedName name="PHA_SHRS_00">#REF!</definedName>
    <definedName name="PHA_SHRS_01">#REF!</definedName>
    <definedName name="PHA_SHRS_02">#REF!</definedName>
    <definedName name="PHA_SHRS_03">#REF!</definedName>
    <definedName name="PHA_SHRS_04">#REF!</definedName>
    <definedName name="PHA_SHRS_98">#REF!</definedName>
    <definedName name="PHA_SHRS_99">#REF!</definedName>
    <definedName name="pharma_ebit">#REF!</definedName>
    <definedName name="pharma_sales">#REF!</definedName>
    <definedName name="pharma_staff">#REF!</definedName>
    <definedName name="PL">#REF!</definedName>
    <definedName name="PL_1997_EBIT">#REF!</definedName>
    <definedName name="PL_1998_EBIT">#REF!</definedName>
    <definedName name="PL_1999_EBIT">#REF!</definedName>
    <definedName name="PL_2000_EBIT">#REF!</definedName>
    <definedName name="PL_2001_EBIT">#REF!</definedName>
    <definedName name="PL_2002_EBIT">#REF!</definedName>
    <definedName name="PL_2003_EBIT">#REF!</definedName>
    <definedName name="PL_2004_EBIT">#REF!</definedName>
    <definedName name="PL_2005_EBIT">#REF!</definedName>
    <definedName name="PL_2006_EBIT">#REF!</definedName>
    <definedName name="PL_account">#REF!</definedName>
    <definedName name="PL_ADMIN">#REF!</definedName>
    <definedName name="PL_ADMIN_COPY">#REF!</definedName>
    <definedName name="PL_COGS">#REF!</definedName>
    <definedName name="PL_COGS_COPY">#REF!</definedName>
    <definedName name="PL_OP_EXP">#REF!</definedName>
    <definedName name="PL_OP_EXP_COPY">#REF!</definedName>
    <definedName name="PL_RD">#REF!</definedName>
    <definedName name="PL_RD_COPY">#REF!</definedName>
    <definedName name="PL_SGA">#REF!</definedName>
    <definedName name="PL_SGA_COPY">#REF!</definedName>
    <definedName name="Pre_Tax__Profit">#REF!</definedName>
    <definedName name="Pre_Tax_Profit">#REF!</definedName>
    <definedName name="PRICE_1">'[5]Scenario Builder'!$C$61:$L$61</definedName>
    <definedName name="PRICE_2">'[5]Scenario Builder'!$C$62:$L$62</definedName>
    <definedName name="PRICE_3">'[5]Scenario Builder'!$C$63:$L$63</definedName>
    <definedName name="PRICE_4">'[5]Scenario Builder'!$C$64:$L$64</definedName>
    <definedName name="PRICE_5">'[5]Scenario Builder'!$C$65:$L$65</definedName>
    <definedName name="PRICE_NUMBER">'[5]LRP Scenarios'!$G$98</definedName>
    <definedName name="Print_Area_MI">#REF!</definedName>
    <definedName name="PRINT_BS">#REF!</definedName>
    <definedName name="PRINT_CF">#REF!</definedName>
    <definedName name="PRINT_PL">#REF!</definedName>
    <definedName name="PRINT_RATIOS">#REF!</definedName>
    <definedName name="PRINT_SALES">[1]Sales!$A$1:$AG$230</definedName>
    <definedName name="PRINT_VALUE">#REF!</definedName>
    <definedName name="Proceeds_of_New_Issue">#REF!</definedName>
    <definedName name="ptp">#REF!</definedName>
    <definedName name="Rate_WACC">#REF!</definedName>
    <definedName name="RD">#REF!</definedName>
    <definedName name="rd_pharma">#REF!</definedName>
    <definedName name="Relafen">[1]Sales!#REF!</definedName>
    <definedName name="ReQuip">[1]Sales!#REF!</definedName>
    <definedName name="rfr">#REF!</definedName>
    <definedName name="sales">#REF!</definedName>
    <definedName name="Salmonella_typhi">[1]Sales!$A$92:$AG$92</definedName>
    <definedName name="SB_204269">[1]Sales!#REF!</definedName>
    <definedName name="SB_207266">[1]Sales!#REF!</definedName>
    <definedName name="SB_207499">[1]Sales!#REF!</definedName>
    <definedName name="SB_209509">[1]Sales!#REF!</definedName>
    <definedName name="SB_209670">[1]Sales!$A$105:$AG$105</definedName>
    <definedName name="SB_210396">[1]Sales!#REF!</definedName>
    <definedName name="SB_214857">[1]Sales!$A$103:$AG$103</definedName>
    <definedName name="SB_217242">[1]Sales!$A$104:$AG$104</definedName>
    <definedName name="SB_217969">[1]Sales!#REF!</definedName>
    <definedName name="SB_220453">[1]Sales!#REF!</definedName>
    <definedName name="SCENARIO_NUMBER">'[5]LRP Scenarios'!$D$98</definedName>
    <definedName name="Seroxat">[1]Sales!$A$45:$AG$45</definedName>
    <definedName name="SharePrice">#REF!</definedName>
    <definedName name="SharePriceEuro">#REF!</definedName>
    <definedName name="SHARES">#REF!</definedName>
    <definedName name="Short_Flow_Data">#REF!</definedName>
    <definedName name="Smithkline_beecham_ethical_sales">[1]Sales!$T$114:$AG$114</definedName>
    <definedName name="SPLIT_MULT_1">'[5]Scenario Builder'!$C$48:$L$48</definedName>
    <definedName name="SPLIT_MULT_10">'[5]Scenario Builder'!$C$57:$L$57</definedName>
    <definedName name="SPLIT_MULT_11">'[5]Scenario Builder'!$C$58:$L$58</definedName>
    <definedName name="SPLIT_MULT_2">'[5]Scenario Builder'!$C$49:$L$49</definedName>
    <definedName name="SPLIT_MULT_3">'[5]Scenario Builder'!$C$50:$L$50</definedName>
    <definedName name="SPLIT_MULT_4">'[5]Scenario Builder'!$C$51:$L$51</definedName>
    <definedName name="SPLIT_MULT_5">'[5]Scenario Builder'!$C$52:$L$52</definedName>
    <definedName name="SPLIT_MULT_6">'[5]Scenario Builder'!$C$53:$L$53</definedName>
    <definedName name="SPLIT_MULT_7">'[5]Scenario Builder'!$C$54:$L$54</definedName>
    <definedName name="SPLIT_MULT_8">'[5]Scenario Builder'!$C$55:$L$55</definedName>
    <definedName name="SPLIT_MULT_9">'[5]Scenario Builder'!$C$56:$L$56</definedName>
    <definedName name="staff">#REF!</definedName>
    <definedName name="Staff_costs">#REF!</definedName>
    <definedName name="Stock_days">#REF!</definedName>
    <definedName name="STOCK_PRICE">#REF!</definedName>
    <definedName name="Tagamet">[1]Sales!$A$60:$AG$60</definedName>
    <definedName name="Tangible_Assets">#REF!</definedName>
    <definedName name="Teveten">[1]Sales!$A$102:$AG$102</definedName>
    <definedName name="Timentin">[1]Sales!$A$34:$AG$34</definedName>
    <definedName name="total_ebit">#REF!</definedName>
    <definedName name="TPROF">#REF!</definedName>
    <definedName name="Twinrix">[1]Sales!$A$85:$AG$85</definedName>
    <definedName name="Ultair">[1]Sales!#REF!</definedName>
    <definedName name="va">#REF!</definedName>
    <definedName name="VALUATION_CONT_BUS">#REF!</definedName>
    <definedName name="VALUATION_CONT_BUS_NO_RD">#REF!</definedName>
    <definedName name="valuation_rd">#REF!</definedName>
    <definedName name="VALUATION_SHARE">#REF!</definedName>
    <definedName name="Variation_in_other_provisions">#REF!</definedName>
    <definedName name="Variation_in_Pension_Provisions">#REF!</definedName>
    <definedName name="Variation_Special_reserve">#REF!</definedName>
    <definedName name="Vectovir">[1]Sales!#REF!</definedName>
    <definedName name="WACC">#REF!</definedName>
    <definedName name="WACC_company">#REF!</definedName>
    <definedName name="Working_capital">#REF!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igand._.Model." hidden="1">{#N/A,#N/A,FALSE,"Inc";#N/A,#N/A,FALSE,"QInc";#N/A,#N/A,FALSE,"Pro";#N/A,#N/A,FALSE,"QPro"}</definedName>
    <definedName name="xxxxx" hidden="1">{#N/A,#N/A,FALSE,"Inc";#N/A,#N/A,FALSE,"QInc";#N/A,#N/A,FALSE,"Pro";#N/A,#N/A,FALSE,"QPro"}</definedName>
    <definedName name="xxxxxx" hidden="1">{#N/A,#N/A,FALSE,"Inc";#N/A,#N/A,FALSE,"QInc";#N/A,#N/A,FALSE,"Pro";#N/A,#N/A,FALSE,"QPro"}</definedName>
    <definedName name="Year_End_Net_Cash____Debt">#REF!</definedName>
    <definedName name="Year_End_Number_of_Employees">#REF!</definedName>
    <definedName name="Yie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23" i="99" l="1"/>
  <c r="BM28" i="99" l="1"/>
  <c r="BM70" i="99"/>
  <c r="BM47" i="99"/>
  <c r="BM62" i="99"/>
  <c r="BM53" i="99"/>
  <c r="BM54" i="99"/>
  <c r="BK70" i="99"/>
  <c r="BK67" i="99"/>
  <c r="BK52" i="99"/>
  <c r="BK62" i="99"/>
  <c r="BK56" i="99"/>
  <c r="BK28" i="99"/>
  <c r="BK22" i="99"/>
  <c r="BK21" i="99"/>
  <c r="BI59" i="99"/>
  <c r="BK59" i="99" s="1"/>
  <c r="BI54" i="99"/>
  <c r="BK54" i="99" s="1"/>
  <c r="BI53" i="99"/>
  <c r="BK53" i="99" s="1"/>
  <c r="BI29" i="99"/>
  <c r="BK29" i="99" s="1"/>
  <c r="BI23" i="99"/>
  <c r="BK23" i="99" s="1"/>
  <c r="BI44" i="99"/>
  <c r="BK44" i="99" s="1"/>
  <c r="BI58" i="99"/>
  <c r="BK58" i="99" s="1"/>
  <c r="BI66" i="99"/>
  <c r="BK66" i="99" s="1"/>
  <c r="BI71" i="99"/>
  <c r="BK71" i="99" s="1"/>
  <c r="BL66" i="99"/>
  <c r="BO59" i="99"/>
  <c r="BL29" i="99"/>
  <c r="BL23" i="99"/>
  <c r="BM71" i="99"/>
  <c r="BM44" i="99"/>
  <c r="BQ52" i="99"/>
  <c r="BQ50" i="99"/>
  <c r="BQ56" i="99"/>
  <c r="BQ51" i="99"/>
  <c r="BQ54" i="99"/>
  <c r="BQ22" i="99"/>
  <c r="BQ55" i="99"/>
  <c r="BQ28" i="99"/>
  <c r="BQ62" i="99"/>
  <c r="BQ59" i="99"/>
  <c r="BQ53" i="99"/>
  <c r="BQ47" i="99"/>
  <c r="BR47" i="99" s="1"/>
  <c r="BS47" i="99" s="1"/>
  <c r="BQ66" i="99"/>
  <c r="BR66" i="99" s="1"/>
  <c r="BS66" i="99" s="1"/>
  <c r="BQ58" i="99"/>
  <c r="BR58" i="99" s="1"/>
  <c r="BS58" i="99" s="1"/>
  <c r="BQ45" i="99"/>
  <c r="BQ23" i="99"/>
  <c r="BQ29" i="99"/>
  <c r="BR29" i="99" s="1"/>
  <c r="BS29" i="99" s="1"/>
  <c r="BQ71" i="99"/>
  <c r="BR71" i="99" s="1"/>
  <c r="BS71" i="99" s="1"/>
  <c r="BQ44" i="99"/>
  <c r="BR44" i="99" s="1"/>
  <c r="BS44" i="99" s="1"/>
  <c r="BQ21" i="99"/>
  <c r="BR21" i="99" s="1"/>
  <c r="BS21" i="99" s="1"/>
  <c r="DS20" i="99"/>
  <c r="DS69" i="99"/>
  <c r="DN69" i="99"/>
  <c r="DO69" i="99" s="1"/>
  <c r="DN32" i="99"/>
  <c r="DO32" i="99" s="1"/>
  <c r="DN27" i="99"/>
  <c r="DO27" i="99" s="1"/>
  <c r="DQ35" i="99"/>
  <c r="DS35" i="99" s="1"/>
  <c r="DQ27" i="99"/>
  <c r="DS27" i="99" s="1"/>
  <c r="DS32" i="99"/>
  <c r="DS13" i="99"/>
  <c r="DR71" i="99"/>
  <c r="DR57" i="99"/>
  <c r="DR44" i="99"/>
  <c r="DR56" i="99"/>
  <c r="DR50" i="99"/>
  <c r="DR48" i="99"/>
  <c r="DR47" i="99"/>
  <c r="DR30" i="99"/>
  <c r="DS30" i="99" s="1"/>
  <c r="DR29" i="99"/>
  <c r="DS29" i="99" s="1"/>
  <c r="DR28" i="99"/>
  <c r="DS28" i="99" s="1"/>
  <c r="DR22" i="99"/>
  <c r="DS22" i="99" s="1"/>
  <c r="DR26" i="99"/>
  <c r="DS26" i="99" s="1"/>
  <c r="DR24" i="99"/>
  <c r="DS24" i="99" s="1"/>
  <c r="DR21" i="99"/>
  <c r="DS21" i="99" s="1"/>
  <c r="DR23" i="99"/>
  <c r="DS23" i="99" s="1"/>
  <c r="DR18" i="99"/>
  <c r="DS18" i="99" s="1"/>
  <c r="DR12" i="99"/>
  <c r="DS12" i="99" s="1"/>
  <c r="DR16" i="99"/>
  <c r="DS16" i="99" s="1"/>
  <c r="DR14" i="99"/>
  <c r="DS14" i="99" s="1"/>
  <c r="DU44" i="99"/>
  <c r="DT9" i="99"/>
  <c r="DT13" i="99"/>
  <c r="DT28" i="99"/>
  <c r="DT29" i="99"/>
  <c r="DT30" i="99"/>
  <c r="DT57" i="99"/>
  <c r="DT56" i="99"/>
  <c r="DT50" i="99"/>
  <c r="DT47" i="99"/>
  <c r="DT48" i="99"/>
  <c r="DT18" i="99"/>
  <c r="DT22" i="99"/>
  <c r="DT26" i="99"/>
  <c r="DT12" i="99"/>
  <c r="DT16" i="99"/>
  <c r="DT14" i="99"/>
  <c r="DT24" i="99"/>
  <c r="DT23" i="99"/>
  <c r="DT21" i="99"/>
  <c r="EE30" i="99"/>
  <c r="EE29" i="99"/>
  <c r="EE28" i="99"/>
  <c r="EE27" i="99"/>
  <c r="EE22" i="99"/>
  <c r="EE26" i="99"/>
  <c r="EE24" i="99"/>
  <c r="EE20" i="99"/>
  <c r="EE21" i="99"/>
  <c r="EE23" i="99"/>
  <c r="EE18" i="99"/>
  <c r="EE12" i="99"/>
  <c r="EE16" i="99"/>
  <c r="EE13" i="99"/>
  <c r="EE14" i="99"/>
  <c r="EE10" i="99"/>
  <c r="EE9" i="99"/>
  <c r="EH17" i="99"/>
  <c r="EI17" i="99" s="1"/>
  <c r="EH15" i="99"/>
  <c r="EI15" i="99" s="1"/>
  <c r="EH34" i="99"/>
  <c r="EH19" i="99"/>
  <c r="EI19" i="99" s="1"/>
  <c r="EG56" i="99"/>
  <c r="EG30" i="99"/>
  <c r="EH30" i="99" s="1"/>
  <c r="EI30" i="99" s="1"/>
  <c r="EG29" i="99"/>
  <c r="EH29" i="99" s="1"/>
  <c r="EI29" i="99" s="1"/>
  <c r="EG28" i="99"/>
  <c r="EH28" i="99" s="1"/>
  <c r="EI28" i="99" s="1"/>
  <c r="EG27" i="99"/>
  <c r="EH27" i="99" s="1"/>
  <c r="EI27" i="99" s="1"/>
  <c r="EG22" i="99"/>
  <c r="EH22" i="99" s="1"/>
  <c r="EI22" i="99" s="1"/>
  <c r="EG26" i="99"/>
  <c r="EH26" i="99" s="1"/>
  <c r="EI26" i="99" s="1"/>
  <c r="EG20" i="99"/>
  <c r="EH20" i="99" s="1"/>
  <c r="EI20" i="99" s="1"/>
  <c r="EG18" i="99"/>
  <c r="EH18" i="99" s="1"/>
  <c r="EI18" i="99" s="1"/>
  <c r="EG12" i="99"/>
  <c r="EH12" i="99" s="1"/>
  <c r="EI12" i="99" s="1"/>
  <c r="EG16" i="99"/>
  <c r="EH16" i="99" s="1"/>
  <c r="EI16" i="99" s="1"/>
  <c r="EG13" i="99"/>
  <c r="EH13" i="99" s="1"/>
  <c r="EI13" i="99" s="1"/>
  <c r="EG14" i="99"/>
  <c r="EH14" i="99" s="1"/>
  <c r="EI14" i="99" s="1"/>
  <c r="EG10" i="99"/>
  <c r="EH10" i="99" s="1"/>
  <c r="EI10" i="99" s="1"/>
  <c r="EG9" i="99"/>
  <c r="EH9" i="99" s="1"/>
  <c r="EI9" i="99" s="1"/>
  <c r="EG23" i="99"/>
  <c r="EH23" i="99" s="1"/>
  <c r="EI23" i="99" s="1"/>
  <c r="EG21" i="99"/>
  <c r="EH21" i="99" s="1"/>
  <c r="EI21" i="99" s="1"/>
  <c r="EG24" i="99"/>
  <c r="EH24" i="99" s="1"/>
  <c r="EI24" i="99" s="1"/>
  <c r="FE35" i="99"/>
  <c r="FB35" i="99"/>
  <c r="FC35" i="99" s="1"/>
  <c r="FE37" i="99"/>
  <c r="FA37" i="99"/>
  <c r="FB37" i="99" s="1"/>
  <c r="FC37" i="99" s="1"/>
  <c r="FD78" i="99"/>
  <c r="FE76" i="99"/>
  <c r="FA76" i="99"/>
  <c r="FB76" i="99" s="1"/>
  <c r="FC76" i="99" s="1"/>
  <c r="FE43" i="99"/>
  <c r="FA43" i="99"/>
  <c r="FB43" i="99" s="1"/>
  <c r="FC43" i="99" s="1"/>
  <c r="FE32" i="99"/>
  <c r="FA32" i="99"/>
  <c r="FE56" i="99"/>
  <c r="FE41" i="99"/>
  <c r="FA41" i="99"/>
  <c r="FB41" i="99" s="1"/>
  <c r="FC41" i="99" s="1"/>
  <c r="FE29" i="99"/>
  <c r="FA33" i="99"/>
  <c r="FB33" i="99" s="1"/>
  <c r="FC33" i="99" s="1"/>
  <c r="FA40" i="99"/>
  <c r="FB40" i="99" s="1"/>
  <c r="FC40" i="99" s="1"/>
  <c r="FA56" i="99"/>
  <c r="FB56" i="99" s="1"/>
  <c r="FA29" i="99"/>
  <c r="FB29" i="99" s="1"/>
  <c r="FA28" i="99"/>
  <c r="FB28" i="99" s="1"/>
  <c r="FC28" i="99" s="1"/>
  <c r="FA27" i="99"/>
  <c r="FB27" i="99" s="1"/>
  <c r="FC27" i="99" s="1"/>
  <c r="FA24" i="99"/>
  <c r="FB24" i="99" s="1"/>
  <c r="FC24" i="99" s="1"/>
  <c r="FA22" i="99"/>
  <c r="FB22" i="99" s="1"/>
  <c r="FC22" i="99" s="1"/>
  <c r="FA23" i="99"/>
  <c r="FB23" i="99" s="1"/>
  <c r="FC23" i="99" s="1"/>
  <c r="FA21" i="99"/>
  <c r="FB21" i="99" s="1"/>
  <c r="FC21" i="99" s="1"/>
  <c r="FA19" i="99"/>
  <c r="FB19" i="99" s="1"/>
  <c r="FC19" i="99" s="1"/>
  <c r="FA20" i="99"/>
  <c r="FB20" i="99" s="1"/>
  <c r="FC20" i="99" s="1"/>
  <c r="FA17" i="99"/>
  <c r="FB17" i="99" s="1"/>
  <c r="FC17" i="99" s="1"/>
  <c r="FA18" i="99"/>
  <c r="FB18" i="99" s="1"/>
  <c r="FC18" i="99" s="1"/>
  <c r="FA15" i="99"/>
  <c r="FB15" i="99" s="1"/>
  <c r="FC15" i="99" s="1"/>
  <c r="FA16" i="99"/>
  <c r="FB16" i="99" s="1"/>
  <c r="FC16" i="99" s="1"/>
  <c r="FA12" i="99"/>
  <c r="FB12" i="99" s="1"/>
  <c r="FC12" i="99" s="1"/>
  <c r="FA14" i="99"/>
  <c r="FB14" i="99" s="1"/>
  <c r="FC14" i="99" s="1"/>
  <c r="FA13" i="99"/>
  <c r="FB13" i="99" s="1"/>
  <c r="FC13" i="99" s="1"/>
  <c r="FA11" i="99"/>
  <c r="FB11" i="99" s="1"/>
  <c r="FC11" i="99" s="1"/>
  <c r="FA10" i="99"/>
  <c r="FB10" i="99" s="1"/>
  <c r="FC10" i="99" s="1"/>
  <c r="FA9" i="99"/>
  <c r="FB9" i="99" s="1"/>
  <c r="FC9" i="99" s="1"/>
  <c r="EW6" i="99"/>
  <c r="FA6" i="99"/>
  <c r="FE6" i="99"/>
  <c r="FE33" i="99"/>
  <c r="FE40" i="99"/>
  <c r="FE19" i="99"/>
  <c r="FE27" i="99"/>
  <c r="FE22" i="99"/>
  <c r="FE24" i="99"/>
  <c r="FE20" i="99"/>
  <c r="FE21" i="99"/>
  <c r="FE17" i="99"/>
  <c r="FE23" i="99"/>
  <c r="FE15" i="99"/>
  <c r="FE18" i="99"/>
  <c r="FE12" i="99"/>
  <c r="FE16" i="99"/>
  <c r="FE11" i="99"/>
  <c r="FE13" i="99"/>
  <c r="FE14" i="99"/>
  <c r="FE10" i="99"/>
  <c r="FE9" i="99"/>
  <c r="FC6" i="99"/>
  <c r="FB6" i="99"/>
  <c r="GN77" i="99"/>
  <c r="GN75" i="99"/>
  <c r="GN74" i="99"/>
  <c r="GN73" i="99"/>
  <c r="GN72" i="99"/>
  <c r="GN71" i="99"/>
  <c r="GN69" i="99"/>
  <c r="GN68" i="99"/>
  <c r="GN64" i="99"/>
  <c r="GN63" i="99"/>
  <c r="GN62" i="99"/>
  <c r="GN61" i="99"/>
  <c r="GN60" i="99"/>
  <c r="GN59" i="99"/>
  <c r="GN58" i="99"/>
  <c r="GN57" i="99"/>
  <c r="GN55" i="99"/>
  <c r="GN25" i="99"/>
  <c r="GN26" i="99"/>
  <c r="GN30" i="99"/>
  <c r="GN36" i="99"/>
  <c r="GN44" i="99"/>
  <c r="GN45" i="99"/>
  <c r="GN47" i="99"/>
  <c r="GN48" i="99"/>
  <c r="GN49" i="99"/>
  <c r="GN50" i="99"/>
  <c r="GN51" i="99"/>
  <c r="GN53" i="99"/>
  <c r="GB73" i="99"/>
  <c r="GC73" i="99"/>
  <c r="GC21" i="99"/>
  <c r="GE73" i="99"/>
  <c r="GD73" i="99"/>
  <c r="GE21" i="99"/>
  <c r="GD21" i="99"/>
  <c r="GF86" i="99"/>
  <c r="GG86" i="99"/>
  <c r="GF73" i="99"/>
  <c r="GF21" i="99"/>
  <c r="GH73" i="99"/>
  <c r="GG73" i="99"/>
  <c r="GH21" i="99"/>
  <c r="GG21" i="99"/>
  <c r="GC78" i="99" l="1"/>
  <c r="GC81" i="99" s="1"/>
  <c r="GE78" i="99"/>
  <c r="FC56" i="99"/>
  <c r="GN56" i="99" s="1"/>
  <c r="FB32" i="99"/>
  <c r="FC32" i="99" s="1"/>
  <c r="FC29" i="99"/>
  <c r="GN29" i="99" s="1"/>
  <c r="GN6" i="99"/>
  <c r="GN38" i="99"/>
  <c r="GN39" i="99"/>
  <c r="GL198" i="99"/>
  <c r="GL202" i="99" s="1"/>
  <c r="GL195" i="99"/>
  <c r="GL193" i="99"/>
  <c r="GL191" i="99"/>
  <c r="GL189" i="99"/>
  <c r="GM198" i="99"/>
  <c r="GM202" i="99" s="1"/>
  <c r="GM195" i="99"/>
  <c r="GM193" i="99"/>
  <c r="GM194" i="99"/>
  <c r="GM191" i="99"/>
  <c r="GM189" i="99"/>
  <c r="GM175" i="99"/>
  <c r="GM176" i="99"/>
  <c r="GM172" i="99"/>
  <c r="GM163" i="99"/>
  <c r="GM168" i="99"/>
  <c r="GM161" i="99"/>
  <c r="GM170" i="99" s="1"/>
  <c r="GM78" i="99"/>
  <c r="EV3" i="99"/>
  <c r="EY76" i="99"/>
  <c r="EY71" i="99"/>
  <c r="EY69" i="99"/>
  <c r="EY68" i="99"/>
  <c r="EY64" i="99"/>
  <c r="EY63" i="99"/>
  <c r="EY62" i="99"/>
  <c r="EY61" i="99"/>
  <c r="EY60" i="99"/>
  <c r="EY59" i="99"/>
  <c r="EY58" i="99"/>
  <c r="EY57" i="99"/>
  <c r="EY56" i="99"/>
  <c r="EY55" i="99"/>
  <c r="EY53" i="99"/>
  <c r="EY51" i="99"/>
  <c r="EY49" i="99"/>
  <c r="EY48" i="99"/>
  <c r="EY47" i="99"/>
  <c r="EY45" i="99"/>
  <c r="EY44" i="99"/>
  <c r="EY43" i="99"/>
  <c r="EY36" i="99"/>
  <c r="EY32" i="99"/>
  <c r="EY30" i="99"/>
  <c r="EY26" i="99"/>
  <c r="EV78" i="99"/>
  <c r="GM3" i="99"/>
  <c r="EW35" i="99"/>
  <c r="EX35" i="99" s="1"/>
  <c r="EY35" i="99" s="1"/>
  <c r="EW34" i="99"/>
  <c r="EX34" i="99" s="1"/>
  <c r="EY34" i="99" s="1"/>
  <c r="EW46" i="99"/>
  <c r="EX46" i="99" s="1"/>
  <c r="EW38" i="99"/>
  <c r="EX38" i="99" s="1"/>
  <c r="EY38" i="99" s="1"/>
  <c r="EW39" i="99"/>
  <c r="EX39" i="99" s="1"/>
  <c r="EY39" i="99" s="1"/>
  <c r="EW41" i="99"/>
  <c r="EX41" i="99" s="1"/>
  <c r="EY41" i="99" s="1"/>
  <c r="EW42" i="99"/>
  <c r="EX42" i="99" s="1"/>
  <c r="EY42" i="99" s="1"/>
  <c r="EW40" i="99"/>
  <c r="EX40" i="99" s="1"/>
  <c r="EY40" i="99" s="1"/>
  <c r="EW37" i="99"/>
  <c r="EW33" i="99"/>
  <c r="EW19" i="99"/>
  <c r="EW29" i="99"/>
  <c r="EX29" i="99" s="1"/>
  <c r="EY29" i="99" s="1"/>
  <c r="EW28" i="99"/>
  <c r="EW27" i="99"/>
  <c r="EW22" i="99"/>
  <c r="EW24" i="99"/>
  <c r="EW20" i="99"/>
  <c r="EW21" i="99"/>
  <c r="EW17" i="99"/>
  <c r="EW23" i="99"/>
  <c r="EX23" i="99" s="1"/>
  <c r="EW15" i="99"/>
  <c r="EW18" i="99"/>
  <c r="EW12" i="99"/>
  <c r="EW16" i="99"/>
  <c r="EW11" i="99"/>
  <c r="EW13" i="99"/>
  <c r="EW14" i="99"/>
  <c r="EW10" i="99"/>
  <c r="EW9" i="99"/>
  <c r="EX25" i="99"/>
  <c r="EY25" i="99" s="1"/>
  <c r="GL37" i="99"/>
  <c r="GL176" i="99"/>
  <c r="GL175" i="99"/>
  <c r="GL172" i="99"/>
  <c r="GL168" i="99"/>
  <c r="GL163" i="99"/>
  <c r="GL161" i="99"/>
  <c r="GK94" i="99"/>
  <c r="GL88" i="99"/>
  <c r="GL86" i="99"/>
  <c r="GK90" i="99"/>
  <c r="GL68" i="99"/>
  <c r="GL64" i="99"/>
  <c r="GL63" i="99"/>
  <c r="GL62" i="99"/>
  <c r="GL61" i="99"/>
  <c r="GL60" i="99"/>
  <c r="GL59" i="99"/>
  <c r="GL58" i="99"/>
  <c r="GL6" i="99"/>
  <c r="EU26" i="99"/>
  <c r="GL26" i="99" s="1"/>
  <c r="EU21" i="99"/>
  <c r="GL21" i="99" s="1"/>
  <c r="EU28" i="99"/>
  <c r="GL28" i="99" s="1"/>
  <c r="EU25" i="99"/>
  <c r="GL25" i="99" s="1"/>
  <c r="EU27" i="99"/>
  <c r="GL27" i="99" s="1"/>
  <c r="EU19" i="99"/>
  <c r="GL19" i="99" s="1"/>
  <c r="EU15" i="99"/>
  <c r="GL15" i="99" s="1"/>
  <c r="EU22" i="99"/>
  <c r="GL22" i="99" s="1"/>
  <c r="EU17" i="99"/>
  <c r="GL17" i="99" s="1"/>
  <c r="EU20" i="99"/>
  <c r="GL20" i="99" s="1"/>
  <c r="EU24" i="99"/>
  <c r="GL24" i="99" s="1"/>
  <c r="EU23" i="99"/>
  <c r="GL23" i="99" s="1"/>
  <c r="EU18" i="99"/>
  <c r="GL18" i="99" s="1"/>
  <c r="EU12" i="99"/>
  <c r="GL12" i="99" s="1"/>
  <c r="EU16" i="99"/>
  <c r="GL16" i="99" s="1"/>
  <c r="EU11" i="99"/>
  <c r="GL11" i="99" s="1"/>
  <c r="EU13" i="99"/>
  <c r="GL13" i="99" s="1"/>
  <c r="EU14" i="99"/>
  <c r="GL14" i="99" s="1"/>
  <c r="EU10" i="99"/>
  <c r="GL10" i="99" s="1"/>
  <c r="EU9" i="99"/>
  <c r="GL9" i="99" s="1"/>
  <c r="GK29" i="99"/>
  <c r="GK15" i="99"/>
  <c r="GK27" i="99"/>
  <c r="GK17" i="99"/>
  <c r="GK30" i="99"/>
  <c r="GK22" i="99"/>
  <c r="GK26" i="99"/>
  <c r="GK20" i="99"/>
  <c r="GK12" i="99"/>
  <c r="GK25" i="99"/>
  <c r="GK18" i="99"/>
  <c r="GK23" i="99"/>
  <c r="GK21" i="99"/>
  <c r="GK24" i="99"/>
  <c r="GK16" i="99"/>
  <c r="GK13" i="99"/>
  <c r="GK10" i="99"/>
  <c r="GK14" i="99"/>
  <c r="GK9" i="99"/>
  <c r="GK6" i="99"/>
  <c r="GK19" i="99"/>
  <c r="GK28" i="99"/>
  <c r="ET3" i="99"/>
  <c r="ES3" i="99"/>
  <c r="ER3" i="99"/>
  <c r="EM3" i="99"/>
  <c r="EL3" i="99"/>
  <c r="EK3" i="99"/>
  <c r="EJ3" i="99"/>
  <c r="GM196" i="99" l="1"/>
  <c r="GM204" i="99" s="1"/>
  <c r="GL196" i="99"/>
  <c r="GL204" i="99" s="1"/>
  <c r="GM180" i="99"/>
  <c r="EZ78" i="99"/>
  <c r="EZ110" i="99" s="1"/>
  <c r="EY46" i="99"/>
  <c r="GN32" i="99"/>
  <c r="GM160" i="99"/>
  <c r="EX28" i="99"/>
  <c r="GN43" i="99"/>
  <c r="EX33" i="99"/>
  <c r="EX14" i="99"/>
  <c r="EX21" i="99"/>
  <c r="EX19" i="99"/>
  <c r="EX11" i="99"/>
  <c r="EX16" i="99"/>
  <c r="EX18" i="99"/>
  <c r="GN42" i="99"/>
  <c r="EX15" i="99"/>
  <c r="GN40" i="99"/>
  <c r="EY23" i="99"/>
  <c r="GN23" i="99"/>
  <c r="GO23" i="99" s="1"/>
  <c r="GP23" i="99" s="1"/>
  <c r="GQ23" i="99" s="1"/>
  <c r="GR23" i="99" s="1"/>
  <c r="GS23" i="99" s="1"/>
  <c r="GT23" i="99" s="1"/>
  <c r="GU23" i="99" s="1"/>
  <c r="GV23" i="99" s="1"/>
  <c r="GW23" i="99" s="1"/>
  <c r="GX23" i="99" s="1"/>
  <c r="EX17" i="99"/>
  <c r="EX20" i="99"/>
  <c r="GN34" i="99"/>
  <c r="EX22" i="99"/>
  <c r="EX27" i="99"/>
  <c r="EY37" i="99"/>
  <c r="GN46" i="99"/>
  <c r="EX9" i="99"/>
  <c r="EX10" i="99"/>
  <c r="EX13" i="99"/>
  <c r="GN35" i="99"/>
  <c r="EX12" i="99"/>
  <c r="GN76" i="99"/>
  <c r="EX24" i="99"/>
  <c r="GN41" i="99"/>
  <c r="GL3" i="99"/>
  <c r="GK3" i="99"/>
  <c r="GL78" i="99"/>
  <c r="GM110" i="99" s="1"/>
  <c r="EW78" i="99"/>
  <c r="EU3" i="99"/>
  <c r="EU78" i="99"/>
  <c r="GL160" i="99"/>
  <c r="GL170" i="99"/>
  <c r="GL180" i="99"/>
  <c r="GK78" i="99"/>
  <c r="EQ3" i="99"/>
  <c r="GJ116" i="99"/>
  <c r="GI88" i="99"/>
  <c r="GI86" i="99"/>
  <c r="GJ88" i="99"/>
  <c r="GJ86" i="99"/>
  <c r="GI77" i="99"/>
  <c r="GJ77" i="99"/>
  <c r="GJ21" i="99"/>
  <c r="GI21" i="99"/>
  <c r="EN3" i="99"/>
  <c r="GN37" i="99" l="1"/>
  <c r="EY20" i="99"/>
  <c r="GN20" i="99"/>
  <c r="EY17" i="99"/>
  <c r="GN17" i="99"/>
  <c r="EY16" i="99"/>
  <c r="EY11" i="99"/>
  <c r="EY19" i="99"/>
  <c r="EY9" i="99"/>
  <c r="EX78" i="99"/>
  <c r="EY24" i="99"/>
  <c r="GN11" i="99"/>
  <c r="GN19" i="99"/>
  <c r="EY13" i="99"/>
  <c r="GN10" i="99"/>
  <c r="EY21" i="99"/>
  <c r="GN21" i="99"/>
  <c r="GO21" i="99" s="1"/>
  <c r="GP21" i="99" s="1"/>
  <c r="GQ21" i="99" s="1"/>
  <c r="GR21" i="99" s="1"/>
  <c r="GS21" i="99" s="1"/>
  <c r="GT21" i="99" s="1"/>
  <c r="GU21" i="99" s="1"/>
  <c r="GV21" i="99" s="1"/>
  <c r="GW21" i="99" s="1"/>
  <c r="GX21" i="99" s="1"/>
  <c r="FA78" i="99"/>
  <c r="FA110" i="99" s="1"/>
  <c r="EY14" i="99"/>
  <c r="EY33" i="99"/>
  <c r="EY27" i="99"/>
  <c r="GN27" i="99"/>
  <c r="EY22" i="99"/>
  <c r="GN22" i="99" s="1"/>
  <c r="EY15" i="99"/>
  <c r="EY18" i="99"/>
  <c r="GN18" i="99"/>
  <c r="EY12" i="99"/>
  <c r="GN12" i="99"/>
  <c r="EY10" i="99"/>
  <c r="EY28" i="99"/>
  <c r="GN28" i="99"/>
  <c r="GL81" i="99"/>
  <c r="GL87" i="99" s="1"/>
  <c r="GL90" i="99" s="1"/>
  <c r="GL92" i="99" s="1"/>
  <c r="GL94" i="99" s="1"/>
  <c r="GL182" i="99" s="1"/>
  <c r="GL110" i="99"/>
  <c r="GI3" i="99"/>
  <c r="GJ3" i="99"/>
  <c r="GJ78" i="99"/>
  <c r="GJ101" i="99" s="1"/>
  <c r="GI78" i="99"/>
  <c r="GI81" i="99" s="1"/>
  <c r="GI100" i="99" s="1"/>
  <c r="FW21" i="99"/>
  <c r="FX21" i="99"/>
  <c r="GA21" i="99"/>
  <c r="GB21" i="99"/>
  <c r="GN15" i="99" l="1"/>
  <c r="GN33" i="99"/>
  <c r="GN14" i="99"/>
  <c r="GN13" i="99"/>
  <c r="GN24" i="99"/>
  <c r="GO24" i="99" s="1"/>
  <c r="GP24" i="99" s="1"/>
  <c r="GQ24" i="99" s="1"/>
  <c r="GR24" i="99" s="1"/>
  <c r="GS24" i="99" s="1"/>
  <c r="GT24" i="99" s="1"/>
  <c r="GU24" i="99" s="1"/>
  <c r="GV24" i="99" s="1"/>
  <c r="GW24" i="99" s="1"/>
  <c r="GX24" i="99" s="1"/>
  <c r="FB78" i="99"/>
  <c r="FB110" i="99" s="1"/>
  <c r="EY78" i="99"/>
  <c r="EY110" i="99" s="1"/>
  <c r="GN16" i="99"/>
  <c r="GJ103" i="99"/>
  <c r="GK110" i="99"/>
  <c r="GJ102" i="99"/>
  <c r="GJ81" i="99"/>
  <c r="GJ110" i="99"/>
  <c r="GJ87" i="99"/>
  <c r="GJ100" i="99"/>
  <c r="GA71" i="99"/>
  <c r="GB14" i="99"/>
  <c r="GA14" i="99"/>
  <c r="GB69" i="99"/>
  <c r="GA69" i="99"/>
  <c r="GB68" i="99"/>
  <c r="GA68" i="99"/>
  <c r="GB64" i="99"/>
  <c r="GA64" i="99"/>
  <c r="GB63" i="99"/>
  <c r="GA63" i="99"/>
  <c r="GB62" i="99"/>
  <c r="GA62" i="99"/>
  <c r="GB61" i="99"/>
  <c r="GA61" i="99"/>
  <c r="GB60" i="99"/>
  <c r="GA60" i="99"/>
  <c r="GB59" i="99"/>
  <c r="GA59" i="99"/>
  <c r="GB58" i="99"/>
  <c r="GA58" i="99"/>
  <c r="GB57" i="99"/>
  <c r="GA57" i="99"/>
  <c r="GB56" i="99"/>
  <c r="GA56" i="99"/>
  <c r="GB22" i="99"/>
  <c r="GA22" i="99"/>
  <c r="GB28" i="99"/>
  <c r="GA28" i="99"/>
  <c r="GB53" i="99"/>
  <c r="GA53" i="99"/>
  <c r="GB51" i="99"/>
  <c r="GA51" i="99"/>
  <c r="GB12" i="99"/>
  <c r="GA12" i="99"/>
  <c r="GB29" i="99"/>
  <c r="GA29" i="99"/>
  <c r="GB50" i="99"/>
  <c r="GA50" i="99"/>
  <c r="GB16" i="99"/>
  <c r="GA16" i="99"/>
  <c r="GB48" i="99"/>
  <c r="GA48" i="99"/>
  <c r="GB47" i="99"/>
  <c r="GA47" i="99"/>
  <c r="GB45" i="99"/>
  <c r="GA45" i="99"/>
  <c r="GB44" i="99"/>
  <c r="GA44" i="99"/>
  <c r="GB26" i="99"/>
  <c r="GA26" i="99"/>
  <c r="GB23" i="99"/>
  <c r="GA23" i="99"/>
  <c r="GA24" i="99"/>
  <c r="FZ68" i="99"/>
  <c r="FZ64" i="99"/>
  <c r="FZ63" i="99"/>
  <c r="FZ62" i="99"/>
  <c r="FZ61" i="99"/>
  <c r="FZ60" i="99"/>
  <c r="FZ59" i="99"/>
  <c r="FZ58" i="99"/>
  <c r="GB24" i="99"/>
  <c r="FX24" i="99"/>
  <c r="FW24" i="99"/>
  <c r="FT24" i="99"/>
  <c r="FS24" i="99"/>
  <c r="GB78" i="99" l="1"/>
  <c r="GB81" i="99" s="1"/>
  <c r="FC78" i="99"/>
  <c r="FC110" i="99" s="1"/>
  <c r="GN9" i="99"/>
  <c r="GN78" i="99" s="1"/>
  <c r="GN110" i="99" s="1"/>
  <c r="GJ104" i="99"/>
  <c r="GJ90" i="99"/>
  <c r="FY100" i="99"/>
  <c r="FZ88" i="99"/>
  <c r="FZ86" i="99"/>
  <c r="FZ8" i="99"/>
  <c r="FZ7" i="99"/>
  <c r="FZ6" i="99"/>
  <c r="FZ5" i="99"/>
  <c r="FZ4" i="99"/>
  <c r="FZ56" i="99"/>
  <c r="FZ55" i="99"/>
  <c r="CY77" i="99"/>
  <c r="CY78" i="99" s="1"/>
  <c r="CX77" i="99"/>
  <c r="CX78" i="99" s="1"/>
  <c r="CV77" i="99"/>
  <c r="V16" i="99"/>
  <c r="V56" i="99"/>
  <c r="V55" i="99"/>
  <c r="CU77" i="99"/>
  <c r="CU78" i="99" s="1"/>
  <c r="V6" i="99"/>
  <c r="V22" i="99"/>
  <c r="V28" i="99"/>
  <c r="V53" i="99"/>
  <c r="V51" i="99"/>
  <c r="V12" i="99"/>
  <c r="V29" i="99"/>
  <c r="V50" i="99"/>
  <c r="V49" i="99"/>
  <c r="V48" i="99"/>
  <c r="V47" i="99"/>
  <c r="V45" i="99"/>
  <c r="V44" i="99"/>
  <c r="V26" i="99"/>
  <c r="V23" i="99"/>
  <c r="X23" i="99" s="1"/>
  <c r="V21" i="99"/>
  <c r="X21" i="99" s="1"/>
  <c r="V24" i="99"/>
  <c r="X24" i="99" s="1"/>
  <c r="CW48" i="99"/>
  <c r="FZ48" i="99" s="1"/>
  <c r="GJ106" i="99" l="1"/>
  <c r="GJ105" i="99"/>
  <c r="GJ92" i="99"/>
  <c r="GJ94" i="99" s="1"/>
  <c r="GJ107" i="99" s="1"/>
  <c r="CV78" i="99"/>
  <c r="CU133" i="99"/>
  <c r="CV133" i="99"/>
  <c r="CY133" i="99"/>
  <c r="CU134" i="99"/>
  <c r="CV134" i="99"/>
  <c r="CY134" i="99"/>
  <c r="CW57" i="99"/>
  <c r="CW16" i="99"/>
  <c r="FZ16" i="99" s="1"/>
  <c r="U56" i="99"/>
  <c r="CW22" i="99"/>
  <c r="CW28" i="99"/>
  <c r="CW53" i="99"/>
  <c r="CW51" i="99"/>
  <c r="FZ51" i="99" s="1"/>
  <c r="CW12" i="99"/>
  <c r="CW50" i="99"/>
  <c r="CW49" i="99"/>
  <c r="U48" i="99"/>
  <c r="CW47" i="99"/>
  <c r="CW45" i="99"/>
  <c r="CW44" i="99"/>
  <c r="CW29" i="99"/>
  <c r="CW26" i="99"/>
  <c r="CW23" i="99"/>
  <c r="CW21" i="99"/>
  <c r="FZ21" i="99" s="1"/>
  <c r="CW24" i="99"/>
  <c r="FZ24" i="99" s="1"/>
  <c r="CY3" i="99"/>
  <c r="CX3" i="99"/>
  <c r="CV3" i="99"/>
  <c r="U21" i="99" l="1"/>
  <c r="W21" i="99" s="1"/>
  <c r="U44" i="99"/>
  <c r="FZ44" i="99"/>
  <c r="U53" i="99"/>
  <c r="FZ53" i="99"/>
  <c r="U16" i="99"/>
  <c r="U23" i="99"/>
  <c r="W23" i="99" s="1"/>
  <c r="FZ23" i="99"/>
  <c r="U50" i="99"/>
  <c r="FZ50" i="99"/>
  <c r="U26" i="99"/>
  <c r="FZ26" i="99"/>
  <c r="U47" i="99"/>
  <c r="FZ47" i="99"/>
  <c r="U12" i="99"/>
  <c r="FZ12" i="99"/>
  <c r="U22" i="99"/>
  <c r="FZ22" i="99"/>
  <c r="U51" i="99"/>
  <c r="U49" i="99"/>
  <c r="FZ49" i="99"/>
  <c r="U45" i="99"/>
  <c r="FZ45" i="99"/>
  <c r="U28" i="99"/>
  <c r="FZ28" i="99"/>
  <c r="U57" i="99"/>
  <c r="V57" i="99" s="1"/>
  <c r="V78" i="99" s="1"/>
  <c r="FZ57" i="99"/>
  <c r="U24" i="99"/>
  <c r="W24" i="99" s="1"/>
  <c r="CW77" i="99"/>
  <c r="FZ77" i="99" s="1"/>
  <c r="U29" i="99"/>
  <c r="FZ29" i="99"/>
  <c r="U55" i="99"/>
  <c r="CW78" i="99" l="1"/>
  <c r="U78" i="99"/>
  <c r="CW3" i="99"/>
  <c r="FZ3" i="99" s="1"/>
  <c r="FZ78" i="99" s="1"/>
  <c r="FZ81" i="99" s="1"/>
  <c r="E3" i="128"/>
  <c r="F3" i="128" s="1"/>
  <c r="G3" i="128" s="1"/>
  <c r="H3" i="128" s="1"/>
  <c r="I3" i="128" s="1"/>
  <c r="J3" i="128" s="1"/>
  <c r="K3" i="128" s="1"/>
  <c r="L3" i="128" s="1"/>
  <c r="M3" i="128" s="1"/>
  <c r="N3" i="128" s="1"/>
  <c r="O3" i="128" s="1"/>
  <c r="P3" i="128" s="1"/>
  <c r="Q3" i="128" s="1"/>
  <c r="R3" i="128" s="1"/>
  <c r="S3" i="128" s="1"/>
  <c r="T3" i="128" s="1"/>
  <c r="U3" i="128" s="1"/>
  <c r="V3" i="128" s="1"/>
  <c r="W3" i="128" s="1"/>
  <c r="X3" i="128" s="1"/>
  <c r="Y3" i="128" s="1"/>
  <c r="Z3" i="128" s="1"/>
  <c r="D8" i="128"/>
  <c r="D9" i="128"/>
  <c r="E9" i="128" s="1"/>
  <c r="F9" i="128" s="1"/>
  <c r="F14" i="128" s="1"/>
  <c r="C11" i="128"/>
  <c r="C14" i="128"/>
  <c r="AB43" i="115"/>
  <c r="AC43" i="115" s="1"/>
  <c r="D44" i="115"/>
  <c r="E44" i="115"/>
  <c r="F44" i="115"/>
  <c r="G44" i="115"/>
  <c r="H44" i="115"/>
  <c r="I44" i="115"/>
  <c r="J44" i="115"/>
  <c r="K44" i="115"/>
  <c r="L44" i="115"/>
  <c r="M44" i="115"/>
  <c r="N44" i="115"/>
  <c r="O44" i="115"/>
  <c r="P44" i="115"/>
  <c r="Q44" i="115"/>
  <c r="R44" i="115"/>
  <c r="S44" i="115"/>
  <c r="T44" i="115"/>
  <c r="Y45" i="115"/>
  <c r="Z45" i="115"/>
  <c r="AA45" i="115"/>
  <c r="Y46" i="115"/>
  <c r="Z46" i="115"/>
  <c r="AA46" i="115"/>
  <c r="Y47" i="115"/>
  <c r="Z47" i="115"/>
  <c r="AA47" i="115"/>
  <c r="C12" i="124"/>
  <c r="C13" i="124"/>
  <c r="C14" i="124"/>
  <c r="C15" i="124"/>
  <c r="C16" i="124"/>
  <c r="FW2" i="99"/>
  <c r="FX2" i="99" s="1"/>
  <c r="FY2" i="99" s="1"/>
  <c r="FZ2" i="99" s="1"/>
  <c r="GA2" i="99" s="1"/>
  <c r="GB2" i="99" s="1"/>
  <c r="GC2" i="99" s="1"/>
  <c r="GD2" i="99" s="1"/>
  <c r="GE2" i="99" s="1"/>
  <c r="GF2" i="99" s="1"/>
  <c r="GG2" i="99" s="1"/>
  <c r="GH2" i="99" s="1"/>
  <c r="GI2" i="99" s="1"/>
  <c r="GJ2" i="99" s="1"/>
  <c r="GK2" i="99" s="1"/>
  <c r="GL2" i="99" s="1"/>
  <c r="GM2" i="99" s="1"/>
  <c r="GN2" i="99" s="1"/>
  <c r="GO2" i="99" s="1"/>
  <c r="GP2" i="99" s="1"/>
  <c r="GQ2" i="99" s="1"/>
  <c r="GR2" i="99" s="1"/>
  <c r="GS2" i="99" s="1"/>
  <c r="GT2" i="99" s="1"/>
  <c r="GU2" i="99" s="1"/>
  <c r="GV2" i="99" s="1"/>
  <c r="GW2" i="99" s="1"/>
  <c r="GX2" i="99" s="1"/>
  <c r="Q24" i="99"/>
  <c r="Q21" i="99"/>
  <c r="Q23" i="99"/>
  <c r="Q26" i="99"/>
  <c r="Q29" i="99"/>
  <c r="Q44" i="99"/>
  <c r="Q45" i="99"/>
  <c r="Q47" i="99"/>
  <c r="Q48" i="99"/>
  <c r="Q49" i="99"/>
  <c r="Q50" i="99"/>
  <c r="Q58" i="99"/>
  <c r="Q12" i="99"/>
  <c r="Q51" i="99"/>
  <c r="Q53" i="99"/>
  <c r="Q28" i="99"/>
  <c r="Q71" i="99"/>
  <c r="Q22" i="99"/>
  <c r="Q55" i="99"/>
  <c r="Q56" i="99"/>
  <c r="Q8" i="99"/>
  <c r="Q78" i="99" s="1"/>
  <c r="Q103" i="99" s="1"/>
  <c r="CP29" i="99"/>
  <c r="FX29" i="99" s="1"/>
  <c r="CP44" i="99"/>
  <c r="FX44" i="99" s="1"/>
  <c r="CP45" i="99"/>
  <c r="R45" i="99" s="1"/>
  <c r="CP47" i="99"/>
  <c r="CP140" i="99" s="1"/>
  <c r="CP48" i="99"/>
  <c r="R48" i="99" s="1"/>
  <c r="CP50" i="99"/>
  <c r="R50" i="99" s="1"/>
  <c r="CO4" i="99"/>
  <c r="CP4" i="99" s="1"/>
  <c r="CO5" i="99"/>
  <c r="CP5" i="99" s="1"/>
  <c r="R5" i="99" s="1"/>
  <c r="CO8" i="99"/>
  <c r="CP8" i="99" s="1"/>
  <c r="CQ8" i="99"/>
  <c r="CQ77" i="99" s="1"/>
  <c r="CR3" i="99"/>
  <c r="BT3" i="99"/>
  <c r="BU3" i="99"/>
  <c r="BV3" i="99"/>
  <c r="BW3" i="99"/>
  <c r="BX3" i="99"/>
  <c r="BY3" i="99"/>
  <c r="BZ3" i="99"/>
  <c r="CA3" i="99"/>
  <c r="CB3" i="99"/>
  <c r="CC3" i="99"/>
  <c r="CD3" i="99"/>
  <c r="CE3" i="99"/>
  <c r="CF3" i="99"/>
  <c r="CG3" i="99"/>
  <c r="CH77" i="99"/>
  <c r="CH3" i="99" s="1"/>
  <c r="CI77" i="99"/>
  <c r="CI3" i="99" s="1"/>
  <c r="CJ77" i="99"/>
  <c r="CJ78" i="99" s="1"/>
  <c r="CK77" i="99"/>
  <c r="CK3" i="99" s="1"/>
  <c r="CL77" i="99"/>
  <c r="CL3" i="99" s="1"/>
  <c r="CM77" i="99"/>
  <c r="CM3" i="99" s="1"/>
  <c r="CN77" i="99"/>
  <c r="CS24" i="99"/>
  <c r="CS21" i="99"/>
  <c r="CS23" i="99"/>
  <c r="CS26" i="99"/>
  <c r="CT26" i="99" s="1"/>
  <c r="T26" i="99" s="1"/>
  <c r="CS29" i="99"/>
  <c r="CS44" i="99"/>
  <c r="CT44" i="99" s="1"/>
  <c r="T44" i="99" s="1"/>
  <c r="CS45" i="99"/>
  <c r="CT45" i="99" s="1"/>
  <c r="CS47" i="99"/>
  <c r="CT47" i="99" s="1"/>
  <c r="CS48" i="99"/>
  <c r="CS49" i="99"/>
  <c r="CT49" i="99" s="1"/>
  <c r="CS50" i="99"/>
  <c r="CT50" i="99" s="1"/>
  <c r="CS58" i="99"/>
  <c r="CT58" i="99" s="1"/>
  <c r="T58" i="99" s="1"/>
  <c r="CS12" i="99"/>
  <c r="CS51" i="99"/>
  <c r="CT51" i="99" s="1"/>
  <c r="T51" i="99" s="1"/>
  <c r="CS53" i="99"/>
  <c r="CT53" i="99" s="1"/>
  <c r="FY53" i="99" s="1"/>
  <c r="CS28" i="99"/>
  <c r="CT28" i="99" s="1"/>
  <c r="CS71" i="99"/>
  <c r="CS22" i="99"/>
  <c r="CT22" i="99" s="1"/>
  <c r="CS55" i="99"/>
  <c r="CT55" i="99" s="1"/>
  <c r="CS16" i="99"/>
  <c r="FY16" i="99" s="1"/>
  <c r="FP3" i="99"/>
  <c r="FQ3" i="99"/>
  <c r="FR3" i="99"/>
  <c r="FS23" i="99"/>
  <c r="FS26" i="99"/>
  <c r="FS29" i="99"/>
  <c r="FS44" i="99"/>
  <c r="FS45" i="99"/>
  <c r="FS47" i="99"/>
  <c r="FS48" i="99"/>
  <c r="FS49" i="99"/>
  <c r="FS50" i="99"/>
  <c r="FS58" i="99"/>
  <c r="FS12" i="99"/>
  <c r="FS51" i="99"/>
  <c r="FS53" i="99"/>
  <c r="FS28" i="99"/>
  <c r="FS71" i="99"/>
  <c r="FS22" i="99"/>
  <c r="FS55" i="99"/>
  <c r="FS59" i="99"/>
  <c r="FS60" i="99"/>
  <c r="FS61" i="99"/>
  <c r="FS62" i="99"/>
  <c r="FS63" i="99"/>
  <c r="FS64" i="99"/>
  <c r="FS68" i="99"/>
  <c r="FS76" i="99"/>
  <c r="FT23" i="99"/>
  <c r="FT26" i="99"/>
  <c r="FT29" i="99"/>
  <c r="FT44" i="99"/>
  <c r="FT45" i="99"/>
  <c r="FT47" i="99"/>
  <c r="FT48" i="99"/>
  <c r="FT49" i="99"/>
  <c r="FT50" i="99"/>
  <c r="FT58" i="99"/>
  <c r="FT12" i="99"/>
  <c r="FT51" i="99"/>
  <c r="FT53" i="99"/>
  <c r="FT28" i="99"/>
  <c r="FT71" i="99"/>
  <c r="FT22" i="99"/>
  <c r="FT55" i="99"/>
  <c r="FT59" i="99"/>
  <c r="FT60" i="99"/>
  <c r="FT61" i="99"/>
  <c r="FT62" i="99"/>
  <c r="FT63" i="99"/>
  <c r="FT64" i="99"/>
  <c r="FT68" i="99"/>
  <c r="FT76" i="99"/>
  <c r="L24" i="99"/>
  <c r="FU24" i="99" s="1"/>
  <c r="L21" i="99"/>
  <c r="FU21" i="99" s="1"/>
  <c r="L23" i="99"/>
  <c r="FU23" i="99" s="1"/>
  <c r="L26" i="99"/>
  <c r="FU26" i="99" s="1"/>
  <c r="L29" i="99"/>
  <c r="FU29" i="99" s="1"/>
  <c r="L44" i="99"/>
  <c r="FU44" i="99" s="1"/>
  <c r="L45" i="99"/>
  <c r="FU45" i="99" s="1"/>
  <c r="L47" i="99"/>
  <c r="FU47" i="99" s="1"/>
  <c r="L48" i="99"/>
  <c r="FU48" i="99" s="1"/>
  <c r="L49" i="99"/>
  <c r="FU49" i="99" s="1"/>
  <c r="L50" i="99"/>
  <c r="FU50" i="99" s="1"/>
  <c r="L58" i="99"/>
  <c r="FU58" i="99" s="1"/>
  <c r="L12" i="99"/>
  <c r="FU12" i="99" s="1"/>
  <c r="L51" i="99"/>
  <c r="FU51" i="99" s="1"/>
  <c r="L53" i="99"/>
  <c r="FU53" i="99" s="1"/>
  <c r="L28" i="99"/>
  <c r="FU28" i="99" s="1"/>
  <c r="L71" i="99"/>
  <c r="FU71" i="99" s="1"/>
  <c r="L22" i="99"/>
  <c r="FU22" i="99" s="1"/>
  <c r="L55" i="99"/>
  <c r="FU55" i="99" s="1"/>
  <c r="L59" i="99"/>
  <c r="FU59" i="99" s="1"/>
  <c r="FU76" i="99"/>
  <c r="N24" i="99"/>
  <c r="FV24" i="99" s="1"/>
  <c r="N21" i="99"/>
  <c r="FV21" i="99" s="1"/>
  <c r="N23" i="99"/>
  <c r="FV23" i="99" s="1"/>
  <c r="N26" i="99"/>
  <c r="FV26" i="99" s="1"/>
  <c r="N29" i="99"/>
  <c r="FV29" i="99" s="1"/>
  <c r="N44" i="99"/>
  <c r="FV44" i="99" s="1"/>
  <c r="N45" i="99"/>
  <c r="FV45" i="99" s="1"/>
  <c r="N47" i="99"/>
  <c r="FV47" i="99" s="1"/>
  <c r="N48" i="99"/>
  <c r="FV48" i="99" s="1"/>
  <c r="N49" i="99"/>
  <c r="FV49" i="99" s="1"/>
  <c r="N50" i="99"/>
  <c r="FV50" i="99" s="1"/>
  <c r="N58" i="99"/>
  <c r="FV58" i="99" s="1"/>
  <c r="N12" i="99"/>
  <c r="FV12" i="99" s="1"/>
  <c r="N51" i="99"/>
  <c r="FV51" i="99" s="1"/>
  <c r="N53" i="99"/>
  <c r="FV53" i="99" s="1"/>
  <c r="N28" i="99"/>
  <c r="FV28" i="99" s="1"/>
  <c r="N71" i="99"/>
  <c r="FV71" i="99" s="1"/>
  <c r="N22" i="99"/>
  <c r="FV22" i="99" s="1"/>
  <c r="N55" i="99"/>
  <c r="FV55" i="99" s="1"/>
  <c r="FV56" i="99"/>
  <c r="N59" i="99"/>
  <c r="FV59" i="99" s="1"/>
  <c r="FW23" i="99"/>
  <c r="FW26" i="99"/>
  <c r="FW29" i="99"/>
  <c r="FW44" i="99"/>
  <c r="FW45" i="99"/>
  <c r="FW47" i="99"/>
  <c r="FW48" i="99"/>
  <c r="FW49" i="99"/>
  <c r="FW50" i="99"/>
  <c r="FW58" i="99"/>
  <c r="FW12" i="99"/>
  <c r="FW51" i="99"/>
  <c r="FW53" i="99"/>
  <c r="FW28" i="99"/>
  <c r="FW71" i="99"/>
  <c r="FW22" i="99"/>
  <c r="FW55" i="99"/>
  <c r="FW56" i="99"/>
  <c r="FX23" i="99"/>
  <c r="FX26" i="99"/>
  <c r="FX49" i="99"/>
  <c r="FX58" i="99"/>
  <c r="FX12" i="99"/>
  <c r="FX51" i="99"/>
  <c r="FX53" i="99"/>
  <c r="FX28" i="99"/>
  <c r="FX71" i="99"/>
  <c r="FX22" i="99"/>
  <c r="FX55" i="99"/>
  <c r="FX56" i="99"/>
  <c r="CR77" i="99"/>
  <c r="J4" i="99"/>
  <c r="L4" i="99"/>
  <c r="N4" i="99"/>
  <c r="FV4" i="99" s="1"/>
  <c r="P4" i="99"/>
  <c r="T4" i="99"/>
  <c r="FY4" i="99"/>
  <c r="J5" i="99"/>
  <c r="L5" i="99"/>
  <c r="FU5" i="99" s="1"/>
  <c r="N5" i="99"/>
  <c r="FV5" i="99" s="1"/>
  <c r="P5" i="99"/>
  <c r="FW5" i="99" s="1"/>
  <c r="T5" i="99"/>
  <c r="FS5" i="99"/>
  <c r="FT5" i="99"/>
  <c r="FY5" i="99"/>
  <c r="J6" i="99"/>
  <c r="L6" i="99"/>
  <c r="FU6" i="99" s="1"/>
  <c r="N6" i="99"/>
  <c r="FV6" i="99" s="1"/>
  <c r="P6" i="99"/>
  <c r="FW6" i="99" s="1"/>
  <c r="CO6" i="99"/>
  <c r="CP6" i="99" s="1"/>
  <c r="R6" i="99" s="1"/>
  <c r="T6" i="99"/>
  <c r="FP6" i="99"/>
  <c r="FQ6" i="99"/>
  <c r="FR6" i="99"/>
  <c r="FS8" i="99"/>
  <c r="FT8" i="99"/>
  <c r="FY6" i="99"/>
  <c r="GI116" i="99" s="1"/>
  <c r="S7" i="99"/>
  <c r="T7" i="99" s="1"/>
  <c r="FX7" i="99"/>
  <c r="FY7" i="99"/>
  <c r="J8" i="99"/>
  <c r="L8" i="99"/>
  <c r="M8" i="99"/>
  <c r="N8" i="99" s="1"/>
  <c r="P8" i="99"/>
  <c r="FW8" i="99" s="1"/>
  <c r="S8" i="99"/>
  <c r="T8" i="99" s="1"/>
  <c r="FY8" i="99"/>
  <c r="J24" i="99"/>
  <c r="P24" i="99"/>
  <c r="R24" i="99"/>
  <c r="J21" i="99"/>
  <c r="P21" i="99"/>
  <c r="R21" i="99"/>
  <c r="J23" i="99"/>
  <c r="P23" i="99"/>
  <c r="R23" i="99"/>
  <c r="P26" i="99"/>
  <c r="R26" i="99"/>
  <c r="J29" i="99"/>
  <c r="P29" i="99"/>
  <c r="J44" i="99"/>
  <c r="P44" i="99"/>
  <c r="J45" i="99"/>
  <c r="P45" i="99"/>
  <c r="J47" i="99"/>
  <c r="P47" i="99"/>
  <c r="J48" i="99"/>
  <c r="P48" i="99"/>
  <c r="J49" i="99"/>
  <c r="P49" i="99"/>
  <c r="R49" i="99"/>
  <c r="J50" i="99"/>
  <c r="P50" i="99"/>
  <c r="J58" i="99"/>
  <c r="P58" i="99"/>
  <c r="R58" i="99"/>
  <c r="J12" i="99"/>
  <c r="P12" i="99"/>
  <c r="R12" i="99"/>
  <c r="J51" i="99"/>
  <c r="P51" i="99"/>
  <c r="R51" i="99"/>
  <c r="J53" i="99"/>
  <c r="P53" i="99"/>
  <c r="R53" i="99"/>
  <c r="J28" i="99"/>
  <c r="P28" i="99"/>
  <c r="R28" i="99"/>
  <c r="J71" i="99"/>
  <c r="P71" i="99"/>
  <c r="R71" i="99"/>
  <c r="J22" i="99"/>
  <c r="P22" i="99"/>
  <c r="R22" i="99"/>
  <c r="J55" i="99"/>
  <c r="P55" i="99"/>
  <c r="R55" i="99"/>
  <c r="P56" i="99"/>
  <c r="R56" i="99"/>
  <c r="T56" i="99"/>
  <c r="J59" i="99"/>
  <c r="T16" i="99"/>
  <c r="I77" i="99"/>
  <c r="K77" i="99"/>
  <c r="O77" i="99"/>
  <c r="CD77" i="99"/>
  <c r="CD78" i="99" s="1"/>
  <c r="CE77" i="99"/>
  <c r="CE78" i="99" s="1"/>
  <c r="CF77" i="99"/>
  <c r="CF78" i="99" s="1"/>
  <c r="CG77" i="99"/>
  <c r="CG78" i="99" s="1"/>
  <c r="I78" i="99"/>
  <c r="K78" i="99"/>
  <c r="K81" i="99" s="1"/>
  <c r="K100" i="99" s="1"/>
  <c r="O78" i="99"/>
  <c r="O81" i="99" s="1"/>
  <c r="CR78" i="99"/>
  <c r="J79" i="99"/>
  <c r="FT79" i="99" s="1"/>
  <c r="L79" i="99"/>
  <c r="FU79" i="99" s="1"/>
  <c r="M79" i="99"/>
  <c r="N79" i="99" s="1"/>
  <c r="FV79" i="99" s="1"/>
  <c r="P79" i="99"/>
  <c r="FW79" i="99" s="1"/>
  <c r="R79" i="99"/>
  <c r="FX79" i="99" s="1"/>
  <c r="T79" i="99"/>
  <c r="J80" i="99"/>
  <c r="FT80" i="99" s="1"/>
  <c r="L80" i="99"/>
  <c r="FU80" i="99" s="1"/>
  <c r="N80" i="99"/>
  <c r="FV80" i="99" s="1"/>
  <c r="P80" i="99"/>
  <c r="FW80" i="99" s="1"/>
  <c r="R80" i="99"/>
  <c r="FX80" i="99" s="1"/>
  <c r="T80" i="99"/>
  <c r="FY80" i="99" s="1"/>
  <c r="J82" i="99"/>
  <c r="L82" i="99"/>
  <c r="FU82" i="99" s="1"/>
  <c r="N82" i="99"/>
  <c r="FV82" i="99" s="1"/>
  <c r="P82" i="99"/>
  <c r="FW82" i="99" s="1"/>
  <c r="R82" i="99"/>
  <c r="FX82" i="99" s="1"/>
  <c r="T82" i="99"/>
  <c r="FY82" i="99" s="1"/>
  <c r="GA82" i="99" s="1"/>
  <c r="J83" i="99"/>
  <c r="L83" i="99"/>
  <c r="FU83" i="99" s="1"/>
  <c r="FU119" i="99" s="1"/>
  <c r="N83" i="99"/>
  <c r="FV83" i="99" s="1"/>
  <c r="P83" i="99"/>
  <c r="R83" i="99"/>
  <c r="FX83" i="99" s="1"/>
  <c r="T83" i="99"/>
  <c r="J84" i="99"/>
  <c r="FT84" i="99" s="1"/>
  <c r="FT120" i="99" s="1"/>
  <c r="L84" i="99"/>
  <c r="FU84" i="99" s="1"/>
  <c r="N84" i="99"/>
  <c r="P84" i="99"/>
  <c r="FW84" i="99" s="1"/>
  <c r="R84" i="99"/>
  <c r="FX84" i="99" s="1"/>
  <c r="T84" i="99"/>
  <c r="FY84" i="99" s="1"/>
  <c r="M85" i="99"/>
  <c r="N85" i="99" s="1"/>
  <c r="O86" i="99"/>
  <c r="Q86" i="99"/>
  <c r="S86" i="99"/>
  <c r="J88" i="99"/>
  <c r="L88" i="99"/>
  <c r="FU88" i="99" s="1"/>
  <c r="N88" i="99"/>
  <c r="FV88" i="99" s="1"/>
  <c r="P88" i="99"/>
  <c r="R88" i="99"/>
  <c r="FX88" i="99" s="1"/>
  <c r="T88" i="99"/>
  <c r="FY88" i="99" s="1"/>
  <c r="FY98" i="99"/>
  <c r="T89" i="99"/>
  <c r="FY89" i="99" s="1"/>
  <c r="T91" i="99"/>
  <c r="FY91" i="99" s="1"/>
  <c r="T93" i="99"/>
  <c r="FY93" i="99" s="1"/>
  <c r="J89" i="99"/>
  <c r="L89" i="99"/>
  <c r="FU89" i="99" s="1"/>
  <c r="N89" i="99"/>
  <c r="FV89" i="99" s="1"/>
  <c r="P89" i="99"/>
  <c r="R89" i="99"/>
  <c r="FX89" i="99" s="1"/>
  <c r="J91" i="99"/>
  <c r="L91" i="99"/>
  <c r="FU91" i="99" s="1"/>
  <c r="N91" i="99"/>
  <c r="FV91" i="99" s="1"/>
  <c r="R91" i="99"/>
  <c r="FX91" i="99" s="1"/>
  <c r="J93" i="99"/>
  <c r="L93" i="99"/>
  <c r="FU93" i="99" s="1"/>
  <c r="N93" i="99"/>
  <c r="FV93" i="99" s="1"/>
  <c r="P93" i="99"/>
  <c r="R93" i="99"/>
  <c r="FX93" i="99" s="1"/>
  <c r="P96" i="99"/>
  <c r="Q96" i="99" s="1"/>
  <c r="R96" i="99" s="1"/>
  <c r="S96" i="99" s="1"/>
  <c r="T96" i="99" s="1"/>
  <c r="FU96" i="99"/>
  <c r="FV96" i="99" s="1"/>
  <c r="FW96" i="99" s="1"/>
  <c r="FX96" i="99" s="1"/>
  <c r="FY96" i="99" s="1"/>
  <c r="FZ96" i="99" s="1"/>
  <c r="GA96" i="99" s="1"/>
  <c r="GB96" i="99" s="1"/>
  <c r="GC96" i="99" s="1"/>
  <c r="FW98" i="99"/>
  <c r="FX98" i="99"/>
  <c r="FQ100" i="99"/>
  <c r="FR100" i="99"/>
  <c r="FS100" i="99"/>
  <c r="FT118" i="99"/>
  <c r="FT119" i="99"/>
  <c r="BX133" i="99"/>
  <c r="BY133" i="99"/>
  <c r="BZ133" i="99"/>
  <c r="CA133" i="99"/>
  <c r="CB133" i="99"/>
  <c r="CC133" i="99"/>
  <c r="CD133" i="99"/>
  <c r="CE133" i="99"/>
  <c r="CF133" i="99"/>
  <c r="CG133" i="99"/>
  <c r="CH133" i="99"/>
  <c r="CI133" i="99"/>
  <c r="CJ133" i="99"/>
  <c r="CK133" i="99"/>
  <c r="CL133" i="99"/>
  <c r="CM133" i="99"/>
  <c r="CN133" i="99"/>
  <c r="CO133" i="99"/>
  <c r="CP133" i="99"/>
  <c r="CQ133" i="99"/>
  <c r="CR133" i="99"/>
  <c r="BX134" i="99"/>
  <c r="BY134" i="99"/>
  <c r="BZ134" i="99"/>
  <c r="CA134" i="99"/>
  <c r="CB134" i="99"/>
  <c r="CC134" i="99"/>
  <c r="CD134" i="99"/>
  <c r="CE134" i="99"/>
  <c r="CF134" i="99"/>
  <c r="CG134" i="99"/>
  <c r="CH134" i="99"/>
  <c r="CI134" i="99"/>
  <c r="CJ134" i="99"/>
  <c r="CK134" i="99"/>
  <c r="CL134" i="99"/>
  <c r="CM134" i="99"/>
  <c r="CN134" i="99"/>
  <c r="CO134" i="99"/>
  <c r="CP134" i="99"/>
  <c r="CQ134" i="99"/>
  <c r="CR134" i="99"/>
  <c r="BX135" i="99"/>
  <c r="BY135" i="99"/>
  <c r="BZ135" i="99"/>
  <c r="CA135" i="99"/>
  <c r="CB135" i="99"/>
  <c r="CC135" i="99"/>
  <c r="CD135" i="99"/>
  <c r="CE135" i="99"/>
  <c r="CF135" i="99"/>
  <c r="CG135" i="99"/>
  <c r="CH135" i="99"/>
  <c r="CI135" i="99"/>
  <c r="CJ135" i="99"/>
  <c r="CK135" i="99"/>
  <c r="CL135" i="99"/>
  <c r="CM135" i="99"/>
  <c r="CN135" i="99"/>
  <c r="CO135" i="99"/>
  <c r="CP135" i="99"/>
  <c r="CQ135" i="99"/>
  <c r="CR135" i="99"/>
  <c r="CU135" i="99"/>
  <c r="CV135" i="99"/>
  <c r="CY135" i="99"/>
  <c r="BX136" i="99"/>
  <c r="BY136" i="99"/>
  <c r="BZ136" i="99"/>
  <c r="CA136" i="99"/>
  <c r="CB136" i="99"/>
  <c r="CC136" i="99"/>
  <c r="CD136" i="99"/>
  <c r="CE136" i="99"/>
  <c r="CF136" i="99"/>
  <c r="CG136" i="99"/>
  <c r="CH136" i="99"/>
  <c r="CI136" i="99"/>
  <c r="CJ136" i="99"/>
  <c r="CK136" i="99"/>
  <c r="CL136" i="99"/>
  <c r="CM136" i="99"/>
  <c r="CN136" i="99"/>
  <c r="CO136" i="99"/>
  <c r="CQ136" i="99"/>
  <c r="CR136" i="99"/>
  <c r="BX137" i="99"/>
  <c r="BY137" i="99"/>
  <c r="BZ137" i="99"/>
  <c r="CA137" i="99"/>
  <c r="CB137" i="99"/>
  <c r="CC137" i="99"/>
  <c r="CD137" i="99"/>
  <c r="CE137" i="99"/>
  <c r="CF137" i="99"/>
  <c r="CG137" i="99"/>
  <c r="CH137" i="99"/>
  <c r="CI137" i="99"/>
  <c r="CJ137" i="99"/>
  <c r="CK137" i="99"/>
  <c r="CL137" i="99"/>
  <c r="CM137" i="99"/>
  <c r="CN137" i="99"/>
  <c r="CO137" i="99"/>
  <c r="CQ137" i="99"/>
  <c r="CR137" i="99"/>
  <c r="BX138" i="99"/>
  <c r="BY138" i="99"/>
  <c r="BZ138" i="99"/>
  <c r="CA138" i="99"/>
  <c r="CB138" i="99"/>
  <c r="CC138" i="99"/>
  <c r="CD138" i="99"/>
  <c r="CE138" i="99"/>
  <c r="CF138" i="99"/>
  <c r="CG138" i="99"/>
  <c r="CH138" i="99"/>
  <c r="CI138" i="99"/>
  <c r="CJ138" i="99"/>
  <c r="CK138" i="99"/>
  <c r="CL138" i="99"/>
  <c r="CM138" i="99"/>
  <c r="CN138" i="99"/>
  <c r="CO138" i="99"/>
  <c r="CQ138" i="99"/>
  <c r="CR138" i="99"/>
  <c r="BX139" i="99"/>
  <c r="BY139" i="99"/>
  <c r="BZ139" i="99"/>
  <c r="CA139" i="99"/>
  <c r="CB139" i="99"/>
  <c r="CC139" i="99"/>
  <c r="CD139" i="99"/>
  <c r="CE139" i="99"/>
  <c r="CF139" i="99"/>
  <c r="CG139" i="99"/>
  <c r="CH139" i="99"/>
  <c r="CI139" i="99"/>
  <c r="CJ139" i="99"/>
  <c r="CK139" i="99"/>
  <c r="CL139" i="99"/>
  <c r="CM139" i="99"/>
  <c r="CN139" i="99"/>
  <c r="CO139" i="99"/>
  <c r="CQ139" i="99"/>
  <c r="CR139" i="99"/>
  <c r="BX140" i="99"/>
  <c r="BY140" i="99"/>
  <c r="BZ140" i="99"/>
  <c r="CA140" i="99"/>
  <c r="CB140" i="99"/>
  <c r="CC140" i="99"/>
  <c r="CD140" i="99"/>
  <c r="CE140" i="99"/>
  <c r="CF140" i="99"/>
  <c r="CG140" i="99"/>
  <c r="CH140" i="99"/>
  <c r="CI140" i="99"/>
  <c r="CJ140" i="99"/>
  <c r="CK140" i="99"/>
  <c r="CL140" i="99"/>
  <c r="CM140" i="99"/>
  <c r="CN140" i="99"/>
  <c r="CO140" i="99"/>
  <c r="CQ140" i="99"/>
  <c r="CR140" i="99"/>
  <c r="CA141" i="99"/>
  <c r="CB141" i="99"/>
  <c r="CC141" i="99"/>
  <c r="CD141" i="99"/>
  <c r="CE141" i="99"/>
  <c r="CF141" i="99"/>
  <c r="CG141" i="99"/>
  <c r="CH141" i="99"/>
  <c r="CI141" i="99"/>
  <c r="CJ141" i="99"/>
  <c r="CK141" i="99"/>
  <c r="CL141" i="99"/>
  <c r="CM141" i="99"/>
  <c r="CN141" i="99"/>
  <c r="CO141" i="99"/>
  <c r="CQ141" i="99"/>
  <c r="CR141" i="99"/>
  <c r="CH142" i="99"/>
  <c r="CI142" i="99"/>
  <c r="CJ142" i="99"/>
  <c r="CK142" i="99"/>
  <c r="CL142" i="99"/>
  <c r="CM142" i="99"/>
  <c r="CN142" i="99"/>
  <c r="CO142" i="99"/>
  <c r="CP142" i="99"/>
  <c r="CQ142" i="99"/>
  <c r="CR142" i="99"/>
  <c r="CC143" i="99"/>
  <c r="CD143" i="99"/>
  <c r="CE143" i="99"/>
  <c r="CF143" i="99"/>
  <c r="CG143" i="99"/>
  <c r="CH143" i="99"/>
  <c r="CI143" i="99"/>
  <c r="CJ143" i="99"/>
  <c r="CK143" i="99"/>
  <c r="CL143" i="99"/>
  <c r="CM143" i="99"/>
  <c r="CN143" i="99"/>
  <c r="CO143" i="99"/>
  <c r="CP143" i="99"/>
  <c r="CQ143" i="99"/>
  <c r="CR143" i="99"/>
  <c r="BX144" i="99"/>
  <c r="BY144" i="99"/>
  <c r="BZ144" i="99"/>
  <c r="CA144" i="99"/>
  <c r="CB144" i="99"/>
  <c r="CC144" i="99"/>
  <c r="CD144" i="99"/>
  <c r="CE144" i="99"/>
  <c r="CF144" i="99"/>
  <c r="CG144" i="99"/>
  <c r="CH144" i="99"/>
  <c r="CI144" i="99"/>
  <c r="CJ144" i="99"/>
  <c r="CK144" i="99"/>
  <c r="CL144" i="99"/>
  <c r="CM144" i="99"/>
  <c r="CN144" i="99"/>
  <c r="CO144" i="99"/>
  <c r="CP144" i="99"/>
  <c r="CQ144" i="99"/>
  <c r="CR144" i="99"/>
  <c r="BX145" i="99"/>
  <c r="BY145" i="99"/>
  <c r="BZ145" i="99"/>
  <c r="CA145" i="99"/>
  <c r="CB145" i="99"/>
  <c r="CC145" i="99"/>
  <c r="CD145" i="99"/>
  <c r="CE145" i="99"/>
  <c r="CF145" i="99"/>
  <c r="CG145" i="99"/>
  <c r="CH145" i="99"/>
  <c r="CI145" i="99"/>
  <c r="CJ145" i="99"/>
  <c r="CK145" i="99"/>
  <c r="CL145" i="99"/>
  <c r="CM145" i="99"/>
  <c r="CN145" i="99"/>
  <c r="CO145" i="99"/>
  <c r="CP145" i="99"/>
  <c r="CQ145" i="99"/>
  <c r="CR145" i="99"/>
  <c r="BX146" i="99"/>
  <c r="BY146" i="99"/>
  <c r="BZ146" i="99"/>
  <c r="CA146" i="99"/>
  <c r="CB146" i="99"/>
  <c r="CC146" i="99"/>
  <c r="CD146" i="99"/>
  <c r="CE146" i="99"/>
  <c r="CF146" i="99"/>
  <c r="CG146" i="99"/>
  <c r="CH146" i="99"/>
  <c r="CI146" i="99"/>
  <c r="CJ146" i="99"/>
  <c r="CK146" i="99"/>
  <c r="CL146" i="99"/>
  <c r="CM146" i="99"/>
  <c r="CN146" i="99"/>
  <c r="CO146" i="99"/>
  <c r="CP146" i="99"/>
  <c r="CQ146" i="99"/>
  <c r="CR146" i="99"/>
  <c r="BX147" i="99"/>
  <c r="BY147" i="99"/>
  <c r="BZ147" i="99"/>
  <c r="CA147" i="99"/>
  <c r="CB147" i="99"/>
  <c r="CC147" i="99"/>
  <c r="CD147" i="99"/>
  <c r="CE147" i="99"/>
  <c r="CF147" i="99"/>
  <c r="CG147" i="99"/>
  <c r="CH147" i="99"/>
  <c r="CI147" i="99"/>
  <c r="CJ147" i="99"/>
  <c r="CK147" i="99"/>
  <c r="CL147" i="99"/>
  <c r="CM147" i="99"/>
  <c r="CN147" i="99"/>
  <c r="CO147" i="99"/>
  <c r="CP147" i="99"/>
  <c r="CQ147" i="99"/>
  <c r="CR147" i="99"/>
  <c r="BX148" i="99"/>
  <c r="BY148" i="99"/>
  <c r="BZ148" i="99"/>
  <c r="CA148" i="99"/>
  <c r="CB148" i="99"/>
  <c r="CC148" i="99"/>
  <c r="CD148" i="99"/>
  <c r="CE148" i="99"/>
  <c r="CF148" i="99"/>
  <c r="CG148" i="99"/>
  <c r="CH148" i="99"/>
  <c r="CI148" i="99"/>
  <c r="CJ148" i="99"/>
  <c r="CK148" i="99"/>
  <c r="CL148" i="99"/>
  <c r="CM148" i="99"/>
  <c r="CN148" i="99"/>
  <c r="CO148" i="99"/>
  <c r="CP148" i="99"/>
  <c r="CQ148" i="99"/>
  <c r="CR148" i="99"/>
  <c r="FW156" i="99"/>
  <c r="FX156" i="99"/>
  <c r="J4" i="101"/>
  <c r="S10" i="129"/>
  <c r="S11" i="129"/>
  <c r="S12" i="129"/>
  <c r="R13" i="129"/>
  <c r="S13" i="129" s="1"/>
  <c r="S14" i="129"/>
  <c r="S15" i="129"/>
  <c r="S16" i="129"/>
  <c r="S17" i="129"/>
  <c r="S18" i="129"/>
  <c r="S19" i="129"/>
  <c r="GD78" i="99" l="1"/>
  <c r="GF78" i="99"/>
  <c r="GF81" i="99" s="1"/>
  <c r="GF87" i="99" s="1"/>
  <c r="AA44" i="115"/>
  <c r="D14" i="128"/>
  <c r="Z44" i="115"/>
  <c r="FZ87" i="99"/>
  <c r="FZ100" i="99"/>
  <c r="AB44" i="115"/>
  <c r="Y44" i="115"/>
  <c r="GH79" i="99"/>
  <c r="FY79" i="99"/>
  <c r="CS135" i="99"/>
  <c r="CN78" i="99"/>
  <c r="CR110" i="99" s="1"/>
  <c r="Q102" i="99"/>
  <c r="CS134" i="99"/>
  <c r="CW134" i="99"/>
  <c r="CT21" i="99"/>
  <c r="FY21" i="99" s="1"/>
  <c r="CS133" i="99"/>
  <c r="CW133" i="99"/>
  <c r="CP136" i="99"/>
  <c r="CW135" i="99"/>
  <c r="FZ116" i="99"/>
  <c r="FX48" i="99"/>
  <c r="FV119" i="99"/>
  <c r="R29" i="99"/>
  <c r="CI78" i="99"/>
  <c r="GH116" i="99"/>
  <c r="K101" i="99"/>
  <c r="CH78" i="99"/>
  <c r="FW116" i="99"/>
  <c r="CP139" i="99"/>
  <c r="GG116" i="99"/>
  <c r="FU120" i="99"/>
  <c r="K103" i="99"/>
  <c r="K110" i="99"/>
  <c r="GD116" i="99"/>
  <c r="GC116" i="99"/>
  <c r="K102" i="99"/>
  <c r="R86" i="99"/>
  <c r="CL78" i="99"/>
  <c r="FX45" i="99"/>
  <c r="FY51" i="99"/>
  <c r="GF116" i="99"/>
  <c r="GB116" i="99"/>
  <c r="GE116" i="99"/>
  <c r="GA116" i="99"/>
  <c r="FY22" i="99"/>
  <c r="T22" i="99"/>
  <c r="FY49" i="99"/>
  <c r="T49" i="99"/>
  <c r="FX8" i="99"/>
  <c r="R8" i="99"/>
  <c r="FV116" i="99"/>
  <c r="CP141" i="99"/>
  <c r="CP138" i="99"/>
  <c r="O103" i="99"/>
  <c r="O102" i="99"/>
  <c r="CM78" i="99"/>
  <c r="R44" i="99"/>
  <c r="FV8" i="99"/>
  <c r="FT6" i="99"/>
  <c r="FX5" i="99"/>
  <c r="FX50" i="99"/>
  <c r="CS77" i="99"/>
  <c r="CS3" i="99" s="1"/>
  <c r="M78" i="99"/>
  <c r="M77" i="99"/>
  <c r="CU3" i="99"/>
  <c r="CT23" i="99"/>
  <c r="CP137" i="99"/>
  <c r="Q110" i="99"/>
  <c r="FS6" i="99"/>
  <c r="FY44" i="99"/>
  <c r="FY26" i="99"/>
  <c r="CO77" i="99"/>
  <c r="CO3" i="99" s="1"/>
  <c r="O100" i="99"/>
  <c r="O87" i="99"/>
  <c r="O90" i="99" s="1"/>
  <c r="O92" i="99" s="1"/>
  <c r="O94" i="99" s="1"/>
  <c r="O95" i="99" s="1"/>
  <c r="FY50" i="99"/>
  <c r="T50" i="99"/>
  <c r="FY45" i="99"/>
  <c r="T45" i="99"/>
  <c r="FU118" i="99"/>
  <c r="FV118" i="99"/>
  <c r="FV85" i="99"/>
  <c r="N86" i="99"/>
  <c r="CQ3" i="99"/>
  <c r="CQ78" i="99"/>
  <c r="T28" i="99"/>
  <c r="FY28" i="99"/>
  <c r="T47" i="99"/>
  <c r="FY47" i="99"/>
  <c r="FX86" i="99"/>
  <c r="E14" i="128"/>
  <c r="J7" i="101"/>
  <c r="Q101" i="99"/>
  <c r="I101" i="99"/>
  <c r="M86" i="99"/>
  <c r="I81" i="99"/>
  <c r="I87" i="99" s="1"/>
  <c r="I90" i="99" s="1"/>
  <c r="I92" i="99" s="1"/>
  <c r="I94" i="99" s="1"/>
  <c r="I95" i="99" s="1"/>
  <c r="CK78" i="99"/>
  <c r="T53" i="99"/>
  <c r="O101" i="99"/>
  <c r="FU85" i="99"/>
  <c r="FU86" i="99" s="1"/>
  <c r="FY83" i="99"/>
  <c r="FY86" i="99" s="1"/>
  <c r="Q81" i="99"/>
  <c r="FY58" i="99"/>
  <c r="D11" i="128"/>
  <c r="T86" i="99"/>
  <c r="K87" i="99"/>
  <c r="L78" i="99"/>
  <c r="FV84" i="99"/>
  <c r="FW83" i="99"/>
  <c r="FW86" i="99" s="1"/>
  <c r="P86" i="99"/>
  <c r="P77" i="99"/>
  <c r="FU8" i="99"/>
  <c r="L77" i="99"/>
  <c r="FU77" i="99" s="1"/>
  <c r="J77" i="99"/>
  <c r="J78" i="99"/>
  <c r="FW4" i="99"/>
  <c r="P78" i="99"/>
  <c r="CP77" i="99"/>
  <c r="CP3" i="99" s="1"/>
  <c r="R4" i="99"/>
  <c r="FX4" i="99"/>
  <c r="FX47" i="99"/>
  <c r="R47" i="99"/>
  <c r="FV3" i="99"/>
  <c r="N77" i="99"/>
  <c r="FU3" i="99"/>
  <c r="FY55" i="99"/>
  <c r="T55" i="99"/>
  <c r="CN3" i="99"/>
  <c r="CJ3" i="99"/>
  <c r="FW77" i="99"/>
  <c r="FW78" i="99" s="1"/>
  <c r="N78" i="99"/>
  <c r="FX6" i="99"/>
  <c r="FU4" i="99"/>
  <c r="Q76" i="99"/>
  <c r="Q3" i="99" s="1"/>
  <c r="G9" i="128"/>
  <c r="FS3" i="99"/>
  <c r="CT71" i="99"/>
  <c r="T71" i="99" s="1"/>
  <c r="CT12" i="99"/>
  <c r="T12" i="99" s="1"/>
  <c r="CT48" i="99"/>
  <c r="T48" i="99" s="1"/>
  <c r="CT29" i="99"/>
  <c r="T29" i="99" s="1"/>
  <c r="CT24" i="99"/>
  <c r="T24" i="99" s="1"/>
  <c r="FW3" i="99"/>
  <c r="FT3" i="99"/>
  <c r="E8" i="128"/>
  <c r="GH78" i="99" l="1"/>
  <c r="GG78" i="99"/>
  <c r="FY24" i="99"/>
  <c r="CN110" i="99"/>
  <c r="FX77" i="99"/>
  <c r="FX78" i="99" s="1"/>
  <c r="FY23" i="99"/>
  <c r="CT134" i="99"/>
  <c r="CX134" i="99"/>
  <c r="CT133" i="99"/>
  <c r="CX133" i="99"/>
  <c r="T21" i="99"/>
  <c r="CL110" i="99"/>
  <c r="O104" i="99"/>
  <c r="CM110" i="99"/>
  <c r="CO78" i="99"/>
  <c r="CO110" i="99" s="1"/>
  <c r="FV77" i="99"/>
  <c r="T23" i="99"/>
  <c r="CS78" i="99"/>
  <c r="S3" i="99"/>
  <c r="T3" i="99" s="1"/>
  <c r="FY71" i="99"/>
  <c r="O106" i="99"/>
  <c r="FY48" i="99"/>
  <c r="M81" i="99"/>
  <c r="M102" i="99"/>
  <c r="M103" i="99"/>
  <c r="M101" i="99"/>
  <c r="M110" i="99"/>
  <c r="O110" i="99"/>
  <c r="GA83" i="99"/>
  <c r="CQ110" i="99"/>
  <c r="S77" i="99"/>
  <c r="S78" i="99" s="1"/>
  <c r="CU110" i="99"/>
  <c r="FY29" i="99"/>
  <c r="FY12" i="99"/>
  <c r="CP78" i="99"/>
  <c r="CP110" i="99" s="1"/>
  <c r="R76" i="99"/>
  <c r="Q87" i="99"/>
  <c r="Q100" i="99"/>
  <c r="R3" i="99"/>
  <c r="R78" i="99" s="1"/>
  <c r="R102" i="99" s="1"/>
  <c r="FV120" i="99"/>
  <c r="FV86" i="99"/>
  <c r="J81" i="99"/>
  <c r="J87" i="99" s="1"/>
  <c r="J90" i="99" s="1"/>
  <c r="J92" i="99" s="1"/>
  <c r="J94" i="99" s="1"/>
  <c r="J95" i="99" s="1"/>
  <c r="J101" i="99"/>
  <c r="FT78" i="99"/>
  <c r="FW102" i="99"/>
  <c r="K90" i="99"/>
  <c r="K104" i="99"/>
  <c r="FW81" i="99"/>
  <c r="FW101" i="99"/>
  <c r="FW103" i="99"/>
  <c r="CT77" i="99"/>
  <c r="CT78" i="99" s="1"/>
  <c r="CT135" i="99"/>
  <c r="CX135" i="99"/>
  <c r="FX116" i="99"/>
  <c r="FY116" i="99"/>
  <c r="E11" i="128"/>
  <c r="F8" i="128"/>
  <c r="H9" i="128"/>
  <c r="G14" i="128"/>
  <c r="FV78" i="99"/>
  <c r="FW110" i="99" s="1"/>
  <c r="N81" i="99"/>
  <c r="N101" i="99"/>
  <c r="N102" i="99"/>
  <c r="N110" i="99"/>
  <c r="P81" i="99"/>
  <c r="P103" i="99"/>
  <c r="P101" i="99"/>
  <c r="P110" i="99"/>
  <c r="P102" i="99"/>
  <c r="N103" i="99"/>
  <c r="FU78" i="99"/>
  <c r="L81" i="99"/>
  <c r="L103" i="99"/>
  <c r="L101" i="99"/>
  <c r="L102" i="99"/>
  <c r="L110" i="99"/>
  <c r="GA3" i="99" l="1"/>
  <c r="GB3" i="99"/>
  <c r="FY77" i="99"/>
  <c r="FY78" i="99" s="1"/>
  <c r="FY81" i="99" s="1"/>
  <c r="GA78" i="99"/>
  <c r="CS110" i="99"/>
  <c r="FX3" i="99"/>
  <c r="GA86" i="99"/>
  <c r="CT110" i="99"/>
  <c r="R103" i="99"/>
  <c r="GB86" i="99"/>
  <c r="S81" i="99"/>
  <c r="S103" i="99"/>
  <c r="S102" i="99"/>
  <c r="S110" i="99"/>
  <c r="S101" i="99"/>
  <c r="R110" i="99"/>
  <c r="CT3" i="99"/>
  <c r="T77" i="99"/>
  <c r="T78" i="99" s="1"/>
  <c r="R101" i="99"/>
  <c r="M87" i="99"/>
  <c r="M100" i="99"/>
  <c r="R81" i="99"/>
  <c r="R100" i="99" s="1"/>
  <c r="Q90" i="99"/>
  <c r="Q104" i="99"/>
  <c r="N100" i="99"/>
  <c r="N87" i="99"/>
  <c r="K92" i="99"/>
  <c r="K94" i="99" s="1"/>
  <c r="K95" i="99" s="1"/>
  <c r="K106" i="99"/>
  <c r="FT81" i="99"/>
  <c r="FT110" i="99"/>
  <c r="FU81" i="99"/>
  <c r="FU110" i="99"/>
  <c r="FV81" i="99"/>
  <c r="FV110" i="99"/>
  <c r="G8" i="128"/>
  <c r="F11" i="128"/>
  <c r="FX101" i="99"/>
  <c r="FX110" i="99"/>
  <c r="FX103" i="99"/>
  <c r="FX102" i="99"/>
  <c r="GD82" i="99"/>
  <c r="GC86" i="99"/>
  <c r="FW87" i="99"/>
  <c r="FW100" i="99"/>
  <c r="GD83" i="99"/>
  <c r="L87" i="99"/>
  <c r="L100" i="99"/>
  <c r="P87" i="99"/>
  <c r="P100" i="99"/>
  <c r="H14" i="128"/>
  <c r="I9" i="128"/>
  <c r="GC3" i="99" l="1"/>
  <c r="FX81" i="99"/>
  <c r="FX87" i="99" s="1"/>
  <c r="FX104" i="99" s="1"/>
  <c r="R87" i="99"/>
  <c r="R104" i="99" s="1"/>
  <c r="M90" i="99"/>
  <c r="M104" i="99"/>
  <c r="S100" i="99"/>
  <c r="S87" i="99"/>
  <c r="Q92" i="99"/>
  <c r="Q94" i="99" s="1"/>
  <c r="Q95" i="99" s="1"/>
  <c r="Q106" i="99"/>
  <c r="GE83" i="99"/>
  <c r="T81" i="99"/>
  <c r="T103" i="99"/>
  <c r="T101" i="99"/>
  <c r="T110" i="99"/>
  <c r="T102" i="99"/>
  <c r="P90" i="99"/>
  <c r="P104" i="99"/>
  <c r="H8" i="128"/>
  <c r="G11" i="128"/>
  <c r="FU100" i="99"/>
  <c r="FU87" i="99"/>
  <c r="GE82" i="99"/>
  <c r="GD86" i="99"/>
  <c r="N90" i="99"/>
  <c r="N104" i="99"/>
  <c r="I14" i="128"/>
  <c r="J9" i="128"/>
  <c r="L90" i="99"/>
  <c r="L104" i="99"/>
  <c r="FW90" i="99"/>
  <c r="FW104" i="99"/>
  <c r="FY3" i="99"/>
  <c r="FV100" i="99"/>
  <c r="FV87" i="99"/>
  <c r="FW121" i="99" s="1"/>
  <c r="FT87" i="99"/>
  <c r="FT100" i="99"/>
  <c r="FX121" i="99" l="1"/>
  <c r="GD3" i="99"/>
  <c r="FX90" i="99"/>
  <c r="FX92" i="99" s="1"/>
  <c r="FX94" i="99" s="1"/>
  <c r="R90" i="99"/>
  <c r="R106" i="99" s="1"/>
  <c r="S104" i="99"/>
  <c r="S90" i="99"/>
  <c r="M92" i="99"/>
  <c r="M94" i="99" s="1"/>
  <c r="M95" i="99" s="1"/>
  <c r="M106" i="99"/>
  <c r="FY87" i="99"/>
  <c r="FY121" i="99" s="1"/>
  <c r="FY102" i="99"/>
  <c r="FY101" i="99"/>
  <c r="FY103" i="99"/>
  <c r="FY110" i="99"/>
  <c r="FU90" i="99"/>
  <c r="FU92" i="99" s="1"/>
  <c r="FU94" i="99" s="1"/>
  <c r="FU95" i="99" s="1"/>
  <c r="FU104" i="99"/>
  <c r="FW105" i="99"/>
  <c r="FW106" i="99"/>
  <c r="FW92" i="99"/>
  <c r="FW94" i="99" s="1"/>
  <c r="GE86" i="99"/>
  <c r="FZ103" i="99"/>
  <c r="FZ101" i="99"/>
  <c r="FZ110" i="99"/>
  <c r="FZ102" i="99"/>
  <c r="T87" i="99"/>
  <c r="T100" i="99"/>
  <c r="P92" i="99"/>
  <c r="P94" i="99" s="1"/>
  <c r="P95" i="99" s="1"/>
  <c r="P106" i="99"/>
  <c r="FV104" i="99"/>
  <c r="FV90" i="99"/>
  <c r="FV92" i="99" s="1"/>
  <c r="FV94" i="99" s="1"/>
  <c r="FV95" i="99" s="1"/>
  <c r="J14" i="128"/>
  <c r="K9" i="128"/>
  <c r="FT90" i="99"/>
  <c r="FT92" i="99" s="1"/>
  <c r="FT94" i="99" s="1"/>
  <c r="FT121" i="99"/>
  <c r="L92" i="99"/>
  <c r="L94" i="99" s="1"/>
  <c r="L95" i="99" s="1"/>
  <c r="L106" i="99"/>
  <c r="N92" i="99"/>
  <c r="N94" i="99" s="1"/>
  <c r="N95" i="99" s="1"/>
  <c r="N106" i="99"/>
  <c r="H11" i="128"/>
  <c r="I8" i="128"/>
  <c r="FX105" i="99" l="1"/>
  <c r="R105" i="99"/>
  <c r="R92" i="99"/>
  <c r="R94" i="99" s="1"/>
  <c r="R98" i="99" s="1"/>
  <c r="GE3" i="99"/>
  <c r="FX106" i="99"/>
  <c r="S106" i="99"/>
  <c r="S105" i="99"/>
  <c r="S92" i="99"/>
  <c r="S94" i="99" s="1"/>
  <c r="S95" i="99" s="1"/>
  <c r="T90" i="99"/>
  <c r="T104" i="99"/>
  <c r="FW95" i="99"/>
  <c r="FW128" i="99" s="1"/>
  <c r="FW153" i="99"/>
  <c r="FW107" i="99"/>
  <c r="FX95" i="99"/>
  <c r="FX153" i="99"/>
  <c r="FX107" i="99"/>
  <c r="I11" i="128"/>
  <c r="J8" i="128"/>
  <c r="L9" i="128"/>
  <c r="K14" i="128"/>
  <c r="GA81" i="99"/>
  <c r="GA87" i="99" s="1"/>
  <c r="GA103" i="99"/>
  <c r="GA110" i="99"/>
  <c r="GA101" i="99"/>
  <c r="GA102" i="99"/>
  <c r="FZ104" i="99"/>
  <c r="FY90" i="99"/>
  <c r="FY104" i="99"/>
  <c r="R95" i="99" l="1"/>
  <c r="GF3" i="99"/>
  <c r="FY92" i="99"/>
  <c r="FY94" i="99" s="1"/>
  <c r="FY105" i="99"/>
  <c r="FY106" i="99"/>
  <c r="GA80" i="99"/>
  <c r="GH82" i="99"/>
  <c r="T92" i="99"/>
  <c r="T94" i="99" s="1"/>
  <c r="T95" i="99" s="1"/>
  <c r="T105" i="99"/>
  <c r="T106" i="99"/>
  <c r="K8" i="128"/>
  <c r="J11" i="128"/>
  <c r="FX128" i="99"/>
  <c r="GA104" i="99"/>
  <c r="L14" i="128"/>
  <c r="M9" i="128"/>
  <c r="GB87" i="99"/>
  <c r="GB103" i="99"/>
  <c r="GB110" i="99"/>
  <c r="GB101" i="99"/>
  <c r="GB102" i="99"/>
  <c r="GH83" i="99"/>
  <c r="GG3" i="99" l="1"/>
  <c r="M14" i="128"/>
  <c r="N9" i="128"/>
  <c r="FY95" i="99"/>
  <c r="FY128" i="99" s="1"/>
  <c r="FY107" i="99"/>
  <c r="FZ98" i="99"/>
  <c r="L8" i="128"/>
  <c r="K11" i="128"/>
  <c r="GH86" i="99"/>
  <c r="GB104" i="99"/>
  <c r="GC110" i="99"/>
  <c r="GC103" i="99"/>
  <c r="GC87" i="99"/>
  <c r="GC101" i="99"/>
  <c r="GC102" i="99"/>
  <c r="GH3" i="99" l="1"/>
  <c r="L11" i="128"/>
  <c r="M8" i="128"/>
  <c r="N14" i="128"/>
  <c r="O9" i="128"/>
  <c r="GC104" i="99"/>
  <c r="GD81" i="99"/>
  <c r="GD87" i="99" s="1"/>
  <c r="GD103" i="99"/>
  <c r="GD110" i="99"/>
  <c r="GD102" i="99"/>
  <c r="GD101" i="99"/>
  <c r="FZ90" i="99"/>
  <c r="FZ106" i="99" l="1"/>
  <c r="FZ105" i="99"/>
  <c r="GD80" i="99"/>
  <c r="M11" i="128"/>
  <c r="N8" i="128"/>
  <c r="GE81" i="99"/>
  <c r="GE87" i="99" s="1"/>
  <c r="GE110" i="99"/>
  <c r="GE103" i="99"/>
  <c r="GE102" i="99"/>
  <c r="GE101" i="99"/>
  <c r="P9" i="128"/>
  <c r="O14" i="128"/>
  <c r="GD104" i="99"/>
  <c r="FZ92" i="99" l="1"/>
  <c r="FZ94" i="99" s="1"/>
  <c r="GA98" i="99" s="1"/>
  <c r="GE80" i="99"/>
  <c r="O8" i="128"/>
  <c r="N11" i="128"/>
  <c r="GE104" i="99"/>
  <c r="GF103" i="99"/>
  <c r="GF110" i="99"/>
  <c r="GF101" i="99"/>
  <c r="GF102" i="99"/>
  <c r="P14" i="128"/>
  <c r="Q9" i="128"/>
  <c r="FZ107" i="99" l="1"/>
  <c r="FZ95" i="99"/>
  <c r="GF104" i="99"/>
  <c r="Q14" i="128"/>
  <c r="R9" i="128"/>
  <c r="GA88" i="99"/>
  <c r="GA90" i="99" s="1"/>
  <c r="P8" i="128"/>
  <c r="O11" i="128"/>
  <c r="GG103" i="99"/>
  <c r="GG110" i="99"/>
  <c r="GG102" i="99"/>
  <c r="GG101" i="99"/>
  <c r="R14" i="128" l="1"/>
  <c r="S9" i="128"/>
  <c r="P11" i="128"/>
  <c r="Q8" i="128"/>
  <c r="GH81" i="99"/>
  <c r="GH87" i="99" s="1"/>
  <c r="GH103" i="99"/>
  <c r="GH110" i="99"/>
  <c r="GH101" i="99"/>
  <c r="GH102" i="99"/>
  <c r="GA105" i="99"/>
  <c r="GA91" i="99"/>
  <c r="GA106" i="99" s="1"/>
  <c r="GH80" i="99" l="1"/>
  <c r="GA92" i="99"/>
  <c r="GA94" i="99" s="1"/>
  <c r="GA95" i="99" s="1"/>
  <c r="Q11" i="128"/>
  <c r="R8" i="128"/>
  <c r="T9" i="128"/>
  <c r="S14" i="128"/>
  <c r="GI87" i="99"/>
  <c r="GI103" i="99"/>
  <c r="GI110" i="99"/>
  <c r="GI101" i="99"/>
  <c r="GI102" i="99"/>
  <c r="GH104" i="99"/>
  <c r="GB98" i="99" l="1"/>
  <c r="GB90" i="99" s="1"/>
  <c r="GA107" i="99"/>
  <c r="T14" i="128"/>
  <c r="U9" i="128"/>
  <c r="S8" i="128"/>
  <c r="R11" i="128"/>
  <c r="GI104" i="99"/>
  <c r="U14" i="128" l="1"/>
  <c r="V9" i="128"/>
  <c r="T8" i="128"/>
  <c r="S11" i="128"/>
  <c r="GB91" i="99"/>
  <c r="GB106" i="99" s="1"/>
  <c r="GB105" i="99"/>
  <c r="GB92" i="99" l="1"/>
  <c r="GB94" i="99" s="1"/>
  <c r="T11" i="128"/>
  <c r="U8" i="128"/>
  <c r="V14" i="128"/>
  <c r="W9" i="128"/>
  <c r="GC98" i="99" l="1"/>
  <c r="GC90" i="99" s="1"/>
  <c r="GB107" i="99"/>
  <c r="GB95" i="99"/>
  <c r="X9" i="128"/>
  <c r="W14" i="128"/>
  <c r="U11" i="128"/>
  <c r="V8" i="128"/>
  <c r="X14" i="128" l="1"/>
  <c r="Y9" i="128"/>
  <c r="W8" i="128"/>
  <c r="V11" i="128"/>
  <c r="GC91" i="99"/>
  <c r="GC106" i="99" s="1"/>
  <c r="GC105" i="99"/>
  <c r="GC92" i="99" l="1"/>
  <c r="GC94" i="99" s="1"/>
  <c r="X8" i="128"/>
  <c r="W11" i="128"/>
  <c r="Y14" i="128"/>
  <c r="Z9" i="128"/>
  <c r="Z14" i="128" s="1"/>
  <c r="GD98" i="99" l="1"/>
  <c r="GD90" i="99" s="1"/>
  <c r="GC107" i="99"/>
  <c r="GC95" i="99"/>
  <c r="X11" i="128"/>
  <c r="Y8" i="128"/>
  <c r="Y11" i="128" l="1"/>
  <c r="Z8" i="128"/>
  <c r="Z11" i="128" s="1"/>
  <c r="GD91" i="99"/>
  <c r="GD106" i="99" s="1"/>
  <c r="GD105" i="99"/>
  <c r="GD92" i="99" l="1"/>
  <c r="GD94" i="99" s="1"/>
  <c r="GD107" i="99" l="1"/>
  <c r="GE98" i="99"/>
  <c r="GE90" i="99" s="1"/>
  <c r="GE105" i="99" l="1"/>
  <c r="GE91" i="99"/>
  <c r="GE106" i="99" s="1"/>
  <c r="GE92" i="99" l="1"/>
  <c r="GE94" i="99" s="1"/>
  <c r="GE107" i="99" l="1"/>
  <c r="GF98" i="99"/>
  <c r="GF90" i="99" l="1"/>
  <c r="GF91" i="99" l="1"/>
  <c r="GF106" i="99" s="1"/>
  <c r="GF105" i="99"/>
  <c r="GF92" i="99" l="1"/>
  <c r="GF94" i="99" s="1"/>
  <c r="GF107" i="99" s="1"/>
  <c r="GG98" i="99" l="1"/>
  <c r="GI90" i="99" l="1"/>
  <c r="GI105" i="99" l="1"/>
  <c r="GI106" i="99"/>
  <c r="GI92" i="99"/>
  <c r="GI94" i="99" s="1"/>
  <c r="GI107" i="99" s="1"/>
  <c r="GM94" i="99" l="1"/>
  <c r="GN94" i="99" l="1"/>
  <c r="GO94" i="99" s="1"/>
  <c r="GP94" i="99" s="1"/>
  <c r="GQ94" i="99" s="1"/>
  <c r="GR94" i="99" s="1"/>
  <c r="GS94" i="99" s="1"/>
  <c r="GT94" i="99" s="1"/>
  <c r="GU94" i="99" s="1"/>
  <c r="GV94" i="99" s="1"/>
  <c r="GW94" i="99" s="1"/>
  <c r="GX94" i="99" s="1"/>
  <c r="GY94" i="99" s="1"/>
  <c r="GZ94" i="99" s="1"/>
  <c r="HA94" i="99" s="1"/>
  <c r="HB94" i="99" s="1"/>
  <c r="HC94" i="99" s="1"/>
  <c r="HD94" i="99" s="1"/>
  <c r="HE94" i="99" s="1"/>
  <c r="HF94" i="99" s="1"/>
  <c r="HG94" i="99" s="1"/>
  <c r="HH94" i="99" s="1"/>
  <c r="HI94" i="99" s="1"/>
  <c r="HJ94" i="99" s="1"/>
  <c r="HK94" i="99" s="1"/>
  <c r="HL94" i="99" s="1"/>
  <c r="HM94" i="99" s="1"/>
  <c r="HN94" i="99" s="1"/>
  <c r="HO94" i="99" s="1"/>
  <c r="HP94" i="99" s="1"/>
  <c r="HQ94" i="99" s="1"/>
  <c r="HR94" i="99" s="1"/>
  <c r="HS94" i="99" s="1"/>
  <c r="HT94" i="99" s="1"/>
  <c r="HU94" i="99" s="1"/>
  <c r="HV94" i="99" s="1"/>
  <c r="HW94" i="99" s="1"/>
  <c r="HX94" i="99" s="1"/>
  <c r="HY94" i="99" s="1"/>
  <c r="HZ94" i="99" s="1"/>
  <c r="IA94" i="99" s="1"/>
  <c r="IB94" i="99" s="1"/>
  <c r="IC94" i="99" s="1"/>
  <c r="ID94" i="99" s="1"/>
  <c r="IE94" i="99" s="1"/>
  <c r="IF94" i="99" s="1"/>
  <c r="IG94" i="99" s="1"/>
  <c r="IH94" i="99" s="1"/>
  <c r="II94" i="99" s="1"/>
  <c r="IJ94" i="99" s="1"/>
  <c r="IK94" i="99" s="1"/>
  <c r="IL94" i="99" s="1"/>
  <c r="IM94" i="99" s="1"/>
  <c r="IN94" i="99" s="1"/>
  <c r="IO94" i="99" s="1"/>
  <c r="IP94" i="99" s="1"/>
  <c r="IQ94" i="99" s="1"/>
  <c r="IR94" i="99" s="1"/>
  <c r="IS94" i="99" s="1"/>
  <c r="IT94" i="99" s="1"/>
  <c r="IU94" i="99" s="1"/>
  <c r="IV94" i="99" s="1"/>
  <c r="IW94" i="99" s="1"/>
  <c r="IX94" i="99" s="1"/>
  <c r="IY94" i="99" s="1"/>
  <c r="IZ94" i="99" s="1"/>
  <c r="JA94" i="99" s="1"/>
  <c r="JB94" i="99" s="1"/>
  <c r="JC94" i="99" s="1"/>
  <c r="JD94" i="99" s="1"/>
  <c r="JE94" i="99" s="1"/>
  <c r="JF94" i="99" s="1"/>
  <c r="JG94" i="99" s="1"/>
  <c r="JH94" i="99" s="1"/>
  <c r="GM182" i="99"/>
  <c r="GG81" i="99"/>
  <c r="GG87" i="99" s="1"/>
  <c r="GG104" i="99" l="1"/>
  <c r="GG90" i="99"/>
  <c r="GG91" i="99" l="1"/>
  <c r="GG106" i="99" s="1"/>
  <c r="GG105" i="99"/>
  <c r="GG92" i="99" l="1"/>
  <c r="GG94" i="99" s="1"/>
  <c r="GG107" i="99" s="1"/>
  <c r="GH98" i="99" l="1"/>
  <c r="GH88" i="99" s="1"/>
  <c r="GH90" i="99" s="1"/>
  <c r="GH91" i="99" s="1"/>
  <c r="GH106" i="99" s="1"/>
  <c r="GH105" i="99" l="1"/>
  <c r="GH92" i="99"/>
  <c r="GH94" i="99" s="1"/>
  <c r="GH107" i="99" l="1"/>
  <c r="GX103" i="99"/>
  <c r="GX104" i="99" s="1"/>
  <c r="GX105" i="99" s="1"/>
  <c r="FE28" i="99" l="1"/>
  <c r="FE78" i="99" s="1"/>
  <c r="EO3" i="99" l="1"/>
  <c r="EP3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MSMB</author>
  </authors>
  <commentList>
    <comment ref="J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96.677</t>
        </r>
      </text>
    </comment>
    <comment ref="K1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5.49%</t>
        </r>
      </text>
    </comment>
    <comment ref="R1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4.67</t>
        </r>
      </text>
    </comment>
    <comment ref="J1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119.4888</t>
        </r>
      </text>
    </comment>
    <comment ref="K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5.62%</t>
        </r>
      </text>
    </comment>
    <comment ref="R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4.67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 - Andre</author>
    <author>tc={5A379D20-2225-432D-80DA-554F61C4D3E0}</author>
    <author>tc={66E92422-25F4-4D79-9581-4243C33214D4}</author>
    <author>tc={FD684FC0-139D-4FC3-95C4-BDB00926A090}</author>
    <author>tc={34BD75D9-43F9-4052-93FD-CDA00CA27DFC}</author>
    <author>Martin</author>
    <author>tc={4154E468-E364-4CD1-B963-634FCEA25793}</author>
    <author>Marek Biestek</author>
    <author>Prudential Financial</author>
    <author>tc={4F67C440-F225-48E5-8977-D72DD0D3FDD6}</author>
    <author>tc={95AECF45-9424-4CBD-A7B9-AD71B5560401}</author>
    <author>tc={272FA3F7-CAFF-44EC-A074-3EE993509BB1}</author>
    <author>tc={1AE5E624-05F0-4484-8E6C-2DE7785F691C}</author>
    <author>tc={D28A52D7-583E-43E7-AE3F-CAE17BCC2B64}</author>
    <author>MSMB</author>
  </authors>
  <commentList>
    <comment ref="FS2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Post-IFRS
</t>
        </r>
      </text>
    </comment>
    <comment ref="FX2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March 26 2009: Genentech acquisition closes</t>
        </r>
      </text>
    </comment>
    <comment ref="EU3" authorId="2" shapeId="0" xr:uid="{5A379D20-2225-432D-80DA-554F61C4D3E0}">
      <text>
        <t>[Threaded comment]
Your version of Excel allows you to read this threaded comment; however, any edits to it will get removed if the file is opened in a newer version of Excel. Learn more: https://go.microsoft.com/fwlink/?linkid=870924
Comment:
    10893 actual</t>
      </text>
    </comment>
    <comment ref="GL3" authorId="3" shapeId="0" xr:uid="{66E92422-25F4-4D79-9581-4243C33214D4}">
      <text>
        <t>[Threaded comment]
Your version of Excel allows you to read this threaded comment; however, any edits to it will get removed if the file is opened in a newer version of Excel. Learn more: https://go.microsoft.com/fwlink/?linkid=870924
Comment:
    44265</t>
      </text>
    </comment>
    <comment ref="CJ4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Former DNA-only 2399</t>
        </r>
      </text>
    </comment>
    <comment ref="GL6" authorId="4" shapeId="0" xr:uid="{FD684FC0-139D-4FC3-95C4-BDB00926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14451</t>
      </text>
    </comment>
    <comment ref="CJ8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Was 5,498. Reclassified some from "Europe" (Eg Roche USA) to "US" (Eg former DNA)</t>
        </r>
      </text>
    </comment>
    <comment ref="FX16" authorId="1" shapeId="0" xr:uid="{00000000-0006-0000-0300-00001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146m</t>
        </r>
      </text>
    </comment>
    <comment ref="BI21" authorId="5" shapeId="0" xr:uid="{34BD75D9-43F9-4052-93FD-CDA00CA27DFC}">
      <text>
        <t>[Threaded comment]
Your version of Excel allows you to read this threaded comment; however, any edits to it will get removed if the file is opened in a newer version of Excel. Learn more: https://go.microsoft.com/fwlink/?linkid=870924
Comment:
    1H01: 740m</t>
      </text>
    </comment>
    <comment ref="CP21" authorId="6" shapeId="0" xr:uid="{00000000-0006-0000-0300-00000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PML problems with RA indication. FDA refuses label expansion for RA.</t>
        </r>
      </text>
    </comment>
    <comment ref="CQ21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0% LC growth</t>
        </r>
      </text>
    </comment>
    <comment ref="CR21" authorId="1" shapeId="0" xr:uid="{00000000-0006-0000-0300-00000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13% LC growth</t>
        </r>
      </text>
    </comment>
    <comment ref="CU21" authorId="6" shapeId="0" xr:uid="{00000000-0006-0000-03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10% CER</t>
        </r>
      </text>
    </comment>
    <comment ref="CV21" authorId="6" shapeId="0" xr:uid="{00000000-0006-0000-03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7% CER</t>
        </r>
      </text>
    </comment>
    <comment ref="CW21" authorId="6" shapeId="0" xr:uid="{00000000-0006-0000-0300-000012000000}">
      <text>
        <r>
          <rPr>
            <sz val="9"/>
            <color indexed="81"/>
            <rFont val="Tahoma"/>
            <family val="2"/>
          </rPr>
          <t xml:space="preserve">6% CER
1H +6% lc </t>
        </r>
      </text>
    </comment>
    <comment ref="CX21" authorId="6" shapeId="0" xr:uid="{00000000-0006-0000-0300-00001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7% CER</t>
        </r>
      </text>
    </comment>
    <comment ref="CY21" authorId="6" shapeId="0" xr:uid="{00000000-0006-0000-03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10% CER</t>
        </r>
      </text>
    </comment>
    <comment ref="FN21" authorId="7" shapeId="0" xr:uid="{4154E468-E364-4CD1-B963-634FCEA25793}">
      <text>
        <t>[Threaded comment]
Your version of Excel allows you to read this threaded comment; however, any edits to it will get removed if the file is opened in a newer version of Excel. Learn more: https://go.microsoft.com/fwlink/?linkid=870924
Comment:
    Roche markets only</t>
      </text>
    </comment>
    <comment ref="FW21" authorId="0" shapeId="0" xr:uid="{00000000-0006-0000-0300-00001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800m in RA. Increasing maintenance use.</t>
        </r>
      </text>
    </comment>
    <comment ref="CR23" authorId="1" shapeId="0" xr:uid="{00000000-0006-0000-0300-00001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11% LC growth</t>
        </r>
      </text>
    </comment>
    <comment ref="CV23" authorId="6" shapeId="0" xr:uid="{00000000-0006-0000-03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8% lc</t>
        </r>
      </text>
    </comment>
    <comment ref="CW23" authorId="6" shapeId="0" xr:uid="{00000000-0006-0000-0300-00001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+10% 1H LC</t>
        </r>
      </text>
    </comment>
    <comment ref="CP24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21% LC growth</t>
        </r>
      </text>
    </comment>
    <comment ref="CQ24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9% LC</t>
        </r>
      </text>
    </comment>
    <comment ref="CR24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18% LC</t>
        </r>
      </text>
    </comment>
    <comment ref="CT24" authorId="6" shapeId="0" xr:uid="{00000000-0006-0000-03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Launched in China</t>
        </r>
      </text>
    </comment>
    <comment ref="CV24" authorId="6" shapeId="0" xr:uid="{00000000-0006-0000-0300-00000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-6% lc</t>
        </r>
      </text>
    </comment>
    <comment ref="CW24" authorId="6" shapeId="0" xr:uid="{00000000-0006-0000-03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-8% 1H LC</t>
        </r>
      </text>
    </comment>
    <comment ref="FY24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Company notes CHF8-9m with mCRC, mBC, mNSCLC, RCC. GBM, Ovarian, Prostate, Gastric all add 500m-2bn.
Approval in China in 2010.</t>
        </r>
      </text>
    </comment>
    <comment ref="GA24" authorId="6" shapeId="0" xr:uid="{00000000-0006-0000-0300-00000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9600 consensus 11/09</t>
        </r>
      </text>
    </comment>
    <comment ref="CP26" authorId="6" shapeId="0" xr:uid="{00000000-0006-0000-0300-00001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Medicare reverses Avastin payment - negative for Lucentis</t>
        </r>
      </text>
    </comment>
    <comment ref="CO29" authorId="8" shapeId="0" xr:uid="{00000000-0006-0000-0300-00001E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US patent expiry</t>
        </r>
      </text>
    </comment>
    <comment ref="FX44" authorId="1" shapeId="0" xr:uid="{00000000-0006-0000-0300-00001A000000}">
      <text>
        <r>
          <rPr>
            <sz val="9"/>
            <color indexed="81"/>
            <rFont val="Tahoma"/>
            <family val="2"/>
          </rPr>
          <t>CERA 179</t>
        </r>
      </text>
    </comment>
    <comment ref="FX50" authorId="8" shapeId="0" xr:uid="{00000000-0006-0000-0300-00001C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2.7bn guidance</t>
        </r>
      </text>
    </comment>
    <comment ref="FY50" authorId="1" shapeId="0" xr:uid="{00000000-0006-0000-0300-00001D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Q409: 2010 guidance of 1.2bn</t>
        </r>
      </text>
    </comment>
    <comment ref="FX51" authorId="8" shapeId="0" xr:uid="{00000000-0006-0000-0300-00001F000000}">
      <text>
        <r>
          <rPr>
            <sz val="8"/>
            <color indexed="81"/>
            <rFont val="Tahoma"/>
            <family val="2"/>
          </rPr>
          <t>Ranbaxy wins in court, judge finds 6083953 crystal patent is valid but not infringed.</t>
        </r>
      </text>
    </comment>
    <comment ref="FW77" authorId="0" shapeId="0" xr:uid="{00000000-0006-0000-0300-00002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Other Pharma 5203</t>
        </r>
      </text>
    </comment>
    <comment ref="CQ78" authorId="1" shapeId="0" xr:uid="{00000000-0006-0000-0300-000021000000}">
      <text>
        <r>
          <rPr>
            <sz val="9"/>
            <color indexed="81"/>
            <rFont val="Tahoma"/>
            <family val="2"/>
          </rPr>
          <t>Major inventory adjustment</t>
        </r>
      </text>
    </comment>
    <comment ref="CR78" authorId="1" shapeId="0" xr:uid="{00000000-0006-0000-0300-000022000000}">
      <text>
        <r>
          <rPr>
            <sz val="9"/>
            <color indexed="81"/>
            <rFont val="Tahoma"/>
            <family val="2"/>
          </rPr>
          <t>Q409: 2010 started with strong sales growth</t>
        </r>
      </text>
    </comment>
    <comment ref="FS78" authorId="9" shapeId="0" xr:uid="{00000000-0006-0000-0300-000023000000}">
      <text>
        <r>
          <rPr>
            <b/>
            <sz val="12"/>
            <color indexed="81"/>
            <rFont val="Tahoma"/>
            <family val="2"/>
          </rPr>
          <t>Prudential Financial:</t>
        </r>
        <r>
          <rPr>
            <sz val="12"/>
            <color indexed="81"/>
            <rFont val="Tahoma"/>
            <family val="2"/>
          </rPr>
          <t xml:space="preserve">
-$888M for OTC</t>
        </r>
      </text>
    </comment>
    <comment ref="FW78" authorId="0" shapeId="0" xr:uid="{00000000-0006-0000-0300-00002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HSD y/y confirmed in Q2 (ex-Tamiflu)
HSD y/y confirmed in Q1</t>
        </r>
      </text>
    </comment>
    <comment ref="FX78" authorId="8" shapeId="0" xr:uid="{00000000-0006-0000-0300-000025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HSD pharmaceutical growth
49,051 final</t>
        </r>
      </text>
    </comment>
    <comment ref="FY78" authorId="6" shapeId="0" xr:uid="{00000000-0006-0000-0300-00002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47,473 final</t>
        </r>
      </text>
    </comment>
    <comment ref="FZ78" authorId="6" shapeId="0" xr:uid="{00000000-0006-0000-0300-00002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42531 official</t>
        </r>
      </text>
    </comment>
    <comment ref="GA78" authorId="10" shapeId="0" xr:uid="{4F67C440-F225-48E5-8977-D72DD0D3FDD6}">
      <text>
        <t>[Threaded comment]
Your version of Excel allows you to read this threaded comment; however, any edits to it will get removed if the file is opened in a newer version of Excel. Learn more: https://go.microsoft.com/fwlink/?linkid=870924
Comment:
    45499</t>
      </text>
    </comment>
    <comment ref="GD78" authorId="11" shapeId="0" xr:uid="{95AECF45-9424-4CBD-A7B9-AD71B5560401}">
      <text>
        <t>[Threaded comment]
Your version of Excel allows you to read this threaded comment; however, any edits to it will get removed if the file is opened in a newer version of Excel. Learn more: https://go.microsoft.com/fwlink/?linkid=870924
Comment:
    48145 IFRS</t>
      </text>
    </comment>
    <comment ref="GE78" authorId="12" shapeId="0" xr:uid="{272FA3F7-CAFF-44EC-A074-3EE993509BB1}">
      <text>
        <t>[Threaded comment]
Your version of Excel allows you to read this threaded comment; however, any edits to it will get removed if the file is opened in a newer version of Excel. Learn more: https://go.microsoft.com/fwlink/?linkid=870924
Comment:
    50576 IFRS</t>
      </text>
    </comment>
    <comment ref="GG78" authorId="13" shapeId="0" xr:uid="{1AE5E624-05F0-4484-8E6C-2DE7785F691C}">
      <text>
        <t>[Threaded comment]
Your version of Excel allows you to read this threaded comment; however, any edits to it will get removed if the file is opened in a newer version of Excel. Learn more: https://go.microsoft.com/fwlink/?linkid=870924
Comment:
    59497 IFRS</t>
      </text>
    </comment>
    <comment ref="GH78" authorId="14" shapeId="0" xr:uid="{D28A52D7-583E-43E7-AE3F-CAE17BCC2B64}">
      <text>
        <t>[Threaded comment]
Your version of Excel allows you to read this threaded comment; however, any edits to it will get removed if the file is opened in a newer version of Excel. Learn more: https://go.microsoft.com/fwlink/?linkid=870924
Comment:
    63751 IFRS</t>
      </text>
    </comment>
    <comment ref="FS80" authorId="8" shapeId="0" xr:uid="{00000000-0006-0000-0300-000028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6556 pre-IFRS</t>
        </r>
      </text>
    </comment>
    <comment ref="FS82" authorId="8" shapeId="0" xr:uid="{00000000-0006-0000-0300-000029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8275 pre-IFRS</t>
        </r>
      </text>
    </comment>
    <comment ref="FS83" authorId="8" shapeId="0" xr:uid="{00000000-0006-0000-0300-00002A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1398 G&amp;A pre-IFRS</t>
        </r>
      </text>
    </comment>
    <comment ref="FS84" authorId="8" shapeId="0" xr:uid="{00000000-0006-0000-0300-00002B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5053 R&amp;D pre-IFRS</t>
        </r>
      </text>
    </comment>
    <comment ref="FY84" authorId="1" shapeId="0" xr:uid="{00000000-0006-0000-0300-00002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Decline slightly y/y</t>
        </r>
      </text>
    </comment>
    <comment ref="FS88" authorId="8" shapeId="0" xr:uid="{00000000-0006-0000-0300-00002D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237 pre-IFRS</t>
        </r>
      </text>
    </comment>
    <comment ref="FS89" authorId="8" shapeId="0" xr:uid="{00000000-0006-0000-0300-00002E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-576 pre-IFRS</t>
        </r>
      </text>
    </comment>
    <comment ref="I91" authorId="9" shapeId="0" xr:uid="{00000000-0006-0000-0300-00002F000000}">
      <text>
        <r>
          <rPr>
            <sz val="10"/>
            <color indexed="81"/>
            <rFont val="Tahoma"/>
            <family val="2"/>
          </rPr>
          <t>072005 ID:
Tax effect of 146M one time legal charge was 55M</t>
        </r>
      </text>
    </comment>
    <comment ref="FR91" authorId="9" shapeId="0" xr:uid="{00000000-0006-0000-0300-000030000000}">
      <text>
        <r>
          <rPr>
            <b/>
            <sz val="8"/>
            <color indexed="81"/>
            <rFont val="Tahoma"/>
            <family val="2"/>
          </rPr>
          <t>Prudential Financial:</t>
        </r>
        <r>
          <rPr>
            <sz val="8"/>
            <color indexed="81"/>
            <rFont val="Tahoma"/>
            <family val="2"/>
          </rPr>
          <t xml:space="preserve">
$87M for major legal case </t>
        </r>
      </text>
    </comment>
    <comment ref="FS91" authorId="9" shapeId="0" xr:uid="{00000000-0006-0000-0300-000031000000}">
      <text>
        <r>
          <rPr>
            <b/>
            <sz val="10"/>
            <color indexed="81"/>
            <rFont val="Tahoma"/>
            <family val="2"/>
          </rPr>
          <t>Prudential Financial:</t>
        </r>
        <r>
          <rPr>
            <sz val="10"/>
            <color indexed="81"/>
            <rFont val="Tahoma"/>
            <family val="2"/>
          </rPr>
          <t xml:space="preserve">
see p 143 of AR for exceptional items plus 3M for tax for 46M impairment excluded
-1645 pre-IFRS</t>
        </r>
      </text>
    </comment>
    <comment ref="FS93" authorId="9" shapeId="0" xr:uid="{00000000-0006-0000-0300-000032000000}">
      <text>
        <r>
          <rPr>
            <b/>
            <sz val="11"/>
            <color indexed="81"/>
            <rFont val="Tahoma"/>
            <family val="2"/>
          </rPr>
          <t>Prudential Financial:</t>
        </r>
        <r>
          <rPr>
            <sz val="11"/>
            <color indexed="81"/>
            <rFont val="Tahoma"/>
            <family val="2"/>
          </rPr>
          <t xml:space="preserve">
see p 143 of AR 
-580 pre-IFRS</t>
        </r>
      </text>
    </comment>
    <comment ref="FV95" authorId="1" shapeId="0" xr:uid="{00000000-0006-0000-0300-00003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11.85 formal #</t>
        </r>
      </text>
    </comment>
    <comment ref="FW95" authorId="0" shapeId="0" xr:uid="{00000000-0006-0000-0300-00003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In-line Y/Y confirmed in Q1
11.04 formal #.</t>
        </r>
      </text>
    </comment>
    <comment ref="FX95" authorId="8" shapeId="0" xr:uid="{00000000-0006-0000-0300-000035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Q309: DD y/y incr.
12.19 formal #</t>
        </r>
      </text>
    </comment>
    <comment ref="FY95" authorId="8" shapeId="0" xr:uid="{00000000-0006-0000-0300-000036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Q210: DD y/y increase
DD y/y increase</t>
        </r>
      </text>
    </comment>
    <comment ref="H96" authorId="9" shapeId="0" xr:uid="{00000000-0006-0000-0300-000037000000}">
      <text>
        <r>
          <rPr>
            <b/>
            <sz val="8"/>
            <color indexed="81"/>
            <rFont val="Tahoma"/>
            <family val="2"/>
          </rPr>
          <t>Prudential Financial:</t>
        </r>
        <r>
          <rPr>
            <sz val="8"/>
            <color indexed="81"/>
            <rFont val="Tahoma"/>
            <family val="2"/>
          </rPr>
          <t xml:space="preserve">
estimate</t>
        </r>
      </text>
    </comment>
    <comment ref="FS96" authorId="9" shapeId="0" xr:uid="{00000000-0006-0000-0300-000038000000}">
      <text>
        <r>
          <rPr>
            <b/>
            <sz val="12"/>
            <color indexed="81"/>
            <rFont val="Tahoma"/>
            <family val="2"/>
          </rPr>
          <t>Prudential Financial:</t>
        </r>
        <r>
          <rPr>
            <sz val="12"/>
            <color indexed="81"/>
            <rFont val="Tahoma"/>
            <family val="2"/>
          </rPr>
          <t xml:space="preserve">
no share repurchase program</t>
        </r>
      </text>
    </comment>
    <comment ref="GD98" authorId="6" shapeId="0" xr:uid="{00000000-0006-0000-0300-000039000000}">
      <text>
        <r>
          <rPr>
            <sz val="9"/>
            <color indexed="81"/>
            <rFont val="Tahoma"/>
            <family val="2"/>
          </rPr>
          <t>Q309, Q409: Guiding for positive cash position by 2015</t>
        </r>
      </text>
    </comment>
    <comment ref="FY106" authorId="1" shapeId="0" xr:uid="{00000000-0006-0000-0300-00003A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Q409: 22-24% long term</t>
        </r>
      </text>
    </comment>
    <comment ref="CN110" authorId="0" shapeId="0" xr:uid="{00000000-0006-0000-0300-00003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8% LC</t>
        </r>
      </text>
    </comment>
    <comment ref="FX110" authorId="1" shapeId="0" xr:uid="{00000000-0006-0000-0300-00003C000000}">
      <text>
        <r>
          <rPr>
            <sz val="9"/>
            <color indexed="81"/>
            <rFont val="Tahoma"/>
            <family val="2"/>
          </rPr>
          <t>up 2% ex-Tamiflu</t>
        </r>
      </text>
    </comment>
    <comment ref="CP111" authorId="8" shapeId="0" xr:uid="{00000000-0006-0000-0300-00003D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11% YTD
6% ex-Tamiflu</t>
        </r>
      </text>
    </comment>
    <comment ref="CS111" authorId="15" shapeId="0" xr:uid="{00000000-0006-0000-0300-00003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Group sales +5% in LC for 1H</t>
        </r>
      </text>
    </comment>
    <comment ref="FW111" authorId="0" shapeId="0" xr:uid="{00000000-0006-0000-0300-00003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Ex-Tamiflu 10%</t>
        </r>
      </text>
    </comment>
    <comment ref="FY111" authorId="6" shapeId="0" xr:uid="{00000000-0006-0000-0300-00004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+5% ex-Tamiflu</t>
        </r>
      </text>
    </comment>
    <comment ref="CP112" authorId="8" shapeId="0" xr:uid="{00000000-0006-0000-0300-000041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12% YTD
5% ex-Tamiflu</t>
        </r>
      </text>
    </comment>
    <comment ref="CS112" authorId="15" shapeId="0" xr:uid="{00000000-0006-0000-0300-00004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+3.7% LC for 1H</t>
        </r>
      </text>
    </comment>
    <comment ref="FW112" authorId="0" shapeId="0" xr:uid="{00000000-0006-0000-0300-00004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10% Ex-Tamiflu</t>
        </r>
      </text>
    </comment>
    <comment ref="FX112" authorId="8" shapeId="0" xr:uid="{00000000-0006-0000-0300-000044000000}">
      <text>
        <r>
          <rPr>
            <b/>
            <sz val="8"/>
            <color indexed="81"/>
            <rFont val="Tahoma"/>
            <family val="2"/>
          </rPr>
          <t>4% ex-Tamiflu</t>
        </r>
        <r>
          <rPr>
            <sz val="8"/>
            <color indexed="81"/>
            <rFont val="Tahoma"/>
            <family val="2"/>
          </rPr>
          <t xml:space="preserve">
Q3: "at least" HSD y/y
Q2: HSD y/y</t>
        </r>
      </text>
    </comment>
    <comment ref="FY112" authorId="1" shapeId="0" xr:uid="{00000000-0006-0000-0300-000045000000}">
      <text>
        <r>
          <rPr>
            <sz val="9"/>
            <color indexed="81"/>
            <rFont val="Tahoma"/>
            <family val="2"/>
          </rPr>
          <t>finished at 5% ex-Tami
Q210, Q110, Q409: 2010 MSD y/y ex-Tamiflu</t>
        </r>
      </text>
    </comment>
    <comment ref="FZ112" authorId="6" shapeId="0" xr:uid="{00000000-0006-0000-0300-00004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1H11: LSD LC ex Tami</t>
        </r>
      </text>
    </comment>
    <comment ref="CP117" authorId="8" shapeId="0" xr:uid="{00000000-0006-0000-0300-000047000000}">
      <text>
        <r>
          <rPr>
            <b/>
            <sz val="8"/>
            <color indexed="81"/>
            <rFont val="Tahoma"/>
            <family val="2"/>
          </rPr>
          <t>Marek Biestek:</t>
        </r>
        <r>
          <rPr>
            <sz val="8"/>
            <color indexed="81"/>
            <rFont val="Tahoma"/>
            <family val="2"/>
          </rPr>
          <t xml:space="preserve">
8% YTD</t>
        </r>
      </text>
    </comment>
    <comment ref="FW117" authorId="0" shapeId="0" xr:uid="{00000000-0006-0000-0300-00004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Ventana added 4%</t>
        </r>
      </text>
    </comment>
    <comment ref="FW121" authorId="0" shapeId="0" xr:uid="{00000000-0006-0000-0300-00004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Up 4% in LC</t>
        </r>
      </text>
    </comment>
    <comment ref="FY121" authorId="0" shapeId="0" xr:uid="{00000000-0006-0000-0300-00004A000000}">
      <text>
        <r>
          <rPr>
            <b/>
            <sz val="8"/>
            <color indexed="81"/>
            <rFont val="Tahoma"/>
            <family val="2"/>
          </rPr>
          <t>+2% reported
+7% LC</t>
        </r>
      </text>
    </comment>
    <comment ref="FX128" authorId="6" shapeId="0" xr:uid="{00000000-0006-0000-0300-00004B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1H09: DD Growth</t>
        </r>
      </text>
    </comment>
    <comment ref="FY128" authorId="6" shapeId="0" xr:uid="{00000000-0006-0000-0300-00004C000000}">
      <text>
        <r>
          <rPr>
            <sz val="9"/>
            <color indexed="81"/>
            <rFont val="Tahoma"/>
            <family val="2"/>
          </rPr>
          <t>+4% reported
+10% CC
Q409: DD core at CER
1H09: DD growth</t>
        </r>
      </text>
    </comment>
    <comment ref="FZ128" authorId="6" shapeId="0" xr:uid="{00000000-0006-0000-0300-00004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Core EPS +10% LC</t>
        </r>
      </text>
    </comment>
  </commentList>
</comments>
</file>

<file path=xl/sharedStrings.xml><?xml version="1.0" encoding="utf-8"?>
<sst xmlns="http://schemas.openxmlformats.org/spreadsheetml/2006/main" count="1652" uniqueCount="1103">
  <si>
    <t>Gross Profit</t>
  </si>
  <si>
    <t>R&amp;D</t>
  </si>
  <si>
    <t>Financial Income</t>
  </si>
  <si>
    <t>Financing Costs</t>
  </si>
  <si>
    <t>Minority Interests</t>
  </si>
  <si>
    <t>Income Taxes</t>
  </si>
  <si>
    <t>Profit After Taxes</t>
  </si>
  <si>
    <t>Reported Net Income</t>
  </si>
  <si>
    <t>Gross Margin</t>
  </si>
  <si>
    <t>Administration</t>
  </si>
  <si>
    <t xml:space="preserve">Profit Before Taxes </t>
  </si>
  <si>
    <t xml:space="preserve">Tax Rate </t>
  </si>
  <si>
    <t>-</t>
  </si>
  <si>
    <t>Cost of Sales</t>
  </si>
  <si>
    <t>Net Financial Income</t>
  </si>
  <si>
    <t>Profit Before Taxes</t>
  </si>
  <si>
    <t>Net Income After Exceptionals</t>
  </si>
  <si>
    <t>Reported Diluted EPS After Exceptionals</t>
  </si>
  <si>
    <t>Other</t>
  </si>
  <si>
    <t>Chugai</t>
  </si>
  <si>
    <t>Net Income</t>
  </si>
  <si>
    <t>EPS</t>
  </si>
  <si>
    <t/>
  </si>
  <si>
    <t>Avastin</t>
  </si>
  <si>
    <t>Herceptin</t>
  </si>
  <si>
    <t>Tarceva</t>
  </si>
  <si>
    <t>Activase/TNKase</t>
  </si>
  <si>
    <t>Pulmozyme</t>
  </si>
  <si>
    <t>Xolair</t>
  </si>
  <si>
    <t>Lucentis</t>
  </si>
  <si>
    <t>Neutrogin</t>
  </si>
  <si>
    <t>Xeloda</t>
  </si>
  <si>
    <t>Kytril</t>
  </si>
  <si>
    <t>Tamiflu</t>
  </si>
  <si>
    <t>Pegasys</t>
  </si>
  <si>
    <t>Copegus</t>
  </si>
  <si>
    <t>Fuzeon</t>
  </si>
  <si>
    <t>Rocephin</t>
  </si>
  <si>
    <t>Madopar</t>
  </si>
  <si>
    <t>Xenical</t>
  </si>
  <si>
    <t>CellCept</t>
  </si>
  <si>
    <t>Diagnostics</t>
  </si>
  <si>
    <t>Shares</t>
  </si>
  <si>
    <t>Name</t>
  </si>
  <si>
    <t>Indication</t>
  </si>
  <si>
    <t>Anemia</t>
  </si>
  <si>
    <t>Phase</t>
  </si>
  <si>
    <t>Mircera (CERA)</t>
  </si>
  <si>
    <t>Avastin (bevacizumab)</t>
  </si>
  <si>
    <t>Brand Name</t>
  </si>
  <si>
    <t>Mircera</t>
  </si>
  <si>
    <t>Generic Name</t>
  </si>
  <si>
    <t>C.E.R.A.</t>
  </si>
  <si>
    <t>Clinical Trials</t>
  </si>
  <si>
    <t>EDTA 2006: p3 data shows switching dialysis patients to qm dosing of CERA is possible</t>
  </si>
  <si>
    <t>Main</t>
  </si>
  <si>
    <t>SFr millions</t>
  </si>
  <si>
    <t>FY2001A</t>
  </si>
  <si>
    <t>FY2002A</t>
  </si>
  <si>
    <t>FY2003A</t>
  </si>
  <si>
    <t>FY2004A</t>
  </si>
  <si>
    <t xml:space="preserve">MabThera/ Rituxan </t>
  </si>
  <si>
    <t>Actemra</t>
  </si>
  <si>
    <t>Revenue</t>
  </si>
  <si>
    <t>Royalties</t>
  </si>
  <si>
    <t>Economics</t>
  </si>
  <si>
    <t>Mechanism</t>
  </si>
  <si>
    <t>T2D</t>
  </si>
  <si>
    <t>DPP-IV</t>
  </si>
  <si>
    <t>R1440</t>
  </si>
  <si>
    <t>Dyslipidemia</t>
  </si>
  <si>
    <t>VEGF mab</t>
  </si>
  <si>
    <t>EPO</t>
  </si>
  <si>
    <t>NKTR</t>
  </si>
  <si>
    <t>IP</t>
  </si>
  <si>
    <t>Safety</t>
  </si>
  <si>
    <t>No BP increases?</t>
  </si>
  <si>
    <t>WW rights; Japan Tobacco royalty</t>
  </si>
  <si>
    <t>R1626</t>
  </si>
  <si>
    <t>HCV</t>
  </si>
  <si>
    <t>II</t>
  </si>
  <si>
    <t>Competition</t>
  </si>
  <si>
    <t>CD20</t>
  </si>
  <si>
    <t>IL-6</t>
  </si>
  <si>
    <t>RA</t>
  </si>
  <si>
    <t>IL-6 antibody</t>
  </si>
  <si>
    <t>Influenza</t>
  </si>
  <si>
    <t>Approved</t>
  </si>
  <si>
    <t>Recruitment halted on 2/23/07.</t>
  </si>
  <si>
    <t>Phase II dose-finding study in 1L NSCLC patients with anemia</t>
  </si>
  <si>
    <t>"Imbalance" in the number of deaths across the four arms of the study.</t>
  </si>
  <si>
    <t>Investigators report all deaths are unrelated to the study drugs.</t>
  </si>
  <si>
    <t>Japan (Chugai)</t>
  </si>
  <si>
    <t>US (DNA)</t>
  </si>
  <si>
    <t>Herceptin (trastuzumab)</t>
  </si>
  <si>
    <t>Rights</t>
  </si>
  <si>
    <t>Papers</t>
  </si>
  <si>
    <t>Crystal structure of CTEP reveals a long tunnel and four bound lipid molecules - Nature Structural &amp; Molecular Biology - Qui et al 2007</t>
  </si>
  <si>
    <t>CETP inhibitor. CETP shuttles various lipids between lipoproteins, resulting in transfer of cholesteryl esters from HDL to LDL. Inhibition of CETP raises HDL.</t>
  </si>
  <si>
    <t>Low HDL is a risk factor for cardiovascular disease. Risk is 2-3% lower for each increase in 0.1mg HDL-C.</t>
  </si>
  <si>
    <t>CETP is a hydrophobic glycoprotein that is often bound to HDL in circulation. It engages in the transfer of neutral lipids among lipoprotein particles.</t>
  </si>
  <si>
    <t>CETP is capable of reverse cholesterol transport, where excess cholesterol is is removed from peripheral tissues and returned to the liver for elimination.</t>
  </si>
  <si>
    <t>PTLP is another lipid transfer protein. LBP and BPI are lipid binding proteins.</t>
  </si>
  <si>
    <t>May 18th 2007: FDA issues approvable for Mircera.</t>
  </si>
  <si>
    <t>Regulatory</t>
  </si>
  <si>
    <t>FDA has issued a draft label? To be finalized upon ADCOM review.</t>
  </si>
  <si>
    <t>Price</t>
  </si>
  <si>
    <t>MC CHF</t>
  </si>
  <si>
    <t>EV CHF</t>
  </si>
  <si>
    <t>R7128</t>
  </si>
  <si>
    <t>I</t>
  </si>
  <si>
    <t>R7227</t>
  </si>
  <si>
    <t>ITMN</t>
  </si>
  <si>
    <t>Valcyte</t>
  </si>
  <si>
    <t>III</t>
  </si>
  <si>
    <t>Solid Tumors</t>
  </si>
  <si>
    <t>R1503</t>
  </si>
  <si>
    <t>p38 kinase</t>
  </si>
  <si>
    <t>R1558</t>
  </si>
  <si>
    <t>Bacteria</t>
  </si>
  <si>
    <t>August 24th 2007: EMEA approves Avastin for 1L NSCLC.</t>
  </si>
  <si>
    <t>Neutropenia</t>
  </si>
  <si>
    <t>R1295</t>
  </si>
  <si>
    <t>Multiple Sclerosis</t>
  </si>
  <si>
    <t>Autoimmune</t>
  </si>
  <si>
    <t>R3477</t>
  </si>
  <si>
    <t>ATLN</t>
  </si>
  <si>
    <t>R7277</t>
  </si>
  <si>
    <t>Toyama</t>
  </si>
  <si>
    <t>Activator protein-1 inhibitor</t>
  </si>
  <si>
    <t>PPAR co-agonist</t>
  </si>
  <si>
    <t>Q106</t>
  </si>
  <si>
    <t>Q306</t>
  </si>
  <si>
    <t>Q406</t>
  </si>
  <si>
    <t>Q107</t>
  </si>
  <si>
    <t>Q207</t>
  </si>
  <si>
    <t>Q307</t>
  </si>
  <si>
    <t>Q407</t>
  </si>
  <si>
    <t>Rituxan</t>
  </si>
  <si>
    <t>NeoRecormon/Epogin</t>
  </si>
  <si>
    <t>Bonviva/Boniva</t>
  </si>
  <si>
    <t>Valcyte/Cymeve</t>
  </si>
  <si>
    <t>Nutropin</t>
  </si>
  <si>
    <t>1H06</t>
  </si>
  <si>
    <t>2H06</t>
  </si>
  <si>
    <t>1H07</t>
  </si>
  <si>
    <t>mBC</t>
  </si>
  <si>
    <t>mPC</t>
  </si>
  <si>
    <t>pertuzumab</t>
  </si>
  <si>
    <t>Operating Profit</t>
  </si>
  <si>
    <t>Q405</t>
  </si>
  <si>
    <t>Q305</t>
  </si>
  <si>
    <t>Q205</t>
  </si>
  <si>
    <t>Q105</t>
  </si>
  <si>
    <t>Q404</t>
  </si>
  <si>
    <t>Q304</t>
  </si>
  <si>
    <t>Q204</t>
  </si>
  <si>
    <t>Q104</t>
  </si>
  <si>
    <t>Valcyte/Cymevene</t>
  </si>
  <si>
    <t>2H07</t>
  </si>
  <si>
    <t>Q206</t>
  </si>
  <si>
    <t>Antibody</t>
  </si>
  <si>
    <t>Europe (Roche)</t>
  </si>
  <si>
    <t>HER2</t>
  </si>
  <si>
    <t>EGFr</t>
  </si>
  <si>
    <t>MabThera in Europe, Rituxan in US.</t>
  </si>
  <si>
    <t>rituximab</t>
  </si>
  <si>
    <t>SERENE Phase III MTX-refractory but TNF-naïve.</t>
  </si>
  <si>
    <t>Market</t>
  </si>
  <si>
    <t>21 million people with RA WW, 3m in Europe.</t>
  </si>
  <si>
    <t>n=509, 500mg, 1000mg or placebo, IV day 1/15 plus MTX.</t>
  </si>
  <si>
    <t>FCR vs FC n=817</t>
  </si>
  <si>
    <t>MabThera/Rituxan (rituximab)</t>
  </si>
  <si>
    <t>1H08</t>
  </si>
  <si>
    <t>2H08</t>
  </si>
  <si>
    <t>Roche requested USDC of Mass allow launch and 20% royalty to Amgen. Amgen refuses.</t>
  </si>
  <si>
    <t>2H05</t>
  </si>
  <si>
    <t>1H05</t>
  </si>
  <si>
    <t>2H04</t>
  </si>
  <si>
    <t>1H04</t>
  </si>
  <si>
    <t>2H03</t>
  </si>
  <si>
    <t>1H03</t>
  </si>
  <si>
    <t>Cash CHF</t>
  </si>
  <si>
    <t>Unallocated Non-Cash Expenses</t>
  </si>
  <si>
    <t>Revenue y/y</t>
  </si>
  <si>
    <t>G&amp;A</t>
  </si>
  <si>
    <t>M&amp;D</t>
  </si>
  <si>
    <t>M&amp;D y/y</t>
  </si>
  <si>
    <t>G&amp;A y/y</t>
  </si>
  <si>
    <t>R&amp;D y/y</t>
  </si>
  <si>
    <t>bevacizumab</t>
  </si>
  <si>
    <t>Timeline</t>
  </si>
  <si>
    <t>March 2007: Europe approval of Avastin in mBC.</t>
  </si>
  <si>
    <t>February 2008: US approval of Avastin in mBC.</t>
  </si>
  <si>
    <t>Income from Assoc. Companies</t>
  </si>
  <si>
    <t>Q108</t>
  </si>
  <si>
    <t>Q208</t>
  </si>
  <si>
    <t>Q308</t>
  </si>
  <si>
    <t>Q408</t>
  </si>
  <si>
    <t>taspoglutide</t>
  </si>
  <si>
    <t>Ipsen</t>
  </si>
  <si>
    <t>exenatide LAR</t>
  </si>
  <si>
    <t>29 gauge vs 23 gauge for exenatide LAR and less viscous solution than LAR. Once-weekly dosing.</t>
  </si>
  <si>
    <t>Human GLP-1.</t>
  </si>
  <si>
    <t>Phase II - ADA 2008 presentation</t>
  </si>
  <si>
    <t>59%, 79%, 81% response rate across qw doses. 44% and 63% across biw dosing. 17% for placebo.</t>
  </si>
  <si>
    <t>Herpes</t>
  </si>
  <si>
    <t>Transplantation</t>
  </si>
  <si>
    <t>Genentech/Biogen has US rights.</t>
  </si>
  <si>
    <t>Liver enzyme elevation, other toxicities.</t>
  </si>
  <si>
    <t>tocilizumab</t>
  </si>
  <si>
    <t>Protein</t>
  </si>
  <si>
    <t>Phase III AMBITION - Presented at EULAR 2008</t>
  </si>
  <si>
    <t>Actemra vs MTX showed superiority for Actemra at 24 weeks.</t>
  </si>
  <si>
    <t xml:space="preserve">  ACR20%: 70% vs 53%.</t>
  </si>
  <si>
    <t>TNF-alpha refractory patients.</t>
  </si>
  <si>
    <t>30% in Actemra+MTX achieved DAS remission vs 2% for MTX alone.</t>
  </si>
  <si>
    <t>Phase III RADIATE - Presented at EULAR 2008 - Published in Annals of Rheumatic Disease 2008 n=673</t>
  </si>
  <si>
    <t>Phase III Rituxan vs TNF-inhibitor in 2L TNF-refractory patients n=300</t>
  </si>
  <si>
    <t>DAS 1.55 vs 1.03 for TNF-inhibitor.</t>
  </si>
  <si>
    <t>REFLEX</t>
  </si>
  <si>
    <t>n=306 vs placebo for 8 weeks.</t>
  </si>
  <si>
    <t>BIM-51077</t>
  </si>
  <si>
    <t>64% improvement in PFS (HR=0.61) in 15mg/kg.</t>
  </si>
  <si>
    <t>45% improvement in PFS (HR=0.69) in 7.5mg/kg.</t>
  </si>
  <si>
    <t>83%, 78% and 73% were alive in 15mg, 7.5mg and placebo.</t>
  </si>
  <si>
    <t>Phase III 1L mBC "AVADO" - Taxotere +- Avastin - ASCO 2008</t>
  </si>
  <si>
    <t>Phase III mCRC "BRITE" community-setting study</t>
  </si>
  <si>
    <t>23.5m mOS.</t>
  </si>
  <si>
    <t>22.7m mOS.</t>
  </si>
  <si>
    <t>20.4m mOS for triplet vs 20.3m mOS for quadruplet.</t>
  </si>
  <si>
    <t>1L mCRC, 2L mCRC, 1L mNSCLC, 1L mBC, 1L mRCC.</t>
  </si>
  <si>
    <t>Phase II Herceptin+pertuzumab open-label? in refractory Herceptin mBC patients.</t>
  </si>
  <si>
    <t>8% CR, 16% PR, 25% SD.</t>
  </si>
  <si>
    <t>Phase III 1L mBC CLEOPATRA - January 2008 initiation</t>
  </si>
  <si>
    <t>HER-2 dimerisation inhibitor</t>
  </si>
  <si>
    <t>mBC.</t>
  </si>
  <si>
    <t>Phase III GBG-26</t>
  </si>
  <si>
    <t>Showed positive results of keeping Herceptin on board post-progression.</t>
  </si>
  <si>
    <t>mCRC, Gastric Cancer</t>
  </si>
  <si>
    <t>IFN-alpha</t>
  </si>
  <si>
    <t>May 22nd 2008: Announces plan to increase Chugai stake from 50% to 60%.</t>
  </si>
  <si>
    <t>Inhibited structural damage of joints.</t>
  </si>
  <si>
    <t>April 29th 2008: Announces Rituxan fails in SLE.</t>
  </si>
  <si>
    <t>Pegasys (peginterferon alfa-2a)</t>
  </si>
  <si>
    <t>peginterferon alpha-2a</t>
  </si>
  <si>
    <t>Hepatitis C</t>
  </si>
  <si>
    <t>Phase III Investigator-Study of PEGASYS vs PEG-INTRON</t>
  </si>
  <si>
    <t>n=320 showed 69% cure rate vs 54% for PEG-INTRON.</t>
  </si>
  <si>
    <t>Phase III PROBE head-to-head "observational study"</t>
  </si>
  <si>
    <t>n=1351 showed 41% cure rate vs 34% for PEG-INTRON.</t>
  </si>
  <si>
    <t>Phase III IDEAL</t>
  </si>
  <si>
    <t>Nucleoside Polymerase Inhibitor</t>
  </si>
  <si>
    <t>NCE</t>
  </si>
  <si>
    <t>Nucleoside Polymerase</t>
  </si>
  <si>
    <t>84% were UND in g1 patients versus 65% for control group at the end of treatment.</t>
  </si>
  <si>
    <t>Phase IIa "4+44" 4 weeks of triple followed by 44 weeks of Standard of Care (Pegasys+Copegus) - EASL 2008</t>
  </si>
  <si>
    <t>Phase IIb "POLI" study - n=500</t>
  </si>
  <si>
    <t>Phase III 1L mNSCLC "AVAIL" Gem+Cis+Low-Dose Avastin vs High-Dose Avastin</t>
  </si>
  <si>
    <t>PFS met primary endpoint while OS failed.</t>
  </si>
  <si>
    <t>trastuzumab</t>
  </si>
  <si>
    <t>HER2+ breast cancer (neoadjuvant, adjuvant, metastatic)</t>
  </si>
  <si>
    <t>Phase III "NOAH" neoadjuvant study</t>
  </si>
  <si>
    <t>Phase III "TECHNO" neoadjuvant study"</t>
  </si>
  <si>
    <t>Phase III "GeparQuattro" neoadjuvant study n=1510</t>
  </si>
  <si>
    <t>Tarceva (erlotinib)</t>
  </si>
  <si>
    <t>Xeloda (capecitabine)</t>
  </si>
  <si>
    <t>CellCept (mycophenolate)</t>
  </si>
  <si>
    <t>Schizophrenia</t>
  </si>
  <si>
    <t>Protease Inhibitor</t>
  </si>
  <si>
    <t>VRUS</t>
  </si>
  <si>
    <t>R7234</t>
  </si>
  <si>
    <t>R4929</t>
  </si>
  <si>
    <t>R1663</t>
  </si>
  <si>
    <t>Anticoagulant</t>
  </si>
  <si>
    <t>R1512</t>
  </si>
  <si>
    <t>PVD</t>
  </si>
  <si>
    <t>R1540</t>
  </si>
  <si>
    <t>R547</t>
  </si>
  <si>
    <t>Emphysema</t>
  </si>
  <si>
    <t>Nuclear Receptor Agonist</t>
  </si>
  <si>
    <t>R1671</t>
  </si>
  <si>
    <t>Asthma</t>
  </si>
  <si>
    <t>Price CHF</t>
  </si>
  <si>
    <t>3.9 log mean maximum reduction shown in 200mg q8h.</t>
  </si>
  <si>
    <t>2.75% increase on 10/1/08, 2.75% increase on 4/1/08.</t>
  </si>
  <si>
    <t>Mat</t>
  </si>
  <si>
    <t>Dis</t>
  </si>
  <si>
    <t>RO5126776</t>
  </si>
  <si>
    <t>Cancer</t>
  </si>
  <si>
    <t>MEK/RAF kinase</t>
  </si>
  <si>
    <t>CLL8 Phase III 1L CLL - Met primary endpoint</t>
  </si>
  <si>
    <t>R1439</t>
  </si>
  <si>
    <t>aleglitazar</t>
  </si>
  <si>
    <t>Diabetes with recent CV event</t>
  </si>
  <si>
    <t>Phase II SYNCHRONY - Published in Lancet</t>
  </si>
  <si>
    <t>BIIB</t>
  </si>
  <si>
    <t>OSIP</t>
  </si>
  <si>
    <t>NCE?</t>
  </si>
  <si>
    <t>RoActemra</t>
  </si>
  <si>
    <t>Q109</t>
  </si>
  <si>
    <t>Q209</t>
  </si>
  <si>
    <t>Q309</t>
  </si>
  <si>
    <t>Q409</t>
  </si>
  <si>
    <t>NHL, CLL, Rheumatoid Arthritis. 1L CLL approved in Europe Q1 2009.</t>
  </si>
  <si>
    <t>4/16/2009: Reports Q109 sales.</t>
  </si>
  <si>
    <t>Severin Schwan</t>
  </si>
  <si>
    <t>Bill Burns</t>
  </si>
  <si>
    <t>Franz Humer</t>
  </si>
  <si>
    <t>Pascal Soriot</t>
  </si>
  <si>
    <t>January 2009 EU approval. April 2008 Japan approval.</t>
  </si>
  <si>
    <t>Lucentis (ranibizumab)</t>
  </si>
  <si>
    <t>AMD</t>
  </si>
  <si>
    <t>NVS</t>
  </si>
  <si>
    <t>2017?</t>
  </si>
  <si>
    <t>trastuzumab-DM1</t>
  </si>
  <si>
    <t>2L HER2+ mBC</t>
  </si>
  <si>
    <t>IMGN</t>
  </si>
  <si>
    <t>R7376 (PLX5568)</t>
  </si>
  <si>
    <t>Polycystic Kidney Disease</t>
  </si>
  <si>
    <t>Plexxicon</t>
  </si>
  <si>
    <t>EVT101</t>
  </si>
  <si>
    <t>Treatment Resistant Depression</t>
  </si>
  <si>
    <t>Malignant Melanoma</t>
  </si>
  <si>
    <t>RAF kinase inhibitor</t>
  </si>
  <si>
    <t>5/6/2009: FDA approves Avastin for GBM.</t>
  </si>
  <si>
    <t>mCRC, NSCLC, mBC, mRCC, GBM</t>
  </si>
  <si>
    <t>NHL, CLL, RA</t>
  </si>
  <si>
    <t>4/22/2009: Announces Avastin C08 study fails.</t>
  </si>
  <si>
    <t>3/26/2009: Completes acquisition of Genentech.</t>
  </si>
  <si>
    <t>3/16/2009: Acquires Innovatis.</t>
  </si>
  <si>
    <t>Erich Hunziker</t>
  </si>
  <si>
    <t>7/21/2008: Roche offers to purchase Genentech.</t>
  </si>
  <si>
    <t>1H09</t>
  </si>
  <si>
    <t>2H09</t>
  </si>
  <si>
    <t>Revenue y/y LC</t>
  </si>
  <si>
    <t>Pharma y/y LC</t>
  </si>
  <si>
    <t>Diagnostic y/y LC</t>
  </si>
  <si>
    <t>Other Pharma</t>
  </si>
  <si>
    <t>CHF</t>
  </si>
  <si>
    <t>Mabthera/Rituxan</t>
  </si>
  <si>
    <t>Small Molecule</t>
  </si>
  <si>
    <t>OX40L huMAB</t>
  </si>
  <si>
    <t>IMDPH inhibitor</t>
  </si>
  <si>
    <t>R3637 (lebrikizumab)</t>
  </si>
  <si>
    <t>Anti IL-13</t>
  </si>
  <si>
    <t>R667 (palovarotene)</t>
  </si>
  <si>
    <t>Ulcerative Colitis</t>
  </si>
  <si>
    <t>Beta-7</t>
  </si>
  <si>
    <t>Rheumatoid Arthritis</t>
  </si>
  <si>
    <t>LT-alpha</t>
  </si>
  <si>
    <t>Genmab</t>
  </si>
  <si>
    <t>R7089</t>
  </si>
  <si>
    <t>SGLT2</t>
  </si>
  <si>
    <t>RG7426</t>
  </si>
  <si>
    <t>T1D</t>
  </si>
  <si>
    <t>Alzheimer's</t>
  </si>
  <si>
    <t>MOR GR</t>
  </si>
  <si>
    <t>Amyloid-Beta</t>
  </si>
  <si>
    <t>R4996</t>
  </si>
  <si>
    <t>Alpha-7</t>
  </si>
  <si>
    <t>RG3487</t>
  </si>
  <si>
    <t>RG7010</t>
  </si>
  <si>
    <t>ALS</t>
  </si>
  <si>
    <t>IGF</t>
  </si>
  <si>
    <t>MDM2</t>
  </si>
  <si>
    <t>Thrombogenics</t>
  </si>
  <si>
    <t>Anti-PGLF</t>
  </si>
  <si>
    <t>AMGN</t>
  </si>
  <si>
    <t>BCC, Ovarian, CRC</t>
  </si>
  <si>
    <t>CRIS</t>
  </si>
  <si>
    <t>Hedgehog</t>
  </si>
  <si>
    <t>RG3635</t>
  </si>
  <si>
    <t>RG3639 (dulanermin)</t>
  </si>
  <si>
    <t>DR5?</t>
  </si>
  <si>
    <t>Gamma Secretase</t>
  </si>
  <si>
    <t>Anti-EGFL7</t>
  </si>
  <si>
    <t>PI3 kinase</t>
  </si>
  <si>
    <t>RG7423</t>
  </si>
  <si>
    <t>Liver Cancer</t>
  </si>
  <si>
    <t>Anti-glypican</t>
  </si>
  <si>
    <t>RG3484</t>
  </si>
  <si>
    <t>Cervical Neoplasia</t>
  </si>
  <si>
    <t>HPV16 vaccine</t>
  </si>
  <si>
    <t>Vaccine</t>
  </si>
  <si>
    <t>30.6 months vs 20.6 months for Rituxan retreatment vs chemo only.</t>
  </si>
  <si>
    <t>IMS</t>
  </si>
  <si>
    <t>August 2009: RIBBON-2 in 2L mBC successful for Avastin.</t>
  </si>
  <si>
    <t>Neuraminidase</t>
  </si>
  <si>
    <t>Chemotherapy</t>
  </si>
  <si>
    <t>Troponin</t>
  </si>
  <si>
    <t>Elecsys</t>
  </si>
  <si>
    <t>REACH in n=552 R/R CLL Approved in Europe 9/09</t>
  </si>
  <si>
    <t>R1579 (carmegliptin)</t>
  </si>
  <si>
    <t>HER2+ mBC, NSCLC</t>
  </si>
  <si>
    <t>Chugai Ownership??</t>
  </si>
  <si>
    <t>Glass-magnetic-particle based automated nucleic acid purification systems.</t>
  </si>
  <si>
    <t>Accu-Chek: strip-free blood glucose monitoring.</t>
  </si>
  <si>
    <t>454 Life Sciences: Genome Sequencer FLX System</t>
  </si>
  <si>
    <t>NimbleGen: SeqCap EZ</t>
  </si>
  <si>
    <t>Gerd Maass</t>
  </si>
  <si>
    <t>CEO of Roche NimbleGen</t>
  </si>
  <si>
    <t>Atherosclerosis</t>
  </si>
  <si>
    <t>BioInvent</t>
  </si>
  <si>
    <t>Phase II "BRAIN"</t>
  </si>
  <si>
    <t>Sandra Horning</t>
  </si>
  <si>
    <t>Varun Nanda</t>
  </si>
  <si>
    <t>Niko Andre</t>
  </si>
  <si>
    <t>Roche Global Medical Director for Avastin</t>
  </si>
  <si>
    <t>Roche Global Product Strategy Head of Oncology</t>
  </si>
  <si>
    <t>Stefan Frings</t>
  </si>
  <si>
    <t>Roche Global HER2 Franchise Leader</t>
  </si>
  <si>
    <t>Phase III mNSCLC "SAIL" community-setting study</t>
  </si>
  <si>
    <t>Phase III mNSCLC "ARIES" community-setting study</t>
  </si>
  <si>
    <t>Phase III mBC "ATHENA" community-setting study</t>
  </si>
  <si>
    <t>Phase III mCRC "BEAT - Bevacizumab Expanded Access Trial" community-setting study n=2000</t>
  </si>
  <si>
    <t>7.8m TTP, 14.6m OS.</t>
  </si>
  <si>
    <t>FOLFOX vs FOLFOX+Avastin with Avastin maintenance for 5.5m, Xelox+Avastin with Avastin maintenance for 5.5m.</t>
  </si>
  <si>
    <t>DFS primary.</t>
  </si>
  <si>
    <t>Phase III AVANT - adjuvant CRC n=3500 from 12/04-6/07. Data in 2010.</t>
  </si>
  <si>
    <t>2010: AVANT Phase III results.</t>
  </si>
  <si>
    <t>Phase II "BEAM" in stage IV metastatic melanoma n=214</t>
  </si>
  <si>
    <t>Carbo+Tax+-Avastin. 5.6m PFS vs 4.2 for control. 12.3m OS vs 8.6m for control.</t>
  </si>
  <si>
    <t>Phase II "BOXER" neoadjuvant mCRC</t>
  </si>
  <si>
    <t>Avastin+Capecitabine+Oxaliplatin in mCRC confined to liver. ORR 80%.</t>
  </si>
  <si>
    <t>Phase III "COIN"</t>
  </si>
  <si>
    <t>6 patients out of first 200 developed CHF.</t>
  </si>
  <si>
    <t>Phase III "BEATRICE" triple-negative mBC</t>
  </si>
  <si>
    <t>Phase III "E5103" n=3439/4950 enrollment halted due to CHF Avastin+Chemo in aBC</t>
  </si>
  <si>
    <t>Arm A: Doxorubicin+cyclophosphamide+placebo (4 cycles) followed by paclitaxel+placebo (4 cycles).</t>
  </si>
  <si>
    <t>Arm B: Replace placebos with Avastin, Arm C: ArmB+ Avastin maintenance monotherapy for 10 cycles.</t>
  </si>
  <si>
    <t>Phase III "TOGA" in HER2+ gastric cancer stopped early Q109</t>
  </si>
  <si>
    <t>16.0m vs 11.8m OS for high levels of HER2.</t>
  </si>
  <si>
    <t>Dan Zambrowski</t>
  </si>
  <si>
    <t>Richard Scheller</t>
  </si>
  <si>
    <t>Genentech Research and Early Development</t>
  </si>
  <si>
    <t>Jean-Jacques Garaud</t>
  </si>
  <si>
    <t>Daniel O'Day</t>
  </si>
  <si>
    <t>Burkhard Piper</t>
  </si>
  <si>
    <t>Roche Head of Diabetes Care</t>
  </si>
  <si>
    <t>Ian Clark</t>
  </si>
  <si>
    <t>CEO, Genentech</t>
  </si>
  <si>
    <t>CEO, Roche</t>
  </si>
  <si>
    <t>Chairman of Board, Roche</t>
  </si>
  <si>
    <t>Roche Head Pharma Partnering</t>
  </si>
  <si>
    <t>CFO, Roche</t>
  </si>
  <si>
    <t>Cobas 8000 modular analyzer. Competes with BEC. Clinical Chemistry and Immunochemistry. 270 reagents.</t>
  </si>
  <si>
    <t>7/31/2009: FDA accepts CR submission for Actemra.</t>
  </si>
  <si>
    <t>Divisions</t>
  </si>
  <si>
    <t>Professional Diagnostics</t>
  </si>
  <si>
    <t>Tissue Diagnostics</t>
  </si>
  <si>
    <t>Diabetes Care</t>
  </si>
  <si>
    <t>3/26/2009 acquired full ownership of Genentech.</t>
  </si>
  <si>
    <t>Expired</t>
  </si>
  <si>
    <t>SLE</t>
  </si>
  <si>
    <t>Anti-IFN-alpha</t>
  </si>
  <si>
    <t>Selectin</t>
  </si>
  <si>
    <t>11-beta-HSD</t>
  </si>
  <si>
    <t>Y2R peptide agonist</t>
  </si>
  <si>
    <t>Anti-Factor-D</t>
  </si>
  <si>
    <t>Failures</t>
  </si>
  <si>
    <t>Anti-NRP-1</t>
  </si>
  <si>
    <t>huMab EGFR</t>
  </si>
  <si>
    <t>2010: Phase III OC results.</t>
  </si>
  <si>
    <t>Dilatrend</t>
  </si>
  <si>
    <t>Raptiva</t>
  </si>
  <si>
    <t>Evista</t>
  </si>
  <si>
    <t>Renagel</t>
  </si>
  <si>
    <t>Molecular Diagnostics</t>
  </si>
  <si>
    <t>Applied Science</t>
  </si>
  <si>
    <t>% of Sales</t>
  </si>
  <si>
    <t>WW Y/Y Growth</t>
  </si>
  <si>
    <t>Drugs</t>
  </si>
  <si>
    <t>PML risk limits use to TNF-refractory RA, even though 3/100,000 seen with PML and 2 had SLE.</t>
  </si>
  <si>
    <t>Phase II UC - Initiate YE07</t>
  </si>
  <si>
    <t>Phase III SLE - Initiate in 2008</t>
  </si>
  <si>
    <t>Phase III LN - Initiate YE07</t>
  </si>
  <si>
    <t>Phase III Rheumatoid Arthritis - FILM - MTX-naïve - Initiated Q2 2007</t>
  </si>
  <si>
    <t>Phase III Rheumatoid Arthritis - n=1000 STAGE - MTX-refractory - Initiated Q4 2006</t>
  </si>
  <si>
    <t>Clinical Studies</t>
  </si>
  <si>
    <t xml:space="preserve">    The decision-making process is being disputed by the partners and will be decided by an arbitrator.</t>
  </si>
  <si>
    <t xml:space="preserve">  The new economics will also apply to Rituxan.</t>
  </si>
  <si>
    <t xml:space="preserve">  For ocrelizumab, BIIB will receive 38% of operating profit, followed by 35% followed by 30% (at $150m and $350m).</t>
  </si>
  <si>
    <t>BIIB, Roche. BIIB receives 30% of the first $50m operating profit of Rituxan and 40% of profits thereafter.</t>
  </si>
  <si>
    <t>Humanized Anti-CD20</t>
  </si>
  <si>
    <t>ocrelizumab</t>
  </si>
  <si>
    <t>PRO70769, rHUmab 2H7</t>
  </si>
  <si>
    <t>Phase III Rheumatoid Arthritis - SCRIPT - TNF-refractory - Initiated Q2 2007 - Results in 2009</t>
  </si>
  <si>
    <t>4mg/kg, 8mg/kg vs placebo.</t>
  </si>
  <si>
    <t>Phase III LITHE n=1196 in MTX-inadequate responders - Presented at ACR 2008 and EULAR 2009</t>
  </si>
  <si>
    <t>65% had 2-year DAS remission vs 48% at 1 year.</t>
  </si>
  <si>
    <t>1/8 or 1/31/2010: Actemra PDUFA.</t>
  </si>
  <si>
    <t>Ventana/Tissue Diagnostics - Acquired in 2007?</t>
  </si>
  <si>
    <t>10/29/2009: Taspoglutide Phase III data.</t>
  </si>
  <si>
    <t>Roche Pharma Research and Early Development, Head of Pharma Development</t>
  </si>
  <si>
    <t>Phase III - "T-EMERGE-2" to begin in 2H 2008 - NDA to be filed in 2010 - Results press released 10/29/2009 n=1189</t>
  </si>
  <si>
    <t>Taspo 10mg once weekly versus Exenatide 10mcg twice daily</t>
  </si>
  <si>
    <t>Superior A1C control.</t>
  </si>
  <si>
    <t>capecitabine</t>
  </si>
  <si>
    <t>Teva FTF, Roche 30-month stay initiated 10/09, ends 4/12. Patent expires 2013.</t>
  </si>
  <si>
    <t>2012-13</t>
  </si>
  <si>
    <t>Phase II HERMES</t>
  </si>
  <si>
    <t>Phase III RRMS - Initiate 2008 - Results Late 2009?</t>
  </si>
  <si>
    <t>2H 2009: Ocrelizumab SCRIPT results and MS results.</t>
  </si>
  <si>
    <t>PRIMA1 1L iNHL maintenance - presents at ASH 2009 n=1217</t>
  </si>
  <si>
    <t>PFS primary endpoint</t>
  </si>
  <si>
    <t>Phase III EORTC 20981 Rituxan maintenance vs observation in relapsed iNHL</t>
  </si>
  <si>
    <t>52m vs 15m mPFS.</t>
  </si>
  <si>
    <t>91% reduction in Gd-lesions.</t>
  </si>
  <si>
    <t>Phase III dal-OUTCOMES n=15600</t>
  </si>
  <si>
    <t>n=9k enrolled as of AHA 2009</t>
  </si>
  <si>
    <t>Phase III "RIBBON-1" mBC</t>
  </si>
  <si>
    <t>HR=1.032 p=0.89 for OS</t>
  </si>
  <si>
    <t>Phase III "C08" - adjuvant CRC - FAILED n=2710</t>
  </si>
  <si>
    <t>CT-322</t>
  </si>
  <si>
    <t>dalcetrapib</t>
  </si>
  <si>
    <t>JTT-705/R1658</t>
  </si>
  <si>
    <t>Fusion</t>
  </si>
  <si>
    <t>11/09: Safety issue</t>
  </si>
  <si>
    <t>VEGF recombinant humanized monoclonal antibody.</t>
  </si>
  <si>
    <t>PDLI royalty.</t>
  </si>
  <si>
    <t>Risk of Venous Thromboembolism with the angiogenesis inhibitor bevacizumab in cancer patients: a meta-analysis. Nalluri et al. JAMA 2008;300(19):2277-2285.</t>
  </si>
  <si>
    <t>11/09: EMEA rejects for GBM.</t>
  </si>
  <si>
    <t>Chemotherapy, bevacizumab, and cetuximab in metastatic colorectal cancer. Tol et al. NEJM 2009;360:563-72.</t>
  </si>
  <si>
    <t>Phase III "CAIRO2" CapeOxBeva+-Cetuximab n=755 1L mCRC. Tol et al NEJM 2009</t>
  </si>
  <si>
    <t>10.7m mPFS for triplet vs 9.4-9.8m mPFS for quadruplet.</t>
  </si>
  <si>
    <t>Paclitaxel plus bevacizumab versus paclitaxel alone for metastatic breast cancer. Miller et al. NEJM 2007;357:2666-76.</t>
  </si>
  <si>
    <t>11.8m PFS vs. 5.9m for chemo alone.</t>
  </si>
  <si>
    <t>Phase III 1L mBC "E2100" - Paclitaxel+-Avastin n=722 from 12/01 to 5/04. NEJM 2009, Miller et al.</t>
  </si>
  <si>
    <t>Survival crossed.</t>
  </si>
  <si>
    <t>Failed to meet OS endpoint: 26.7m vs 25.2m.</t>
  </si>
  <si>
    <t>1L mCRC US Patients</t>
  </si>
  <si>
    <t>1L mCRC EU Patients</t>
  </si>
  <si>
    <t>Bevacizumab plus interferon alfa-2a for treatment of metastatic renal cell carcinoma: a randomized, double-blind phase III trial. Escudier et al. Lancet 2007;370:2103-11.</t>
  </si>
  <si>
    <t>Phase III "AVOREN" n=649 mRCC Escudier et al. Lancet 2007</t>
  </si>
  <si>
    <t>IFN+-Avastin mPFS 10.2m vs 5.4m for monotherapy. C25</t>
  </si>
  <si>
    <t>1L mRCC US Patients</t>
  </si>
  <si>
    <t>1L mRCC EU Patients</t>
  </si>
  <si>
    <t>Market Share</t>
  </si>
  <si>
    <t>1L mRCC ROW Patients</t>
  </si>
  <si>
    <t>Total Patients</t>
  </si>
  <si>
    <t>RCC Revenue</t>
  </si>
  <si>
    <t>Paclitaxel-Carboplatin alone or with bevacizumab for NSCLC. Sandler et al. NEJM 2006;355:2542-50.</t>
  </si>
  <si>
    <t>Phase III "ECOG 4599" n=878 1L mNSCLC Carbo+Tax+-Avastin Sandler et al NEJM 2006 (7/01-4/04)</t>
  </si>
  <si>
    <t>12.3m mOS versus 10.3m mOS for chemotherapy alone.</t>
  </si>
  <si>
    <t>6.2m mPFS versus 4.5m mPFS for chemotherapy alone.</t>
  </si>
  <si>
    <t>4.4% significant bleeding versus 0.7%.</t>
  </si>
  <si>
    <t xml:space="preserve">Phase III "AVAPERL1" </t>
  </si>
  <si>
    <t>Phase III "CAIRO3"</t>
  </si>
  <si>
    <t>High thromboembolism, GI tract perforation, neutropenia, pulmonary hemorrhage, hypertension and impairment of wound healing.</t>
  </si>
  <si>
    <t>Current perspective: bevacizumab in colorectal cancer - a time for reappraisal? Okines et al. Eu J of Cancer 45(2009);2452-2461.</t>
  </si>
  <si>
    <t>Phase III "ECOG 5202"</t>
  </si>
  <si>
    <t>Phase III QUASAR2</t>
  </si>
  <si>
    <t>Phase III "ECOG NSABP-ECOG E5204"</t>
  </si>
  <si>
    <t>77.4% alive at the end of 3 years versus 75.5% for chemo. HR=0.89, p=0.15.</t>
  </si>
  <si>
    <t>1-year of beva treatment, 40% event reduction at one year. HR=0.6, p=0.0004.</t>
  </si>
  <si>
    <t>Bevacizumab plus irinotecan, fluorouracil and leucovorin for metastatic colorectal cancer. Hurwitz et al. NEJM 2004;350:2335-42.</t>
  </si>
  <si>
    <t>Phase III 1L mCRC n=813 Hurwitz et al NEJM 2004</t>
  </si>
  <si>
    <t>20.3m mOS versus 15.6m for placebo.</t>
  </si>
  <si>
    <t>Phase III adjuvant BC "B-46" n=3900 initiated May 2009, January 2022</t>
  </si>
  <si>
    <t>CLL</t>
  </si>
  <si>
    <t>ABT</t>
  </si>
  <si>
    <t>EXEL</t>
  </si>
  <si>
    <t>RG7415 (rontalizumab)</t>
  </si>
  <si>
    <t>Debt CHF</t>
  </si>
  <si>
    <t>Q110</t>
  </si>
  <si>
    <t>United States</t>
  </si>
  <si>
    <t>Operating Expenses</t>
  </si>
  <si>
    <t>R7273</t>
  </si>
  <si>
    <t>ABCA1 inducer</t>
  </si>
  <si>
    <t>Anti-oxLDL?</t>
  </si>
  <si>
    <t>NMDA?</t>
  </si>
  <si>
    <t>Alzheimer's, Schizophrenia</t>
  </si>
  <si>
    <t>Depression</t>
  </si>
  <si>
    <t>mGluR5</t>
  </si>
  <si>
    <t>MetMab</t>
  </si>
  <si>
    <t>MEK</t>
  </si>
  <si>
    <t>1H10</t>
  </si>
  <si>
    <t>2H10</t>
  </si>
  <si>
    <t>Study shut down?</t>
  </si>
  <si>
    <t>9/17/2010: mBC ADCOM</t>
  </si>
  <si>
    <t>Phase III AVAGAST - 1L advanced gastric cancer - Data in 2010</t>
  </si>
  <si>
    <t>Phase III GOG-0218 - 1L mOC - Data in 2010</t>
  </si>
  <si>
    <t>Phase III ICON-7 - 1L mOC - Data in 2010</t>
  </si>
  <si>
    <t>S1P1</t>
  </si>
  <si>
    <t>ABT869</t>
  </si>
  <si>
    <t>CFFO</t>
  </si>
  <si>
    <t>P&amp;E</t>
  </si>
  <si>
    <t>FCF</t>
  </si>
  <si>
    <t>Model NI</t>
  </si>
  <si>
    <t>Solid Tumors, MM, AML, NSCLC, BC</t>
  </si>
  <si>
    <t>CDK inhibitor</t>
  </si>
  <si>
    <t>ABT-869</t>
  </si>
  <si>
    <t>RO4998452</t>
  </si>
  <si>
    <t>ANDS, VX-222</t>
  </si>
  <si>
    <t>Debt</t>
  </si>
  <si>
    <t>Maturity</t>
  </si>
  <si>
    <t>Issued</t>
  </si>
  <si>
    <t>Duration</t>
  </si>
  <si>
    <t>Amount</t>
  </si>
  <si>
    <t>Coupon</t>
  </si>
  <si>
    <t>Note</t>
  </si>
  <si>
    <t>Callable, USD</t>
  </si>
  <si>
    <t>Yield</t>
  </si>
  <si>
    <t>Collateral</t>
  </si>
  <si>
    <t>Rating</t>
  </si>
  <si>
    <t>High</t>
  </si>
  <si>
    <t>High Date</t>
  </si>
  <si>
    <t>Low</t>
  </si>
  <si>
    <t>Low Date</t>
  </si>
  <si>
    <t>UST</t>
  </si>
  <si>
    <t>AA-</t>
  </si>
  <si>
    <t>Guarantee</t>
  </si>
  <si>
    <t>30 year</t>
  </si>
  <si>
    <t>2039 Guaranteed Debt</t>
  </si>
  <si>
    <t>Spread</t>
  </si>
  <si>
    <t>2035 Debt</t>
  </si>
  <si>
    <t>Callable, USD, Genentech</t>
  </si>
  <si>
    <t>Sr Unsecured</t>
  </si>
  <si>
    <t>Initial</t>
  </si>
  <si>
    <t>Current</t>
  </si>
  <si>
    <t>2023 Roche Finance Europe</t>
  </si>
  <si>
    <t>Bullet, GBP</t>
  </si>
  <si>
    <t>20 year</t>
  </si>
  <si>
    <t>2021 Roche Euro</t>
  </si>
  <si>
    <t>Bullet, EUR</t>
  </si>
  <si>
    <t>12 year</t>
  </si>
  <si>
    <t>11 year</t>
  </si>
  <si>
    <t>13 year</t>
  </si>
  <si>
    <t>25 year</t>
  </si>
  <si>
    <t>29 year</t>
  </si>
  <si>
    <t>2019 Roche US</t>
  </si>
  <si>
    <t>9 year</t>
  </si>
  <si>
    <t>10 year</t>
  </si>
  <si>
    <t>2017 Roche Swiss</t>
  </si>
  <si>
    <t>Bullet, CHF</t>
  </si>
  <si>
    <t>8 year</t>
  </si>
  <si>
    <t>7 year</t>
  </si>
  <si>
    <t>2016 Roche</t>
  </si>
  <si>
    <t>6 year</t>
  </si>
  <si>
    <t>2015 Roche GBP</t>
  </si>
  <si>
    <t>5 year</t>
  </si>
  <si>
    <t>2015 Genentech Small</t>
  </si>
  <si>
    <t>2015 Genentech</t>
  </si>
  <si>
    <t>Products</t>
  </si>
  <si>
    <t>Accu-Chek Mobile, Accu-Chek Combo</t>
  </si>
  <si>
    <t>Blood Screening, Cobas 4800</t>
  </si>
  <si>
    <t>Cobas 8000, Cobas 6000, CoaguChek</t>
  </si>
  <si>
    <t>Ventana, IHC, In Situ</t>
  </si>
  <si>
    <t>454 Life Sciences, PCR. NimbleGen, xCELLigence</t>
  </si>
  <si>
    <t>Avastin+Chemo+Maintenance Avastin had S.S. improvement in PFS vs chemo alone vs chemo+avastin.</t>
  </si>
  <si>
    <t>14.1 months vs. 10.3, HR=0.72.</t>
  </si>
  <si>
    <t>Failed but showed trends</t>
  </si>
  <si>
    <t>Phase III CALGB-90401 - 1L mHRPC - Data in 2010. - Failed with worse mortality.</t>
  </si>
  <si>
    <t>Long-term paper at 5.25-5.30%, 100bps above Tsys.</t>
  </si>
  <si>
    <t>Management has excellent L-T track record, despite recent changes.</t>
  </si>
  <si>
    <t>Biotech generics still don't have a toehold.</t>
  </si>
  <si>
    <t>Heavy reliance on 3 products with similar ASP profile.</t>
  </si>
  <si>
    <t>Discount (3-1)</t>
  </si>
  <si>
    <t>ROIC</t>
  </si>
  <si>
    <t>Q210</t>
  </si>
  <si>
    <t>Phase II/III RITUXVAS - Rituxan versus Cyclophosphamide in ANCA-Associated Renal Vasculitis - NEJM 2010</t>
  </si>
  <si>
    <t>Failed to show superiority on efficacy or safety.</t>
  </si>
  <si>
    <t>Phase III "RAVE" - Rituxan versus Cyclophosphamide for ANCA-Associated Vasculitis - NEJM 2010</t>
  </si>
  <si>
    <t>Non-inferior with 64% efficacy vs. 53% for cyclo. AE similar.</t>
  </si>
  <si>
    <t>Q310</t>
  </si>
  <si>
    <t>Q410</t>
  </si>
  <si>
    <t>Q111</t>
  </si>
  <si>
    <t>Q211</t>
  </si>
  <si>
    <t>Q311</t>
  </si>
  <si>
    <t>Q411</t>
  </si>
  <si>
    <t>Phase II NEOSPHERE - P+H+Chemo vs H+Chemo in aBC - Presented at SABCS 2010</t>
  </si>
  <si>
    <t>46% doublet vs 29% single.</t>
  </si>
  <si>
    <t>R7160/RO5083945</t>
  </si>
  <si>
    <t>1/2011: Taspo returned.</t>
  </si>
  <si>
    <t>International</t>
  </si>
  <si>
    <t>1H11</t>
  </si>
  <si>
    <t>2H11</t>
  </si>
  <si>
    <t>Western Europe</t>
  </si>
  <si>
    <t>Diagnostics y/y</t>
  </si>
  <si>
    <t>R/R CLL</t>
  </si>
  <si>
    <t>Bcl-2</t>
  </si>
  <si>
    <t>NPV</t>
  </si>
  <si>
    <t>Share</t>
  </si>
  <si>
    <t>Return</t>
  </si>
  <si>
    <t>Perjeta (pertuzumab)</t>
  </si>
  <si>
    <t>Dalcetrapib fails.</t>
  </si>
  <si>
    <t>Autism</t>
  </si>
  <si>
    <t>V1A vasopressin</t>
  </si>
  <si>
    <t>BACE</t>
  </si>
  <si>
    <t>2012: dalcetrapib fails</t>
  </si>
  <si>
    <t>Erivedge (R7201/GDC-0449)</t>
  </si>
  <si>
    <t>RG3638 (onartuzumab)</t>
  </si>
  <si>
    <t>1H12</t>
  </si>
  <si>
    <t>2H12</t>
  </si>
  <si>
    <t>Q112</t>
  </si>
  <si>
    <t>Q212</t>
  </si>
  <si>
    <t>Q312</t>
  </si>
  <si>
    <t>Q412</t>
  </si>
  <si>
    <t>Zelboraf</t>
  </si>
  <si>
    <t>Rituxan y/y LC</t>
  </si>
  <si>
    <t>Avastin y/y LC</t>
  </si>
  <si>
    <t>Herceptin y/y LC</t>
  </si>
  <si>
    <t>Perjeta</t>
  </si>
  <si>
    <t>Q113</t>
  </si>
  <si>
    <t>Q213</t>
  </si>
  <si>
    <t>Q313</t>
  </si>
  <si>
    <t>Q413</t>
  </si>
  <si>
    <t>Zelboraf (RG7204/PLX4032)</t>
  </si>
  <si>
    <t>ABT-263 (navitoclax) RG7601?</t>
  </si>
  <si>
    <t>Kadcyla (trastuzumab-DM1)</t>
  </si>
  <si>
    <t>July 2013: aleglitazar stopped</t>
  </si>
  <si>
    <t>RG7413 (rhuMab beta-7) (etrolizumab?)</t>
  </si>
  <si>
    <t>RG7412 (crenezumab)</t>
  </si>
  <si>
    <t>Depression (was Alzheimer's)</t>
  </si>
  <si>
    <t>mGluR2/3</t>
  </si>
  <si>
    <t>Evotec</t>
  </si>
  <si>
    <t>MAO-B</t>
  </si>
  <si>
    <t>GABRA5</t>
  </si>
  <si>
    <t>RG7203</t>
  </si>
  <si>
    <t>PDE10A</t>
  </si>
  <si>
    <t>7351, TAAR1 partial agonist for depression, abandoned</t>
  </si>
  <si>
    <t>7166, triple reuptake inhibitor for depression, abandoned.</t>
  </si>
  <si>
    <t>Q114</t>
  </si>
  <si>
    <t>Q214</t>
  </si>
  <si>
    <t>Q314</t>
  </si>
  <si>
    <t>Q414</t>
  </si>
  <si>
    <t>2014: bitopertin (RG1678) fails.</t>
  </si>
  <si>
    <t>Actemra (tocilizumab)</t>
  </si>
  <si>
    <t>Gazyva (obinutuzumab)</t>
  </si>
  <si>
    <t>1H13</t>
  </si>
  <si>
    <t>2H13</t>
  </si>
  <si>
    <t>1H14</t>
  </si>
  <si>
    <t>2H14</t>
  </si>
  <si>
    <t>Kadcyla</t>
  </si>
  <si>
    <t>Erivedge</t>
  </si>
  <si>
    <t>Gazyva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</si>
  <si>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</si>
  <si>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</si>
  <si>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</si>
  <si>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</si>
  <si>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</si>
  <si>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</si>
  <si>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</si>
  <si>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</si>
  <si>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</si>
  <si>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</si>
  <si>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</si>
  <si>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</si>
  <si>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</si>
  <si>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</si>
  <si>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</si>
  <si>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</si>
  <si>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</si>
  <si>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</si>
  <si>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</si>
  <si>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</si>
  <si>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</si>
  <si>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</si>
  <si>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</si>
  <si>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</si>
  <si>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</si>
  <si>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</si>
  <si>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</si>
  <si>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</si>
  <si>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</si>
  <si>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</si>
  <si>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</si>
  <si>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</si>
  <si>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Ocrevus</t>
  </si>
  <si>
    <t>Hemlibra</t>
  </si>
  <si>
    <t>Tecentriq</t>
  </si>
  <si>
    <t>Ronapreve</t>
  </si>
  <si>
    <t>Alecensa</t>
  </si>
  <si>
    <t>Esbriet</t>
  </si>
  <si>
    <t>Evrysdi</t>
  </si>
  <si>
    <t>Phesgo</t>
  </si>
  <si>
    <t>Polivy</t>
  </si>
  <si>
    <t>Enspryng</t>
  </si>
  <si>
    <t>Vabysmo</t>
  </si>
  <si>
    <t>Rozlytrek</t>
  </si>
  <si>
    <t>Cotellic</t>
  </si>
  <si>
    <t>Gavreto</t>
  </si>
  <si>
    <t>Xofluza</t>
  </si>
  <si>
    <t>Susivmo</t>
  </si>
  <si>
    <t>Headcount</t>
  </si>
  <si>
    <t>Cash</t>
  </si>
  <si>
    <t>Tecentriq (atezolizumab)</t>
  </si>
  <si>
    <t>Oncology</t>
  </si>
  <si>
    <t>PD-1 mab</t>
  </si>
  <si>
    <t>Brand</t>
  </si>
  <si>
    <t>Generic</t>
  </si>
  <si>
    <t>atezolizumab</t>
  </si>
  <si>
    <t>ES-SCLC (CHMP recommended approval)</t>
  </si>
  <si>
    <t>MOA</t>
  </si>
  <si>
    <t>oseltamivir</t>
  </si>
  <si>
    <t>Gilead</t>
  </si>
  <si>
    <t>Hemophilia</t>
  </si>
  <si>
    <t>valganciclovir</t>
  </si>
  <si>
    <t>Ocrevus (ocrelizumab)</t>
  </si>
  <si>
    <t>Departures</t>
  </si>
  <si>
    <t>CEO of Pharma, Retired.</t>
  </si>
  <si>
    <t>Roche COO Pharma, became CEO of AZN.</t>
  </si>
  <si>
    <t>Roche COO Diagnostics, became CEO of GILD.</t>
  </si>
  <si>
    <t>Genentech SVP, Global Head of Clinical Development in Hematology/Oncology, promoted to CMO/Head of Global Product Development</t>
  </si>
  <si>
    <t>Carboplatin+Etoposide vs. Tecentriq+carboplatin+etoposide</t>
  </si>
  <si>
    <t>median OS 12.3 vs. 10.3 months, HR=0.70</t>
  </si>
  <si>
    <t>median PFS 5.2 vs. 4.3 months, HR=0.77</t>
  </si>
  <si>
    <t>Phase III "IMpower133" n=403 1L ES-SCLC</t>
  </si>
  <si>
    <t xml:space="preserve">  SCLC accounts for 15% of all lung cancer, with 70% in extensive stage. 1.76m deaths every year due to lung cancer, WW.</t>
  </si>
  <si>
    <t>7/26/2019: CHMP recommends Tecentriq for 1L ES-SCLC</t>
  </si>
  <si>
    <t>7/26/2019: CHMP recommends Tecentriq for 1L NSCLC</t>
  </si>
  <si>
    <t>median OS 18.6 vs. 13.9 months, HR=0.79, p=0.033</t>
  </si>
  <si>
    <t>median PFS 7.0 vs. 5.5 months, HR=0.64, p&lt;0.0001</t>
  </si>
  <si>
    <t>Tecentriq+carboplatin+nab-paclitaxel vs. carboplatin+nab-paclitaxel</t>
  </si>
  <si>
    <t>no EGFRm or ALK+, stage IV, 2:1 randomization</t>
  </si>
  <si>
    <t>Phase III "IMpower130" n=723 1L nsNSCLC</t>
  </si>
  <si>
    <t>49.2% ORR vs. 31.9%, mDOR 8.4 months vs. 6.1 months</t>
  </si>
  <si>
    <t>8/23/2022: Launches Digital LightCycler System (PCR)</t>
  </si>
  <si>
    <t>PCR</t>
  </si>
  <si>
    <t>Digital LightCycler</t>
  </si>
  <si>
    <t>Ultra-rare/sensitive</t>
  </si>
  <si>
    <t>Polivy (polatuzumab vedotin)</t>
  </si>
  <si>
    <t>SGEN</t>
  </si>
  <si>
    <t>ADC</t>
  </si>
  <si>
    <t>CD79b ADC</t>
  </si>
  <si>
    <t>DLBCL</t>
  </si>
  <si>
    <t>polatuzumab vedotin</t>
  </si>
  <si>
    <t>P+R-CHP vs. R-CHOP</t>
  </si>
  <si>
    <t>Phase III "POLARIX" n=879 1L DLBCL - NCT03274492</t>
  </si>
  <si>
    <t>TTP HR=0.73, 28.2 months follow-up</t>
  </si>
  <si>
    <t>CMO: Levi Garraway</t>
  </si>
  <si>
    <t>8/16/2022: FDA accepted POLARIX sBLA for Polivy</t>
  </si>
  <si>
    <t>R/R DLBCL, 1L DLBCL is approved by EC, PDUFA 4/2/23.</t>
  </si>
  <si>
    <t>1H15</t>
  </si>
  <si>
    <t>2H15</t>
  </si>
  <si>
    <t>1H16</t>
  </si>
  <si>
    <t>2H16</t>
  </si>
  <si>
    <t>1H17</t>
  </si>
  <si>
    <t>2H17</t>
  </si>
  <si>
    <t>1H18</t>
  </si>
  <si>
    <t>2H18</t>
  </si>
  <si>
    <t>1H19</t>
  </si>
  <si>
    <t>2H19</t>
  </si>
  <si>
    <t>1H20</t>
  </si>
  <si>
    <t>2H20</t>
  </si>
  <si>
    <t>1H21</t>
  </si>
  <si>
    <t>2H21</t>
  </si>
  <si>
    <t>1H22</t>
  </si>
  <si>
    <t>2H22</t>
  </si>
  <si>
    <t>Q123</t>
  </si>
  <si>
    <t>Q223</t>
  </si>
  <si>
    <t>Q323</t>
  </si>
  <si>
    <t>Q423</t>
  </si>
  <si>
    <t>DMD</t>
  </si>
  <si>
    <t>Outlicensed to Noema Pharma</t>
  </si>
  <si>
    <t>RG7090 (basimglurant)</t>
  </si>
  <si>
    <t>R7201 (tofogliflozin)</t>
  </si>
  <si>
    <t>LLY</t>
  </si>
  <si>
    <t>CD20xCD3</t>
  </si>
  <si>
    <t>TIGIT</t>
  </si>
  <si>
    <t>CD19-4-1BBL</t>
  </si>
  <si>
    <t>R/R BCL</t>
  </si>
  <si>
    <t>HLA-A2-WT1xCD3</t>
  </si>
  <si>
    <t>Bispecific</t>
  </si>
  <si>
    <t>AML</t>
  </si>
  <si>
    <t>R7417 (lampalizumab)</t>
  </si>
  <si>
    <t>Tecentriq, fka RG7446</t>
  </si>
  <si>
    <t>HLA-A2-MAGE-A4xCD3</t>
  </si>
  <si>
    <t>RG6058 (tiragolumab)</t>
  </si>
  <si>
    <t>SRPT</t>
  </si>
  <si>
    <t>fenebrutinib</t>
  </si>
  <si>
    <t>BTK</t>
  </si>
  <si>
    <t>RG1450 (gantenerumab)</t>
  </si>
  <si>
    <t>Lunsumio (mosunetuzumab)</t>
  </si>
  <si>
    <t>3L FL</t>
  </si>
  <si>
    <t>Vabysmo (faricimab)</t>
  </si>
  <si>
    <t>VEGF/Ang2</t>
  </si>
  <si>
    <t>Enspryng (satralizumab)</t>
  </si>
  <si>
    <t>NMOSD</t>
  </si>
  <si>
    <t>Xofluza (baloxavir marboxil)</t>
  </si>
  <si>
    <t>giredestrant</t>
  </si>
  <si>
    <t>SERD</t>
  </si>
  <si>
    <t>Approval</t>
  </si>
  <si>
    <t>Pharmacology</t>
  </si>
  <si>
    <t>8nM CD20</t>
  </si>
  <si>
    <t>Manufacturing</t>
  </si>
  <si>
    <t>CHO</t>
  </si>
  <si>
    <t>IV. SQ approved.</t>
  </si>
  <si>
    <t>US IV 11/26/1997</t>
  </si>
  <si>
    <t>CT-996</t>
  </si>
  <si>
    <t>Obesity</t>
  </si>
  <si>
    <t>GLP-1 oral</t>
  </si>
  <si>
    <t>GLP-1/GIP</t>
  </si>
  <si>
    <t>2/1/24: 2023 results</t>
  </si>
  <si>
    <t>4/24/24: Q124 results</t>
  </si>
  <si>
    <t>Q124</t>
  </si>
  <si>
    <t>Q224</t>
  </si>
  <si>
    <t>Q324</t>
  </si>
  <si>
    <t>Q424</t>
  </si>
  <si>
    <t>OCA</t>
  </si>
  <si>
    <t>Taxes</t>
  </si>
  <si>
    <t>AR</t>
  </si>
  <si>
    <t>Inventories</t>
  </si>
  <si>
    <t>ONCA</t>
  </si>
  <si>
    <t>Pension</t>
  </si>
  <si>
    <t>Assets</t>
  </si>
  <si>
    <t>PP&amp;E</t>
  </si>
  <si>
    <t>Goodwill</t>
  </si>
  <si>
    <t>Net Cash</t>
  </si>
  <si>
    <t>Provisions</t>
  </si>
  <si>
    <t>AP</t>
  </si>
  <si>
    <t>OCL</t>
  </si>
  <si>
    <t>ONCL</t>
  </si>
  <si>
    <t>Pensions</t>
  </si>
  <si>
    <t>L+SE</t>
  </si>
  <si>
    <t>SE</t>
  </si>
  <si>
    <t>12/14/23: Telavant acquisition for 7.1B</t>
  </si>
  <si>
    <t>1/26/24: Carmot acquisition for 2.9B</t>
  </si>
  <si>
    <t>Hemlibra (emicizumab)</t>
  </si>
  <si>
    <t>100%?</t>
  </si>
  <si>
    <t>CEO: Thomas Schinecker replaced Severin Schwann</t>
  </si>
  <si>
    <t>CFO: Alan Hippe</t>
  </si>
  <si>
    <t>CEO Pharma: Teresa Graham</t>
  </si>
  <si>
    <t>CEO Diagnostics: Matt Sause replaced Thomas Schinecker</t>
  </si>
  <si>
    <t>Luxturna</t>
  </si>
  <si>
    <t>Lunsumio</t>
  </si>
  <si>
    <t>Columvi</t>
  </si>
  <si>
    <t>Elevidys</t>
  </si>
  <si>
    <t>Piasky</t>
  </si>
  <si>
    <t>Poseida Therapeutics</t>
  </si>
  <si>
    <t>tiragolumab</t>
  </si>
  <si>
    <t>NSCLC</t>
  </si>
  <si>
    <t>Phase III "SKYSCRAPER-01" n=534 1L PD-L1-high NSCLC vs. Tecentriq monotherapy</t>
  </si>
  <si>
    <t>Itovebi (inavolisib)</t>
  </si>
  <si>
    <t>failed</t>
  </si>
  <si>
    <t>failed to meet PFS</t>
  </si>
  <si>
    <t>Phase III "SKYSCRAPER-06" NSCLC</t>
  </si>
  <si>
    <t>RG6058</t>
  </si>
  <si>
    <t>prasinezumab</t>
  </si>
  <si>
    <t>Parkinson's</t>
  </si>
  <si>
    <t>PRTA</t>
  </si>
  <si>
    <t>alpha-synuclein</t>
  </si>
  <si>
    <t>Founded: 1896</t>
  </si>
  <si>
    <t>Itovebi</t>
  </si>
  <si>
    <t>faricimab</t>
  </si>
  <si>
    <t>BLA 761235 approved 1/28/2022</t>
  </si>
  <si>
    <t>AMD, DME</t>
  </si>
  <si>
    <t>VEGF/Ang-2 mab</t>
  </si>
  <si>
    <t>Dosing</t>
  </si>
  <si>
    <t>6mg (0.05 mL)</t>
  </si>
  <si>
    <t>IND 8/29/2013</t>
  </si>
  <si>
    <t>Phase III "TENAYA" n=671 nAMD vs. aflibercept</t>
  </si>
  <si>
    <t>Phase III "LUCERNE" n=658 nAMD vs. aflibercept</t>
  </si>
  <si>
    <t>Phase II "STAIRWAY" n=76 nAMD vs. ranibizumab</t>
  </si>
  <si>
    <t>Phase II "AVENUE" n=273 nAMD vs. ranibizumab</t>
  </si>
  <si>
    <t>Phase II "YOSEMITE" n=940 DME</t>
  </si>
  <si>
    <t>Phase III "RHINE" n=951 DME</t>
  </si>
  <si>
    <t>Phase II "BOULEVARD" n=229 DME</t>
  </si>
  <si>
    <t>5.9 BCVA improvement vs. 5.6 for aflibercept 2mg (per protocol)</t>
  </si>
  <si>
    <t>5.8 BCVA improvement vs. 5.1 for aflibercept 2mg (ITT) - 40-48 weeks</t>
  </si>
  <si>
    <t>6.6 BCVA improvement vs. 6.6 for aflibercept 2mg (ITT) - 40-48 weeks</t>
  </si>
  <si>
    <t>6.6 BCVA improvement vs. 6.7 for aflibercept 2mg (PP) - 40-48 weeks</t>
  </si>
  <si>
    <t>10.7 BCVA improvement for q8w, 11.6 for PTI, 10.9 for aflibercept 2mg q8w</t>
  </si>
  <si>
    <t>11.8 BCVA improvement vs. 10.8 vs. 10.3 (same design as YOSEMITE)</t>
  </si>
  <si>
    <t>Phesgo (pertuzumab/trastuzumab)</t>
  </si>
  <si>
    <t>HALO</t>
  </si>
  <si>
    <t>Halozyme</t>
  </si>
  <si>
    <t>BLA 761170 approved 6/29/2020</t>
  </si>
  <si>
    <t>pertuzumab, trastuzumab, hyaluronidase</t>
  </si>
  <si>
    <t>Phase III "FeDeriCa"</t>
  </si>
  <si>
    <t>COB: Severin Schwan</t>
  </si>
  <si>
    <t>3/25/25: AGM. Dividend CHF 9.70.</t>
  </si>
  <si>
    <t>3/17/25: MDA presentations.</t>
  </si>
  <si>
    <t>SMA</t>
  </si>
  <si>
    <t>PTCT</t>
  </si>
  <si>
    <t>5-year data at MDA 2025</t>
  </si>
  <si>
    <t>oral</t>
  </si>
  <si>
    <t>Sarepta</t>
  </si>
  <si>
    <t>"EMBARK"</t>
  </si>
  <si>
    <t>2-year data at MDA 2025</t>
  </si>
  <si>
    <t>"101"</t>
  </si>
  <si>
    <t>"102"</t>
  </si>
  <si>
    <t>"ENDEAVOR"</t>
  </si>
  <si>
    <t>Phase III "SUNFISH" n=231 Type 2/3 SMA - NCT0290685</t>
  </si>
  <si>
    <t>TL1A</t>
  </si>
  <si>
    <t>NLRP3</t>
  </si>
  <si>
    <t>RAS inhibitor</t>
  </si>
  <si>
    <t>RG7906</t>
  </si>
  <si>
    <t>TAAR agonist</t>
  </si>
  <si>
    <t>MASH, UC, AD</t>
  </si>
  <si>
    <t>Q125</t>
  </si>
  <si>
    <t>Q225</t>
  </si>
  <si>
    <t>Q325</t>
  </si>
  <si>
    <t>Q425</t>
  </si>
  <si>
    <t>Other Oncology</t>
  </si>
  <si>
    <t>Other Hematology</t>
  </si>
  <si>
    <t>Other Neurology</t>
  </si>
  <si>
    <t>Reported NI</t>
  </si>
  <si>
    <t>WC</t>
  </si>
  <si>
    <t>CFFI</t>
  </si>
  <si>
    <t>CapEx</t>
  </si>
  <si>
    <t>Purchase of Intangibles</t>
  </si>
  <si>
    <t>Divestments/Sales</t>
  </si>
  <si>
    <t>Acquisitions</t>
  </si>
  <si>
    <t>Investments</t>
  </si>
  <si>
    <t>CFFF</t>
  </si>
  <si>
    <t>ESOP</t>
  </si>
  <si>
    <t>Dividends</t>
  </si>
  <si>
    <t>Leases</t>
  </si>
  <si>
    <t>CIC</t>
  </si>
  <si>
    <t>FX</t>
  </si>
  <si>
    <t>Switzerland</t>
  </si>
  <si>
    <t>Basel</t>
  </si>
  <si>
    <t>Rotkreuz</t>
  </si>
  <si>
    <t>South San Francisco</t>
  </si>
  <si>
    <t>Penzberg, Germany</t>
  </si>
  <si>
    <t>Q126</t>
  </si>
  <si>
    <t>Q226</t>
  </si>
  <si>
    <t>Q326</t>
  </si>
  <si>
    <t>Q426</t>
  </si>
  <si>
    <t>Q103</t>
  </si>
  <si>
    <t>Q203</t>
  </si>
  <si>
    <t>Q303</t>
  </si>
  <si>
    <t>Q403</t>
  </si>
  <si>
    <t>Q102</t>
  </si>
  <si>
    <t>Q202</t>
  </si>
  <si>
    <t>Q302</t>
  </si>
  <si>
    <t>Q402</t>
  </si>
  <si>
    <t>Q101</t>
  </si>
  <si>
    <t>Q201</t>
  </si>
  <si>
    <t>Q301</t>
  </si>
  <si>
    <t>Q401</t>
  </si>
  <si>
    <t>Accutane</t>
  </si>
  <si>
    <t>Viracept</t>
  </si>
  <si>
    <t>Lexotan</t>
  </si>
  <si>
    <t>Q100</t>
  </si>
  <si>
    <t>Q200</t>
  </si>
  <si>
    <t>Q300</t>
  </si>
  <si>
    <t>Q400</t>
  </si>
  <si>
    <t>Q199</t>
  </si>
  <si>
    <t>Q299</t>
  </si>
  <si>
    <t>Q399</t>
  </si>
  <si>
    <t>Q499</t>
  </si>
  <si>
    <t>Posicor</t>
  </si>
  <si>
    <t>Versed</t>
  </si>
  <si>
    <t>Invirase</t>
  </si>
  <si>
    <t>Neupogen</t>
  </si>
  <si>
    <t>Q198</t>
  </si>
  <si>
    <t>Q298</t>
  </si>
  <si>
    <t>Q398</t>
  </si>
  <si>
    <t>Q498</t>
  </si>
  <si>
    <t>Q497</t>
  </si>
  <si>
    <t>bexobrutideg</t>
  </si>
  <si>
    <t>BTK degrader</t>
  </si>
  <si>
    <t>NRIX</t>
  </si>
  <si>
    <t>Columvi RG6026 (glofitamab)</t>
  </si>
  <si>
    <t>Elevidys (delandistrogene moxeparvovec/SRP-9001)</t>
  </si>
  <si>
    <t>Filed</t>
  </si>
  <si>
    <t>RG6076 (englumafusp alfa)</t>
  </si>
  <si>
    <t>adjuvant BC</t>
  </si>
  <si>
    <t>adjuvant Breast Cancer</t>
  </si>
  <si>
    <t>iDFS HR=0.70 vs SOC endocrine</t>
  </si>
  <si>
    <t>Phase III "evERA" advanced BC</t>
  </si>
  <si>
    <t>filed on this</t>
  </si>
  <si>
    <t>Phase III "lidERA" n=4100 adjuvant BC</t>
  </si>
  <si>
    <t>Phase III "persevERA"</t>
  </si>
  <si>
    <t>Phase III "pionERA"</t>
  </si>
  <si>
    <t>Phase III "heredERA"</t>
  </si>
  <si>
    <t>MS</t>
  </si>
  <si>
    <t>CT-388 (enicepatide)</t>
  </si>
  <si>
    <t>RO7790121 (afimkibart)</t>
  </si>
  <si>
    <t>RG1578 (decoglurant, RO4995819)</t>
  </si>
  <si>
    <t>RG7129/RO5508887</t>
  </si>
  <si>
    <t>RG7314 (balovaptan)</t>
  </si>
  <si>
    <t>RG1662 (basmisanil, RO5186582)</t>
  </si>
  <si>
    <t>RG6129/RO7444973</t>
  </si>
  <si>
    <t>RG6007/RO7283420</t>
  </si>
  <si>
    <t>selnoflast (RO7486967/RG6418)</t>
  </si>
  <si>
    <t>sembragiline (RG1577/EVT-302)</t>
  </si>
  <si>
    <t>R4733/RO4929097</t>
  </si>
  <si>
    <t>RG7304/RO5126766 , CH5126766</t>
  </si>
  <si>
    <t>RG7167/RO4987655, CH4987655</t>
  </si>
  <si>
    <t>RAF/MEK</t>
  </si>
  <si>
    <t>MEK/CIF</t>
  </si>
  <si>
    <t>R7112/RO5045337</t>
  </si>
  <si>
    <t>RG7416 (pateclizumab, MLTA3698A)</t>
  </si>
  <si>
    <t>RG7334/THR-317/TB-403</t>
  </si>
  <si>
    <t>AKT</t>
  </si>
  <si>
    <t>GDC-0068 (ipatasertib)</t>
  </si>
  <si>
    <t>RG7422/GC-0980 apitolisib</t>
  </si>
  <si>
    <t>RG7414 (parsatuzumab, RO5490248)</t>
  </si>
  <si>
    <t>GDC-0941/RG7321 (pictilisib)</t>
  </si>
  <si>
    <t>R7347 (vesencumab, MNRP1685A)</t>
  </si>
  <si>
    <t>Cotellic (GDC-0973/XL518/RG7420)</t>
  </si>
  <si>
    <t>RO7673396/RG6505</t>
  </si>
  <si>
    <t>BI204/RG7418 (orticumab/MLDL1278A)</t>
  </si>
  <si>
    <t>R4930 (oxelumab,RO4989991)</t>
  </si>
  <si>
    <t>RO5137382 (codrituzumab)</t>
  </si>
  <si>
    <t>trontinemab</t>
  </si>
  <si>
    <t>pegozafermin</t>
  </si>
  <si>
    <t>MASH</t>
  </si>
  <si>
    <t>FGF21 analog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</si>
</sst>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43" formatCode="_(* #,##0.00_);_(* \(#,##0.00\);_(* &quot;-&quot;??_);_(@_)"/>
    <numFmt numFmtId="164" formatCode="0.0%"/>
    <numFmt numFmtId="165" formatCode="_-* #,##0.00_-;\-* #,##0.00_-;_-* &quot;-&quot;??_-;_-@_-"/>
    <numFmt numFmtId="166" formatCode="&quot;£&quot;#,##0.00;[Red]\-&quot;£&quot;#,##0.00"/>
  </numFmts>
  <fonts count="27" x14ac:knownFonts="1">
    <font>
      <sz val="10"/>
      <name val="Arial"/>
    </font>
    <font>
      <sz val="10"/>
      <name val="Arial"/>
      <family val="2"/>
    </font>
    <font>
      <u/>
      <sz val="6"/>
      <color indexed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6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  <family val="2"/>
    </font>
    <font>
      <sz val="10"/>
      <name val="Helv"/>
    </font>
    <font>
      <b/>
      <sz val="11"/>
      <color indexed="10"/>
      <name val="Verdana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0" fillId="2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38" fontId="23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5" fillId="0" borderId="0"/>
    <xf numFmtId="0" fontId="24" fillId="0" borderId="0"/>
    <xf numFmtId="6" fontId="23" fillId="0" borderId="0" applyFont="0" applyFill="0" applyBorder="0" applyAlignment="0" applyProtection="0"/>
    <xf numFmtId="166" fontId="24" fillId="0" borderId="0" applyFont="0" applyFill="0" applyBorder="0" applyAlignment="0" applyProtection="0"/>
  </cellStyleXfs>
  <cellXfs count="152">
    <xf numFmtId="0" fontId="0" fillId="0" borderId="0" xfId="0"/>
    <xf numFmtId="0" fontId="7" fillId="0" borderId="0" xfId="0" applyFont="1"/>
    <xf numFmtId="0" fontId="1" fillId="0" borderId="0" xfId="0" applyFont="1"/>
    <xf numFmtId="0" fontId="1" fillId="4" borderId="0" xfId="0" applyFont="1" applyFill="1"/>
    <xf numFmtId="0" fontId="19" fillId="4" borderId="0" xfId="0" applyFont="1" applyFill="1"/>
    <xf numFmtId="0" fontId="0" fillId="4" borderId="0" xfId="0" applyFill="1"/>
    <xf numFmtId="0" fontId="1" fillId="4" borderId="3" xfId="0" applyFont="1" applyFill="1" applyBorder="1"/>
    <xf numFmtId="0" fontId="18" fillId="4" borderId="4" xfId="4" applyFont="1" applyFill="1" applyBorder="1" applyAlignment="1" applyProtection="1"/>
    <xf numFmtId="0" fontId="19" fillId="4" borderId="4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8" fillId="4" borderId="0" xfId="4" applyFont="1" applyFill="1" applyAlignment="1" applyProtection="1"/>
    <xf numFmtId="9" fontId="19" fillId="4" borderId="0" xfId="0" applyNumberFormat="1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3" fillId="4" borderId="0" xfId="0" applyFont="1" applyFill="1"/>
    <xf numFmtId="0" fontId="6" fillId="4" borderId="0" xfId="0" applyFont="1" applyFill="1"/>
    <xf numFmtId="4" fontId="1" fillId="4" borderId="0" xfId="0" applyNumberFormat="1" applyFont="1" applyFill="1"/>
    <xf numFmtId="3" fontId="1" fillId="4" borderId="0" xfId="0" applyNumberFormat="1" applyFont="1" applyFill="1"/>
    <xf numFmtId="3" fontId="19" fillId="4" borderId="0" xfId="0" applyNumberFormat="1" applyFont="1" applyFill="1"/>
    <xf numFmtId="9" fontId="19" fillId="4" borderId="1" xfId="0" applyNumberFormat="1" applyFont="1" applyFill="1" applyBorder="1" applyAlignment="1">
      <alignment horizontal="center"/>
    </xf>
    <xf numFmtId="3" fontId="7" fillId="4" borderId="0" xfId="0" applyNumberFormat="1" applyFont="1" applyFill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7" fillId="4" borderId="0" xfId="2" applyNumberFormat="1" applyFont="1" applyFill="1" applyBorder="1" applyAlignment="1">
      <alignment horizontal="right"/>
    </xf>
    <xf numFmtId="0" fontId="5" fillId="4" borderId="0" xfId="0" applyFont="1" applyFill="1" applyAlignment="1">
      <alignment horizontal="center"/>
    </xf>
    <xf numFmtId="3" fontId="3" fillId="4" borderId="0" xfId="2" applyNumberFormat="1" applyFont="1" applyFill="1" applyBorder="1" applyAlignment="1">
      <alignment horizontal="right"/>
    </xf>
    <xf numFmtId="164" fontId="7" fillId="4" borderId="0" xfId="5" applyNumberFormat="1" applyFont="1" applyFill="1" applyBorder="1" applyAlignment="1">
      <alignment horizontal="right"/>
    </xf>
    <xf numFmtId="164" fontId="3" fillId="4" borderId="0" xfId="5" applyNumberFormat="1" applyFont="1" applyFill="1" applyBorder="1" applyAlignment="1">
      <alignment horizontal="right"/>
    </xf>
    <xf numFmtId="0" fontId="7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3" fontId="7" fillId="4" borderId="0" xfId="2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8" fillId="4" borderId="0" xfId="4" applyFont="1" applyFill="1" applyBorder="1" applyAlignment="1" applyProtection="1"/>
    <xf numFmtId="0" fontId="1" fillId="4" borderId="5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9" fontId="7" fillId="4" borderId="0" xfId="0" applyNumberFormat="1" applyFont="1" applyFill="1" applyAlignment="1">
      <alignment horizontal="center"/>
    </xf>
    <xf numFmtId="0" fontId="4" fillId="4" borderId="4" xfId="4" applyFont="1" applyFill="1" applyBorder="1" applyAlignment="1" applyProtection="1"/>
    <xf numFmtId="0" fontId="4" fillId="0" borderId="0" xfId="4" applyFont="1" applyAlignment="1" applyProtection="1"/>
    <xf numFmtId="0" fontId="5" fillId="0" borderId="0" xfId="0" applyFont="1"/>
    <xf numFmtId="9" fontId="1" fillId="4" borderId="0" xfId="0" applyNumberFormat="1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4" xfId="0" applyFont="1" applyFill="1" applyBorder="1"/>
    <xf numFmtId="0" fontId="7" fillId="4" borderId="0" xfId="0" applyFont="1" applyFill="1" applyAlignment="1">
      <alignment horizontal="right"/>
    </xf>
    <xf numFmtId="0" fontId="7" fillId="4" borderId="0" xfId="2" applyNumberFormat="1" applyFont="1" applyFill="1" applyBorder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2" applyNumberFormat="1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4" fontId="3" fillId="4" borderId="0" xfId="2" applyNumberFormat="1" applyFont="1" applyFill="1" applyBorder="1" applyAlignment="1">
      <alignment horizontal="right"/>
    </xf>
    <xf numFmtId="4" fontId="7" fillId="4" borderId="0" xfId="2" applyNumberFormat="1" applyFont="1" applyFill="1" applyBorder="1" applyAlignment="1">
      <alignment horizontal="right"/>
    </xf>
    <xf numFmtId="9" fontId="7" fillId="4" borderId="0" xfId="2" applyNumberFormat="1" applyFont="1" applyFill="1" applyBorder="1" applyAlignment="1">
      <alignment horizontal="right"/>
    </xf>
    <xf numFmtId="0" fontId="1" fillId="4" borderId="0" xfId="0" applyFont="1" applyFill="1" applyAlignment="1">
      <alignment horizontal="right"/>
    </xf>
    <xf numFmtId="0" fontId="1" fillId="4" borderId="4" xfId="0" applyFont="1" applyFill="1" applyBorder="1"/>
    <xf numFmtId="3" fontId="1" fillId="4" borderId="0" xfId="0" applyNumberFormat="1" applyFont="1" applyFill="1" applyAlignment="1">
      <alignment horizontal="right"/>
    </xf>
    <xf numFmtId="17" fontId="0" fillId="4" borderId="0" xfId="0" applyNumberFormat="1" applyFill="1"/>
    <xf numFmtId="0" fontId="4" fillId="6" borderId="0" xfId="4" applyFont="1" applyFill="1" applyAlignment="1" applyProtection="1"/>
    <xf numFmtId="0" fontId="0" fillId="6" borderId="0" xfId="0" applyFill="1"/>
    <xf numFmtId="0" fontId="1" fillId="6" borderId="0" xfId="0" applyFont="1" applyFill="1"/>
    <xf numFmtId="17" fontId="0" fillId="6" borderId="0" xfId="0" applyNumberFormat="1" applyFill="1"/>
    <xf numFmtId="0" fontId="4" fillId="4" borderId="0" xfId="4" applyFont="1" applyFill="1" applyAlignment="1" applyProtection="1"/>
    <xf numFmtId="0" fontId="1" fillId="4" borderId="6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3" fontId="0" fillId="4" borderId="0" xfId="0" applyNumberFormat="1" applyFill="1" applyAlignment="1">
      <alignment horizontal="right"/>
    </xf>
    <xf numFmtId="3" fontId="7" fillId="4" borderId="0" xfId="2" applyNumberFormat="1" applyFont="1" applyFill="1" applyAlignment="1">
      <alignment horizontal="right"/>
    </xf>
    <xf numFmtId="3" fontId="1" fillId="4" borderId="0" xfId="2" applyNumberFormat="1" applyFont="1" applyFill="1" applyBorder="1" applyAlignment="1">
      <alignment horizontal="right"/>
    </xf>
    <xf numFmtId="3" fontId="3" fillId="4" borderId="0" xfId="2" quotePrefix="1" applyNumberFormat="1" applyFont="1" applyFill="1" applyBorder="1" applyAlignment="1">
      <alignment horizontal="right"/>
    </xf>
    <xf numFmtId="3" fontId="7" fillId="4" borderId="0" xfId="2" quotePrefix="1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/>
    </xf>
    <xf numFmtId="3" fontId="7" fillId="3" borderId="0" xfId="2" applyNumberFormat="1" applyFont="1" applyFill="1" applyBorder="1" applyAlignment="1">
      <alignment horizontal="right"/>
    </xf>
    <xf numFmtId="164" fontId="3" fillId="2" borderId="0" xfId="5" applyNumberFormat="1" applyFont="1" applyFill="1" applyBorder="1" applyAlignment="1">
      <alignment horizontal="right"/>
    </xf>
    <xf numFmtId="164" fontId="7" fillId="4" borderId="0" xfId="5" quotePrefix="1" applyNumberFormat="1" applyFont="1" applyFill="1" applyBorder="1" applyAlignment="1">
      <alignment horizontal="right"/>
    </xf>
    <xf numFmtId="164" fontId="3" fillId="4" borderId="0" xfId="5" quotePrefix="1" applyNumberFormat="1" applyFont="1" applyFill="1" applyBorder="1" applyAlignment="1">
      <alignment horizontal="right"/>
    </xf>
    <xf numFmtId="0" fontId="1" fillId="4" borderId="0" xfId="6" applyFill="1"/>
    <xf numFmtId="0" fontId="5" fillId="4" borderId="0" xfId="6" applyFont="1" applyFill="1"/>
    <xf numFmtId="0" fontId="4" fillId="4" borderId="0" xfId="7" applyFill="1" applyAlignment="1" applyProtection="1"/>
    <xf numFmtId="9" fontId="3" fillId="4" borderId="0" xfId="0" applyNumberFormat="1" applyFont="1" applyFill="1" applyAlignment="1">
      <alignment horizontal="right"/>
    </xf>
    <xf numFmtId="164" fontId="1" fillId="4" borderId="0" xfId="5" quotePrefix="1" applyNumberFormat="1" applyFont="1" applyFill="1" applyBorder="1" applyAlignment="1">
      <alignment horizontal="right"/>
    </xf>
    <xf numFmtId="164" fontId="1" fillId="4" borderId="0" xfId="5" applyNumberFormat="1" applyFont="1" applyFill="1" applyBorder="1" applyAlignment="1">
      <alignment horizontal="right"/>
    </xf>
    <xf numFmtId="9" fontId="1" fillId="4" borderId="0" xfId="0" applyNumberFormat="1" applyFont="1" applyFill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9" fillId="4" borderId="5" xfId="0" applyFont="1" applyFill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0" fontId="19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4" fontId="7" fillId="4" borderId="0" xfId="2" applyNumberFormat="1" applyFont="1" applyFill="1" applyBorder="1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0" fillId="4" borderId="0" xfId="0" applyFill="1" applyAlignment="1">
      <alignment horizontal="right"/>
    </xf>
    <xf numFmtId="9" fontId="0" fillId="4" borderId="0" xfId="0" applyNumberFormat="1" applyFill="1" applyAlignment="1">
      <alignment horizontal="right"/>
    </xf>
    <xf numFmtId="4" fontId="0" fillId="4" borderId="0" xfId="0" applyNumberFormat="1" applyFill="1" applyAlignment="1">
      <alignment horizontal="right"/>
    </xf>
    <xf numFmtId="0" fontId="3" fillId="4" borderId="4" xfId="0" applyFont="1" applyFill="1" applyBorder="1"/>
    <xf numFmtId="9" fontId="3" fillId="4" borderId="0" xfId="0" applyNumberFormat="1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9" fontId="5" fillId="4" borderId="0" xfId="0" applyNumberFormat="1" applyFont="1" applyFill="1" applyAlignment="1">
      <alignment horizontal="right"/>
    </xf>
    <xf numFmtId="10" fontId="0" fillId="0" borderId="0" xfId="0" applyNumberFormat="1"/>
    <xf numFmtId="14" fontId="0" fillId="0" borderId="0" xfId="0" applyNumberFormat="1"/>
    <xf numFmtId="14" fontId="1" fillId="0" borderId="0" xfId="0" applyNumberFormat="1" applyFont="1"/>
    <xf numFmtId="0" fontId="26" fillId="4" borderId="0" xfId="0" applyFont="1" applyFill="1"/>
    <xf numFmtId="9" fontId="7" fillId="4" borderId="0" xfId="0" applyNumberFormat="1" applyFont="1" applyFill="1" applyAlignment="1">
      <alignment horizontal="right"/>
    </xf>
    <xf numFmtId="3" fontId="3" fillId="4" borderId="0" xfId="3" applyNumberFormat="1" applyFont="1" applyFill="1" applyBorder="1" applyAlignment="1">
      <alignment horizontal="right"/>
    </xf>
    <xf numFmtId="3" fontId="3" fillId="5" borderId="0" xfId="3" applyNumberFormat="1" applyFont="1" applyFill="1" applyBorder="1" applyAlignment="1">
      <alignment horizontal="right"/>
    </xf>
    <xf numFmtId="3" fontId="8" fillId="4" borderId="0" xfId="0" applyNumberFormat="1" applyFont="1" applyFill="1" applyAlignment="1">
      <alignment horizontal="right"/>
    </xf>
    <xf numFmtId="3" fontId="8" fillId="5" borderId="0" xfId="0" applyNumberFormat="1" applyFont="1" applyFill="1" applyAlignment="1">
      <alignment horizontal="right"/>
    </xf>
    <xf numFmtId="3" fontId="7" fillId="4" borderId="0" xfId="3" applyNumberFormat="1" applyFont="1" applyFill="1" applyBorder="1" applyAlignment="1">
      <alignment horizontal="right"/>
    </xf>
    <xf numFmtId="4" fontId="19" fillId="4" borderId="0" xfId="0" applyNumberFormat="1" applyFont="1" applyFill="1"/>
    <xf numFmtId="164" fontId="3" fillId="7" borderId="0" xfId="5" applyNumberFormat="1" applyFont="1" applyFill="1" applyBorder="1" applyAlignment="1">
      <alignment horizontal="right"/>
    </xf>
    <xf numFmtId="4" fontId="1" fillId="4" borderId="0" xfId="2" applyNumberFormat="1" applyFont="1" applyFill="1" applyBorder="1" applyAlignment="1">
      <alignment horizontal="left"/>
    </xf>
    <xf numFmtId="0" fontId="2" fillId="0" borderId="0" xfId="4" applyAlignment="1" applyProtection="1"/>
    <xf numFmtId="0" fontId="26" fillId="4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left"/>
    </xf>
    <xf numFmtId="14" fontId="19" fillId="4" borderId="0" xfId="0" applyNumberFormat="1" applyFont="1" applyFill="1" applyAlignment="1">
      <alignment horizontal="center"/>
    </xf>
    <xf numFmtId="0" fontId="1" fillId="4" borderId="4" xfId="4" applyFont="1" applyFill="1" applyBorder="1" applyAlignment="1" applyProtection="1"/>
    <xf numFmtId="0" fontId="1" fillId="4" borderId="5" xfId="0" applyFont="1" applyFill="1" applyBorder="1"/>
    <xf numFmtId="0" fontId="3" fillId="4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6" fillId="4" borderId="0" xfId="0" applyNumberFormat="1" applyFont="1" applyFill="1" applyAlignment="1">
      <alignment horizontal="left"/>
    </xf>
    <xf numFmtId="3" fontId="0" fillId="4" borderId="0" xfId="0" applyNumberFormat="1" applyFill="1"/>
    <xf numFmtId="3" fontId="7" fillId="4" borderId="0" xfId="0" applyNumberFormat="1" applyFont="1" applyFill="1"/>
    <xf numFmtId="3" fontId="3" fillId="0" borderId="0" xfId="2" applyNumberFormat="1" applyFont="1" applyFill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7" fillId="0" borderId="0" xfId="2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2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3" fontId="7" fillId="0" borderId="0" xfId="2" applyNumberFormat="1" applyFont="1" applyFill="1" applyBorder="1" applyAlignment="1"/>
    <xf numFmtId="9" fontId="5" fillId="0" borderId="0" xfId="0" applyNumberFormat="1" applyFont="1"/>
    <xf numFmtId="9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2" applyNumberFormat="1" applyFont="1" applyFill="1" applyBorder="1" applyAlignment="1">
      <alignment horizontal="right"/>
    </xf>
    <xf numFmtId="164" fontId="3" fillId="0" borderId="0" xfId="5" applyNumberFormat="1" applyFont="1" applyFill="1" applyBorder="1" applyAlignment="1">
      <alignment horizontal="right"/>
    </xf>
    <xf numFmtId="164" fontId="7" fillId="0" borderId="0" xfId="5" applyNumberFormat="1" applyFont="1" applyFill="1" applyBorder="1" applyAlignment="1">
      <alignment horizontal="right"/>
    </xf>
    <xf numFmtId="9" fontId="3" fillId="0" borderId="0" xfId="0" applyNumberFormat="1" applyFont="1" applyAlignment="1">
      <alignment horizontal="right"/>
    </xf>
    <xf numFmtId="164" fontId="1" fillId="0" borderId="0" xfId="5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3" fontId="5" fillId="0" borderId="0" xfId="2" applyNumberFormat="1" applyFont="1" applyFill="1" applyBorder="1" applyAlignment="1">
      <alignment horizontal="right"/>
    </xf>
    <xf numFmtId="3" fontId="7" fillId="0" borderId="0" xfId="0" applyNumberFormat="1" applyFont="1"/>
    <xf numFmtId="0" fontId="0" fillId="0" borderId="0" xfId="0" applyAlignment="1">
      <alignment horizontal="right"/>
    </xf>
    <xf numFmtId="0" fontId="1" fillId="0" borderId="0" xfId="0" quotePrefix="1" applyFont="1"/>
    <xf numFmtId="9" fontId="1" fillId="0" borderId="0" xfId="0" applyNumberFormat="1" applyFont="1" applyAlignment="1">
      <alignment horizontal="left"/>
    </xf>
    <xf numFmtId="0" fontId="1" fillId="4" borderId="4" xfId="0" quotePrefix="1" applyFont="1" applyFill="1" applyBorder="1"/>
    <xf numFmtId="0" fontId="1" fillId="4" borderId="0" xfId="0" quotePrefix="1" applyFont="1" applyFill="1" applyAlignment="1">
      <alignment horizontal="center"/>
    </xf>
  </cellXfs>
  <cellStyles count="14">
    <cellStyle name="Chart Fonts" xfId="1" xr:uid="{00000000-0005-0000-0000-000000000000}"/>
    <cellStyle name="Comma" xfId="2" builtinId="3"/>
    <cellStyle name="Comma_Sheet4" xfId="3" xr:uid="{00000000-0005-0000-0000-000002000000}"/>
    <cellStyle name="Dezimal [0]_ALTGGV" xfId="8" xr:uid="{00000000-0005-0000-0000-000003000000}"/>
    <cellStyle name="Dezimal_ALTGGV" xfId="9" xr:uid="{00000000-0005-0000-0000-000004000000}"/>
    <cellStyle name="Heading1" xfId="10" xr:uid="{00000000-0005-0000-0000-000005000000}"/>
    <cellStyle name="Hyperlink" xfId="4" builtinId="8"/>
    <cellStyle name="Hyperlink 2" xfId="7" xr:uid="{00000000-0005-0000-0000-000007000000}"/>
    <cellStyle name="Normal" xfId="0" builtinId="0"/>
    <cellStyle name="Normal 2" xfId="6" xr:uid="{00000000-0005-0000-0000-000009000000}"/>
    <cellStyle name="Percent" xfId="5" builtinId="5"/>
    <cellStyle name="Standard_ALTGGV" xfId="11" xr:uid="{00000000-0005-0000-0000-00000B000000}"/>
    <cellStyle name="Währung [0]_ALTGGV" xfId="12" xr:uid="{00000000-0005-0000-0000-00000C000000}"/>
    <cellStyle name="Währung_ALTGGV" xfId="13" xr:uid="{00000000-0005-0000-0000-00000D000000}"/>
  </cellStyles>
  <dxfs count="0"/>
  <tableStyles count="1" defaultTableStyle="TableStyleMedium9" defaultPivotStyle="PivotStyleLight16">
    <tableStyle name="Invisible" pivot="0" table="0" count="0" xr9:uid="{B67EB15E-B32A-42BE-9CFC-6B81393A85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39158</xdr:colOff>
      <xdr:row>0</xdr:row>
      <xdr:rowOff>0</xdr:rowOff>
    </xdr:from>
    <xdr:to>
      <xdr:col>27</xdr:col>
      <xdr:colOff>39158</xdr:colOff>
      <xdr:row>126</xdr:row>
      <xdr:rowOff>9525</xdr:rowOff>
    </xdr:to>
    <xdr:sp macro="" textlink="">
      <xdr:nvSpPr>
        <xdr:cNvPr id="1184" name="Line 58">
          <a:extLst>
            <a:ext uri="{FF2B5EF4-FFF2-40B4-BE49-F238E27FC236}">
              <a16:creationId xmlns:a16="http://schemas.microsoft.com/office/drawing/2014/main" id="{00000000-0008-0000-0300-0000A0040000}"/>
            </a:ext>
          </a:extLst>
        </xdr:cNvPr>
        <xdr:cNvSpPr>
          <a:spLocks noChangeShapeType="1"/>
        </xdr:cNvSpPr>
      </xdr:nvSpPr>
      <xdr:spPr bwMode="auto">
        <a:xfrm>
          <a:off x="15393458" y="0"/>
          <a:ext cx="0" cy="13935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195</xdr:col>
      <xdr:colOff>81169</xdr:colOff>
      <xdr:row>0</xdr:row>
      <xdr:rowOff>24848</xdr:rowOff>
    </xdr:from>
    <xdr:to>
      <xdr:col>195</xdr:col>
      <xdr:colOff>81169</xdr:colOff>
      <xdr:row>217</xdr:row>
      <xdr:rowOff>99390</xdr:rowOff>
    </xdr:to>
    <xdr:sp macro="" textlink="">
      <xdr:nvSpPr>
        <xdr:cNvPr id="1185" name="Line 59">
          <a:extLst>
            <a:ext uri="{FF2B5EF4-FFF2-40B4-BE49-F238E27FC236}">
              <a16:creationId xmlns:a16="http://schemas.microsoft.com/office/drawing/2014/main" id="{00000000-0008-0000-0300-0000A1040000}"/>
            </a:ext>
          </a:extLst>
        </xdr:cNvPr>
        <xdr:cNvSpPr>
          <a:spLocks noChangeShapeType="1"/>
        </xdr:cNvSpPr>
      </xdr:nvSpPr>
      <xdr:spPr bwMode="auto">
        <a:xfrm flipH="1">
          <a:off x="83677539" y="24848"/>
          <a:ext cx="0" cy="335362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161</xdr:col>
      <xdr:colOff>43259</xdr:colOff>
      <xdr:row>0</xdr:row>
      <xdr:rowOff>0</xdr:rowOff>
    </xdr:from>
    <xdr:to>
      <xdr:col>161</xdr:col>
      <xdr:colOff>43259</xdr:colOff>
      <xdr:row>110</xdr:row>
      <xdr:rowOff>115094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03C9A9-7FE1-EC87-3B82-B7183B1EF967}"/>
            </a:ext>
          </a:extLst>
        </xdr:cNvPr>
        <xdr:cNvCxnSpPr/>
      </xdr:nvCxnSpPr>
      <xdr:spPr bwMode="auto">
        <a:xfrm>
          <a:off x="73493221" y="0"/>
          <a:ext cx="0" cy="1579959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TROPHIN/Work/Alexandra/WIP/idph-exhibit.xls" TargetMode="External"/><Relationship Id="rId1" Type="http://schemas.openxmlformats.org/officeDocument/2006/relationships/externalLinkPath" Target="/RETROPHIN/Work/Alexandra/WIP/idph-exhibi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TROPHIN/Work/Desktop%20Model%20Folder/2000%20LRP-NEUPOGEN.xls" TargetMode="External"/><Relationship Id="rId1" Type="http://schemas.openxmlformats.org/officeDocument/2006/relationships/externalLinkPath" Target="/RETROPHIN/Work/Desktop%20Model%20Folder/2000%20LRP-NEUPOGEN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TS0016/RSCH1/Health%20Services/hospitals/uhs/MODELS/UHS.xls" TargetMode="External"/><Relationship Id="rId1" Type="http://schemas.openxmlformats.org/officeDocument/2006/relationships/externalLinkPath" Target="/NTS0016/RSCH1/Health%20Services/hospitals/uhs/MODELS/UH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ETROPHIN/Work/research/Porter/GELX/MODELS/CURRENT/GELX15.xls" TargetMode="External"/><Relationship Id="rId1" Type="http://schemas.openxmlformats.org/officeDocument/2006/relationships/externalLinkPath" Target="/RETROPHIN/Work/research/Porter/GELX/MODELS/CURRENT/GELX15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INANCE/Sammy/WINDOWS/DESKTOP/New%20IL-1ra%20Revenue%20Model.xls" TargetMode="External"/><Relationship Id="rId1" Type="http://schemas.openxmlformats.org/officeDocument/2006/relationships/externalLinkPath" Target="/FINANCE/Sammy/WINDOWS/DESKTOP/New%20IL-1ra%20Revenue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arnings model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lxwor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enario Builder"/>
      <sheetName val="LRP Scenarios"/>
    </sheetNames>
    <sheetDataSet>
      <sheetData sheetId="0" refreshError="1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29822AD-7CF0-4443-937D-C2B9090ACE38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U3" dT="2025-02-04T01:50:48.68" personId="{F29822AD-7CF0-4443-937D-C2B9090ACE38}" id="{5A379D20-2225-432D-80DA-554F61C4D3E0}">
    <text>10893 actual</text>
  </threadedComment>
  <threadedComment ref="GL3" dT="2025-02-04T02:43:16.42" personId="{F29822AD-7CF0-4443-937D-C2B9090ACE38}" id="{66E92422-25F4-4D79-9581-4243C33214D4}">
    <text>44265</text>
  </threadedComment>
  <threadedComment ref="GL6" dT="2025-02-04T02:44:48.53" personId="{F29822AD-7CF0-4443-937D-C2B9090ACE38}" id="{FD684FC0-139D-4FC3-95C4-BDB00926A090}">
    <text>14451</text>
  </threadedComment>
  <threadedComment ref="BI21" dT="2026-08-23T23:05:04.08" personId="{F29822AD-7CF0-4443-937D-C2B9090ACE38}" id="{34BD75D9-43F9-4052-93FD-CDA00CA27DFC}">
    <text>1H01: 740m</text>
  </threadedComment>
  <threadedComment ref="FN21" dT="2026-08-23T22:48:01.37" personId="{F29822AD-7CF0-4443-937D-C2B9090ACE38}" id="{4154E468-E364-4CD1-B963-634FCEA25793}">
    <text>Roche markets only</text>
  </threadedComment>
  <threadedComment ref="GA78" dT="2022-07-08T05:58:42.15" personId="{F29822AD-7CF0-4443-937D-C2B9090ACE38}" id="{4F67C440-F225-48E5-8977-D72DD0D3FDD6}">
    <text>45499</text>
  </threadedComment>
  <threadedComment ref="GD78" dT="2025-05-23T00:03:43.64" personId="{F29822AD-7CF0-4443-937D-C2B9090ACE38}" id="{95AECF45-9424-4CBD-A7B9-AD71B5560401}">
    <text>48145 IFRS</text>
  </threadedComment>
  <threadedComment ref="GE78" dT="2025-05-23T00:03:34.15" personId="{F29822AD-7CF0-4443-937D-C2B9090ACE38}" id="{272FA3F7-CAFF-44EC-A074-3EE993509BB1}">
    <text>50576 IFRS</text>
  </threadedComment>
  <threadedComment ref="GG78" dT="2025-05-22T23:51:49.24" personId="{F29822AD-7CF0-4443-937D-C2B9090ACE38}" id="{1AE5E624-05F0-4484-8E6C-2DE7785F691C}">
    <text>59497 IFRS</text>
  </threadedComment>
  <threadedComment ref="GH78" dT="2025-05-22T23:51:42.21" personId="{F29822AD-7CF0-4443-937D-C2B9090ACE38}" id="{D28A52D7-583E-43E7-AE3F-CAE17BCC2B64}">
    <text>63751 IFRS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activeCell="B2" sqref="B2"/>
    </sheetView>
  </sheetViews>
  <sheetFormatPr defaultColWidth="8.81640625" defaultRowHeight="12.5" x14ac:dyDescent="0.25"/>
  <cols>
    <col min="1" max="1" width="5" bestFit="1" customWidth="1"/>
    <col min="2" max="2" width="19.1796875" bestFit="1" customWidth="1"/>
  </cols>
  <sheetData>
    <row r="1" spans="1:3" x14ac:dyDescent="0.25">
      <c r="A1" s="39" t="s">
        <v>55</v>
      </c>
    </row>
    <row r="2" spans="1:3" x14ac:dyDescent="0.25">
      <c r="B2" s="1" t="s">
        <v>306</v>
      </c>
      <c r="C2" s="2" t="s">
        <v>442</v>
      </c>
    </row>
    <row r="3" spans="1:3" x14ac:dyDescent="0.25">
      <c r="B3" s="1" t="s">
        <v>308</v>
      </c>
      <c r="C3" s="2" t="s">
        <v>443</v>
      </c>
    </row>
    <row r="4" spans="1:3" x14ac:dyDescent="0.25">
      <c r="B4" s="1" t="s">
        <v>331</v>
      </c>
      <c r="C4" s="2" t="s">
        <v>445</v>
      </c>
    </row>
    <row r="5" spans="1:3" x14ac:dyDescent="0.25">
      <c r="B5" s="2" t="s">
        <v>433</v>
      </c>
      <c r="C5" s="2" t="s">
        <v>444</v>
      </c>
    </row>
    <row r="6" spans="1:3" x14ac:dyDescent="0.25">
      <c r="B6" s="2" t="s">
        <v>436</v>
      </c>
      <c r="C6" s="2" t="s">
        <v>494</v>
      </c>
    </row>
    <row r="7" spans="1:3" x14ac:dyDescent="0.25">
      <c r="B7" s="2" t="s">
        <v>438</v>
      </c>
      <c r="C7" s="2" t="s">
        <v>439</v>
      </c>
    </row>
    <row r="8" spans="1:3" x14ac:dyDescent="0.25">
      <c r="B8" s="2" t="s">
        <v>400</v>
      </c>
      <c r="C8" s="2" t="s">
        <v>401</v>
      </c>
    </row>
    <row r="9" spans="1:3" x14ac:dyDescent="0.25">
      <c r="B9" s="2" t="s">
        <v>434</v>
      </c>
      <c r="C9" s="2" t="s">
        <v>435</v>
      </c>
    </row>
    <row r="10" spans="1:3" x14ac:dyDescent="0.25">
      <c r="B10" s="2" t="s">
        <v>406</v>
      </c>
      <c r="C10" s="2" t="s">
        <v>409</v>
      </c>
    </row>
    <row r="11" spans="1:3" x14ac:dyDescent="0.25">
      <c r="B11" s="2" t="s">
        <v>407</v>
      </c>
      <c r="C11" s="2" t="s">
        <v>408</v>
      </c>
    </row>
    <row r="12" spans="1:3" x14ac:dyDescent="0.25">
      <c r="B12" s="2" t="s">
        <v>410</v>
      </c>
      <c r="C12" s="2" t="s">
        <v>411</v>
      </c>
    </row>
    <row r="13" spans="1:3" x14ac:dyDescent="0.25">
      <c r="B13" s="2" t="s">
        <v>440</v>
      </c>
      <c r="C13" s="2" t="s">
        <v>441</v>
      </c>
    </row>
    <row r="19" spans="2:3" x14ac:dyDescent="0.25">
      <c r="B19" s="2" t="s">
        <v>395</v>
      </c>
    </row>
    <row r="20" spans="2:3" x14ac:dyDescent="0.25">
      <c r="B20" s="2" t="s">
        <v>452</v>
      </c>
    </row>
    <row r="22" spans="2:3" ht="13" x14ac:dyDescent="0.3">
      <c r="B22" s="40" t="s">
        <v>800</v>
      </c>
    </row>
    <row r="23" spans="2:3" x14ac:dyDescent="0.25">
      <c r="B23" s="1" t="s">
        <v>307</v>
      </c>
      <c r="C23" s="2" t="s">
        <v>801</v>
      </c>
    </row>
    <row r="24" spans="2:3" x14ac:dyDescent="0.25">
      <c r="B24" s="1" t="s">
        <v>309</v>
      </c>
      <c r="C24" s="2" t="s">
        <v>802</v>
      </c>
    </row>
    <row r="25" spans="2:3" x14ac:dyDescent="0.25">
      <c r="B25" s="2" t="s">
        <v>437</v>
      </c>
      <c r="C25" s="2" t="s">
        <v>803</v>
      </c>
    </row>
    <row r="26" spans="2:3" x14ac:dyDescent="0.25">
      <c r="B26" s="2" t="s">
        <v>405</v>
      </c>
      <c r="C26" s="2" t="s">
        <v>804</v>
      </c>
    </row>
  </sheetData>
  <hyperlinks>
    <hyperlink ref="A1" location="Main!A1" display="Main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R17" sqref="R17"/>
    </sheetView>
  </sheetViews>
  <sheetFormatPr defaultColWidth="8.81640625" defaultRowHeight="12.5" x14ac:dyDescent="0.25"/>
  <cols>
    <col min="1" max="1" width="5" bestFit="1" customWidth="1"/>
    <col min="2" max="2" width="19.81640625" bestFit="1" customWidth="1"/>
    <col min="9" max="9" width="12.453125" bestFit="1" customWidth="1"/>
    <col min="15" max="15" width="10.1796875" bestFit="1" customWidth="1"/>
    <col min="17" max="17" width="10.1796875" bestFit="1" customWidth="1"/>
  </cols>
  <sheetData>
    <row r="1" spans="1:19" x14ac:dyDescent="0.25">
      <c r="A1" s="113" t="s">
        <v>55</v>
      </c>
    </row>
    <row r="2" spans="1:19" ht="13" x14ac:dyDescent="0.3">
      <c r="B2" s="40" t="s">
        <v>595</v>
      </c>
    </row>
    <row r="3" spans="1:19" x14ac:dyDescent="0.25">
      <c r="E3" s="2" t="s">
        <v>619</v>
      </c>
      <c r="F3" s="2" t="s">
        <v>620</v>
      </c>
    </row>
    <row r="4" spans="1:19" x14ac:dyDescent="0.25">
      <c r="B4" s="2" t="s">
        <v>43</v>
      </c>
      <c r="C4" s="2" t="s">
        <v>596</v>
      </c>
      <c r="D4" s="2" t="s">
        <v>597</v>
      </c>
      <c r="E4" s="2" t="s">
        <v>598</v>
      </c>
      <c r="F4" s="2" t="s">
        <v>598</v>
      </c>
      <c r="G4" s="2" t="s">
        <v>599</v>
      </c>
      <c r="H4" s="2" t="s">
        <v>600</v>
      </c>
      <c r="I4" s="2" t="s">
        <v>601</v>
      </c>
      <c r="J4" t="s">
        <v>106</v>
      </c>
      <c r="K4" t="s">
        <v>603</v>
      </c>
      <c r="L4" t="s">
        <v>604</v>
      </c>
      <c r="M4" t="s">
        <v>605</v>
      </c>
      <c r="N4" t="s">
        <v>606</v>
      </c>
      <c r="O4" t="s">
        <v>607</v>
      </c>
      <c r="P4" t="s">
        <v>608</v>
      </c>
      <c r="Q4" t="s">
        <v>609</v>
      </c>
      <c r="R4" t="s">
        <v>610</v>
      </c>
      <c r="S4" s="2" t="s">
        <v>615</v>
      </c>
    </row>
    <row r="5" spans="1:19" x14ac:dyDescent="0.25">
      <c r="C5">
        <v>2010</v>
      </c>
    </row>
    <row r="6" spans="1:19" x14ac:dyDescent="0.25">
      <c r="C6">
        <v>2011</v>
      </c>
    </row>
    <row r="7" spans="1:19" x14ac:dyDescent="0.25">
      <c r="C7">
        <v>2012</v>
      </c>
    </row>
    <row r="8" spans="1:19" x14ac:dyDescent="0.25">
      <c r="C8">
        <v>2013</v>
      </c>
    </row>
    <row r="9" spans="1:19" x14ac:dyDescent="0.25">
      <c r="C9">
        <v>2014</v>
      </c>
    </row>
    <row r="10" spans="1:19" x14ac:dyDescent="0.25">
      <c r="B10" s="2" t="s">
        <v>643</v>
      </c>
      <c r="C10" s="102">
        <v>42200</v>
      </c>
      <c r="D10" s="101">
        <v>38551</v>
      </c>
      <c r="E10" s="2" t="s">
        <v>633</v>
      </c>
      <c r="F10" s="2" t="s">
        <v>641</v>
      </c>
      <c r="G10" s="89">
        <v>993.32</v>
      </c>
      <c r="H10" s="100">
        <v>4.7500000000000001E-2</v>
      </c>
      <c r="I10" s="2" t="s">
        <v>602</v>
      </c>
      <c r="J10">
        <v>107.1</v>
      </c>
      <c r="K10" s="100">
        <v>3.2599999999999997E-2</v>
      </c>
      <c r="L10" s="2" t="s">
        <v>618</v>
      </c>
      <c r="M10" s="2" t="s">
        <v>611</v>
      </c>
      <c r="N10" s="100">
        <v>7.3590000000000003E-2</v>
      </c>
      <c r="O10" s="101">
        <v>39736</v>
      </c>
      <c r="P10" s="100">
        <v>2.8389999999999999E-2</v>
      </c>
      <c r="Q10" s="101">
        <v>40133</v>
      </c>
      <c r="R10" s="100">
        <v>2.4500000000000001E-2</v>
      </c>
      <c r="S10" s="100">
        <f t="shared" ref="S10:S19" si="0">K10-R10</f>
        <v>8.0999999999999961E-3</v>
      </c>
    </row>
    <row r="11" spans="1:19" x14ac:dyDescent="0.25">
      <c r="B11" s="2" t="s">
        <v>642</v>
      </c>
      <c r="C11" s="101">
        <v>42200</v>
      </c>
      <c r="D11" s="101">
        <v>38546</v>
      </c>
      <c r="E11" s="2" t="s">
        <v>633</v>
      </c>
      <c r="F11" s="2" t="s">
        <v>641</v>
      </c>
      <c r="G11" s="89">
        <v>6.68</v>
      </c>
      <c r="H11" s="100">
        <v>4.7500000000000001E-2</v>
      </c>
      <c r="I11" s="2" t="s">
        <v>602</v>
      </c>
      <c r="J11">
        <v>108</v>
      </c>
      <c r="K11" s="100">
        <v>3.0700000000000002E-2</v>
      </c>
      <c r="L11" s="2" t="s">
        <v>618</v>
      </c>
      <c r="M11" s="2" t="s">
        <v>611</v>
      </c>
      <c r="N11" s="100">
        <v>7.5139999999999998E-2</v>
      </c>
      <c r="O11" s="101">
        <v>39745</v>
      </c>
      <c r="P11" s="100">
        <v>2.9579999999999999E-2</v>
      </c>
      <c r="Q11" s="101">
        <v>40144</v>
      </c>
      <c r="R11" s="100">
        <v>2.4500000000000001E-2</v>
      </c>
      <c r="S11" s="100">
        <f t="shared" si="0"/>
        <v>6.2000000000000006E-3</v>
      </c>
    </row>
    <row r="12" spans="1:19" x14ac:dyDescent="0.25">
      <c r="B12" s="2" t="s">
        <v>640</v>
      </c>
      <c r="C12" s="101">
        <v>42067</v>
      </c>
      <c r="D12" s="101">
        <v>39869</v>
      </c>
      <c r="E12" s="2" t="s">
        <v>639</v>
      </c>
      <c r="F12" s="2" t="s">
        <v>641</v>
      </c>
      <c r="G12" s="89">
        <v>1250</v>
      </c>
      <c r="H12" s="100">
        <v>5.5E-2</v>
      </c>
      <c r="I12" s="2" t="s">
        <v>622</v>
      </c>
      <c r="J12">
        <v>107.8914</v>
      </c>
      <c r="K12" s="100">
        <v>3.6400000000000002E-2</v>
      </c>
      <c r="L12" s="2" t="s">
        <v>612</v>
      </c>
      <c r="M12" s="2" t="s">
        <v>611</v>
      </c>
      <c r="N12" s="100">
        <v>5.6730000000000003E-2</v>
      </c>
      <c r="O12" s="101">
        <v>39870</v>
      </c>
      <c r="P12" s="100">
        <v>3.6339999999999997E-2</v>
      </c>
      <c r="Q12" s="101">
        <v>40270</v>
      </c>
      <c r="R12" s="100">
        <v>2.4500000000000001E-2</v>
      </c>
      <c r="S12" s="100">
        <f t="shared" si="0"/>
        <v>1.1900000000000001E-2</v>
      </c>
    </row>
    <row r="13" spans="1:19" x14ac:dyDescent="0.25">
      <c r="B13" s="2" t="s">
        <v>638</v>
      </c>
      <c r="C13" s="101">
        <v>42433</v>
      </c>
      <c r="D13" s="101">
        <v>39869</v>
      </c>
      <c r="E13" s="2" t="s">
        <v>637</v>
      </c>
      <c r="F13" s="2" t="s">
        <v>639</v>
      </c>
      <c r="G13" s="89">
        <v>2750</v>
      </c>
      <c r="H13" s="100">
        <v>5.6250000000000001E-2</v>
      </c>
      <c r="I13" s="2" t="s">
        <v>625</v>
      </c>
      <c r="J13">
        <v>113.5855</v>
      </c>
      <c r="K13" s="100">
        <v>3.0300000000000001E-2</v>
      </c>
      <c r="L13" s="2" t="s">
        <v>612</v>
      </c>
      <c r="M13" s="2" t="s">
        <v>611</v>
      </c>
      <c r="N13" s="100">
        <v>5.5359999999999999E-2</v>
      </c>
      <c r="O13" s="101">
        <v>39870</v>
      </c>
      <c r="P13" s="100">
        <v>3.024E-2</v>
      </c>
      <c r="Q13" s="102">
        <v>40284</v>
      </c>
      <c r="R13" s="100">
        <f>AVERAGE(2.48%,3.19%)</f>
        <v>2.835E-2</v>
      </c>
      <c r="S13" s="100">
        <f t="shared" si="0"/>
        <v>1.9500000000000003E-3</v>
      </c>
    </row>
    <row r="14" spans="1:19" x14ac:dyDescent="0.25">
      <c r="B14" s="2" t="s">
        <v>634</v>
      </c>
      <c r="C14" s="101">
        <v>42817</v>
      </c>
      <c r="D14" s="101">
        <v>39876</v>
      </c>
      <c r="E14" s="2" t="s">
        <v>636</v>
      </c>
      <c r="F14" s="2" t="s">
        <v>637</v>
      </c>
      <c r="G14" s="89">
        <v>1500</v>
      </c>
      <c r="H14" s="100">
        <v>4.4999999999999998E-2</v>
      </c>
      <c r="I14" s="2" t="s">
        <v>635</v>
      </c>
      <c r="J14">
        <v>115.0825</v>
      </c>
      <c r="K14" s="100">
        <v>2.1499999999999998E-2</v>
      </c>
      <c r="L14" s="2" t="s">
        <v>612</v>
      </c>
      <c r="M14" s="2" t="s">
        <v>611</v>
      </c>
      <c r="N14" s="100">
        <v>4.4569999999999999E-2</v>
      </c>
      <c r="O14" s="101">
        <v>39876</v>
      </c>
      <c r="P14" s="100">
        <v>2.1149999999999999E-2</v>
      </c>
      <c r="Q14" s="101">
        <v>40274</v>
      </c>
      <c r="R14" s="100">
        <v>3.1899999999999998E-2</v>
      </c>
      <c r="S14" s="100">
        <f t="shared" si="0"/>
        <v>-1.04E-2</v>
      </c>
    </row>
    <row r="15" spans="1:19" x14ac:dyDescent="0.25">
      <c r="B15" s="2" t="s">
        <v>631</v>
      </c>
      <c r="C15" s="101">
        <v>43525</v>
      </c>
      <c r="D15" s="101">
        <v>39862</v>
      </c>
      <c r="E15" s="2" t="s">
        <v>633</v>
      </c>
      <c r="F15" s="2" t="s">
        <v>632</v>
      </c>
      <c r="G15" s="89">
        <v>4500</v>
      </c>
      <c r="H15" s="100">
        <v>0.06</v>
      </c>
      <c r="I15" s="2" t="s">
        <v>602</v>
      </c>
      <c r="J15">
        <v>110.85899999999999</v>
      </c>
      <c r="K15" s="100">
        <v>4.4499999999999998E-2</v>
      </c>
      <c r="L15" s="2" t="s">
        <v>612</v>
      </c>
      <c r="M15" s="2" t="s">
        <v>611</v>
      </c>
      <c r="N15" s="100">
        <v>5.9859999999999997E-2</v>
      </c>
      <c r="O15" s="101">
        <v>39889</v>
      </c>
      <c r="P15" s="100">
        <v>4.2569999999999997E-2</v>
      </c>
      <c r="Q15" s="101">
        <v>40147</v>
      </c>
      <c r="R15" s="100">
        <v>3.7499999999999999E-2</v>
      </c>
      <c r="S15" s="100">
        <f t="shared" si="0"/>
        <v>6.9999999999999993E-3</v>
      </c>
    </row>
    <row r="16" spans="1:19" x14ac:dyDescent="0.25">
      <c r="B16" s="2" t="s">
        <v>624</v>
      </c>
      <c r="C16" s="101">
        <v>44259</v>
      </c>
      <c r="D16" s="101">
        <v>39869</v>
      </c>
      <c r="E16" s="2" t="s">
        <v>626</v>
      </c>
      <c r="F16" s="2" t="s">
        <v>627</v>
      </c>
      <c r="G16" s="89">
        <v>1750</v>
      </c>
      <c r="H16" s="100">
        <v>6.5000000000000002E-2</v>
      </c>
      <c r="I16" s="2" t="s">
        <v>625</v>
      </c>
      <c r="J16">
        <v>122.0099</v>
      </c>
      <c r="K16" s="100">
        <v>3.95E-2</v>
      </c>
      <c r="L16" s="2" t="s">
        <v>612</v>
      </c>
      <c r="M16" s="2" t="s">
        <v>611</v>
      </c>
      <c r="N16" s="100">
        <v>6.4390000000000003E-2</v>
      </c>
      <c r="O16" s="101">
        <v>39870</v>
      </c>
      <c r="P16" s="100">
        <v>3.9410000000000001E-2</v>
      </c>
      <c r="Q16" s="101">
        <v>40260</v>
      </c>
      <c r="R16" s="100">
        <v>3.7499999999999999E-2</v>
      </c>
      <c r="S16" s="100">
        <f t="shared" si="0"/>
        <v>2.0000000000000018E-3</v>
      </c>
    </row>
    <row r="17" spans="2:19" x14ac:dyDescent="0.25">
      <c r="B17" s="2" t="s">
        <v>621</v>
      </c>
      <c r="C17" s="101">
        <v>45167</v>
      </c>
      <c r="D17" s="101">
        <v>37854</v>
      </c>
      <c r="E17" s="2" t="s">
        <v>623</v>
      </c>
      <c r="F17" s="2" t="s">
        <v>628</v>
      </c>
      <c r="G17" s="89">
        <v>250</v>
      </c>
      <c r="H17" s="100">
        <v>5.3749999999999999E-2</v>
      </c>
      <c r="I17" s="2" t="s">
        <v>622</v>
      </c>
      <c r="J17">
        <v>102.3557</v>
      </c>
      <c r="K17" s="100">
        <v>3.6999999999999998E-2</v>
      </c>
      <c r="L17" s="2" t="s">
        <v>612</v>
      </c>
      <c r="M17" s="2" t="s">
        <v>611</v>
      </c>
      <c r="N17" s="100">
        <v>7.0470000000000005E-2</v>
      </c>
      <c r="O17" s="101">
        <v>39756</v>
      </c>
      <c r="P17" s="100">
        <v>4.546E-2</v>
      </c>
      <c r="Q17" s="101">
        <v>38735</v>
      </c>
      <c r="R17" s="100">
        <v>2.1000000000000001E-2</v>
      </c>
      <c r="S17" s="100">
        <f t="shared" si="0"/>
        <v>1.5999999999999997E-2</v>
      </c>
    </row>
    <row r="18" spans="2:19" x14ac:dyDescent="0.25">
      <c r="B18" s="2" t="s">
        <v>616</v>
      </c>
      <c r="C18" s="101">
        <v>49505</v>
      </c>
      <c r="D18" s="101">
        <v>38551</v>
      </c>
      <c r="E18" s="2" t="s">
        <v>613</v>
      </c>
      <c r="F18" s="2" t="s">
        <v>629</v>
      </c>
      <c r="G18" s="89">
        <v>500</v>
      </c>
      <c r="H18" s="100">
        <v>5.2499999999999998E-2</v>
      </c>
      <c r="I18" s="2" t="s">
        <v>617</v>
      </c>
      <c r="J18">
        <v>98.950999999999993</v>
      </c>
      <c r="K18" s="100">
        <v>4.3900000000000002E-2</v>
      </c>
      <c r="L18" s="2" t="s">
        <v>618</v>
      </c>
      <c r="M18" s="2" t="s">
        <v>611</v>
      </c>
      <c r="N18" s="100">
        <v>7.2969999999999993E-2</v>
      </c>
      <c r="O18" s="101">
        <v>39735</v>
      </c>
      <c r="P18" s="100">
        <v>5.135E-2</v>
      </c>
      <c r="Q18" s="101">
        <v>40147</v>
      </c>
      <c r="R18" s="100">
        <v>0.03</v>
      </c>
      <c r="S18" s="100">
        <f t="shared" si="0"/>
        <v>1.3900000000000003E-2</v>
      </c>
    </row>
    <row r="19" spans="2:19" x14ac:dyDescent="0.25">
      <c r="B19" s="2" t="s">
        <v>614</v>
      </c>
      <c r="C19" s="101">
        <v>50830</v>
      </c>
      <c r="D19" s="101">
        <v>39862</v>
      </c>
      <c r="E19" s="2" t="s">
        <v>613</v>
      </c>
      <c r="F19" s="2" t="s">
        <v>630</v>
      </c>
      <c r="G19" s="89">
        <v>2500</v>
      </c>
      <c r="H19" s="100">
        <v>7.0000000000000007E-2</v>
      </c>
      <c r="I19" s="2" t="s">
        <v>602</v>
      </c>
      <c r="J19">
        <v>125.7942</v>
      </c>
      <c r="K19" s="100">
        <v>4.5999999999999999E-2</v>
      </c>
      <c r="L19" s="2" t="s">
        <v>612</v>
      </c>
      <c r="M19" s="2" t="s">
        <v>611</v>
      </c>
      <c r="N19" s="100">
        <v>6.8470000000000003E-2</v>
      </c>
      <c r="O19" s="101">
        <v>39863</v>
      </c>
      <c r="P19" s="100">
        <v>4.5159999999999999E-2</v>
      </c>
      <c r="Q19" s="101">
        <v>40416</v>
      </c>
      <c r="R19" s="100">
        <v>3.4799999999999998E-2</v>
      </c>
      <c r="S19" s="100">
        <f t="shared" si="0"/>
        <v>1.1200000000000002E-2</v>
      </c>
    </row>
  </sheetData>
  <hyperlinks>
    <hyperlink ref="A1" location="Main!A1" display="Main" xr:uid="{00000000-0004-0000-0100-000000000000}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0731-3B1A-4265-8D07-A9072AED03E3}">
  <dimension ref="A1:H68"/>
  <sheetViews>
    <sheetView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B68" sqref="B68:G68"/>
    </sheetView>
  </sheetViews>
  <sheetFormatPr defaultColWidth="8.81640625" defaultRowHeight="12.5" x14ac:dyDescent="0.25"/>
  <cols>
    <col min="1" max="1" width="5" bestFit="1" customWidth="1"/>
    <col min="3" max="3" width="11.453125" customWidth="1"/>
    <col min="6" max="6" width="10.1796875" customWidth="1"/>
    <col min="7" max="7" width="13.1796875" customWidth="1"/>
  </cols>
  <sheetData>
    <row r="1" spans="1:8" x14ac:dyDescent="0.25">
      <c r="A1" s="39" t="s">
        <v>55</v>
      </c>
    </row>
    <row r="2" spans="1:8" x14ac:dyDescent="0.25">
      <c r="B2" s="2" t="s">
        <v>790</v>
      </c>
      <c r="C2" s="2" t="s">
        <v>791</v>
      </c>
      <c r="D2" s="2" t="s">
        <v>44</v>
      </c>
      <c r="E2" s="2" t="s">
        <v>87</v>
      </c>
      <c r="F2" s="2" t="s">
        <v>65</v>
      </c>
      <c r="G2" s="2" t="s">
        <v>794</v>
      </c>
    </row>
    <row r="3" spans="1:8" x14ac:dyDescent="0.25">
      <c r="B3" s="2" t="s">
        <v>33</v>
      </c>
      <c r="C3" s="2" t="s">
        <v>795</v>
      </c>
      <c r="D3" s="2" t="s">
        <v>86</v>
      </c>
      <c r="E3">
        <v>1999</v>
      </c>
      <c r="F3" s="2" t="s">
        <v>796</v>
      </c>
      <c r="G3" s="2" t="s">
        <v>388</v>
      </c>
    </row>
    <row r="4" spans="1:8" x14ac:dyDescent="0.25">
      <c r="B4" s="2" t="s">
        <v>113</v>
      </c>
      <c r="C4" s="2" t="s">
        <v>798</v>
      </c>
      <c r="D4" s="2" t="s">
        <v>206</v>
      </c>
      <c r="E4" s="101">
        <v>36959</v>
      </c>
    </row>
    <row r="6" spans="1:8" x14ac:dyDescent="0.25">
      <c r="B6" s="3" t="s">
        <v>686</v>
      </c>
    </row>
    <row r="7" spans="1:8" x14ac:dyDescent="0.25">
      <c r="B7" s="3" t="s">
        <v>711</v>
      </c>
    </row>
    <row r="8" spans="1:8" x14ac:dyDescent="0.25">
      <c r="B8" s="3" t="s">
        <v>727</v>
      </c>
    </row>
    <row r="9" spans="1:8" x14ac:dyDescent="0.25">
      <c r="B9" s="4"/>
    </row>
    <row r="10" spans="1:8" x14ac:dyDescent="0.25">
      <c r="B10" s="4"/>
    </row>
    <row r="11" spans="1:8" x14ac:dyDescent="0.25">
      <c r="B11" s="4"/>
    </row>
    <row r="12" spans="1:8" x14ac:dyDescent="0.25">
      <c r="B12" s="3" t="s">
        <v>722</v>
      </c>
    </row>
    <row r="13" spans="1:8" x14ac:dyDescent="0.25">
      <c r="B13" s="3" t="s">
        <v>721</v>
      </c>
    </row>
    <row r="14" spans="1:8" x14ac:dyDescent="0.25">
      <c r="B14" s="53" t="s">
        <v>393</v>
      </c>
      <c r="C14" s="11" t="s">
        <v>67</v>
      </c>
      <c r="D14" s="11" t="s">
        <v>80</v>
      </c>
      <c r="E14" s="14">
        <v>1</v>
      </c>
      <c r="F14" s="11" t="s">
        <v>68</v>
      </c>
      <c r="G14" s="86"/>
      <c r="H14" s="42" t="s">
        <v>253</v>
      </c>
    </row>
    <row r="15" spans="1:8" x14ac:dyDescent="0.25">
      <c r="B15" s="53" t="s">
        <v>346</v>
      </c>
      <c r="C15" s="10" t="s">
        <v>279</v>
      </c>
      <c r="D15" s="11" t="s">
        <v>80</v>
      </c>
      <c r="E15" s="14">
        <v>1</v>
      </c>
      <c r="F15" s="11" t="s">
        <v>280</v>
      </c>
      <c r="G15" s="86"/>
      <c r="H15" s="35" t="s">
        <v>253</v>
      </c>
    </row>
    <row r="16" spans="1:8" x14ac:dyDescent="0.25">
      <c r="B16" s="53" t="s">
        <v>361</v>
      </c>
      <c r="C16" s="10" t="s">
        <v>572</v>
      </c>
      <c r="D16" s="10" t="s">
        <v>80</v>
      </c>
      <c r="E16" s="14">
        <v>1</v>
      </c>
      <c r="F16" s="10" t="s">
        <v>360</v>
      </c>
      <c r="G16" s="86"/>
      <c r="H16" s="35" t="s">
        <v>253</v>
      </c>
    </row>
    <row r="17" spans="2:8" x14ac:dyDescent="0.25">
      <c r="B17" s="53" t="s">
        <v>381</v>
      </c>
      <c r="C17" s="10" t="s">
        <v>382</v>
      </c>
      <c r="D17" s="10" t="s">
        <v>80</v>
      </c>
      <c r="E17" s="14">
        <v>1</v>
      </c>
      <c r="F17" s="10" t="s">
        <v>383</v>
      </c>
      <c r="G17" s="86"/>
      <c r="H17" s="35" t="s">
        <v>384</v>
      </c>
    </row>
    <row r="18" spans="2:8" x14ac:dyDescent="0.25">
      <c r="B18" s="8" t="s">
        <v>109</v>
      </c>
      <c r="C18" s="11" t="s">
        <v>79</v>
      </c>
      <c r="D18" s="10" t="s">
        <v>80</v>
      </c>
      <c r="E18" s="14" t="s">
        <v>270</v>
      </c>
      <c r="F18" s="11" t="s">
        <v>254</v>
      </c>
      <c r="G18" s="87" t="s">
        <v>594</v>
      </c>
      <c r="H18" s="35" t="s">
        <v>253</v>
      </c>
    </row>
    <row r="19" spans="2:8" x14ac:dyDescent="0.25">
      <c r="B19" s="8" t="s">
        <v>111</v>
      </c>
      <c r="C19" s="11" t="s">
        <v>79</v>
      </c>
      <c r="D19" s="10" t="s">
        <v>110</v>
      </c>
      <c r="E19" s="14" t="s">
        <v>112</v>
      </c>
      <c r="F19" s="11" t="s">
        <v>269</v>
      </c>
      <c r="G19" s="87" t="s">
        <v>518</v>
      </c>
      <c r="H19" s="35" t="s">
        <v>253</v>
      </c>
    </row>
    <row r="20" spans="2:8" x14ac:dyDescent="0.25">
      <c r="B20" s="8" t="s">
        <v>271</v>
      </c>
      <c r="C20" s="11" t="s">
        <v>67</v>
      </c>
      <c r="D20" s="11" t="s">
        <v>110</v>
      </c>
      <c r="E20" s="14">
        <v>1</v>
      </c>
      <c r="F20" s="10" t="s">
        <v>457</v>
      </c>
      <c r="G20" s="86"/>
      <c r="H20" s="35" t="s">
        <v>253</v>
      </c>
    </row>
    <row r="21" spans="2:8" x14ac:dyDescent="0.25">
      <c r="B21" s="8" t="s">
        <v>272</v>
      </c>
      <c r="C21" s="11" t="s">
        <v>67</v>
      </c>
      <c r="D21" s="11" t="s">
        <v>110</v>
      </c>
      <c r="E21" s="14">
        <v>1</v>
      </c>
      <c r="F21" s="10" t="s">
        <v>457</v>
      </c>
      <c r="G21" s="86"/>
      <c r="H21" s="35" t="s">
        <v>253</v>
      </c>
    </row>
    <row r="22" spans="2:8" x14ac:dyDescent="0.25">
      <c r="B22" s="53" t="s">
        <v>352</v>
      </c>
      <c r="C22" s="10" t="s">
        <v>67</v>
      </c>
      <c r="D22" s="10" t="s">
        <v>110</v>
      </c>
      <c r="E22" s="14">
        <v>1</v>
      </c>
      <c r="F22" s="10" t="s">
        <v>458</v>
      </c>
      <c r="G22" s="86"/>
      <c r="H22" s="35" t="s">
        <v>253</v>
      </c>
    </row>
    <row r="23" spans="2:8" x14ac:dyDescent="0.25">
      <c r="B23" s="53" t="s">
        <v>354</v>
      </c>
      <c r="C23" s="10" t="s">
        <v>355</v>
      </c>
      <c r="D23" s="10" t="s">
        <v>110</v>
      </c>
      <c r="E23" s="14">
        <v>1</v>
      </c>
      <c r="F23" s="10"/>
      <c r="G23" s="86"/>
      <c r="H23" s="35" t="s">
        <v>253</v>
      </c>
    </row>
    <row r="24" spans="2:8" x14ac:dyDescent="0.25">
      <c r="B24" s="53" t="s">
        <v>593</v>
      </c>
      <c r="C24" s="10" t="s">
        <v>67</v>
      </c>
      <c r="D24" s="10" t="s">
        <v>80</v>
      </c>
      <c r="E24" s="14">
        <v>1</v>
      </c>
      <c r="F24" s="10"/>
      <c r="G24" s="86"/>
      <c r="H24" s="35" t="s">
        <v>253</v>
      </c>
    </row>
    <row r="25" spans="2:8" x14ac:dyDescent="0.25">
      <c r="B25" s="43" t="s">
        <v>321</v>
      </c>
      <c r="C25" s="33" t="s">
        <v>322</v>
      </c>
      <c r="D25" s="33" t="s">
        <v>80</v>
      </c>
      <c r="E25" s="14">
        <v>1</v>
      </c>
      <c r="F25" s="10" t="s">
        <v>571</v>
      </c>
      <c r="H25" s="35" t="s">
        <v>298</v>
      </c>
    </row>
    <row r="26" spans="2:8" x14ac:dyDescent="0.25">
      <c r="B26" s="53" t="s">
        <v>856</v>
      </c>
      <c r="C26" s="10" t="s">
        <v>573</v>
      </c>
      <c r="D26" s="10" t="s">
        <v>80</v>
      </c>
      <c r="E26" s="41">
        <v>1</v>
      </c>
      <c r="F26" s="10" t="s">
        <v>574</v>
      </c>
      <c r="G26" s="10" t="s">
        <v>855</v>
      </c>
      <c r="H26" s="35" t="s">
        <v>253</v>
      </c>
    </row>
    <row r="27" spans="2:8" x14ac:dyDescent="0.25">
      <c r="B27" s="53" t="s">
        <v>857</v>
      </c>
      <c r="C27" s="11" t="s">
        <v>67</v>
      </c>
      <c r="D27" s="33" t="s">
        <v>80</v>
      </c>
      <c r="E27" s="37" t="s">
        <v>19</v>
      </c>
      <c r="F27" s="10" t="s">
        <v>353</v>
      </c>
      <c r="G27" s="35" t="s">
        <v>253</v>
      </c>
    </row>
    <row r="28" spans="2:8" x14ac:dyDescent="0.25">
      <c r="B28" s="53" t="s">
        <v>378</v>
      </c>
      <c r="C28" s="10" t="s">
        <v>115</v>
      </c>
      <c r="D28" s="10" t="s">
        <v>80</v>
      </c>
      <c r="E28" s="41">
        <v>1</v>
      </c>
      <c r="F28" s="10" t="s">
        <v>341</v>
      </c>
      <c r="G28" s="35" t="s">
        <v>253</v>
      </c>
    </row>
    <row r="29" spans="2:8" x14ac:dyDescent="0.25">
      <c r="B29" s="53" t="s">
        <v>344</v>
      </c>
      <c r="C29" s="10" t="s">
        <v>282</v>
      </c>
      <c r="D29" s="10" t="s">
        <v>80</v>
      </c>
      <c r="E29" s="41" t="s">
        <v>858</v>
      </c>
      <c r="F29" s="10" t="s">
        <v>345</v>
      </c>
      <c r="G29" s="36" t="s">
        <v>161</v>
      </c>
    </row>
    <row r="30" spans="2:8" x14ac:dyDescent="0.25">
      <c r="B30" s="53" t="s">
        <v>692</v>
      </c>
      <c r="C30" s="10" t="s">
        <v>115</v>
      </c>
      <c r="D30" s="10" t="s">
        <v>114</v>
      </c>
      <c r="E30" s="37">
        <v>1</v>
      </c>
      <c r="F30" s="10" t="s">
        <v>575</v>
      </c>
      <c r="G30" s="35" t="s">
        <v>161</v>
      </c>
    </row>
    <row r="31" spans="2:8" x14ac:dyDescent="0.25">
      <c r="B31" s="53" t="s">
        <v>373</v>
      </c>
      <c r="C31" s="10" t="s">
        <v>115</v>
      </c>
      <c r="D31" s="10" t="s">
        <v>80</v>
      </c>
      <c r="E31" s="41" t="s">
        <v>368</v>
      </c>
      <c r="F31" s="10" t="s">
        <v>374</v>
      </c>
      <c r="G31" s="35" t="s">
        <v>211</v>
      </c>
    </row>
    <row r="32" spans="2:8" x14ac:dyDescent="0.25">
      <c r="B32" s="43" t="s">
        <v>318</v>
      </c>
      <c r="C32" s="33" t="s">
        <v>319</v>
      </c>
      <c r="D32" s="33" t="s">
        <v>80</v>
      </c>
      <c r="E32" s="37" t="s">
        <v>320</v>
      </c>
      <c r="F32" s="10" t="s">
        <v>324</v>
      </c>
      <c r="G32" s="35" t="s">
        <v>253</v>
      </c>
    </row>
    <row r="33" spans="2:7" x14ac:dyDescent="0.25">
      <c r="B33" s="8" t="s">
        <v>275</v>
      </c>
      <c r="C33" s="11" t="s">
        <v>276</v>
      </c>
      <c r="D33" s="11" t="s">
        <v>110</v>
      </c>
      <c r="E33" s="41" t="s">
        <v>351</v>
      </c>
      <c r="F33" s="10" t="s">
        <v>456</v>
      </c>
      <c r="G33" s="35" t="s">
        <v>161</v>
      </c>
    </row>
    <row r="34" spans="2:7" x14ac:dyDescent="0.25">
      <c r="B34" s="53" t="s">
        <v>709</v>
      </c>
      <c r="C34" s="10" t="s">
        <v>680</v>
      </c>
      <c r="D34" s="10" t="s">
        <v>80</v>
      </c>
      <c r="E34" s="41" t="s">
        <v>561</v>
      </c>
      <c r="F34" s="10" t="s">
        <v>681</v>
      </c>
      <c r="G34" s="35" t="s">
        <v>253</v>
      </c>
    </row>
    <row r="35" spans="2:7" x14ac:dyDescent="0.25">
      <c r="B35" s="53" t="s">
        <v>866</v>
      </c>
      <c r="C35" s="10" t="s">
        <v>312</v>
      </c>
      <c r="D35" s="10" t="s">
        <v>110</v>
      </c>
      <c r="E35" s="41">
        <v>1</v>
      </c>
      <c r="F35" s="10" t="s">
        <v>459</v>
      </c>
      <c r="G35" s="35" t="s">
        <v>253</v>
      </c>
    </row>
    <row r="36" spans="2:7" x14ac:dyDescent="0.25">
      <c r="B36" s="53" t="s">
        <v>568</v>
      </c>
      <c r="C36" s="10" t="s">
        <v>70</v>
      </c>
      <c r="D36" s="10" t="s">
        <v>110</v>
      </c>
      <c r="E36" s="41">
        <v>1</v>
      </c>
      <c r="F36" s="10" t="s">
        <v>569</v>
      </c>
      <c r="G36" s="35" t="s">
        <v>253</v>
      </c>
    </row>
    <row r="37" spans="2:7" x14ac:dyDescent="0.25">
      <c r="B37" s="53" t="s">
        <v>988</v>
      </c>
      <c r="C37" s="10" t="s">
        <v>268</v>
      </c>
      <c r="D37" s="10" t="s">
        <v>80</v>
      </c>
      <c r="F37" s="10" t="s">
        <v>989</v>
      </c>
    </row>
    <row r="38" spans="2:7" x14ac:dyDescent="0.25">
      <c r="B38" s="38" t="s">
        <v>869</v>
      </c>
      <c r="C38" s="10" t="s">
        <v>932</v>
      </c>
      <c r="D38" s="10" t="s">
        <v>114</v>
      </c>
      <c r="E38" s="14">
        <v>1</v>
      </c>
      <c r="F38" s="10" t="s">
        <v>860</v>
      </c>
      <c r="G38" s="118" t="s">
        <v>161</v>
      </c>
    </row>
    <row r="39" spans="2:7" x14ac:dyDescent="0.25">
      <c r="B39" s="53" t="s">
        <v>713</v>
      </c>
      <c r="C39" s="10" t="s">
        <v>356</v>
      </c>
      <c r="D39" s="10"/>
      <c r="E39" s="41"/>
      <c r="F39" s="10" t="s">
        <v>358</v>
      </c>
      <c r="G39" s="35" t="s">
        <v>161</v>
      </c>
    </row>
    <row r="40" spans="2:7" s="4" customFormat="1" x14ac:dyDescent="0.25">
      <c r="B40" s="53" t="s">
        <v>873</v>
      </c>
      <c r="C40" s="10" t="s">
        <v>356</v>
      </c>
      <c r="D40" s="10" t="s">
        <v>114</v>
      </c>
      <c r="E40" s="41" t="s">
        <v>357</v>
      </c>
      <c r="F40" s="10" t="s">
        <v>358</v>
      </c>
      <c r="G40" s="35" t="s">
        <v>161</v>
      </c>
    </row>
    <row r="41" spans="2:7" x14ac:dyDescent="0.25">
      <c r="B41" s="53" t="s">
        <v>1072</v>
      </c>
      <c r="C41" s="10" t="s">
        <v>714</v>
      </c>
      <c r="D41" s="10" t="s">
        <v>110</v>
      </c>
      <c r="E41" s="41">
        <v>1</v>
      </c>
      <c r="F41" s="10" t="s">
        <v>715</v>
      </c>
      <c r="G41" s="35" t="s">
        <v>253</v>
      </c>
    </row>
    <row r="42" spans="2:7" x14ac:dyDescent="0.25">
      <c r="B42" s="53" t="s">
        <v>1073</v>
      </c>
      <c r="C42" s="10" t="s">
        <v>356</v>
      </c>
      <c r="D42" s="10" t="s">
        <v>110</v>
      </c>
      <c r="E42" s="41">
        <v>1</v>
      </c>
      <c r="F42" s="10" t="s">
        <v>689</v>
      </c>
      <c r="G42" s="35" t="s">
        <v>253</v>
      </c>
    </row>
    <row r="43" spans="2:7" x14ac:dyDescent="0.25">
      <c r="B43" s="53" t="s">
        <v>1074</v>
      </c>
      <c r="C43" s="10" t="s">
        <v>687</v>
      </c>
      <c r="D43" s="10" t="s">
        <v>110</v>
      </c>
      <c r="E43" s="41">
        <v>1</v>
      </c>
      <c r="F43" s="10" t="s">
        <v>688</v>
      </c>
      <c r="G43" s="35" t="s">
        <v>253</v>
      </c>
    </row>
    <row r="44" spans="2:7" x14ac:dyDescent="0.25">
      <c r="B44" s="53" t="s">
        <v>1075</v>
      </c>
      <c r="C44" s="10" t="s">
        <v>356</v>
      </c>
      <c r="D44" s="10" t="s">
        <v>110</v>
      </c>
      <c r="E44" s="41">
        <v>1</v>
      </c>
      <c r="F44" s="10" t="s">
        <v>718</v>
      </c>
      <c r="G44" s="35"/>
    </row>
    <row r="45" spans="2:7" x14ac:dyDescent="0.25">
      <c r="B45" s="53" t="s">
        <v>719</v>
      </c>
      <c r="C45" s="10" t="s">
        <v>268</v>
      </c>
      <c r="D45" s="10" t="s">
        <v>110</v>
      </c>
      <c r="E45" s="41">
        <v>1</v>
      </c>
      <c r="F45" s="10" t="s">
        <v>720</v>
      </c>
    </row>
    <row r="46" spans="2:7" x14ac:dyDescent="0.25">
      <c r="B46" s="53" t="s">
        <v>1076</v>
      </c>
      <c r="C46" s="10"/>
      <c r="D46" s="11"/>
      <c r="E46" s="11"/>
      <c r="F46" s="10" t="s">
        <v>868</v>
      </c>
      <c r="G46" s="118" t="s">
        <v>864</v>
      </c>
    </row>
    <row r="47" spans="2:7" x14ac:dyDescent="0.25">
      <c r="B47" s="53" t="s">
        <v>1077</v>
      </c>
      <c r="C47" s="10" t="s">
        <v>865</v>
      </c>
      <c r="D47" s="11"/>
      <c r="E47" s="11"/>
      <c r="F47" s="10" t="s">
        <v>863</v>
      </c>
      <c r="G47" s="118" t="s">
        <v>864</v>
      </c>
    </row>
    <row r="48" spans="2:7" x14ac:dyDescent="0.25">
      <c r="B48" s="53" t="s">
        <v>1078</v>
      </c>
      <c r="C48" s="10" t="s">
        <v>347</v>
      </c>
      <c r="D48" s="10" t="s">
        <v>110</v>
      </c>
      <c r="E48" s="41"/>
      <c r="F48" s="10" t="s">
        <v>986</v>
      </c>
      <c r="G48" s="35"/>
    </row>
    <row r="49" spans="2:7" x14ac:dyDescent="0.25">
      <c r="B49" s="53" t="s">
        <v>1079</v>
      </c>
      <c r="C49" s="10" t="s">
        <v>356</v>
      </c>
      <c r="D49" s="10" t="s">
        <v>110</v>
      </c>
      <c r="E49" s="41" t="s">
        <v>716</v>
      </c>
      <c r="F49" s="10" t="s">
        <v>717</v>
      </c>
      <c r="G49" s="35" t="s">
        <v>253</v>
      </c>
    </row>
    <row r="50" spans="2:7" x14ac:dyDescent="0.25">
      <c r="B50" s="53" t="s">
        <v>1080</v>
      </c>
      <c r="C50" s="11" t="s">
        <v>115</v>
      </c>
      <c r="D50" s="11" t="s">
        <v>110</v>
      </c>
      <c r="E50" s="14">
        <v>1</v>
      </c>
      <c r="F50" s="10" t="s">
        <v>375</v>
      </c>
      <c r="G50" s="35" t="s">
        <v>253</v>
      </c>
    </row>
    <row r="51" spans="2:7" x14ac:dyDescent="0.25">
      <c r="B51" s="53" t="s">
        <v>673</v>
      </c>
      <c r="C51" s="10" t="s">
        <v>115</v>
      </c>
      <c r="D51" s="10" t="s">
        <v>110</v>
      </c>
      <c r="E51" s="41">
        <v>1</v>
      </c>
      <c r="F51" s="10" t="s">
        <v>462</v>
      </c>
      <c r="G51" s="35" t="s">
        <v>161</v>
      </c>
    </row>
    <row r="52" spans="2:7" x14ac:dyDescent="0.25">
      <c r="B52" s="53" t="s">
        <v>278</v>
      </c>
      <c r="C52" s="10" t="s">
        <v>115</v>
      </c>
      <c r="D52" s="10" t="s">
        <v>110</v>
      </c>
      <c r="E52" s="41">
        <v>1</v>
      </c>
      <c r="F52" s="10" t="s">
        <v>591</v>
      </c>
    </row>
    <row r="53" spans="2:7" x14ac:dyDescent="0.25">
      <c r="B53" s="53" t="s">
        <v>1082</v>
      </c>
      <c r="C53" s="10" t="s">
        <v>115</v>
      </c>
      <c r="D53" s="10" t="s">
        <v>110</v>
      </c>
      <c r="E53" s="41">
        <v>1</v>
      </c>
      <c r="F53" s="10" t="s">
        <v>1084</v>
      </c>
      <c r="G53" s="35" t="s">
        <v>253</v>
      </c>
    </row>
    <row r="54" spans="2:7" x14ac:dyDescent="0.25">
      <c r="B54" s="53" t="s">
        <v>1081</v>
      </c>
      <c r="F54" s="10" t="s">
        <v>1083</v>
      </c>
    </row>
    <row r="55" spans="2:7" x14ac:dyDescent="0.25">
      <c r="B55" s="53" t="s">
        <v>1085</v>
      </c>
      <c r="C55" s="11" t="s">
        <v>115</v>
      </c>
      <c r="D55" s="11" t="s">
        <v>110</v>
      </c>
      <c r="E55" s="14">
        <v>1</v>
      </c>
      <c r="F55" s="10" t="s">
        <v>365</v>
      </c>
      <c r="G55" s="35" t="s">
        <v>253</v>
      </c>
    </row>
    <row r="56" spans="2:7" x14ac:dyDescent="0.25">
      <c r="B56" s="53" t="s">
        <v>1086</v>
      </c>
      <c r="C56" s="10" t="s">
        <v>349</v>
      </c>
      <c r="D56" s="10" t="s">
        <v>110</v>
      </c>
      <c r="E56" s="14">
        <v>1</v>
      </c>
      <c r="F56" s="10" t="s">
        <v>350</v>
      </c>
      <c r="G56" s="35" t="s">
        <v>161</v>
      </c>
    </row>
    <row r="57" spans="2:7" x14ac:dyDescent="0.25">
      <c r="B57" s="53" t="s">
        <v>1087</v>
      </c>
      <c r="C57" s="10" t="s">
        <v>115</v>
      </c>
      <c r="D57" s="10" t="s">
        <v>110</v>
      </c>
      <c r="E57" s="41" t="s">
        <v>366</v>
      </c>
      <c r="F57" s="10" t="s">
        <v>367</v>
      </c>
      <c r="G57" s="35" t="s">
        <v>161</v>
      </c>
    </row>
    <row r="58" spans="2:7" x14ac:dyDescent="0.25">
      <c r="B58" s="53" t="s">
        <v>1089</v>
      </c>
      <c r="C58" s="10" t="s">
        <v>115</v>
      </c>
      <c r="D58" s="10" t="s">
        <v>110</v>
      </c>
      <c r="E58" s="14">
        <v>1</v>
      </c>
      <c r="F58" s="10" t="s">
        <v>1088</v>
      </c>
      <c r="G58" s="35" t="s">
        <v>253</v>
      </c>
    </row>
    <row r="59" spans="2:7" x14ac:dyDescent="0.25">
      <c r="B59" s="53" t="s">
        <v>1090</v>
      </c>
      <c r="C59" s="10" t="s">
        <v>115</v>
      </c>
      <c r="D59" s="10" t="s">
        <v>110</v>
      </c>
      <c r="E59" s="41">
        <v>1</v>
      </c>
      <c r="F59" s="10" t="s">
        <v>377</v>
      </c>
      <c r="G59" s="35" t="s">
        <v>253</v>
      </c>
    </row>
    <row r="60" spans="2:7" x14ac:dyDescent="0.25">
      <c r="B60" s="53" t="s">
        <v>1091</v>
      </c>
      <c r="C60" s="10" t="s">
        <v>115</v>
      </c>
      <c r="D60" s="10" t="s">
        <v>110</v>
      </c>
      <c r="E60" s="41">
        <v>1</v>
      </c>
      <c r="F60" s="10" t="s">
        <v>376</v>
      </c>
      <c r="G60" s="35" t="s">
        <v>161</v>
      </c>
    </row>
    <row r="61" spans="2:7" x14ac:dyDescent="0.25">
      <c r="B61" s="53" t="s">
        <v>1092</v>
      </c>
      <c r="C61" s="10" t="s">
        <v>590</v>
      </c>
      <c r="D61" s="10" t="s">
        <v>110</v>
      </c>
      <c r="E61" s="41">
        <v>1</v>
      </c>
      <c r="F61" s="10" t="s">
        <v>377</v>
      </c>
      <c r="G61" s="35" t="s">
        <v>253</v>
      </c>
    </row>
    <row r="62" spans="2:7" x14ac:dyDescent="0.25">
      <c r="B62" s="53" t="s">
        <v>1093</v>
      </c>
      <c r="C62" s="10" t="s">
        <v>115</v>
      </c>
      <c r="D62" s="10" t="s">
        <v>110</v>
      </c>
      <c r="E62" s="41">
        <v>1</v>
      </c>
      <c r="F62" s="10" t="s">
        <v>461</v>
      </c>
      <c r="G62" s="35" t="s">
        <v>253</v>
      </c>
    </row>
    <row r="63" spans="2:7" x14ac:dyDescent="0.25">
      <c r="B63" s="53" t="s">
        <v>362</v>
      </c>
      <c r="C63" s="10" t="s">
        <v>363</v>
      </c>
      <c r="D63" s="10" t="s">
        <v>110</v>
      </c>
      <c r="E63" s="14">
        <v>1</v>
      </c>
      <c r="F63" s="10" t="s">
        <v>364</v>
      </c>
      <c r="G63" s="35" t="s">
        <v>211</v>
      </c>
    </row>
    <row r="64" spans="2:7" ht="13" x14ac:dyDescent="0.3">
      <c r="B64" s="96" t="s">
        <v>712</v>
      </c>
      <c r="C64" s="119" t="s">
        <v>347</v>
      </c>
      <c r="D64" s="119" t="s">
        <v>110</v>
      </c>
      <c r="E64" s="97">
        <v>1</v>
      </c>
      <c r="F64" s="119" t="s">
        <v>348</v>
      </c>
      <c r="G64" s="98" t="s">
        <v>161</v>
      </c>
    </row>
    <row r="65" spans="2:7" x14ac:dyDescent="0.25">
      <c r="B65" s="53" t="s">
        <v>563</v>
      </c>
      <c r="C65" s="10" t="s">
        <v>454</v>
      </c>
      <c r="D65" s="10" t="s">
        <v>80</v>
      </c>
      <c r="E65" s="14">
        <v>1</v>
      </c>
      <c r="F65" s="10" t="s">
        <v>455</v>
      </c>
      <c r="G65" s="35" t="s">
        <v>161</v>
      </c>
    </row>
    <row r="66" spans="2:7" x14ac:dyDescent="0.25">
      <c r="B66" s="53" t="s">
        <v>1096</v>
      </c>
      <c r="C66" s="10" t="s">
        <v>402</v>
      </c>
      <c r="D66" s="10" t="s">
        <v>110</v>
      </c>
      <c r="E66" s="41" t="s">
        <v>403</v>
      </c>
      <c r="F66" s="10" t="s">
        <v>570</v>
      </c>
      <c r="G66" s="35" t="s">
        <v>253</v>
      </c>
    </row>
    <row r="67" spans="2:7" x14ac:dyDescent="0.25">
      <c r="B67" s="150" t="s">
        <v>1097</v>
      </c>
      <c r="C67" s="10" t="s">
        <v>282</v>
      </c>
      <c r="D67" s="10" t="s">
        <v>80</v>
      </c>
      <c r="F67" s="151" t="s">
        <v>342</v>
      </c>
    </row>
    <row r="68" spans="2:7" x14ac:dyDescent="0.25">
      <c r="B68" s="53" t="s">
        <v>1098</v>
      </c>
      <c r="C68" s="10" t="s">
        <v>379</v>
      </c>
      <c r="D68" s="10" t="s">
        <v>110</v>
      </c>
      <c r="E68" s="41">
        <v>1</v>
      </c>
      <c r="F68" s="10" t="s">
        <v>380</v>
      </c>
      <c r="G68" s="35" t="s">
        <v>161</v>
      </c>
    </row>
  </sheetData>
  <hyperlinks>
    <hyperlink ref="A1" location="Main!A1" display="Main" xr:uid="{32DF19F5-FDF1-4641-B108-B96FB56A5266}"/>
    <hyperlink ref="B38" location="tiragolumab!A1" display="RG6058 (tiragolumab)" xr:uid="{1AD505D8-4B83-4C31-819B-4E2178915B1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84"/>
  <sheetViews>
    <sheetView tabSelected="1" topLeftCell="A13" zoomScaleNormal="100" workbookViewId="0">
      <selection activeCell="E39" sqref="E39"/>
    </sheetView>
  </sheetViews>
  <sheetFormatPr defaultColWidth="9.1796875" defaultRowHeight="12.5" x14ac:dyDescent="0.25"/>
  <cols>
    <col min="1" max="1" width="2.453125" style="4" customWidth="1"/>
    <col min="2" max="2" width="28.1796875" style="4" customWidth="1"/>
    <col min="3" max="3" width="32.26953125" style="11" customWidth="1"/>
    <col min="4" max="4" width="11.1796875" style="11" customWidth="1"/>
    <col min="5" max="5" width="11" style="11" bestFit="1" customWidth="1"/>
    <col min="6" max="6" width="22.1796875" style="11" customWidth="1"/>
    <col min="7" max="7" width="9.1796875" style="4"/>
    <col min="8" max="8" width="3.26953125" style="4" customWidth="1"/>
    <col min="9" max="9" width="12.7265625" style="4" customWidth="1"/>
    <col min="10" max="10" width="8.453125" style="4" customWidth="1"/>
    <col min="11" max="11" width="6.81640625" style="4" customWidth="1"/>
    <col min="12" max="12" width="8.1796875" style="4" bestFit="1" customWidth="1"/>
    <col min="13" max="13" width="7.1796875" style="4" customWidth="1"/>
    <col min="14" max="16384" width="9.1796875" style="4"/>
  </cols>
  <sheetData>
    <row r="1" spans="1:13" x14ac:dyDescent="0.25">
      <c r="A1" s="3"/>
    </row>
    <row r="2" spans="1:13" s="3" customFormat="1" x14ac:dyDescent="0.25">
      <c r="B2" s="6" t="s">
        <v>43</v>
      </c>
      <c r="C2" s="9" t="s">
        <v>44</v>
      </c>
      <c r="D2" s="9" t="s">
        <v>87</v>
      </c>
      <c r="E2" s="9" t="s">
        <v>95</v>
      </c>
      <c r="F2" s="9" t="s">
        <v>66</v>
      </c>
      <c r="G2" s="12" t="s">
        <v>74</v>
      </c>
      <c r="I2" s="3" t="s">
        <v>283</v>
      </c>
      <c r="J2" s="19">
        <v>351.9</v>
      </c>
      <c r="K2" s="19"/>
    </row>
    <row r="3" spans="1:13" s="3" customFormat="1" x14ac:dyDescent="0.25">
      <c r="B3" s="7" t="s">
        <v>48</v>
      </c>
      <c r="C3" s="33" t="s">
        <v>326</v>
      </c>
      <c r="D3" s="10">
        <v>2004</v>
      </c>
      <c r="E3" s="41">
        <v>1</v>
      </c>
      <c r="F3" s="10" t="s">
        <v>71</v>
      </c>
      <c r="G3" s="35" t="s">
        <v>161</v>
      </c>
      <c r="I3" s="3" t="s">
        <v>42</v>
      </c>
      <c r="J3" s="20">
        <v>796</v>
      </c>
      <c r="K3" s="54" t="s">
        <v>994</v>
      </c>
    </row>
    <row r="4" spans="1:13" x14ac:dyDescent="0.25">
      <c r="B4" s="7" t="s">
        <v>94</v>
      </c>
      <c r="C4" s="11" t="s">
        <v>146</v>
      </c>
      <c r="D4" s="11">
        <v>1998</v>
      </c>
      <c r="E4" s="14">
        <v>1</v>
      </c>
      <c r="F4" s="11" t="s">
        <v>163</v>
      </c>
      <c r="G4" s="36" t="s">
        <v>161</v>
      </c>
      <c r="I4" s="4" t="s">
        <v>107</v>
      </c>
      <c r="J4" s="21">
        <f>J3*J2+J12</f>
        <v>280112.39999999997</v>
      </c>
      <c r="K4" s="20"/>
    </row>
    <row r="5" spans="1:13" x14ac:dyDescent="0.25">
      <c r="B5" s="7" t="s">
        <v>172</v>
      </c>
      <c r="C5" s="33" t="s">
        <v>327</v>
      </c>
      <c r="D5" s="11">
        <v>1997</v>
      </c>
      <c r="E5" s="33" t="s">
        <v>296</v>
      </c>
      <c r="F5" s="11" t="s">
        <v>82</v>
      </c>
      <c r="G5" s="36" t="s">
        <v>161</v>
      </c>
      <c r="I5" s="3" t="s">
        <v>182</v>
      </c>
      <c r="J5" s="21">
        <v>0</v>
      </c>
      <c r="K5" s="54" t="s">
        <v>994</v>
      </c>
    </row>
    <row r="6" spans="1:13" x14ac:dyDescent="0.25">
      <c r="B6" s="38" t="s">
        <v>919</v>
      </c>
      <c r="C6" s="10" t="s">
        <v>797</v>
      </c>
      <c r="D6" s="116">
        <v>43055</v>
      </c>
      <c r="E6" s="10" t="s">
        <v>920</v>
      </c>
      <c r="F6" s="10"/>
      <c r="G6" s="35" t="s">
        <v>161</v>
      </c>
      <c r="I6" s="3" t="s">
        <v>564</v>
      </c>
      <c r="J6" s="21">
        <v>16160</v>
      </c>
      <c r="K6" s="54" t="s">
        <v>994</v>
      </c>
      <c r="L6" s="3"/>
      <c r="M6" s="3"/>
    </row>
    <row r="7" spans="1:13" x14ac:dyDescent="0.25">
      <c r="B7" s="38" t="s">
        <v>787</v>
      </c>
      <c r="C7" s="10" t="s">
        <v>788</v>
      </c>
      <c r="D7" s="116">
        <v>42508</v>
      </c>
      <c r="E7" s="14">
        <v>1</v>
      </c>
      <c r="F7" s="10" t="s">
        <v>789</v>
      </c>
      <c r="G7" s="35" t="s">
        <v>161</v>
      </c>
      <c r="I7" s="4" t="s">
        <v>108</v>
      </c>
      <c r="J7" s="21">
        <f>J4-J5+J6</f>
        <v>296272.39999999997</v>
      </c>
      <c r="L7" s="3"/>
      <c r="M7" s="3"/>
    </row>
    <row r="8" spans="1:13" x14ac:dyDescent="0.25">
      <c r="B8" s="38" t="s">
        <v>685</v>
      </c>
      <c r="C8" s="10" t="s">
        <v>394</v>
      </c>
      <c r="E8" s="14">
        <v>1</v>
      </c>
      <c r="F8" s="10" t="s">
        <v>163</v>
      </c>
      <c r="G8" s="36" t="s">
        <v>161</v>
      </c>
      <c r="J8" s="21"/>
      <c r="K8" s="110"/>
      <c r="L8" s="3"/>
      <c r="M8" s="3"/>
    </row>
    <row r="9" spans="1:13" x14ac:dyDescent="0.25">
      <c r="B9" s="38" t="s">
        <v>799</v>
      </c>
      <c r="C9" s="10" t="s">
        <v>123</v>
      </c>
      <c r="E9" s="41" t="s">
        <v>296</v>
      </c>
      <c r="F9" s="10" t="s">
        <v>82</v>
      </c>
      <c r="G9" s="35" t="s">
        <v>161</v>
      </c>
      <c r="I9" s="3"/>
      <c r="J9" s="3"/>
      <c r="K9" s="21"/>
      <c r="L9" s="3"/>
      <c r="M9" s="3"/>
    </row>
    <row r="10" spans="1:13" x14ac:dyDescent="0.25">
      <c r="B10" s="38" t="s">
        <v>265</v>
      </c>
      <c r="C10" s="11" t="s">
        <v>147</v>
      </c>
      <c r="D10" s="11">
        <v>2004</v>
      </c>
      <c r="E10" s="33" t="s">
        <v>297</v>
      </c>
      <c r="F10" s="11" t="s">
        <v>164</v>
      </c>
      <c r="G10" s="85" t="s">
        <v>314</v>
      </c>
    </row>
    <row r="11" spans="1:13" x14ac:dyDescent="0.25">
      <c r="B11" s="38" t="s">
        <v>311</v>
      </c>
      <c r="C11" s="33" t="s">
        <v>312</v>
      </c>
      <c r="E11" s="37" t="s">
        <v>313</v>
      </c>
      <c r="F11" s="33" t="s">
        <v>71</v>
      </c>
      <c r="G11" s="85" t="s">
        <v>161</v>
      </c>
      <c r="I11" s="3"/>
      <c r="J11" s="3"/>
      <c r="K11" s="21"/>
      <c r="L11" s="3"/>
      <c r="M11" s="3"/>
    </row>
    <row r="12" spans="1:13" x14ac:dyDescent="0.25">
      <c r="B12" s="7" t="s">
        <v>244</v>
      </c>
      <c r="C12" s="11" t="s">
        <v>79</v>
      </c>
      <c r="D12" s="11">
        <v>2002</v>
      </c>
      <c r="E12" s="14">
        <v>1</v>
      </c>
      <c r="F12" s="11" t="s">
        <v>240</v>
      </c>
      <c r="G12" s="84" t="s">
        <v>211</v>
      </c>
      <c r="J12" s="21"/>
      <c r="K12" s="21"/>
      <c r="L12" s="3"/>
      <c r="M12" s="3"/>
    </row>
    <row r="13" spans="1:13" x14ac:dyDescent="0.25">
      <c r="B13" s="38" t="s">
        <v>710</v>
      </c>
      <c r="C13" s="33" t="s">
        <v>316</v>
      </c>
      <c r="D13" s="10" t="s">
        <v>114</v>
      </c>
      <c r="E13" s="33" t="s">
        <v>317</v>
      </c>
      <c r="F13" s="10" t="s">
        <v>163</v>
      </c>
      <c r="G13" s="35" t="s">
        <v>517</v>
      </c>
      <c r="I13" s="60" t="s">
        <v>41</v>
      </c>
      <c r="J13" s="21"/>
      <c r="K13" s="21"/>
    </row>
    <row r="14" spans="1:13" s="3" customFormat="1" x14ac:dyDescent="0.25">
      <c r="B14" s="38" t="s">
        <v>728</v>
      </c>
      <c r="C14" s="11" t="s">
        <v>84</v>
      </c>
      <c r="D14" s="10">
        <v>2009</v>
      </c>
      <c r="E14" s="14">
        <v>1</v>
      </c>
      <c r="F14" s="11" t="s">
        <v>83</v>
      </c>
      <c r="G14" s="36" t="s">
        <v>161</v>
      </c>
      <c r="I14" s="60" t="s">
        <v>460</v>
      </c>
      <c r="K14" s="21"/>
      <c r="L14" s="4"/>
      <c r="M14" s="4"/>
    </row>
    <row r="15" spans="1:13" x14ac:dyDescent="0.25">
      <c r="B15" s="8" t="s">
        <v>267</v>
      </c>
      <c r="C15" s="11" t="s">
        <v>207</v>
      </c>
      <c r="D15" s="11">
        <v>1995</v>
      </c>
      <c r="E15" s="14">
        <v>1</v>
      </c>
      <c r="F15" s="10" t="s">
        <v>343</v>
      </c>
      <c r="G15" s="83" t="s">
        <v>453</v>
      </c>
    </row>
    <row r="16" spans="1:13" x14ac:dyDescent="0.25">
      <c r="B16" s="38" t="s">
        <v>822</v>
      </c>
      <c r="C16" s="10" t="s">
        <v>826</v>
      </c>
      <c r="E16" s="41" t="s">
        <v>823</v>
      </c>
      <c r="F16" s="10" t="s">
        <v>825</v>
      </c>
      <c r="G16" s="83" t="s">
        <v>824</v>
      </c>
    </row>
    <row r="17" spans="2:11" x14ac:dyDescent="0.25">
      <c r="B17" s="53" t="s">
        <v>691</v>
      </c>
      <c r="C17" s="10" t="s">
        <v>369</v>
      </c>
      <c r="D17" s="10"/>
      <c r="E17" s="41" t="s">
        <v>370</v>
      </c>
      <c r="F17" s="10" t="s">
        <v>371</v>
      </c>
      <c r="G17" s="35" t="s">
        <v>253</v>
      </c>
    </row>
    <row r="18" spans="2:11" x14ac:dyDescent="0.25">
      <c r="B18" s="53" t="s">
        <v>729</v>
      </c>
      <c r="C18" s="10" t="s">
        <v>560</v>
      </c>
      <c r="D18" s="10">
        <v>2013</v>
      </c>
      <c r="E18" s="41">
        <v>1</v>
      </c>
      <c r="F18" s="10" t="s">
        <v>82</v>
      </c>
      <c r="G18" s="35" t="s">
        <v>161</v>
      </c>
    </row>
    <row r="19" spans="2:11" x14ac:dyDescent="0.25">
      <c r="B19" s="38" t="s">
        <v>775</v>
      </c>
      <c r="C19" s="10" t="s">
        <v>974</v>
      </c>
      <c r="D19" s="10"/>
      <c r="E19" s="41" t="s">
        <v>975</v>
      </c>
      <c r="F19" s="10"/>
      <c r="G19" s="35"/>
    </row>
    <row r="20" spans="2:11" x14ac:dyDescent="0.25">
      <c r="B20" s="53" t="s">
        <v>880</v>
      </c>
      <c r="C20" s="10" t="s">
        <v>86</v>
      </c>
      <c r="D20" s="120">
        <v>43397</v>
      </c>
      <c r="E20" s="41">
        <v>1</v>
      </c>
      <c r="F20" s="10"/>
      <c r="G20" s="35"/>
    </row>
    <row r="21" spans="2:11" x14ac:dyDescent="0.25">
      <c r="B21" s="117" t="s">
        <v>1057</v>
      </c>
      <c r="C21" s="10" t="s">
        <v>854</v>
      </c>
      <c r="D21" s="10"/>
      <c r="E21" s="41" t="s">
        <v>870</v>
      </c>
      <c r="G21" s="36"/>
      <c r="I21" s="3" t="s">
        <v>943</v>
      </c>
    </row>
    <row r="22" spans="2:11" x14ac:dyDescent="0.25">
      <c r="B22" s="53" t="s">
        <v>878</v>
      </c>
      <c r="C22" s="10" t="s">
        <v>879</v>
      </c>
      <c r="D22" s="120">
        <v>44057</v>
      </c>
      <c r="E22" s="41">
        <v>1</v>
      </c>
      <c r="F22" s="10" t="s">
        <v>83</v>
      </c>
      <c r="G22" s="35" t="s">
        <v>161</v>
      </c>
    </row>
    <row r="23" spans="2:11" x14ac:dyDescent="0.25">
      <c r="B23" s="53" t="s">
        <v>1056</v>
      </c>
      <c r="C23" s="10" t="s">
        <v>826</v>
      </c>
      <c r="D23" s="10"/>
      <c r="F23" s="10" t="s">
        <v>859</v>
      </c>
      <c r="G23" s="118" t="s">
        <v>864</v>
      </c>
    </row>
    <row r="24" spans="2:11" x14ac:dyDescent="0.25">
      <c r="B24" s="53" t="s">
        <v>934</v>
      </c>
      <c r="C24" s="10" t="s">
        <v>146</v>
      </c>
      <c r="D24" s="120"/>
      <c r="E24" s="41"/>
      <c r="F24" s="10"/>
      <c r="G24" s="35"/>
    </row>
    <row r="25" spans="2:11" x14ac:dyDescent="0.25">
      <c r="B25" s="53" t="s">
        <v>874</v>
      </c>
      <c r="C25" s="10" t="s">
        <v>875</v>
      </c>
      <c r="D25" s="120">
        <v>44917</v>
      </c>
      <c r="E25" s="41">
        <v>1</v>
      </c>
      <c r="F25" s="10" t="s">
        <v>859</v>
      </c>
      <c r="G25" s="35" t="s">
        <v>864</v>
      </c>
      <c r="I25" s="3" t="s">
        <v>971</v>
      </c>
    </row>
    <row r="26" spans="2:11" x14ac:dyDescent="0.25">
      <c r="B26" s="38" t="s">
        <v>876</v>
      </c>
      <c r="C26" s="10" t="s">
        <v>312</v>
      </c>
      <c r="D26" s="120">
        <v>44589</v>
      </c>
      <c r="E26" s="41">
        <v>1</v>
      </c>
      <c r="F26" s="10" t="s">
        <v>877</v>
      </c>
      <c r="G26" s="35" t="s">
        <v>864</v>
      </c>
      <c r="I26" s="3" t="s">
        <v>921</v>
      </c>
      <c r="K26" s="21"/>
    </row>
    <row r="27" spans="2:11" x14ac:dyDescent="0.25">
      <c r="B27" s="38" t="s">
        <v>965</v>
      </c>
      <c r="C27" s="10" t="s">
        <v>146</v>
      </c>
      <c r="D27" s="120">
        <v>44011</v>
      </c>
      <c r="E27" s="41" t="s">
        <v>966</v>
      </c>
      <c r="F27" s="10" t="s">
        <v>163</v>
      </c>
      <c r="G27" s="35"/>
      <c r="I27" s="3" t="s">
        <v>922</v>
      </c>
    </row>
    <row r="28" spans="2:11" x14ac:dyDescent="0.25">
      <c r="B28" s="38" t="s">
        <v>266</v>
      </c>
      <c r="C28" s="11" t="s">
        <v>239</v>
      </c>
      <c r="D28" s="11">
        <v>1998</v>
      </c>
      <c r="E28" s="14">
        <v>1</v>
      </c>
      <c r="F28" s="10" t="s">
        <v>389</v>
      </c>
      <c r="G28" s="83" t="s">
        <v>500</v>
      </c>
      <c r="I28" s="3" t="s">
        <v>924</v>
      </c>
    </row>
    <row r="29" spans="2:11" x14ac:dyDescent="0.25">
      <c r="B29" s="53" t="s">
        <v>708</v>
      </c>
      <c r="C29" s="10" t="s">
        <v>323</v>
      </c>
      <c r="D29" s="10"/>
      <c r="E29" s="37" t="s">
        <v>320</v>
      </c>
      <c r="F29" s="33" t="s">
        <v>324</v>
      </c>
      <c r="G29" s="35" t="s">
        <v>253</v>
      </c>
      <c r="I29" s="3" t="s">
        <v>831</v>
      </c>
    </row>
    <row r="30" spans="2:11" x14ac:dyDescent="0.25">
      <c r="B30" s="7" t="s">
        <v>47</v>
      </c>
      <c r="C30" s="11" t="s">
        <v>45</v>
      </c>
      <c r="D30" s="11">
        <v>2007</v>
      </c>
      <c r="E30" s="11" t="s">
        <v>73</v>
      </c>
      <c r="F30" s="11" t="s">
        <v>72</v>
      </c>
      <c r="G30" s="84" t="s">
        <v>211</v>
      </c>
      <c r="I30" s="3" t="s">
        <v>923</v>
      </c>
    </row>
    <row r="31" spans="2:11" x14ac:dyDescent="0.25">
      <c r="B31" s="6"/>
      <c r="C31" s="9"/>
      <c r="D31" s="9" t="s">
        <v>46</v>
      </c>
      <c r="E31" s="9"/>
      <c r="F31" s="9"/>
      <c r="G31" s="12"/>
    </row>
    <row r="32" spans="2:11" x14ac:dyDescent="0.25">
      <c r="B32" s="38" t="s">
        <v>871</v>
      </c>
      <c r="C32" s="10" t="s">
        <v>123</v>
      </c>
      <c r="D32" s="10" t="s">
        <v>114</v>
      </c>
      <c r="F32" s="10" t="s">
        <v>872</v>
      </c>
      <c r="G32" s="118"/>
    </row>
    <row r="33" spans="2:9" x14ac:dyDescent="0.25">
      <c r="B33" s="38" t="s">
        <v>881</v>
      </c>
      <c r="C33" s="10" t="s">
        <v>1061</v>
      </c>
      <c r="D33" s="10" t="s">
        <v>1058</v>
      </c>
      <c r="E33" s="14">
        <v>1</v>
      </c>
      <c r="F33" s="10" t="s">
        <v>882</v>
      </c>
      <c r="G33" s="118"/>
      <c r="I33" s="3"/>
    </row>
    <row r="34" spans="2:9" x14ac:dyDescent="0.25">
      <c r="B34" s="53" t="s">
        <v>1070</v>
      </c>
      <c r="C34" s="10" t="s">
        <v>891</v>
      </c>
      <c r="D34" s="10" t="s">
        <v>114</v>
      </c>
      <c r="E34" s="14">
        <v>1</v>
      </c>
      <c r="F34" s="10" t="s">
        <v>893</v>
      </c>
      <c r="G34" s="35"/>
    </row>
    <row r="35" spans="2:9" x14ac:dyDescent="0.25">
      <c r="B35" s="53" t="s">
        <v>1053</v>
      </c>
      <c r="C35" s="10" t="s">
        <v>560</v>
      </c>
      <c r="D35" s="10" t="s">
        <v>114</v>
      </c>
      <c r="E35" s="10" t="s">
        <v>1055</v>
      </c>
      <c r="F35" s="10" t="s">
        <v>1054</v>
      </c>
      <c r="G35" s="118"/>
    </row>
    <row r="36" spans="2:9" ht="13" x14ac:dyDescent="0.3">
      <c r="B36" s="96" t="s">
        <v>1071</v>
      </c>
      <c r="C36" s="119" t="s">
        <v>990</v>
      </c>
      <c r="D36" s="119" t="s">
        <v>114</v>
      </c>
      <c r="E36" s="97"/>
      <c r="F36" s="119" t="s">
        <v>985</v>
      </c>
      <c r="G36" s="98" t="s">
        <v>161</v>
      </c>
    </row>
    <row r="37" spans="2:9" x14ac:dyDescent="0.25">
      <c r="B37" s="53" t="s">
        <v>1059</v>
      </c>
      <c r="C37" s="10" t="s">
        <v>862</v>
      </c>
      <c r="F37" s="10" t="s">
        <v>861</v>
      </c>
      <c r="G37" s="118" t="s">
        <v>517</v>
      </c>
    </row>
    <row r="38" spans="2:9" x14ac:dyDescent="0.25">
      <c r="B38" s="53" t="s">
        <v>1099</v>
      </c>
      <c r="C38" s="10" t="s">
        <v>356</v>
      </c>
      <c r="D38" s="10" t="s">
        <v>114</v>
      </c>
      <c r="F38" s="10"/>
      <c r="G38" s="118"/>
    </row>
    <row r="39" spans="2:9" x14ac:dyDescent="0.25">
      <c r="B39" s="53" t="s">
        <v>1100</v>
      </c>
      <c r="C39" s="10" t="s">
        <v>1101</v>
      </c>
      <c r="D39" s="10" t="s">
        <v>114</v>
      </c>
      <c r="F39" s="10" t="s">
        <v>1102</v>
      </c>
      <c r="G39" s="118"/>
    </row>
    <row r="40" spans="2:9" x14ac:dyDescent="0.25">
      <c r="B40" s="53" t="s">
        <v>939</v>
      </c>
      <c r="C40" s="10" t="s">
        <v>940</v>
      </c>
      <c r="D40" s="10" t="s">
        <v>114</v>
      </c>
      <c r="E40" s="41" t="s">
        <v>941</v>
      </c>
      <c r="F40" s="10" t="s">
        <v>942</v>
      </c>
      <c r="G40" s="35" t="s">
        <v>161</v>
      </c>
    </row>
    <row r="41" spans="2:9" ht="13" x14ac:dyDescent="0.3">
      <c r="B41" s="53" t="s">
        <v>890</v>
      </c>
      <c r="C41" s="10" t="s">
        <v>891</v>
      </c>
      <c r="D41" s="10" t="s">
        <v>110</v>
      </c>
      <c r="E41" s="14">
        <v>1</v>
      </c>
      <c r="F41" s="10" t="s">
        <v>892</v>
      </c>
      <c r="G41" s="35"/>
      <c r="I41" s="16" t="s">
        <v>1012</v>
      </c>
    </row>
    <row r="42" spans="2:9" x14ac:dyDescent="0.25">
      <c r="B42" s="53" t="s">
        <v>1094</v>
      </c>
      <c r="C42" s="10" t="s">
        <v>115</v>
      </c>
      <c r="D42" s="10" t="s">
        <v>110</v>
      </c>
      <c r="E42" s="41" t="s">
        <v>562</v>
      </c>
      <c r="F42" s="10" t="s">
        <v>576</v>
      </c>
      <c r="G42" s="35" t="s">
        <v>253</v>
      </c>
      <c r="I42" s="3" t="s">
        <v>1013</v>
      </c>
    </row>
    <row r="43" spans="2:9" x14ac:dyDescent="0.25">
      <c r="B43" s="53" t="s">
        <v>1095</v>
      </c>
      <c r="C43" s="10" t="s">
        <v>788</v>
      </c>
      <c r="D43" s="10" t="s">
        <v>110</v>
      </c>
      <c r="E43" s="41"/>
      <c r="F43" s="10" t="s">
        <v>987</v>
      </c>
      <c r="G43" s="35" t="s">
        <v>253</v>
      </c>
      <c r="I43" s="3" t="s">
        <v>1014</v>
      </c>
    </row>
    <row r="44" spans="2:9" x14ac:dyDescent="0.25">
      <c r="B44" s="53"/>
      <c r="C44" s="10"/>
      <c r="D44" s="10"/>
      <c r="E44" s="41"/>
      <c r="F44" s="10"/>
      <c r="G44" s="35"/>
    </row>
    <row r="45" spans="2:9" x14ac:dyDescent="0.25">
      <c r="B45" s="61"/>
      <c r="C45" s="62"/>
      <c r="D45" s="62"/>
      <c r="E45" s="22"/>
      <c r="F45" s="62"/>
      <c r="G45" s="63"/>
      <c r="I45" s="3" t="s">
        <v>1015</v>
      </c>
    </row>
    <row r="46" spans="2:9" s="17" customFormat="1" ht="13" x14ac:dyDescent="0.3">
      <c r="B46" s="4"/>
      <c r="C46" s="11"/>
      <c r="D46" s="11"/>
      <c r="E46" s="11"/>
      <c r="F46" s="11"/>
      <c r="G46" s="4"/>
      <c r="I46" s="3" t="s">
        <v>1016</v>
      </c>
    </row>
    <row r="47" spans="2:9" s="17" customFormat="1" ht="13" x14ac:dyDescent="0.3">
      <c r="B47" s="3"/>
      <c r="C47" s="11"/>
      <c r="D47" s="11"/>
      <c r="E47" s="11"/>
      <c r="F47" s="18" t="s">
        <v>103</v>
      </c>
      <c r="G47" s="4"/>
    </row>
    <row r="48" spans="2:9" ht="13" x14ac:dyDescent="0.3">
      <c r="B48" s="3"/>
      <c r="F48" s="18" t="s">
        <v>120</v>
      </c>
    </row>
    <row r="49" spans="2:9" ht="13" x14ac:dyDescent="0.3">
      <c r="B49" s="3"/>
      <c r="F49" s="18" t="s">
        <v>243</v>
      </c>
    </row>
    <row r="50" spans="2:9" ht="13" x14ac:dyDescent="0.3">
      <c r="F50" s="18" t="s">
        <v>241</v>
      </c>
    </row>
    <row r="51" spans="2:9" ht="13" x14ac:dyDescent="0.3">
      <c r="F51" s="18" t="s">
        <v>332</v>
      </c>
    </row>
    <row r="52" spans="2:9" ht="13" x14ac:dyDescent="0.3">
      <c r="F52" s="18" t="s">
        <v>330</v>
      </c>
    </row>
    <row r="53" spans="2:9" ht="13" x14ac:dyDescent="0.3">
      <c r="F53" s="18" t="s">
        <v>329</v>
      </c>
    </row>
    <row r="54" spans="2:9" ht="13" x14ac:dyDescent="0.3">
      <c r="F54" s="18" t="s">
        <v>305</v>
      </c>
    </row>
    <row r="55" spans="2:9" ht="13" x14ac:dyDescent="0.3">
      <c r="F55" s="18" t="s">
        <v>328</v>
      </c>
    </row>
    <row r="56" spans="2:9" ht="13" x14ac:dyDescent="0.3">
      <c r="F56" s="18" t="s">
        <v>325</v>
      </c>
    </row>
    <row r="57" spans="2:9" ht="13" x14ac:dyDescent="0.3">
      <c r="F57" s="18" t="s">
        <v>447</v>
      </c>
    </row>
    <row r="58" spans="2:9" ht="13" x14ac:dyDescent="0.3">
      <c r="F58" s="18" t="s">
        <v>387</v>
      </c>
    </row>
    <row r="59" spans="2:9" ht="13" x14ac:dyDescent="0.3">
      <c r="F59" s="18" t="s">
        <v>493</v>
      </c>
    </row>
    <row r="60" spans="2:9" ht="13" x14ac:dyDescent="0.3">
      <c r="F60" s="18" t="s">
        <v>503</v>
      </c>
    </row>
    <row r="61" spans="2:9" ht="13" x14ac:dyDescent="0.3">
      <c r="F61" s="18" t="s">
        <v>491</v>
      </c>
    </row>
    <row r="62" spans="2:9" ht="13" x14ac:dyDescent="0.3">
      <c r="F62" s="18" t="s">
        <v>420</v>
      </c>
      <c r="I62" s="3" t="s">
        <v>930</v>
      </c>
    </row>
    <row r="63" spans="2:9" ht="13" x14ac:dyDescent="0.3">
      <c r="F63" s="18" t="s">
        <v>580</v>
      </c>
    </row>
    <row r="64" spans="2:9" s="17" customFormat="1" ht="13" x14ac:dyDescent="0.3">
      <c r="B64" s="4"/>
      <c r="C64" s="11"/>
      <c r="D64" s="11"/>
      <c r="E64" s="11"/>
      <c r="F64" s="18" t="s">
        <v>674</v>
      </c>
      <c r="G64" s="4"/>
    </row>
    <row r="65" spans="6:6" ht="13" x14ac:dyDescent="0.3">
      <c r="F65" s="18" t="s">
        <v>463</v>
      </c>
    </row>
    <row r="66" spans="6:6" ht="13" x14ac:dyDescent="0.3">
      <c r="F66" s="18" t="s">
        <v>690</v>
      </c>
    </row>
    <row r="68" spans="6:6" x14ac:dyDescent="0.25">
      <c r="F68" s="115" t="s">
        <v>810</v>
      </c>
    </row>
    <row r="69" spans="6:6" x14ac:dyDescent="0.25">
      <c r="F69" s="115" t="s">
        <v>811</v>
      </c>
    </row>
    <row r="70" spans="6:6" x14ac:dyDescent="0.25">
      <c r="F70" s="115"/>
    </row>
    <row r="71" spans="6:6" x14ac:dyDescent="0.25">
      <c r="F71" s="3" t="s">
        <v>832</v>
      </c>
    </row>
    <row r="72" spans="6:6" x14ac:dyDescent="0.25">
      <c r="F72" s="115" t="s">
        <v>818</v>
      </c>
    </row>
    <row r="73" spans="6:6" x14ac:dyDescent="0.25">
      <c r="F73" s="3" t="s">
        <v>917</v>
      </c>
    </row>
    <row r="74" spans="6:6" ht="13" x14ac:dyDescent="0.3">
      <c r="F74" s="17" t="s">
        <v>918</v>
      </c>
    </row>
    <row r="75" spans="6:6" x14ac:dyDescent="0.25">
      <c r="F75" s="115" t="s">
        <v>894</v>
      </c>
    </row>
    <row r="76" spans="6:6" x14ac:dyDescent="0.25">
      <c r="F76" s="115" t="s">
        <v>895</v>
      </c>
    </row>
    <row r="77" spans="6:6" x14ac:dyDescent="0.25">
      <c r="F77" s="115" t="s">
        <v>973</v>
      </c>
    </row>
    <row r="78" spans="6:6" ht="13" x14ac:dyDescent="0.3">
      <c r="F78" s="121" t="s">
        <v>972</v>
      </c>
    </row>
    <row r="79" spans="6:6" x14ac:dyDescent="0.25">
      <c r="F79" s="115"/>
    </row>
    <row r="80" spans="6:6" x14ac:dyDescent="0.25">
      <c r="F80" s="115"/>
    </row>
    <row r="81" spans="6:6" x14ac:dyDescent="0.25">
      <c r="F81" s="115"/>
    </row>
    <row r="82" spans="6:6" x14ac:dyDescent="0.25">
      <c r="F82" s="115"/>
    </row>
    <row r="83" spans="6:6" x14ac:dyDescent="0.25">
      <c r="F83" s="115"/>
    </row>
    <row r="84" spans="6:6" x14ac:dyDescent="0.25">
      <c r="F84" s="115"/>
    </row>
  </sheetData>
  <phoneticPr fontId="17" type="noConversion"/>
  <hyperlinks>
    <hyperlink ref="B30" location="Mircera!A1" display="Mircera (CERA)" xr:uid="{00000000-0004-0000-0200-000000000000}"/>
    <hyperlink ref="B14" location="Actemra!A1" display="Actemra" xr:uid="{00000000-0004-0000-0200-000001000000}"/>
    <hyperlink ref="B3" location="Avastin!A1" display="Avastin (bevacizumab)" xr:uid="{00000000-0004-0000-0200-000002000000}"/>
    <hyperlink ref="B5" location="MabThera!A1" display="MabThera/Rituxan" xr:uid="{00000000-0004-0000-0200-000003000000}"/>
    <hyperlink ref="B4" location="Herceptin!A1" display="Herceptin (trastuzumab)" xr:uid="{00000000-0004-0000-0200-000004000000}"/>
    <hyperlink ref="B12" location="Pegasys!A1" display="Pegasys (peginterferon alfa-2a)" xr:uid="{00000000-0004-0000-0200-000005000000}"/>
    <hyperlink ref="B10" location="Tarceva!A1" display="Tarceva (erlotinib)" xr:uid="{00000000-0004-0000-0200-000006000000}"/>
    <hyperlink ref="I13" location="Diagnostics!A1" display="Diagnostics" xr:uid="{00000000-0004-0000-0200-000009000000}"/>
    <hyperlink ref="I14" location="Failures!A1" display="Failures" xr:uid="{00000000-0004-0000-0200-00000A000000}"/>
    <hyperlink ref="B7" location="Tecentriq!A1" display="Tecentriq (atezolizumab)" xr:uid="{C7FB439F-D96B-4A7C-A1A3-DEBF4D4B91A8}"/>
    <hyperlink ref="B11" location="Lucentis!A1" display="Lucentis (ranibizumab)" xr:uid="{98F1104D-A5E2-4615-843A-9BC0949A0E4F}"/>
    <hyperlink ref="B28" location="Xeloda!A1" display="Xeloda (capecitabine)" xr:uid="{8F2B063A-3A15-4B1A-884E-2E99BF7876ED}"/>
    <hyperlink ref="B8" location="pertuzumab!A1" display="pertuzumab" xr:uid="{2102BCC2-8611-491C-B597-7B5693B26690}"/>
    <hyperlink ref="B13" location="Kadcyla!A1" display="Kadcyla (trastuzumab-DM1)" xr:uid="{0181DD6A-FC19-4133-B47A-15F0C3075EB5}"/>
    <hyperlink ref="B9" location="Ocrevus!A1" display="Ocrevus (ocrelizumab)" xr:uid="{04ABF57F-9F2D-412F-9F21-BE805E3FE321}"/>
    <hyperlink ref="B16" location="Polivy!A1" display="Polivy (polatuzumab vedotin)" xr:uid="{6AF5067F-A358-4F13-A8ED-CEB4A668A3F6}"/>
    <hyperlink ref="B6" location="Hemlibra!A1" display="Hemlibra" xr:uid="{057E581E-A1F4-5642-9D1B-72A6704C2D09}"/>
    <hyperlink ref="B26" location="Vabysmo!A1" display="Vabysmo (faricimab)" xr:uid="{13BD768C-4C0B-4B51-93F3-17E7B55F8F81}"/>
    <hyperlink ref="B27" location="Phesgo!A1" display="Phesgo (pertuzumab/trastuzumab)" xr:uid="{020C13B7-88D5-45D0-BDE0-EE2F16A3AB57}"/>
    <hyperlink ref="B19" location="Evrysdi!A1" display="Evrysdi" xr:uid="{9B8D2AE7-9267-451E-8A6C-2364E87F9B21}"/>
    <hyperlink ref="B33" location="giredestrant!A1" display="giredestrant" xr:uid="{448D398C-0FC2-46BF-81D6-3CBB7D1A9507}"/>
    <hyperlink ref="B32" location="fenebrutinib!A1" display="fenebrutinib" xr:uid="{1554AC63-1F3C-4EAD-90B4-D86EBC31266D}"/>
  </hyperlinks>
  <pageMargins left="0.18" right="0.17" top="0.33" bottom="0.31" header="0.17" footer="0.35"/>
  <pageSetup scale="55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H204"/>
  <sheetViews>
    <sheetView zoomScale="130" zoomScaleNormal="130" zoomScaleSheetLayoutView="100" workbookViewId="0">
      <pane xSplit="2" ySplit="2" topLeftCell="EU16" activePane="bottomRight" state="frozen"/>
      <selection activeCell="AT9" sqref="AT9"/>
      <selection pane="topRight" activeCell="AT9" sqref="AT9"/>
      <selection pane="bottomLeft" activeCell="AT9" sqref="AT9"/>
      <selection pane="bottomRight" activeCell="FE29" sqref="FE29"/>
    </sheetView>
  </sheetViews>
  <sheetFormatPr defaultColWidth="9.1796875" defaultRowHeight="12.5" x14ac:dyDescent="0.25"/>
  <cols>
    <col min="1" max="1" width="5" style="15" bestFit="1" customWidth="1"/>
    <col min="2" max="2" width="28.81640625" style="15" customWidth="1"/>
    <col min="3" max="6" width="7.81640625" style="23" customWidth="1"/>
    <col min="7" max="24" width="7.81640625" style="67" customWidth="1"/>
    <col min="25" max="25" width="7.81640625" style="25" customWidth="1"/>
    <col min="26" max="70" width="7.81640625" style="67" customWidth="1"/>
    <col min="71" max="71" width="7.81640625" style="93" customWidth="1"/>
    <col min="72" max="159" width="7.1796875" style="93" customWidth="1"/>
    <col min="160" max="161" width="7.1796875" style="147" customWidth="1"/>
    <col min="162" max="168" width="7.1796875" style="93" customWidth="1"/>
    <col min="169" max="171" width="7" style="5" customWidth="1"/>
    <col min="172" max="172" width="9.1796875" style="23" customWidth="1"/>
    <col min="173" max="177" width="8.26953125" style="23" bestFit="1" customWidth="1"/>
    <col min="178" max="185" width="8" style="23" customWidth="1"/>
    <col min="186" max="191" width="8" style="129" customWidth="1"/>
    <col min="192" max="192" width="7.81640625" style="130" customWidth="1" collapsed="1"/>
    <col min="193" max="193" width="7.81640625" style="1" customWidth="1" collapsed="1"/>
    <col min="194" max="195" width="7.81640625" style="130" customWidth="1" collapsed="1"/>
    <col min="196" max="198" width="9.1796875" style="15" collapsed="1"/>
    <col min="199" max="16384" width="9.1796875" style="15"/>
  </cols>
  <sheetData>
    <row r="1" spans="1:206" ht="13" x14ac:dyDescent="0.3">
      <c r="A1" s="34" t="s">
        <v>55</v>
      </c>
      <c r="B1" s="17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</row>
    <row r="2" spans="1:206" s="26" customFormat="1" ht="13" x14ac:dyDescent="0.3">
      <c r="B2" s="17" t="s">
        <v>339</v>
      </c>
      <c r="C2" s="23" t="s">
        <v>181</v>
      </c>
      <c r="D2" s="23" t="s">
        <v>180</v>
      </c>
      <c r="E2" s="23" t="s">
        <v>179</v>
      </c>
      <c r="F2" s="23" t="s">
        <v>178</v>
      </c>
      <c r="G2" s="23" t="s">
        <v>179</v>
      </c>
      <c r="H2" s="23" t="s">
        <v>178</v>
      </c>
      <c r="I2" s="25" t="s">
        <v>177</v>
      </c>
      <c r="J2" s="25" t="s">
        <v>176</v>
      </c>
      <c r="K2" s="25" t="s">
        <v>143</v>
      </c>
      <c r="L2" s="25" t="s">
        <v>144</v>
      </c>
      <c r="M2" s="25" t="s">
        <v>145</v>
      </c>
      <c r="N2" s="25" t="s">
        <v>159</v>
      </c>
      <c r="O2" s="25" t="s">
        <v>173</v>
      </c>
      <c r="P2" s="25" t="s">
        <v>174</v>
      </c>
      <c r="Q2" s="25" t="s">
        <v>333</v>
      </c>
      <c r="R2" s="25" t="s">
        <v>334</v>
      </c>
      <c r="S2" s="25" t="s">
        <v>577</v>
      </c>
      <c r="T2" s="25" t="s">
        <v>578</v>
      </c>
      <c r="U2" s="68" t="s">
        <v>676</v>
      </c>
      <c r="V2" s="68" t="s">
        <v>677</v>
      </c>
      <c r="W2" s="68" t="s">
        <v>693</v>
      </c>
      <c r="X2" s="68" t="s">
        <v>694</v>
      </c>
      <c r="Y2" s="68" t="s">
        <v>730</v>
      </c>
      <c r="Z2" s="68" t="s">
        <v>731</v>
      </c>
      <c r="AA2" s="68" t="s">
        <v>732</v>
      </c>
      <c r="AB2" s="68" t="s">
        <v>733</v>
      </c>
      <c r="AC2" s="68" t="s">
        <v>834</v>
      </c>
      <c r="AD2" s="68" t="s">
        <v>835</v>
      </c>
      <c r="AE2" s="68" t="s">
        <v>836</v>
      </c>
      <c r="AF2" s="68" t="s">
        <v>837</v>
      </c>
      <c r="AG2" s="68" t="s">
        <v>838</v>
      </c>
      <c r="AH2" s="68" t="s">
        <v>839</v>
      </c>
      <c r="AI2" s="68" t="s">
        <v>840</v>
      </c>
      <c r="AJ2" s="68" t="s">
        <v>841</v>
      </c>
      <c r="AK2" s="68" t="s">
        <v>842</v>
      </c>
      <c r="AL2" s="68" t="s">
        <v>843</v>
      </c>
      <c r="AM2" s="68" t="s">
        <v>844</v>
      </c>
      <c r="AN2" s="68" t="s">
        <v>845</v>
      </c>
      <c r="AO2" s="68" t="s">
        <v>846</v>
      </c>
      <c r="AP2" s="68" t="s">
        <v>847</v>
      </c>
      <c r="AQ2" s="68" t="s">
        <v>848</v>
      </c>
      <c r="AR2" s="68" t="s">
        <v>849</v>
      </c>
      <c r="AS2" s="68"/>
      <c r="AT2" s="68"/>
      <c r="AU2" s="68" t="s">
        <v>1052</v>
      </c>
      <c r="AV2" s="68" t="s">
        <v>1048</v>
      </c>
      <c r="AW2" s="68" t="s">
        <v>1049</v>
      </c>
      <c r="AX2" s="68" t="s">
        <v>1050</v>
      </c>
      <c r="AY2" s="68" t="s">
        <v>1051</v>
      </c>
      <c r="AZ2" s="68" t="s">
        <v>1040</v>
      </c>
      <c r="BA2" s="68" t="s">
        <v>1041</v>
      </c>
      <c r="BB2" s="68" t="s">
        <v>1042</v>
      </c>
      <c r="BC2" s="68" t="s">
        <v>1043</v>
      </c>
      <c r="BD2" s="68" t="s">
        <v>1036</v>
      </c>
      <c r="BE2" s="68" t="s">
        <v>1037</v>
      </c>
      <c r="BF2" s="68" t="s">
        <v>1038</v>
      </c>
      <c r="BG2" s="68" t="s">
        <v>1039</v>
      </c>
      <c r="BH2" s="68" t="s">
        <v>1029</v>
      </c>
      <c r="BI2" s="68" t="s">
        <v>1030</v>
      </c>
      <c r="BJ2" s="68" t="s">
        <v>1031</v>
      </c>
      <c r="BK2" s="68" t="s">
        <v>1032</v>
      </c>
      <c r="BL2" s="68" t="s">
        <v>1025</v>
      </c>
      <c r="BM2" s="68" t="s">
        <v>1026</v>
      </c>
      <c r="BN2" s="68" t="s">
        <v>1027</v>
      </c>
      <c r="BO2" s="68" t="s">
        <v>1028</v>
      </c>
      <c r="BP2" s="68" t="s">
        <v>1021</v>
      </c>
      <c r="BQ2" s="68" t="s">
        <v>1022</v>
      </c>
      <c r="BR2" s="68" t="s">
        <v>1023</v>
      </c>
      <c r="BS2" s="52" t="s">
        <v>1024</v>
      </c>
      <c r="BT2" s="93" t="s">
        <v>157</v>
      </c>
      <c r="BU2" s="93" t="s">
        <v>156</v>
      </c>
      <c r="BV2" s="93" t="s">
        <v>155</v>
      </c>
      <c r="BW2" s="93" t="s">
        <v>154</v>
      </c>
      <c r="BX2" s="93" t="s">
        <v>153</v>
      </c>
      <c r="BY2" s="93" t="s">
        <v>152</v>
      </c>
      <c r="BZ2" s="93" t="s">
        <v>151</v>
      </c>
      <c r="CA2" s="93" t="s">
        <v>150</v>
      </c>
      <c r="CB2" s="93" t="s">
        <v>131</v>
      </c>
      <c r="CC2" s="93" t="s">
        <v>160</v>
      </c>
      <c r="CD2" s="93" t="s">
        <v>132</v>
      </c>
      <c r="CE2" s="93" t="s">
        <v>133</v>
      </c>
      <c r="CF2" s="93" t="s">
        <v>134</v>
      </c>
      <c r="CG2" s="93" t="s">
        <v>135</v>
      </c>
      <c r="CH2" s="93" t="s">
        <v>136</v>
      </c>
      <c r="CI2" s="93" t="s">
        <v>137</v>
      </c>
      <c r="CJ2" s="93" t="s">
        <v>195</v>
      </c>
      <c r="CK2" s="93" t="s">
        <v>196</v>
      </c>
      <c r="CL2" s="93" t="s">
        <v>197</v>
      </c>
      <c r="CM2" s="93" t="s">
        <v>198</v>
      </c>
      <c r="CN2" s="44" t="s">
        <v>300</v>
      </c>
      <c r="CO2" s="44" t="s">
        <v>301</v>
      </c>
      <c r="CP2" s="44" t="s">
        <v>302</v>
      </c>
      <c r="CQ2" s="44" t="s">
        <v>303</v>
      </c>
      <c r="CR2" s="52" t="s">
        <v>565</v>
      </c>
      <c r="CS2" s="52" t="s">
        <v>660</v>
      </c>
      <c r="CT2" s="52" t="s">
        <v>665</v>
      </c>
      <c r="CU2" s="52" t="s">
        <v>666</v>
      </c>
      <c r="CV2" s="52" t="s">
        <v>667</v>
      </c>
      <c r="CW2" s="52" t="s">
        <v>668</v>
      </c>
      <c r="CX2" s="52" t="s">
        <v>669</v>
      </c>
      <c r="CY2" s="52" t="s">
        <v>670</v>
      </c>
      <c r="CZ2" s="52" t="s">
        <v>695</v>
      </c>
      <c r="DA2" s="52" t="s">
        <v>696</v>
      </c>
      <c r="DB2" s="52" t="s">
        <v>697</v>
      </c>
      <c r="DC2" s="52" t="s">
        <v>698</v>
      </c>
      <c r="DD2" s="52" t="s">
        <v>704</v>
      </c>
      <c r="DE2" s="52" t="s">
        <v>705</v>
      </c>
      <c r="DF2" s="52" t="s">
        <v>706</v>
      </c>
      <c r="DG2" s="52" t="s">
        <v>707</v>
      </c>
      <c r="DH2" s="52" t="s">
        <v>723</v>
      </c>
      <c r="DI2" s="52" t="s">
        <v>724</v>
      </c>
      <c r="DJ2" s="52" t="s">
        <v>725</v>
      </c>
      <c r="DK2" s="52" t="s">
        <v>726</v>
      </c>
      <c r="DL2" s="52" t="s">
        <v>737</v>
      </c>
      <c r="DM2" s="52" t="s">
        <v>738</v>
      </c>
      <c r="DN2" s="52" t="s">
        <v>739</v>
      </c>
      <c r="DO2" s="52" t="s">
        <v>740</v>
      </c>
      <c r="DP2" s="52" t="s">
        <v>741</v>
      </c>
      <c r="DQ2" s="52" t="s">
        <v>742</v>
      </c>
      <c r="DR2" s="52" t="s">
        <v>743</v>
      </c>
      <c r="DS2" s="52" t="s">
        <v>744</v>
      </c>
      <c r="DT2" s="52" t="s">
        <v>745</v>
      </c>
      <c r="DU2" s="52" t="s">
        <v>746</v>
      </c>
      <c r="DV2" s="52" t="s">
        <v>747</v>
      </c>
      <c r="DW2" s="52" t="s">
        <v>748</v>
      </c>
      <c r="DX2" s="52" t="s">
        <v>749</v>
      </c>
      <c r="DY2" s="52" t="s">
        <v>750</v>
      </c>
      <c r="DZ2" s="52" t="s">
        <v>751</v>
      </c>
      <c r="EA2" s="52" t="s">
        <v>752</v>
      </c>
      <c r="EB2" s="52" t="s">
        <v>753</v>
      </c>
      <c r="EC2" s="52" t="s">
        <v>754</v>
      </c>
      <c r="ED2" s="52" t="s">
        <v>755</v>
      </c>
      <c r="EE2" s="52" t="s">
        <v>756</v>
      </c>
      <c r="EF2" s="52" t="s">
        <v>757</v>
      </c>
      <c r="EG2" s="52" t="s">
        <v>758</v>
      </c>
      <c r="EH2" s="52" t="s">
        <v>759</v>
      </c>
      <c r="EI2" s="52" t="s">
        <v>760</v>
      </c>
      <c r="EJ2" s="52" t="s">
        <v>761</v>
      </c>
      <c r="EK2" s="52" t="s">
        <v>762</v>
      </c>
      <c r="EL2" s="52" t="s">
        <v>763</v>
      </c>
      <c r="EM2" s="52" t="s">
        <v>764</v>
      </c>
      <c r="EN2" s="52" t="s">
        <v>765</v>
      </c>
      <c r="EO2" s="52" t="s">
        <v>766</v>
      </c>
      <c r="EP2" s="52" t="s">
        <v>767</v>
      </c>
      <c r="EQ2" s="52" t="s">
        <v>768</v>
      </c>
      <c r="ER2" s="52" t="s">
        <v>850</v>
      </c>
      <c r="ES2" s="52" t="s">
        <v>851</v>
      </c>
      <c r="ET2" s="52" t="s">
        <v>852</v>
      </c>
      <c r="EU2" s="52" t="s">
        <v>853</v>
      </c>
      <c r="EV2" s="52" t="s">
        <v>896</v>
      </c>
      <c r="EW2" s="52" t="s">
        <v>897</v>
      </c>
      <c r="EX2" s="52" t="s">
        <v>898</v>
      </c>
      <c r="EY2" s="52" t="s">
        <v>899</v>
      </c>
      <c r="EZ2" s="52" t="s">
        <v>991</v>
      </c>
      <c r="FA2" s="52" t="s">
        <v>992</v>
      </c>
      <c r="FB2" s="52" t="s">
        <v>993</v>
      </c>
      <c r="FC2" s="52" t="s">
        <v>994</v>
      </c>
      <c r="FD2" s="144" t="s">
        <v>1017</v>
      </c>
      <c r="FE2" s="144" t="s">
        <v>1018</v>
      </c>
      <c r="FF2" s="52" t="s">
        <v>1019</v>
      </c>
      <c r="FG2" s="52" t="s">
        <v>1020</v>
      </c>
      <c r="FH2" s="52"/>
      <c r="FI2" s="52">
        <v>1994</v>
      </c>
      <c r="FJ2" s="52">
        <v>1995</v>
      </c>
      <c r="FK2" s="52">
        <v>1996</v>
      </c>
      <c r="FL2" s="52">
        <v>1997</v>
      </c>
      <c r="FM2" s="5">
        <v>1998</v>
      </c>
      <c r="FN2" s="5">
        <v>1999</v>
      </c>
      <c r="FO2" s="5">
        <v>2000</v>
      </c>
      <c r="FP2" s="45">
        <v>2001</v>
      </c>
      <c r="FQ2" s="45">
        <v>2002</v>
      </c>
      <c r="FR2" s="45">
        <v>2003</v>
      </c>
      <c r="FS2" s="45">
        <v>2004</v>
      </c>
      <c r="FT2" s="45">
        <v>2005</v>
      </c>
      <c r="FU2" s="45">
        <v>2006</v>
      </c>
      <c r="FV2" s="45">
        <v>2007</v>
      </c>
      <c r="FW2" s="45">
        <f>FV2+1</f>
        <v>2008</v>
      </c>
      <c r="FX2" s="45">
        <f t="shared" ref="FX2:GI2" si="0">FW2+1</f>
        <v>2009</v>
      </c>
      <c r="FY2" s="45">
        <f t="shared" si="0"/>
        <v>2010</v>
      </c>
      <c r="FZ2" s="45">
        <f t="shared" si="0"/>
        <v>2011</v>
      </c>
      <c r="GA2" s="45">
        <f t="shared" si="0"/>
        <v>2012</v>
      </c>
      <c r="GB2" s="45">
        <f t="shared" si="0"/>
        <v>2013</v>
      </c>
      <c r="GC2" s="45">
        <f t="shared" si="0"/>
        <v>2014</v>
      </c>
      <c r="GD2" s="131">
        <f t="shared" si="0"/>
        <v>2015</v>
      </c>
      <c r="GE2" s="131">
        <f t="shared" si="0"/>
        <v>2016</v>
      </c>
      <c r="GF2" s="131">
        <f t="shared" si="0"/>
        <v>2017</v>
      </c>
      <c r="GG2" s="131">
        <f t="shared" si="0"/>
        <v>2018</v>
      </c>
      <c r="GH2" s="131">
        <f t="shared" si="0"/>
        <v>2019</v>
      </c>
      <c r="GI2" s="131">
        <f t="shared" si="0"/>
        <v>2020</v>
      </c>
      <c r="GJ2" s="131">
        <f t="shared" ref="GJ2" si="1">GI2+1</f>
        <v>2021</v>
      </c>
      <c r="GK2" s="131">
        <f t="shared" ref="GK2" si="2">GJ2+1</f>
        <v>2022</v>
      </c>
      <c r="GL2" s="131">
        <f t="shared" ref="GL2" si="3">GK2+1</f>
        <v>2023</v>
      </c>
      <c r="GM2" s="131">
        <f t="shared" ref="GM2" si="4">GL2+1</f>
        <v>2024</v>
      </c>
      <c r="GN2" s="45">
        <f t="shared" ref="GN2" si="5">GM2+1</f>
        <v>2025</v>
      </c>
      <c r="GO2" s="45">
        <f t="shared" ref="GO2" si="6">GN2+1</f>
        <v>2026</v>
      </c>
      <c r="GP2" s="45">
        <f t="shared" ref="GP2" si="7">GO2+1</f>
        <v>2027</v>
      </c>
      <c r="GQ2" s="45">
        <f t="shared" ref="GQ2" si="8">GP2+1</f>
        <v>2028</v>
      </c>
      <c r="GR2" s="45">
        <f t="shared" ref="GR2" si="9">GQ2+1</f>
        <v>2029</v>
      </c>
      <c r="GS2" s="45">
        <f t="shared" ref="GS2" si="10">GR2+1</f>
        <v>2030</v>
      </c>
      <c r="GT2" s="45">
        <f t="shared" ref="GT2:GX2" si="11">GS2+1</f>
        <v>2031</v>
      </c>
      <c r="GU2" s="45">
        <f t="shared" si="11"/>
        <v>2032</v>
      </c>
      <c r="GV2" s="45">
        <f t="shared" si="11"/>
        <v>2033</v>
      </c>
      <c r="GW2" s="45">
        <f t="shared" si="11"/>
        <v>2034</v>
      </c>
      <c r="GX2" s="45">
        <f t="shared" si="11"/>
        <v>2035</v>
      </c>
    </row>
    <row r="3" spans="1:206" s="26" customFormat="1" ht="13" x14ac:dyDescent="0.3">
      <c r="B3" s="17" t="s">
        <v>472</v>
      </c>
      <c r="C3" s="23"/>
      <c r="D3" s="23"/>
      <c r="E3" s="23"/>
      <c r="F3" s="23"/>
      <c r="G3" s="23"/>
      <c r="H3" s="23"/>
      <c r="I3" s="25"/>
      <c r="J3" s="25"/>
      <c r="K3" s="25"/>
      <c r="L3" s="25"/>
      <c r="M3" s="25"/>
      <c r="N3" s="25"/>
      <c r="O3" s="25"/>
      <c r="P3" s="25"/>
      <c r="Q3" s="66">
        <f>SUM(Q24:Q76)</f>
        <v>19477</v>
      </c>
      <c r="R3" s="25">
        <f>CP3+CQ3</f>
        <v>20063</v>
      </c>
      <c r="S3" s="25">
        <f>CQ3+CR3</f>
        <v>15193</v>
      </c>
      <c r="T3" s="25">
        <f>37058-S3</f>
        <v>21865</v>
      </c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93"/>
      <c r="BT3" s="66">
        <f>SUM(BT24:BT76)</f>
        <v>4006.9046424090338</v>
      </c>
      <c r="BU3" s="66">
        <f>SUM(BU24:BU76)</f>
        <v>4101.6097867001254</v>
      </c>
      <c r="BV3" s="66">
        <f>SUM(BV24:BV76)</f>
        <v>4090.2823086574654</v>
      </c>
      <c r="BW3" s="66">
        <f>SUM(BW24:BW76)</f>
        <v>4171</v>
      </c>
      <c r="BX3" s="66">
        <f>SUM(BX24:BX76)</f>
        <v>4688</v>
      </c>
      <c r="BY3" s="66">
        <f>SUM(BY24:BY76)</f>
        <v>4860.7282626022334</v>
      </c>
      <c r="BZ3" s="66">
        <f>SUM(BZ24:BZ76)</f>
        <v>4925.2717373977657</v>
      </c>
      <c r="CA3" s="66">
        <f>SUM(CA24:CA76)</f>
        <v>5800</v>
      </c>
      <c r="CB3" s="66">
        <f>SUM(CB24:CB76)</f>
        <v>5514</v>
      </c>
      <c r="CC3" s="66">
        <f>SUM(CC24:CC76)</f>
        <v>5460</v>
      </c>
      <c r="CD3" s="66">
        <f>SUM(CD24:CD76)</f>
        <v>5949.2578675886843</v>
      </c>
      <c r="CE3" s="66">
        <f>SUM(CE24:CE76)</f>
        <v>6366.146521744965</v>
      </c>
      <c r="CF3" s="66">
        <f>SUM(CF24:CF76)</f>
        <v>5020</v>
      </c>
      <c r="CG3" s="66">
        <f>SUM(CG24:CG76)</f>
        <v>4833</v>
      </c>
      <c r="CH3" s="66">
        <f>SUM(CH24:CH77)</f>
        <v>9212</v>
      </c>
      <c r="CI3" s="66">
        <f>SUM(CI24:CI77)</f>
        <v>10011</v>
      </c>
      <c r="CJ3" s="66">
        <f>SUM(CJ24:CJ77)</f>
        <v>8795</v>
      </c>
      <c r="CK3" s="66">
        <f>SUM(CK24:CK77)</f>
        <v>8902</v>
      </c>
      <c r="CL3" s="66">
        <f>SUM(CL24:CL77)</f>
        <v>9138</v>
      </c>
      <c r="CM3" s="66">
        <f>SUM(CM24:CM77)</f>
        <v>9972</v>
      </c>
      <c r="CN3" s="66">
        <f>SUM(CN24:CN77)</f>
        <v>9396</v>
      </c>
      <c r="CO3" s="66">
        <f>SUM(CO24:CO77)</f>
        <v>10081</v>
      </c>
      <c r="CP3" s="66">
        <f>SUM(CP24:CP77)</f>
        <v>10101</v>
      </c>
      <c r="CQ3" s="66">
        <f>SUM(CQ24:CQ77)</f>
        <v>9962</v>
      </c>
      <c r="CR3" s="66">
        <f>SUM(CR24:CR76)</f>
        <v>5231</v>
      </c>
      <c r="CS3" s="66">
        <f>SUM(CS24:CS77)</f>
        <v>9659</v>
      </c>
      <c r="CT3" s="66">
        <f>SUM(CT24:CT77)</f>
        <v>9009</v>
      </c>
      <c r="CU3" s="66">
        <f>SUM(CU24:CU77)</f>
        <v>8663</v>
      </c>
      <c r="CV3" s="66">
        <f>SUM(CV24:CV77)</f>
        <v>8712</v>
      </c>
      <c r="CW3" s="66">
        <f>SUM(CW24:CW77)</f>
        <v>8103</v>
      </c>
      <c r="CX3" s="66">
        <f>SUM(CX24:CX77)</f>
        <v>7582</v>
      </c>
      <c r="CY3" s="66">
        <f>SUM(CY24:CY77)</f>
        <v>8397</v>
      </c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>
        <f>SUM(EJ9:EJ76)</f>
        <v>9600</v>
      </c>
      <c r="EK3" s="66">
        <f>SUM(EK9:EK76)</f>
        <v>10052</v>
      </c>
      <c r="EL3" s="66">
        <f>SUM(EL9:EL76)</f>
        <v>10620</v>
      </c>
      <c r="EM3" s="66">
        <f>SUM(EM9:EM76)</f>
        <v>10591</v>
      </c>
      <c r="EN3" s="66">
        <f>SUM(EN9:EN76)</f>
        <v>11159</v>
      </c>
      <c r="EO3" s="66">
        <f>SUM(EO9:EO76)</f>
        <v>10262</v>
      </c>
      <c r="EP3" s="66">
        <f>SUM(EP9:EP76)</f>
        <v>9926</v>
      </c>
      <c r="EQ3" s="66">
        <f>SUM(EQ9:EQ76)</f>
        <v>11088</v>
      </c>
      <c r="ER3" s="66">
        <f>SUM(ER9:ER76)</f>
        <v>10573</v>
      </c>
      <c r="ES3" s="66">
        <f>SUM(ES9:ES76)</f>
        <v>9974</v>
      </c>
      <c r="ET3" s="66">
        <f>SUM(ET9:ET76)</f>
        <v>9893</v>
      </c>
      <c r="EU3" s="66">
        <f>SUM(EU9:EU76)</f>
        <v>10085</v>
      </c>
      <c r="EV3" s="66">
        <f>SUM(EV9:EV76)</f>
        <v>11031</v>
      </c>
      <c r="EW3" s="66">
        <v>11716</v>
      </c>
      <c r="EX3" s="66">
        <v>11620</v>
      </c>
      <c r="EY3" s="66">
        <v>11914</v>
      </c>
      <c r="EZ3" s="66"/>
      <c r="FA3" s="66"/>
      <c r="FB3" s="66"/>
      <c r="FC3" s="66"/>
      <c r="FD3" s="128"/>
      <c r="FE3" s="128"/>
      <c r="FF3" s="66"/>
      <c r="FG3" s="66"/>
      <c r="FH3" s="66"/>
      <c r="FI3" s="66"/>
      <c r="FJ3" s="66"/>
      <c r="FK3" s="66"/>
      <c r="FL3" s="66"/>
      <c r="FM3" s="5"/>
      <c r="FN3" s="5"/>
      <c r="FO3" s="5"/>
      <c r="FP3" s="66">
        <f>SUM(FP24:FP76)</f>
        <v>14302</v>
      </c>
      <c r="FQ3" s="66">
        <f>SUM(FQ24:FQ76)</f>
        <v>13972</v>
      </c>
      <c r="FR3" s="66">
        <f>SUM(FR24:FR76)</f>
        <v>15518</v>
      </c>
      <c r="FS3" s="66">
        <f>SUM(FS24:FS76)</f>
        <v>16369.796737766625</v>
      </c>
      <c r="FT3" s="66">
        <f>SUM(FT24:FT76)</f>
        <v>20274</v>
      </c>
      <c r="FU3" s="66">
        <f>SUM(FU24:FU76)</f>
        <v>22423.404389333649</v>
      </c>
      <c r="FV3" s="66">
        <f>SUM(FV24:FV76)</f>
        <v>19692</v>
      </c>
      <c r="FW3" s="66">
        <f>SUM(FW24:FW76)</f>
        <v>18844</v>
      </c>
      <c r="FX3" s="66">
        <f>SUM(FX24:FX77)</f>
        <v>39540</v>
      </c>
      <c r="FY3" s="66">
        <f>SUM(FY24:FY77)</f>
        <v>36911</v>
      </c>
      <c r="FZ3" s="68">
        <f t="shared" ref="FZ3:FZ8" si="12">SUM(CV3:CY3)</f>
        <v>32794</v>
      </c>
      <c r="GA3" s="66">
        <f>SUM(GA24:GA77)</f>
        <v>16547</v>
      </c>
      <c r="GB3" s="66">
        <f>SUM(GB24:GB77)</f>
        <v>20204</v>
      </c>
      <c r="GC3" s="66">
        <f>SUM(GC24:GC77)</f>
        <v>19121</v>
      </c>
      <c r="GD3" s="128">
        <f>SUM(GD24:GD77)</f>
        <v>17890</v>
      </c>
      <c r="GE3" s="128">
        <f>SUM(GE24:GE77)</f>
        <v>18041</v>
      </c>
      <c r="GF3" s="128">
        <f>SUM(GF24:GF77)</f>
        <v>17103</v>
      </c>
      <c r="GG3" s="128">
        <f>SUM(GG24:GG77)</f>
        <v>17139</v>
      </c>
      <c r="GH3" s="128">
        <f>SUM(GH24:GH77)</f>
        <v>17634</v>
      </c>
      <c r="GI3" s="128">
        <f>SUM(GI9:GI77)</f>
        <v>44532</v>
      </c>
      <c r="GJ3" s="128">
        <f>SUM(GJ9:GJ77)</f>
        <v>45041</v>
      </c>
      <c r="GK3" s="128">
        <f>SUM(GK9:GK77)</f>
        <v>42758</v>
      </c>
      <c r="GL3" s="128">
        <f>SUM(GL9:GL77)</f>
        <v>45711</v>
      </c>
      <c r="GM3" s="128">
        <f>SUM(GM9:GM77)</f>
        <v>47329</v>
      </c>
    </row>
    <row r="4" spans="1:206" s="26" customFormat="1" ht="13" x14ac:dyDescent="0.3">
      <c r="B4" s="17" t="s">
        <v>566</v>
      </c>
      <c r="C4" s="46"/>
      <c r="D4" s="46"/>
      <c r="E4" s="24">
        <v>2051</v>
      </c>
      <c r="F4" s="24">
        <v>2470</v>
      </c>
      <c r="G4" s="24"/>
      <c r="H4" s="24"/>
      <c r="I4" s="27">
        <v>2867</v>
      </c>
      <c r="J4" s="27">
        <f>6614-I4</f>
        <v>3747</v>
      </c>
      <c r="K4" s="27">
        <v>4223</v>
      </c>
      <c r="L4" s="27">
        <f>9125-K4</f>
        <v>4902</v>
      </c>
      <c r="M4" s="27">
        <v>5227</v>
      </c>
      <c r="N4" s="27">
        <f>10414-M4</f>
        <v>5187</v>
      </c>
      <c r="O4" s="27">
        <v>4867</v>
      </c>
      <c r="P4" s="27">
        <f>10461-O4</f>
        <v>5594</v>
      </c>
      <c r="Q4" s="27">
        <v>7516</v>
      </c>
      <c r="R4" s="27">
        <f>CP4+CQ4</f>
        <v>7289</v>
      </c>
      <c r="S4" s="27">
        <v>7372</v>
      </c>
      <c r="T4" s="27">
        <f>14071-S4</f>
        <v>6699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48"/>
      <c r="BT4" s="46"/>
      <c r="BU4" s="46"/>
      <c r="BV4" s="46"/>
      <c r="BW4" s="46"/>
      <c r="BX4" s="24"/>
      <c r="BY4" s="24"/>
      <c r="BZ4" s="24"/>
      <c r="CA4" s="24">
        <v>1982</v>
      </c>
      <c r="CB4" s="24">
        <v>2056</v>
      </c>
      <c r="CC4" s="24">
        <v>2167</v>
      </c>
      <c r="CD4" s="24">
        <v>2299</v>
      </c>
      <c r="CE4" s="24">
        <v>2603</v>
      </c>
      <c r="CF4" s="24">
        <v>2547</v>
      </c>
      <c r="CG4" s="24">
        <v>2680</v>
      </c>
      <c r="CH4" s="24">
        <v>2623</v>
      </c>
      <c r="CI4" s="24">
        <v>2564</v>
      </c>
      <c r="CJ4" s="24">
        <v>3326</v>
      </c>
      <c r="CK4" s="24">
        <v>2468</v>
      </c>
      <c r="CL4" s="24">
        <v>2669</v>
      </c>
      <c r="CM4" s="24">
        <v>2925</v>
      </c>
      <c r="CN4" s="24">
        <v>3586</v>
      </c>
      <c r="CO4" s="24">
        <f>7516-CN4</f>
        <v>3930</v>
      </c>
      <c r="CP4" s="24">
        <f>11157-CO4-CN4</f>
        <v>3641</v>
      </c>
      <c r="CQ4" s="24">
        <v>3648</v>
      </c>
      <c r="CR4" s="24">
        <v>3647</v>
      </c>
      <c r="CS4" s="24">
        <v>3725</v>
      </c>
      <c r="CT4" s="24">
        <v>3506</v>
      </c>
      <c r="CU4" s="24">
        <v>3193</v>
      </c>
      <c r="CV4" s="24">
        <v>3322</v>
      </c>
      <c r="CW4" s="24">
        <v>2963</v>
      </c>
      <c r="CX4" s="24">
        <v>2819</v>
      </c>
      <c r="CY4" s="24">
        <v>3119</v>
      </c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138"/>
      <c r="FE4" s="138"/>
      <c r="FF4" s="24"/>
      <c r="FG4" s="24"/>
      <c r="FH4" s="24"/>
      <c r="FI4" s="24"/>
      <c r="FJ4" s="24"/>
      <c r="FK4" s="24"/>
      <c r="FL4" s="24"/>
      <c r="FM4" s="17"/>
      <c r="FN4" s="17"/>
      <c r="FO4" s="17"/>
      <c r="FP4" s="27">
        <v>2866</v>
      </c>
      <c r="FQ4" s="27">
        <v>3250</v>
      </c>
      <c r="FR4" s="27">
        <v>3382</v>
      </c>
      <c r="FS4" s="27">
        <v>4521</v>
      </c>
      <c r="FT4" s="27">
        <v>6614</v>
      </c>
      <c r="FU4" s="27">
        <f>SUM(K4:L4)</f>
        <v>9125</v>
      </c>
      <c r="FV4" s="27">
        <f>SUM(M4:N4)</f>
        <v>10414</v>
      </c>
      <c r="FW4" s="27">
        <f>SUM(O4:P4)</f>
        <v>10461</v>
      </c>
      <c r="FX4" s="27">
        <f t="shared" ref="FX4:FX24" si="13">SUM(CN4:CQ4)</f>
        <v>14805</v>
      </c>
      <c r="FY4" s="27">
        <f t="shared" ref="FY4:FY55" si="14">SUM(CR4:CU4)</f>
        <v>14071</v>
      </c>
      <c r="FZ4" s="27">
        <f t="shared" si="12"/>
        <v>12223</v>
      </c>
      <c r="GA4" s="27"/>
      <c r="GB4" s="27"/>
      <c r="GC4" s="27"/>
      <c r="GD4" s="124"/>
      <c r="GE4" s="124"/>
      <c r="GF4" s="124"/>
      <c r="GG4" s="124"/>
      <c r="GH4" s="124"/>
      <c r="GI4" s="124"/>
      <c r="GJ4" s="64"/>
      <c r="GK4" s="40"/>
      <c r="GL4" s="132">
        <v>23259</v>
      </c>
      <c r="GM4" s="132">
        <v>24774</v>
      </c>
    </row>
    <row r="5" spans="1:206" s="26" customFormat="1" ht="13" x14ac:dyDescent="0.3">
      <c r="B5" s="17" t="s">
        <v>19</v>
      </c>
      <c r="C5" s="24"/>
      <c r="D5" s="24"/>
      <c r="E5" s="24"/>
      <c r="F5" s="24"/>
      <c r="G5" s="24"/>
      <c r="H5" s="24"/>
      <c r="I5" s="27">
        <v>1807</v>
      </c>
      <c r="J5" s="27">
        <f>3699-I5</f>
        <v>1892</v>
      </c>
      <c r="K5" s="27">
        <v>1684</v>
      </c>
      <c r="L5" s="27">
        <f>3503-K5</f>
        <v>1819</v>
      </c>
      <c r="M5" s="27">
        <v>1674</v>
      </c>
      <c r="N5" s="27">
        <f>3399-M5</f>
        <v>1725</v>
      </c>
      <c r="O5" s="27">
        <v>1452</v>
      </c>
      <c r="P5" s="27">
        <f>3336-O5</f>
        <v>1884</v>
      </c>
      <c r="Q5" s="27">
        <v>2184</v>
      </c>
      <c r="R5" s="27">
        <f t="shared" ref="R5:R6" si="15">CP5+CQ5</f>
        <v>2581</v>
      </c>
      <c r="S5" s="27">
        <v>2061</v>
      </c>
      <c r="T5" s="27">
        <f>4319-S5</f>
        <v>2258</v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48"/>
      <c r="BT5" s="24">
        <v>748</v>
      </c>
      <c r="BU5" s="24">
        <v>807</v>
      </c>
      <c r="BV5" s="24">
        <v>767</v>
      </c>
      <c r="BW5" s="24">
        <v>881</v>
      </c>
      <c r="BX5" s="24">
        <v>955</v>
      </c>
      <c r="BY5" s="24">
        <v>852</v>
      </c>
      <c r="BZ5" s="24">
        <v>826</v>
      </c>
      <c r="CA5" s="24">
        <v>1066</v>
      </c>
      <c r="CB5" s="24">
        <v>862</v>
      </c>
      <c r="CC5" s="24">
        <v>822</v>
      </c>
      <c r="CD5" s="24">
        <v>841.78159705624148</v>
      </c>
      <c r="CE5" s="24">
        <v>1017.5078900940982</v>
      </c>
      <c r="CF5" s="24">
        <v>893</v>
      </c>
      <c r="CG5" s="24">
        <v>781</v>
      </c>
      <c r="CH5" s="24">
        <v>808</v>
      </c>
      <c r="CI5" s="24">
        <v>917</v>
      </c>
      <c r="CJ5" s="24">
        <v>671</v>
      </c>
      <c r="CK5" s="24">
        <v>781</v>
      </c>
      <c r="CL5" s="24">
        <v>782</v>
      </c>
      <c r="CM5" s="24">
        <v>1102</v>
      </c>
      <c r="CN5" s="24">
        <v>1139</v>
      </c>
      <c r="CO5" s="24">
        <f>2184-CN5</f>
        <v>1045</v>
      </c>
      <c r="CP5" s="24">
        <f>3490-CO5-CN5</f>
        <v>1306</v>
      </c>
      <c r="CQ5" s="24">
        <v>1275</v>
      </c>
      <c r="CR5" s="24">
        <v>988</v>
      </c>
      <c r="CS5" s="24">
        <v>1073</v>
      </c>
      <c r="CT5" s="24">
        <v>1076</v>
      </c>
      <c r="CU5" s="24">
        <v>1182</v>
      </c>
      <c r="CV5" s="24">
        <v>903</v>
      </c>
      <c r="CW5" s="24">
        <v>928</v>
      </c>
      <c r="CX5" s="24">
        <v>881</v>
      </c>
      <c r="CY5" s="24">
        <v>1105</v>
      </c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138"/>
      <c r="FE5" s="138"/>
      <c r="FF5" s="24"/>
      <c r="FG5" s="24"/>
      <c r="FH5" s="24"/>
      <c r="FI5" s="24"/>
      <c r="FJ5" s="24"/>
      <c r="FK5" s="24"/>
      <c r="FL5" s="24"/>
      <c r="FM5" s="17"/>
      <c r="FN5" s="17"/>
      <c r="FO5" s="17"/>
      <c r="FP5" s="27">
        <v>1000</v>
      </c>
      <c r="FQ5" s="27">
        <v>1585</v>
      </c>
      <c r="FR5" s="27">
        <v>3156</v>
      </c>
      <c r="FS5" s="27">
        <f>SUM(BT5:BW5)</f>
        <v>3203</v>
      </c>
      <c r="FT5" s="27">
        <f>SUM(BX5:CA5)</f>
        <v>3699</v>
      </c>
      <c r="FU5" s="27">
        <f>SUM(K5:L5)</f>
        <v>3503</v>
      </c>
      <c r="FV5" s="27">
        <f t="shared" ref="FV5:FV53" si="16">SUM(M5:N5)</f>
        <v>3399</v>
      </c>
      <c r="FW5" s="27">
        <f>SUM(O5:P5)</f>
        <v>3336</v>
      </c>
      <c r="FX5" s="27">
        <f t="shared" si="13"/>
        <v>4765</v>
      </c>
      <c r="FY5" s="27">
        <f t="shared" si="14"/>
        <v>4319</v>
      </c>
      <c r="FZ5" s="27">
        <f t="shared" si="12"/>
        <v>3817</v>
      </c>
      <c r="GA5" s="27"/>
      <c r="GB5" s="27"/>
      <c r="GC5" s="27"/>
      <c r="GD5" s="124"/>
      <c r="GE5" s="124"/>
      <c r="GF5" s="124"/>
      <c r="GG5" s="124"/>
      <c r="GH5" s="124"/>
      <c r="GI5" s="124"/>
      <c r="GJ5" s="64"/>
      <c r="GK5" s="40"/>
      <c r="GL5" s="132">
        <v>3745</v>
      </c>
      <c r="GM5" s="132">
        <v>2874</v>
      </c>
    </row>
    <row r="6" spans="1:206" s="26" customFormat="1" ht="13" x14ac:dyDescent="0.3">
      <c r="B6" s="17" t="s">
        <v>41</v>
      </c>
      <c r="C6" s="24"/>
      <c r="D6" s="24"/>
      <c r="E6" s="24"/>
      <c r="F6" s="24"/>
      <c r="G6" s="24"/>
      <c r="H6" s="24"/>
      <c r="I6" s="27">
        <v>3970</v>
      </c>
      <c r="J6" s="27">
        <f>8243-I6</f>
        <v>4273</v>
      </c>
      <c r="K6" s="27">
        <v>4272</v>
      </c>
      <c r="L6" s="27">
        <f>8747-K6</f>
        <v>4475</v>
      </c>
      <c r="M6" s="27">
        <v>4559</v>
      </c>
      <c r="N6" s="27">
        <f>9350-M6</f>
        <v>4791</v>
      </c>
      <c r="O6" s="27">
        <v>4747</v>
      </c>
      <c r="P6" s="27">
        <f>9656-O6</f>
        <v>4909</v>
      </c>
      <c r="Q6" s="27">
        <v>4902</v>
      </c>
      <c r="R6" s="27">
        <f t="shared" si="15"/>
        <v>5153</v>
      </c>
      <c r="S6" s="27">
        <v>5250</v>
      </c>
      <c r="T6" s="27">
        <f>10415-S6</f>
        <v>5165</v>
      </c>
      <c r="U6" s="27">
        <v>4856</v>
      </c>
      <c r="V6" s="27">
        <f>9737-U6</f>
        <v>4881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48"/>
      <c r="BT6" s="48"/>
      <c r="BU6" s="24"/>
      <c r="BV6" s="24"/>
      <c r="BW6" s="24"/>
      <c r="BX6" s="24"/>
      <c r="BY6" s="24"/>
      <c r="BZ6" s="24"/>
      <c r="CA6" s="24">
        <v>2235</v>
      </c>
      <c r="CB6" s="24">
        <v>2091</v>
      </c>
      <c r="CC6" s="24">
        <v>2181</v>
      </c>
      <c r="CD6" s="24">
        <v>2143</v>
      </c>
      <c r="CE6" s="24">
        <v>2332</v>
      </c>
      <c r="CF6" s="24">
        <v>2216</v>
      </c>
      <c r="CG6" s="24">
        <v>2343</v>
      </c>
      <c r="CH6" s="24">
        <v>2264</v>
      </c>
      <c r="CI6" s="24">
        <v>2527</v>
      </c>
      <c r="CJ6" s="24">
        <v>2287</v>
      </c>
      <c r="CK6" s="24">
        <v>2460</v>
      </c>
      <c r="CL6" s="24">
        <v>2365</v>
      </c>
      <c r="CM6" s="24">
        <v>2544</v>
      </c>
      <c r="CN6" s="24">
        <v>2361</v>
      </c>
      <c r="CO6" s="24">
        <f>4902-CN6</f>
        <v>2541</v>
      </c>
      <c r="CP6" s="24">
        <f>7365-CO6-CN6</f>
        <v>2463</v>
      </c>
      <c r="CQ6" s="24">
        <v>2690</v>
      </c>
      <c r="CR6" s="24">
        <v>2518</v>
      </c>
      <c r="CS6" s="24">
        <v>2732</v>
      </c>
      <c r="CT6" s="24">
        <v>2482</v>
      </c>
      <c r="CU6" s="24">
        <v>2683</v>
      </c>
      <c r="CV6" s="24">
        <v>2408</v>
      </c>
      <c r="CW6" s="24">
        <v>2448</v>
      </c>
      <c r="CX6" s="24">
        <v>2239</v>
      </c>
      <c r="CY6" s="24">
        <v>2642</v>
      </c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>
        <v>4330</v>
      </c>
      <c r="EK6" s="24"/>
      <c r="EL6" s="24">
        <v>4263</v>
      </c>
      <c r="EM6" s="24">
        <v>4455</v>
      </c>
      <c r="EN6" s="24">
        <v>5286</v>
      </c>
      <c r="EO6" s="24">
        <v>4662</v>
      </c>
      <c r="EP6" s="24">
        <v>3900</v>
      </c>
      <c r="EQ6" s="24">
        <v>3882</v>
      </c>
      <c r="ER6" s="24">
        <v>3623</v>
      </c>
      <c r="ES6" s="24">
        <v>3475</v>
      </c>
      <c r="ET6" s="24">
        <v>3333</v>
      </c>
      <c r="EU6" s="24">
        <v>3770</v>
      </c>
      <c r="EV6" s="24">
        <v>3478</v>
      </c>
      <c r="EW6" s="24">
        <f>7211-EV6</f>
        <v>3733</v>
      </c>
      <c r="EX6" s="24">
        <v>3516</v>
      </c>
      <c r="EY6" s="24">
        <v>3597</v>
      </c>
      <c r="EZ6" s="24">
        <v>3491</v>
      </c>
      <c r="FA6" s="24">
        <f>6959-EZ6</f>
        <v>3468</v>
      </c>
      <c r="FB6" s="24">
        <f>+EX6</f>
        <v>3516</v>
      </c>
      <c r="FC6" s="24">
        <f>+EY6</f>
        <v>3597</v>
      </c>
      <c r="FD6" s="138">
        <v>3253</v>
      </c>
      <c r="FE6" s="138">
        <f>6735-FD6</f>
        <v>3482</v>
      </c>
      <c r="FF6" s="24"/>
      <c r="FG6" s="24"/>
      <c r="FH6" s="24"/>
      <c r="FI6" s="24"/>
      <c r="FJ6" s="24"/>
      <c r="FK6" s="24"/>
      <c r="FL6" s="24"/>
      <c r="FM6" s="17"/>
      <c r="FN6" s="17"/>
      <c r="FO6" s="17"/>
      <c r="FP6" s="27">
        <f>17200-FP8-FP5</f>
        <v>2866</v>
      </c>
      <c r="FQ6" s="27">
        <f>17703-FQ8-FQ5</f>
        <v>3250</v>
      </c>
      <c r="FR6" s="27">
        <f>19781-FR5-FR8</f>
        <v>3382</v>
      </c>
      <c r="FS6" s="27">
        <f>21695-FS8-FS5</f>
        <v>4522</v>
      </c>
      <c r="FT6" s="27">
        <f>27268-FT8-FT5</f>
        <v>6614</v>
      </c>
      <c r="FU6" s="27">
        <f>SUM(K6:L6)</f>
        <v>8747</v>
      </c>
      <c r="FV6" s="27">
        <f>SUM(M6:N6)</f>
        <v>9350</v>
      </c>
      <c r="FW6" s="27">
        <f>SUM(O6:P6)</f>
        <v>9656</v>
      </c>
      <c r="FX6" s="27">
        <f t="shared" si="13"/>
        <v>10055</v>
      </c>
      <c r="FY6" s="27">
        <f t="shared" si="14"/>
        <v>10415</v>
      </c>
      <c r="FZ6" s="27">
        <f t="shared" si="12"/>
        <v>9737</v>
      </c>
      <c r="GA6" s="27"/>
      <c r="GB6" s="68">
        <v>10476</v>
      </c>
      <c r="GC6" s="68">
        <v>10766</v>
      </c>
      <c r="GD6" s="125">
        <v>10814</v>
      </c>
      <c r="GE6" s="125">
        <v>11473</v>
      </c>
      <c r="GF6" s="125">
        <v>12079</v>
      </c>
      <c r="GG6" s="125">
        <v>12879</v>
      </c>
      <c r="GH6" s="125">
        <v>12950</v>
      </c>
      <c r="GI6" s="125">
        <v>13791</v>
      </c>
      <c r="GJ6" s="125">
        <v>17760</v>
      </c>
      <c r="GK6" s="133">
        <f>SUM(EN6:EQ6)</f>
        <v>17730</v>
      </c>
      <c r="GL6" s="132">
        <f>SUM(ER6:EU6)</f>
        <v>14201</v>
      </c>
      <c r="GM6" s="132">
        <v>14324</v>
      </c>
      <c r="GN6" s="132">
        <f>SUM(EZ6:FC6)</f>
        <v>14072</v>
      </c>
    </row>
    <row r="7" spans="1:206" s="26" customFormat="1" ht="13" x14ac:dyDescent="0.3">
      <c r="B7" s="17" t="s">
        <v>675</v>
      </c>
      <c r="C7" s="24"/>
      <c r="D7" s="24"/>
      <c r="E7" s="24"/>
      <c r="F7" s="24"/>
      <c r="G7" s="24"/>
      <c r="H7" s="24"/>
      <c r="I7" s="27"/>
      <c r="J7" s="27"/>
      <c r="K7" s="27"/>
      <c r="L7" s="27"/>
      <c r="M7" s="27"/>
      <c r="N7" s="27"/>
      <c r="O7" s="27"/>
      <c r="P7" s="27"/>
      <c r="Q7" s="27"/>
      <c r="R7" s="27"/>
      <c r="S7" s="27">
        <f>CR7+CS7</f>
        <v>4909</v>
      </c>
      <c r="T7" s="27">
        <f>9201-S7</f>
        <v>4292</v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48"/>
      <c r="BT7" s="48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>
        <v>2238</v>
      </c>
      <c r="CR7" s="24">
        <v>2495</v>
      </c>
      <c r="CS7" s="24">
        <v>2414</v>
      </c>
      <c r="CT7" s="24">
        <v>2176</v>
      </c>
      <c r="CU7" s="24">
        <v>2116</v>
      </c>
      <c r="CV7" s="24">
        <v>2278</v>
      </c>
      <c r="CW7" s="24">
        <v>2122</v>
      </c>
      <c r="CX7" s="24">
        <v>1971</v>
      </c>
      <c r="CY7" s="24">
        <v>2162</v>
      </c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138"/>
      <c r="FE7" s="138"/>
      <c r="FF7" s="24"/>
      <c r="FG7" s="24"/>
      <c r="FH7" s="24"/>
      <c r="FI7" s="24"/>
      <c r="FJ7" s="24"/>
      <c r="FK7" s="24"/>
      <c r="FL7" s="24"/>
      <c r="FM7" s="17"/>
      <c r="FN7" s="17"/>
      <c r="FO7" s="17"/>
      <c r="FP7" s="27"/>
      <c r="FQ7" s="27"/>
      <c r="FR7" s="27"/>
      <c r="FS7" s="27"/>
      <c r="FT7" s="27"/>
      <c r="FU7" s="27"/>
      <c r="FV7" s="27"/>
      <c r="FW7" s="27"/>
      <c r="FX7" s="27">
        <f t="shared" si="13"/>
        <v>2238</v>
      </c>
      <c r="FY7" s="27">
        <f t="shared" si="14"/>
        <v>9201</v>
      </c>
      <c r="FZ7" s="27">
        <f t="shared" si="12"/>
        <v>8533</v>
      </c>
      <c r="GA7" s="27"/>
      <c r="GB7" s="27"/>
      <c r="GC7" s="27"/>
      <c r="GD7" s="124"/>
      <c r="GE7" s="124"/>
      <c r="GF7" s="124"/>
      <c r="GG7" s="124"/>
      <c r="GH7" s="124"/>
      <c r="GI7" s="124"/>
      <c r="GJ7" s="64"/>
      <c r="GK7" s="40"/>
      <c r="GL7" s="132">
        <v>8955</v>
      </c>
      <c r="GM7" s="132">
        <v>9691</v>
      </c>
    </row>
    <row r="8" spans="1:206" s="26" customFormat="1" ht="13" x14ac:dyDescent="0.3">
      <c r="B8" s="17" t="s">
        <v>678</v>
      </c>
      <c r="C8" s="24"/>
      <c r="D8" s="24"/>
      <c r="E8" s="24"/>
      <c r="F8" s="24"/>
      <c r="G8" s="24"/>
      <c r="H8" s="24"/>
      <c r="I8" s="27">
        <v>7978</v>
      </c>
      <c r="J8" s="27">
        <f>16955-I8</f>
        <v>8977</v>
      </c>
      <c r="K8" s="27">
        <v>9670</v>
      </c>
      <c r="L8" s="27">
        <f>20666-K8</f>
        <v>10996</v>
      </c>
      <c r="M8" s="27">
        <f>SUM(CF8:CG8)</f>
        <v>11367</v>
      </c>
      <c r="N8" s="27">
        <f>22970-M8</f>
        <v>11603</v>
      </c>
      <c r="O8" s="27">
        <v>10938</v>
      </c>
      <c r="P8" s="27">
        <f>22164-O8</f>
        <v>11226</v>
      </c>
      <c r="Q8" s="27">
        <f>5182+1647+1099+950+526</f>
        <v>9404</v>
      </c>
      <c r="R8" s="27">
        <f>CP8+CQ8</f>
        <v>7784</v>
      </c>
      <c r="S8" s="27">
        <f>CR8+CS8</f>
        <v>5044</v>
      </c>
      <c r="T8" s="27">
        <f>9467-S8</f>
        <v>4423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48"/>
      <c r="BT8" s="24">
        <v>3546</v>
      </c>
      <c r="BU8" s="24">
        <v>3494</v>
      </c>
      <c r="BV8" s="24">
        <v>3483</v>
      </c>
      <c r="BW8" s="24">
        <v>3447</v>
      </c>
      <c r="BX8" s="24">
        <v>3859</v>
      </c>
      <c r="BY8" s="24">
        <v>4119</v>
      </c>
      <c r="BZ8" s="24">
        <v>4191</v>
      </c>
      <c r="CA8" s="24">
        <v>4786</v>
      </c>
      <c r="CB8" s="24">
        <v>4821</v>
      </c>
      <c r="CC8" s="24">
        <v>4849</v>
      </c>
      <c r="CD8" s="24">
        <v>5017.1291249999995</v>
      </c>
      <c r="CE8" s="24">
        <v>5572.7543856047305</v>
      </c>
      <c r="CF8" s="24">
        <v>5702</v>
      </c>
      <c r="CG8" s="24">
        <v>5665</v>
      </c>
      <c r="CH8" s="24">
        <v>5425</v>
      </c>
      <c r="CI8" s="24">
        <v>6178</v>
      </c>
      <c r="CJ8" s="24">
        <v>4571</v>
      </c>
      <c r="CK8" s="24">
        <v>5440</v>
      </c>
      <c r="CL8" s="24">
        <v>5485</v>
      </c>
      <c r="CM8" s="24">
        <v>5741</v>
      </c>
      <c r="CN8" s="24">
        <v>4491</v>
      </c>
      <c r="CO8" s="24">
        <f>9404-CN8</f>
        <v>4913</v>
      </c>
      <c r="CP8" s="24">
        <f>14387-CO8-CN8</f>
        <v>4983</v>
      </c>
      <c r="CQ8" s="24">
        <f>5039-CQ7</f>
        <v>2801</v>
      </c>
      <c r="CR8" s="24">
        <v>2597</v>
      </c>
      <c r="CS8" s="24">
        <v>2447</v>
      </c>
      <c r="CT8" s="24">
        <v>2251</v>
      </c>
      <c r="CU8" s="24">
        <v>2172</v>
      </c>
      <c r="CV8" s="24">
        <v>2209</v>
      </c>
      <c r="CW8" s="24">
        <v>2090</v>
      </c>
      <c r="CX8" s="24">
        <v>1911</v>
      </c>
      <c r="CY8" s="24">
        <v>2011</v>
      </c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138"/>
      <c r="FE8" s="138"/>
      <c r="FF8" s="24"/>
      <c r="FG8" s="24"/>
      <c r="FH8" s="24"/>
      <c r="FI8" s="24"/>
      <c r="FJ8" s="24"/>
      <c r="FK8" s="24"/>
      <c r="FL8" s="24"/>
      <c r="FM8" s="17"/>
      <c r="FN8" s="17"/>
      <c r="FO8" s="17"/>
      <c r="FP8" s="27">
        <v>13334</v>
      </c>
      <c r="FQ8" s="27">
        <v>12868</v>
      </c>
      <c r="FR8" s="27">
        <v>13243</v>
      </c>
      <c r="FS8" s="27">
        <f>SUM(BT8:BW8)</f>
        <v>13970</v>
      </c>
      <c r="FT8" s="27">
        <f>SUM(BX8:CA8)</f>
        <v>16955</v>
      </c>
      <c r="FU8" s="27">
        <f t="shared" ref="FU8:FU48" si="17">SUM(K8:L8)</f>
        <v>20666</v>
      </c>
      <c r="FV8" s="27">
        <f t="shared" si="16"/>
        <v>22970</v>
      </c>
      <c r="FW8" s="27">
        <f>SUM(O8:P8)</f>
        <v>22164</v>
      </c>
      <c r="FX8" s="27">
        <f t="shared" si="13"/>
        <v>17188</v>
      </c>
      <c r="FY8" s="27">
        <f t="shared" si="14"/>
        <v>9467</v>
      </c>
      <c r="FZ8" s="27">
        <f t="shared" si="12"/>
        <v>8221</v>
      </c>
      <c r="GA8" s="27"/>
      <c r="GB8" s="27"/>
      <c r="GC8" s="27"/>
      <c r="GD8" s="124"/>
      <c r="GE8" s="124"/>
      <c r="GF8" s="124"/>
      <c r="GG8" s="124"/>
      <c r="GH8" s="124"/>
      <c r="GI8" s="124"/>
      <c r="GJ8" s="64"/>
      <c r="GK8" s="40"/>
      <c r="GL8" s="132">
        <v>8306</v>
      </c>
      <c r="GM8" s="132">
        <v>8832</v>
      </c>
    </row>
    <row r="9" spans="1:206" s="114" customFormat="1" x14ac:dyDescent="0.25">
      <c r="B9" s="3" t="s">
        <v>769</v>
      </c>
      <c r="C9" s="54"/>
      <c r="D9" s="54"/>
      <c r="E9" s="54"/>
      <c r="F9" s="54"/>
      <c r="G9" s="54"/>
      <c r="H9" s="54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52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>
        <v>0</v>
      </c>
      <c r="DS9" s="54">
        <v>0</v>
      </c>
      <c r="DT9" s="54">
        <f>192-DU9</f>
        <v>0</v>
      </c>
      <c r="DU9" s="54">
        <v>192</v>
      </c>
      <c r="DV9" s="54">
        <v>308</v>
      </c>
      <c r="DW9" s="54">
        <v>369</v>
      </c>
      <c r="DX9" s="54">
        <v>479</v>
      </c>
      <c r="DY9" s="54">
        <v>561</v>
      </c>
      <c r="DZ9" s="54">
        <v>633</v>
      </c>
      <c r="EA9" s="54">
        <v>680</v>
      </c>
      <c r="EB9" s="54">
        <v>836</v>
      </c>
      <c r="EC9" s="54">
        <v>899</v>
      </c>
      <c r="ED9" s="54">
        <v>929</v>
      </c>
      <c r="EE9" s="54">
        <f>3708-ED9-EC9-EB9</f>
        <v>1044</v>
      </c>
      <c r="EF9" s="54">
        <v>1112</v>
      </c>
      <c r="EG9" s="54">
        <f>2076-EF9</f>
        <v>964</v>
      </c>
      <c r="EH9" s="54">
        <f>3274-EG9-EF9</f>
        <v>1198</v>
      </c>
      <c r="EI9" s="54">
        <f>4326-EH9-EG9-EF9</f>
        <v>1052</v>
      </c>
      <c r="EJ9" s="54">
        <v>1226</v>
      </c>
      <c r="EK9" s="54">
        <v>1212</v>
      </c>
      <c r="EL9" s="54">
        <v>1283</v>
      </c>
      <c r="EM9" s="54">
        <v>1334</v>
      </c>
      <c r="EN9" s="54">
        <v>1449</v>
      </c>
      <c r="EO9" s="54">
        <v>1461</v>
      </c>
      <c r="EP9" s="54">
        <v>1517</v>
      </c>
      <c r="EQ9" s="54">
        <v>1609</v>
      </c>
      <c r="ER9" s="54">
        <v>1636</v>
      </c>
      <c r="ES9" s="54">
        <v>1564</v>
      </c>
      <c r="ET9" s="54">
        <v>1567</v>
      </c>
      <c r="EU9" s="54">
        <f>6381-ET9-ES9-ER9</f>
        <v>1614</v>
      </c>
      <c r="EV9" s="54">
        <v>1658</v>
      </c>
      <c r="EW9" s="54">
        <f>3359-EV9</f>
        <v>1701</v>
      </c>
      <c r="EX9" s="54">
        <f>5056-EW9-EV9</f>
        <v>1697</v>
      </c>
      <c r="EY9" s="54">
        <f>+GM9-EX9-EW9-EV9</f>
        <v>1688</v>
      </c>
      <c r="EZ9" s="132">
        <v>1778</v>
      </c>
      <c r="FA9" s="54">
        <f>3506-EZ9</f>
        <v>1728</v>
      </c>
      <c r="FB9" s="54">
        <f>5190-FA9-EZ9</f>
        <v>1684</v>
      </c>
      <c r="FC9" s="54">
        <f>7010-FB9-FA9-EZ9</f>
        <v>1820</v>
      </c>
      <c r="FD9" s="132">
        <v>1692</v>
      </c>
      <c r="FE9" s="132">
        <f>3470-FD9</f>
        <v>1778</v>
      </c>
      <c r="FF9" s="54"/>
      <c r="FG9" s="54"/>
      <c r="FH9" s="54"/>
      <c r="FI9" s="54"/>
      <c r="FJ9" s="54"/>
      <c r="FK9" s="54"/>
      <c r="FL9" s="54"/>
      <c r="FM9" s="3">
        <v>0</v>
      </c>
      <c r="FN9" s="3">
        <v>0</v>
      </c>
      <c r="FO9" s="3"/>
      <c r="FP9" s="68"/>
      <c r="FQ9" s="68"/>
      <c r="FR9" s="68"/>
      <c r="FS9" s="68"/>
      <c r="FT9" s="68"/>
      <c r="FU9" s="68"/>
      <c r="FV9" s="68"/>
      <c r="FW9" s="68"/>
      <c r="FX9" s="68"/>
      <c r="FY9" s="68"/>
      <c r="FZ9" s="68"/>
      <c r="GA9" s="68"/>
      <c r="GB9" s="68"/>
      <c r="GC9" s="68"/>
      <c r="GD9" s="125"/>
      <c r="GE9" s="125"/>
      <c r="GF9" s="126">
        <v>869</v>
      </c>
      <c r="GG9" s="125">
        <v>2353</v>
      </c>
      <c r="GH9" s="125">
        <v>3708</v>
      </c>
      <c r="GI9" s="125">
        <v>4326</v>
      </c>
      <c r="GJ9" s="132">
        <v>5055</v>
      </c>
      <c r="GK9" s="133">
        <f>SUM(EN9:EQ9)</f>
        <v>6036</v>
      </c>
      <c r="GL9" s="132">
        <f t="shared" ref="GL9:GL68" si="18">SUM(ER9:EU9)</f>
        <v>6381</v>
      </c>
      <c r="GM9" s="132">
        <v>6744</v>
      </c>
      <c r="GN9" s="132">
        <f t="shared" ref="GN9:GN23" si="19">SUM(EZ9:FC9)</f>
        <v>7010</v>
      </c>
    </row>
    <row r="10" spans="1:206" s="26" customFormat="1" ht="13" x14ac:dyDescent="0.3">
      <c r="B10" s="3" t="s">
        <v>770</v>
      </c>
      <c r="C10" s="23"/>
      <c r="D10" s="23"/>
      <c r="E10" s="23"/>
      <c r="F10" s="23"/>
      <c r="G10" s="23"/>
      <c r="H10" s="2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93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>
        <v>34</v>
      </c>
      <c r="DZ10" s="66">
        <v>56</v>
      </c>
      <c r="EA10" s="66">
        <v>111</v>
      </c>
      <c r="EB10" s="66">
        <v>219</v>
      </c>
      <c r="EC10" s="66">
        <v>316</v>
      </c>
      <c r="ED10" s="66">
        <v>386</v>
      </c>
      <c r="EE10" s="66">
        <f>1380-ED10-EC10-EB10</f>
        <v>459</v>
      </c>
      <c r="EF10" s="66">
        <v>521</v>
      </c>
      <c r="EG10" s="66">
        <f>1003-EF10</f>
        <v>482</v>
      </c>
      <c r="EH10" s="66">
        <f>1575-EG10-EF10</f>
        <v>572</v>
      </c>
      <c r="EI10" s="66">
        <f>2190-EH10-EG10-EF10</f>
        <v>615</v>
      </c>
      <c r="EJ10" s="66">
        <v>661</v>
      </c>
      <c r="EK10" s="66">
        <v>732</v>
      </c>
      <c r="EL10" s="66">
        <v>779</v>
      </c>
      <c r="EM10" s="66">
        <v>850</v>
      </c>
      <c r="EN10" s="66">
        <v>853</v>
      </c>
      <c r="EO10" s="66">
        <v>973</v>
      </c>
      <c r="EP10" s="66">
        <v>952</v>
      </c>
      <c r="EQ10" s="54">
        <v>1045</v>
      </c>
      <c r="ER10" s="66">
        <v>1034</v>
      </c>
      <c r="ES10" s="66">
        <v>1053</v>
      </c>
      <c r="ET10" s="66">
        <v>1025</v>
      </c>
      <c r="EU10" s="66">
        <f>4147-ET10-ES10-ER10</f>
        <v>1035</v>
      </c>
      <c r="EV10" s="66">
        <v>1040</v>
      </c>
      <c r="EW10" s="66">
        <f>2143-EV10</f>
        <v>1103</v>
      </c>
      <c r="EX10" s="66">
        <f>3280-EW10-EV10</f>
        <v>1137</v>
      </c>
      <c r="EY10" s="54">
        <f t="shared" ref="EY10:EY76" si="20">+GM10-EX10-EW10-EV10</f>
        <v>1223</v>
      </c>
      <c r="EZ10" s="132">
        <v>1165</v>
      </c>
      <c r="FA10" s="54">
        <f>2421-EZ10</f>
        <v>1256</v>
      </c>
      <c r="FB10" s="54">
        <f>3526-FA10-EZ10</f>
        <v>1105</v>
      </c>
      <c r="FC10" s="54">
        <f>4754-FB10-FA10-EZ10</f>
        <v>1228</v>
      </c>
      <c r="FD10" s="132">
        <v>1190</v>
      </c>
      <c r="FE10" s="132">
        <f>2492-FD10</f>
        <v>1302</v>
      </c>
      <c r="FF10" s="54"/>
      <c r="FG10" s="54"/>
      <c r="FH10" s="54"/>
      <c r="FI10" s="54"/>
      <c r="FJ10" s="54"/>
      <c r="FK10" s="66"/>
      <c r="FL10" s="66"/>
      <c r="FM10" s="3">
        <v>0</v>
      </c>
      <c r="FN10" s="3">
        <v>0</v>
      </c>
      <c r="FO10" s="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126"/>
      <c r="GE10" s="126"/>
      <c r="GF10" s="126"/>
      <c r="GG10" s="126">
        <v>224</v>
      </c>
      <c r="GH10" s="126">
        <v>1380</v>
      </c>
      <c r="GI10" s="126">
        <v>2190</v>
      </c>
      <c r="GJ10" s="132">
        <v>3022</v>
      </c>
      <c r="GK10" s="133">
        <f>SUM(EN10:EQ10)</f>
        <v>3823</v>
      </c>
      <c r="GL10" s="132">
        <f t="shared" si="18"/>
        <v>4147</v>
      </c>
      <c r="GM10" s="132">
        <v>4503</v>
      </c>
      <c r="GN10" s="132">
        <f t="shared" si="19"/>
        <v>4754</v>
      </c>
    </row>
    <row r="11" spans="1:206" s="26" customFormat="1" ht="13" x14ac:dyDescent="0.3">
      <c r="B11" s="3" t="s">
        <v>779</v>
      </c>
      <c r="C11" s="23"/>
      <c r="D11" s="23"/>
      <c r="E11" s="23"/>
      <c r="F11" s="23"/>
      <c r="G11" s="23"/>
      <c r="H11" s="23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93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>
        <v>0</v>
      </c>
      <c r="DS11" s="66">
        <v>0</v>
      </c>
      <c r="DT11" s="66">
        <v>0</v>
      </c>
      <c r="DU11" s="66">
        <v>0</v>
      </c>
      <c r="DV11" s="66">
        <v>0</v>
      </c>
      <c r="DW11" s="66">
        <v>0</v>
      </c>
      <c r="DX11" s="66">
        <v>0</v>
      </c>
      <c r="DY11" s="66">
        <v>0</v>
      </c>
      <c r="DZ11" s="66">
        <v>0</v>
      </c>
      <c r="EA11" s="66">
        <v>0</v>
      </c>
      <c r="EB11" s="66">
        <v>0</v>
      </c>
      <c r="EC11" s="66">
        <v>0</v>
      </c>
      <c r="ED11" s="66">
        <v>0</v>
      </c>
      <c r="EE11" s="66">
        <v>0</v>
      </c>
      <c r="EF11" s="66">
        <v>0</v>
      </c>
      <c r="EG11" s="66">
        <v>0</v>
      </c>
      <c r="EH11" s="66">
        <v>0</v>
      </c>
      <c r="EI11" s="66">
        <v>0</v>
      </c>
      <c r="EJ11" s="66">
        <v>0</v>
      </c>
      <c r="EK11" s="66">
        <v>0</v>
      </c>
      <c r="EL11" s="66">
        <v>0</v>
      </c>
      <c r="EM11" s="66">
        <v>0</v>
      </c>
      <c r="EN11" s="66">
        <v>21</v>
      </c>
      <c r="EO11" s="66">
        <v>90</v>
      </c>
      <c r="EP11" s="66">
        <v>171</v>
      </c>
      <c r="EQ11" s="66">
        <v>309</v>
      </c>
      <c r="ER11" s="66">
        <v>432</v>
      </c>
      <c r="ES11" s="66">
        <v>525</v>
      </c>
      <c r="ET11" s="66">
        <v>656</v>
      </c>
      <c r="EU11" s="66">
        <f>2357-ET11-ES11-ER11</f>
        <v>744</v>
      </c>
      <c r="EV11" s="66">
        <v>847</v>
      </c>
      <c r="EW11" s="66">
        <f>1794-EV11</f>
        <v>947</v>
      </c>
      <c r="EX11" s="66">
        <f>2816-EW11-EV11</f>
        <v>1022</v>
      </c>
      <c r="EY11" s="54">
        <f>+GM11-EX11-EW11-EV11</f>
        <v>1048</v>
      </c>
      <c r="EZ11" s="132">
        <v>1018</v>
      </c>
      <c r="FA11" s="54">
        <f>2067-EZ11</f>
        <v>1049</v>
      </c>
      <c r="FB11" s="54">
        <f>3063-FA11-EZ11</f>
        <v>996</v>
      </c>
      <c r="FC11" s="54">
        <f>4102-FB11-FA11-EZ11</f>
        <v>1039</v>
      </c>
      <c r="FD11" s="132">
        <v>1024</v>
      </c>
      <c r="FE11" s="132">
        <f>2059-FD11</f>
        <v>1035</v>
      </c>
      <c r="FF11" s="54"/>
      <c r="FG11" s="54"/>
      <c r="FH11" s="54"/>
      <c r="FI11" s="54"/>
      <c r="FJ11" s="54"/>
      <c r="FK11" s="66"/>
      <c r="FL11" s="66"/>
      <c r="FM11" s="3">
        <v>0</v>
      </c>
      <c r="FN11" s="3">
        <v>0</v>
      </c>
      <c r="FO11" s="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126"/>
      <c r="GE11" s="126"/>
      <c r="GF11" s="126"/>
      <c r="GG11" s="126"/>
      <c r="GH11" s="126"/>
      <c r="GI11" s="126"/>
      <c r="GJ11" s="64"/>
      <c r="GK11" s="2">
        <v>591</v>
      </c>
      <c r="GL11" s="132">
        <f>SUM(ER11:EU11)</f>
        <v>2357</v>
      </c>
      <c r="GM11" s="132">
        <v>3864</v>
      </c>
      <c r="GN11" s="132">
        <f>SUM(EZ11:FC11)</f>
        <v>4102</v>
      </c>
    </row>
    <row r="12" spans="1:206" s="26" customFormat="1" ht="13" x14ac:dyDescent="0.3">
      <c r="B12" s="15" t="s">
        <v>28</v>
      </c>
      <c r="C12" s="23"/>
      <c r="D12" s="23"/>
      <c r="E12" s="23"/>
      <c r="F12" s="23"/>
      <c r="G12" s="23"/>
      <c r="H12" s="23"/>
      <c r="I12" s="25">
        <v>181</v>
      </c>
      <c r="J12" s="25">
        <f>408-I12</f>
        <v>227</v>
      </c>
      <c r="K12" s="25">
        <v>257</v>
      </c>
      <c r="L12" s="25">
        <f>537-K12</f>
        <v>280</v>
      </c>
      <c r="M12" s="25">
        <v>284</v>
      </c>
      <c r="N12" s="25">
        <f>567-M12</f>
        <v>283</v>
      </c>
      <c r="O12" s="25">
        <v>259</v>
      </c>
      <c r="P12" s="25">
        <f>SUM(CL12:CM12)</f>
        <v>301</v>
      </c>
      <c r="Q12" s="25">
        <f>SUM(CN12:CO12)</f>
        <v>313</v>
      </c>
      <c r="R12" s="25">
        <f>CP12+CQ12</f>
        <v>307</v>
      </c>
      <c r="S12" s="25">
        <v>324</v>
      </c>
      <c r="T12" s="25">
        <f>+CU12+CT12</f>
        <v>317</v>
      </c>
      <c r="U12" s="25">
        <f>SUM(CV12:CW12)</f>
        <v>300</v>
      </c>
      <c r="V12" s="25">
        <f>CY12+CX12</f>
        <v>303</v>
      </c>
      <c r="W12" s="25"/>
      <c r="X12" s="25"/>
      <c r="Y12" s="25"/>
      <c r="Z12" s="25"/>
      <c r="AA12" s="25">
        <v>437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93"/>
      <c r="BT12" s="66">
        <v>38</v>
      </c>
      <c r="BU12" s="66">
        <v>55</v>
      </c>
      <c r="BV12" s="66">
        <v>68</v>
      </c>
      <c r="BW12" s="66">
        <v>73</v>
      </c>
      <c r="BX12" s="66">
        <v>81</v>
      </c>
      <c r="BY12" s="66">
        <v>100</v>
      </c>
      <c r="BZ12" s="66">
        <v>104</v>
      </c>
      <c r="CA12" s="66">
        <v>123</v>
      </c>
      <c r="CB12" s="66">
        <v>124</v>
      </c>
      <c r="CC12" s="66">
        <v>133</v>
      </c>
      <c r="CD12" s="66">
        <v>135</v>
      </c>
      <c r="CE12" s="66">
        <v>145</v>
      </c>
      <c r="CF12" s="66">
        <v>136</v>
      </c>
      <c r="CG12" s="66">
        <v>148</v>
      </c>
      <c r="CH12" s="66">
        <v>145</v>
      </c>
      <c r="CI12" s="66">
        <v>138</v>
      </c>
      <c r="CJ12" s="66">
        <v>125</v>
      </c>
      <c r="CK12" s="66">
        <v>134</v>
      </c>
      <c r="CL12" s="66">
        <v>145</v>
      </c>
      <c r="CM12" s="66">
        <v>156</v>
      </c>
      <c r="CN12" s="66">
        <v>152</v>
      </c>
      <c r="CO12" s="66">
        <v>161</v>
      </c>
      <c r="CP12" s="66">
        <v>157</v>
      </c>
      <c r="CQ12" s="66">
        <v>150</v>
      </c>
      <c r="CR12" s="66">
        <v>148</v>
      </c>
      <c r="CS12" s="66">
        <f>+S12-CR12</f>
        <v>176</v>
      </c>
      <c r="CT12" s="66">
        <f>491-CS12-CR12</f>
        <v>167</v>
      </c>
      <c r="CU12" s="66">
        <v>150</v>
      </c>
      <c r="CV12" s="66">
        <v>149</v>
      </c>
      <c r="CW12" s="66">
        <f>300-CV12</f>
        <v>151</v>
      </c>
      <c r="CX12" s="66">
        <v>146</v>
      </c>
      <c r="CY12" s="66">
        <v>157</v>
      </c>
      <c r="CZ12" s="66">
        <v>164</v>
      </c>
      <c r="DA12" s="66">
        <v>181</v>
      </c>
      <c r="DB12" s="66">
        <v>185</v>
      </c>
      <c r="DC12" s="66">
        <v>175</v>
      </c>
      <c r="DD12" s="66">
        <v>185</v>
      </c>
      <c r="DE12" s="66">
        <v>201</v>
      </c>
      <c r="DF12" s="66">
        <v>204</v>
      </c>
      <c r="DG12" s="66">
        <v>200</v>
      </c>
      <c r="DH12" s="66">
        <v>205</v>
      </c>
      <c r="DI12" s="66">
        <v>232</v>
      </c>
      <c r="DJ12" s="66">
        <v>264</v>
      </c>
      <c r="DK12" s="66">
        <v>274</v>
      </c>
      <c r="DL12" s="66">
        <v>281</v>
      </c>
      <c r="DM12" s="66">
        <v>312</v>
      </c>
      <c r="DN12" s="66">
        <v>339</v>
      </c>
      <c r="DO12" s="66">
        <v>345</v>
      </c>
      <c r="DP12" s="66">
        <v>356</v>
      </c>
      <c r="DQ12" s="66">
        <v>375</v>
      </c>
      <c r="DR12" s="66">
        <f>1120-DQ12-DP12</f>
        <v>389</v>
      </c>
      <c r="DS12" s="66">
        <f>1498-DR12-DQ12-DP12</f>
        <v>378</v>
      </c>
      <c r="DT12" s="66">
        <f>866-DU12</f>
        <v>437</v>
      </c>
      <c r="DU12" s="66">
        <v>429</v>
      </c>
      <c r="DV12" s="66">
        <v>448</v>
      </c>
      <c r="DW12" s="66">
        <v>428</v>
      </c>
      <c r="DX12" s="66">
        <v>442</v>
      </c>
      <c r="DY12" s="66">
        <v>486</v>
      </c>
      <c r="DZ12" s="66">
        <v>498</v>
      </c>
      <c r="EA12" s="66">
        <v>486</v>
      </c>
      <c r="EB12" s="66">
        <v>469</v>
      </c>
      <c r="EC12" s="66">
        <v>503</v>
      </c>
      <c r="ED12" s="66">
        <v>513</v>
      </c>
      <c r="EE12" s="66">
        <f>1969-ED12-EC12-EB12</f>
        <v>484</v>
      </c>
      <c r="EF12" s="66">
        <v>468</v>
      </c>
      <c r="EG12" s="66">
        <f>958-EF12</f>
        <v>490</v>
      </c>
      <c r="EH12" s="66">
        <f>1451-EG12-EF12</f>
        <v>493</v>
      </c>
      <c r="EI12" s="66">
        <f>1904-EH12-EG12-EF12</f>
        <v>453</v>
      </c>
      <c r="EJ12" s="66">
        <v>409</v>
      </c>
      <c r="EK12" s="66">
        <v>478</v>
      </c>
      <c r="EL12" s="66">
        <v>529</v>
      </c>
      <c r="EM12" s="66">
        <v>526</v>
      </c>
      <c r="EN12" s="66">
        <v>456</v>
      </c>
      <c r="EO12" s="66">
        <v>569</v>
      </c>
      <c r="EP12" s="66">
        <v>600</v>
      </c>
      <c r="EQ12" s="54">
        <v>583</v>
      </c>
      <c r="ER12" s="66">
        <v>479</v>
      </c>
      <c r="ES12" s="66">
        <v>552</v>
      </c>
      <c r="ET12" s="66">
        <v>570</v>
      </c>
      <c r="EU12" s="66">
        <f>2176-ET12-ES12-ER12</f>
        <v>575</v>
      </c>
      <c r="EV12" s="66">
        <v>496</v>
      </c>
      <c r="EW12" s="66">
        <f>1110-EV12</f>
        <v>614</v>
      </c>
      <c r="EX12" s="66">
        <f>1737-EW12-EV12</f>
        <v>627</v>
      </c>
      <c r="EY12" s="54">
        <f>+GM12-EX12-EW12-EV12</f>
        <v>733</v>
      </c>
      <c r="EZ12" s="132">
        <v>645</v>
      </c>
      <c r="FA12" s="54">
        <f>1445-EZ12</f>
        <v>800</v>
      </c>
      <c r="FB12" s="54">
        <f>2226-FA12-EZ12</f>
        <v>781</v>
      </c>
      <c r="FC12" s="54">
        <f>3075-FB12-FA12-EZ12</f>
        <v>849</v>
      </c>
      <c r="FD12" s="132">
        <v>708</v>
      </c>
      <c r="FE12" s="132">
        <f>1673-FD12</f>
        <v>965</v>
      </c>
      <c r="FF12" s="54"/>
      <c r="FG12" s="54"/>
      <c r="FH12" s="54"/>
      <c r="FI12" s="54"/>
      <c r="FJ12" s="54"/>
      <c r="FK12" s="66"/>
      <c r="FL12" s="66"/>
      <c r="FM12" s="3">
        <v>0</v>
      </c>
      <c r="FN12" s="3">
        <v>0</v>
      </c>
      <c r="FO12" s="5"/>
      <c r="FP12" s="25">
        <v>0</v>
      </c>
      <c r="FQ12" s="25">
        <v>0</v>
      </c>
      <c r="FR12" s="25">
        <v>33</v>
      </c>
      <c r="FS12" s="25">
        <f>SUM(BT12:BW12)</f>
        <v>234</v>
      </c>
      <c r="FT12" s="25">
        <f>SUM(BX12:CA12)</f>
        <v>408</v>
      </c>
      <c r="FU12" s="25">
        <f>SUM(K12:L12)</f>
        <v>537</v>
      </c>
      <c r="FV12" s="25">
        <f>SUM(M12:N12)</f>
        <v>567</v>
      </c>
      <c r="FW12" s="25">
        <f>SUM(CJ12:CM12)</f>
        <v>560</v>
      </c>
      <c r="FX12" s="25">
        <f>SUM(CN12:CQ12)</f>
        <v>620</v>
      </c>
      <c r="FY12" s="25">
        <f>SUM(CR12:CU12)</f>
        <v>641</v>
      </c>
      <c r="FZ12" s="25">
        <f>SUM(CV12:CY12)</f>
        <v>603</v>
      </c>
      <c r="GA12" s="25">
        <f>SUM(CZ12:DC12)</f>
        <v>705</v>
      </c>
      <c r="GB12" s="25">
        <f>SUM(DD12:DG12)</f>
        <v>790</v>
      </c>
      <c r="GC12" s="25">
        <v>975</v>
      </c>
      <c r="GD12" s="126">
        <v>1277</v>
      </c>
      <c r="GE12" s="126">
        <v>1498</v>
      </c>
      <c r="GF12" s="126">
        <v>1742</v>
      </c>
      <c r="GG12" s="126">
        <v>1912</v>
      </c>
      <c r="GH12" s="126">
        <v>1969</v>
      </c>
      <c r="GI12" s="126">
        <v>1904</v>
      </c>
      <c r="GJ12" s="126">
        <v>1942</v>
      </c>
      <c r="GK12" s="133">
        <f>SUM(EN12:EQ12)</f>
        <v>2208</v>
      </c>
      <c r="GL12" s="132">
        <f>SUM(ER12:EU12)</f>
        <v>2176</v>
      </c>
      <c r="GM12" s="132">
        <v>2470</v>
      </c>
      <c r="GN12" s="132">
        <f>SUM(EZ12:FC12)</f>
        <v>3075</v>
      </c>
    </row>
    <row r="13" spans="1:206" s="26" customFormat="1" ht="13" x14ac:dyDescent="0.3">
      <c r="B13" s="3" t="s">
        <v>771</v>
      </c>
      <c r="C13" s="23"/>
      <c r="D13" s="23"/>
      <c r="E13" s="23"/>
      <c r="F13" s="23"/>
      <c r="G13" s="23"/>
      <c r="H13" s="23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93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>
        <v>19</v>
      </c>
      <c r="DR13" s="66">
        <v>58</v>
      </c>
      <c r="DS13" s="66">
        <f>157-DR13-DQ13-DP13</f>
        <v>80</v>
      </c>
      <c r="DT13" s="66">
        <f>237-DU13</f>
        <v>113</v>
      </c>
      <c r="DU13" s="66">
        <v>124</v>
      </c>
      <c r="DV13" s="66">
        <v>118</v>
      </c>
      <c r="DW13" s="66">
        <v>132</v>
      </c>
      <c r="DX13" s="66">
        <v>139</v>
      </c>
      <c r="DY13" s="66">
        <v>181</v>
      </c>
      <c r="DZ13" s="66">
        <v>204</v>
      </c>
      <c r="EA13" s="66">
        <v>248</v>
      </c>
      <c r="EB13" s="66">
        <v>336</v>
      </c>
      <c r="EC13" s="66">
        <v>446</v>
      </c>
      <c r="ED13" s="66">
        <v>515</v>
      </c>
      <c r="EE13" s="66">
        <f>1875-ED13-EC13-EB13</f>
        <v>578</v>
      </c>
      <c r="EF13" s="66">
        <v>644</v>
      </c>
      <c r="EG13" s="66">
        <f>1297-EF13</f>
        <v>653</v>
      </c>
      <c r="EH13" s="66">
        <f>2015-EG13-EF13</f>
        <v>718</v>
      </c>
      <c r="EI13" s="66">
        <f>2738-EH13-EG13-EF13</f>
        <v>723</v>
      </c>
      <c r="EJ13" s="66">
        <v>775</v>
      </c>
      <c r="EK13" s="66">
        <v>824</v>
      </c>
      <c r="EL13" s="66">
        <v>878</v>
      </c>
      <c r="EM13" s="66">
        <v>838</v>
      </c>
      <c r="EN13" s="66">
        <v>825</v>
      </c>
      <c r="EO13" s="66">
        <v>933</v>
      </c>
      <c r="EP13" s="66">
        <v>934</v>
      </c>
      <c r="EQ13" s="54">
        <v>1025</v>
      </c>
      <c r="ER13" s="66">
        <v>920</v>
      </c>
      <c r="ES13" s="66">
        <v>933</v>
      </c>
      <c r="ET13" s="66">
        <v>938</v>
      </c>
      <c r="EU13" s="66">
        <f>3766-ET13-ES13-ER13</f>
        <v>975</v>
      </c>
      <c r="EV13" s="66">
        <v>865</v>
      </c>
      <c r="EW13" s="66">
        <f>1798-EV13</f>
        <v>933</v>
      </c>
      <c r="EX13" s="66">
        <f>2703-EW13-EV13</f>
        <v>905</v>
      </c>
      <c r="EY13" s="54">
        <f>+GM13-EX13-EW13-EV13</f>
        <v>937</v>
      </c>
      <c r="EZ13" s="132">
        <v>870</v>
      </c>
      <c r="FA13" s="54">
        <f>1733-EZ13</f>
        <v>863</v>
      </c>
      <c r="FB13" s="54">
        <f>2616-FA13-EZ13</f>
        <v>883</v>
      </c>
      <c r="FC13" s="54">
        <f>3566-FB13-FA13-EZ13</f>
        <v>950</v>
      </c>
      <c r="FD13" s="132">
        <v>811</v>
      </c>
      <c r="FE13" s="132">
        <f>1704-FD13</f>
        <v>893</v>
      </c>
      <c r="FF13" s="54"/>
      <c r="FG13" s="54"/>
      <c r="FH13" s="54"/>
      <c r="FI13" s="54"/>
      <c r="FJ13" s="54"/>
      <c r="FK13" s="66"/>
      <c r="FL13" s="66"/>
      <c r="FM13" s="3">
        <v>0</v>
      </c>
      <c r="FN13" s="3">
        <v>0</v>
      </c>
      <c r="FO13" s="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126"/>
      <c r="GE13" s="126"/>
      <c r="GF13" s="126">
        <v>487</v>
      </c>
      <c r="GG13" s="126">
        <v>772</v>
      </c>
      <c r="GH13" s="126">
        <v>1875</v>
      </c>
      <c r="GI13" s="126">
        <v>2738</v>
      </c>
      <c r="GJ13" s="132">
        <v>3315</v>
      </c>
      <c r="GK13" s="133">
        <f>SUM(EN13:EQ13)</f>
        <v>3717</v>
      </c>
      <c r="GL13" s="132">
        <f>SUM(ER13:EU13)</f>
        <v>3766</v>
      </c>
      <c r="GM13" s="132">
        <v>3640</v>
      </c>
      <c r="GN13" s="132">
        <f>SUM(EZ13:FC13)</f>
        <v>3566</v>
      </c>
    </row>
    <row r="14" spans="1:206" s="26" customFormat="1" ht="13" x14ac:dyDescent="0.3">
      <c r="B14" s="3" t="s">
        <v>703</v>
      </c>
      <c r="C14" s="23"/>
      <c r="D14" s="23"/>
      <c r="E14" s="23"/>
      <c r="F14" s="23"/>
      <c r="G14" s="23"/>
      <c r="H14" s="23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>
        <v>388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93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>
        <v>30</v>
      </c>
      <c r="DD14" s="66">
        <v>50</v>
      </c>
      <c r="DE14" s="66">
        <v>58</v>
      </c>
      <c r="DF14" s="66">
        <v>78</v>
      </c>
      <c r="DG14" s="66">
        <v>140</v>
      </c>
      <c r="DH14" s="66">
        <v>178</v>
      </c>
      <c r="DI14" s="66">
        <v>210</v>
      </c>
      <c r="DJ14" s="66">
        <v>245</v>
      </c>
      <c r="DK14" s="66">
        <v>285</v>
      </c>
      <c r="DL14" s="66">
        <v>322</v>
      </c>
      <c r="DM14" s="66">
        <v>337</v>
      </c>
      <c r="DN14" s="66">
        <v>376</v>
      </c>
      <c r="DO14" s="66">
        <v>410</v>
      </c>
      <c r="DP14" s="66">
        <v>439</v>
      </c>
      <c r="DQ14" s="66">
        <v>467</v>
      </c>
      <c r="DR14" s="66">
        <f>1379-DQ14-DP14</f>
        <v>473</v>
      </c>
      <c r="DS14" s="66">
        <f>1846-DR14-DQ14-DP14</f>
        <v>467</v>
      </c>
      <c r="DT14" s="66">
        <f>1065-DU14</f>
        <v>524</v>
      </c>
      <c r="DU14" s="66">
        <v>541</v>
      </c>
      <c r="DV14" s="66">
        <v>552</v>
      </c>
      <c r="DW14" s="66">
        <v>579</v>
      </c>
      <c r="DX14" s="66">
        <v>613</v>
      </c>
      <c r="DY14" s="66">
        <v>700</v>
      </c>
      <c r="DZ14" s="66">
        <v>699</v>
      </c>
      <c r="EA14" s="66">
        <v>761</v>
      </c>
      <c r="EB14" s="66">
        <v>868</v>
      </c>
      <c r="EC14" s="66">
        <v>887</v>
      </c>
      <c r="ED14" s="66">
        <v>910</v>
      </c>
      <c r="EE14" s="66">
        <f>3522-ED14-EC14-EB14</f>
        <v>857</v>
      </c>
      <c r="EF14" s="66">
        <v>1011</v>
      </c>
      <c r="EG14" s="66">
        <f>1941-EF14</f>
        <v>930</v>
      </c>
      <c r="EH14" s="66">
        <f>2929-EG14-EF14</f>
        <v>988</v>
      </c>
      <c r="EI14" s="66">
        <f>3883-EH14-EG14-EF14</f>
        <v>954</v>
      </c>
      <c r="EJ14" s="66">
        <v>988</v>
      </c>
      <c r="EK14" s="66">
        <v>980</v>
      </c>
      <c r="EL14" s="66">
        <v>1006</v>
      </c>
      <c r="EM14" s="66">
        <v>981</v>
      </c>
      <c r="EN14" s="66">
        <v>993</v>
      </c>
      <c r="EO14" s="66">
        <v>1068</v>
      </c>
      <c r="EP14" s="66">
        <v>1029</v>
      </c>
      <c r="EQ14" s="54">
        <v>997</v>
      </c>
      <c r="ER14" s="66">
        <v>1049</v>
      </c>
      <c r="ES14" s="66">
        <v>1033</v>
      </c>
      <c r="ET14" s="66">
        <v>913</v>
      </c>
      <c r="EU14" s="66">
        <f>3768-ET14-ES14-ER14</f>
        <v>773</v>
      </c>
      <c r="EV14" s="66">
        <v>936</v>
      </c>
      <c r="EW14" s="66">
        <f>1921-EV14</f>
        <v>985</v>
      </c>
      <c r="EX14" s="66">
        <f>2809-EW14-EV14</f>
        <v>888</v>
      </c>
      <c r="EY14" s="54">
        <f t="shared" si="20"/>
        <v>807</v>
      </c>
      <c r="EZ14" s="132">
        <v>840</v>
      </c>
      <c r="FA14" s="54">
        <f>1613-EZ14</f>
        <v>773</v>
      </c>
      <c r="FB14" s="54">
        <f>2316-FA14-EZ14</f>
        <v>703</v>
      </c>
      <c r="FC14" s="54">
        <f>2968-FB14-FA14-EZ14</f>
        <v>652</v>
      </c>
      <c r="FD14" s="132">
        <v>672</v>
      </c>
      <c r="FE14" s="132">
        <f>1389-FD14</f>
        <v>717</v>
      </c>
      <c r="FF14" s="54"/>
      <c r="FG14" s="54"/>
      <c r="FH14" s="54"/>
      <c r="FI14" s="54"/>
      <c r="FJ14" s="54"/>
      <c r="FK14" s="66"/>
      <c r="FL14" s="66"/>
      <c r="FM14" s="3">
        <v>0</v>
      </c>
      <c r="FN14" s="3">
        <v>0</v>
      </c>
      <c r="FO14" s="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>
        <f>SUM(CZ14:DC14)</f>
        <v>30</v>
      </c>
      <c r="GB14" s="25">
        <f>SUM(DD14:DG14)</f>
        <v>326</v>
      </c>
      <c r="GC14" s="25">
        <v>918</v>
      </c>
      <c r="GD14" s="126">
        <v>1445</v>
      </c>
      <c r="GE14" s="126">
        <v>1846</v>
      </c>
      <c r="GF14" s="126">
        <v>2196</v>
      </c>
      <c r="GG14" s="126">
        <v>2773</v>
      </c>
      <c r="GH14" s="126">
        <v>3522</v>
      </c>
      <c r="GI14" s="126">
        <v>3883</v>
      </c>
      <c r="GJ14" s="132">
        <v>3955</v>
      </c>
      <c r="GK14" s="133">
        <f t="shared" ref="GK14:GK30" si="21">SUM(EN14:EQ14)</f>
        <v>4087</v>
      </c>
      <c r="GL14" s="132">
        <f t="shared" si="18"/>
        <v>3768</v>
      </c>
      <c r="GM14" s="132">
        <v>3616</v>
      </c>
      <c r="GN14" s="132">
        <f t="shared" si="19"/>
        <v>2968</v>
      </c>
    </row>
    <row r="15" spans="1:206" s="26" customFormat="1" ht="13" x14ac:dyDescent="0.3">
      <c r="B15" s="3" t="s">
        <v>776</v>
      </c>
      <c r="C15" s="23"/>
      <c r="D15" s="23"/>
      <c r="E15" s="23"/>
      <c r="F15" s="23"/>
      <c r="G15" s="23"/>
      <c r="H15" s="23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93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>
        <v>0</v>
      </c>
      <c r="DS15" s="66">
        <v>0</v>
      </c>
      <c r="DT15" s="66">
        <v>0</v>
      </c>
      <c r="DU15" s="66">
        <v>0</v>
      </c>
      <c r="DV15" s="66"/>
      <c r="DW15" s="66"/>
      <c r="DX15" s="66"/>
      <c r="DY15" s="66"/>
      <c r="DZ15" s="66"/>
      <c r="EA15" s="66"/>
      <c r="EB15" s="66"/>
      <c r="EC15" s="66"/>
      <c r="ED15" s="66">
        <v>0</v>
      </c>
      <c r="EE15" s="66">
        <v>0</v>
      </c>
      <c r="EF15" s="66">
        <v>0</v>
      </c>
      <c r="EG15" s="66">
        <v>0</v>
      </c>
      <c r="EH15" s="66">
        <f>7-EG15-EF15</f>
        <v>7</v>
      </c>
      <c r="EI15" s="66">
        <f>23-EH15-EG15-EF15</f>
        <v>16</v>
      </c>
      <c r="EJ15" s="66">
        <v>29</v>
      </c>
      <c r="EK15" s="66">
        <v>67</v>
      </c>
      <c r="EL15" s="66">
        <v>117</v>
      </c>
      <c r="EM15" s="66">
        <v>127</v>
      </c>
      <c r="EN15" s="66">
        <v>146</v>
      </c>
      <c r="EO15" s="66">
        <v>179</v>
      </c>
      <c r="EP15" s="66">
        <v>201</v>
      </c>
      <c r="EQ15" s="54">
        <v>214</v>
      </c>
      <c r="ER15" s="66">
        <v>241</v>
      </c>
      <c r="ES15" s="66">
        <v>276</v>
      </c>
      <c r="ET15" s="66">
        <v>300</v>
      </c>
      <c r="EU15" s="66">
        <f>1120-ET15-ES15-ER15</f>
        <v>303</v>
      </c>
      <c r="EV15" s="66">
        <v>388</v>
      </c>
      <c r="EW15" s="66">
        <f>799-EV15</f>
        <v>411</v>
      </c>
      <c r="EX15" s="66">
        <f>1244-EW15-EV15</f>
        <v>445</v>
      </c>
      <c r="EY15" s="54">
        <f>+GM15-EX15-EW15-EV15</f>
        <v>496</v>
      </c>
      <c r="EZ15" s="132">
        <v>593</v>
      </c>
      <c r="FA15" s="54">
        <f>1197-EZ15</f>
        <v>604</v>
      </c>
      <c r="FB15" s="54">
        <f>1827-FA15-EZ15</f>
        <v>630</v>
      </c>
      <c r="FC15" s="54">
        <f>2441-FB15-FA15-EZ15</f>
        <v>614</v>
      </c>
      <c r="FD15" s="132">
        <v>686</v>
      </c>
      <c r="FE15" s="132">
        <f>1318-FD15</f>
        <v>632</v>
      </c>
      <c r="FF15" s="54"/>
      <c r="FG15" s="54"/>
      <c r="FH15" s="54"/>
      <c r="FI15" s="54"/>
      <c r="FJ15" s="54"/>
      <c r="FK15" s="66"/>
      <c r="FL15" s="66"/>
      <c r="FM15" s="3">
        <v>0</v>
      </c>
      <c r="FN15" s="3">
        <v>0</v>
      </c>
      <c r="FO15" s="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126"/>
      <c r="GE15" s="126"/>
      <c r="GF15" s="126"/>
      <c r="GG15" s="126"/>
      <c r="GH15" s="126"/>
      <c r="GI15" s="126">
        <v>23</v>
      </c>
      <c r="GJ15" s="126">
        <v>340</v>
      </c>
      <c r="GK15" s="133">
        <f>SUM(EN15:EQ15)</f>
        <v>740</v>
      </c>
      <c r="GL15" s="132">
        <f>SUM(ER15:EU15)</f>
        <v>1120</v>
      </c>
      <c r="GM15" s="132">
        <v>1740</v>
      </c>
      <c r="GN15" s="132">
        <f>SUM(EZ15:FC15)</f>
        <v>2441</v>
      </c>
    </row>
    <row r="16" spans="1:206" s="26" customFormat="1" ht="13" x14ac:dyDescent="0.3">
      <c r="B16" s="15" t="s">
        <v>299</v>
      </c>
      <c r="C16" s="23"/>
      <c r="D16" s="23"/>
      <c r="E16" s="23"/>
      <c r="F16" s="23"/>
      <c r="G16" s="23"/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>
        <v>155</v>
      </c>
      <c r="T16" s="25">
        <f t="shared" ref="T16" si="22">+CU16+CT16</f>
        <v>242</v>
      </c>
      <c r="U16" s="25">
        <f>SUM(CV16:CW16)</f>
        <v>277</v>
      </c>
      <c r="V16" s="25">
        <f>CY16+CX16</f>
        <v>341</v>
      </c>
      <c r="W16" s="25"/>
      <c r="X16" s="25"/>
      <c r="Y16" s="25"/>
      <c r="Z16" s="25"/>
      <c r="AA16" s="25">
        <v>568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93"/>
      <c r="BT16" s="93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>
        <v>66</v>
      </c>
      <c r="CS16" s="66">
        <f t="shared" ref="CS16" si="23">+S16-CR16</f>
        <v>89</v>
      </c>
      <c r="CT16" s="66">
        <v>107</v>
      </c>
      <c r="CU16" s="66">
        <v>135</v>
      </c>
      <c r="CV16" s="66">
        <v>129</v>
      </c>
      <c r="CW16" s="66">
        <f>277-CV16</f>
        <v>148</v>
      </c>
      <c r="CX16" s="66">
        <v>156</v>
      </c>
      <c r="CY16" s="66">
        <v>185</v>
      </c>
      <c r="CZ16" s="66">
        <v>184</v>
      </c>
      <c r="DA16" s="66">
        <v>201</v>
      </c>
      <c r="DB16" s="66">
        <v>216</v>
      </c>
      <c r="DC16" s="66">
        <v>241</v>
      </c>
      <c r="DD16" s="66">
        <v>238</v>
      </c>
      <c r="DE16" s="66">
        <v>258</v>
      </c>
      <c r="DF16" s="66">
        <v>267</v>
      </c>
      <c r="DG16" s="66">
        <v>274</v>
      </c>
      <c r="DH16" s="66">
        <v>273</v>
      </c>
      <c r="DI16" s="66">
        <v>295</v>
      </c>
      <c r="DJ16" s="66">
        <v>329</v>
      </c>
      <c r="DK16" s="66">
        <v>327</v>
      </c>
      <c r="DL16" s="66">
        <v>334</v>
      </c>
      <c r="DM16" s="66">
        <v>341</v>
      </c>
      <c r="DN16" s="66">
        <v>367</v>
      </c>
      <c r="DO16" s="66">
        <v>390</v>
      </c>
      <c r="DP16" s="66">
        <v>386</v>
      </c>
      <c r="DQ16" s="66">
        <v>428</v>
      </c>
      <c r="DR16" s="66">
        <f>1247-DQ16-DP16</f>
        <v>433</v>
      </c>
      <c r="DS16" s="66">
        <f>1697-DR16-DQ16-DP16</f>
        <v>450</v>
      </c>
      <c r="DT16" s="66">
        <f>922-DU16</f>
        <v>445</v>
      </c>
      <c r="DU16" s="66">
        <v>477</v>
      </c>
      <c r="DV16" s="66">
        <v>485</v>
      </c>
      <c r="DW16" s="66">
        <v>519</v>
      </c>
      <c r="DX16" s="66">
        <v>499</v>
      </c>
      <c r="DY16" s="66">
        <v>550</v>
      </c>
      <c r="DZ16" s="66">
        <v>529</v>
      </c>
      <c r="EA16" s="66">
        <v>582</v>
      </c>
      <c r="EB16" s="66">
        <v>534</v>
      </c>
      <c r="EC16" s="66">
        <v>601</v>
      </c>
      <c r="ED16" s="66">
        <v>571</v>
      </c>
      <c r="EE16" s="66">
        <f>2311-ED16-EC16-EB16</f>
        <v>605</v>
      </c>
      <c r="EF16" s="66">
        <v>666</v>
      </c>
      <c r="EG16" s="66">
        <f>1461-EF16</f>
        <v>795</v>
      </c>
      <c r="EH16" s="66">
        <f>2134-EG16-EF16</f>
        <v>673</v>
      </c>
      <c r="EI16" s="66">
        <f>2858-EH16-EG16-EF16</f>
        <v>724</v>
      </c>
      <c r="EJ16" s="66">
        <v>779</v>
      </c>
      <c r="EK16" s="66">
        <v>863</v>
      </c>
      <c r="EL16" s="66">
        <v>1048</v>
      </c>
      <c r="EM16" s="66">
        <v>872</v>
      </c>
      <c r="EN16" s="66">
        <v>792</v>
      </c>
      <c r="EO16" s="66">
        <v>663</v>
      </c>
      <c r="EP16" s="66">
        <v>584</v>
      </c>
      <c r="EQ16" s="54">
        <v>662</v>
      </c>
      <c r="ER16" s="66">
        <v>676</v>
      </c>
      <c r="ES16" s="66">
        <v>620</v>
      </c>
      <c r="ET16" s="66">
        <v>647</v>
      </c>
      <c r="EU16" s="66">
        <f>2630-ET16-ES16-ER16</f>
        <v>687</v>
      </c>
      <c r="EV16" s="66">
        <v>618</v>
      </c>
      <c r="EW16" s="66">
        <f>1276-EV16</f>
        <v>658</v>
      </c>
      <c r="EX16" s="66">
        <f>1948-EW16-EV16</f>
        <v>672</v>
      </c>
      <c r="EY16" s="54">
        <f t="shared" si="20"/>
        <v>697</v>
      </c>
      <c r="EZ16" s="132">
        <v>619</v>
      </c>
      <c r="FA16" s="54">
        <f>1279-EZ16</f>
        <v>660</v>
      </c>
      <c r="FB16" s="54">
        <f>1893-FA16-EZ16</f>
        <v>614</v>
      </c>
      <c r="FC16" s="54">
        <f>2470-FB16-FA16-EZ16</f>
        <v>577</v>
      </c>
      <c r="FD16" s="132">
        <v>534</v>
      </c>
      <c r="FE16" s="132">
        <f>1074-FD16</f>
        <v>540</v>
      </c>
      <c r="FF16" s="54"/>
      <c r="FG16" s="54"/>
      <c r="FH16" s="54"/>
      <c r="FI16" s="54"/>
      <c r="FJ16" s="54"/>
      <c r="FK16" s="66"/>
      <c r="FL16" s="66"/>
      <c r="FM16" s="3">
        <v>0</v>
      </c>
      <c r="FN16" s="3">
        <v>0</v>
      </c>
      <c r="FO16" s="5"/>
      <c r="FP16" s="25"/>
      <c r="FQ16" s="25"/>
      <c r="FR16" s="25"/>
      <c r="FS16" s="25"/>
      <c r="FT16" s="25"/>
      <c r="FU16" s="25"/>
      <c r="FV16" s="25"/>
      <c r="FW16" s="25"/>
      <c r="FX16" s="25"/>
      <c r="FY16" s="25">
        <f>SUM(CR16:CU16)</f>
        <v>397</v>
      </c>
      <c r="FZ16" s="25">
        <f>SUM(CV16:CY16)</f>
        <v>618</v>
      </c>
      <c r="GA16" s="25">
        <f>SUM(CZ16:DC16)</f>
        <v>842</v>
      </c>
      <c r="GB16" s="25">
        <f>SUM(DD16:DG16)</f>
        <v>1037</v>
      </c>
      <c r="GC16" s="25">
        <v>1224</v>
      </c>
      <c r="GD16" s="126">
        <v>1432</v>
      </c>
      <c r="GE16" s="126">
        <v>1697</v>
      </c>
      <c r="GF16" s="126">
        <v>1926</v>
      </c>
      <c r="GG16" s="126">
        <v>2160</v>
      </c>
      <c r="GH16" s="126">
        <v>2311</v>
      </c>
      <c r="GI16" s="125">
        <v>2858</v>
      </c>
      <c r="GJ16" s="132">
        <v>3562</v>
      </c>
      <c r="GK16" s="133">
        <f t="shared" si="21"/>
        <v>2701</v>
      </c>
      <c r="GL16" s="132">
        <f t="shared" si="18"/>
        <v>2630</v>
      </c>
      <c r="GM16" s="132">
        <v>2645</v>
      </c>
      <c r="GN16" s="132">
        <f t="shared" si="19"/>
        <v>2470</v>
      </c>
    </row>
    <row r="17" spans="2:206" s="26" customFormat="1" ht="13" x14ac:dyDescent="0.3">
      <c r="B17" s="3" t="s">
        <v>775</v>
      </c>
      <c r="C17" s="23"/>
      <c r="D17" s="23"/>
      <c r="E17" s="23"/>
      <c r="F17" s="23"/>
      <c r="G17" s="23"/>
      <c r="H17" s="23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93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>
        <v>0</v>
      </c>
      <c r="DS17" s="66">
        <v>0</v>
      </c>
      <c r="DT17" s="66">
        <v>0</v>
      </c>
      <c r="DU17" s="66">
        <v>0</v>
      </c>
      <c r="DV17" s="66"/>
      <c r="DW17" s="66"/>
      <c r="DX17" s="66"/>
      <c r="DY17" s="66"/>
      <c r="DZ17" s="66"/>
      <c r="EA17" s="66"/>
      <c r="EB17" s="66"/>
      <c r="EC17" s="66"/>
      <c r="ED17" s="66">
        <v>0</v>
      </c>
      <c r="EE17" s="66">
        <v>0</v>
      </c>
      <c r="EF17" s="66">
        <v>0</v>
      </c>
      <c r="EG17" s="66">
        <v>0</v>
      </c>
      <c r="EH17" s="66">
        <f>8-EG17-EF17</f>
        <v>8</v>
      </c>
      <c r="EI17" s="66">
        <f>55-EH17-EG17-EF17</f>
        <v>47</v>
      </c>
      <c r="EJ17" s="66">
        <v>80</v>
      </c>
      <c r="EK17" s="66">
        <v>163</v>
      </c>
      <c r="EL17" s="66">
        <v>153</v>
      </c>
      <c r="EM17" s="66">
        <v>206</v>
      </c>
      <c r="EN17" s="66">
        <v>226</v>
      </c>
      <c r="EO17" s="66">
        <v>274</v>
      </c>
      <c r="EP17" s="66">
        <v>293</v>
      </c>
      <c r="EQ17" s="54">
        <v>326</v>
      </c>
      <c r="ER17" s="66">
        <v>363</v>
      </c>
      <c r="ES17" s="66">
        <v>342</v>
      </c>
      <c r="ET17" s="66">
        <v>360</v>
      </c>
      <c r="EU17" s="66">
        <f>1419-ET17-ES17-ER17</f>
        <v>354</v>
      </c>
      <c r="EV17" s="66">
        <v>356</v>
      </c>
      <c r="EW17" s="66">
        <f>838-EV17</f>
        <v>482</v>
      </c>
      <c r="EX17" s="66">
        <f>1246-EW17-EV17</f>
        <v>408</v>
      </c>
      <c r="EY17" s="54">
        <f>+GM17-EX17-EW17-EV17</f>
        <v>385</v>
      </c>
      <c r="EZ17" s="132">
        <v>420</v>
      </c>
      <c r="FA17" s="54">
        <f>869-EZ17</f>
        <v>449</v>
      </c>
      <c r="FB17" s="54">
        <f>1293-FA17-EZ17</f>
        <v>424</v>
      </c>
      <c r="FC17" s="54">
        <f>1757-FB17-FA17-EZ17</f>
        <v>464</v>
      </c>
      <c r="FD17" s="132">
        <v>464</v>
      </c>
      <c r="FE17" s="132">
        <f>968-FD17</f>
        <v>504</v>
      </c>
      <c r="FF17" s="54"/>
      <c r="FG17" s="54"/>
      <c r="FH17" s="54"/>
      <c r="FI17" s="54"/>
      <c r="FJ17" s="54"/>
      <c r="FK17" s="66"/>
      <c r="FL17" s="66"/>
      <c r="FM17" s="3">
        <v>0</v>
      </c>
      <c r="FN17" s="3">
        <v>0</v>
      </c>
      <c r="FO17" s="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126"/>
      <c r="GE17" s="126"/>
      <c r="GF17" s="126"/>
      <c r="GG17" s="126"/>
      <c r="GH17" s="126"/>
      <c r="GI17" s="126">
        <v>55</v>
      </c>
      <c r="GJ17" s="126">
        <v>602</v>
      </c>
      <c r="GK17" s="133">
        <f>SUM(EN17:EQ17)</f>
        <v>1119</v>
      </c>
      <c r="GL17" s="132">
        <f>SUM(ER17:EU17)</f>
        <v>1419</v>
      </c>
      <c r="GM17" s="132">
        <v>1631</v>
      </c>
      <c r="GN17" s="132">
        <f>SUM(EZ17:FC17)</f>
        <v>1757</v>
      </c>
    </row>
    <row r="18" spans="2:206" s="26" customFormat="1" ht="13" x14ac:dyDescent="0.3">
      <c r="B18" s="3" t="s">
        <v>734</v>
      </c>
      <c r="C18" s="23"/>
      <c r="D18" s="23"/>
      <c r="E18" s="23"/>
      <c r="F18" s="23"/>
      <c r="G18" s="23"/>
      <c r="H18" s="23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>
        <v>227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93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>
        <v>65</v>
      </c>
      <c r="DF18" s="66">
        <v>73</v>
      </c>
      <c r="DG18" s="66">
        <v>78</v>
      </c>
      <c r="DH18" s="66">
        <v>102</v>
      </c>
      <c r="DI18" s="66">
        <v>125</v>
      </c>
      <c r="DJ18" s="66">
        <v>144</v>
      </c>
      <c r="DK18" s="66">
        <v>165</v>
      </c>
      <c r="DL18" s="66">
        <v>179</v>
      </c>
      <c r="DM18" s="66">
        <v>183</v>
      </c>
      <c r="DN18" s="66">
        <v>196</v>
      </c>
      <c r="DO18" s="66">
        <v>211</v>
      </c>
      <c r="DP18" s="66">
        <v>201</v>
      </c>
      <c r="DQ18" s="66">
        <v>207</v>
      </c>
      <c r="DR18" s="66">
        <f>616-DQ18-DP18</f>
        <v>208</v>
      </c>
      <c r="DS18" s="66">
        <f>831-DR18-DQ18-DP18</f>
        <v>215</v>
      </c>
      <c r="DT18" s="66">
        <f>443-DU18</f>
        <v>222</v>
      </c>
      <c r="DU18" s="66">
        <v>221</v>
      </c>
      <c r="DV18" s="66">
        <v>228</v>
      </c>
      <c r="DW18" s="66">
        <v>243</v>
      </c>
      <c r="DX18" s="66">
        <v>235</v>
      </c>
      <c r="DY18" s="66">
        <v>249</v>
      </c>
      <c r="DZ18" s="66">
        <v>244</v>
      </c>
      <c r="EA18" s="66">
        <v>251</v>
      </c>
      <c r="EB18" s="66">
        <v>291</v>
      </c>
      <c r="EC18" s="66">
        <v>345</v>
      </c>
      <c r="ED18" s="66">
        <v>369</v>
      </c>
      <c r="EE18" s="66">
        <f>1393-ED18-EC18-EB18</f>
        <v>388</v>
      </c>
      <c r="EF18" s="66">
        <v>428</v>
      </c>
      <c r="EG18" s="66">
        <f>837-EF18</f>
        <v>409</v>
      </c>
      <c r="EH18" s="66">
        <f>1295-EG18-EF18</f>
        <v>458</v>
      </c>
      <c r="EI18" s="66">
        <f>1745-EH18-EG18-EF18</f>
        <v>450</v>
      </c>
      <c r="EJ18" s="66">
        <v>478</v>
      </c>
      <c r="EK18" s="66">
        <v>481</v>
      </c>
      <c r="EL18" s="66">
        <v>501</v>
      </c>
      <c r="EM18" s="66">
        <v>522</v>
      </c>
      <c r="EN18" s="66">
        <v>511</v>
      </c>
      <c r="EO18" s="66">
        <v>563</v>
      </c>
      <c r="EP18" s="66">
        <v>516</v>
      </c>
      <c r="EQ18" s="54">
        <v>490</v>
      </c>
      <c r="ER18" s="66">
        <v>509</v>
      </c>
      <c r="ES18" s="66">
        <v>492</v>
      </c>
      <c r="ET18" s="66">
        <v>485</v>
      </c>
      <c r="EU18" s="66">
        <f>1966-ET18-ES18-ER18</f>
        <v>480</v>
      </c>
      <c r="EV18" s="66">
        <v>483</v>
      </c>
      <c r="EW18" s="66">
        <f>999-EV18</f>
        <v>516</v>
      </c>
      <c r="EX18" s="66">
        <f>1494-EW18-EV18</f>
        <v>495</v>
      </c>
      <c r="EY18" s="54">
        <f t="shared" si="20"/>
        <v>504</v>
      </c>
      <c r="EZ18" s="132">
        <v>506</v>
      </c>
      <c r="FA18" s="54">
        <f>1037-EZ18</f>
        <v>531</v>
      </c>
      <c r="FB18" s="54">
        <f>1531-FA18-EZ18</f>
        <v>494</v>
      </c>
      <c r="FC18" s="54">
        <f>2025-FB18-FA18-EZ18</f>
        <v>494</v>
      </c>
      <c r="FD18" s="132">
        <v>439</v>
      </c>
      <c r="FE18" s="132">
        <f>916-FD18</f>
        <v>477</v>
      </c>
      <c r="FF18" s="54"/>
      <c r="FG18" s="54"/>
      <c r="FH18" s="54"/>
      <c r="FI18" s="54"/>
      <c r="FJ18" s="54"/>
      <c r="FK18" s="66"/>
      <c r="FL18" s="66"/>
      <c r="FM18" s="3">
        <v>0</v>
      </c>
      <c r="FN18" s="3">
        <v>0</v>
      </c>
      <c r="FO18" s="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>
        <v>234</v>
      </c>
      <c r="GC18" s="25">
        <v>536</v>
      </c>
      <c r="GD18" s="126">
        <v>769</v>
      </c>
      <c r="GE18" s="126">
        <v>831</v>
      </c>
      <c r="GF18" s="126">
        <v>914</v>
      </c>
      <c r="GG18" s="126">
        <v>979</v>
      </c>
      <c r="GH18" s="126">
        <v>1393</v>
      </c>
      <c r="GI18" s="126">
        <v>1745</v>
      </c>
      <c r="GJ18" s="126">
        <v>1982</v>
      </c>
      <c r="GK18" s="133">
        <f t="shared" ref="GK18:GK23" si="24">SUM(EN18:EQ18)</f>
        <v>2080</v>
      </c>
      <c r="GL18" s="132">
        <f t="shared" si="18"/>
        <v>1966</v>
      </c>
      <c r="GM18" s="132">
        <v>1998</v>
      </c>
      <c r="GN18" s="132">
        <f t="shared" si="19"/>
        <v>2025</v>
      </c>
    </row>
    <row r="19" spans="2:206" s="26" customFormat="1" ht="13" x14ac:dyDescent="0.3">
      <c r="B19" s="3" t="s">
        <v>777</v>
      </c>
      <c r="C19" s="23"/>
      <c r="D19" s="23"/>
      <c r="E19" s="23"/>
      <c r="F19" s="23"/>
      <c r="G19" s="23"/>
      <c r="H19" s="2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93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>
        <v>0</v>
      </c>
      <c r="DS19" s="66">
        <v>0</v>
      </c>
      <c r="DT19" s="66">
        <v>0</v>
      </c>
      <c r="DU19" s="66">
        <v>0</v>
      </c>
      <c r="DV19" s="66">
        <v>0</v>
      </c>
      <c r="DW19" s="66"/>
      <c r="DX19" s="66"/>
      <c r="DY19" s="66"/>
      <c r="DZ19" s="66"/>
      <c r="EA19" s="66"/>
      <c r="EB19" s="66"/>
      <c r="EC19" s="66">
        <v>2</v>
      </c>
      <c r="ED19" s="66">
        <v>19</v>
      </c>
      <c r="EE19" s="66">
        <v>30</v>
      </c>
      <c r="EF19" s="66">
        <v>38</v>
      </c>
      <c r="EG19" s="66">
        <v>45</v>
      </c>
      <c r="EH19" s="66">
        <f>126-EG19-EF19</f>
        <v>43</v>
      </c>
      <c r="EI19" s="66">
        <f>169-EH19-EG19-EF19</f>
        <v>43</v>
      </c>
      <c r="EJ19" s="66">
        <v>43</v>
      </c>
      <c r="EK19" s="66">
        <v>51</v>
      </c>
      <c r="EL19" s="66">
        <v>73</v>
      </c>
      <c r="EM19" s="66">
        <v>80</v>
      </c>
      <c r="EN19" s="66">
        <v>81</v>
      </c>
      <c r="EO19" s="66">
        <v>90</v>
      </c>
      <c r="EP19" s="66">
        <v>119</v>
      </c>
      <c r="EQ19" s="66">
        <v>147</v>
      </c>
      <c r="ER19" s="66">
        <v>150</v>
      </c>
      <c r="ES19" s="66">
        <v>203</v>
      </c>
      <c r="ET19" s="66">
        <v>252</v>
      </c>
      <c r="EU19" s="66">
        <f>837-ET19-ES19-ER19</f>
        <v>232</v>
      </c>
      <c r="EV19" s="66">
        <v>250</v>
      </c>
      <c r="EW19" s="66">
        <f>513-EV19</f>
        <v>263</v>
      </c>
      <c r="EX19" s="66">
        <f>817-EW19-EV19</f>
        <v>304</v>
      </c>
      <c r="EY19" s="54">
        <f>+GM19-EX19-EW19-EV19</f>
        <v>304</v>
      </c>
      <c r="EZ19" s="132">
        <v>358</v>
      </c>
      <c r="FA19" s="54">
        <f>730-EZ19</f>
        <v>372</v>
      </c>
      <c r="FB19" s="54">
        <f>1101-FA19-EZ19</f>
        <v>371</v>
      </c>
      <c r="FC19" s="54">
        <f>1470-FB19-FA19-EZ19</f>
        <v>369</v>
      </c>
      <c r="FD19" s="132">
        <v>407</v>
      </c>
      <c r="FE19" s="132">
        <f>808-FD19</f>
        <v>401</v>
      </c>
      <c r="FF19" s="54"/>
      <c r="FG19" s="54"/>
      <c r="FH19" s="54"/>
      <c r="FI19" s="54"/>
      <c r="FJ19" s="54"/>
      <c r="FK19" s="66"/>
      <c r="FL19" s="66"/>
      <c r="FM19" s="3">
        <v>0</v>
      </c>
      <c r="FN19" s="3">
        <v>0</v>
      </c>
      <c r="FO19" s="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126"/>
      <c r="GE19" s="126"/>
      <c r="GF19" s="126"/>
      <c r="GG19" s="126"/>
      <c r="GH19" s="126"/>
      <c r="GI19" s="126">
        <v>169</v>
      </c>
      <c r="GJ19" s="126">
        <v>247</v>
      </c>
      <c r="GK19" s="133">
        <f>SUM(EN19:EQ19)</f>
        <v>437</v>
      </c>
      <c r="GL19" s="132">
        <f>SUM(ER19:EU19)</f>
        <v>837</v>
      </c>
      <c r="GM19" s="132">
        <v>1121</v>
      </c>
      <c r="GN19" s="132">
        <f>SUM(EZ19:FC19)</f>
        <v>1470</v>
      </c>
    </row>
    <row r="20" spans="2:206" s="26" customFormat="1" ht="13" x14ac:dyDescent="0.3">
      <c r="B20" s="3" t="s">
        <v>773</v>
      </c>
      <c r="C20" s="23"/>
      <c r="D20" s="23"/>
      <c r="E20" s="23"/>
      <c r="F20" s="23"/>
      <c r="G20" s="23"/>
      <c r="H20" s="23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93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>
        <v>10</v>
      </c>
      <c r="DM20" s="66">
        <v>14</v>
      </c>
      <c r="DN20" s="66">
        <v>16</v>
      </c>
      <c r="DO20" s="66">
        <v>24</v>
      </c>
      <c r="DP20" s="66">
        <v>29</v>
      </c>
      <c r="DQ20" s="66">
        <v>43</v>
      </c>
      <c r="DR20" s="66">
        <v>50</v>
      </c>
      <c r="DS20" s="66">
        <f>182-DR20-DQ20-DP20</f>
        <v>60</v>
      </c>
      <c r="DT20" s="66">
        <v>68</v>
      </c>
      <c r="DU20" s="66">
        <v>80</v>
      </c>
      <c r="DV20" s="66">
        <v>96</v>
      </c>
      <c r="DW20" s="66">
        <v>118</v>
      </c>
      <c r="DX20" s="66">
        <v>119</v>
      </c>
      <c r="DY20" s="66">
        <v>160</v>
      </c>
      <c r="DZ20" s="66">
        <v>158</v>
      </c>
      <c r="EA20" s="66">
        <v>200</v>
      </c>
      <c r="EB20" s="66">
        <v>196</v>
      </c>
      <c r="EC20" s="66">
        <v>225</v>
      </c>
      <c r="ED20" s="66">
        <v>235</v>
      </c>
      <c r="EE20" s="66">
        <f>876-ED20-EC20-EB20</f>
        <v>220</v>
      </c>
      <c r="EF20" s="66">
        <v>268</v>
      </c>
      <c r="EG20" s="66">
        <f>540-EF20</f>
        <v>272</v>
      </c>
      <c r="EH20" s="66">
        <f>841-EG20-EF20</f>
        <v>301</v>
      </c>
      <c r="EI20" s="66">
        <f>1160-EH20-EG20-EF20</f>
        <v>319</v>
      </c>
      <c r="EJ20" s="66">
        <v>298</v>
      </c>
      <c r="EK20" s="66">
        <v>333</v>
      </c>
      <c r="EL20" s="66">
        <v>357</v>
      </c>
      <c r="EM20" s="66">
        <v>368</v>
      </c>
      <c r="EN20" s="66">
        <v>361</v>
      </c>
      <c r="EO20" s="66">
        <v>384</v>
      </c>
      <c r="EP20" s="66">
        <v>382</v>
      </c>
      <c r="EQ20" s="54">
        <v>386</v>
      </c>
      <c r="ER20" s="66">
        <v>372</v>
      </c>
      <c r="ES20" s="66">
        <v>386</v>
      </c>
      <c r="ET20" s="66">
        <v>368</v>
      </c>
      <c r="EU20" s="66">
        <f>1502-ET20-ES20-ER20</f>
        <v>376</v>
      </c>
      <c r="EV20" s="66">
        <v>355</v>
      </c>
      <c r="EW20" s="66">
        <f>766-EV20</f>
        <v>411</v>
      </c>
      <c r="EX20" s="66">
        <f>1151-EW20-EV20</f>
        <v>385</v>
      </c>
      <c r="EY20" s="54">
        <f>+GM20-EX20-EW20-EV20</f>
        <v>397</v>
      </c>
      <c r="EZ20" s="132">
        <v>397</v>
      </c>
      <c r="FA20" s="54">
        <f>802-EZ20</f>
        <v>405</v>
      </c>
      <c r="FB20" s="54">
        <f>1190-FA20-EZ20</f>
        <v>388</v>
      </c>
      <c r="FC20" s="54">
        <f>1562-FB20-FA20-EZ20</f>
        <v>372</v>
      </c>
      <c r="FD20" s="132">
        <v>401</v>
      </c>
      <c r="FE20" s="132">
        <f>795-FD20</f>
        <v>394</v>
      </c>
      <c r="FF20" s="54"/>
      <c r="FG20" s="54"/>
      <c r="FH20" s="54"/>
      <c r="FI20" s="54"/>
      <c r="FJ20" s="54"/>
      <c r="FK20" s="66"/>
      <c r="FL20" s="66"/>
      <c r="FM20" s="3">
        <v>0</v>
      </c>
      <c r="FN20" s="3">
        <v>0</v>
      </c>
      <c r="FO20" s="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126"/>
      <c r="GE20" s="126"/>
      <c r="GF20" s="126">
        <v>362</v>
      </c>
      <c r="GG20" s="126">
        <v>637</v>
      </c>
      <c r="GH20" s="126">
        <v>876</v>
      </c>
      <c r="GI20" s="126">
        <v>1160</v>
      </c>
      <c r="GJ20" s="126">
        <v>1356</v>
      </c>
      <c r="GK20" s="133">
        <f>SUM(EN20:EQ20)</f>
        <v>1513</v>
      </c>
      <c r="GL20" s="132">
        <f>SUM(ER20:EU20)</f>
        <v>1502</v>
      </c>
      <c r="GM20" s="132">
        <v>1548</v>
      </c>
      <c r="GN20" s="132">
        <f>SUM(EZ20:FC20)</f>
        <v>1562</v>
      </c>
    </row>
    <row r="21" spans="2:206" s="26" customFormat="1" ht="13" x14ac:dyDescent="0.3">
      <c r="B21" s="3" t="s">
        <v>340</v>
      </c>
      <c r="C21" s="23"/>
      <c r="D21" s="23"/>
      <c r="E21" s="23"/>
      <c r="F21" s="23"/>
      <c r="G21" s="23"/>
      <c r="H21" s="23"/>
      <c r="I21" s="25">
        <v>1944</v>
      </c>
      <c r="J21" s="25">
        <f>4154-I21</f>
        <v>2210</v>
      </c>
      <c r="K21" s="25">
        <v>2348</v>
      </c>
      <c r="L21" s="25">
        <f>4839-K21</f>
        <v>2491</v>
      </c>
      <c r="M21" s="25">
        <v>2704</v>
      </c>
      <c r="N21" s="25">
        <f>5516-M21</f>
        <v>2812</v>
      </c>
      <c r="O21" s="25">
        <v>2867</v>
      </c>
      <c r="P21" s="25">
        <f>SUM(CL21:CM21)</f>
        <v>3056</v>
      </c>
      <c r="Q21" s="25">
        <f>SUM(CN21:CO21)</f>
        <v>3098</v>
      </c>
      <c r="R21" s="25">
        <f>CP21+CQ21</f>
        <v>2989</v>
      </c>
      <c r="S21" s="25">
        <v>3301</v>
      </c>
      <c r="T21" s="25">
        <f>+CU21+CT21</f>
        <v>3055</v>
      </c>
      <c r="U21" s="25">
        <f>SUM(CV21:CW21)</f>
        <v>3056</v>
      </c>
      <c r="V21" s="25">
        <f>CY21+CX21</f>
        <v>2949</v>
      </c>
      <c r="W21" s="25">
        <f>U21*1.04</f>
        <v>3178.2400000000002</v>
      </c>
      <c r="X21" s="25">
        <f>V21*1.04</f>
        <v>3066.96</v>
      </c>
      <c r="Y21" s="25"/>
      <c r="Z21" s="25"/>
      <c r="AA21" s="25">
        <v>3360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>
        <v>5.5</v>
      </c>
      <c r="AV21" s="25">
        <v>35.200000000000003</v>
      </c>
      <c r="AW21" s="25">
        <v>32.5</v>
      </c>
      <c r="AX21" s="25">
        <v>46.9</v>
      </c>
      <c r="AY21" s="25">
        <v>57.8</v>
      </c>
      <c r="AZ21" s="25">
        <v>59.9</v>
      </c>
      <c r="BA21" s="25">
        <v>79.400000000000006</v>
      </c>
      <c r="BB21" s="25">
        <v>83.5</v>
      </c>
      <c r="BC21" s="25">
        <v>88.9</v>
      </c>
      <c r="BD21" s="25">
        <v>180</v>
      </c>
      <c r="BE21" s="25">
        <v>220</v>
      </c>
      <c r="BF21" s="25">
        <v>230</v>
      </c>
      <c r="BG21" s="25">
        <v>270</v>
      </c>
      <c r="BH21" s="25">
        <v>330</v>
      </c>
      <c r="BI21" s="25">
        <v>390</v>
      </c>
      <c r="BJ21" s="25">
        <v>405</v>
      </c>
      <c r="BK21" s="25">
        <f>1695-BJ21-BI21-BH21</f>
        <v>570</v>
      </c>
      <c r="BL21" s="25">
        <v>526</v>
      </c>
      <c r="BM21" s="25">
        <v>568</v>
      </c>
      <c r="BN21" s="25">
        <v>580</v>
      </c>
      <c r="BO21" s="25">
        <v>658</v>
      </c>
      <c r="BP21" s="25">
        <v>620</v>
      </c>
      <c r="BQ21" s="25">
        <f>1299-BP21</f>
        <v>679</v>
      </c>
      <c r="BR21" s="25">
        <f>2023-BQ21-BP21</f>
        <v>724</v>
      </c>
      <c r="BS21" s="66">
        <f>+FR21-BR21-BQ21-BP21</f>
        <v>752</v>
      </c>
      <c r="BT21" s="66">
        <v>782</v>
      </c>
      <c r="BU21" s="66">
        <v>842</v>
      </c>
      <c r="BV21" s="66">
        <v>880</v>
      </c>
      <c r="BW21" s="66">
        <v>874</v>
      </c>
      <c r="BX21" s="66">
        <v>929</v>
      </c>
      <c r="BY21" s="66">
        <v>1015</v>
      </c>
      <c r="BZ21" s="66">
        <v>1057</v>
      </c>
      <c r="CA21" s="66">
        <v>1153</v>
      </c>
      <c r="CB21" s="66">
        <v>1146</v>
      </c>
      <c r="CC21" s="66">
        <v>1202</v>
      </c>
      <c r="CD21" s="66">
        <v>1177</v>
      </c>
      <c r="CE21" s="66">
        <v>1314</v>
      </c>
      <c r="CF21" s="66">
        <v>1309</v>
      </c>
      <c r="CG21" s="66">
        <v>1395</v>
      </c>
      <c r="CH21" s="66">
        <v>1380</v>
      </c>
      <c r="CI21" s="66">
        <v>1432</v>
      </c>
      <c r="CJ21" s="66">
        <v>1407</v>
      </c>
      <c r="CK21" s="66">
        <v>1460</v>
      </c>
      <c r="CL21" s="66">
        <v>1472</v>
      </c>
      <c r="CM21" s="66">
        <v>1584</v>
      </c>
      <c r="CN21" s="66">
        <v>1481</v>
      </c>
      <c r="CO21" s="66">
        <v>1617</v>
      </c>
      <c r="CP21" s="66">
        <v>1508</v>
      </c>
      <c r="CQ21" s="66">
        <v>1481</v>
      </c>
      <c r="CR21" s="66">
        <v>1606</v>
      </c>
      <c r="CS21" s="66">
        <f>+S21-CR21</f>
        <v>1695</v>
      </c>
      <c r="CT21" s="66">
        <f>4821-CS21-CR21</f>
        <v>1520</v>
      </c>
      <c r="CU21" s="66">
        <v>1535</v>
      </c>
      <c r="CV21" s="66">
        <v>1556</v>
      </c>
      <c r="CW21" s="66">
        <f>3056-CV21</f>
        <v>1500</v>
      </c>
      <c r="CX21" s="66">
        <v>1361</v>
      </c>
      <c r="CY21" s="66">
        <v>1588</v>
      </c>
      <c r="CZ21" s="66">
        <v>1605</v>
      </c>
      <c r="DA21" s="66">
        <v>1710</v>
      </c>
      <c r="DB21" s="66">
        <v>1683</v>
      </c>
      <c r="DC21" s="66">
        <v>1709</v>
      </c>
      <c r="DD21" s="66">
        <v>1696</v>
      </c>
      <c r="DE21" s="66">
        <v>1705</v>
      </c>
      <c r="DF21" s="66">
        <v>1805</v>
      </c>
      <c r="DG21" s="66">
        <v>1745</v>
      </c>
      <c r="DH21" s="66">
        <v>1667</v>
      </c>
      <c r="DI21" s="66">
        <v>1693</v>
      </c>
      <c r="DJ21" s="66">
        <v>1764</v>
      </c>
      <c r="DK21" s="66">
        <v>1776</v>
      </c>
      <c r="DL21" s="66">
        <v>1744</v>
      </c>
      <c r="DM21" s="66">
        <v>1752</v>
      </c>
      <c r="DN21" s="66">
        <v>1772</v>
      </c>
      <c r="DO21" s="66">
        <v>1777</v>
      </c>
      <c r="DP21" s="66">
        <v>1825</v>
      </c>
      <c r="DQ21" s="66">
        <v>1877</v>
      </c>
      <c r="DR21" s="66">
        <f>5484-DQ21-DP21</f>
        <v>1782</v>
      </c>
      <c r="DS21" s="66">
        <f>7300-DR21-DQ21-DP21</f>
        <v>1816</v>
      </c>
      <c r="DT21" s="66">
        <f>3837-DU21</f>
        <v>1899</v>
      </c>
      <c r="DU21" s="66">
        <v>1938</v>
      </c>
      <c r="DV21" s="66">
        <v>1783</v>
      </c>
      <c r="DW21" s="66">
        <v>1768</v>
      </c>
      <c r="DX21" s="66">
        <v>1713</v>
      </c>
      <c r="DY21" s="66">
        <v>1741</v>
      </c>
      <c r="DZ21" s="66">
        <v>1656</v>
      </c>
      <c r="EA21" s="66">
        <v>1642</v>
      </c>
      <c r="EB21" s="66">
        <v>1694</v>
      </c>
      <c r="EC21" s="66">
        <v>1645</v>
      </c>
      <c r="ED21" s="66">
        <v>1620</v>
      </c>
      <c r="EE21" s="66">
        <f>6477-ED21-EC21-EB21</f>
        <v>1518</v>
      </c>
      <c r="EF21" s="66">
        <v>1389</v>
      </c>
      <c r="EG21" s="66">
        <f>2440-EF21</f>
        <v>1051</v>
      </c>
      <c r="EH21" s="66">
        <f>3443-EG21-EF21</f>
        <v>1003</v>
      </c>
      <c r="EI21" s="66">
        <f>4223-EH21-EG21-EF21</f>
        <v>780</v>
      </c>
      <c r="EJ21" s="66">
        <v>705</v>
      </c>
      <c r="EK21" s="66">
        <v>674</v>
      </c>
      <c r="EL21" s="66">
        <v>589</v>
      </c>
      <c r="EM21" s="66">
        <v>597</v>
      </c>
      <c r="EN21" s="66">
        <v>564</v>
      </c>
      <c r="EO21" s="66">
        <v>553</v>
      </c>
      <c r="EP21" s="66">
        <v>479</v>
      </c>
      <c r="EQ21" s="54">
        <v>479</v>
      </c>
      <c r="ER21" s="66">
        <v>459</v>
      </c>
      <c r="ES21" s="66">
        <v>423</v>
      </c>
      <c r="ET21" s="66">
        <v>378</v>
      </c>
      <c r="EU21" s="66">
        <f>1630-ET21-ES21-ER21</f>
        <v>370</v>
      </c>
      <c r="EV21" s="66">
        <v>351</v>
      </c>
      <c r="EW21" s="66">
        <f>706-EV21</f>
        <v>355</v>
      </c>
      <c r="EX21" s="66">
        <f>1023-EW21-EV21</f>
        <v>317</v>
      </c>
      <c r="EY21" s="54">
        <f>+GM21-EX21-EW21-EV21</f>
        <v>356</v>
      </c>
      <c r="EZ21" s="132">
        <v>298</v>
      </c>
      <c r="FA21" s="54">
        <f>630-EZ21</f>
        <v>332</v>
      </c>
      <c r="FB21" s="54">
        <f>933-FA21-EZ21</f>
        <v>303</v>
      </c>
      <c r="FC21" s="54">
        <f>1251-FB21-FA21-EZ21</f>
        <v>318</v>
      </c>
      <c r="FD21" s="132">
        <v>292</v>
      </c>
      <c r="FE21" s="132">
        <f>609-FD21</f>
        <v>317</v>
      </c>
      <c r="FF21" s="54"/>
      <c r="FG21" s="54"/>
      <c r="FH21" s="54"/>
      <c r="FI21" s="54"/>
      <c r="FJ21" s="54"/>
      <c r="FK21" s="66"/>
      <c r="FL21" s="66"/>
      <c r="FM21" s="5">
        <v>236</v>
      </c>
      <c r="FN21" s="5">
        <v>101</v>
      </c>
      <c r="FO21" s="5"/>
      <c r="FP21" s="25">
        <v>1721</v>
      </c>
      <c r="FQ21" s="25">
        <v>2402</v>
      </c>
      <c r="FR21" s="25">
        <v>2775</v>
      </c>
      <c r="FS21" s="25">
        <v>3378</v>
      </c>
      <c r="FT21" s="25">
        <v>4154</v>
      </c>
      <c r="FU21" s="25">
        <f>SUM(K21:L21)</f>
        <v>4839</v>
      </c>
      <c r="FV21" s="25">
        <f>SUM(M21:N21)</f>
        <v>5516</v>
      </c>
      <c r="FW21" s="25">
        <f>SUM(CJ21:CM21)</f>
        <v>5923</v>
      </c>
      <c r="FX21" s="25">
        <f>SUM(CN21:CQ21)</f>
        <v>6087</v>
      </c>
      <c r="FY21" s="25">
        <f>SUM(CR21:CU21)</f>
        <v>6356</v>
      </c>
      <c r="FZ21" s="25">
        <f>SUM(CV21:CY21)</f>
        <v>6005</v>
      </c>
      <c r="GA21" s="25">
        <f>SUM(CZ21:DC21)</f>
        <v>6707</v>
      </c>
      <c r="GB21" s="25">
        <f>SUM(DD21:DG21)</f>
        <v>6951</v>
      </c>
      <c r="GC21" s="25">
        <f>5603+1297</f>
        <v>6900</v>
      </c>
      <c r="GD21" s="126">
        <f>5640+1405</f>
        <v>7045</v>
      </c>
      <c r="GE21" s="126">
        <f>5823+1477</f>
        <v>7300</v>
      </c>
      <c r="GF21" s="126">
        <f>5832+1556</f>
        <v>7388</v>
      </c>
      <c r="GG21" s="126">
        <f>5191+1561</f>
        <v>6752</v>
      </c>
      <c r="GH21" s="126">
        <f>4890+1587</f>
        <v>6477</v>
      </c>
      <c r="GI21" s="126">
        <f>3206+1017</f>
        <v>4223</v>
      </c>
      <c r="GJ21" s="126">
        <f>1999+566</f>
        <v>2565</v>
      </c>
      <c r="GK21" s="133">
        <f>SUM(EN21:EQ21)</f>
        <v>2075</v>
      </c>
      <c r="GL21" s="132">
        <f>SUM(ER21:EU21)</f>
        <v>1630</v>
      </c>
      <c r="GM21" s="132">
        <v>1379</v>
      </c>
      <c r="GN21" s="132">
        <f>SUM(EZ21:FC21)</f>
        <v>1251</v>
      </c>
      <c r="GO21" s="54">
        <f>+GN21*0.8</f>
        <v>1000.8000000000001</v>
      </c>
      <c r="GP21" s="54">
        <f>+GO21*0.8</f>
        <v>800.6400000000001</v>
      </c>
      <c r="GQ21" s="54">
        <f>+GP21*0.8</f>
        <v>640.51200000000017</v>
      </c>
      <c r="GR21" s="54">
        <f>+GQ21*0.8</f>
        <v>512.40960000000018</v>
      </c>
      <c r="GS21" s="54">
        <f>+GR21*0.8</f>
        <v>409.92768000000018</v>
      </c>
      <c r="GT21" s="54">
        <f>+GS21*0.8</f>
        <v>327.94214400000016</v>
      </c>
      <c r="GU21" s="54">
        <f>+GT21*0.8</f>
        <v>262.35371520000012</v>
      </c>
      <c r="GV21" s="54">
        <f>+GU21*0.8</f>
        <v>209.88297216000012</v>
      </c>
      <c r="GW21" s="54">
        <f>+GV21*0.8</f>
        <v>167.90637772800011</v>
      </c>
      <c r="GX21" s="54">
        <f>+GW21*0.8</f>
        <v>134.32510218240009</v>
      </c>
    </row>
    <row r="22" spans="2:206" s="26" customFormat="1" ht="13" x14ac:dyDescent="0.3">
      <c r="B22" s="15" t="s">
        <v>26</v>
      </c>
      <c r="C22" s="23"/>
      <c r="D22" s="23"/>
      <c r="E22" s="23"/>
      <c r="F22" s="23"/>
      <c r="G22" s="23"/>
      <c r="H22" s="23"/>
      <c r="I22" s="25"/>
      <c r="J22" s="25">
        <f>310-I22</f>
        <v>310</v>
      </c>
      <c r="K22" s="25">
        <v>178</v>
      </c>
      <c r="L22" s="25">
        <f>362-K22</f>
        <v>184</v>
      </c>
      <c r="M22" s="25">
        <v>202</v>
      </c>
      <c r="N22" s="25">
        <f>382-M22</f>
        <v>180</v>
      </c>
      <c r="O22" s="25">
        <v>164</v>
      </c>
      <c r="P22" s="25">
        <f>SUM(CL22:CM22)</f>
        <v>178</v>
      </c>
      <c r="Q22" s="25">
        <f>SUM(CN22:CO22)</f>
        <v>226</v>
      </c>
      <c r="R22" s="25">
        <f>CP22+CQ22</f>
        <v>229</v>
      </c>
      <c r="S22" s="25">
        <v>227</v>
      </c>
      <c r="T22" s="25">
        <f>+CU22+CT22</f>
        <v>233</v>
      </c>
      <c r="U22" s="25">
        <f>SUM(CV22:CW22)</f>
        <v>231</v>
      </c>
      <c r="V22" s="25">
        <f>CY22+CX22</f>
        <v>222</v>
      </c>
      <c r="W22" s="25"/>
      <c r="X22" s="25"/>
      <c r="Y22" s="25"/>
      <c r="Z22" s="25"/>
      <c r="AA22" s="25">
        <v>359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>
        <v>40</v>
      </c>
      <c r="AV22" s="25">
        <v>40</v>
      </c>
      <c r="AW22" s="25">
        <v>40</v>
      </c>
      <c r="AX22" s="25">
        <v>45.1</v>
      </c>
      <c r="AY22" s="25">
        <v>50</v>
      </c>
      <c r="AZ22" s="25">
        <v>50</v>
      </c>
      <c r="BA22" s="25">
        <v>50</v>
      </c>
      <c r="BB22" s="25">
        <v>59.2</v>
      </c>
      <c r="BC22" s="25">
        <v>60</v>
      </c>
      <c r="BD22" s="25">
        <v>60</v>
      </c>
      <c r="BE22" s="25">
        <v>60</v>
      </c>
      <c r="BF22" s="25">
        <v>60</v>
      </c>
      <c r="BG22" s="25">
        <v>70</v>
      </c>
      <c r="BH22" s="25">
        <v>80</v>
      </c>
      <c r="BI22" s="25">
        <v>90</v>
      </c>
      <c r="BJ22" s="25">
        <v>100</v>
      </c>
      <c r="BK22" s="25">
        <f>371-BJ22-BI22-BH22</f>
        <v>101</v>
      </c>
      <c r="BL22" s="25">
        <v>80</v>
      </c>
      <c r="BM22" s="25">
        <v>80</v>
      </c>
      <c r="BN22" s="25">
        <v>80</v>
      </c>
      <c r="BO22" s="25">
        <v>80</v>
      </c>
      <c r="BP22" s="25">
        <v>70</v>
      </c>
      <c r="BQ22" s="25">
        <f>141-BP22</f>
        <v>71</v>
      </c>
      <c r="BR22" s="25">
        <v>60</v>
      </c>
      <c r="BS22" s="93">
        <v>60</v>
      </c>
      <c r="BT22" s="66">
        <v>63</v>
      </c>
      <c r="BU22" s="66">
        <v>72</v>
      </c>
      <c r="BV22" s="66">
        <v>76</v>
      </c>
      <c r="BW22" s="66">
        <v>67</v>
      </c>
      <c r="BX22" s="66">
        <v>67</v>
      </c>
      <c r="BY22" s="66">
        <v>72</v>
      </c>
      <c r="BZ22" s="66">
        <v>84</v>
      </c>
      <c r="CA22" s="66">
        <v>87</v>
      </c>
      <c r="CB22" s="66">
        <v>88</v>
      </c>
      <c r="CC22" s="66">
        <v>90</v>
      </c>
      <c r="CD22" s="66">
        <v>89</v>
      </c>
      <c r="CE22" s="66">
        <v>95</v>
      </c>
      <c r="CF22" s="66">
        <v>96</v>
      </c>
      <c r="CG22" s="66">
        <v>106</v>
      </c>
      <c r="CH22" s="66">
        <v>92</v>
      </c>
      <c r="CI22" s="66">
        <v>88</v>
      </c>
      <c r="CJ22" s="66">
        <v>83</v>
      </c>
      <c r="CK22" s="66">
        <v>81</v>
      </c>
      <c r="CL22" s="66">
        <v>81</v>
      </c>
      <c r="CM22" s="66">
        <v>97</v>
      </c>
      <c r="CN22" s="66">
        <v>126</v>
      </c>
      <c r="CO22" s="66">
        <v>100</v>
      </c>
      <c r="CP22" s="66">
        <v>107</v>
      </c>
      <c r="CQ22" s="66">
        <v>122</v>
      </c>
      <c r="CR22" s="66">
        <v>110</v>
      </c>
      <c r="CS22" s="66">
        <f>+S22-CR22</f>
        <v>117</v>
      </c>
      <c r="CT22" s="66">
        <f>346-CS22-CR22</f>
        <v>119</v>
      </c>
      <c r="CU22" s="66">
        <v>114</v>
      </c>
      <c r="CV22" s="66">
        <v>122</v>
      </c>
      <c r="CW22" s="66">
        <f>231-CV22</f>
        <v>109</v>
      </c>
      <c r="CX22" s="66">
        <v>100</v>
      </c>
      <c r="CY22" s="66">
        <v>122</v>
      </c>
      <c r="CZ22" s="66">
        <v>140</v>
      </c>
      <c r="DA22" s="66">
        <v>145</v>
      </c>
      <c r="DB22" s="66">
        <v>152</v>
      </c>
      <c r="DC22" s="66">
        <v>147</v>
      </c>
      <c r="DD22" s="66">
        <v>190</v>
      </c>
      <c r="DE22" s="66">
        <v>151</v>
      </c>
      <c r="DF22" s="66">
        <v>173</v>
      </c>
      <c r="DG22" s="66">
        <v>169</v>
      </c>
      <c r="DH22" s="66">
        <v>181</v>
      </c>
      <c r="DI22" s="66">
        <v>178</v>
      </c>
      <c r="DJ22" s="66">
        <v>200</v>
      </c>
      <c r="DK22" s="66">
        <v>188</v>
      </c>
      <c r="DL22" s="66">
        <v>221</v>
      </c>
      <c r="DM22" s="66">
        <v>216</v>
      </c>
      <c r="DN22" s="66">
        <v>239</v>
      </c>
      <c r="DO22" s="66">
        <v>259</v>
      </c>
      <c r="DP22" s="66">
        <v>276</v>
      </c>
      <c r="DQ22" s="66">
        <v>261</v>
      </c>
      <c r="DR22" s="66">
        <f>807-DQ22-DP22</f>
        <v>270</v>
      </c>
      <c r="DS22" s="66">
        <f>1108-DR22-DQ22-DP22</f>
        <v>301</v>
      </c>
      <c r="DT22" s="66">
        <f>613-DU22</f>
        <v>316</v>
      </c>
      <c r="DU22" s="66">
        <v>297</v>
      </c>
      <c r="DV22" s="66">
        <v>307</v>
      </c>
      <c r="DW22" s="66">
        <v>299</v>
      </c>
      <c r="DX22" s="66">
        <v>323</v>
      </c>
      <c r="DY22" s="66">
        <v>329</v>
      </c>
      <c r="DZ22" s="66">
        <v>317</v>
      </c>
      <c r="EA22" s="66">
        <v>315</v>
      </c>
      <c r="EB22" s="66">
        <v>362</v>
      </c>
      <c r="EC22" s="66">
        <v>324</v>
      </c>
      <c r="ED22" s="66">
        <v>334</v>
      </c>
      <c r="EE22" s="66">
        <f>1332-ED22-EC22-EB22</f>
        <v>312</v>
      </c>
      <c r="EF22" s="66">
        <v>390</v>
      </c>
      <c r="EG22" s="66">
        <f>691-EF22</f>
        <v>301</v>
      </c>
      <c r="EH22" s="66">
        <f>1005-EG22-EF22</f>
        <v>314</v>
      </c>
      <c r="EI22" s="66">
        <f>1321-EH22-EG22-EF22</f>
        <v>316</v>
      </c>
      <c r="EJ22" s="66">
        <v>304</v>
      </c>
      <c r="EK22" s="66">
        <v>294</v>
      </c>
      <c r="EL22" s="66">
        <v>323</v>
      </c>
      <c r="EM22" s="66">
        <v>391</v>
      </c>
      <c r="EN22" s="66">
        <v>247</v>
      </c>
      <c r="EO22" s="66">
        <v>312</v>
      </c>
      <c r="EP22" s="66">
        <v>322</v>
      </c>
      <c r="EQ22" s="54">
        <v>296</v>
      </c>
      <c r="ER22" s="66">
        <v>302</v>
      </c>
      <c r="ES22" s="66">
        <v>319</v>
      </c>
      <c r="ET22" s="66">
        <v>282</v>
      </c>
      <c r="EU22" s="66">
        <f>1173-ET22-ES22-ER22</f>
        <v>270</v>
      </c>
      <c r="EV22" s="66">
        <v>296</v>
      </c>
      <c r="EW22" s="66">
        <f>593-EV22</f>
        <v>297</v>
      </c>
      <c r="EX22" s="66">
        <f>895-EW22-EV22</f>
        <v>302</v>
      </c>
      <c r="EY22" s="54">
        <f>+GM22-EX22-EW22-EV22</f>
        <v>307</v>
      </c>
      <c r="EZ22" s="132">
        <v>297</v>
      </c>
      <c r="FA22" s="54">
        <f>550-EZ22</f>
        <v>253</v>
      </c>
      <c r="FB22" s="54">
        <f>833-FA22-EZ22</f>
        <v>283</v>
      </c>
      <c r="FC22" s="54">
        <f>1107-FB22-FA22-EZ22</f>
        <v>274</v>
      </c>
      <c r="FD22" s="132">
        <v>255</v>
      </c>
      <c r="FE22" s="132">
        <f>555-FD22</f>
        <v>300</v>
      </c>
      <c r="FF22" s="54"/>
      <c r="FG22" s="54"/>
      <c r="FH22" s="54"/>
      <c r="FI22" s="54"/>
      <c r="FJ22" s="54"/>
      <c r="FK22" s="66"/>
      <c r="FL22" s="66"/>
      <c r="FM22" s="5">
        <v>309</v>
      </c>
      <c r="FN22" s="5">
        <v>236</v>
      </c>
      <c r="FO22" s="5"/>
      <c r="FP22" s="25">
        <v>371</v>
      </c>
      <c r="FQ22" s="25">
        <v>322</v>
      </c>
      <c r="FR22" s="25">
        <v>278</v>
      </c>
      <c r="FS22" s="25">
        <f>SUM(BT22:BW22)</f>
        <v>278</v>
      </c>
      <c r="FT22" s="25">
        <f>SUM(BX22:CA22)</f>
        <v>310</v>
      </c>
      <c r="FU22" s="25">
        <f>SUM(K22:L22)</f>
        <v>362</v>
      </c>
      <c r="FV22" s="25">
        <f>SUM(M22:N22)</f>
        <v>382</v>
      </c>
      <c r="FW22" s="25">
        <f>SUM(CJ22:CM22)</f>
        <v>342</v>
      </c>
      <c r="FX22" s="25">
        <f>SUM(CN22:CQ22)</f>
        <v>455</v>
      </c>
      <c r="FY22" s="25">
        <f>SUM(CR22:CU22)</f>
        <v>460</v>
      </c>
      <c r="FZ22" s="25">
        <f>SUM(CV22:CY22)</f>
        <v>453</v>
      </c>
      <c r="GA22" s="25">
        <f>SUM(CZ22:DC22)</f>
        <v>584</v>
      </c>
      <c r="GB22" s="25">
        <f>SUM(DD22:DG22)</f>
        <v>683</v>
      </c>
      <c r="GC22" s="25">
        <v>747</v>
      </c>
      <c r="GD22" s="126">
        <v>935</v>
      </c>
      <c r="GE22" s="126">
        <v>1108</v>
      </c>
      <c r="GF22" s="126">
        <v>1219</v>
      </c>
      <c r="GG22" s="126">
        <v>1284</v>
      </c>
      <c r="GH22" s="126">
        <v>1332</v>
      </c>
      <c r="GI22" s="126">
        <v>1321</v>
      </c>
      <c r="GJ22" s="126">
        <v>1312</v>
      </c>
      <c r="GK22" s="133">
        <f>SUM(EN22:EQ22)</f>
        <v>1177</v>
      </c>
      <c r="GL22" s="132">
        <f>SUM(ER22:EU22)</f>
        <v>1173</v>
      </c>
      <c r="GM22" s="132">
        <v>1202</v>
      </c>
      <c r="GN22" s="132">
        <f>SUM(EZ22:FC22)</f>
        <v>1107</v>
      </c>
    </row>
    <row r="23" spans="2:206" s="26" customFormat="1" ht="13" x14ac:dyDescent="0.3">
      <c r="B23" s="15" t="s">
        <v>24</v>
      </c>
      <c r="C23" s="23"/>
      <c r="D23" s="23"/>
      <c r="E23" s="23"/>
      <c r="F23" s="23"/>
      <c r="G23" s="23"/>
      <c r="H23" s="23"/>
      <c r="I23" s="25">
        <v>851</v>
      </c>
      <c r="J23" s="25">
        <f>2146-I23</f>
        <v>1295</v>
      </c>
      <c r="K23" s="25">
        <v>1813</v>
      </c>
      <c r="L23" s="25">
        <f>3927-K23</f>
        <v>2114</v>
      </c>
      <c r="M23" s="25">
        <v>2382</v>
      </c>
      <c r="N23" s="25">
        <f>4852-M23</f>
        <v>2470</v>
      </c>
      <c r="O23" s="25">
        <v>2474</v>
      </c>
      <c r="P23" s="25">
        <f>SUM(CL23:CM23)</f>
        <v>2618</v>
      </c>
      <c r="Q23" s="25">
        <f>SUM(CN23:CO23)</f>
        <v>2645</v>
      </c>
      <c r="R23" s="25">
        <f>CP23+CQ23</f>
        <v>2621</v>
      </c>
      <c r="S23" s="25">
        <v>2806</v>
      </c>
      <c r="T23" s="25">
        <f>+CU23+CT23</f>
        <v>2623</v>
      </c>
      <c r="U23" s="25">
        <f>SUM(CV23:CW23)</f>
        <v>2716</v>
      </c>
      <c r="V23" s="25">
        <f>CY23+CX23</f>
        <v>2537</v>
      </c>
      <c r="W23" s="25">
        <f>U23*1.04</f>
        <v>2824.64</v>
      </c>
      <c r="X23" s="25">
        <f>V23*1.04</f>
        <v>2638.48</v>
      </c>
      <c r="Y23" s="25"/>
      <c r="Z23" s="25"/>
      <c r="AA23" s="25">
        <v>3082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>
        <v>20</v>
      </c>
      <c r="AY23" s="25">
        <v>24</v>
      </c>
      <c r="AZ23" s="25">
        <v>30</v>
      </c>
      <c r="BA23" s="25">
        <v>46.2</v>
      </c>
      <c r="BB23" s="25">
        <v>47.9</v>
      </c>
      <c r="BC23" s="25">
        <f>188-BB23-BA23-AZ23</f>
        <v>63.899999999999991</v>
      </c>
      <c r="BD23" s="25">
        <v>90</v>
      </c>
      <c r="BE23" s="25">
        <v>110</v>
      </c>
      <c r="BF23" s="25">
        <v>130</v>
      </c>
      <c r="BG23" s="25">
        <v>150</v>
      </c>
      <c r="BH23" s="25">
        <v>170</v>
      </c>
      <c r="BI23" s="25">
        <f>360-BH23</f>
        <v>190</v>
      </c>
      <c r="BJ23" s="25">
        <v>215</v>
      </c>
      <c r="BK23" s="25">
        <f>806-BJ23-BI23-BH23</f>
        <v>231</v>
      </c>
      <c r="BL23" s="25">
        <f>469-246</f>
        <v>223</v>
      </c>
      <c r="BM23" s="25">
        <v>246</v>
      </c>
      <c r="BN23" s="25">
        <v>257</v>
      </c>
      <c r="BO23" s="25">
        <v>281</v>
      </c>
      <c r="BP23" s="25">
        <v>268</v>
      </c>
      <c r="BQ23" s="25">
        <f>557-BP23</f>
        <v>289</v>
      </c>
      <c r="BR23" s="25">
        <v>300</v>
      </c>
      <c r="BS23" s="93">
        <v>310</v>
      </c>
      <c r="BT23" s="66">
        <v>328</v>
      </c>
      <c r="BU23" s="66">
        <v>356</v>
      </c>
      <c r="BV23" s="66">
        <v>373</v>
      </c>
      <c r="BW23" s="66">
        <v>377.70765962469017</v>
      </c>
      <c r="BX23" s="66">
        <v>391</v>
      </c>
      <c r="BY23" s="66">
        <v>460</v>
      </c>
      <c r="BZ23" s="66">
        <v>591</v>
      </c>
      <c r="CA23" s="66">
        <v>704</v>
      </c>
      <c r="CB23" s="66">
        <v>861</v>
      </c>
      <c r="CC23" s="66">
        <v>952</v>
      </c>
      <c r="CD23" s="66">
        <v>1009</v>
      </c>
      <c r="CE23" s="66">
        <v>1105</v>
      </c>
      <c r="CF23" s="66">
        <v>1168</v>
      </c>
      <c r="CG23" s="66">
        <v>1214</v>
      </c>
      <c r="CH23" s="66">
        <v>1209</v>
      </c>
      <c r="CI23" s="66">
        <v>1261</v>
      </c>
      <c r="CJ23" s="66">
        <v>1225</v>
      </c>
      <c r="CK23" s="66">
        <v>1249</v>
      </c>
      <c r="CL23" s="66">
        <v>1295</v>
      </c>
      <c r="CM23" s="66">
        <v>1323</v>
      </c>
      <c r="CN23" s="66">
        <v>1307</v>
      </c>
      <c r="CO23" s="66">
        <v>1338</v>
      </c>
      <c r="CP23" s="66">
        <v>1327</v>
      </c>
      <c r="CQ23" s="66">
        <v>1294</v>
      </c>
      <c r="CR23" s="66">
        <v>1417</v>
      </c>
      <c r="CS23" s="66">
        <f>+S23-CR23</f>
        <v>1389</v>
      </c>
      <c r="CT23" s="66">
        <f>4163-CS23-CR23</f>
        <v>1357</v>
      </c>
      <c r="CU23" s="66">
        <v>1266</v>
      </c>
      <c r="CV23" s="66">
        <v>1386</v>
      </c>
      <c r="CW23" s="66">
        <f>2716-CV23</f>
        <v>1330</v>
      </c>
      <c r="CX23" s="66">
        <v>1189</v>
      </c>
      <c r="CY23" s="66">
        <v>1348</v>
      </c>
      <c r="CZ23" s="66">
        <v>1428</v>
      </c>
      <c r="DA23" s="66">
        <v>1523</v>
      </c>
      <c r="DB23" s="66">
        <v>1481</v>
      </c>
      <c r="DC23" s="66">
        <v>1457</v>
      </c>
      <c r="DD23" s="66">
        <v>1572</v>
      </c>
      <c r="DE23" s="66">
        <v>1510</v>
      </c>
      <c r="DF23" s="66">
        <v>1512</v>
      </c>
      <c r="DG23" s="66">
        <v>1485</v>
      </c>
      <c r="DH23" s="66">
        <v>1526</v>
      </c>
      <c r="DI23" s="66">
        <v>1556</v>
      </c>
      <c r="DJ23" s="66">
        <v>1597</v>
      </c>
      <c r="DK23" s="66">
        <v>1596</v>
      </c>
      <c r="DL23" s="66">
        <v>1652</v>
      </c>
      <c r="DM23" s="66">
        <v>1613</v>
      </c>
      <c r="DN23" s="66">
        <v>1614</v>
      </c>
      <c r="DO23" s="66">
        <v>1659</v>
      </c>
      <c r="DP23" s="66">
        <v>1725</v>
      </c>
      <c r="DQ23" s="66">
        <v>1709</v>
      </c>
      <c r="DR23" s="66">
        <f>5125-DQ23-DP23</f>
        <v>1691</v>
      </c>
      <c r="DS23" s="66">
        <f>6782-DR23-DQ23-DP23</f>
        <v>1657</v>
      </c>
      <c r="DT23" s="66">
        <f>3542-DU23</f>
        <v>1756</v>
      </c>
      <c r="DU23" s="66">
        <v>1786</v>
      </c>
      <c r="DV23" s="66">
        <v>1691</v>
      </c>
      <c r="DW23" s="66">
        <v>1781</v>
      </c>
      <c r="DX23" s="66">
        <v>1774</v>
      </c>
      <c r="DY23" s="66">
        <v>1850</v>
      </c>
      <c r="DZ23" s="66">
        <v>1683</v>
      </c>
      <c r="EA23" s="66">
        <v>1675</v>
      </c>
      <c r="EB23" s="66">
        <v>1666</v>
      </c>
      <c r="EC23" s="66">
        <v>1598</v>
      </c>
      <c r="ED23" s="66">
        <v>1535</v>
      </c>
      <c r="EE23" s="66">
        <f>6039-ED23-EC23-EB23</f>
        <v>1240</v>
      </c>
      <c r="EF23" s="66">
        <v>1207</v>
      </c>
      <c r="EG23" s="66">
        <f>2200-EF23</f>
        <v>993</v>
      </c>
      <c r="EH23" s="66">
        <f>3079-EG23-EF23</f>
        <v>879</v>
      </c>
      <c r="EI23" s="66">
        <f>3732-EH23-EG23-EF23</f>
        <v>653</v>
      </c>
      <c r="EJ23" s="66">
        <v>755</v>
      </c>
      <c r="EK23" s="66">
        <v>641</v>
      </c>
      <c r="EL23" s="66">
        <v>665</v>
      </c>
      <c r="EM23" s="66">
        <v>633</v>
      </c>
      <c r="EN23" s="66">
        <v>607</v>
      </c>
      <c r="EO23" s="66">
        <v>572</v>
      </c>
      <c r="EP23" s="66">
        <v>493</v>
      </c>
      <c r="EQ23" s="54">
        <v>470</v>
      </c>
      <c r="ER23" s="66">
        <v>477</v>
      </c>
      <c r="ES23" s="66">
        <v>401</v>
      </c>
      <c r="ET23" s="66">
        <v>383</v>
      </c>
      <c r="EU23" s="66">
        <f>1626-ET23-ES23-ER23</f>
        <v>365</v>
      </c>
      <c r="EV23" s="66">
        <v>364</v>
      </c>
      <c r="EW23" s="66">
        <f>740-EV23</f>
        <v>376</v>
      </c>
      <c r="EX23" s="66">
        <f>1063-EW23-EV23</f>
        <v>323</v>
      </c>
      <c r="EY23" s="54">
        <f t="shared" si="20"/>
        <v>318</v>
      </c>
      <c r="EZ23" s="132">
        <v>292</v>
      </c>
      <c r="FA23" s="54">
        <f>560-EZ23</f>
        <v>268</v>
      </c>
      <c r="FB23" s="54">
        <f>817-FA23-EZ23</f>
        <v>257</v>
      </c>
      <c r="FC23" s="54">
        <f>1028-FB23-FA23-EZ23</f>
        <v>211</v>
      </c>
      <c r="FD23" s="132">
        <v>234</v>
      </c>
      <c r="FE23" s="132">
        <f>462-FD23</f>
        <v>228</v>
      </c>
      <c r="FF23" s="54"/>
      <c r="FG23" s="54"/>
      <c r="FH23" s="54"/>
      <c r="FI23" s="54"/>
      <c r="FJ23" s="54"/>
      <c r="FK23" s="66"/>
      <c r="FL23" s="66"/>
      <c r="FM23" s="5">
        <v>44</v>
      </c>
      <c r="FN23" s="5">
        <v>188</v>
      </c>
      <c r="FO23" s="5"/>
      <c r="FP23" s="25">
        <v>806</v>
      </c>
      <c r="FQ23" s="25">
        <v>1007</v>
      </c>
      <c r="FR23" s="25">
        <v>1177</v>
      </c>
      <c r="FS23" s="25">
        <f>SUM(BT23:BW23)</f>
        <v>1434.7076596246902</v>
      </c>
      <c r="FT23" s="25">
        <f>SUM(BX23:CA23)</f>
        <v>2146</v>
      </c>
      <c r="FU23" s="25">
        <f>SUM(K23:L23)</f>
        <v>3927</v>
      </c>
      <c r="FV23" s="25">
        <f>SUM(M23:N23)</f>
        <v>4852</v>
      </c>
      <c r="FW23" s="25">
        <f>SUM(CJ23:CM23)</f>
        <v>5092</v>
      </c>
      <c r="FX23" s="25">
        <f>SUM(CN23:CQ23)</f>
        <v>5266</v>
      </c>
      <c r="FY23" s="25">
        <f>SUM(CR23:CU23)</f>
        <v>5429</v>
      </c>
      <c r="FZ23" s="25">
        <f>SUM(CV23:CY23)</f>
        <v>5253</v>
      </c>
      <c r="GA23" s="25">
        <f>SUM(CZ23:DC23)</f>
        <v>5889</v>
      </c>
      <c r="GB23" s="25">
        <f>SUM(DD23:DG23)</f>
        <v>6079</v>
      </c>
      <c r="GC23" s="25">
        <v>6275</v>
      </c>
      <c r="GD23" s="126">
        <v>6538</v>
      </c>
      <c r="GE23" s="126">
        <v>6782</v>
      </c>
      <c r="GF23" s="126">
        <v>7014</v>
      </c>
      <c r="GG23" s="126">
        <v>6982</v>
      </c>
      <c r="GH23" s="126">
        <v>6039</v>
      </c>
      <c r="GI23" s="126">
        <v>3732</v>
      </c>
      <c r="GJ23" s="126">
        <v>2694</v>
      </c>
      <c r="GK23" s="133">
        <f t="shared" si="24"/>
        <v>2142</v>
      </c>
      <c r="GL23" s="132">
        <f t="shared" si="18"/>
        <v>1626</v>
      </c>
      <c r="GM23" s="132">
        <v>1381</v>
      </c>
      <c r="GN23" s="132">
        <f t="shared" si="19"/>
        <v>1028</v>
      </c>
      <c r="GO23" s="54">
        <f>+GN23*0.8</f>
        <v>822.40000000000009</v>
      </c>
      <c r="GP23" s="54">
        <f t="shared" ref="GP23:GX24" si="25">+GO23*0.8</f>
        <v>657.92000000000007</v>
      </c>
      <c r="GQ23" s="54">
        <f t="shared" si="25"/>
        <v>526.33600000000013</v>
      </c>
      <c r="GR23" s="54">
        <f t="shared" si="25"/>
        <v>421.06880000000012</v>
      </c>
      <c r="GS23" s="54">
        <f t="shared" si="25"/>
        <v>336.85504000000014</v>
      </c>
      <c r="GT23" s="54">
        <f t="shared" si="25"/>
        <v>269.48403200000013</v>
      </c>
      <c r="GU23" s="54">
        <f t="shared" si="25"/>
        <v>215.58722560000012</v>
      </c>
      <c r="GV23" s="54">
        <f t="shared" si="25"/>
        <v>172.46978048000011</v>
      </c>
      <c r="GW23" s="54">
        <f t="shared" si="25"/>
        <v>137.97582438400011</v>
      </c>
      <c r="GX23" s="54">
        <f t="shared" si="25"/>
        <v>110.38065950720009</v>
      </c>
    </row>
    <row r="24" spans="2:206" s="26" customFormat="1" ht="13" x14ac:dyDescent="0.3">
      <c r="B24" s="15" t="s">
        <v>23</v>
      </c>
      <c r="C24" s="23"/>
      <c r="D24" s="23"/>
      <c r="E24" s="23"/>
      <c r="F24" s="23"/>
      <c r="G24" s="23"/>
      <c r="H24" s="23"/>
      <c r="I24" s="25">
        <v>607</v>
      </c>
      <c r="J24" s="25">
        <f>1665-I24</f>
        <v>1058</v>
      </c>
      <c r="K24" s="25">
        <v>1389</v>
      </c>
      <c r="L24" s="25">
        <f>2962-K24</f>
        <v>1573</v>
      </c>
      <c r="M24" s="25">
        <v>1909</v>
      </c>
      <c r="N24" s="25">
        <f>4106-M24</f>
        <v>2197</v>
      </c>
      <c r="O24" s="25">
        <v>2351</v>
      </c>
      <c r="P24" s="25">
        <f>SUM(CL24:CM24)</f>
        <v>2856</v>
      </c>
      <c r="Q24" s="25">
        <f>SUM(CN24:CO24)</f>
        <v>3090</v>
      </c>
      <c r="R24" s="25">
        <f>CP24+CQ24</f>
        <v>3132</v>
      </c>
      <c r="S24" s="25">
        <v>3393</v>
      </c>
      <c r="T24" s="25">
        <f>+CU24+CT24</f>
        <v>3068</v>
      </c>
      <c r="U24" s="25">
        <f>SUM(CV24:CW24)</f>
        <v>2726</v>
      </c>
      <c r="V24" s="25">
        <f>CY24+CX24</f>
        <v>2566</v>
      </c>
      <c r="W24" s="25">
        <f>U24*1</f>
        <v>2726</v>
      </c>
      <c r="X24" s="25">
        <f>V24*1.05</f>
        <v>2694.3</v>
      </c>
      <c r="Y24" s="25"/>
      <c r="Z24" s="25"/>
      <c r="AA24" s="25">
        <v>3097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>
        <v>0</v>
      </c>
      <c r="BJ24" s="25">
        <v>0</v>
      </c>
      <c r="BK24" s="25">
        <v>0</v>
      </c>
      <c r="BL24" s="25"/>
      <c r="BM24" s="25"/>
      <c r="BN24" s="25"/>
      <c r="BO24" s="25"/>
      <c r="BP24" s="25"/>
      <c r="BQ24" s="25"/>
      <c r="BR24" s="25"/>
      <c r="BS24" s="93"/>
      <c r="BT24" s="66">
        <v>48</v>
      </c>
      <c r="BU24" s="66">
        <v>169</v>
      </c>
      <c r="BV24" s="66">
        <v>235</v>
      </c>
      <c r="BW24" s="66">
        <v>238</v>
      </c>
      <c r="BX24" s="66">
        <v>260</v>
      </c>
      <c r="BY24" s="66">
        <v>347</v>
      </c>
      <c r="BZ24" s="66">
        <v>486</v>
      </c>
      <c r="CA24" s="66">
        <v>572</v>
      </c>
      <c r="CB24" s="66">
        <v>676</v>
      </c>
      <c r="CC24" s="66">
        <v>713</v>
      </c>
      <c r="CD24" s="66">
        <v>741</v>
      </c>
      <c r="CE24" s="66">
        <v>832</v>
      </c>
      <c r="CF24" s="66">
        <v>923</v>
      </c>
      <c r="CG24" s="66">
        <v>986</v>
      </c>
      <c r="CH24" s="66">
        <v>1062</v>
      </c>
      <c r="CI24" s="66">
        <v>1135</v>
      </c>
      <c r="CJ24" s="66">
        <v>1131</v>
      </c>
      <c r="CK24" s="66">
        <v>1220</v>
      </c>
      <c r="CL24" s="66">
        <v>1351</v>
      </c>
      <c r="CM24" s="66">
        <v>1505</v>
      </c>
      <c r="CN24" s="66">
        <v>1485</v>
      </c>
      <c r="CO24" s="66">
        <v>1605</v>
      </c>
      <c r="CP24" s="66">
        <v>1594</v>
      </c>
      <c r="CQ24" s="66">
        <v>1538</v>
      </c>
      <c r="CR24" s="66">
        <v>1666</v>
      </c>
      <c r="CS24" s="66">
        <f>+S24-CR24</f>
        <v>1727</v>
      </c>
      <c r="CT24" s="66">
        <f>5001-CS24-CR24</f>
        <v>1608</v>
      </c>
      <c r="CU24" s="66">
        <v>1460</v>
      </c>
      <c r="CV24" s="66">
        <v>1417</v>
      </c>
      <c r="CW24" s="66">
        <f>2726-CV24</f>
        <v>1309</v>
      </c>
      <c r="CX24" s="66">
        <v>1216</v>
      </c>
      <c r="CY24" s="66">
        <v>1350</v>
      </c>
      <c r="CZ24" s="66">
        <v>1385</v>
      </c>
      <c r="DA24" s="66">
        <v>1420</v>
      </c>
      <c r="DB24" s="66">
        <v>1504</v>
      </c>
      <c r="DC24" s="66">
        <v>1455</v>
      </c>
      <c r="DD24" s="66">
        <v>1527</v>
      </c>
      <c r="DE24" s="66">
        <v>1566</v>
      </c>
      <c r="DF24" s="66">
        <v>1617</v>
      </c>
      <c r="DG24" s="66">
        <v>1544</v>
      </c>
      <c r="DH24" s="66">
        <v>1565</v>
      </c>
      <c r="DI24" s="66">
        <v>1532</v>
      </c>
      <c r="DJ24" s="66">
        <v>1652</v>
      </c>
      <c r="DK24" s="66">
        <v>1668</v>
      </c>
      <c r="DL24" s="66">
        <v>1619</v>
      </c>
      <c r="DM24" s="66">
        <v>1644</v>
      </c>
      <c r="DN24" s="66">
        <v>1705</v>
      </c>
      <c r="DO24" s="66">
        <v>1716</v>
      </c>
      <c r="DP24" s="66">
        <v>1706</v>
      </c>
      <c r="DQ24" s="66">
        <v>1724</v>
      </c>
      <c r="DR24" s="66">
        <f>5114-DQ24-DP24</f>
        <v>1684</v>
      </c>
      <c r="DS24" s="66">
        <f>6783-DR24-DQ24-DP24</f>
        <v>1669</v>
      </c>
      <c r="DT24" s="66">
        <f>3405-DU24</f>
        <v>1684</v>
      </c>
      <c r="DU24" s="66">
        <v>1721</v>
      </c>
      <c r="DV24" s="66">
        <v>1592</v>
      </c>
      <c r="DW24" s="66">
        <v>1691</v>
      </c>
      <c r="DX24" s="66">
        <v>1640</v>
      </c>
      <c r="DY24" s="66">
        <v>1778</v>
      </c>
      <c r="DZ24" s="66">
        <v>1690</v>
      </c>
      <c r="EA24" s="66">
        <v>1741</v>
      </c>
      <c r="EB24" s="66">
        <v>1798</v>
      </c>
      <c r="EC24" s="66">
        <v>1861</v>
      </c>
      <c r="ED24" s="66">
        <v>1806</v>
      </c>
      <c r="EE24" s="66">
        <f>7073-ED24-EC24-EB24</f>
        <v>1608</v>
      </c>
      <c r="EF24" s="66">
        <v>1497</v>
      </c>
      <c r="EG24" s="66">
        <f>2835-EF24</f>
        <v>1338</v>
      </c>
      <c r="EH24" s="66">
        <f>4023-EG24-EF24</f>
        <v>1188</v>
      </c>
      <c r="EI24" s="66">
        <f>4992-EH24-EG24-EF24</f>
        <v>969</v>
      </c>
      <c r="EJ24" s="66">
        <v>863</v>
      </c>
      <c r="EK24" s="66">
        <v>782</v>
      </c>
      <c r="EL24" s="66">
        <v>745</v>
      </c>
      <c r="EM24" s="66">
        <v>666</v>
      </c>
      <c r="EN24" s="66">
        <v>581</v>
      </c>
      <c r="EO24" s="66">
        <v>561</v>
      </c>
      <c r="EP24" s="66">
        <v>510</v>
      </c>
      <c r="EQ24" s="54">
        <v>470</v>
      </c>
      <c r="ER24" s="66">
        <v>416</v>
      </c>
      <c r="ES24" s="66">
        <v>421</v>
      </c>
      <c r="ET24" s="66">
        <v>373</v>
      </c>
      <c r="EU24" s="66">
        <f>1573-ET24-ES24-ER24</f>
        <v>363</v>
      </c>
      <c r="EV24" s="66">
        <v>324</v>
      </c>
      <c r="EW24" s="66">
        <f>654-EV24</f>
        <v>330</v>
      </c>
      <c r="EX24" s="66">
        <f>943-EW24-EV24</f>
        <v>289</v>
      </c>
      <c r="EY24" s="54">
        <f t="shared" si="20"/>
        <v>290</v>
      </c>
      <c r="EZ24" s="132">
        <v>274</v>
      </c>
      <c r="FA24" s="54">
        <f>522-EZ24</f>
        <v>248</v>
      </c>
      <c r="FB24" s="54">
        <f>763-FA24-EZ24</f>
        <v>241</v>
      </c>
      <c r="FC24" s="54">
        <f>973-FB24-FA24-EZ24</f>
        <v>210</v>
      </c>
      <c r="FD24" s="132">
        <v>224</v>
      </c>
      <c r="FE24" s="132">
        <f>414-FD24</f>
        <v>190</v>
      </c>
      <c r="FF24" s="54"/>
      <c r="FG24" s="54"/>
      <c r="FH24" s="54"/>
      <c r="FI24" s="54"/>
      <c r="FJ24" s="54"/>
      <c r="FK24" s="66"/>
      <c r="FL24" s="66"/>
      <c r="FM24" s="5">
        <v>0</v>
      </c>
      <c r="FN24" s="5">
        <v>0</v>
      </c>
      <c r="FO24" s="5">
        <v>0</v>
      </c>
      <c r="FP24" s="25">
        <v>0</v>
      </c>
      <c r="FQ24" s="25">
        <v>0</v>
      </c>
      <c r="FR24" s="25">
        <v>0</v>
      </c>
      <c r="FS24" s="25">
        <f>SUM(BT24:BW24)</f>
        <v>690</v>
      </c>
      <c r="FT24" s="25">
        <f>SUM(BX24:CA24)</f>
        <v>1665</v>
      </c>
      <c r="FU24" s="25">
        <f t="shared" si="17"/>
        <v>2962</v>
      </c>
      <c r="FV24" s="25">
        <f>SUM(M24:N24)</f>
        <v>4106</v>
      </c>
      <c r="FW24" s="25">
        <f t="shared" ref="FW24:FW48" si="26">SUM(CJ24:CM24)</f>
        <v>5207</v>
      </c>
      <c r="FX24" s="25">
        <f t="shared" si="13"/>
        <v>6222</v>
      </c>
      <c r="FY24" s="25">
        <f>SUM(CR24:CU24)</f>
        <v>6461</v>
      </c>
      <c r="FZ24" s="25">
        <f>SUM(CV24:CY24)</f>
        <v>5292</v>
      </c>
      <c r="GA24" s="25">
        <f>SUM(CZ24:DC24)</f>
        <v>5764</v>
      </c>
      <c r="GB24" s="25">
        <f>SUM(DD24:DG24)</f>
        <v>6254</v>
      </c>
      <c r="GC24" s="25">
        <v>6417</v>
      </c>
      <c r="GD24" s="126">
        <v>6684</v>
      </c>
      <c r="GE24" s="126">
        <v>6783</v>
      </c>
      <c r="GF24" s="126">
        <v>6688</v>
      </c>
      <c r="GG24" s="126">
        <v>6849</v>
      </c>
      <c r="GH24" s="126">
        <v>7073</v>
      </c>
      <c r="GI24" s="126">
        <v>4992</v>
      </c>
      <c r="GJ24" s="126">
        <v>3056</v>
      </c>
      <c r="GK24" s="133">
        <f t="shared" si="21"/>
        <v>2122</v>
      </c>
      <c r="GL24" s="132">
        <f t="shared" si="18"/>
        <v>1573</v>
      </c>
      <c r="GM24" s="132">
        <v>1233</v>
      </c>
      <c r="GN24" s="132">
        <f t="shared" ref="GN24:GN77" si="27">SUM(EZ24:FC24)</f>
        <v>973</v>
      </c>
      <c r="GO24" s="54">
        <f>+GN24*0.8</f>
        <v>778.40000000000009</v>
      </c>
      <c r="GP24" s="54">
        <f t="shared" si="25"/>
        <v>622.72000000000014</v>
      </c>
      <c r="GQ24" s="54">
        <f t="shared" si="25"/>
        <v>498.17600000000016</v>
      </c>
      <c r="GR24" s="54">
        <f t="shared" si="25"/>
        <v>398.54080000000016</v>
      </c>
      <c r="GS24" s="54">
        <f t="shared" si="25"/>
        <v>318.83264000000014</v>
      </c>
      <c r="GT24" s="54">
        <f t="shared" si="25"/>
        <v>255.06611200000012</v>
      </c>
      <c r="GU24" s="54">
        <f t="shared" si="25"/>
        <v>204.0528896000001</v>
      </c>
      <c r="GV24" s="54">
        <f t="shared" si="25"/>
        <v>163.24231168000009</v>
      </c>
      <c r="GW24" s="54">
        <f t="shared" si="25"/>
        <v>130.59384934400006</v>
      </c>
      <c r="GX24" s="54">
        <f t="shared" si="25"/>
        <v>104.47507947520006</v>
      </c>
    </row>
    <row r="25" spans="2:206" s="26" customFormat="1" ht="13" x14ac:dyDescent="0.3">
      <c r="B25" s="3" t="s">
        <v>772</v>
      </c>
      <c r="C25" s="23"/>
      <c r="D25" s="23"/>
      <c r="E25" s="23"/>
      <c r="F25" s="23"/>
      <c r="G25" s="23"/>
      <c r="H25" s="23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>
        <v>0</v>
      </c>
      <c r="BJ25" s="25">
        <v>0</v>
      </c>
      <c r="BK25" s="25">
        <v>0</v>
      </c>
      <c r="BL25" s="25"/>
      <c r="BM25" s="25"/>
      <c r="BN25" s="25"/>
      <c r="BO25" s="25"/>
      <c r="BP25" s="25"/>
      <c r="BQ25" s="25"/>
      <c r="BR25" s="25"/>
      <c r="BS25" s="93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>
        <v>0</v>
      </c>
      <c r="DS25" s="66">
        <v>0</v>
      </c>
      <c r="DT25" s="66">
        <v>0</v>
      </c>
      <c r="DU25" s="66">
        <v>0</v>
      </c>
      <c r="DV25" s="66">
        <v>0</v>
      </c>
      <c r="DW25" s="66"/>
      <c r="DX25" s="66"/>
      <c r="DY25" s="66"/>
      <c r="DZ25" s="66"/>
      <c r="EA25" s="66"/>
      <c r="EB25" s="66"/>
      <c r="EC25" s="66"/>
      <c r="ED25" s="66"/>
      <c r="EE25" s="66">
        <v>0</v>
      </c>
      <c r="EF25" s="66">
        <v>0</v>
      </c>
      <c r="EG25" s="66">
        <v>0</v>
      </c>
      <c r="EH25" s="66">
        <v>0</v>
      </c>
      <c r="EI25" s="66">
        <v>0</v>
      </c>
      <c r="EJ25" s="66">
        <v>166</v>
      </c>
      <c r="EK25" s="66">
        <v>429</v>
      </c>
      <c r="EL25" s="66">
        <v>489</v>
      </c>
      <c r="EM25" s="66">
        <v>546</v>
      </c>
      <c r="EN25" s="66">
        <v>587</v>
      </c>
      <c r="EO25" s="66">
        <v>22</v>
      </c>
      <c r="EP25" s="66">
        <v>22</v>
      </c>
      <c r="EQ25" s="54">
        <v>1048</v>
      </c>
      <c r="ER25" s="66">
        <v>567</v>
      </c>
      <c r="ES25" s="66">
        <v>-17</v>
      </c>
      <c r="ET25" s="66">
        <v>-18</v>
      </c>
      <c r="EU25" s="66">
        <f>525-ET25-ES25-ER25</f>
        <v>-7</v>
      </c>
      <c r="EV25" s="66"/>
      <c r="EW25" s="66"/>
      <c r="EX25" s="66">
        <f>3-EW25-EV25</f>
        <v>3</v>
      </c>
      <c r="EY25" s="54">
        <f t="shared" si="20"/>
        <v>0</v>
      </c>
      <c r="EZ25" s="132"/>
      <c r="FA25" s="54"/>
      <c r="FB25" s="54"/>
      <c r="FC25" s="54"/>
      <c r="FD25" s="132"/>
      <c r="FE25" s="132"/>
      <c r="FF25" s="54"/>
      <c r="FG25" s="54"/>
      <c r="FH25" s="54"/>
      <c r="FI25" s="54"/>
      <c r="FJ25" s="54"/>
      <c r="FK25" s="66"/>
      <c r="FL25" s="66"/>
      <c r="FM25" s="5">
        <v>0</v>
      </c>
      <c r="FN25" s="5">
        <v>0</v>
      </c>
      <c r="FO25" s="5">
        <v>0</v>
      </c>
      <c r="FP25" s="25">
        <v>0</v>
      </c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126"/>
      <c r="GE25" s="126"/>
      <c r="GF25" s="126"/>
      <c r="GG25" s="126"/>
      <c r="GH25" s="126"/>
      <c r="GI25" s="126">
        <v>0</v>
      </c>
      <c r="GJ25" s="126">
        <v>1630</v>
      </c>
      <c r="GK25" s="133">
        <f t="shared" si="21"/>
        <v>1679</v>
      </c>
      <c r="GL25" s="132">
        <f t="shared" si="18"/>
        <v>525</v>
      </c>
      <c r="GM25" s="132">
        <v>3</v>
      </c>
      <c r="GN25" s="132">
        <f t="shared" si="27"/>
        <v>0</v>
      </c>
    </row>
    <row r="26" spans="2:206" s="26" customFormat="1" ht="13" x14ac:dyDescent="0.3">
      <c r="B26" s="15" t="s">
        <v>29</v>
      </c>
      <c r="C26" s="23"/>
      <c r="D26" s="23"/>
      <c r="E26" s="23"/>
      <c r="F26" s="23"/>
      <c r="G26" s="23"/>
      <c r="H26" s="23"/>
      <c r="I26" s="25"/>
      <c r="J26" s="25"/>
      <c r="K26" s="25">
        <v>13</v>
      </c>
      <c r="L26" s="25">
        <f>478-K26</f>
        <v>465</v>
      </c>
      <c r="M26" s="25">
        <v>524</v>
      </c>
      <c r="N26" s="25">
        <f>991-M26</f>
        <v>467</v>
      </c>
      <c r="O26" s="25">
        <v>440</v>
      </c>
      <c r="P26" s="25">
        <f>SUM(CL26:CM26)</f>
        <v>520</v>
      </c>
      <c r="Q26" s="25">
        <f>SUM(CN26:CO26)</f>
        <v>573</v>
      </c>
      <c r="R26" s="25">
        <f>CP26+CQ26</f>
        <v>625</v>
      </c>
      <c r="S26" s="25">
        <v>697</v>
      </c>
      <c r="T26" s="25">
        <f t="shared" ref="T26:T56" si="28">+CU26+CT26</f>
        <v>761</v>
      </c>
      <c r="U26" s="25">
        <f t="shared" ref="U26:U57" si="29">SUM(CV26:CW26)</f>
        <v>769</v>
      </c>
      <c r="V26" s="25">
        <f t="shared" ref="V26:V56" si="30">CY26+CX26</f>
        <v>754</v>
      </c>
      <c r="W26" s="25"/>
      <c r="X26" s="25"/>
      <c r="Y26" s="25"/>
      <c r="Z26" s="25"/>
      <c r="AA26" s="25">
        <v>828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>
        <v>0</v>
      </c>
      <c r="BJ26" s="25">
        <v>0</v>
      </c>
      <c r="BK26" s="25">
        <v>0</v>
      </c>
      <c r="BL26" s="25"/>
      <c r="BM26" s="25"/>
      <c r="BN26" s="25"/>
      <c r="BO26" s="25"/>
      <c r="BP26" s="25"/>
      <c r="BQ26" s="25"/>
      <c r="BR26" s="25"/>
      <c r="BS26" s="93"/>
      <c r="BT26" s="93">
        <v>0</v>
      </c>
      <c r="BU26" s="66">
        <v>0</v>
      </c>
      <c r="BV26" s="66">
        <v>0</v>
      </c>
      <c r="BW26" s="66">
        <v>0</v>
      </c>
      <c r="BX26" s="66">
        <v>0</v>
      </c>
      <c r="BY26" s="66">
        <v>0</v>
      </c>
      <c r="BZ26" s="66">
        <v>0</v>
      </c>
      <c r="CA26" s="66">
        <v>0</v>
      </c>
      <c r="CB26" s="66">
        <v>0</v>
      </c>
      <c r="CC26" s="66">
        <v>13</v>
      </c>
      <c r="CD26" s="66">
        <v>192</v>
      </c>
      <c r="CE26" s="66">
        <v>273</v>
      </c>
      <c r="CF26" s="66">
        <v>263</v>
      </c>
      <c r="CG26" s="66">
        <v>261</v>
      </c>
      <c r="CH26" s="66">
        <v>239</v>
      </c>
      <c r="CI26" s="66">
        <v>228</v>
      </c>
      <c r="CJ26" s="66">
        <v>215</v>
      </c>
      <c r="CK26" s="66">
        <v>225</v>
      </c>
      <c r="CL26" s="66">
        <v>246</v>
      </c>
      <c r="CM26" s="66">
        <v>274</v>
      </c>
      <c r="CN26" s="66">
        <v>279</v>
      </c>
      <c r="CO26" s="66">
        <v>294</v>
      </c>
      <c r="CP26" s="66">
        <v>296</v>
      </c>
      <c r="CQ26" s="66">
        <v>329</v>
      </c>
      <c r="CR26" s="66">
        <v>327</v>
      </c>
      <c r="CS26" s="66">
        <f>+S26-CR26</f>
        <v>370</v>
      </c>
      <c r="CT26" s="66">
        <f>1081-CS26-CR26</f>
        <v>384</v>
      </c>
      <c r="CU26" s="66">
        <v>377</v>
      </c>
      <c r="CV26" s="66">
        <v>392</v>
      </c>
      <c r="CW26" s="66">
        <f>769-CV26</f>
        <v>377</v>
      </c>
      <c r="CX26" s="66">
        <v>359</v>
      </c>
      <c r="CY26" s="66">
        <v>395</v>
      </c>
      <c r="CZ26" s="66">
        <v>385</v>
      </c>
      <c r="DA26" s="66">
        <v>360</v>
      </c>
      <c r="DB26" s="66">
        <v>368</v>
      </c>
      <c r="DC26" s="66">
        <v>368</v>
      </c>
      <c r="DD26" s="66">
        <v>393</v>
      </c>
      <c r="DE26" s="66">
        <v>427</v>
      </c>
      <c r="DF26" s="66">
        <v>431</v>
      </c>
      <c r="DG26" s="66">
        <v>438</v>
      </c>
      <c r="DH26" s="66">
        <v>407</v>
      </c>
      <c r="DI26" s="66">
        <v>421</v>
      </c>
      <c r="DJ26" s="66">
        <v>432</v>
      </c>
      <c r="DK26" s="66">
        <v>441</v>
      </c>
      <c r="DL26" s="66">
        <v>394</v>
      </c>
      <c r="DM26" s="66">
        <v>375</v>
      </c>
      <c r="DN26" s="66">
        <v>373</v>
      </c>
      <c r="DO26" s="66">
        <v>378</v>
      </c>
      <c r="DP26" s="66">
        <v>355</v>
      </c>
      <c r="DQ26" s="66">
        <v>349</v>
      </c>
      <c r="DR26" s="66">
        <f>1077-DQ26-DP26</f>
        <v>373</v>
      </c>
      <c r="DS26" s="66">
        <f>1406-DR26-DQ26-DP26</f>
        <v>329</v>
      </c>
      <c r="DT26" s="66">
        <f>727-DU26</f>
        <v>392</v>
      </c>
      <c r="DU26" s="66">
        <v>335</v>
      </c>
      <c r="DV26" s="66">
        <v>399</v>
      </c>
      <c r="DW26" s="66">
        <v>288</v>
      </c>
      <c r="DX26" s="66">
        <v>393</v>
      </c>
      <c r="DY26" s="66">
        <v>425</v>
      </c>
      <c r="DZ26" s="66">
        <v>413</v>
      </c>
      <c r="EA26" s="66">
        <v>428</v>
      </c>
      <c r="EB26" s="66">
        <v>457</v>
      </c>
      <c r="EC26" s="66">
        <v>471</v>
      </c>
      <c r="ED26" s="66">
        <v>442</v>
      </c>
      <c r="EE26" s="66">
        <f>1826-ED26-EC26-EB26</f>
        <v>456</v>
      </c>
      <c r="EF26" s="66">
        <v>387</v>
      </c>
      <c r="EG26" s="66">
        <f>728-EF26</f>
        <v>341</v>
      </c>
      <c r="EH26" s="66">
        <f>1120-EG26-EF26</f>
        <v>392</v>
      </c>
      <c r="EI26" s="66">
        <f>1444-EH26-EG26-EF26</f>
        <v>324</v>
      </c>
      <c r="EJ26" s="66">
        <v>337</v>
      </c>
      <c r="EK26" s="66">
        <v>328</v>
      </c>
      <c r="EL26" s="66">
        <v>352</v>
      </c>
      <c r="EM26" s="66">
        <v>336</v>
      </c>
      <c r="EN26" s="66">
        <v>256</v>
      </c>
      <c r="EO26" s="66">
        <v>316</v>
      </c>
      <c r="EP26" s="66">
        <v>228</v>
      </c>
      <c r="EQ26" s="54">
        <v>212</v>
      </c>
      <c r="ER26" s="66">
        <v>167</v>
      </c>
      <c r="ES26" s="66">
        <v>132</v>
      </c>
      <c r="ET26" s="66">
        <v>97</v>
      </c>
      <c r="EU26" s="66">
        <f>460-ET26-ES26-ER26</f>
        <v>64</v>
      </c>
      <c r="EV26" s="66"/>
      <c r="EW26" s="66"/>
      <c r="EX26" s="66">
        <v>0</v>
      </c>
      <c r="EY26" s="54">
        <f t="shared" si="20"/>
        <v>0</v>
      </c>
      <c r="EZ26" s="132"/>
      <c r="FA26" s="54"/>
      <c r="FB26" s="54"/>
      <c r="FC26" s="54"/>
      <c r="FD26" s="132"/>
      <c r="FE26" s="132"/>
      <c r="FF26" s="54"/>
      <c r="FG26" s="54"/>
      <c r="FH26" s="54"/>
      <c r="FI26" s="54"/>
      <c r="FJ26" s="54"/>
      <c r="FK26" s="66"/>
      <c r="FL26" s="66"/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f>SUM(BT26:BW26)</f>
        <v>0</v>
      </c>
      <c r="FT26" s="25">
        <f>SUM(BX26:CA26)</f>
        <v>0</v>
      </c>
      <c r="FU26" s="25">
        <f t="shared" si="17"/>
        <v>478</v>
      </c>
      <c r="FV26" s="25">
        <f>SUM(M26:N26)</f>
        <v>991</v>
      </c>
      <c r="FW26" s="25">
        <f t="shared" si="26"/>
        <v>960</v>
      </c>
      <c r="FX26" s="25">
        <f>SUM(CN26:CQ26)</f>
        <v>1198</v>
      </c>
      <c r="FY26" s="25">
        <f t="shared" si="14"/>
        <v>1458</v>
      </c>
      <c r="FZ26" s="25">
        <f t="shared" ref="FZ26:FZ57" si="31">SUM(CV26:CY26)</f>
        <v>1523</v>
      </c>
      <c r="GA26" s="25">
        <f t="shared" ref="GA26:GA71" si="32">SUM(CZ26:DC26)</f>
        <v>1481</v>
      </c>
      <c r="GB26" s="25">
        <f t="shared" ref="GB26:GB69" si="33">SUM(DD26:DG26)</f>
        <v>1689</v>
      </c>
      <c r="GC26" s="25">
        <v>1701</v>
      </c>
      <c r="GD26" s="126">
        <v>1520</v>
      </c>
      <c r="GE26" s="126">
        <v>1406</v>
      </c>
      <c r="GF26" s="126">
        <v>1414</v>
      </c>
      <c r="GG26" s="126">
        <v>1659</v>
      </c>
      <c r="GH26" s="126">
        <v>1826</v>
      </c>
      <c r="GI26" s="126">
        <v>1444</v>
      </c>
      <c r="GJ26" s="126">
        <v>1353</v>
      </c>
      <c r="GK26" s="133">
        <f t="shared" si="21"/>
        <v>1012</v>
      </c>
      <c r="GL26" s="132">
        <f t="shared" si="18"/>
        <v>460</v>
      </c>
      <c r="GM26" s="64"/>
      <c r="GN26" s="132">
        <f t="shared" si="27"/>
        <v>0</v>
      </c>
    </row>
    <row r="27" spans="2:206" s="26" customFormat="1" ht="13" x14ac:dyDescent="0.3">
      <c r="B27" s="3" t="s">
        <v>736</v>
      </c>
      <c r="C27" s="23"/>
      <c r="D27" s="23"/>
      <c r="E27" s="23"/>
      <c r="F27" s="23"/>
      <c r="G27" s="23"/>
      <c r="H27" s="23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>
        <v>18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>
        <v>0</v>
      </c>
      <c r="BJ27" s="25">
        <v>0</v>
      </c>
      <c r="BK27" s="25">
        <v>0</v>
      </c>
      <c r="BL27" s="25"/>
      <c r="BM27" s="25"/>
      <c r="BN27" s="25"/>
      <c r="BO27" s="25"/>
      <c r="BP27" s="25"/>
      <c r="BQ27" s="25"/>
      <c r="BR27" s="25"/>
      <c r="BS27" s="93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>
        <f>91-DM27-DL27</f>
        <v>91</v>
      </c>
      <c r="DO27" s="66">
        <f>128-DN27-DM27-DL27</f>
        <v>37</v>
      </c>
      <c r="DP27" s="66"/>
      <c r="DQ27" s="66">
        <f>133-DP27</f>
        <v>133</v>
      </c>
      <c r="DR27" s="66"/>
      <c r="DS27" s="66">
        <f>196-DR27-DQ27-DP27</f>
        <v>63</v>
      </c>
      <c r="DT27" s="66">
        <v>67</v>
      </c>
      <c r="DU27" s="66"/>
      <c r="DV27" s="66"/>
      <c r="DW27" s="66"/>
      <c r="DX27" s="66"/>
      <c r="DY27" s="66">
        <v>93</v>
      </c>
      <c r="DZ27" s="66">
        <v>104</v>
      </c>
      <c r="EA27" s="66">
        <v>109</v>
      </c>
      <c r="EB27" s="66">
        <v>115</v>
      </c>
      <c r="EC27" s="66">
        <v>126</v>
      </c>
      <c r="ED27" s="66">
        <v>149</v>
      </c>
      <c r="EE27" s="66">
        <f>552-ED27-EC27-EB27</f>
        <v>162</v>
      </c>
      <c r="EF27" s="66">
        <v>165</v>
      </c>
      <c r="EG27" s="66">
        <f>310-EF27</f>
        <v>145</v>
      </c>
      <c r="EH27" s="66">
        <f>472-EG27-EF27</f>
        <v>162</v>
      </c>
      <c r="EI27" s="66">
        <f>632-EH27-EG27-EF27</f>
        <v>160</v>
      </c>
      <c r="EJ27" s="66">
        <v>155</v>
      </c>
      <c r="EK27" s="66">
        <v>169</v>
      </c>
      <c r="EL27" s="66">
        <v>177</v>
      </c>
      <c r="EM27" s="66">
        <v>177</v>
      </c>
      <c r="EN27" s="66">
        <v>165</v>
      </c>
      <c r="EO27" s="66">
        <v>184</v>
      </c>
      <c r="EP27" s="66">
        <v>190</v>
      </c>
      <c r="EQ27" s="54">
        <v>191</v>
      </c>
      <c r="ER27" s="66">
        <v>197</v>
      </c>
      <c r="ES27" s="66">
        <v>205</v>
      </c>
      <c r="ET27" s="66">
        <v>213</v>
      </c>
      <c r="EU27" s="66">
        <f>811-ET27-ES27-ER27</f>
        <v>196</v>
      </c>
      <c r="EV27" s="66">
        <v>213</v>
      </c>
      <c r="EW27" s="66">
        <f>445-EV27</f>
        <v>232</v>
      </c>
      <c r="EX27" s="66">
        <f>670-EW27-EV27</f>
        <v>225</v>
      </c>
      <c r="EY27" s="54">
        <f t="shared" si="20"/>
        <v>240</v>
      </c>
      <c r="EZ27" s="132">
        <v>249</v>
      </c>
      <c r="FA27" s="54">
        <f>490-EZ27</f>
        <v>241</v>
      </c>
      <c r="FB27" s="54">
        <f>728-FA27-EZ27</f>
        <v>238</v>
      </c>
      <c r="FC27" s="54">
        <f>986-FB27-FA27-EZ27</f>
        <v>258</v>
      </c>
      <c r="FD27" s="132">
        <v>247</v>
      </c>
      <c r="FE27" s="132">
        <f>489-FD27</f>
        <v>242</v>
      </c>
      <c r="FF27" s="54"/>
      <c r="FG27" s="54"/>
      <c r="FH27" s="54"/>
      <c r="FI27" s="54"/>
      <c r="FJ27" s="54"/>
      <c r="FK27" s="66"/>
      <c r="FL27" s="66"/>
      <c r="FM27" s="25">
        <v>0</v>
      </c>
      <c r="FN27" s="25">
        <v>0</v>
      </c>
      <c r="FO27" s="25">
        <v>0</v>
      </c>
      <c r="FP27" s="25">
        <v>0</v>
      </c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126">
        <v>128</v>
      </c>
      <c r="GE27" s="126">
        <v>196</v>
      </c>
      <c r="GF27" s="126">
        <v>278</v>
      </c>
      <c r="GG27" s="126">
        <v>390</v>
      </c>
      <c r="GH27" s="126">
        <v>552</v>
      </c>
      <c r="GI27" s="126">
        <v>632</v>
      </c>
      <c r="GJ27" s="126">
        <v>678</v>
      </c>
      <c r="GK27" s="133">
        <f>SUM(EN27:EQ27)</f>
        <v>730</v>
      </c>
      <c r="GL27" s="132">
        <f t="shared" si="18"/>
        <v>811</v>
      </c>
      <c r="GM27" s="132">
        <v>910</v>
      </c>
      <c r="GN27" s="132">
        <f t="shared" si="27"/>
        <v>986</v>
      </c>
    </row>
    <row r="28" spans="2:206" s="26" customFormat="1" ht="13" x14ac:dyDescent="0.3">
      <c r="B28" s="15" t="s">
        <v>27</v>
      </c>
      <c r="C28" s="23"/>
      <c r="D28" s="23"/>
      <c r="E28" s="23"/>
      <c r="F28" s="23"/>
      <c r="G28" s="23"/>
      <c r="H28" s="23"/>
      <c r="I28" s="25">
        <v>186</v>
      </c>
      <c r="J28" s="25">
        <f>393-I28</f>
        <v>207</v>
      </c>
      <c r="K28" s="25">
        <v>212</v>
      </c>
      <c r="L28" s="25">
        <f>436-K28</f>
        <v>224</v>
      </c>
      <c r="M28" s="25">
        <v>231</v>
      </c>
      <c r="N28" s="25">
        <f>483-M28</f>
        <v>252</v>
      </c>
      <c r="O28" s="25">
        <v>237</v>
      </c>
      <c r="P28" s="25">
        <f>SUM(CL28:CM28)</f>
        <v>259</v>
      </c>
      <c r="Q28" s="25">
        <f>SUM(CN28:CO28)</f>
        <v>248</v>
      </c>
      <c r="R28" s="25">
        <f>CP28+CQ28</f>
        <v>253</v>
      </c>
      <c r="S28" s="25">
        <v>264</v>
      </c>
      <c r="T28" s="25">
        <f>+CU28+CT28</f>
        <v>249</v>
      </c>
      <c r="U28" s="25">
        <f>SUM(CV28:CW28)</f>
        <v>247</v>
      </c>
      <c r="V28" s="25">
        <f>CY28+CX28</f>
        <v>245</v>
      </c>
      <c r="W28" s="25"/>
      <c r="X28" s="25"/>
      <c r="Y28" s="25"/>
      <c r="Z28" s="25"/>
      <c r="AA28" s="25">
        <v>278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>
        <v>27</v>
      </c>
      <c r="BC28" s="25"/>
      <c r="BD28" s="25"/>
      <c r="BE28" s="25"/>
      <c r="BF28" s="25"/>
      <c r="BG28" s="25"/>
      <c r="BH28" s="25"/>
      <c r="BI28" s="25"/>
      <c r="BJ28" s="25"/>
      <c r="BK28" s="25">
        <f>319-BJ28-BI28-BH28</f>
        <v>319</v>
      </c>
      <c r="BL28" s="25"/>
      <c r="BM28" s="25">
        <f>161-BL28</f>
        <v>161</v>
      </c>
      <c r="BN28" s="25"/>
      <c r="BO28" s="25"/>
      <c r="BP28" s="25"/>
      <c r="BQ28" s="25">
        <f>159-BP28</f>
        <v>159</v>
      </c>
      <c r="BR28" s="25"/>
      <c r="BS28" s="93"/>
      <c r="BT28" s="66">
        <v>84</v>
      </c>
      <c r="BU28" s="66">
        <v>81.796737766624844</v>
      </c>
      <c r="BV28" s="66">
        <v>86</v>
      </c>
      <c r="BW28" s="66">
        <v>86</v>
      </c>
      <c r="BX28" s="66">
        <v>89</v>
      </c>
      <c r="BY28" s="66">
        <v>97</v>
      </c>
      <c r="BZ28" s="66">
        <v>100</v>
      </c>
      <c r="CA28" s="66">
        <v>107</v>
      </c>
      <c r="CB28" s="66">
        <v>109</v>
      </c>
      <c r="CC28" s="66">
        <v>103</v>
      </c>
      <c r="CD28" s="66">
        <v>108</v>
      </c>
      <c r="CE28" s="66">
        <v>116</v>
      </c>
      <c r="CF28" s="66">
        <v>111</v>
      </c>
      <c r="CG28" s="66">
        <v>120</v>
      </c>
      <c r="CH28" s="66">
        <v>124</v>
      </c>
      <c r="CI28" s="66">
        <v>128</v>
      </c>
      <c r="CJ28" s="66">
        <v>117</v>
      </c>
      <c r="CK28" s="66">
        <v>120</v>
      </c>
      <c r="CL28" s="66">
        <v>120</v>
      </c>
      <c r="CM28" s="66">
        <v>139</v>
      </c>
      <c r="CN28" s="66">
        <v>120</v>
      </c>
      <c r="CO28" s="66">
        <v>128</v>
      </c>
      <c r="CP28" s="66">
        <v>125</v>
      </c>
      <c r="CQ28" s="66">
        <v>128</v>
      </c>
      <c r="CR28" s="66">
        <v>135</v>
      </c>
      <c r="CS28" s="66">
        <f>+S28-CR28</f>
        <v>129</v>
      </c>
      <c r="CT28" s="66">
        <f>385-CS28-CR28</f>
        <v>121</v>
      </c>
      <c r="CU28" s="66">
        <v>128</v>
      </c>
      <c r="CV28" s="66">
        <v>131</v>
      </c>
      <c r="CW28" s="66">
        <f>247-CV28</f>
        <v>116</v>
      </c>
      <c r="CX28" s="66">
        <v>111</v>
      </c>
      <c r="CY28" s="66">
        <v>134</v>
      </c>
      <c r="CZ28" s="66">
        <v>128</v>
      </c>
      <c r="DA28" s="66">
        <v>129</v>
      </c>
      <c r="DB28" s="66">
        <v>139</v>
      </c>
      <c r="DC28" s="66">
        <v>141</v>
      </c>
      <c r="DD28" s="66">
        <v>140</v>
      </c>
      <c r="DE28" s="66">
        <v>138</v>
      </c>
      <c r="DF28" s="66">
        <v>134</v>
      </c>
      <c r="DG28" s="66">
        <v>160</v>
      </c>
      <c r="DH28" s="66">
        <v>138</v>
      </c>
      <c r="DI28" s="66">
        <v>140</v>
      </c>
      <c r="DJ28" s="66">
        <v>149</v>
      </c>
      <c r="DK28" s="66">
        <v>170</v>
      </c>
      <c r="DL28" s="66">
        <v>146</v>
      </c>
      <c r="DM28" s="66">
        <v>160</v>
      </c>
      <c r="DN28" s="66">
        <v>166</v>
      </c>
      <c r="DO28" s="66">
        <v>180</v>
      </c>
      <c r="DP28" s="66">
        <v>160</v>
      </c>
      <c r="DQ28" s="66">
        <v>177</v>
      </c>
      <c r="DR28" s="66">
        <f>504-DQ28-DP28</f>
        <v>167</v>
      </c>
      <c r="DS28" s="66">
        <f>685-DR28-DQ28-DP28</f>
        <v>181</v>
      </c>
      <c r="DT28" s="66">
        <f>352-DU28</f>
        <v>175</v>
      </c>
      <c r="DU28" s="66">
        <v>177</v>
      </c>
      <c r="DV28" s="66">
        <v>179</v>
      </c>
      <c r="DW28" s="66">
        <v>199</v>
      </c>
      <c r="DX28" s="66">
        <v>169</v>
      </c>
      <c r="DY28" s="66">
        <v>188</v>
      </c>
      <c r="DZ28" s="66">
        <v>180</v>
      </c>
      <c r="EA28" s="66">
        <v>202</v>
      </c>
      <c r="EB28" s="66">
        <v>182</v>
      </c>
      <c r="EC28" s="66">
        <v>189</v>
      </c>
      <c r="ED28" s="66">
        <v>191</v>
      </c>
      <c r="EE28" s="66">
        <f>751-ED28-EC28-EB28</f>
        <v>189</v>
      </c>
      <c r="EF28" s="66">
        <v>191</v>
      </c>
      <c r="EG28" s="66">
        <f>352-EF28</f>
        <v>161</v>
      </c>
      <c r="EH28" s="66">
        <f>500-EG28-EF28</f>
        <v>148</v>
      </c>
      <c r="EI28" s="66">
        <f>642-EH28-EG28-EF28</f>
        <v>142</v>
      </c>
      <c r="EJ28" s="66">
        <v>139</v>
      </c>
      <c r="EK28" s="66">
        <v>137</v>
      </c>
      <c r="EL28" s="66">
        <v>138</v>
      </c>
      <c r="EM28" s="66">
        <v>152</v>
      </c>
      <c r="EN28" s="66">
        <v>136</v>
      </c>
      <c r="EO28" s="66">
        <v>143</v>
      </c>
      <c r="EP28" s="66">
        <v>135</v>
      </c>
      <c r="EQ28" s="54">
        <v>129</v>
      </c>
      <c r="ER28" s="66">
        <v>127</v>
      </c>
      <c r="ES28" s="66">
        <v>111</v>
      </c>
      <c r="ET28" s="66">
        <v>104</v>
      </c>
      <c r="EU28" s="66">
        <f>452-ET28-ES28-ER28</f>
        <v>110</v>
      </c>
      <c r="EV28" s="66">
        <v>112</v>
      </c>
      <c r="EW28" s="66">
        <f>225-EV28</f>
        <v>113</v>
      </c>
      <c r="EX28" s="66">
        <f>329-EW28-EV28</f>
        <v>104</v>
      </c>
      <c r="EY28" s="54">
        <f t="shared" si="20"/>
        <v>126</v>
      </c>
      <c r="EZ28" s="54">
        <v>123</v>
      </c>
      <c r="FA28" s="54">
        <f>239-EZ28</f>
        <v>116</v>
      </c>
      <c r="FB28" s="54">
        <f>361-FA28-EZ28</f>
        <v>122</v>
      </c>
      <c r="FC28" s="54">
        <f>479-FB28-FA28-EZ28</f>
        <v>118</v>
      </c>
      <c r="FD28" s="132">
        <v>89</v>
      </c>
      <c r="FE28" s="132">
        <f>204-FD28</f>
        <v>115</v>
      </c>
      <c r="FF28" s="54"/>
      <c r="FG28" s="54"/>
      <c r="FH28" s="54"/>
      <c r="FI28" s="54"/>
      <c r="FJ28" s="54"/>
      <c r="FK28" s="66"/>
      <c r="FL28" s="66"/>
      <c r="FM28" s="5">
        <v>136</v>
      </c>
      <c r="FN28" s="5">
        <v>111</v>
      </c>
      <c r="FO28" s="5"/>
      <c r="FP28" s="25">
        <v>319</v>
      </c>
      <c r="FQ28" s="25">
        <v>320</v>
      </c>
      <c r="FR28" s="25">
        <v>328</v>
      </c>
      <c r="FS28" s="25">
        <f>SUM(BT28:BW28)</f>
        <v>337.79673776662486</v>
      </c>
      <c r="FT28" s="25">
        <f>SUM(BX28:CA28)</f>
        <v>393</v>
      </c>
      <c r="FU28" s="25">
        <f>SUM(K28:L28)</f>
        <v>436</v>
      </c>
      <c r="FV28" s="25">
        <f>SUM(M28:N28)</f>
        <v>483</v>
      </c>
      <c r="FW28" s="25">
        <f>SUM(CJ28:CM28)</f>
        <v>496</v>
      </c>
      <c r="FX28" s="25">
        <f>SUM(CN28:CQ28)</f>
        <v>501</v>
      </c>
      <c r="FY28" s="25">
        <f>SUM(CR28:CU28)</f>
        <v>513</v>
      </c>
      <c r="FZ28" s="25">
        <f>SUM(CV28:CY28)</f>
        <v>492</v>
      </c>
      <c r="GA28" s="25">
        <f>SUM(CZ28:DC28)</f>
        <v>537</v>
      </c>
      <c r="GB28" s="25">
        <f>SUM(DD28:DG28)</f>
        <v>572</v>
      </c>
      <c r="GC28" s="25">
        <v>597</v>
      </c>
      <c r="GD28" s="126">
        <v>652</v>
      </c>
      <c r="GE28" s="126">
        <v>685</v>
      </c>
      <c r="GF28" s="126">
        <v>730</v>
      </c>
      <c r="GG28" s="126">
        <v>739</v>
      </c>
      <c r="GH28" s="126">
        <v>751</v>
      </c>
      <c r="GI28" s="126">
        <v>642</v>
      </c>
      <c r="GJ28" s="126">
        <v>566</v>
      </c>
      <c r="GK28" s="133">
        <f>SUM(EN28:EQ28)</f>
        <v>543</v>
      </c>
      <c r="GL28" s="132">
        <f t="shared" si="18"/>
        <v>452</v>
      </c>
      <c r="GM28" s="132">
        <v>455</v>
      </c>
      <c r="GN28" s="132">
        <f t="shared" si="27"/>
        <v>479</v>
      </c>
    </row>
    <row r="29" spans="2:206" s="26" customFormat="1" ht="13" x14ac:dyDescent="0.3">
      <c r="B29" s="15" t="s">
        <v>40</v>
      </c>
      <c r="C29" s="23"/>
      <c r="D29" s="23"/>
      <c r="E29" s="23"/>
      <c r="F29" s="23"/>
      <c r="G29" s="23"/>
      <c r="H29" s="23"/>
      <c r="I29" s="25">
        <v>800</v>
      </c>
      <c r="J29" s="25">
        <f>1705-I29</f>
        <v>905</v>
      </c>
      <c r="K29" s="25">
        <v>891</v>
      </c>
      <c r="L29" s="25">
        <f>1842-K29</f>
        <v>951</v>
      </c>
      <c r="M29" s="25">
        <v>979</v>
      </c>
      <c r="N29" s="25">
        <f>2012-M29</f>
        <v>1033</v>
      </c>
      <c r="O29" s="25">
        <v>1010</v>
      </c>
      <c r="P29" s="25">
        <f>SUM(CL29:CM29)</f>
        <v>1089</v>
      </c>
      <c r="Q29" s="25">
        <f>SUM(CN29:CO29)</f>
        <v>927</v>
      </c>
      <c r="R29" s="25">
        <f>CP29+CQ29</f>
        <v>649</v>
      </c>
      <c r="S29" s="25">
        <v>702</v>
      </c>
      <c r="T29" s="25">
        <f>+CU29+CT29</f>
        <v>588</v>
      </c>
      <c r="U29" s="25">
        <f>SUM(CV29:CW29)</f>
        <v>538</v>
      </c>
      <c r="V29" s="25">
        <f>CY29+CX29</f>
        <v>453</v>
      </c>
      <c r="W29" s="25"/>
      <c r="X29" s="25"/>
      <c r="Y29" s="25"/>
      <c r="Z29" s="25"/>
      <c r="AA29" s="25">
        <v>413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>
        <f>510-BH29</f>
        <v>510</v>
      </c>
      <c r="BJ29" s="25"/>
      <c r="BK29" s="25">
        <f>1056-BJ29-BI29-BH29</f>
        <v>546</v>
      </c>
      <c r="BL29" s="25">
        <f>558-297</f>
        <v>261</v>
      </c>
      <c r="BM29" s="25">
        <v>297</v>
      </c>
      <c r="BN29" s="25">
        <v>297</v>
      </c>
      <c r="BO29" s="25">
        <v>318</v>
      </c>
      <c r="BP29" s="25">
        <v>313</v>
      </c>
      <c r="BQ29" s="25">
        <f>629-BP29</f>
        <v>316</v>
      </c>
      <c r="BR29" s="25">
        <f>989-BQ29-BP29</f>
        <v>360</v>
      </c>
      <c r="BS29" s="66">
        <f>+FR29-BR29-BQ29-BP29</f>
        <v>346</v>
      </c>
      <c r="BT29" s="66">
        <v>369</v>
      </c>
      <c r="BU29" s="66">
        <v>350</v>
      </c>
      <c r="BV29" s="66">
        <v>337</v>
      </c>
      <c r="BW29" s="66">
        <v>347</v>
      </c>
      <c r="BX29" s="66">
        <v>370</v>
      </c>
      <c r="BY29" s="66">
        <v>430</v>
      </c>
      <c r="BZ29" s="66">
        <v>441</v>
      </c>
      <c r="CA29" s="66">
        <v>464</v>
      </c>
      <c r="CB29" s="66">
        <v>454</v>
      </c>
      <c r="CC29" s="66">
        <v>437</v>
      </c>
      <c r="CD29" s="66">
        <v>466</v>
      </c>
      <c r="CE29" s="66">
        <v>485</v>
      </c>
      <c r="CF29" s="66">
        <v>476</v>
      </c>
      <c r="CG29" s="66">
        <v>503</v>
      </c>
      <c r="CH29" s="66">
        <v>485</v>
      </c>
      <c r="CI29" s="66">
        <v>548</v>
      </c>
      <c r="CJ29" s="66">
        <v>487</v>
      </c>
      <c r="CK29" s="66">
        <v>523</v>
      </c>
      <c r="CL29" s="66">
        <v>513</v>
      </c>
      <c r="CM29" s="66">
        <v>576</v>
      </c>
      <c r="CN29" s="66">
        <v>517</v>
      </c>
      <c r="CO29" s="66">
        <v>410</v>
      </c>
      <c r="CP29" s="66">
        <f>1289-CO29-CN29</f>
        <v>362</v>
      </c>
      <c r="CQ29" s="66">
        <v>287</v>
      </c>
      <c r="CR29" s="66">
        <v>357</v>
      </c>
      <c r="CS29" s="66">
        <f>+S29-CR29</f>
        <v>345</v>
      </c>
      <c r="CT29" s="66">
        <f>1001-CS29-CR29</f>
        <v>299</v>
      </c>
      <c r="CU29" s="66">
        <v>289</v>
      </c>
      <c r="CV29" s="66">
        <v>280</v>
      </c>
      <c r="CW29" s="66">
        <f>538-CV29</f>
        <v>258</v>
      </c>
      <c r="CX29" s="66">
        <v>232</v>
      </c>
      <c r="CY29" s="66">
        <v>221</v>
      </c>
      <c r="CZ29" s="66">
        <v>220</v>
      </c>
      <c r="DA29" s="66">
        <v>234</v>
      </c>
      <c r="DB29" s="66">
        <v>230</v>
      </c>
      <c r="DC29" s="66">
        <v>225</v>
      </c>
      <c r="DD29" s="66">
        <v>229</v>
      </c>
      <c r="DE29" s="66">
        <v>236</v>
      </c>
      <c r="DF29" s="66">
        <v>216</v>
      </c>
      <c r="DG29" s="66">
        <v>193</v>
      </c>
      <c r="DH29" s="66">
        <v>215</v>
      </c>
      <c r="DI29" s="66">
        <v>198</v>
      </c>
      <c r="DJ29" s="66">
        <v>210</v>
      </c>
      <c r="DK29" s="66">
        <v>188</v>
      </c>
      <c r="DL29" s="66">
        <v>197</v>
      </c>
      <c r="DM29" s="66">
        <v>191</v>
      </c>
      <c r="DN29" s="66">
        <v>194</v>
      </c>
      <c r="DO29" s="66">
        <v>203</v>
      </c>
      <c r="DP29" s="66">
        <v>189</v>
      </c>
      <c r="DQ29" s="66">
        <v>184</v>
      </c>
      <c r="DR29" s="66">
        <f>559-DQ29-DP29</f>
        <v>186</v>
      </c>
      <c r="DS29" s="66">
        <f>741-DR29-DQ29-DP29</f>
        <v>182</v>
      </c>
      <c r="DT29" s="66">
        <f>346-DU29</f>
        <v>170</v>
      </c>
      <c r="DU29" s="66">
        <v>176</v>
      </c>
      <c r="DV29" s="66">
        <v>169</v>
      </c>
      <c r="DW29" s="66">
        <v>182</v>
      </c>
      <c r="DX29" s="66">
        <v>158</v>
      </c>
      <c r="DY29" s="66">
        <v>175</v>
      </c>
      <c r="DZ29" s="66">
        <v>175</v>
      </c>
      <c r="EA29" s="66">
        <v>161</v>
      </c>
      <c r="EB29" s="66">
        <v>163</v>
      </c>
      <c r="EC29" s="66">
        <v>162</v>
      </c>
      <c r="ED29" s="66">
        <v>177</v>
      </c>
      <c r="EE29" s="66">
        <f>656-ED29-EC29-EB29</f>
        <v>154</v>
      </c>
      <c r="EF29" s="66">
        <v>166</v>
      </c>
      <c r="EG29" s="66">
        <f>314-EF29</f>
        <v>148</v>
      </c>
      <c r="EH29" s="66">
        <f>462-EG29-EF29</f>
        <v>148</v>
      </c>
      <c r="EI29" s="66">
        <f>606-EH29-EG29-EF29</f>
        <v>144</v>
      </c>
      <c r="EJ29" s="66">
        <v>154</v>
      </c>
      <c r="EK29" s="66">
        <v>144</v>
      </c>
      <c r="EL29" s="66">
        <v>155</v>
      </c>
      <c r="EM29" s="66">
        <v>139</v>
      </c>
      <c r="EN29" s="66">
        <v>134</v>
      </c>
      <c r="EO29" s="66">
        <v>136</v>
      </c>
      <c r="EP29" s="66">
        <v>116</v>
      </c>
      <c r="EQ29" s="54"/>
      <c r="ER29" s="66"/>
      <c r="ES29" s="66"/>
      <c r="ET29" s="66"/>
      <c r="EU29" s="66">
        <v>98</v>
      </c>
      <c r="EV29" s="66">
        <v>94</v>
      </c>
      <c r="EW29" s="66">
        <f>197-EV29</f>
        <v>103</v>
      </c>
      <c r="EX29" s="66">
        <f>283-EW29-EV29</f>
        <v>86</v>
      </c>
      <c r="EY29" s="54">
        <f t="shared" si="20"/>
        <v>116</v>
      </c>
      <c r="EZ29" s="54">
        <v>100</v>
      </c>
      <c r="FA29" s="54">
        <f>196-EZ29</f>
        <v>96</v>
      </c>
      <c r="FB29" s="54">
        <f>292-FA29-EZ29</f>
        <v>96</v>
      </c>
      <c r="FC29" s="54">
        <f>385-FB29-FA29-EZ29</f>
        <v>93</v>
      </c>
      <c r="FD29" s="132">
        <v>99</v>
      </c>
      <c r="FE29" s="132">
        <f>187-FD29</f>
        <v>88</v>
      </c>
      <c r="FF29" s="54"/>
      <c r="FG29" s="54"/>
      <c r="FH29" s="54"/>
      <c r="FI29" s="54">
        <v>0</v>
      </c>
      <c r="FJ29" s="54">
        <v>0</v>
      </c>
      <c r="FK29" s="66">
        <v>90</v>
      </c>
      <c r="FL29" s="66">
        <v>210</v>
      </c>
      <c r="FM29" s="5">
        <v>360</v>
      </c>
      <c r="FN29" s="5">
        <v>560</v>
      </c>
      <c r="FO29" s="5"/>
      <c r="FP29" s="25">
        <v>1056</v>
      </c>
      <c r="FQ29" s="25">
        <v>1173</v>
      </c>
      <c r="FR29" s="25">
        <v>1335</v>
      </c>
      <c r="FS29" s="25">
        <f>SUM(BT29:BW29)</f>
        <v>1403</v>
      </c>
      <c r="FT29" s="25">
        <f>SUM(BX29:CA29)</f>
        <v>1705</v>
      </c>
      <c r="FU29" s="25">
        <f>SUM(K29:L29)</f>
        <v>1842</v>
      </c>
      <c r="FV29" s="25">
        <f>SUM(M29:N29)</f>
        <v>2012</v>
      </c>
      <c r="FW29" s="25">
        <f>SUM(CJ29:CM29)</f>
        <v>2099</v>
      </c>
      <c r="FX29" s="25">
        <f>SUM(CN29:CQ29)</f>
        <v>1576</v>
      </c>
      <c r="FY29" s="25">
        <f>SUM(CR29:CU29)</f>
        <v>1290</v>
      </c>
      <c r="FZ29" s="25">
        <f>SUM(CV29:CY29)</f>
        <v>991</v>
      </c>
      <c r="GA29" s="25">
        <f>SUM(CZ29:DC29)</f>
        <v>909</v>
      </c>
      <c r="GB29" s="25">
        <f>SUM(DD29:DG29)</f>
        <v>874</v>
      </c>
      <c r="GC29" s="25">
        <v>811</v>
      </c>
      <c r="GD29" s="126">
        <v>785</v>
      </c>
      <c r="GE29" s="126">
        <v>741</v>
      </c>
      <c r="GF29" s="126">
        <v>697</v>
      </c>
      <c r="GG29" s="126">
        <v>669</v>
      </c>
      <c r="GH29" s="126">
        <v>656</v>
      </c>
      <c r="GI29" s="126">
        <v>606</v>
      </c>
      <c r="GJ29" s="126">
        <v>592</v>
      </c>
      <c r="GK29" s="133">
        <f>SUM(EN29:EQ29)</f>
        <v>386</v>
      </c>
      <c r="GL29" s="132">
        <v>393</v>
      </c>
      <c r="GM29" s="132">
        <v>399</v>
      </c>
      <c r="GN29" s="132">
        <f t="shared" si="27"/>
        <v>385</v>
      </c>
    </row>
    <row r="30" spans="2:206" s="26" customFormat="1" ht="13" x14ac:dyDescent="0.3">
      <c r="B30" s="3" t="s">
        <v>774</v>
      </c>
      <c r="C30" s="23"/>
      <c r="D30" s="23"/>
      <c r="E30" s="23"/>
      <c r="F30" s="23"/>
      <c r="G30" s="23"/>
      <c r="H30" s="23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>
        <v>0</v>
      </c>
      <c r="BJ30" s="25">
        <v>0</v>
      </c>
      <c r="BK30" s="25">
        <v>0</v>
      </c>
      <c r="BL30" s="25"/>
      <c r="BM30" s="25"/>
      <c r="BN30" s="25"/>
      <c r="BO30" s="25"/>
      <c r="BP30" s="25"/>
      <c r="BQ30" s="25"/>
      <c r="BR30" s="25"/>
      <c r="BS30" s="93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>
        <v>0</v>
      </c>
      <c r="DK30" s="66">
        <v>44</v>
      </c>
      <c r="DL30" s="66">
        <v>88</v>
      </c>
      <c r="DM30" s="66">
        <v>141</v>
      </c>
      <c r="DN30" s="66">
        <v>157</v>
      </c>
      <c r="DO30" s="66">
        <v>177</v>
      </c>
      <c r="DP30" s="66">
        <v>178</v>
      </c>
      <c r="DQ30" s="66">
        <v>180</v>
      </c>
      <c r="DR30" s="66">
        <f>571-DQ30-DP30</f>
        <v>213</v>
      </c>
      <c r="DS30" s="66">
        <f>768-DR30-DQ30-DP30</f>
        <v>197</v>
      </c>
      <c r="DT30" s="66">
        <f>418-DU30</f>
        <v>202</v>
      </c>
      <c r="DU30" s="66">
        <v>216</v>
      </c>
      <c r="DV30" s="66">
        <v>219</v>
      </c>
      <c r="DW30" s="66">
        <v>232</v>
      </c>
      <c r="DX30" s="66">
        <v>222</v>
      </c>
      <c r="DY30" s="66">
        <v>250</v>
      </c>
      <c r="DZ30" s="66">
        <v>267</v>
      </c>
      <c r="EA30" s="66">
        <v>292</v>
      </c>
      <c r="EB30" s="66">
        <v>250</v>
      </c>
      <c r="EC30" s="66">
        <v>282</v>
      </c>
      <c r="ED30" s="66">
        <v>281</v>
      </c>
      <c r="EE30" s="66">
        <f>1129-ED30-EC30-EB30</f>
        <v>316</v>
      </c>
      <c r="EF30" s="66">
        <v>292</v>
      </c>
      <c r="EG30" s="66">
        <f>566-EF30</f>
        <v>274</v>
      </c>
      <c r="EH30" s="66">
        <f>844-EG30-EF30</f>
        <v>278</v>
      </c>
      <c r="EI30" s="66">
        <f>1108-EH30-EG30-EF30</f>
        <v>264</v>
      </c>
      <c r="EJ30" s="66">
        <v>256</v>
      </c>
      <c r="EK30" s="66">
        <v>270</v>
      </c>
      <c r="EL30" s="66">
        <v>263</v>
      </c>
      <c r="EM30" s="66">
        <v>250</v>
      </c>
      <c r="EN30" s="66">
        <v>241</v>
      </c>
      <c r="EO30" s="66">
        <v>216</v>
      </c>
      <c r="EP30" s="66">
        <v>133</v>
      </c>
      <c r="EQ30" s="54"/>
      <c r="ER30" s="66"/>
      <c r="ES30" s="66"/>
      <c r="ET30" s="66"/>
      <c r="EU30" s="66"/>
      <c r="EV30" s="66"/>
      <c r="EW30" s="66"/>
      <c r="EX30" s="66"/>
      <c r="EY30" s="54">
        <f t="shared" si="20"/>
        <v>0</v>
      </c>
      <c r="EZ30" s="54"/>
      <c r="FA30" s="54"/>
      <c r="FB30" s="54"/>
      <c r="FC30" s="54"/>
      <c r="FD30" s="132"/>
      <c r="FE30" s="132"/>
      <c r="FF30" s="54"/>
      <c r="FG30" s="54"/>
      <c r="FH30" s="54"/>
      <c r="FI30" s="54"/>
      <c r="FJ30" s="54"/>
      <c r="FK30" s="66"/>
      <c r="FL30" s="66"/>
      <c r="FM30" s="5">
        <v>0</v>
      </c>
      <c r="FN30" s="5">
        <v>0</v>
      </c>
      <c r="FO30" s="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126">
        <v>563</v>
      </c>
      <c r="GE30" s="126">
        <v>768</v>
      </c>
      <c r="GF30" s="126">
        <v>869</v>
      </c>
      <c r="GG30" s="126">
        <v>1031</v>
      </c>
      <c r="GH30" s="126">
        <v>1129</v>
      </c>
      <c r="GI30" s="126">
        <v>1108</v>
      </c>
      <c r="GJ30" s="126">
        <v>1039</v>
      </c>
      <c r="GK30" s="133">
        <f t="shared" si="21"/>
        <v>590</v>
      </c>
      <c r="GL30" s="132">
        <v>202</v>
      </c>
      <c r="GM30" s="64"/>
      <c r="GN30" s="132">
        <f t="shared" si="27"/>
        <v>0</v>
      </c>
    </row>
    <row r="31" spans="2:206" s="26" customFormat="1" ht="13" x14ac:dyDescent="0.3">
      <c r="B31" s="3" t="s">
        <v>1044</v>
      </c>
      <c r="C31" s="23"/>
      <c r="D31" s="23"/>
      <c r="E31" s="23"/>
      <c r="F31" s="23"/>
      <c r="G31" s="23"/>
      <c r="H31" s="23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93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54"/>
      <c r="ER31" s="66"/>
      <c r="ES31" s="66"/>
      <c r="ET31" s="66"/>
      <c r="EU31" s="66"/>
      <c r="EV31" s="66"/>
      <c r="EW31" s="66"/>
      <c r="EX31" s="66"/>
      <c r="EY31" s="54"/>
      <c r="EZ31" s="54"/>
      <c r="FA31" s="54"/>
      <c r="FB31" s="54"/>
      <c r="FC31" s="54"/>
      <c r="FD31" s="132"/>
      <c r="FE31" s="132"/>
      <c r="FF31" s="54"/>
      <c r="FG31" s="54"/>
      <c r="FH31" s="54"/>
      <c r="FI31" s="54"/>
      <c r="FJ31" s="54"/>
      <c r="FK31" s="66"/>
      <c r="FL31" s="66"/>
      <c r="FM31" s="5"/>
      <c r="FN31" s="5"/>
      <c r="FO31" s="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126"/>
      <c r="GE31" s="126"/>
      <c r="GF31" s="126"/>
      <c r="GG31" s="126"/>
      <c r="GH31" s="126"/>
      <c r="GI31" s="126"/>
      <c r="GJ31" s="126"/>
      <c r="GK31" s="133"/>
      <c r="GL31" s="132"/>
      <c r="GM31" s="64"/>
      <c r="GN31" s="132"/>
    </row>
    <row r="32" spans="2:206" s="26" customFormat="1" ht="13" x14ac:dyDescent="0.3">
      <c r="B32" s="3" t="s">
        <v>735</v>
      </c>
      <c r="C32" s="23"/>
      <c r="D32" s="23"/>
      <c r="E32" s="23"/>
      <c r="F32" s="23"/>
      <c r="G32" s="23"/>
      <c r="H32" s="23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>
        <v>57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>
        <v>0</v>
      </c>
      <c r="BJ32" s="25">
        <v>0</v>
      </c>
      <c r="BK32" s="25">
        <v>0</v>
      </c>
      <c r="BL32" s="25"/>
      <c r="BM32" s="25"/>
      <c r="BN32" s="25"/>
      <c r="BO32" s="25"/>
      <c r="BP32" s="25"/>
      <c r="BQ32" s="25"/>
      <c r="BR32" s="25"/>
      <c r="BS32" s="93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>
        <f>118-DM32-DL32</f>
        <v>118</v>
      </c>
      <c r="DO32" s="66">
        <f>167-DN32-DM32-DL32</f>
        <v>49</v>
      </c>
      <c r="DP32" s="66"/>
      <c r="DQ32" s="66"/>
      <c r="DR32" s="66"/>
      <c r="DS32" s="66">
        <f>203-DR32-DQ32-DP32</f>
        <v>203</v>
      </c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>
        <v>63</v>
      </c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54">
        <f t="shared" si="20"/>
        <v>260</v>
      </c>
      <c r="EZ32" s="54">
        <v>63</v>
      </c>
      <c r="FA32" s="54">
        <f>132-EZ32</f>
        <v>69</v>
      </c>
      <c r="FB32" s="54">
        <f>198-FA32-EZ32</f>
        <v>66</v>
      </c>
      <c r="FC32" s="54">
        <f>263-FB32-FA32-EZ32</f>
        <v>65</v>
      </c>
      <c r="FD32" s="132">
        <v>53</v>
      </c>
      <c r="FE32" s="132">
        <f>117-FD32</f>
        <v>64</v>
      </c>
      <c r="FF32" s="54"/>
      <c r="FG32" s="54"/>
      <c r="FH32" s="54"/>
      <c r="FI32" s="54"/>
      <c r="FJ32" s="54"/>
      <c r="FK32" s="66"/>
      <c r="FL32" s="66"/>
      <c r="FM32" s="5">
        <v>0</v>
      </c>
      <c r="FN32" s="5">
        <v>0</v>
      </c>
      <c r="FO32" s="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126"/>
      <c r="GE32" s="126"/>
      <c r="GF32" s="126"/>
      <c r="GG32" s="126"/>
      <c r="GH32" s="126"/>
      <c r="GI32" s="126">
        <v>278</v>
      </c>
      <c r="GJ32" s="126">
        <v>269</v>
      </c>
      <c r="GK32" s="133">
        <v>271</v>
      </c>
      <c r="GL32" s="132">
        <v>245</v>
      </c>
      <c r="GM32" s="132">
        <v>260</v>
      </c>
      <c r="GN32" s="132">
        <f t="shared" si="27"/>
        <v>263</v>
      </c>
    </row>
    <row r="33" spans="2:196" s="26" customFormat="1" ht="13" x14ac:dyDescent="0.3">
      <c r="B33" s="3" t="s">
        <v>778</v>
      </c>
      <c r="C33" s="23"/>
      <c r="D33" s="23"/>
      <c r="E33" s="23"/>
      <c r="F33" s="23"/>
      <c r="G33" s="23"/>
      <c r="H33" s="23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>
        <v>0</v>
      </c>
      <c r="BJ33" s="25">
        <v>0</v>
      </c>
      <c r="BK33" s="25">
        <v>0</v>
      </c>
      <c r="BL33" s="25"/>
      <c r="BM33" s="25"/>
      <c r="BN33" s="25"/>
      <c r="BO33" s="25"/>
      <c r="BP33" s="25"/>
      <c r="BQ33" s="25"/>
      <c r="BR33" s="25"/>
      <c r="BS33" s="93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>
        <v>41</v>
      </c>
      <c r="EO33" s="66"/>
      <c r="EP33" s="66"/>
      <c r="EQ33" s="66"/>
      <c r="ER33" s="66"/>
      <c r="ES33" s="66"/>
      <c r="ET33" s="66"/>
      <c r="EU33" s="66"/>
      <c r="EV33" s="66"/>
      <c r="EW33" s="66">
        <f>143-EV33</f>
        <v>143</v>
      </c>
      <c r="EX33" s="66">
        <f>223-EW33-EV33</f>
        <v>80</v>
      </c>
      <c r="EY33" s="54">
        <f t="shared" si="20"/>
        <v>88</v>
      </c>
      <c r="EZ33" s="54">
        <v>83</v>
      </c>
      <c r="FA33" s="54">
        <f>177-EZ33</f>
        <v>94</v>
      </c>
      <c r="FB33" s="54">
        <f>269-FA33-EZ33</f>
        <v>92</v>
      </c>
      <c r="FC33" s="54">
        <f>364-FB33-FA33-EZ33</f>
        <v>95</v>
      </c>
      <c r="FD33" s="132">
        <v>96</v>
      </c>
      <c r="FE33" s="132">
        <f>195-FD33</f>
        <v>99</v>
      </c>
      <c r="FF33" s="54"/>
      <c r="FG33" s="54"/>
      <c r="FH33" s="54"/>
      <c r="FI33" s="54"/>
      <c r="FJ33" s="54"/>
      <c r="FK33" s="66"/>
      <c r="FL33" s="66"/>
      <c r="FM33" s="5">
        <v>0</v>
      </c>
      <c r="FN33" s="5">
        <v>0</v>
      </c>
      <c r="FO33" s="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126"/>
      <c r="GE33" s="126"/>
      <c r="GF33" s="126"/>
      <c r="GG33" s="126"/>
      <c r="GH33" s="126"/>
      <c r="GI33" s="126"/>
      <c r="GJ33" s="64"/>
      <c r="GK33" s="2">
        <v>192</v>
      </c>
      <c r="GL33" s="132">
        <v>256</v>
      </c>
      <c r="GM33" s="132">
        <v>311</v>
      </c>
      <c r="GN33" s="132">
        <f t="shared" si="27"/>
        <v>364</v>
      </c>
    </row>
    <row r="34" spans="2:196" s="26" customFormat="1" ht="13" x14ac:dyDescent="0.3">
      <c r="B34" s="3" t="s">
        <v>780</v>
      </c>
      <c r="C34" s="23"/>
      <c r="D34" s="23"/>
      <c r="E34" s="23"/>
      <c r="F34" s="23"/>
      <c r="G34" s="23"/>
      <c r="H34" s="23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>
        <v>0</v>
      </c>
      <c r="BJ34" s="25">
        <v>0</v>
      </c>
      <c r="BK34" s="25">
        <v>0</v>
      </c>
      <c r="BL34" s="25"/>
      <c r="BM34" s="25"/>
      <c r="BN34" s="25"/>
      <c r="BO34" s="25"/>
      <c r="BP34" s="25"/>
      <c r="BQ34" s="25"/>
      <c r="BR34" s="25"/>
      <c r="BS34" s="93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>
        <f>15-EG34-EF34</f>
        <v>15</v>
      </c>
      <c r="EI34" s="66"/>
      <c r="EJ34" s="66"/>
      <c r="EK34" s="66"/>
      <c r="EL34" s="66"/>
      <c r="EM34" s="66"/>
      <c r="EN34" s="66">
        <v>16</v>
      </c>
      <c r="EO34" s="66"/>
      <c r="EP34" s="66"/>
      <c r="EQ34" s="66"/>
      <c r="ER34" s="66"/>
      <c r="ES34" s="66"/>
      <c r="ET34" s="66"/>
      <c r="EU34" s="66"/>
      <c r="EV34" s="66"/>
      <c r="EW34" s="66">
        <f>62-EV34</f>
        <v>62</v>
      </c>
      <c r="EX34" s="66">
        <f>98-EW34-EV34</f>
        <v>36</v>
      </c>
      <c r="EY34" s="54">
        <f t="shared" si="20"/>
        <v>36</v>
      </c>
      <c r="EZ34" s="54">
        <v>40</v>
      </c>
      <c r="FA34" s="54">
        <v>38</v>
      </c>
      <c r="FB34" s="54">
        <v>36</v>
      </c>
      <c r="FC34" s="54">
        <v>32</v>
      </c>
      <c r="FD34" s="132">
        <v>39</v>
      </c>
      <c r="FE34" s="132">
        <v>27</v>
      </c>
      <c r="FF34" s="54"/>
      <c r="FG34" s="54"/>
      <c r="FH34" s="54"/>
      <c r="FI34" s="54"/>
      <c r="FJ34" s="54"/>
      <c r="FK34" s="66"/>
      <c r="FL34" s="66"/>
      <c r="FM34" s="5">
        <v>0</v>
      </c>
      <c r="FN34" s="5">
        <v>0</v>
      </c>
      <c r="FO34" s="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126"/>
      <c r="GE34" s="126"/>
      <c r="GF34" s="126"/>
      <c r="GG34" s="126"/>
      <c r="GH34" s="126"/>
      <c r="GI34" s="126"/>
      <c r="GJ34" s="64"/>
      <c r="GK34" s="40"/>
      <c r="GL34" s="132"/>
      <c r="GM34" s="132">
        <v>134</v>
      </c>
      <c r="GN34" s="132">
        <f t="shared" si="27"/>
        <v>146</v>
      </c>
    </row>
    <row r="35" spans="2:196" s="26" customFormat="1" ht="13" x14ac:dyDescent="0.3">
      <c r="B35" s="3" t="s">
        <v>781</v>
      </c>
      <c r="C35" s="23"/>
      <c r="D35" s="23"/>
      <c r="E35" s="23"/>
      <c r="F35" s="23"/>
      <c r="G35" s="23"/>
      <c r="H35" s="23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>
        <v>0</v>
      </c>
      <c r="BJ35" s="25">
        <v>0</v>
      </c>
      <c r="BK35" s="25">
        <v>0</v>
      </c>
      <c r="BL35" s="25"/>
      <c r="BM35" s="25"/>
      <c r="BN35" s="25"/>
      <c r="BO35" s="25"/>
      <c r="BP35" s="25"/>
      <c r="BQ35" s="25"/>
      <c r="BR35" s="25"/>
      <c r="BS35" s="93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>
        <v>2</v>
      </c>
      <c r="DP35" s="66"/>
      <c r="DQ35" s="66">
        <f>29-DP35</f>
        <v>29</v>
      </c>
      <c r="DR35" s="66"/>
      <c r="DS35" s="66">
        <f>45-DR35-DQ35-DP35</f>
        <v>16</v>
      </c>
      <c r="DT35" s="66">
        <v>14</v>
      </c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>
        <v>12</v>
      </c>
      <c r="EO35" s="66"/>
      <c r="EP35" s="66"/>
      <c r="EQ35" s="66"/>
      <c r="ER35" s="66"/>
      <c r="ES35" s="66"/>
      <c r="ET35" s="66"/>
      <c r="EU35" s="66"/>
      <c r="EV35" s="66"/>
      <c r="EW35" s="66">
        <f>20-EV35</f>
        <v>20</v>
      </c>
      <c r="EX35" s="66">
        <f>30-EW35-EV35</f>
        <v>10</v>
      </c>
      <c r="EY35" s="54">
        <f t="shared" si="20"/>
        <v>11</v>
      </c>
      <c r="EZ35" s="54">
        <v>12</v>
      </c>
      <c r="FA35" s="54">
        <v>12</v>
      </c>
      <c r="FB35" s="54">
        <f>35-FA35-EZ35</f>
        <v>11</v>
      </c>
      <c r="FC35" s="54">
        <f>46-FB35-FA35-EZ35</f>
        <v>11</v>
      </c>
      <c r="FD35" s="132">
        <v>11</v>
      </c>
      <c r="FE35" s="132">
        <f>23-FD35</f>
        <v>12</v>
      </c>
      <c r="FF35" s="54"/>
      <c r="FG35" s="54"/>
      <c r="FH35" s="54"/>
      <c r="FI35" s="54"/>
      <c r="FJ35" s="54"/>
      <c r="FK35" s="66"/>
      <c r="FL35" s="66"/>
      <c r="FM35" s="5">
        <v>0</v>
      </c>
      <c r="FN35" s="5">
        <v>0</v>
      </c>
      <c r="FO35" s="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126"/>
      <c r="GE35" s="126"/>
      <c r="GF35" s="126"/>
      <c r="GG35" s="126"/>
      <c r="GH35" s="126"/>
      <c r="GI35" s="126"/>
      <c r="GJ35" s="64"/>
      <c r="GK35" s="40"/>
      <c r="GL35" s="132"/>
      <c r="GM35" s="132">
        <v>41</v>
      </c>
      <c r="GN35" s="132">
        <f t="shared" si="27"/>
        <v>46</v>
      </c>
    </row>
    <row r="36" spans="2:196" s="26" customFormat="1" ht="13" x14ac:dyDescent="0.3">
      <c r="B36" s="3" t="s">
        <v>782</v>
      </c>
      <c r="C36" s="23"/>
      <c r="D36" s="23"/>
      <c r="E36" s="23"/>
      <c r="F36" s="23"/>
      <c r="G36" s="23"/>
      <c r="H36" s="23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>
        <v>0</v>
      </c>
      <c r="BJ36" s="25">
        <v>0</v>
      </c>
      <c r="BK36" s="25">
        <v>0</v>
      </c>
      <c r="BL36" s="25"/>
      <c r="BM36" s="25"/>
      <c r="BN36" s="25"/>
      <c r="BO36" s="25"/>
      <c r="BP36" s="25"/>
      <c r="BQ36" s="25"/>
      <c r="BR36" s="25"/>
      <c r="BS36" s="93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>
        <v>5</v>
      </c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54">
        <f t="shared" si="20"/>
        <v>0</v>
      </c>
      <c r="EZ36" s="54"/>
      <c r="FA36" s="54"/>
      <c r="FB36" s="54"/>
      <c r="FC36" s="54"/>
      <c r="FD36" s="132"/>
      <c r="FE36" s="132"/>
      <c r="FF36" s="54"/>
      <c r="FG36" s="54"/>
      <c r="FH36" s="54"/>
      <c r="FI36" s="54"/>
      <c r="FJ36" s="54"/>
      <c r="FK36" s="66"/>
      <c r="FL36" s="66"/>
      <c r="FM36" s="5">
        <v>0</v>
      </c>
      <c r="FN36" s="5">
        <v>0</v>
      </c>
      <c r="FO36" s="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126"/>
      <c r="GE36" s="126"/>
      <c r="GF36" s="126"/>
      <c r="GG36" s="126"/>
      <c r="GH36" s="126"/>
      <c r="GI36" s="126"/>
      <c r="GJ36" s="64"/>
      <c r="GK36" s="40"/>
      <c r="GL36" s="132"/>
      <c r="GM36" s="64"/>
      <c r="GN36" s="132">
        <f t="shared" si="27"/>
        <v>0</v>
      </c>
    </row>
    <row r="37" spans="2:196" s="26" customFormat="1" ht="13" x14ac:dyDescent="0.3">
      <c r="B37" s="3" t="s">
        <v>783</v>
      </c>
      <c r="C37" s="23"/>
      <c r="D37" s="23"/>
      <c r="E37" s="23"/>
      <c r="F37" s="23"/>
      <c r="G37" s="23"/>
      <c r="H37" s="23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>
        <v>0</v>
      </c>
      <c r="BJ37" s="25">
        <v>0</v>
      </c>
      <c r="BK37" s="25">
        <v>0</v>
      </c>
      <c r="BL37" s="25"/>
      <c r="BM37" s="25"/>
      <c r="BN37" s="25"/>
      <c r="BO37" s="25"/>
      <c r="BP37" s="25"/>
      <c r="BQ37" s="25"/>
      <c r="BR37" s="25"/>
      <c r="BS37" s="93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>
        <v>2</v>
      </c>
      <c r="EO37" s="66"/>
      <c r="EP37" s="66"/>
      <c r="EQ37" s="66"/>
      <c r="ER37" s="66"/>
      <c r="ES37" s="66"/>
      <c r="ET37" s="66"/>
      <c r="EU37" s="66"/>
      <c r="EV37" s="66">
        <v>47</v>
      </c>
      <c r="EW37" s="66">
        <f>68-EV37</f>
        <v>21</v>
      </c>
      <c r="EX37" s="66">
        <v>31</v>
      </c>
      <c r="EY37" s="54">
        <f t="shared" si="20"/>
        <v>53</v>
      </c>
      <c r="EZ37" s="54">
        <v>159</v>
      </c>
      <c r="FA37" s="54">
        <f>187-EZ37</f>
        <v>28</v>
      </c>
      <c r="FB37" s="54">
        <f>248-FA37-EZ37</f>
        <v>61</v>
      </c>
      <c r="FC37" s="54">
        <f>407-FB37-FA37-EZ37</f>
        <v>159</v>
      </c>
      <c r="FD37" s="132">
        <v>19</v>
      </c>
      <c r="FE37" s="132">
        <f>74-FD37</f>
        <v>55</v>
      </c>
      <c r="FF37" s="54"/>
      <c r="FG37" s="54"/>
      <c r="FH37" s="54"/>
      <c r="FI37" s="54"/>
      <c r="FJ37" s="54"/>
      <c r="FK37" s="66"/>
      <c r="FL37" s="66"/>
      <c r="FM37" s="5">
        <v>0</v>
      </c>
      <c r="FN37" s="5">
        <v>0</v>
      </c>
      <c r="FO37" s="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126"/>
      <c r="GE37" s="126"/>
      <c r="GF37" s="126"/>
      <c r="GG37" s="126"/>
      <c r="GH37" s="126"/>
      <c r="GI37" s="126"/>
      <c r="GJ37" s="64"/>
      <c r="GK37" s="40"/>
      <c r="GL37" s="132">
        <f>99-GK37-GJ37</f>
        <v>99</v>
      </c>
      <c r="GM37" s="132">
        <v>152</v>
      </c>
      <c r="GN37" s="132">
        <f t="shared" si="27"/>
        <v>407</v>
      </c>
    </row>
    <row r="38" spans="2:196" s="26" customFormat="1" ht="13" x14ac:dyDescent="0.3">
      <c r="B38" s="3" t="s">
        <v>784</v>
      </c>
      <c r="C38" s="23"/>
      <c r="D38" s="23"/>
      <c r="E38" s="23"/>
      <c r="F38" s="23"/>
      <c r="G38" s="23"/>
      <c r="H38" s="23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>
        <v>0</v>
      </c>
      <c r="BJ38" s="25">
        <v>0</v>
      </c>
      <c r="BK38" s="25">
        <v>0</v>
      </c>
      <c r="BL38" s="25"/>
      <c r="BM38" s="25"/>
      <c r="BN38" s="25"/>
      <c r="BO38" s="25"/>
      <c r="BP38" s="25"/>
      <c r="BQ38" s="25"/>
      <c r="BR38" s="25"/>
      <c r="BS38" s="93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>
        <v>1</v>
      </c>
      <c r="EO38" s="66"/>
      <c r="EP38" s="66"/>
      <c r="EQ38" s="66"/>
      <c r="ER38" s="66"/>
      <c r="ES38" s="66"/>
      <c r="ET38" s="66"/>
      <c r="EU38" s="66"/>
      <c r="EV38" s="66"/>
      <c r="EW38" s="66">
        <f>1-EV38</f>
        <v>1</v>
      </c>
      <c r="EX38" s="66">
        <f>3-EW38-EV38</f>
        <v>2</v>
      </c>
      <c r="EY38" s="54">
        <f t="shared" si="20"/>
        <v>1</v>
      </c>
      <c r="EZ38" s="54">
        <v>2</v>
      </c>
      <c r="FA38" s="54">
        <v>2</v>
      </c>
      <c r="FB38" s="54">
        <v>2</v>
      </c>
      <c r="FC38" s="54">
        <v>3</v>
      </c>
      <c r="FD38" s="132">
        <v>4</v>
      </c>
      <c r="FE38" s="132">
        <v>5</v>
      </c>
      <c r="FF38" s="54"/>
      <c r="FG38" s="54"/>
      <c r="FH38" s="54"/>
      <c r="FI38" s="54"/>
      <c r="FJ38" s="54"/>
      <c r="FK38" s="66"/>
      <c r="FL38" s="66"/>
      <c r="FM38" s="5">
        <v>0</v>
      </c>
      <c r="FN38" s="5">
        <v>0</v>
      </c>
      <c r="FO38" s="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126"/>
      <c r="GE38" s="126"/>
      <c r="GF38" s="126"/>
      <c r="GG38" s="126"/>
      <c r="GH38" s="126"/>
      <c r="GI38" s="126"/>
      <c r="GJ38" s="64"/>
      <c r="GK38" s="40"/>
      <c r="GL38" s="132"/>
      <c r="GM38" s="132">
        <v>4</v>
      </c>
      <c r="GN38" s="132">
        <f t="shared" si="27"/>
        <v>9</v>
      </c>
    </row>
    <row r="39" spans="2:196" s="26" customFormat="1" ht="13" x14ac:dyDescent="0.3">
      <c r="B39" s="3" t="s">
        <v>926</v>
      </c>
      <c r="C39" s="23"/>
      <c r="D39" s="23"/>
      <c r="E39" s="23"/>
      <c r="F39" s="23"/>
      <c r="G39" s="23"/>
      <c r="H39" s="23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>
        <v>0</v>
      </c>
      <c r="BJ39" s="25">
        <v>0</v>
      </c>
      <c r="BK39" s="25">
        <v>0</v>
      </c>
      <c r="BL39" s="25"/>
      <c r="BM39" s="25"/>
      <c r="BN39" s="25"/>
      <c r="BO39" s="25"/>
      <c r="BP39" s="25"/>
      <c r="BQ39" s="25"/>
      <c r="BR39" s="25"/>
      <c r="BS39" s="93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>
        <f>37-EV39</f>
        <v>37</v>
      </c>
      <c r="EX39" s="66">
        <f>54-EW39-EV39</f>
        <v>17</v>
      </c>
      <c r="EY39" s="54">
        <f t="shared" si="20"/>
        <v>17</v>
      </c>
      <c r="EZ39" s="54">
        <v>21</v>
      </c>
      <c r="FA39" s="54">
        <v>27</v>
      </c>
      <c r="FB39" s="54">
        <v>29</v>
      </c>
      <c r="FC39" s="54">
        <v>37</v>
      </c>
      <c r="FD39" s="132">
        <v>37</v>
      </c>
      <c r="FE39" s="132">
        <v>63</v>
      </c>
      <c r="FF39" s="54"/>
      <c r="FG39" s="54"/>
      <c r="FH39" s="54"/>
      <c r="FI39" s="54"/>
      <c r="FJ39" s="54"/>
      <c r="FK39" s="66"/>
      <c r="FL39" s="66"/>
      <c r="FM39" s="5">
        <v>0</v>
      </c>
      <c r="FN39" s="5">
        <v>0</v>
      </c>
      <c r="FO39" s="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126"/>
      <c r="GE39" s="126"/>
      <c r="GF39" s="126"/>
      <c r="GG39" s="126"/>
      <c r="GH39" s="126"/>
      <c r="GI39" s="126"/>
      <c r="GJ39" s="64"/>
      <c r="GK39" s="40"/>
      <c r="GL39" s="132"/>
      <c r="GM39" s="132">
        <v>71</v>
      </c>
      <c r="GN39" s="132">
        <f t="shared" si="27"/>
        <v>114</v>
      </c>
    </row>
    <row r="40" spans="2:196" s="26" customFormat="1" ht="13" x14ac:dyDescent="0.3">
      <c r="B40" s="3" t="s">
        <v>927</v>
      </c>
      <c r="C40" s="23"/>
      <c r="D40" s="23"/>
      <c r="E40" s="23"/>
      <c r="F40" s="23"/>
      <c r="G40" s="23"/>
      <c r="H40" s="23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>
        <v>0</v>
      </c>
      <c r="BJ40" s="25">
        <v>0</v>
      </c>
      <c r="BK40" s="25">
        <v>0</v>
      </c>
      <c r="BL40" s="25"/>
      <c r="BM40" s="25"/>
      <c r="BN40" s="25"/>
      <c r="BO40" s="25"/>
      <c r="BP40" s="25"/>
      <c r="BQ40" s="25"/>
      <c r="BR40" s="25"/>
      <c r="BS40" s="93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>
        <f>67-EV40</f>
        <v>67</v>
      </c>
      <c r="EX40" s="66">
        <f>116-EW40-EV40</f>
        <v>49</v>
      </c>
      <c r="EY40" s="54">
        <f t="shared" si="20"/>
        <v>56</v>
      </c>
      <c r="EZ40" s="54">
        <v>60</v>
      </c>
      <c r="FA40" s="54">
        <f>123-EZ40</f>
        <v>63</v>
      </c>
      <c r="FB40" s="54">
        <f>202-FA40-EZ40</f>
        <v>79</v>
      </c>
      <c r="FC40" s="54">
        <f>288-FB40-FA40-EZ40</f>
        <v>86</v>
      </c>
      <c r="FD40" s="132">
        <v>95</v>
      </c>
      <c r="FE40" s="132">
        <f>196-FD40</f>
        <v>101</v>
      </c>
      <c r="FF40" s="54"/>
      <c r="FG40" s="54"/>
      <c r="FH40" s="54"/>
      <c r="FI40" s="54"/>
      <c r="FJ40" s="54"/>
      <c r="FK40" s="66"/>
      <c r="FL40" s="66"/>
      <c r="FM40" s="5">
        <v>0</v>
      </c>
      <c r="FN40" s="5">
        <v>0</v>
      </c>
      <c r="FO40" s="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126"/>
      <c r="GE40" s="126"/>
      <c r="GF40" s="126"/>
      <c r="GG40" s="126"/>
      <c r="GH40" s="126"/>
      <c r="GI40" s="126"/>
      <c r="GJ40" s="64"/>
      <c r="GK40" s="40"/>
      <c r="GL40" s="132">
        <v>28</v>
      </c>
      <c r="GM40" s="132">
        <v>172</v>
      </c>
      <c r="GN40" s="132">
        <f t="shared" si="27"/>
        <v>288</v>
      </c>
    </row>
    <row r="41" spans="2:196" s="26" customFormat="1" ht="13" x14ac:dyDescent="0.3">
      <c r="B41" s="3" t="s">
        <v>928</v>
      </c>
      <c r="C41" s="23"/>
      <c r="D41" s="23"/>
      <c r="E41" s="23"/>
      <c r="F41" s="23"/>
      <c r="G41" s="23"/>
      <c r="H41" s="23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>
        <v>0</v>
      </c>
      <c r="BJ41" s="25">
        <v>0</v>
      </c>
      <c r="BK41" s="25">
        <v>0</v>
      </c>
      <c r="BL41" s="25"/>
      <c r="BM41" s="25"/>
      <c r="BN41" s="25"/>
      <c r="BO41" s="25"/>
      <c r="BP41" s="25"/>
      <c r="BQ41" s="25"/>
      <c r="BR41" s="25"/>
      <c r="BS41" s="93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6"/>
      <c r="EQ41" s="66"/>
      <c r="ER41" s="66"/>
      <c r="ES41" s="66"/>
      <c r="ET41" s="66"/>
      <c r="EU41" s="66"/>
      <c r="EV41" s="66"/>
      <c r="EW41" s="66">
        <f>29-EV41</f>
        <v>29</v>
      </c>
      <c r="EX41" s="66">
        <f>137-EW41-EV41</f>
        <v>108</v>
      </c>
      <c r="EY41" s="54">
        <f t="shared" si="20"/>
        <v>52</v>
      </c>
      <c r="EZ41" s="54">
        <v>43</v>
      </c>
      <c r="FA41" s="54">
        <f>117-EZ41</f>
        <v>74</v>
      </c>
      <c r="FB41" s="54">
        <f>221-FA41-EZ41</f>
        <v>104</v>
      </c>
      <c r="FC41" s="54">
        <f>341-FB41-FA41-EZ41</f>
        <v>120</v>
      </c>
      <c r="FD41" s="132">
        <v>61</v>
      </c>
      <c r="FE41" s="132">
        <f>180-FD41</f>
        <v>119</v>
      </c>
      <c r="FF41" s="54"/>
      <c r="FG41" s="54"/>
      <c r="FH41" s="54"/>
      <c r="FI41" s="54"/>
      <c r="FJ41" s="54"/>
      <c r="FK41" s="66"/>
      <c r="FL41" s="66"/>
      <c r="FM41" s="5">
        <v>0</v>
      </c>
      <c r="FN41" s="5">
        <v>0</v>
      </c>
      <c r="FO41" s="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126"/>
      <c r="GE41" s="126"/>
      <c r="GF41" s="126"/>
      <c r="GG41" s="126"/>
      <c r="GH41" s="126"/>
      <c r="GI41" s="126"/>
      <c r="GJ41" s="64"/>
      <c r="GK41" s="40"/>
      <c r="GL41" s="132">
        <v>0</v>
      </c>
      <c r="GM41" s="132">
        <v>189</v>
      </c>
      <c r="GN41" s="132">
        <f t="shared" si="27"/>
        <v>341</v>
      </c>
    </row>
    <row r="42" spans="2:196" s="26" customFormat="1" ht="13" x14ac:dyDescent="0.3">
      <c r="B42" s="3" t="s">
        <v>929</v>
      </c>
      <c r="C42" s="23"/>
      <c r="D42" s="23"/>
      <c r="E42" s="23"/>
      <c r="F42" s="23"/>
      <c r="G42" s="23"/>
      <c r="H42" s="23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>
        <v>0</v>
      </c>
      <c r="BJ42" s="25">
        <v>0</v>
      </c>
      <c r="BK42" s="25">
        <v>0</v>
      </c>
      <c r="BL42" s="25"/>
      <c r="BM42" s="25"/>
      <c r="BN42" s="25"/>
      <c r="BO42" s="25"/>
      <c r="BP42" s="25"/>
      <c r="BQ42" s="25"/>
      <c r="BR42" s="25"/>
      <c r="BS42" s="93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>
        <f>2-EV42</f>
        <v>2</v>
      </c>
      <c r="EX42" s="66">
        <f>8-EW42-EV42</f>
        <v>6</v>
      </c>
      <c r="EY42" s="54">
        <f t="shared" si="20"/>
        <v>8</v>
      </c>
      <c r="EZ42" s="54">
        <v>9</v>
      </c>
      <c r="FA42" s="54">
        <v>12</v>
      </c>
      <c r="FB42" s="54">
        <v>12</v>
      </c>
      <c r="FC42" s="54">
        <v>13</v>
      </c>
      <c r="FD42" s="132">
        <v>14</v>
      </c>
      <c r="FE42" s="132">
        <v>16</v>
      </c>
      <c r="FF42" s="54"/>
      <c r="FG42" s="54"/>
      <c r="FH42" s="54"/>
      <c r="FI42" s="54"/>
      <c r="FJ42" s="54"/>
      <c r="FK42" s="66"/>
      <c r="FL42" s="66"/>
      <c r="FM42" s="5">
        <v>0</v>
      </c>
      <c r="FN42" s="5">
        <v>0</v>
      </c>
      <c r="FO42" s="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126"/>
      <c r="GE42" s="126"/>
      <c r="GF42" s="126"/>
      <c r="GG42" s="126"/>
      <c r="GH42" s="126"/>
      <c r="GI42" s="126"/>
      <c r="GJ42" s="64"/>
      <c r="GK42" s="40"/>
      <c r="GL42" s="132"/>
      <c r="GM42" s="132">
        <v>16</v>
      </c>
      <c r="GN42" s="132">
        <f t="shared" si="27"/>
        <v>46</v>
      </c>
    </row>
    <row r="43" spans="2:196" s="26" customFormat="1" ht="13" x14ac:dyDescent="0.3">
      <c r="B43" s="3" t="s">
        <v>944</v>
      </c>
      <c r="C43" s="23"/>
      <c r="D43" s="23"/>
      <c r="E43" s="23"/>
      <c r="F43" s="23"/>
      <c r="G43" s="23"/>
      <c r="H43" s="23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>
        <v>0</v>
      </c>
      <c r="BJ43" s="25">
        <v>0</v>
      </c>
      <c r="BK43" s="25">
        <v>0</v>
      </c>
      <c r="BL43" s="25"/>
      <c r="BM43" s="25"/>
      <c r="BN43" s="25"/>
      <c r="BO43" s="25"/>
      <c r="BP43" s="25"/>
      <c r="BQ43" s="25"/>
      <c r="BR43" s="25"/>
      <c r="BS43" s="93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54">
        <f t="shared" si="20"/>
        <v>8</v>
      </c>
      <c r="EZ43" s="54">
        <v>14</v>
      </c>
      <c r="FA43" s="54">
        <f>36-EZ43</f>
        <v>22</v>
      </c>
      <c r="FB43" s="54">
        <f>68-FA43-EZ43</f>
        <v>32</v>
      </c>
      <c r="FC43" s="54">
        <f>113-FB43-FA43-EZ43</f>
        <v>45</v>
      </c>
      <c r="FD43" s="132">
        <v>52</v>
      </c>
      <c r="FE43" s="132">
        <f>104-FD43</f>
        <v>52</v>
      </c>
      <c r="FF43" s="54"/>
      <c r="FG43" s="54"/>
      <c r="FH43" s="54"/>
      <c r="FI43" s="54"/>
      <c r="FJ43" s="54"/>
      <c r="FK43" s="66"/>
      <c r="FL43" s="66"/>
      <c r="FM43" s="5">
        <v>0</v>
      </c>
      <c r="FN43" s="5">
        <v>0</v>
      </c>
      <c r="FO43" s="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126"/>
      <c r="GE43" s="126"/>
      <c r="GF43" s="126"/>
      <c r="GG43" s="126"/>
      <c r="GH43" s="126"/>
      <c r="GI43" s="126"/>
      <c r="GJ43" s="64"/>
      <c r="GK43" s="40"/>
      <c r="GL43" s="132"/>
      <c r="GM43" s="132">
        <v>8</v>
      </c>
      <c r="GN43" s="132">
        <f t="shared" si="27"/>
        <v>113</v>
      </c>
    </row>
    <row r="44" spans="2:196" s="26" customFormat="1" ht="13" x14ac:dyDescent="0.3">
      <c r="B44" s="3" t="s">
        <v>139</v>
      </c>
      <c r="C44" s="23"/>
      <c r="D44" s="23"/>
      <c r="E44" s="23"/>
      <c r="F44" s="23"/>
      <c r="G44" s="23"/>
      <c r="H44" s="23"/>
      <c r="I44" s="25">
        <v>1086</v>
      </c>
      <c r="J44" s="25">
        <f>2252-I44</f>
        <v>1166</v>
      </c>
      <c r="K44" s="25">
        <v>1100</v>
      </c>
      <c r="L44" s="25">
        <f>2227-K44</f>
        <v>1127</v>
      </c>
      <c r="M44" s="25">
        <v>1066</v>
      </c>
      <c r="N44" s="25">
        <f>2094-M44</f>
        <v>1028</v>
      </c>
      <c r="O44" s="25">
        <v>892</v>
      </c>
      <c r="P44" s="25">
        <f t="shared" ref="P44:P53" si="34">SUM(CL44:CM44)</f>
        <v>882</v>
      </c>
      <c r="Q44" s="25">
        <f t="shared" ref="Q44:Q56" si="35">SUM(CN44:CO44)</f>
        <v>789</v>
      </c>
      <c r="R44" s="25">
        <f t="shared" ref="R44:R56" si="36">CP44+CQ44</f>
        <v>771</v>
      </c>
      <c r="S44" s="25">
        <v>677</v>
      </c>
      <c r="T44" s="25">
        <f t="shared" si="28"/>
        <v>608</v>
      </c>
      <c r="U44" s="25">
        <f t="shared" si="29"/>
        <v>493</v>
      </c>
      <c r="V44" s="25">
        <f t="shared" si="30"/>
        <v>403</v>
      </c>
      <c r="W44" s="25"/>
      <c r="X44" s="25"/>
      <c r="Y44" s="25"/>
      <c r="Z44" s="25"/>
      <c r="AA44" s="25">
        <v>231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>
        <f>350-BH44</f>
        <v>350</v>
      </c>
      <c r="BJ44" s="25"/>
      <c r="BK44" s="25">
        <f>746-BJ44-BI44-BH44</f>
        <v>396</v>
      </c>
      <c r="BL44" s="25"/>
      <c r="BM44" s="25">
        <f>442-BL44</f>
        <v>442</v>
      </c>
      <c r="BN44" s="25">
        <v>242</v>
      </c>
      <c r="BO44" s="25">
        <v>508</v>
      </c>
      <c r="BP44" s="25">
        <v>450</v>
      </c>
      <c r="BQ44" s="25">
        <f>970-BP44</f>
        <v>520</v>
      </c>
      <c r="BR44" s="25">
        <f>1509-BQ44-BP44</f>
        <v>539</v>
      </c>
      <c r="BS44" s="66">
        <f>+FR44-BR44-BQ44-BP44</f>
        <v>542</v>
      </c>
      <c r="BT44" s="66">
        <v>489</v>
      </c>
      <c r="BU44" s="66">
        <v>531</v>
      </c>
      <c r="BV44" s="66">
        <v>528</v>
      </c>
      <c r="BW44" s="66">
        <v>534</v>
      </c>
      <c r="BX44" s="66">
        <v>516</v>
      </c>
      <c r="BY44" s="66">
        <v>570</v>
      </c>
      <c r="BZ44" s="66">
        <v>564</v>
      </c>
      <c r="CA44" s="66">
        <v>602</v>
      </c>
      <c r="CB44" s="66">
        <v>535</v>
      </c>
      <c r="CC44" s="66">
        <v>565</v>
      </c>
      <c r="CD44" s="66">
        <v>535</v>
      </c>
      <c r="CE44" s="66">
        <v>592</v>
      </c>
      <c r="CF44" s="66">
        <v>522</v>
      </c>
      <c r="CG44" s="66">
        <v>544</v>
      </c>
      <c r="CH44" s="66">
        <v>518</v>
      </c>
      <c r="CI44" s="66">
        <v>510</v>
      </c>
      <c r="CJ44" s="66">
        <v>442</v>
      </c>
      <c r="CK44" s="66">
        <v>450</v>
      </c>
      <c r="CL44" s="66">
        <v>427</v>
      </c>
      <c r="CM44" s="66">
        <v>455</v>
      </c>
      <c r="CN44" s="66">
        <v>378</v>
      </c>
      <c r="CO44" s="66">
        <v>411</v>
      </c>
      <c r="CP44" s="66">
        <f>1180-CO44-CN44</f>
        <v>391</v>
      </c>
      <c r="CQ44" s="66">
        <v>380</v>
      </c>
      <c r="CR44" s="66">
        <v>339</v>
      </c>
      <c r="CS44" s="66">
        <f t="shared" ref="CS44:CS55" si="37">+S44-CR44</f>
        <v>338</v>
      </c>
      <c r="CT44" s="66">
        <f>989-CS44-CR44</f>
        <v>312</v>
      </c>
      <c r="CU44" s="66">
        <v>296</v>
      </c>
      <c r="CV44" s="66">
        <v>246</v>
      </c>
      <c r="CW44" s="66">
        <f>493-CV44</f>
        <v>247</v>
      </c>
      <c r="CX44" s="66">
        <v>197</v>
      </c>
      <c r="CY44" s="66">
        <v>206</v>
      </c>
      <c r="CZ44" s="66">
        <v>171</v>
      </c>
      <c r="DA44" s="66">
        <v>180</v>
      </c>
      <c r="DB44" s="66">
        <v>170</v>
      </c>
      <c r="DC44" s="66">
        <v>153</v>
      </c>
      <c r="DD44" s="66">
        <v>131</v>
      </c>
      <c r="DE44" s="66">
        <v>138</v>
      </c>
      <c r="DF44" s="66">
        <v>131</v>
      </c>
      <c r="DG44" s="66">
        <v>120</v>
      </c>
      <c r="DH44" s="66">
        <v>112</v>
      </c>
      <c r="DI44" s="66">
        <v>119</v>
      </c>
      <c r="DJ44" s="66">
        <v>111</v>
      </c>
      <c r="DK44" s="66">
        <v>118</v>
      </c>
      <c r="DL44" s="66">
        <v>93</v>
      </c>
      <c r="DM44" s="66">
        <v>89</v>
      </c>
      <c r="DN44" s="66">
        <v>90</v>
      </c>
      <c r="DO44" s="66">
        <v>94</v>
      </c>
      <c r="DP44" s="66">
        <v>79</v>
      </c>
      <c r="DQ44" s="66">
        <v>82</v>
      </c>
      <c r="DR44" s="66">
        <f>244-DQ44-DP44</f>
        <v>83</v>
      </c>
      <c r="DS44" s="66">
        <v>84</v>
      </c>
      <c r="DT44" s="66">
        <v>77</v>
      </c>
      <c r="DU44" s="66">
        <f>156-DT44</f>
        <v>79</v>
      </c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54">
        <f t="shared" si="20"/>
        <v>0</v>
      </c>
      <c r="EZ44" s="54"/>
      <c r="FA44" s="54"/>
      <c r="FB44" s="54"/>
      <c r="FC44" s="54"/>
      <c r="FD44" s="132"/>
      <c r="FE44" s="132"/>
      <c r="FF44" s="54"/>
      <c r="FG44" s="54"/>
      <c r="FH44" s="54"/>
      <c r="FI44" s="54"/>
      <c r="FJ44" s="54"/>
      <c r="FK44" s="66"/>
      <c r="FL44" s="66"/>
      <c r="FM44" s="5">
        <v>400</v>
      </c>
      <c r="FN44" s="5">
        <v>480</v>
      </c>
      <c r="FO44" s="5"/>
      <c r="FP44" s="25">
        <v>746</v>
      </c>
      <c r="FQ44" s="25">
        <v>1192</v>
      </c>
      <c r="FR44" s="25">
        <v>2051</v>
      </c>
      <c r="FS44" s="25">
        <f t="shared" ref="FS44:FS55" si="38">SUM(BT44:BW44)</f>
        <v>2082</v>
      </c>
      <c r="FT44" s="25">
        <f t="shared" ref="FT44:FT55" si="39">SUM(BX44:CA44)</f>
        <v>2252</v>
      </c>
      <c r="FU44" s="25">
        <f t="shared" si="17"/>
        <v>2227</v>
      </c>
      <c r="FV44" s="25">
        <f t="shared" si="16"/>
        <v>2094</v>
      </c>
      <c r="FW44" s="25">
        <f t="shared" si="26"/>
        <v>1774</v>
      </c>
      <c r="FX44" s="25">
        <f t="shared" ref="FX44:FX56" si="40">SUM(CN44:CQ44)</f>
        <v>1560</v>
      </c>
      <c r="FY44" s="25">
        <f t="shared" si="14"/>
        <v>1285</v>
      </c>
      <c r="FZ44" s="25">
        <f t="shared" si="31"/>
        <v>896</v>
      </c>
      <c r="GA44" s="25">
        <f t="shared" si="32"/>
        <v>674</v>
      </c>
      <c r="GB44" s="25">
        <f t="shared" si="33"/>
        <v>520</v>
      </c>
      <c r="GC44" s="25">
        <v>460</v>
      </c>
      <c r="GD44" s="126">
        <v>366</v>
      </c>
      <c r="GE44" s="126">
        <v>328</v>
      </c>
      <c r="GF44" s="126">
        <v>312</v>
      </c>
      <c r="GG44" s="126">
        <v>288</v>
      </c>
      <c r="GH44" s="126">
        <v>262</v>
      </c>
      <c r="GI44" s="126"/>
      <c r="GJ44" s="64"/>
      <c r="GK44" s="40"/>
      <c r="GL44" s="132"/>
      <c r="GM44" s="64"/>
      <c r="GN44" s="132">
        <f t="shared" si="27"/>
        <v>0</v>
      </c>
    </row>
    <row r="45" spans="2:196" s="26" customFormat="1" ht="13" x14ac:dyDescent="0.3">
      <c r="B45" s="15" t="s">
        <v>34</v>
      </c>
      <c r="C45" s="23"/>
      <c r="D45" s="23"/>
      <c r="E45" s="23"/>
      <c r="F45" s="23"/>
      <c r="G45" s="23"/>
      <c r="H45" s="23"/>
      <c r="I45" s="25">
        <v>680</v>
      </c>
      <c r="J45" s="25">
        <f>1403-I45</f>
        <v>723</v>
      </c>
      <c r="K45" s="25">
        <v>724</v>
      </c>
      <c r="L45" s="25">
        <f>1467-K45</f>
        <v>743</v>
      </c>
      <c r="M45" s="25">
        <v>807</v>
      </c>
      <c r="N45" s="25">
        <f>1637-M45</f>
        <v>830</v>
      </c>
      <c r="O45" s="25">
        <v>785</v>
      </c>
      <c r="P45" s="25">
        <f>SUM(CL45:CM45)</f>
        <v>850</v>
      </c>
      <c r="Q45" s="25">
        <f t="shared" si="35"/>
        <v>842</v>
      </c>
      <c r="R45" s="25">
        <f t="shared" si="36"/>
        <v>813</v>
      </c>
      <c r="S45" s="25">
        <v>869</v>
      </c>
      <c r="T45" s="25">
        <f t="shared" si="28"/>
        <v>776</v>
      </c>
      <c r="U45" s="25">
        <f t="shared" si="29"/>
        <v>695</v>
      </c>
      <c r="V45" s="25">
        <f t="shared" si="30"/>
        <v>743</v>
      </c>
      <c r="W45" s="25"/>
      <c r="X45" s="25"/>
      <c r="Y45" s="25"/>
      <c r="Z45" s="25"/>
      <c r="AA45" s="25">
        <v>582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>
        <f>335-BP45</f>
        <v>335</v>
      </c>
      <c r="BR45" s="25"/>
      <c r="BS45" s="93"/>
      <c r="BT45" s="66">
        <v>289</v>
      </c>
      <c r="BU45" s="66">
        <v>295</v>
      </c>
      <c r="BV45" s="66">
        <v>296</v>
      </c>
      <c r="BW45" s="66">
        <v>299</v>
      </c>
      <c r="BX45" s="66">
        <v>325</v>
      </c>
      <c r="BY45" s="66">
        <v>355</v>
      </c>
      <c r="BZ45" s="66">
        <v>350</v>
      </c>
      <c r="CA45" s="66">
        <v>373</v>
      </c>
      <c r="CB45" s="66">
        <v>350</v>
      </c>
      <c r="CC45" s="66">
        <v>374</v>
      </c>
      <c r="CD45" s="66">
        <v>350</v>
      </c>
      <c r="CE45" s="66">
        <v>393</v>
      </c>
      <c r="CF45" s="66">
        <v>400</v>
      </c>
      <c r="CG45" s="66">
        <v>407</v>
      </c>
      <c r="CH45" s="66">
        <v>383</v>
      </c>
      <c r="CI45" s="66">
        <v>447</v>
      </c>
      <c r="CJ45" s="66">
        <v>369</v>
      </c>
      <c r="CK45" s="66">
        <v>416</v>
      </c>
      <c r="CL45" s="66">
        <v>405</v>
      </c>
      <c r="CM45" s="66">
        <v>445</v>
      </c>
      <c r="CN45" s="66">
        <v>393</v>
      </c>
      <c r="CO45" s="66">
        <v>449</v>
      </c>
      <c r="CP45" s="66">
        <f>1280-CO45-CN45</f>
        <v>438</v>
      </c>
      <c r="CQ45" s="66">
        <v>375</v>
      </c>
      <c r="CR45" s="66">
        <v>441</v>
      </c>
      <c r="CS45" s="66">
        <f t="shared" si="37"/>
        <v>428</v>
      </c>
      <c r="CT45" s="66">
        <f>1253-CS45-CR45</f>
        <v>384</v>
      </c>
      <c r="CU45" s="66">
        <v>392</v>
      </c>
      <c r="CV45" s="66">
        <v>346</v>
      </c>
      <c r="CW45" s="66">
        <f>695-CV45</f>
        <v>349</v>
      </c>
      <c r="CX45" s="66">
        <v>356</v>
      </c>
      <c r="CY45" s="66">
        <v>387</v>
      </c>
      <c r="CZ45" s="66">
        <v>444</v>
      </c>
      <c r="DA45" s="66">
        <v>459</v>
      </c>
      <c r="DB45" s="66">
        <v>374</v>
      </c>
      <c r="DC45" s="66">
        <v>372</v>
      </c>
      <c r="DD45" s="66">
        <v>375</v>
      </c>
      <c r="DE45" s="66">
        <v>349</v>
      </c>
      <c r="DF45" s="66">
        <v>303</v>
      </c>
      <c r="DG45" s="66">
        <v>285</v>
      </c>
      <c r="DH45" s="66">
        <v>287</v>
      </c>
      <c r="DI45" s="66">
        <v>295</v>
      </c>
      <c r="DJ45" s="66">
        <v>229</v>
      </c>
      <c r="DK45" s="66">
        <v>204</v>
      </c>
      <c r="DL45" s="66">
        <v>168</v>
      </c>
      <c r="DM45" s="66">
        <v>117</v>
      </c>
      <c r="DN45" s="66">
        <v>120</v>
      </c>
      <c r="DO45" s="66">
        <v>133</v>
      </c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54">
        <f t="shared" si="20"/>
        <v>0</v>
      </c>
      <c r="EZ45" s="54"/>
      <c r="FA45" s="54"/>
      <c r="FB45" s="54"/>
      <c r="FC45" s="54"/>
      <c r="FD45" s="132"/>
      <c r="FE45" s="132"/>
      <c r="FF45" s="54"/>
      <c r="FG45" s="54"/>
      <c r="FH45" s="54"/>
      <c r="FI45" s="54"/>
      <c r="FJ45" s="54"/>
      <c r="FK45" s="66"/>
      <c r="FL45" s="66"/>
      <c r="FM45" s="5">
        <v>0</v>
      </c>
      <c r="FN45" s="5"/>
      <c r="FO45" s="5"/>
      <c r="FP45" s="25">
        <v>0</v>
      </c>
      <c r="FQ45" s="25">
        <v>94</v>
      </c>
      <c r="FR45" s="25">
        <v>719</v>
      </c>
      <c r="FS45" s="25">
        <f t="shared" si="38"/>
        <v>1179</v>
      </c>
      <c r="FT45" s="25">
        <f t="shared" si="39"/>
        <v>1403</v>
      </c>
      <c r="FU45" s="25">
        <f t="shared" si="17"/>
        <v>1467</v>
      </c>
      <c r="FV45" s="25">
        <f>SUM(M45:N45)</f>
        <v>1637</v>
      </c>
      <c r="FW45" s="25">
        <f t="shared" si="26"/>
        <v>1635</v>
      </c>
      <c r="FX45" s="25">
        <f t="shared" si="40"/>
        <v>1655</v>
      </c>
      <c r="FY45" s="25">
        <f t="shared" si="14"/>
        <v>1645</v>
      </c>
      <c r="FZ45" s="25">
        <f t="shared" si="31"/>
        <v>1438</v>
      </c>
      <c r="GA45" s="25">
        <f t="shared" si="32"/>
        <v>1649</v>
      </c>
      <c r="GB45" s="25">
        <f t="shared" si="33"/>
        <v>1312</v>
      </c>
      <c r="GC45" s="25">
        <v>1015</v>
      </c>
      <c r="GD45" s="126">
        <v>538</v>
      </c>
      <c r="GE45" s="126">
        <v>259</v>
      </c>
      <c r="GF45" s="126"/>
      <c r="GG45" s="126"/>
      <c r="GH45" s="126"/>
      <c r="GI45" s="126"/>
      <c r="GJ45" s="64"/>
      <c r="GK45" s="40"/>
      <c r="GL45" s="132"/>
      <c r="GM45" s="64"/>
      <c r="GN45" s="132">
        <f t="shared" si="27"/>
        <v>0</v>
      </c>
    </row>
    <row r="46" spans="2:196" s="26" customFormat="1" ht="13" x14ac:dyDescent="0.3">
      <c r="B46" s="3" t="s">
        <v>925</v>
      </c>
      <c r="C46" s="23"/>
      <c r="D46" s="23"/>
      <c r="E46" s="23"/>
      <c r="F46" s="23"/>
      <c r="G46" s="23"/>
      <c r="H46" s="23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>
        <v>0</v>
      </c>
      <c r="BJ46" s="25">
        <v>0</v>
      </c>
      <c r="BK46" s="25">
        <v>0</v>
      </c>
      <c r="BL46" s="25"/>
      <c r="BM46" s="25"/>
      <c r="BN46" s="25"/>
      <c r="BO46" s="25"/>
      <c r="BP46" s="25"/>
      <c r="BQ46" s="25"/>
      <c r="BR46" s="25"/>
      <c r="BS46" s="93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>
        <f>10-EV46</f>
        <v>10</v>
      </c>
      <c r="EX46" s="66">
        <f>15-EW46-EV46</f>
        <v>5</v>
      </c>
      <c r="EY46" s="54">
        <f>+GM46-EX46-EW46-EV46</f>
        <v>3</v>
      </c>
      <c r="EZ46" s="54">
        <v>35</v>
      </c>
      <c r="FA46" s="54">
        <v>1</v>
      </c>
      <c r="FB46" s="54">
        <v>3</v>
      </c>
      <c r="FC46" s="54">
        <v>2</v>
      </c>
      <c r="FD46" s="132">
        <v>20</v>
      </c>
      <c r="FE46" s="132">
        <v>2</v>
      </c>
      <c r="FF46" s="54"/>
      <c r="FG46" s="54"/>
      <c r="FH46" s="54"/>
      <c r="FI46" s="54"/>
      <c r="FJ46" s="54"/>
      <c r="FK46" s="66"/>
      <c r="FL46" s="66"/>
      <c r="FM46" s="5">
        <v>0</v>
      </c>
      <c r="FN46" s="5">
        <v>0</v>
      </c>
      <c r="FO46" s="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126"/>
      <c r="GE46" s="126"/>
      <c r="GF46" s="126"/>
      <c r="GG46" s="126"/>
      <c r="GH46" s="126"/>
      <c r="GI46" s="126"/>
      <c r="GJ46" s="64"/>
      <c r="GK46" s="40"/>
      <c r="GL46" s="132"/>
      <c r="GM46" s="132">
        <v>18</v>
      </c>
      <c r="GN46" s="132">
        <f t="shared" si="27"/>
        <v>41</v>
      </c>
    </row>
    <row r="47" spans="2:196" s="26" customFormat="1" ht="13" x14ac:dyDescent="0.3">
      <c r="B47" s="15" t="s">
        <v>31</v>
      </c>
      <c r="C47" s="23"/>
      <c r="D47" s="23"/>
      <c r="E47" s="23"/>
      <c r="F47" s="23"/>
      <c r="G47" s="23"/>
      <c r="H47" s="23"/>
      <c r="I47" s="25">
        <v>355</v>
      </c>
      <c r="J47" s="25">
        <f>796-I47</f>
        <v>441</v>
      </c>
      <c r="K47" s="25">
        <v>472</v>
      </c>
      <c r="L47" s="25">
        <f>971-K47</f>
        <v>499</v>
      </c>
      <c r="M47" s="25">
        <v>549</v>
      </c>
      <c r="N47" s="25">
        <f>1151-M47</f>
        <v>602</v>
      </c>
      <c r="O47" s="25">
        <v>573</v>
      </c>
      <c r="P47" s="25">
        <f t="shared" si="34"/>
        <v>638</v>
      </c>
      <c r="Q47" s="25">
        <f t="shared" si="35"/>
        <v>626</v>
      </c>
      <c r="R47" s="25">
        <f t="shared" si="36"/>
        <v>634</v>
      </c>
      <c r="S47" s="25">
        <v>732</v>
      </c>
      <c r="T47" s="25">
        <f t="shared" si="28"/>
        <v>694</v>
      </c>
      <c r="U47" s="25">
        <f t="shared" si="29"/>
        <v>668</v>
      </c>
      <c r="V47" s="25">
        <f t="shared" si="30"/>
        <v>686</v>
      </c>
      <c r="W47" s="25"/>
      <c r="X47" s="25"/>
      <c r="Y47" s="25"/>
      <c r="Z47" s="25"/>
      <c r="AA47" s="25">
        <v>474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>
        <v>0</v>
      </c>
      <c r="BJ47" s="25">
        <v>0</v>
      </c>
      <c r="BK47" s="25">
        <v>0</v>
      </c>
      <c r="BL47" s="25"/>
      <c r="BM47" s="25">
        <f>213-BL47</f>
        <v>213</v>
      </c>
      <c r="BN47" s="25">
        <v>119</v>
      </c>
      <c r="BO47" s="25">
        <v>112</v>
      </c>
      <c r="BP47" s="25">
        <v>133</v>
      </c>
      <c r="BQ47" s="25">
        <f>280-BP47</f>
        <v>147</v>
      </c>
      <c r="BR47" s="25">
        <f>409-BQ47-BP47</f>
        <v>129</v>
      </c>
      <c r="BS47" s="66">
        <f>+FR47-BR47-BQ47-BP47</f>
        <v>106</v>
      </c>
      <c r="BT47" s="66">
        <v>115</v>
      </c>
      <c r="BU47" s="66">
        <v>128</v>
      </c>
      <c r="BV47" s="66">
        <v>145</v>
      </c>
      <c r="BW47" s="66">
        <v>146</v>
      </c>
      <c r="BX47" s="66">
        <v>165</v>
      </c>
      <c r="BY47" s="66">
        <v>190</v>
      </c>
      <c r="BZ47" s="66">
        <v>213</v>
      </c>
      <c r="CA47" s="66">
        <v>228</v>
      </c>
      <c r="CB47" s="66">
        <v>238</v>
      </c>
      <c r="CC47" s="66">
        <v>234</v>
      </c>
      <c r="CD47" s="66">
        <v>239</v>
      </c>
      <c r="CE47" s="66">
        <v>260</v>
      </c>
      <c r="CF47" s="66">
        <v>267</v>
      </c>
      <c r="CG47" s="66">
        <v>282</v>
      </c>
      <c r="CH47" s="66">
        <v>290</v>
      </c>
      <c r="CI47" s="66">
        <v>312</v>
      </c>
      <c r="CJ47" s="66">
        <v>281</v>
      </c>
      <c r="CK47" s="66">
        <v>292</v>
      </c>
      <c r="CL47" s="66">
        <v>307</v>
      </c>
      <c r="CM47" s="66">
        <v>331</v>
      </c>
      <c r="CN47" s="66">
        <v>296</v>
      </c>
      <c r="CO47" s="66">
        <v>330</v>
      </c>
      <c r="CP47" s="66">
        <f>952-CO47-CN47</f>
        <v>326</v>
      </c>
      <c r="CQ47" s="66">
        <v>308</v>
      </c>
      <c r="CR47" s="66">
        <v>352</v>
      </c>
      <c r="CS47" s="66">
        <f t="shared" si="37"/>
        <v>380</v>
      </c>
      <c r="CT47" s="66">
        <f>1093-CS47-CR47</f>
        <v>361</v>
      </c>
      <c r="CU47" s="66">
        <v>333</v>
      </c>
      <c r="CV47" s="66">
        <v>342</v>
      </c>
      <c r="CW47" s="66">
        <f>668-CV47</f>
        <v>326</v>
      </c>
      <c r="CX47" s="66">
        <v>333</v>
      </c>
      <c r="CY47" s="66">
        <v>353</v>
      </c>
      <c r="CZ47" s="66">
        <v>382</v>
      </c>
      <c r="DA47" s="66">
        <v>381</v>
      </c>
      <c r="DB47" s="66">
        <v>386</v>
      </c>
      <c r="DC47" s="66">
        <v>374</v>
      </c>
      <c r="DD47" s="66">
        <v>383</v>
      </c>
      <c r="DE47" s="66">
        <v>388</v>
      </c>
      <c r="DF47" s="66">
        <v>393</v>
      </c>
      <c r="DG47" s="66">
        <v>345</v>
      </c>
      <c r="DH47" s="66">
        <v>293</v>
      </c>
      <c r="DI47" s="66">
        <v>181</v>
      </c>
      <c r="DJ47" s="66">
        <v>149</v>
      </c>
      <c r="DK47" s="66">
        <v>153</v>
      </c>
      <c r="DL47" s="66">
        <v>136</v>
      </c>
      <c r="DM47" s="66">
        <v>124</v>
      </c>
      <c r="DN47" s="66">
        <v>124</v>
      </c>
      <c r="DO47" s="66">
        <v>129</v>
      </c>
      <c r="DP47" s="66">
        <v>111</v>
      </c>
      <c r="DQ47" s="66">
        <v>119</v>
      </c>
      <c r="DR47" s="66">
        <f>350-DQ47-DP47</f>
        <v>120</v>
      </c>
      <c r="DS47" s="66">
        <v>156</v>
      </c>
      <c r="DT47" s="66">
        <f>229-DU47</f>
        <v>104</v>
      </c>
      <c r="DU47" s="66">
        <v>125</v>
      </c>
      <c r="DV47" s="66">
        <v>112</v>
      </c>
      <c r="DW47" s="66">
        <v>112</v>
      </c>
      <c r="DX47" s="66">
        <v>102</v>
      </c>
      <c r="DY47" s="66">
        <v>114</v>
      </c>
      <c r="DZ47" s="66">
        <v>110</v>
      </c>
      <c r="EA47" s="66">
        <v>101</v>
      </c>
      <c r="EB47" s="66">
        <v>108</v>
      </c>
      <c r="EC47" s="66">
        <v>108</v>
      </c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54">
        <f t="shared" si="20"/>
        <v>0</v>
      </c>
      <c r="EZ47" s="54"/>
      <c r="FA47" s="54"/>
      <c r="FB47" s="54"/>
      <c r="FC47" s="54"/>
      <c r="FD47" s="132"/>
      <c r="FE47" s="132"/>
      <c r="FF47" s="54"/>
      <c r="FG47" s="54"/>
      <c r="FH47" s="54"/>
      <c r="FI47" s="54"/>
      <c r="FJ47" s="54"/>
      <c r="FK47" s="66"/>
      <c r="FL47" s="66"/>
      <c r="FM47" s="5">
        <v>0</v>
      </c>
      <c r="FN47" s="5">
        <v>0</v>
      </c>
      <c r="FO47" s="5"/>
      <c r="FP47" s="25">
        <v>260</v>
      </c>
      <c r="FQ47" s="25">
        <v>444</v>
      </c>
      <c r="FR47" s="25">
        <v>515</v>
      </c>
      <c r="FS47" s="25">
        <f t="shared" si="38"/>
        <v>534</v>
      </c>
      <c r="FT47" s="25">
        <f t="shared" si="39"/>
        <v>796</v>
      </c>
      <c r="FU47" s="25">
        <f t="shared" si="17"/>
        <v>971</v>
      </c>
      <c r="FV47" s="25">
        <f t="shared" si="16"/>
        <v>1151</v>
      </c>
      <c r="FW47" s="25">
        <f t="shared" si="26"/>
        <v>1211</v>
      </c>
      <c r="FX47" s="25">
        <f t="shared" si="40"/>
        <v>1260</v>
      </c>
      <c r="FY47" s="25">
        <f t="shared" si="14"/>
        <v>1426</v>
      </c>
      <c r="FZ47" s="25">
        <f t="shared" si="31"/>
        <v>1354</v>
      </c>
      <c r="GA47" s="25">
        <f t="shared" si="32"/>
        <v>1523</v>
      </c>
      <c r="GB47" s="25">
        <f t="shared" si="33"/>
        <v>1509</v>
      </c>
      <c r="GC47" s="25">
        <v>776</v>
      </c>
      <c r="GD47" s="126">
        <v>513</v>
      </c>
      <c r="GE47" s="126">
        <v>506</v>
      </c>
      <c r="GF47" s="126">
        <v>453</v>
      </c>
      <c r="GG47" s="126">
        <v>427</v>
      </c>
      <c r="GH47" s="126">
        <v>406</v>
      </c>
      <c r="GI47" s="126">
        <v>301</v>
      </c>
      <c r="GJ47" s="126">
        <v>194</v>
      </c>
      <c r="GK47" s="40"/>
      <c r="GL47" s="132"/>
      <c r="GM47" s="64"/>
      <c r="GN47" s="132">
        <f t="shared" si="27"/>
        <v>0</v>
      </c>
    </row>
    <row r="48" spans="2:196" s="26" customFormat="1" ht="13" x14ac:dyDescent="0.3">
      <c r="B48" s="15" t="s">
        <v>25</v>
      </c>
      <c r="C48" s="23"/>
      <c r="D48" s="23"/>
      <c r="E48" s="23"/>
      <c r="F48" s="23"/>
      <c r="G48" s="23"/>
      <c r="H48" s="23"/>
      <c r="I48" s="25">
        <v>145</v>
      </c>
      <c r="J48" s="25">
        <f>387-I48</f>
        <v>242</v>
      </c>
      <c r="K48" s="25">
        <v>367</v>
      </c>
      <c r="L48" s="25">
        <f>813-K48</f>
        <v>446</v>
      </c>
      <c r="M48" s="25">
        <v>503</v>
      </c>
      <c r="N48" s="25">
        <f>1062-M48</f>
        <v>559</v>
      </c>
      <c r="O48" s="25">
        <v>587</v>
      </c>
      <c r="P48" s="25">
        <f t="shared" si="34"/>
        <v>628</v>
      </c>
      <c r="Q48" s="25">
        <f t="shared" si="35"/>
        <v>643</v>
      </c>
      <c r="R48" s="25">
        <f t="shared" si="36"/>
        <v>661</v>
      </c>
      <c r="S48" s="25">
        <v>674</v>
      </c>
      <c r="T48" s="25">
        <f t="shared" si="28"/>
        <v>651</v>
      </c>
      <c r="U48" s="25">
        <f t="shared" si="29"/>
        <v>614</v>
      </c>
      <c r="V48" s="25">
        <f t="shared" si="30"/>
        <v>637</v>
      </c>
      <c r="W48" s="25"/>
      <c r="X48" s="25"/>
      <c r="Y48" s="25"/>
      <c r="Z48" s="25"/>
      <c r="AA48" s="25">
        <v>651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>
        <v>0</v>
      </c>
      <c r="BJ48" s="25">
        <v>0</v>
      </c>
      <c r="BK48" s="25">
        <v>0</v>
      </c>
      <c r="BL48" s="25"/>
      <c r="BM48" s="25"/>
      <c r="BN48" s="25"/>
      <c r="BO48" s="25"/>
      <c r="BP48" s="25"/>
      <c r="BQ48" s="25"/>
      <c r="BR48" s="25"/>
      <c r="BS48" s="93"/>
      <c r="BT48" s="93">
        <v>0</v>
      </c>
      <c r="BU48" s="66">
        <v>0</v>
      </c>
      <c r="BV48" s="66">
        <v>0</v>
      </c>
      <c r="BW48" s="66">
        <v>17</v>
      </c>
      <c r="BX48" s="66">
        <v>57</v>
      </c>
      <c r="BY48" s="66">
        <v>88</v>
      </c>
      <c r="BZ48" s="66">
        <v>101</v>
      </c>
      <c r="CA48" s="66">
        <v>141</v>
      </c>
      <c r="CB48" s="66">
        <v>172</v>
      </c>
      <c r="CC48" s="66">
        <v>195</v>
      </c>
      <c r="CD48" s="66">
        <v>211</v>
      </c>
      <c r="CE48" s="66">
        <v>235</v>
      </c>
      <c r="CF48" s="66">
        <v>243</v>
      </c>
      <c r="CG48" s="66">
        <v>260</v>
      </c>
      <c r="CH48" s="66">
        <v>271</v>
      </c>
      <c r="CI48" s="66">
        <v>288</v>
      </c>
      <c r="CJ48" s="66">
        <v>286</v>
      </c>
      <c r="CK48" s="66">
        <v>301</v>
      </c>
      <c r="CL48" s="66">
        <v>298</v>
      </c>
      <c r="CM48" s="66">
        <v>330</v>
      </c>
      <c r="CN48" s="66">
        <v>320</v>
      </c>
      <c r="CO48" s="66">
        <v>323</v>
      </c>
      <c r="CP48" s="66">
        <f>962-CO48-CN48</f>
        <v>319</v>
      </c>
      <c r="CQ48" s="66">
        <v>342</v>
      </c>
      <c r="CR48" s="66">
        <v>326</v>
      </c>
      <c r="CS48" s="66">
        <f t="shared" si="37"/>
        <v>348</v>
      </c>
      <c r="CT48" s="66">
        <f>1005-CS48-CR48</f>
        <v>331</v>
      </c>
      <c r="CU48" s="66">
        <v>320</v>
      </c>
      <c r="CV48" s="66">
        <v>317</v>
      </c>
      <c r="CW48" s="66">
        <f>614-CV48</f>
        <v>297</v>
      </c>
      <c r="CX48" s="66">
        <v>307</v>
      </c>
      <c r="CY48" s="66">
        <v>330</v>
      </c>
      <c r="CZ48" s="66">
        <v>337</v>
      </c>
      <c r="DA48" s="66">
        <v>329</v>
      </c>
      <c r="DB48" s="66">
        <v>323</v>
      </c>
      <c r="DC48" s="66">
        <v>325</v>
      </c>
      <c r="DD48" s="66">
        <v>336</v>
      </c>
      <c r="DE48" s="66">
        <v>355</v>
      </c>
      <c r="DF48" s="66">
        <v>327</v>
      </c>
      <c r="DG48" s="66">
        <v>321</v>
      </c>
      <c r="DH48" s="66">
        <v>304</v>
      </c>
      <c r="DI48" s="66">
        <v>347</v>
      </c>
      <c r="DJ48" s="66">
        <v>320</v>
      </c>
      <c r="DK48" s="66">
        <v>321</v>
      </c>
      <c r="DL48" s="66">
        <v>295</v>
      </c>
      <c r="DM48" s="66">
        <v>307</v>
      </c>
      <c r="DN48" s="66">
        <v>292</v>
      </c>
      <c r="DO48" s="66">
        <v>287</v>
      </c>
      <c r="DP48" s="66">
        <v>258</v>
      </c>
      <c r="DQ48" s="66">
        <v>262</v>
      </c>
      <c r="DR48" s="66">
        <f>765-DQ48-DP48</f>
        <v>245</v>
      </c>
      <c r="DS48" s="66">
        <v>259</v>
      </c>
      <c r="DT48" s="66">
        <f>436-DU48</f>
        <v>211</v>
      </c>
      <c r="DU48" s="66">
        <v>225</v>
      </c>
      <c r="DV48" s="66">
        <v>202</v>
      </c>
      <c r="DW48" s="66">
        <v>205</v>
      </c>
      <c r="DX48" s="66">
        <v>141</v>
      </c>
      <c r="DY48" s="66">
        <v>157</v>
      </c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54">
        <f t="shared" si="20"/>
        <v>0</v>
      </c>
      <c r="EZ48" s="54"/>
      <c r="FA48" s="54"/>
      <c r="FB48" s="54"/>
      <c r="FC48" s="54"/>
      <c r="FD48" s="132"/>
      <c r="FE48" s="132"/>
      <c r="FF48" s="54"/>
      <c r="FG48" s="54"/>
      <c r="FH48" s="54"/>
      <c r="FI48" s="54"/>
      <c r="FJ48" s="54"/>
      <c r="FK48" s="66"/>
      <c r="FL48" s="66"/>
      <c r="FM48" s="5">
        <v>0</v>
      </c>
      <c r="FN48" s="5">
        <v>0</v>
      </c>
      <c r="FO48" s="5"/>
      <c r="FP48" s="25">
        <v>0</v>
      </c>
      <c r="FQ48" s="25">
        <v>0</v>
      </c>
      <c r="FR48" s="25">
        <v>0</v>
      </c>
      <c r="FS48" s="25">
        <f t="shared" si="38"/>
        <v>17</v>
      </c>
      <c r="FT48" s="25">
        <f t="shared" si="39"/>
        <v>387</v>
      </c>
      <c r="FU48" s="25">
        <f t="shared" si="17"/>
        <v>813</v>
      </c>
      <c r="FV48" s="25">
        <f t="shared" si="16"/>
        <v>1062</v>
      </c>
      <c r="FW48" s="25">
        <f t="shared" si="26"/>
        <v>1215</v>
      </c>
      <c r="FX48" s="25">
        <f t="shared" si="40"/>
        <v>1304</v>
      </c>
      <c r="FY48" s="25">
        <f t="shared" si="14"/>
        <v>1325</v>
      </c>
      <c r="FZ48" s="25">
        <f t="shared" si="31"/>
        <v>1251</v>
      </c>
      <c r="GA48" s="25">
        <f t="shared" si="32"/>
        <v>1314</v>
      </c>
      <c r="GB48" s="25">
        <f t="shared" si="33"/>
        <v>1339</v>
      </c>
      <c r="GC48" s="25">
        <v>1292</v>
      </c>
      <c r="GD48" s="126">
        <v>1181</v>
      </c>
      <c r="GE48" s="126">
        <v>1024</v>
      </c>
      <c r="GF48" s="126">
        <v>843</v>
      </c>
      <c r="GG48" s="126">
        <v>538</v>
      </c>
      <c r="GH48" s="126">
        <v>298</v>
      </c>
      <c r="GI48" s="126"/>
      <c r="GJ48" s="64"/>
      <c r="GK48" s="40"/>
      <c r="GL48" s="132"/>
      <c r="GM48" s="64"/>
      <c r="GN48" s="132">
        <f t="shared" si="27"/>
        <v>0</v>
      </c>
    </row>
    <row r="49" spans="2:204" s="26" customFormat="1" ht="13" x14ac:dyDescent="0.3">
      <c r="B49" s="15" t="s">
        <v>140</v>
      </c>
      <c r="C49" s="23"/>
      <c r="D49" s="23"/>
      <c r="E49" s="23"/>
      <c r="F49" s="23"/>
      <c r="G49" s="23"/>
      <c r="H49" s="23"/>
      <c r="I49" s="25">
        <v>21</v>
      </c>
      <c r="J49" s="25">
        <f>BZ49+CA49</f>
        <v>65</v>
      </c>
      <c r="K49" s="25">
        <v>167</v>
      </c>
      <c r="L49" s="25">
        <f>488-K49</f>
        <v>321</v>
      </c>
      <c r="M49" s="25">
        <v>374</v>
      </c>
      <c r="N49" s="25">
        <f>887-M49</f>
        <v>513</v>
      </c>
      <c r="O49" s="25">
        <v>507</v>
      </c>
      <c r="P49" s="25">
        <f>SUM(CL49:CM49)</f>
        <v>601</v>
      </c>
      <c r="Q49" s="25">
        <f t="shared" si="35"/>
        <v>525</v>
      </c>
      <c r="R49" s="25">
        <f t="shared" si="36"/>
        <v>533</v>
      </c>
      <c r="S49" s="25">
        <v>544</v>
      </c>
      <c r="T49" s="25">
        <f t="shared" si="28"/>
        <v>469</v>
      </c>
      <c r="U49" s="25">
        <f t="shared" si="29"/>
        <v>394</v>
      </c>
      <c r="V49" s="25">
        <f t="shared" si="30"/>
        <v>302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>
        <v>0</v>
      </c>
      <c r="BJ49" s="25">
        <v>0</v>
      </c>
      <c r="BK49" s="25">
        <v>0</v>
      </c>
      <c r="BL49" s="25"/>
      <c r="BM49" s="25"/>
      <c r="BN49" s="25"/>
      <c r="BO49" s="25"/>
      <c r="BP49" s="25"/>
      <c r="BQ49" s="25"/>
      <c r="BR49" s="25"/>
      <c r="BS49" s="93"/>
      <c r="BT49" s="66">
        <v>0</v>
      </c>
      <c r="BU49" s="66">
        <v>0</v>
      </c>
      <c r="BV49" s="66">
        <v>0</v>
      </c>
      <c r="BW49" s="66">
        <v>0</v>
      </c>
      <c r="BX49" s="66">
        <v>0</v>
      </c>
      <c r="BY49" s="66">
        <v>21</v>
      </c>
      <c r="BZ49" s="66">
        <v>14</v>
      </c>
      <c r="CA49" s="66">
        <v>51</v>
      </c>
      <c r="CB49" s="66">
        <v>75</v>
      </c>
      <c r="CC49" s="66">
        <v>92</v>
      </c>
      <c r="CD49" s="66">
        <v>142</v>
      </c>
      <c r="CE49" s="66">
        <v>179</v>
      </c>
      <c r="CF49" s="66">
        <v>170</v>
      </c>
      <c r="CG49" s="66">
        <v>204</v>
      </c>
      <c r="CH49" s="66">
        <v>230</v>
      </c>
      <c r="CI49" s="66">
        <v>283</v>
      </c>
      <c r="CJ49" s="66">
        <v>241</v>
      </c>
      <c r="CK49" s="66">
        <v>266</v>
      </c>
      <c r="CL49" s="66">
        <v>268</v>
      </c>
      <c r="CM49" s="66">
        <v>333</v>
      </c>
      <c r="CN49" s="66">
        <v>249</v>
      </c>
      <c r="CO49" s="66">
        <v>276</v>
      </c>
      <c r="CP49" s="66">
        <v>255</v>
      </c>
      <c r="CQ49" s="66">
        <v>278</v>
      </c>
      <c r="CR49" s="66">
        <v>277</v>
      </c>
      <c r="CS49" s="66">
        <f t="shared" si="37"/>
        <v>267</v>
      </c>
      <c r="CT49" s="66">
        <f>790-CS49-CR49</f>
        <v>246</v>
      </c>
      <c r="CU49" s="66">
        <v>223</v>
      </c>
      <c r="CV49" s="66">
        <v>212</v>
      </c>
      <c r="CW49" s="66">
        <f>394-CV49</f>
        <v>182</v>
      </c>
      <c r="CX49" s="66">
        <v>157</v>
      </c>
      <c r="CY49" s="66">
        <v>145</v>
      </c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54">
        <f t="shared" si="20"/>
        <v>0</v>
      </c>
      <c r="EZ49" s="54"/>
      <c r="FA49" s="54"/>
      <c r="FB49" s="54"/>
      <c r="FC49" s="54"/>
      <c r="FD49" s="132"/>
      <c r="FE49" s="132"/>
      <c r="FF49" s="54"/>
      <c r="FG49" s="54"/>
      <c r="FH49" s="54"/>
      <c r="FI49" s="54"/>
      <c r="FJ49" s="54"/>
      <c r="FK49" s="66"/>
      <c r="FL49" s="66"/>
      <c r="FM49" s="5">
        <v>0</v>
      </c>
      <c r="FN49" s="5">
        <v>0</v>
      </c>
      <c r="FO49" s="5"/>
      <c r="FP49" s="25">
        <v>0</v>
      </c>
      <c r="FQ49" s="25">
        <v>0</v>
      </c>
      <c r="FR49" s="25">
        <v>0</v>
      </c>
      <c r="FS49" s="25">
        <f t="shared" si="38"/>
        <v>0</v>
      </c>
      <c r="FT49" s="25">
        <f t="shared" si="39"/>
        <v>86</v>
      </c>
      <c r="FU49" s="25">
        <f t="shared" ref="FU49:FU55" si="41">SUM(K49:L49)</f>
        <v>488</v>
      </c>
      <c r="FV49" s="25">
        <f>SUM(M49:N49)</f>
        <v>887</v>
      </c>
      <c r="FW49" s="25">
        <f t="shared" ref="FW49:FW56" si="42">SUM(CJ49:CM49)</f>
        <v>1108</v>
      </c>
      <c r="FX49" s="25">
        <f t="shared" si="40"/>
        <v>1058</v>
      </c>
      <c r="FY49" s="25">
        <f t="shared" si="14"/>
        <v>1013</v>
      </c>
      <c r="FZ49" s="25">
        <f t="shared" si="31"/>
        <v>696</v>
      </c>
      <c r="GA49" s="25"/>
      <c r="GB49" s="25"/>
      <c r="GC49" s="25"/>
      <c r="GD49" s="126"/>
      <c r="GE49" s="126"/>
      <c r="GF49" s="126"/>
      <c r="GG49" s="126"/>
      <c r="GH49" s="126"/>
      <c r="GI49" s="126"/>
      <c r="GJ49" s="64"/>
      <c r="GK49" s="40"/>
      <c r="GL49" s="132"/>
      <c r="GM49" s="64"/>
      <c r="GN49" s="132">
        <f t="shared" si="27"/>
        <v>0</v>
      </c>
    </row>
    <row r="50" spans="2:204" s="26" customFormat="1" ht="13" x14ac:dyDescent="0.3">
      <c r="B50" s="15" t="s">
        <v>33</v>
      </c>
      <c r="C50" s="23"/>
      <c r="D50" s="23"/>
      <c r="E50" s="23"/>
      <c r="F50" s="23"/>
      <c r="G50" s="23"/>
      <c r="H50" s="23"/>
      <c r="I50" s="25">
        <v>580</v>
      </c>
      <c r="J50" s="25">
        <f>1558-I50</f>
        <v>978</v>
      </c>
      <c r="K50" s="25">
        <v>961</v>
      </c>
      <c r="L50" s="25">
        <f>2627-K50</f>
        <v>1666</v>
      </c>
      <c r="M50" s="25">
        <v>1316</v>
      </c>
      <c r="N50" s="25">
        <f>2085-M50</f>
        <v>769</v>
      </c>
      <c r="O50" s="25">
        <v>327</v>
      </c>
      <c r="P50" s="25">
        <f>SUM(CL50:CM50)</f>
        <v>282</v>
      </c>
      <c r="Q50" s="25">
        <f t="shared" si="35"/>
        <v>1010</v>
      </c>
      <c r="R50" s="25">
        <f t="shared" si="36"/>
        <v>2190</v>
      </c>
      <c r="S50" s="25">
        <v>710</v>
      </c>
      <c r="T50" s="25">
        <f t="shared" si="28"/>
        <v>163</v>
      </c>
      <c r="U50" s="25">
        <f t="shared" si="29"/>
        <v>262</v>
      </c>
      <c r="V50" s="25">
        <f t="shared" si="30"/>
        <v>97</v>
      </c>
      <c r="W50" s="25"/>
      <c r="X50" s="25"/>
      <c r="Y50" s="25"/>
      <c r="Z50" s="25"/>
      <c r="AA50" s="25">
        <v>372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>
        <v>0</v>
      </c>
      <c r="BJ50" s="25">
        <v>0</v>
      </c>
      <c r="BK50" s="25">
        <v>0</v>
      </c>
      <c r="BL50" s="25"/>
      <c r="BM50" s="25"/>
      <c r="BN50" s="25"/>
      <c r="BO50" s="25"/>
      <c r="BP50" s="25"/>
      <c r="BQ50" s="25">
        <f>114-BP50</f>
        <v>114</v>
      </c>
      <c r="BR50" s="25"/>
      <c r="BS50" s="93"/>
      <c r="BT50" s="66">
        <v>108</v>
      </c>
      <c r="BU50" s="66">
        <v>19</v>
      </c>
      <c r="BV50" s="66">
        <v>110</v>
      </c>
      <c r="BW50" s="66">
        <v>93</v>
      </c>
      <c r="BX50" s="66">
        <v>424</v>
      </c>
      <c r="BY50" s="66">
        <v>156</v>
      </c>
      <c r="BZ50" s="66">
        <v>279</v>
      </c>
      <c r="CA50" s="66">
        <v>699</v>
      </c>
      <c r="CB50" s="66">
        <v>601</v>
      </c>
      <c r="CC50" s="66">
        <v>360</v>
      </c>
      <c r="CD50" s="66">
        <v>669</v>
      </c>
      <c r="CE50" s="66">
        <v>997</v>
      </c>
      <c r="CF50" s="66">
        <v>865</v>
      </c>
      <c r="CG50" s="66">
        <v>451</v>
      </c>
      <c r="CH50" s="66">
        <v>257</v>
      </c>
      <c r="CI50" s="66">
        <v>512</v>
      </c>
      <c r="CJ50" s="66">
        <v>278</v>
      </c>
      <c r="CK50" s="66">
        <v>49</v>
      </c>
      <c r="CL50" s="66">
        <v>101</v>
      </c>
      <c r="CM50" s="66">
        <v>181</v>
      </c>
      <c r="CN50" s="66">
        <v>401</v>
      </c>
      <c r="CO50" s="66">
        <v>609</v>
      </c>
      <c r="CP50" s="66">
        <f>2004-CO50-CN50</f>
        <v>994</v>
      </c>
      <c r="CQ50" s="66">
        <v>1196</v>
      </c>
      <c r="CR50" s="66">
        <v>517</v>
      </c>
      <c r="CS50" s="66">
        <f t="shared" si="37"/>
        <v>193</v>
      </c>
      <c r="CT50" s="66">
        <f>808-CS50-CR50</f>
        <v>98</v>
      </c>
      <c r="CU50" s="66">
        <v>65</v>
      </c>
      <c r="CV50" s="66">
        <v>252</v>
      </c>
      <c r="CW50" s="66">
        <f>262-CV50</f>
        <v>10</v>
      </c>
      <c r="CX50" s="66">
        <v>39</v>
      </c>
      <c r="CY50" s="66">
        <v>58</v>
      </c>
      <c r="CZ50" s="66">
        <v>187</v>
      </c>
      <c r="DA50" s="66">
        <v>34</v>
      </c>
      <c r="DB50" s="66">
        <v>20</v>
      </c>
      <c r="DC50" s="66">
        <v>319</v>
      </c>
      <c r="DD50" s="66">
        <v>335</v>
      </c>
      <c r="DE50" s="66">
        <v>45</v>
      </c>
      <c r="DF50" s="66">
        <v>34</v>
      </c>
      <c r="DG50" s="66">
        <v>221</v>
      </c>
      <c r="DH50" s="66">
        <v>344</v>
      </c>
      <c r="DI50" s="66">
        <v>28</v>
      </c>
      <c r="DJ50" s="66">
        <v>80</v>
      </c>
      <c r="DK50" s="66">
        <v>507</v>
      </c>
      <c r="DL50" s="66">
        <v>376</v>
      </c>
      <c r="DM50" s="66">
        <v>41</v>
      </c>
      <c r="DN50" s="66">
        <v>118</v>
      </c>
      <c r="DO50" s="66">
        <v>170</v>
      </c>
      <c r="DP50" s="66">
        <v>367</v>
      </c>
      <c r="DQ50" s="66">
        <v>43</v>
      </c>
      <c r="DR50" s="66">
        <f>503-DQ50-DP50</f>
        <v>93</v>
      </c>
      <c r="DS50" s="66">
        <v>291</v>
      </c>
      <c r="DT50" s="66">
        <f>364-DU50</f>
        <v>270</v>
      </c>
      <c r="DU50" s="66">
        <v>94</v>
      </c>
      <c r="DV50" s="66">
        <v>33</v>
      </c>
      <c r="DW50" s="66">
        <v>138</v>
      </c>
      <c r="DX50" s="66">
        <v>292</v>
      </c>
      <c r="DY50" s="66">
        <v>28</v>
      </c>
      <c r="DZ50" s="66">
        <v>13</v>
      </c>
      <c r="EA50" s="66">
        <v>45</v>
      </c>
      <c r="EB50" s="66">
        <v>179</v>
      </c>
      <c r="EC50" s="66">
        <v>48</v>
      </c>
      <c r="ED50" s="66">
        <v>59</v>
      </c>
      <c r="EE50" s="66">
        <v>91</v>
      </c>
      <c r="EF50" s="66">
        <v>149</v>
      </c>
      <c r="EG50" s="66">
        <v>37</v>
      </c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>
        <v>63</v>
      </c>
      <c r="EW50" s="66">
        <v>24</v>
      </c>
      <c r="EX50" s="66">
        <v>26</v>
      </c>
      <c r="EY50" s="54">
        <v>29</v>
      </c>
      <c r="EZ50" s="54">
        <v>100</v>
      </c>
      <c r="FA50" s="54"/>
      <c r="FB50" s="54"/>
      <c r="FC50" s="54"/>
      <c r="FD50" s="132"/>
      <c r="FE50" s="132"/>
      <c r="FF50" s="54"/>
      <c r="FG50" s="54"/>
      <c r="FH50" s="54"/>
      <c r="FI50" s="54"/>
      <c r="FJ50" s="54"/>
      <c r="FK50" s="66"/>
      <c r="FL50" s="66"/>
      <c r="FM50" s="5">
        <v>0</v>
      </c>
      <c r="FN50" s="5">
        <v>0</v>
      </c>
      <c r="FO50" s="5"/>
      <c r="FP50" s="25">
        <v>110</v>
      </c>
      <c r="FQ50" s="25">
        <v>175</v>
      </c>
      <c r="FR50" s="25">
        <v>431</v>
      </c>
      <c r="FS50" s="25">
        <f t="shared" si="38"/>
        <v>330</v>
      </c>
      <c r="FT50" s="25">
        <f t="shared" si="39"/>
        <v>1558</v>
      </c>
      <c r="FU50" s="25">
        <f t="shared" si="41"/>
        <v>2627</v>
      </c>
      <c r="FV50" s="25">
        <f>SUM(M50:N50)</f>
        <v>2085</v>
      </c>
      <c r="FW50" s="25">
        <f t="shared" si="42"/>
        <v>609</v>
      </c>
      <c r="FX50" s="25">
        <f t="shared" si="40"/>
        <v>3200</v>
      </c>
      <c r="FY50" s="25">
        <f t="shared" si="14"/>
        <v>873</v>
      </c>
      <c r="FZ50" s="25">
        <f t="shared" si="31"/>
        <v>359</v>
      </c>
      <c r="GA50" s="25">
        <f t="shared" si="32"/>
        <v>560</v>
      </c>
      <c r="GB50" s="25">
        <f t="shared" si="33"/>
        <v>635</v>
      </c>
      <c r="GC50" s="25">
        <v>959</v>
      </c>
      <c r="GD50" s="126">
        <v>705</v>
      </c>
      <c r="GE50" s="126">
        <v>794</v>
      </c>
      <c r="GF50" s="126">
        <v>535</v>
      </c>
      <c r="GG50" s="126">
        <v>378</v>
      </c>
      <c r="GH50" s="126">
        <v>377</v>
      </c>
      <c r="GI50" s="126">
        <v>272</v>
      </c>
      <c r="GJ50" s="126">
        <v>58</v>
      </c>
      <c r="GK50" s="40"/>
      <c r="GL50" s="132"/>
      <c r="GM50" s="64"/>
      <c r="GN50" s="132">
        <f t="shared" si="27"/>
        <v>100</v>
      </c>
    </row>
    <row r="51" spans="2:204" s="26" customFormat="1" ht="13" x14ac:dyDescent="0.3">
      <c r="B51" s="15" t="s">
        <v>158</v>
      </c>
      <c r="C51" s="23"/>
      <c r="D51" s="23"/>
      <c r="E51" s="23"/>
      <c r="F51" s="23"/>
      <c r="G51" s="23"/>
      <c r="H51" s="23"/>
      <c r="I51" s="25">
        <v>185</v>
      </c>
      <c r="J51" s="25">
        <f>394-I51</f>
        <v>209</v>
      </c>
      <c r="K51" s="25">
        <v>223</v>
      </c>
      <c r="L51" s="25">
        <f>488-K51</f>
        <v>265</v>
      </c>
      <c r="M51" s="25">
        <v>261</v>
      </c>
      <c r="N51" s="25">
        <f>542-M51</f>
        <v>281</v>
      </c>
      <c r="O51" s="25">
        <v>261</v>
      </c>
      <c r="P51" s="25">
        <f t="shared" si="34"/>
        <v>292</v>
      </c>
      <c r="Q51" s="25">
        <f t="shared" si="35"/>
        <v>274</v>
      </c>
      <c r="R51" s="25">
        <f t="shared" si="36"/>
        <v>290</v>
      </c>
      <c r="S51" s="25">
        <v>296</v>
      </c>
      <c r="T51" s="25">
        <f t="shared" si="28"/>
        <v>309</v>
      </c>
      <c r="U51" s="25">
        <f t="shared" si="29"/>
        <v>282</v>
      </c>
      <c r="V51" s="25">
        <f t="shared" si="30"/>
        <v>287</v>
      </c>
      <c r="W51" s="25"/>
      <c r="X51" s="25"/>
      <c r="Y51" s="25"/>
      <c r="Z51" s="25"/>
      <c r="AA51" s="25">
        <v>353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>
        <f>138-BP51</f>
        <v>138</v>
      </c>
      <c r="BR51" s="25"/>
      <c r="BS51" s="93"/>
      <c r="BT51" s="66">
        <v>86</v>
      </c>
      <c r="BU51" s="66">
        <v>79</v>
      </c>
      <c r="BV51" s="66">
        <v>81</v>
      </c>
      <c r="BW51" s="66">
        <v>83</v>
      </c>
      <c r="BX51" s="66">
        <v>86</v>
      </c>
      <c r="BY51" s="66">
        <v>99</v>
      </c>
      <c r="BZ51" s="66">
        <v>100</v>
      </c>
      <c r="CA51" s="66">
        <v>109</v>
      </c>
      <c r="CB51" s="66">
        <v>110</v>
      </c>
      <c r="CC51" s="66">
        <v>113</v>
      </c>
      <c r="CD51" s="66">
        <v>126</v>
      </c>
      <c r="CE51" s="66">
        <v>139</v>
      </c>
      <c r="CF51" s="66">
        <v>124</v>
      </c>
      <c r="CG51" s="66">
        <v>137</v>
      </c>
      <c r="CH51" s="66">
        <v>137</v>
      </c>
      <c r="CI51" s="66">
        <v>144</v>
      </c>
      <c r="CJ51" s="66">
        <v>128</v>
      </c>
      <c r="CK51" s="66">
        <v>136</v>
      </c>
      <c r="CL51" s="66">
        <v>143</v>
      </c>
      <c r="CM51" s="66">
        <v>149</v>
      </c>
      <c r="CN51" s="66">
        <v>131</v>
      </c>
      <c r="CO51" s="66">
        <v>143</v>
      </c>
      <c r="CP51" s="66">
        <v>148</v>
      </c>
      <c r="CQ51" s="66">
        <v>142</v>
      </c>
      <c r="CR51" s="66">
        <v>149</v>
      </c>
      <c r="CS51" s="66">
        <f t="shared" si="37"/>
        <v>147</v>
      </c>
      <c r="CT51" s="66">
        <f>453-CS51-CR51</f>
        <v>157</v>
      </c>
      <c r="CU51" s="66">
        <v>152</v>
      </c>
      <c r="CV51" s="66">
        <v>145</v>
      </c>
      <c r="CW51" s="66">
        <f>282-CV51</f>
        <v>137</v>
      </c>
      <c r="CX51" s="66">
        <v>143</v>
      </c>
      <c r="CY51" s="66">
        <v>144</v>
      </c>
      <c r="CZ51" s="66">
        <v>153</v>
      </c>
      <c r="DA51" s="66">
        <v>154</v>
      </c>
      <c r="DB51" s="66">
        <v>171</v>
      </c>
      <c r="DC51" s="66">
        <v>160</v>
      </c>
      <c r="DD51" s="66">
        <v>166</v>
      </c>
      <c r="DE51" s="66">
        <v>167</v>
      </c>
      <c r="DF51" s="66">
        <v>166</v>
      </c>
      <c r="DG51" s="66">
        <v>194</v>
      </c>
      <c r="DH51" s="66">
        <v>177</v>
      </c>
      <c r="DI51" s="66">
        <v>176</v>
      </c>
      <c r="DJ51" s="66">
        <v>192</v>
      </c>
      <c r="DK51" s="66">
        <v>181</v>
      </c>
      <c r="DL51" s="66">
        <v>100</v>
      </c>
      <c r="DM51" s="66">
        <v>87</v>
      </c>
      <c r="DN51" s="66">
        <v>83</v>
      </c>
      <c r="DO51" s="66">
        <v>99</v>
      </c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54">
        <f t="shared" si="20"/>
        <v>0</v>
      </c>
      <c r="EZ51" s="54"/>
      <c r="FA51" s="54"/>
      <c r="FB51" s="54"/>
      <c r="FC51" s="54"/>
      <c r="FD51" s="132"/>
      <c r="FE51" s="132"/>
      <c r="FF51" s="54"/>
      <c r="FG51" s="54"/>
      <c r="FH51" s="54"/>
      <c r="FI51" s="54"/>
      <c r="FJ51" s="54"/>
      <c r="FK51" s="66"/>
      <c r="FL51" s="66"/>
      <c r="FM51" s="5">
        <v>0</v>
      </c>
      <c r="FN51" s="5"/>
      <c r="FO51" s="5"/>
      <c r="FP51" s="25">
        <v>292</v>
      </c>
      <c r="FQ51" s="25">
        <v>296</v>
      </c>
      <c r="FR51" s="25">
        <v>281</v>
      </c>
      <c r="FS51" s="25">
        <f t="shared" si="38"/>
        <v>329</v>
      </c>
      <c r="FT51" s="25">
        <f t="shared" si="39"/>
        <v>394</v>
      </c>
      <c r="FU51" s="25">
        <f t="shared" si="41"/>
        <v>488</v>
      </c>
      <c r="FV51" s="25">
        <f t="shared" si="16"/>
        <v>542</v>
      </c>
      <c r="FW51" s="25">
        <f t="shared" si="42"/>
        <v>556</v>
      </c>
      <c r="FX51" s="25">
        <f t="shared" si="40"/>
        <v>564</v>
      </c>
      <c r="FY51" s="25">
        <f t="shared" si="14"/>
        <v>605</v>
      </c>
      <c r="FZ51" s="25">
        <f t="shared" si="31"/>
        <v>569</v>
      </c>
      <c r="GA51" s="25">
        <f t="shared" si="32"/>
        <v>638</v>
      </c>
      <c r="GB51" s="25">
        <f t="shared" si="33"/>
        <v>693</v>
      </c>
      <c r="GC51" s="25">
        <v>726</v>
      </c>
      <c r="GD51" s="126">
        <v>369</v>
      </c>
      <c r="GE51" s="126">
        <v>306</v>
      </c>
      <c r="GF51" s="126"/>
      <c r="GG51" s="126"/>
      <c r="GH51" s="126"/>
      <c r="GI51" s="126"/>
      <c r="GJ51" s="64"/>
      <c r="GK51" s="40"/>
      <c r="GL51" s="132"/>
      <c r="GM51" s="64"/>
      <c r="GN51" s="132">
        <f t="shared" si="27"/>
        <v>0</v>
      </c>
    </row>
    <row r="52" spans="2:204" s="26" customFormat="1" ht="13" x14ac:dyDescent="0.3">
      <c r="B52" s="3" t="s">
        <v>1035</v>
      </c>
      <c r="C52" s="23"/>
      <c r="D52" s="23"/>
      <c r="E52" s="23"/>
      <c r="F52" s="23"/>
      <c r="G52" s="23"/>
      <c r="H52" s="23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>
        <f>274-BJ52-BI52-BH52</f>
        <v>274</v>
      </c>
      <c r="BL52" s="25"/>
      <c r="BM52" s="25"/>
      <c r="BN52" s="25"/>
      <c r="BO52" s="25"/>
      <c r="BP52" s="25"/>
      <c r="BQ52" s="25">
        <f>107-BP52</f>
        <v>107</v>
      </c>
      <c r="BR52" s="25"/>
      <c r="BS52" s="93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54"/>
      <c r="EZ52" s="54"/>
      <c r="FA52" s="54"/>
      <c r="FB52" s="54"/>
      <c r="FC52" s="54"/>
      <c r="FD52" s="132"/>
      <c r="FE52" s="132"/>
      <c r="FF52" s="54"/>
      <c r="FG52" s="54"/>
      <c r="FH52" s="54"/>
      <c r="FI52" s="54"/>
      <c r="FJ52" s="54"/>
      <c r="FK52" s="66"/>
      <c r="FL52" s="66">
        <v>300</v>
      </c>
      <c r="FM52" s="5">
        <v>290</v>
      </c>
      <c r="FN52" s="5">
        <v>280</v>
      </c>
      <c r="FO52" s="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126"/>
      <c r="GE52" s="126"/>
      <c r="GF52" s="126"/>
      <c r="GG52" s="126"/>
      <c r="GH52" s="126"/>
      <c r="GI52" s="126"/>
      <c r="GJ52" s="64"/>
      <c r="GK52" s="40"/>
      <c r="GL52" s="132"/>
      <c r="GM52" s="64"/>
      <c r="GN52" s="132"/>
    </row>
    <row r="53" spans="2:204" s="26" customFormat="1" ht="13" x14ac:dyDescent="0.3">
      <c r="B53" s="15" t="s">
        <v>142</v>
      </c>
      <c r="C53" s="23"/>
      <c r="D53" s="23"/>
      <c r="E53" s="23"/>
      <c r="F53" s="23"/>
      <c r="G53" s="23"/>
      <c r="H53" s="23"/>
      <c r="I53" s="25">
        <v>232</v>
      </c>
      <c r="J53" s="25">
        <f>476-I53</f>
        <v>244</v>
      </c>
      <c r="K53" s="25">
        <v>244</v>
      </c>
      <c r="L53" s="25">
        <f>494-K53</f>
        <v>250</v>
      </c>
      <c r="M53" s="25">
        <v>239</v>
      </c>
      <c r="N53" s="25">
        <f>470-M53</f>
        <v>231</v>
      </c>
      <c r="O53" s="25">
        <v>195</v>
      </c>
      <c r="P53" s="25">
        <f t="shared" si="34"/>
        <v>218</v>
      </c>
      <c r="Q53" s="25">
        <f t="shared" si="35"/>
        <v>211</v>
      </c>
      <c r="R53" s="25">
        <f t="shared" si="36"/>
        <v>189</v>
      </c>
      <c r="S53" s="25">
        <v>193</v>
      </c>
      <c r="T53" s="25">
        <f t="shared" si="28"/>
        <v>212</v>
      </c>
      <c r="U53" s="25">
        <f t="shared" si="29"/>
        <v>169</v>
      </c>
      <c r="V53" s="25">
        <f t="shared" si="30"/>
        <v>148</v>
      </c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>
        <v>60.1</v>
      </c>
      <c r="BC53" s="25"/>
      <c r="BD53" s="25"/>
      <c r="BE53" s="25"/>
      <c r="BF53" s="25"/>
      <c r="BG53" s="25"/>
      <c r="BH53" s="25"/>
      <c r="BI53" s="25">
        <f>210-BH53</f>
        <v>210</v>
      </c>
      <c r="BJ53" s="25"/>
      <c r="BK53" s="25">
        <f>435-BJ53-BI53-BH53</f>
        <v>225</v>
      </c>
      <c r="BL53" s="25"/>
      <c r="BM53" s="25">
        <f>241-BL53</f>
        <v>241</v>
      </c>
      <c r="BN53" s="25"/>
      <c r="BO53" s="25"/>
      <c r="BP53" s="25">
        <v>108</v>
      </c>
      <c r="BQ53" s="25">
        <f>220-BP53</f>
        <v>112</v>
      </c>
      <c r="BR53" s="25"/>
      <c r="BS53" s="93"/>
      <c r="BT53" s="66">
        <v>109</v>
      </c>
      <c r="BU53" s="66">
        <v>116</v>
      </c>
      <c r="BV53" s="66">
        <v>110</v>
      </c>
      <c r="BW53" s="66">
        <v>114</v>
      </c>
      <c r="BX53" s="66">
        <v>110</v>
      </c>
      <c r="BY53" s="66">
        <v>122</v>
      </c>
      <c r="BZ53" s="66">
        <v>116</v>
      </c>
      <c r="CA53" s="66">
        <v>128</v>
      </c>
      <c r="CB53" s="66">
        <v>118</v>
      </c>
      <c r="CC53" s="66">
        <v>126</v>
      </c>
      <c r="CD53" s="66">
        <v>118</v>
      </c>
      <c r="CE53" s="66">
        <v>132</v>
      </c>
      <c r="CF53" s="66">
        <v>117</v>
      </c>
      <c r="CG53" s="66">
        <v>122</v>
      </c>
      <c r="CH53" s="66">
        <v>118</v>
      </c>
      <c r="CI53" s="66">
        <v>113</v>
      </c>
      <c r="CJ53" s="66">
        <v>97</v>
      </c>
      <c r="CK53" s="66">
        <v>98</v>
      </c>
      <c r="CL53" s="66">
        <v>106</v>
      </c>
      <c r="CM53" s="66">
        <v>112</v>
      </c>
      <c r="CN53" s="66">
        <v>104</v>
      </c>
      <c r="CO53" s="66">
        <v>107</v>
      </c>
      <c r="CP53" s="66">
        <v>100</v>
      </c>
      <c r="CQ53" s="66">
        <v>89</v>
      </c>
      <c r="CR53" s="66">
        <v>91</v>
      </c>
      <c r="CS53" s="66">
        <f t="shared" si="37"/>
        <v>102</v>
      </c>
      <c r="CT53" s="66">
        <f>310-CS53-CR53</f>
        <v>117</v>
      </c>
      <c r="CU53" s="66">
        <v>95</v>
      </c>
      <c r="CV53" s="66">
        <v>87</v>
      </c>
      <c r="CW53" s="66">
        <f>169-CV53</f>
        <v>82</v>
      </c>
      <c r="CX53" s="66">
        <v>73</v>
      </c>
      <c r="CY53" s="66">
        <v>75</v>
      </c>
      <c r="CZ53" s="66">
        <v>77</v>
      </c>
      <c r="DA53" s="66">
        <v>77</v>
      </c>
      <c r="DB53" s="66">
        <v>77</v>
      </c>
      <c r="DC53" s="66">
        <v>73</v>
      </c>
      <c r="DD53" s="66">
        <v>73</v>
      </c>
      <c r="DE53" s="66">
        <v>71</v>
      </c>
      <c r="DF53" s="66">
        <v>69</v>
      </c>
      <c r="DG53" s="66">
        <v>61</v>
      </c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54">
        <f t="shared" si="20"/>
        <v>0</v>
      </c>
      <c r="EZ53" s="54"/>
      <c r="FA53" s="54"/>
      <c r="FB53" s="54"/>
      <c r="FC53" s="54"/>
      <c r="FD53" s="132"/>
      <c r="FE53" s="132"/>
      <c r="FF53" s="54"/>
      <c r="FG53" s="54"/>
      <c r="FH53" s="54"/>
      <c r="FI53" s="54"/>
      <c r="FJ53" s="54"/>
      <c r="FK53" s="66"/>
      <c r="FL53" s="66"/>
      <c r="FM53" s="5">
        <v>310</v>
      </c>
      <c r="FN53" s="5">
        <v>221</v>
      </c>
      <c r="FO53" s="5"/>
      <c r="FP53" s="25">
        <v>435</v>
      </c>
      <c r="FQ53" s="25">
        <v>477</v>
      </c>
      <c r="FR53" s="25">
        <v>442</v>
      </c>
      <c r="FS53" s="25">
        <f t="shared" si="38"/>
        <v>449</v>
      </c>
      <c r="FT53" s="25">
        <f t="shared" si="39"/>
        <v>476</v>
      </c>
      <c r="FU53" s="25">
        <f t="shared" si="41"/>
        <v>494</v>
      </c>
      <c r="FV53" s="25">
        <f t="shared" si="16"/>
        <v>470</v>
      </c>
      <c r="FW53" s="25">
        <f t="shared" si="42"/>
        <v>413</v>
      </c>
      <c r="FX53" s="25">
        <f t="shared" si="40"/>
        <v>400</v>
      </c>
      <c r="FY53" s="25">
        <f t="shared" si="14"/>
        <v>405</v>
      </c>
      <c r="FZ53" s="25">
        <f t="shared" si="31"/>
        <v>317</v>
      </c>
      <c r="GA53" s="25">
        <f t="shared" si="32"/>
        <v>304</v>
      </c>
      <c r="GB53" s="25">
        <f t="shared" si="33"/>
        <v>274</v>
      </c>
      <c r="GC53" s="25">
        <v>214</v>
      </c>
      <c r="GD53" s="126"/>
      <c r="GE53" s="126"/>
      <c r="GF53" s="126"/>
      <c r="GG53" s="126"/>
      <c r="GH53" s="126"/>
      <c r="GI53" s="126"/>
      <c r="GJ53" s="64"/>
      <c r="GK53" s="40"/>
      <c r="GL53" s="132"/>
      <c r="GM53" s="64"/>
      <c r="GN53" s="132">
        <f t="shared" si="27"/>
        <v>0</v>
      </c>
    </row>
    <row r="54" spans="2:204" s="26" customFormat="1" ht="13" x14ac:dyDescent="0.3">
      <c r="B54" s="3" t="s">
        <v>1034</v>
      </c>
      <c r="C54" s="23"/>
      <c r="D54" s="23"/>
      <c r="E54" s="23"/>
      <c r="F54" s="23"/>
      <c r="G54" s="23"/>
      <c r="H54" s="23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>
        <f>220-BH54</f>
        <v>220</v>
      </c>
      <c r="BJ54" s="25"/>
      <c r="BK54" s="25">
        <f>452-BJ54-BI54-BH54</f>
        <v>232</v>
      </c>
      <c r="BL54" s="25"/>
      <c r="BM54" s="25">
        <f>156-BL54</f>
        <v>156</v>
      </c>
      <c r="BN54" s="25"/>
      <c r="BO54" s="25"/>
      <c r="BP54" s="25"/>
      <c r="BQ54" s="25">
        <f>141-BP54</f>
        <v>141</v>
      </c>
      <c r="BR54" s="25"/>
      <c r="BS54" s="93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54"/>
      <c r="EZ54" s="54"/>
      <c r="FA54" s="54"/>
      <c r="FB54" s="54"/>
      <c r="FC54" s="54"/>
      <c r="FD54" s="132"/>
      <c r="FE54" s="132"/>
      <c r="FF54" s="54"/>
      <c r="FG54" s="54"/>
      <c r="FH54" s="54"/>
      <c r="FI54" s="54"/>
      <c r="FJ54" s="54"/>
      <c r="FK54" s="66"/>
      <c r="FL54" s="66"/>
      <c r="FM54" s="5">
        <v>200</v>
      </c>
      <c r="FN54" s="5"/>
      <c r="FO54" s="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126"/>
      <c r="GE54" s="126"/>
      <c r="GF54" s="126"/>
      <c r="GG54" s="126"/>
      <c r="GH54" s="126"/>
      <c r="GI54" s="126"/>
      <c r="GJ54" s="64"/>
      <c r="GK54" s="40"/>
      <c r="GL54" s="132"/>
      <c r="GM54" s="64"/>
      <c r="GN54" s="132"/>
    </row>
    <row r="55" spans="2:204" s="26" customFormat="1" ht="13" x14ac:dyDescent="0.3">
      <c r="B55" s="15" t="s">
        <v>30</v>
      </c>
      <c r="C55" s="23"/>
      <c r="D55" s="23"/>
      <c r="E55" s="23"/>
      <c r="F55" s="23"/>
      <c r="G55" s="23"/>
      <c r="H55" s="23"/>
      <c r="I55" s="25">
        <v>169</v>
      </c>
      <c r="J55" s="25">
        <f>364-I55</f>
        <v>195</v>
      </c>
      <c r="K55" s="25">
        <v>188</v>
      </c>
      <c r="L55" s="25">
        <f>379-K55</f>
        <v>191</v>
      </c>
      <c r="M55" s="25">
        <v>195</v>
      </c>
      <c r="N55" s="25">
        <f>405-M55</f>
        <v>210</v>
      </c>
      <c r="O55" s="25">
        <v>192</v>
      </c>
      <c r="P55" s="25">
        <f>SUM(CL55:CM55)</f>
        <v>212</v>
      </c>
      <c r="Q55" s="25">
        <f t="shared" si="35"/>
        <v>188</v>
      </c>
      <c r="R55" s="25">
        <f t="shared" si="36"/>
        <v>197</v>
      </c>
      <c r="S55" s="25">
        <v>167</v>
      </c>
      <c r="T55" s="25">
        <f t="shared" si="28"/>
        <v>164</v>
      </c>
      <c r="U55" s="25">
        <f t="shared" si="29"/>
        <v>135</v>
      </c>
      <c r="V55" s="25">
        <f t="shared" si="30"/>
        <v>143</v>
      </c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>
        <f>151-BP55</f>
        <v>151</v>
      </c>
      <c r="BR55" s="25"/>
      <c r="BS55" s="93"/>
      <c r="BT55" s="66">
        <v>76</v>
      </c>
      <c r="BU55" s="66">
        <v>80</v>
      </c>
      <c r="BV55" s="66">
        <v>81</v>
      </c>
      <c r="BW55" s="66">
        <v>88</v>
      </c>
      <c r="BX55" s="66">
        <v>80</v>
      </c>
      <c r="BY55" s="66">
        <v>89</v>
      </c>
      <c r="BZ55" s="66">
        <v>97</v>
      </c>
      <c r="CA55" s="66">
        <v>98</v>
      </c>
      <c r="CB55" s="66">
        <v>93</v>
      </c>
      <c r="CC55" s="66">
        <v>95</v>
      </c>
      <c r="CD55" s="66">
        <v>91</v>
      </c>
      <c r="CE55" s="66">
        <v>100</v>
      </c>
      <c r="CF55" s="66">
        <v>96</v>
      </c>
      <c r="CG55" s="66">
        <v>99</v>
      </c>
      <c r="CH55" s="66">
        <v>100</v>
      </c>
      <c r="CI55" s="66">
        <v>110</v>
      </c>
      <c r="CJ55" s="66">
        <v>95</v>
      </c>
      <c r="CK55" s="66">
        <v>97</v>
      </c>
      <c r="CL55" s="66">
        <v>98</v>
      </c>
      <c r="CM55" s="66">
        <v>114</v>
      </c>
      <c r="CN55" s="66">
        <v>90</v>
      </c>
      <c r="CO55" s="66">
        <v>98</v>
      </c>
      <c r="CP55" s="66">
        <v>101</v>
      </c>
      <c r="CQ55" s="66">
        <v>96</v>
      </c>
      <c r="CR55" s="66">
        <v>81</v>
      </c>
      <c r="CS55" s="66">
        <f t="shared" si="37"/>
        <v>86</v>
      </c>
      <c r="CT55" s="66">
        <f>249-CS55-CR55</f>
        <v>82</v>
      </c>
      <c r="CU55" s="66">
        <v>82</v>
      </c>
      <c r="CV55" s="66">
        <v>61</v>
      </c>
      <c r="CW55" s="66">
        <v>74</v>
      </c>
      <c r="CX55" s="66">
        <v>65</v>
      </c>
      <c r="CY55" s="66">
        <v>78</v>
      </c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54">
        <f t="shared" si="20"/>
        <v>0</v>
      </c>
      <c r="EZ55" s="54"/>
      <c r="FA55" s="54"/>
      <c r="FB55" s="54"/>
      <c r="FC55" s="54"/>
      <c r="FD55" s="132"/>
      <c r="FE55" s="132"/>
      <c r="FF55" s="54"/>
      <c r="FG55" s="54"/>
      <c r="FH55" s="54"/>
      <c r="FI55" s="54"/>
      <c r="FJ55" s="54"/>
      <c r="FK55" s="66"/>
      <c r="FL55" s="66"/>
      <c r="FM55" s="5">
        <v>0</v>
      </c>
      <c r="FN55" s="5">
        <v>0</v>
      </c>
      <c r="FO55" s="5"/>
      <c r="FP55" s="25">
        <v>0</v>
      </c>
      <c r="FQ55" s="25">
        <v>0</v>
      </c>
      <c r="FR55" s="25">
        <v>315</v>
      </c>
      <c r="FS55" s="25">
        <f t="shared" si="38"/>
        <v>325</v>
      </c>
      <c r="FT55" s="25">
        <f t="shared" si="39"/>
        <v>364</v>
      </c>
      <c r="FU55" s="25">
        <f t="shared" si="41"/>
        <v>379</v>
      </c>
      <c r="FV55" s="25">
        <f>SUM(M55:N55)</f>
        <v>405</v>
      </c>
      <c r="FW55" s="25">
        <f t="shared" si="42"/>
        <v>404</v>
      </c>
      <c r="FX55" s="25">
        <f t="shared" si="40"/>
        <v>385</v>
      </c>
      <c r="FY55" s="25">
        <f t="shared" si="14"/>
        <v>331</v>
      </c>
      <c r="FZ55" s="25">
        <f t="shared" si="31"/>
        <v>278</v>
      </c>
      <c r="GA55" s="25"/>
      <c r="GB55" s="25"/>
      <c r="GC55" s="25"/>
      <c r="GD55" s="126"/>
      <c r="GE55" s="126"/>
      <c r="GF55" s="126"/>
      <c r="GG55" s="126"/>
      <c r="GH55" s="126"/>
      <c r="GI55" s="126"/>
      <c r="GJ55" s="64"/>
      <c r="GK55" s="40"/>
      <c r="GL55" s="132"/>
      <c r="GM55" s="64"/>
      <c r="GN55" s="132">
        <f t="shared" si="27"/>
        <v>0</v>
      </c>
    </row>
    <row r="56" spans="2:204" s="26" customFormat="1" ht="13" x14ac:dyDescent="0.3">
      <c r="B56" s="15" t="s">
        <v>38</v>
      </c>
      <c r="C56" s="23"/>
      <c r="D56" s="23"/>
      <c r="E56" s="23"/>
      <c r="F56" s="23"/>
      <c r="G56" s="23"/>
      <c r="H56" s="23"/>
      <c r="I56" s="25"/>
      <c r="J56" s="25"/>
      <c r="K56" s="25"/>
      <c r="L56" s="25"/>
      <c r="M56" s="25"/>
      <c r="N56" s="25"/>
      <c r="O56" s="25">
        <v>154</v>
      </c>
      <c r="P56" s="25">
        <f>SUM(CL56:CM56)</f>
        <v>157</v>
      </c>
      <c r="Q56" s="25">
        <f t="shared" si="35"/>
        <v>140</v>
      </c>
      <c r="R56" s="25">
        <f t="shared" si="36"/>
        <v>146</v>
      </c>
      <c r="S56" s="25">
        <v>0</v>
      </c>
      <c r="T56" s="25">
        <f t="shared" si="28"/>
        <v>77</v>
      </c>
      <c r="U56" s="25">
        <f t="shared" si="29"/>
        <v>150</v>
      </c>
      <c r="V56" s="25">
        <f t="shared" si="30"/>
        <v>144</v>
      </c>
      <c r="W56" s="25"/>
      <c r="X56" s="25"/>
      <c r="Y56" s="25"/>
      <c r="Z56" s="25"/>
      <c r="AA56" s="25">
        <v>135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>
        <f>246-BJ56-BI56-BH56</f>
        <v>246</v>
      </c>
      <c r="BL56" s="25"/>
      <c r="BM56" s="25"/>
      <c r="BN56" s="25"/>
      <c r="BO56" s="25"/>
      <c r="BP56" s="25"/>
      <c r="BQ56" s="25">
        <f>117-BP56</f>
        <v>117</v>
      </c>
      <c r="BR56" s="25"/>
      <c r="BS56" s="93"/>
      <c r="BT56" s="93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>
        <v>75</v>
      </c>
      <c r="CG56" s="66">
        <v>77</v>
      </c>
      <c r="CH56" s="66">
        <v>76</v>
      </c>
      <c r="CI56" s="66">
        <v>83</v>
      </c>
      <c r="CJ56" s="66">
        <v>74</v>
      </c>
      <c r="CK56" s="66">
        <v>80</v>
      </c>
      <c r="CL56" s="66">
        <v>77</v>
      </c>
      <c r="CM56" s="66">
        <v>80</v>
      </c>
      <c r="CN56" s="66">
        <v>68</v>
      </c>
      <c r="CO56" s="66">
        <v>72</v>
      </c>
      <c r="CP56" s="66">
        <v>71</v>
      </c>
      <c r="CQ56" s="66">
        <v>75</v>
      </c>
      <c r="CR56" s="66"/>
      <c r="CS56" s="66"/>
      <c r="CT56" s="66"/>
      <c r="CU56" s="66">
        <v>77</v>
      </c>
      <c r="CV56" s="66">
        <v>75</v>
      </c>
      <c r="CW56" s="66">
        <v>75</v>
      </c>
      <c r="CX56" s="66">
        <v>72</v>
      </c>
      <c r="CY56" s="66">
        <v>72</v>
      </c>
      <c r="CZ56" s="66">
        <v>75</v>
      </c>
      <c r="DA56" s="66">
        <v>82</v>
      </c>
      <c r="DB56" s="66">
        <v>78</v>
      </c>
      <c r="DC56" s="66">
        <v>75</v>
      </c>
      <c r="DD56" s="66">
        <v>80</v>
      </c>
      <c r="DE56" s="66">
        <v>78</v>
      </c>
      <c r="DF56" s="66">
        <v>77</v>
      </c>
      <c r="DG56" s="66">
        <v>78</v>
      </c>
      <c r="DH56" s="66">
        <v>59</v>
      </c>
      <c r="DI56" s="66">
        <v>76</v>
      </c>
      <c r="DJ56" s="66"/>
      <c r="DK56" s="66"/>
      <c r="DL56" s="66"/>
      <c r="DM56" s="66"/>
      <c r="DN56" s="66"/>
      <c r="DO56" s="66"/>
      <c r="DP56" s="66">
        <v>71</v>
      </c>
      <c r="DQ56" s="66">
        <v>69</v>
      </c>
      <c r="DR56" s="66">
        <f>214-DQ56-DP56</f>
        <v>74</v>
      </c>
      <c r="DS56" s="66">
        <v>76</v>
      </c>
      <c r="DT56" s="66">
        <f>163-DU56</f>
        <v>86</v>
      </c>
      <c r="DU56" s="66">
        <v>77</v>
      </c>
      <c r="DV56" s="66">
        <v>81</v>
      </c>
      <c r="DW56" s="66">
        <v>90</v>
      </c>
      <c r="DX56" s="66">
        <v>90</v>
      </c>
      <c r="DY56" s="66">
        <v>92</v>
      </c>
      <c r="DZ56" s="66"/>
      <c r="EA56" s="66"/>
      <c r="EB56" s="66"/>
      <c r="EC56" s="66">
        <v>87</v>
      </c>
      <c r="ED56" s="66">
        <v>94</v>
      </c>
      <c r="EE56" s="66">
        <v>84</v>
      </c>
      <c r="EF56" s="66">
        <v>98</v>
      </c>
      <c r="EG56" s="66">
        <f>194-EF56</f>
        <v>96</v>
      </c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54">
        <f t="shared" si="20"/>
        <v>368</v>
      </c>
      <c r="EZ56" s="54">
        <v>80</v>
      </c>
      <c r="FA56" s="54">
        <f>193-EZ56</f>
        <v>113</v>
      </c>
      <c r="FB56" s="54">
        <f>273-FA56-EZ56</f>
        <v>80</v>
      </c>
      <c r="FC56" s="54">
        <f>350-FB56-FA56-EZ56</f>
        <v>77</v>
      </c>
      <c r="FD56" s="132">
        <v>89</v>
      </c>
      <c r="FE56" s="132">
        <f>154-FD56</f>
        <v>65</v>
      </c>
      <c r="FF56" s="54"/>
      <c r="FG56" s="54"/>
      <c r="FH56" s="54"/>
      <c r="FI56" s="54"/>
      <c r="FJ56" s="54"/>
      <c r="FK56" s="66"/>
      <c r="FL56" s="66"/>
      <c r="FM56" s="5">
        <v>0</v>
      </c>
      <c r="FN56" s="5">
        <v>0</v>
      </c>
      <c r="FO56" s="5"/>
      <c r="FP56" s="25"/>
      <c r="FQ56" s="25"/>
      <c r="FR56" s="25"/>
      <c r="FS56" s="25"/>
      <c r="FT56" s="25"/>
      <c r="FU56" s="25"/>
      <c r="FV56" s="25">
        <f>SUM(CF56:CI56)</f>
        <v>311</v>
      </c>
      <c r="FW56" s="25">
        <f t="shared" si="42"/>
        <v>311</v>
      </c>
      <c r="FX56" s="25">
        <f t="shared" si="40"/>
        <v>286</v>
      </c>
      <c r="FY56" s="25"/>
      <c r="FZ56" s="25">
        <f t="shared" si="31"/>
        <v>294</v>
      </c>
      <c r="GA56" s="25">
        <f t="shared" si="32"/>
        <v>310</v>
      </c>
      <c r="GB56" s="25">
        <f t="shared" si="33"/>
        <v>313</v>
      </c>
      <c r="GC56" s="25">
        <v>292</v>
      </c>
      <c r="GD56" s="126">
        <v>275</v>
      </c>
      <c r="GE56" s="126">
        <v>290</v>
      </c>
      <c r="GF56" s="126">
        <v>334</v>
      </c>
      <c r="GG56" s="126">
        <v>341</v>
      </c>
      <c r="GH56" s="126">
        <v>367</v>
      </c>
      <c r="GI56" s="126">
        <v>361</v>
      </c>
      <c r="GJ56" s="126">
        <v>394</v>
      </c>
      <c r="GK56" s="126">
        <v>379</v>
      </c>
      <c r="GL56" s="132">
        <v>355</v>
      </c>
      <c r="GM56" s="132">
        <v>368</v>
      </c>
      <c r="GN56" s="132">
        <f t="shared" si="27"/>
        <v>350</v>
      </c>
    </row>
    <row r="57" spans="2:204" s="26" customFormat="1" ht="13" x14ac:dyDescent="0.3">
      <c r="B57" s="3" t="s">
        <v>50</v>
      </c>
      <c r="C57" s="23"/>
      <c r="D57" s="23"/>
      <c r="E57" s="23"/>
      <c r="F57" s="23"/>
      <c r="G57" s="23"/>
      <c r="H57" s="23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>
        <f t="shared" si="29"/>
        <v>138</v>
      </c>
      <c r="V57" s="25">
        <f>344-U57</f>
        <v>206</v>
      </c>
      <c r="W57" s="25"/>
      <c r="X57" s="25"/>
      <c r="Y57" s="25"/>
      <c r="Z57" s="25"/>
      <c r="AA57" s="25">
        <v>203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>
        <v>0</v>
      </c>
      <c r="BJ57" s="25">
        <v>0</v>
      </c>
      <c r="BK57" s="25">
        <v>0</v>
      </c>
      <c r="BL57" s="25"/>
      <c r="BM57" s="25"/>
      <c r="BN57" s="25"/>
      <c r="BO57" s="25"/>
      <c r="BP57" s="25"/>
      <c r="BQ57" s="25"/>
      <c r="BR57" s="25"/>
      <c r="BS57" s="93"/>
      <c r="BT57" s="93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>
        <v>70</v>
      </c>
      <c r="CV57" s="66">
        <v>70</v>
      </c>
      <c r="CW57" s="66">
        <f>138-CV57</f>
        <v>68</v>
      </c>
      <c r="CX57" s="66">
        <v>99</v>
      </c>
      <c r="CY57" s="66">
        <v>107</v>
      </c>
      <c r="CZ57" s="66">
        <v>90</v>
      </c>
      <c r="DA57" s="66">
        <v>87</v>
      </c>
      <c r="DB57" s="66">
        <v>96</v>
      </c>
      <c r="DC57" s="66">
        <v>111</v>
      </c>
      <c r="DD57" s="66">
        <v>94</v>
      </c>
      <c r="DE57" s="66">
        <v>106</v>
      </c>
      <c r="DF57" s="66">
        <v>107</v>
      </c>
      <c r="DG57" s="66">
        <v>118</v>
      </c>
      <c r="DH57" s="66">
        <v>103</v>
      </c>
      <c r="DI57" s="66">
        <v>100</v>
      </c>
      <c r="DJ57" s="66">
        <v>101</v>
      </c>
      <c r="DK57" s="66">
        <v>113</v>
      </c>
      <c r="DL57" s="66">
        <v>114</v>
      </c>
      <c r="DM57" s="66">
        <v>108</v>
      </c>
      <c r="DN57" s="66">
        <v>147</v>
      </c>
      <c r="DO57" s="66">
        <v>106</v>
      </c>
      <c r="DP57" s="66">
        <v>118</v>
      </c>
      <c r="DQ57" s="66">
        <v>123</v>
      </c>
      <c r="DR57" s="66">
        <f>375-DQ57-DP57</f>
        <v>134</v>
      </c>
      <c r="DS57" s="66">
        <v>137</v>
      </c>
      <c r="DT57" s="66">
        <f>236-DU57</f>
        <v>115</v>
      </c>
      <c r="DU57" s="66">
        <v>121</v>
      </c>
      <c r="DV57" s="66">
        <v>128</v>
      </c>
      <c r="DW57" s="66">
        <v>141</v>
      </c>
      <c r="DX57" s="66">
        <v>120</v>
      </c>
      <c r="DY57" s="66">
        <v>128</v>
      </c>
      <c r="DZ57" s="66">
        <v>150</v>
      </c>
      <c r="EA57" s="66">
        <v>134</v>
      </c>
      <c r="EB57" s="66">
        <v>142</v>
      </c>
      <c r="EC57" s="66">
        <v>140</v>
      </c>
      <c r="ED57" s="66">
        <v>167</v>
      </c>
      <c r="EE57" s="66">
        <v>142</v>
      </c>
      <c r="EF57" s="66">
        <v>126</v>
      </c>
      <c r="EG57" s="66">
        <v>125</v>
      </c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>
        <v>108</v>
      </c>
      <c r="EV57" s="66">
        <v>96</v>
      </c>
      <c r="EW57" s="66">
        <v>77</v>
      </c>
      <c r="EX57" s="66">
        <v>131</v>
      </c>
      <c r="EY57" s="54">
        <f t="shared" si="20"/>
        <v>93</v>
      </c>
      <c r="EZ57" s="54"/>
      <c r="FA57" s="54"/>
      <c r="FB57" s="54"/>
      <c r="FC57" s="54"/>
      <c r="FD57" s="132"/>
      <c r="FE57" s="132"/>
      <c r="FF57" s="54"/>
      <c r="FG57" s="54"/>
      <c r="FH57" s="54"/>
      <c r="FI57" s="54"/>
      <c r="FJ57" s="54"/>
      <c r="FK57" s="66"/>
      <c r="FL57" s="66"/>
      <c r="FM57" s="5">
        <v>0</v>
      </c>
      <c r="FN57" s="5">
        <v>0</v>
      </c>
      <c r="FO57" s="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>
        <f t="shared" si="31"/>
        <v>344</v>
      </c>
      <c r="GA57" s="25">
        <f t="shared" si="32"/>
        <v>384</v>
      </c>
      <c r="GB57" s="25">
        <f t="shared" si="33"/>
        <v>425</v>
      </c>
      <c r="GC57" s="25">
        <v>417</v>
      </c>
      <c r="GD57" s="126">
        <v>475</v>
      </c>
      <c r="GE57" s="126">
        <v>512</v>
      </c>
      <c r="GF57" s="126">
        <v>505</v>
      </c>
      <c r="GG57" s="126">
        <v>532</v>
      </c>
      <c r="GH57" s="126">
        <v>591</v>
      </c>
      <c r="GI57" s="126">
        <v>470</v>
      </c>
      <c r="GJ57" s="126">
        <v>435</v>
      </c>
      <c r="GK57" s="2">
        <v>408</v>
      </c>
      <c r="GL57" s="132">
        <v>426</v>
      </c>
      <c r="GM57" s="132">
        <v>397</v>
      </c>
      <c r="GN57" s="132">
        <f t="shared" si="27"/>
        <v>0</v>
      </c>
    </row>
    <row r="58" spans="2:204" s="26" customFormat="1" ht="13" x14ac:dyDescent="0.3">
      <c r="B58" s="15" t="s">
        <v>39</v>
      </c>
      <c r="C58" s="23"/>
      <c r="D58" s="23"/>
      <c r="E58" s="23"/>
      <c r="F58" s="23"/>
      <c r="G58" s="23"/>
      <c r="H58" s="23"/>
      <c r="I58" s="25">
        <v>312</v>
      </c>
      <c r="J58" s="25">
        <f>635-I58</f>
        <v>323</v>
      </c>
      <c r="K58" s="25">
        <v>363</v>
      </c>
      <c r="L58" s="25">
        <f>693-K58</f>
        <v>330</v>
      </c>
      <c r="M58" s="25">
        <v>339</v>
      </c>
      <c r="N58" s="25">
        <f>632-M58</f>
        <v>293</v>
      </c>
      <c r="O58" s="25">
        <v>264</v>
      </c>
      <c r="P58" s="25">
        <f>SUM(CL58:CM58)</f>
        <v>238</v>
      </c>
      <c r="Q58" s="25">
        <f>SUM(CN58:CO58)</f>
        <v>209</v>
      </c>
      <c r="R58" s="25">
        <f>CP58+CQ58</f>
        <v>188</v>
      </c>
      <c r="S58" s="25">
        <v>183</v>
      </c>
      <c r="T58" s="25">
        <f>+CU58+CT58</f>
        <v>154</v>
      </c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>
        <f>520-BH58</f>
        <v>520</v>
      </c>
      <c r="BJ58" s="25">
        <v>190</v>
      </c>
      <c r="BK58" s="25">
        <f>963-BJ58-BI58-BH58</f>
        <v>253</v>
      </c>
      <c r="BL58" s="25"/>
      <c r="BM58" s="25">
        <v>209</v>
      </c>
      <c r="BN58" s="25">
        <v>176</v>
      </c>
      <c r="BO58" s="25">
        <v>178</v>
      </c>
      <c r="BP58" s="25">
        <v>145</v>
      </c>
      <c r="BQ58" s="25">
        <f>317-BP58</f>
        <v>172</v>
      </c>
      <c r="BR58" s="25">
        <f>471-BQ58-BP58</f>
        <v>154</v>
      </c>
      <c r="BS58" s="66">
        <f>+FR58-BR58-BQ58-BP58</f>
        <v>147</v>
      </c>
      <c r="BT58" s="66">
        <v>146</v>
      </c>
      <c r="BU58" s="66">
        <v>165</v>
      </c>
      <c r="BV58" s="66">
        <v>145</v>
      </c>
      <c r="BW58" s="66">
        <v>137</v>
      </c>
      <c r="BX58" s="66">
        <v>147</v>
      </c>
      <c r="BY58" s="66">
        <v>165</v>
      </c>
      <c r="BZ58" s="66">
        <v>162</v>
      </c>
      <c r="CA58" s="66">
        <v>161</v>
      </c>
      <c r="CB58" s="66">
        <v>181</v>
      </c>
      <c r="CC58" s="66">
        <v>182</v>
      </c>
      <c r="CD58" s="66">
        <v>160</v>
      </c>
      <c r="CE58" s="66">
        <v>170</v>
      </c>
      <c r="CF58" s="66">
        <v>163</v>
      </c>
      <c r="CG58" s="66">
        <v>176</v>
      </c>
      <c r="CH58" s="66">
        <v>151</v>
      </c>
      <c r="CI58" s="66">
        <v>142</v>
      </c>
      <c r="CJ58" s="66">
        <v>136</v>
      </c>
      <c r="CK58" s="66">
        <v>128</v>
      </c>
      <c r="CL58" s="66">
        <v>126</v>
      </c>
      <c r="CM58" s="66">
        <v>112</v>
      </c>
      <c r="CN58" s="66">
        <v>103</v>
      </c>
      <c r="CO58" s="66">
        <v>106</v>
      </c>
      <c r="CP58" s="66">
        <v>98</v>
      </c>
      <c r="CQ58" s="66">
        <v>90</v>
      </c>
      <c r="CR58" s="66">
        <v>91</v>
      </c>
      <c r="CS58" s="66">
        <f>+S58-CR58</f>
        <v>92</v>
      </c>
      <c r="CT58" s="66">
        <f>259-CS58-CR58</f>
        <v>76</v>
      </c>
      <c r="CU58" s="66">
        <v>78</v>
      </c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54">
        <f t="shared" si="20"/>
        <v>0</v>
      </c>
      <c r="EZ58" s="54"/>
      <c r="FA58" s="54"/>
      <c r="FB58" s="54"/>
      <c r="FC58" s="54"/>
      <c r="FD58" s="132"/>
      <c r="FE58" s="132"/>
      <c r="FF58" s="54"/>
      <c r="FG58" s="54"/>
      <c r="FH58" s="54"/>
      <c r="FI58" s="54">
        <v>0</v>
      </c>
      <c r="FJ58" s="54">
        <v>0</v>
      </c>
      <c r="FK58" s="66">
        <v>0</v>
      </c>
      <c r="FL58" s="66">
        <v>0</v>
      </c>
      <c r="FM58" s="5">
        <v>125</v>
      </c>
      <c r="FN58" s="5">
        <v>940</v>
      </c>
      <c r="FO58" s="5"/>
      <c r="FP58" s="25">
        <v>963</v>
      </c>
      <c r="FQ58" s="25">
        <v>763</v>
      </c>
      <c r="FR58" s="25">
        <v>618</v>
      </c>
      <c r="FS58" s="25">
        <f>SUM(BT58:BW58)</f>
        <v>593</v>
      </c>
      <c r="FT58" s="25">
        <f>SUM(BX58:CA58)</f>
        <v>635</v>
      </c>
      <c r="FU58" s="25">
        <f>SUM(K58:L58)</f>
        <v>693</v>
      </c>
      <c r="FV58" s="25">
        <f>SUM(M58:N58)</f>
        <v>632</v>
      </c>
      <c r="FW58" s="25">
        <f>SUM(CJ58:CM58)</f>
        <v>502</v>
      </c>
      <c r="FX58" s="25">
        <f>SUM(CN58:CQ58)</f>
        <v>397</v>
      </c>
      <c r="FY58" s="25">
        <f>SUM(CR58:CU58)</f>
        <v>337</v>
      </c>
      <c r="FZ58" s="25">
        <f t="shared" ref="FZ58:FZ68" si="43">SUM(CV58:CY58)</f>
        <v>0</v>
      </c>
      <c r="GA58" s="25">
        <f t="shared" si="32"/>
        <v>0</v>
      </c>
      <c r="GB58" s="25">
        <f t="shared" si="33"/>
        <v>0</v>
      </c>
      <c r="GC58" s="25"/>
      <c r="GD58" s="126"/>
      <c r="GE58" s="126"/>
      <c r="GF58" s="126"/>
      <c r="GG58" s="126"/>
      <c r="GH58" s="126"/>
      <c r="GI58" s="126"/>
      <c r="GJ58" s="64"/>
      <c r="GK58" s="40"/>
      <c r="GL58" s="132">
        <f t="shared" si="18"/>
        <v>0</v>
      </c>
      <c r="GM58" s="64"/>
      <c r="GN58" s="132">
        <f t="shared" si="27"/>
        <v>0</v>
      </c>
    </row>
    <row r="59" spans="2:204" s="26" customFormat="1" ht="13" x14ac:dyDescent="0.3">
      <c r="B59" s="15" t="s">
        <v>32</v>
      </c>
      <c r="C59" s="23"/>
      <c r="D59" s="23"/>
      <c r="E59" s="23"/>
      <c r="F59" s="23"/>
      <c r="G59" s="23"/>
      <c r="H59" s="23"/>
      <c r="I59" s="25">
        <v>235</v>
      </c>
      <c r="J59" s="25">
        <f>500-I59</f>
        <v>265</v>
      </c>
      <c r="K59" s="25">
        <v>254</v>
      </c>
      <c r="L59" s="25">
        <f>498-K59</f>
        <v>244</v>
      </c>
      <c r="M59" s="25">
        <v>205</v>
      </c>
      <c r="N59" s="25">
        <f>425-M59</f>
        <v>220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>
        <f>250-BH59</f>
        <v>250</v>
      </c>
      <c r="BJ59" s="25"/>
      <c r="BK59" s="25">
        <f>437-BJ59-BI59-BH59</f>
        <v>187</v>
      </c>
      <c r="BL59" s="25"/>
      <c r="BM59" s="25">
        <v>110</v>
      </c>
      <c r="BN59" s="25">
        <v>111</v>
      </c>
      <c r="BO59" s="25">
        <f>329-BN59-BM59</f>
        <v>108</v>
      </c>
      <c r="BP59" s="25">
        <v>87</v>
      </c>
      <c r="BQ59" s="25">
        <f>200-BP59</f>
        <v>113</v>
      </c>
      <c r="BR59" s="25"/>
      <c r="BS59" s="93"/>
      <c r="BT59" s="66">
        <v>109</v>
      </c>
      <c r="BU59" s="66">
        <v>111</v>
      </c>
      <c r="BV59" s="66">
        <v>114</v>
      </c>
      <c r="BW59" s="66">
        <v>123</v>
      </c>
      <c r="BX59" s="66">
        <v>105</v>
      </c>
      <c r="BY59" s="66">
        <v>130</v>
      </c>
      <c r="BZ59" s="66">
        <v>130</v>
      </c>
      <c r="CA59" s="66">
        <v>135</v>
      </c>
      <c r="CB59" s="66">
        <v>130</v>
      </c>
      <c r="CC59" s="66">
        <v>124</v>
      </c>
      <c r="CD59" s="66">
        <v>127</v>
      </c>
      <c r="CE59" s="66">
        <v>117</v>
      </c>
      <c r="CF59" s="66">
        <v>105</v>
      </c>
      <c r="CG59" s="66">
        <v>100</v>
      </c>
      <c r="CH59" s="66">
        <v>110</v>
      </c>
      <c r="CI59" s="66">
        <v>110</v>
      </c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54">
        <f t="shared" si="20"/>
        <v>0</v>
      </c>
      <c r="EZ59" s="54"/>
      <c r="FA59" s="54"/>
      <c r="FB59" s="54"/>
      <c r="FC59" s="54"/>
      <c r="FD59" s="132"/>
      <c r="FE59" s="132"/>
      <c r="FF59" s="54"/>
      <c r="FG59" s="54"/>
      <c r="FH59" s="54"/>
      <c r="FI59" s="54"/>
      <c r="FJ59" s="54"/>
      <c r="FK59" s="66"/>
      <c r="FL59" s="66"/>
      <c r="FM59" s="5">
        <v>0</v>
      </c>
      <c r="FN59" s="5">
        <v>0</v>
      </c>
      <c r="FO59" s="5"/>
      <c r="FP59" s="25">
        <v>437</v>
      </c>
      <c r="FQ59" s="25">
        <v>451</v>
      </c>
      <c r="FR59" s="25">
        <v>437</v>
      </c>
      <c r="FS59" s="25">
        <f t="shared" ref="FS59:FS68" si="44">SUM(BT59:BW59)</f>
        <v>457</v>
      </c>
      <c r="FT59" s="25">
        <f t="shared" ref="FT59:FT68" si="45">SUM(BX59:CA59)</f>
        <v>500</v>
      </c>
      <c r="FU59" s="25">
        <f>SUM(K59:L59)</f>
        <v>498</v>
      </c>
      <c r="FV59" s="25">
        <f>SUM(M59:N59)</f>
        <v>425</v>
      </c>
      <c r="FW59" s="25"/>
      <c r="FX59" s="25"/>
      <c r="FZ59" s="25">
        <f t="shared" si="43"/>
        <v>0</v>
      </c>
      <c r="GA59" s="25">
        <f t="shared" si="32"/>
        <v>0</v>
      </c>
      <c r="GB59" s="25">
        <f t="shared" si="33"/>
        <v>0</v>
      </c>
      <c r="GD59" s="127"/>
      <c r="GE59" s="127"/>
      <c r="GF59" s="127"/>
      <c r="GG59" s="127"/>
      <c r="GH59" s="127"/>
      <c r="GI59" s="127"/>
      <c r="GJ59" s="64"/>
      <c r="GK59" s="134"/>
      <c r="GL59" s="132">
        <f t="shared" si="18"/>
        <v>0</v>
      </c>
      <c r="GM59" s="126"/>
      <c r="GN59" s="132">
        <f t="shared" si="27"/>
        <v>0</v>
      </c>
      <c r="GO59" s="25"/>
      <c r="GP59" s="25"/>
      <c r="GQ59" s="25"/>
      <c r="GR59" s="25"/>
      <c r="GS59" s="25"/>
      <c r="GT59" s="25"/>
      <c r="GU59" s="25"/>
      <c r="GV59" s="25"/>
    </row>
    <row r="60" spans="2:204" s="26" customFormat="1" ht="13" x14ac:dyDescent="0.3">
      <c r="B60" s="3" t="s">
        <v>36</v>
      </c>
      <c r="C60" s="23"/>
      <c r="D60" s="23"/>
      <c r="E60" s="23"/>
      <c r="F60" s="23"/>
      <c r="G60" s="23"/>
      <c r="H60" s="23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>
        <v>0</v>
      </c>
      <c r="BJ60" s="25">
        <v>0</v>
      </c>
      <c r="BK60" s="25">
        <v>0</v>
      </c>
      <c r="BL60" s="25"/>
      <c r="BM60" s="25"/>
      <c r="BN60" s="25"/>
      <c r="BO60" s="25"/>
      <c r="BP60" s="25"/>
      <c r="BQ60" s="25"/>
      <c r="BR60" s="25"/>
      <c r="BS60" s="93"/>
      <c r="BT60" s="66">
        <v>31</v>
      </c>
      <c r="BU60" s="66">
        <v>47</v>
      </c>
      <c r="BV60" s="66">
        <v>43</v>
      </c>
      <c r="BW60" s="66">
        <v>47</v>
      </c>
      <c r="BX60" s="66">
        <v>50</v>
      </c>
      <c r="BY60" s="66">
        <v>66</v>
      </c>
      <c r="BZ60" s="66">
        <v>62</v>
      </c>
      <c r="CA60" s="66">
        <v>81</v>
      </c>
      <c r="CB60" s="66">
        <v>72</v>
      </c>
      <c r="CC60" s="66">
        <v>71</v>
      </c>
      <c r="CD60" s="66">
        <v>78</v>
      </c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  <c r="EH60" s="66"/>
      <c r="EI60" s="66"/>
      <c r="EJ60" s="66"/>
      <c r="EK60" s="66"/>
      <c r="EL60" s="66"/>
      <c r="EM60" s="66"/>
      <c r="EN60" s="66"/>
      <c r="EO60" s="66"/>
      <c r="EP60" s="66"/>
      <c r="EQ60" s="66"/>
      <c r="ER60" s="66"/>
      <c r="ES60" s="66"/>
      <c r="ET60" s="66"/>
      <c r="EU60" s="66"/>
      <c r="EV60" s="66"/>
      <c r="EW60" s="66"/>
      <c r="EX60" s="66"/>
      <c r="EY60" s="54">
        <f t="shared" si="20"/>
        <v>0</v>
      </c>
      <c r="EZ60" s="54"/>
      <c r="FA60" s="54"/>
      <c r="FB60" s="54"/>
      <c r="FC60" s="54"/>
      <c r="FD60" s="132"/>
      <c r="FE60" s="132"/>
      <c r="FF60" s="54"/>
      <c r="FG60" s="54"/>
      <c r="FH60" s="54"/>
      <c r="FI60" s="54"/>
      <c r="FJ60" s="54"/>
      <c r="FK60" s="66"/>
      <c r="FL60" s="66"/>
      <c r="FM60" s="5">
        <v>0</v>
      </c>
      <c r="FN60" s="5">
        <v>0</v>
      </c>
      <c r="FO60" s="5"/>
      <c r="FP60" s="25">
        <v>0</v>
      </c>
      <c r="FQ60" s="25">
        <v>0</v>
      </c>
      <c r="FR60" s="25">
        <v>49</v>
      </c>
      <c r="FS60" s="25">
        <f t="shared" si="44"/>
        <v>168</v>
      </c>
      <c r="FT60" s="25">
        <f t="shared" si="45"/>
        <v>259</v>
      </c>
      <c r="FU60" s="25"/>
      <c r="FV60" s="25"/>
      <c r="FW60" s="25"/>
      <c r="FX60" s="25"/>
      <c r="FY60" s="25"/>
      <c r="FZ60" s="25">
        <f t="shared" si="43"/>
        <v>0</v>
      </c>
      <c r="GA60" s="25">
        <f t="shared" si="32"/>
        <v>0</v>
      </c>
      <c r="GB60" s="25">
        <f t="shared" si="33"/>
        <v>0</v>
      </c>
      <c r="GC60" s="25"/>
      <c r="GD60" s="126"/>
      <c r="GE60" s="126"/>
      <c r="GF60" s="126"/>
      <c r="GG60" s="126"/>
      <c r="GH60" s="126"/>
      <c r="GI60" s="126"/>
      <c r="GJ60" s="64"/>
      <c r="GK60" s="135"/>
      <c r="GL60" s="132">
        <f t="shared" si="18"/>
        <v>0</v>
      </c>
      <c r="GM60" s="136"/>
      <c r="GN60" s="132">
        <f t="shared" si="27"/>
        <v>0</v>
      </c>
      <c r="GO60" s="99"/>
      <c r="GP60" s="99"/>
      <c r="GQ60" s="99"/>
      <c r="GR60" s="99"/>
      <c r="GS60" s="99"/>
      <c r="GT60" s="99"/>
      <c r="GU60" s="99"/>
      <c r="GV60" s="99"/>
    </row>
    <row r="61" spans="2:204" s="26" customFormat="1" ht="13" x14ac:dyDescent="0.3">
      <c r="B61" s="3" t="s">
        <v>465</v>
      </c>
      <c r="C61" s="23"/>
      <c r="D61" s="23"/>
      <c r="E61" s="23"/>
      <c r="F61" s="23"/>
      <c r="G61" s="23"/>
      <c r="H61" s="23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>
        <v>0</v>
      </c>
      <c r="BJ61" s="25">
        <v>0</v>
      </c>
      <c r="BK61" s="25">
        <v>0</v>
      </c>
      <c r="BL61" s="25"/>
      <c r="BM61" s="25"/>
      <c r="BN61" s="25"/>
      <c r="BO61" s="25"/>
      <c r="BP61" s="25"/>
      <c r="BQ61" s="25"/>
      <c r="BR61" s="25"/>
      <c r="BS61" s="93"/>
      <c r="BT61" s="66">
        <v>7.904642409033876</v>
      </c>
      <c r="BU61" s="66">
        <v>16.813048933500628</v>
      </c>
      <c r="BV61" s="66">
        <v>23.282308657465496</v>
      </c>
      <c r="BW61" s="66">
        <v>22</v>
      </c>
      <c r="BX61" s="66">
        <v>28</v>
      </c>
      <c r="BY61" s="66">
        <v>31</v>
      </c>
      <c r="BZ61" s="66">
        <v>28</v>
      </c>
      <c r="CA61" s="66">
        <v>30</v>
      </c>
      <c r="CB61" s="66">
        <v>31</v>
      </c>
      <c r="CC61" s="66">
        <v>31</v>
      </c>
      <c r="CD61" s="66">
        <v>32</v>
      </c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54">
        <f t="shared" si="20"/>
        <v>0</v>
      </c>
      <c r="EZ61" s="54"/>
      <c r="FA61" s="54"/>
      <c r="FB61" s="54"/>
      <c r="FC61" s="54"/>
      <c r="FD61" s="132"/>
      <c r="FE61" s="132"/>
      <c r="FF61" s="54"/>
      <c r="FG61" s="54"/>
      <c r="FH61" s="54"/>
      <c r="FI61" s="54"/>
      <c r="FJ61" s="54"/>
      <c r="FK61" s="66"/>
      <c r="FL61" s="66"/>
      <c r="FM61" s="5">
        <v>0</v>
      </c>
      <c r="FN61" s="5">
        <v>0</v>
      </c>
      <c r="FO61" s="5"/>
      <c r="FP61" s="25">
        <v>0</v>
      </c>
      <c r="FQ61" s="25">
        <v>0</v>
      </c>
      <c r="FR61" s="25">
        <v>3</v>
      </c>
      <c r="FS61" s="25">
        <f t="shared" si="44"/>
        <v>70</v>
      </c>
      <c r="FT61" s="25">
        <f t="shared" si="45"/>
        <v>117</v>
      </c>
      <c r="FU61" s="25"/>
      <c r="FV61" s="25"/>
      <c r="FW61" s="25"/>
      <c r="FX61" s="25"/>
      <c r="FY61" s="25"/>
      <c r="FZ61" s="25">
        <f t="shared" si="43"/>
        <v>0</v>
      </c>
      <c r="GA61" s="25">
        <f t="shared" si="32"/>
        <v>0</v>
      </c>
      <c r="GB61" s="25">
        <f t="shared" si="33"/>
        <v>0</v>
      </c>
      <c r="GC61" s="25"/>
      <c r="GD61" s="126"/>
      <c r="GE61" s="126"/>
      <c r="GF61" s="126"/>
      <c r="GG61" s="126"/>
      <c r="GH61" s="126"/>
      <c r="GI61" s="126"/>
      <c r="GJ61" s="64"/>
      <c r="GK61" s="40"/>
      <c r="GL61" s="132">
        <f t="shared" si="18"/>
        <v>0</v>
      </c>
      <c r="GM61" s="64"/>
      <c r="GN61" s="132">
        <f t="shared" si="27"/>
        <v>0</v>
      </c>
    </row>
    <row r="62" spans="2:204" s="26" customFormat="1" ht="13" x14ac:dyDescent="0.3">
      <c r="B62" s="3" t="s">
        <v>464</v>
      </c>
      <c r="C62" s="23"/>
      <c r="D62" s="23"/>
      <c r="E62" s="23"/>
      <c r="F62" s="23"/>
      <c r="G62" s="23"/>
      <c r="H62" s="23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>
        <f>289-BJ62-BI62-BH62</f>
        <v>289</v>
      </c>
      <c r="BL62" s="25"/>
      <c r="BM62" s="25">
        <f>160-BL62</f>
        <v>160</v>
      </c>
      <c r="BN62" s="25"/>
      <c r="BO62" s="25"/>
      <c r="BP62" s="25"/>
      <c r="BQ62" s="25">
        <f>187-BP62</f>
        <v>187</v>
      </c>
      <c r="BR62" s="25"/>
      <c r="BS62" s="93"/>
      <c r="BT62" s="66">
        <v>104</v>
      </c>
      <c r="BU62" s="66">
        <v>96</v>
      </c>
      <c r="BV62" s="66">
        <v>86</v>
      </c>
      <c r="BW62" s="66">
        <v>75</v>
      </c>
      <c r="BX62" s="66">
        <v>83</v>
      </c>
      <c r="BY62" s="66">
        <v>84</v>
      </c>
      <c r="BZ62" s="66">
        <v>79</v>
      </c>
      <c r="CA62" s="66">
        <v>80</v>
      </c>
      <c r="CB62" s="66">
        <v>81</v>
      </c>
      <c r="CC62" s="66">
        <v>78</v>
      </c>
      <c r="CD62" s="66">
        <v>75</v>
      </c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54">
        <f t="shared" si="20"/>
        <v>0</v>
      </c>
      <c r="EZ62" s="54"/>
      <c r="FA62" s="54"/>
      <c r="FB62" s="54"/>
      <c r="FC62" s="54"/>
      <c r="FD62" s="132"/>
      <c r="FE62" s="132"/>
      <c r="FF62" s="54"/>
      <c r="FG62" s="54"/>
      <c r="FH62" s="54"/>
      <c r="FI62" s="54"/>
      <c r="FJ62" s="54"/>
      <c r="FK62" s="66"/>
      <c r="FL62" s="66"/>
      <c r="FM62" s="5">
        <v>0</v>
      </c>
      <c r="FN62" s="5">
        <v>236</v>
      </c>
      <c r="FO62" s="5"/>
      <c r="FP62" s="25">
        <v>289</v>
      </c>
      <c r="FQ62" s="25">
        <v>329</v>
      </c>
      <c r="FR62" s="25">
        <v>392</v>
      </c>
      <c r="FS62" s="25">
        <f t="shared" si="44"/>
        <v>361</v>
      </c>
      <c r="FT62" s="25">
        <f t="shared" si="45"/>
        <v>326</v>
      </c>
      <c r="FU62" s="25"/>
      <c r="FV62" s="25"/>
      <c r="FW62" s="25"/>
      <c r="FX62" s="25"/>
      <c r="FY62" s="25"/>
      <c r="FZ62" s="25">
        <f t="shared" si="43"/>
        <v>0</v>
      </c>
      <c r="GA62" s="25">
        <f t="shared" si="32"/>
        <v>0</v>
      </c>
      <c r="GB62" s="25">
        <f t="shared" si="33"/>
        <v>0</v>
      </c>
      <c r="GC62" s="25"/>
      <c r="GD62" s="126"/>
      <c r="GE62" s="126"/>
      <c r="GF62" s="126"/>
      <c r="GG62" s="126"/>
      <c r="GH62" s="126"/>
      <c r="GI62" s="126"/>
      <c r="GJ62" s="64"/>
      <c r="GK62" s="40"/>
      <c r="GL62" s="132">
        <f t="shared" si="18"/>
        <v>0</v>
      </c>
      <c r="GM62" s="64"/>
      <c r="GN62" s="132">
        <f t="shared" si="27"/>
        <v>0</v>
      </c>
    </row>
    <row r="63" spans="2:204" s="26" customFormat="1" ht="13" x14ac:dyDescent="0.3">
      <c r="B63" s="3" t="s">
        <v>466</v>
      </c>
      <c r="C63" s="23"/>
      <c r="D63" s="23"/>
      <c r="E63" s="23"/>
      <c r="F63" s="23"/>
      <c r="G63" s="23"/>
      <c r="H63" s="23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>
        <v>0</v>
      </c>
      <c r="BJ63" s="25">
        <v>0</v>
      </c>
      <c r="BK63" s="25">
        <v>0</v>
      </c>
      <c r="BL63" s="25"/>
      <c r="BM63" s="25"/>
      <c r="BN63" s="25"/>
      <c r="BO63" s="25"/>
      <c r="BP63" s="25"/>
      <c r="BQ63" s="25"/>
      <c r="BR63" s="25"/>
      <c r="BS63" s="93"/>
      <c r="BT63" s="66">
        <v>0</v>
      </c>
      <c r="BU63" s="66">
        <v>17</v>
      </c>
      <c r="BV63" s="66">
        <v>6</v>
      </c>
      <c r="BW63" s="66">
        <v>15</v>
      </c>
      <c r="BX63" s="66">
        <v>16</v>
      </c>
      <c r="BY63" s="66">
        <v>25</v>
      </c>
      <c r="BZ63" s="66">
        <v>28</v>
      </c>
      <c r="CA63" s="66">
        <v>35</v>
      </c>
      <c r="CB63" s="66">
        <v>27</v>
      </c>
      <c r="CC63" s="66">
        <v>37</v>
      </c>
      <c r="CD63" s="66">
        <v>37</v>
      </c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54">
        <f t="shared" si="20"/>
        <v>0</v>
      </c>
      <c r="EZ63" s="54"/>
      <c r="FA63" s="54"/>
      <c r="FB63" s="54"/>
      <c r="FC63" s="54"/>
      <c r="FD63" s="132"/>
      <c r="FE63" s="132"/>
      <c r="FF63" s="54"/>
      <c r="FG63" s="54"/>
      <c r="FH63" s="54"/>
      <c r="FI63" s="54"/>
      <c r="FJ63" s="54"/>
      <c r="FK63" s="66"/>
      <c r="FL63" s="66"/>
      <c r="FM63" s="5">
        <v>0</v>
      </c>
      <c r="FN63" s="5">
        <v>0</v>
      </c>
      <c r="FO63" s="5"/>
      <c r="FP63" s="25">
        <v>0</v>
      </c>
      <c r="FQ63" s="25">
        <v>0</v>
      </c>
      <c r="FR63" s="25">
        <v>0</v>
      </c>
      <c r="FS63" s="25">
        <f t="shared" si="44"/>
        <v>38</v>
      </c>
      <c r="FT63" s="25">
        <f t="shared" si="45"/>
        <v>104</v>
      </c>
      <c r="FU63" s="25"/>
      <c r="FV63" s="25"/>
      <c r="FW63" s="25"/>
      <c r="FX63" s="25"/>
      <c r="FY63" s="25"/>
      <c r="FZ63" s="25">
        <f t="shared" si="43"/>
        <v>0</v>
      </c>
      <c r="GA63" s="25">
        <f t="shared" si="32"/>
        <v>0</v>
      </c>
      <c r="GB63" s="25">
        <f t="shared" si="33"/>
        <v>0</v>
      </c>
      <c r="GC63" s="25"/>
      <c r="GD63" s="126"/>
      <c r="GE63" s="126"/>
      <c r="GF63" s="126"/>
      <c r="GG63" s="126"/>
      <c r="GH63" s="126"/>
      <c r="GI63" s="126"/>
      <c r="GJ63" s="64"/>
      <c r="GK63" s="40"/>
      <c r="GL63" s="132">
        <f t="shared" si="18"/>
        <v>0</v>
      </c>
      <c r="GM63" s="64"/>
      <c r="GN63" s="132">
        <f t="shared" si="27"/>
        <v>0</v>
      </c>
    </row>
    <row r="64" spans="2:204" s="26" customFormat="1" ht="13" x14ac:dyDescent="0.3">
      <c r="B64" s="3" t="s">
        <v>467</v>
      </c>
      <c r="C64" s="23"/>
      <c r="D64" s="23"/>
      <c r="E64" s="23"/>
      <c r="F64" s="23"/>
      <c r="G64" s="23"/>
      <c r="H64" s="23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>
        <v>0</v>
      </c>
      <c r="BJ64" s="25">
        <v>0</v>
      </c>
      <c r="BK64" s="25">
        <v>0</v>
      </c>
      <c r="BL64" s="25"/>
      <c r="BM64" s="25"/>
      <c r="BN64" s="25"/>
      <c r="BO64" s="25"/>
      <c r="BP64" s="25"/>
      <c r="BQ64" s="25"/>
      <c r="BR64" s="25"/>
      <c r="BS64" s="93"/>
      <c r="BT64" s="66">
        <v>11</v>
      </c>
      <c r="BU64" s="66">
        <v>11</v>
      </c>
      <c r="BV64" s="66">
        <v>11</v>
      </c>
      <c r="BW64" s="66">
        <v>12</v>
      </c>
      <c r="BX64" s="66">
        <v>11</v>
      </c>
      <c r="BY64" s="66">
        <v>15</v>
      </c>
      <c r="BZ64" s="66">
        <v>15</v>
      </c>
      <c r="CA64" s="66">
        <v>16</v>
      </c>
      <c r="CB64" s="66">
        <v>13</v>
      </c>
      <c r="CC64" s="66">
        <v>16</v>
      </c>
      <c r="CD64" s="66">
        <v>17</v>
      </c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54">
        <f t="shared" si="20"/>
        <v>0</v>
      </c>
      <c r="EZ64" s="54"/>
      <c r="FA64" s="54"/>
      <c r="FB64" s="54"/>
      <c r="FC64" s="54"/>
      <c r="FD64" s="132"/>
      <c r="FE64" s="132"/>
      <c r="FF64" s="54"/>
      <c r="FG64" s="54"/>
      <c r="FH64" s="54"/>
      <c r="FI64" s="54"/>
      <c r="FJ64" s="54"/>
      <c r="FK64" s="66"/>
      <c r="FL64" s="66"/>
      <c r="FM64" s="5">
        <v>0</v>
      </c>
      <c r="FN64" s="5">
        <v>0</v>
      </c>
      <c r="FO64" s="5"/>
      <c r="FP64" s="25">
        <v>0</v>
      </c>
      <c r="FQ64" s="25">
        <v>0</v>
      </c>
      <c r="FR64" s="25">
        <v>0</v>
      </c>
      <c r="FS64" s="25">
        <f t="shared" si="44"/>
        <v>45</v>
      </c>
      <c r="FT64" s="25">
        <f t="shared" si="45"/>
        <v>57</v>
      </c>
      <c r="FU64" s="25"/>
      <c r="FV64" s="25"/>
      <c r="FW64" s="25"/>
      <c r="FX64" s="25"/>
      <c r="FY64" s="25"/>
      <c r="FZ64" s="25">
        <f t="shared" si="43"/>
        <v>0</v>
      </c>
      <c r="GA64" s="25">
        <f t="shared" si="32"/>
        <v>0</v>
      </c>
      <c r="GB64" s="25">
        <f t="shared" si="33"/>
        <v>0</v>
      </c>
      <c r="GC64" s="25"/>
      <c r="GD64" s="126"/>
      <c r="GE64" s="126"/>
      <c r="GF64" s="126"/>
      <c r="GG64" s="126"/>
      <c r="GH64" s="126"/>
      <c r="GI64" s="126"/>
      <c r="GJ64" s="64"/>
      <c r="GK64" s="40"/>
      <c r="GL64" s="132">
        <f t="shared" si="18"/>
        <v>0</v>
      </c>
      <c r="GM64" s="64"/>
      <c r="GN64" s="132">
        <f t="shared" si="27"/>
        <v>0</v>
      </c>
    </row>
    <row r="65" spans="2:197" s="26" customFormat="1" ht="13" x14ac:dyDescent="0.3">
      <c r="B65" s="3" t="s">
        <v>1046</v>
      </c>
      <c r="C65" s="23"/>
      <c r="D65" s="23"/>
      <c r="E65" s="23"/>
      <c r="F65" s="23"/>
      <c r="G65" s="23"/>
      <c r="H65" s="23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93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54"/>
      <c r="EZ65" s="54"/>
      <c r="FA65" s="54"/>
      <c r="FB65" s="54"/>
      <c r="FC65" s="54"/>
      <c r="FD65" s="132"/>
      <c r="FE65" s="132"/>
      <c r="FF65" s="54"/>
      <c r="FG65" s="54"/>
      <c r="FH65" s="54"/>
      <c r="FI65" s="54"/>
      <c r="FJ65" s="54"/>
      <c r="FK65" s="66">
        <v>240</v>
      </c>
      <c r="FL65" s="66">
        <v>500</v>
      </c>
      <c r="FM65" s="5">
        <v>450</v>
      </c>
      <c r="FN65" s="5">
        <v>350</v>
      </c>
      <c r="FO65" s="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126"/>
      <c r="GE65" s="126"/>
      <c r="GF65" s="126"/>
      <c r="GG65" s="126"/>
      <c r="GH65" s="126"/>
      <c r="GI65" s="126"/>
      <c r="GJ65" s="64"/>
      <c r="GK65" s="40"/>
      <c r="GL65" s="132"/>
      <c r="GM65" s="64"/>
      <c r="GN65" s="132"/>
    </row>
    <row r="66" spans="2:197" s="26" customFormat="1" ht="13" x14ac:dyDescent="0.3">
      <c r="B66" s="3" t="s">
        <v>1033</v>
      </c>
      <c r="C66" s="23"/>
      <c r="D66" s="23"/>
      <c r="E66" s="23"/>
      <c r="F66" s="23"/>
      <c r="G66" s="23"/>
      <c r="H66" s="23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>
        <f>610-BH66</f>
        <v>610</v>
      </c>
      <c r="BJ66" s="25"/>
      <c r="BK66" s="25">
        <f>1166-BJ66-BI66-BH66</f>
        <v>556</v>
      </c>
      <c r="BL66" s="25">
        <f>569-BM66</f>
        <v>315</v>
      </c>
      <c r="BM66" s="25">
        <v>254</v>
      </c>
      <c r="BN66" s="25">
        <v>183</v>
      </c>
      <c r="BO66" s="25"/>
      <c r="BP66" s="25">
        <v>180</v>
      </c>
      <c r="BQ66" s="25">
        <f>297-BP66</f>
        <v>117</v>
      </c>
      <c r="BR66" s="25">
        <f>406-BQ66-BP66</f>
        <v>109</v>
      </c>
      <c r="BS66" s="66">
        <f>+FR66-BR66-BQ66-BP66</f>
        <v>-406</v>
      </c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54"/>
      <c r="EZ66" s="54"/>
      <c r="FA66" s="54"/>
      <c r="FB66" s="54"/>
      <c r="FC66" s="54"/>
      <c r="FD66" s="132"/>
      <c r="FE66" s="132"/>
      <c r="FF66" s="54"/>
      <c r="FG66" s="54"/>
      <c r="FH66" s="54"/>
      <c r="FI66" s="54">
        <v>445</v>
      </c>
      <c r="FJ66" s="54">
        <v>420</v>
      </c>
      <c r="FK66" s="66">
        <v>520</v>
      </c>
      <c r="FL66" s="66">
        <v>700</v>
      </c>
      <c r="FM66" s="122">
        <v>850</v>
      </c>
      <c r="FN66" s="122">
        <v>1040</v>
      </c>
      <c r="FO66" s="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126"/>
      <c r="GE66" s="126"/>
      <c r="GF66" s="126"/>
      <c r="GG66" s="126"/>
      <c r="GH66" s="126"/>
      <c r="GI66" s="126"/>
      <c r="GJ66" s="64"/>
      <c r="GK66" s="40"/>
      <c r="GL66" s="132"/>
      <c r="GM66" s="64"/>
      <c r="GN66" s="132"/>
    </row>
    <row r="67" spans="2:197" s="26" customFormat="1" ht="13" x14ac:dyDescent="0.3">
      <c r="B67" s="3" t="s">
        <v>1047</v>
      </c>
      <c r="C67" s="23"/>
      <c r="D67" s="23"/>
      <c r="E67" s="23"/>
      <c r="F67" s="23"/>
      <c r="G67" s="23"/>
      <c r="H67" s="23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>
        <f>316-BJ67-BI67-BH67</f>
        <v>316</v>
      </c>
      <c r="BL67" s="25"/>
      <c r="BM67" s="25"/>
      <c r="BN67" s="25"/>
      <c r="BO67" s="25"/>
      <c r="BP67" s="25"/>
      <c r="BQ67" s="25"/>
      <c r="BR67" s="25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54"/>
      <c r="EZ67" s="54"/>
      <c r="FA67" s="54"/>
      <c r="FB67" s="54"/>
      <c r="FC67" s="54"/>
      <c r="FD67" s="132"/>
      <c r="FE67" s="132"/>
      <c r="FF67" s="54"/>
      <c r="FG67" s="54"/>
      <c r="FH67" s="54"/>
      <c r="FI67" s="54"/>
      <c r="FJ67" s="54"/>
      <c r="FK67" s="66"/>
      <c r="FL67" s="66"/>
      <c r="FM67" s="122"/>
      <c r="FN67" s="122"/>
      <c r="FO67" s="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126"/>
      <c r="GE67" s="126"/>
      <c r="GF67" s="126"/>
      <c r="GG67" s="126"/>
      <c r="GH67" s="126"/>
      <c r="GI67" s="126"/>
      <c r="GJ67" s="64"/>
      <c r="GK67" s="40"/>
      <c r="GL67" s="132"/>
      <c r="GM67" s="64"/>
      <c r="GN67" s="132"/>
    </row>
    <row r="68" spans="2:197" s="26" customFormat="1" ht="13" x14ac:dyDescent="0.3">
      <c r="B68" s="3" t="s">
        <v>35</v>
      </c>
      <c r="C68" s="23"/>
      <c r="D68" s="23"/>
      <c r="E68" s="23"/>
      <c r="F68" s="23"/>
      <c r="G68" s="23"/>
      <c r="H68" s="23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>
        <v>0</v>
      </c>
      <c r="BJ68" s="25">
        <v>0</v>
      </c>
      <c r="BK68" s="25">
        <v>0</v>
      </c>
      <c r="BL68" s="25"/>
      <c r="BM68" s="25"/>
      <c r="BN68" s="25"/>
      <c r="BO68" s="25"/>
      <c r="BP68" s="25"/>
      <c r="BQ68" s="25"/>
      <c r="BR68" s="25"/>
      <c r="BS68" s="66"/>
      <c r="BT68" s="66">
        <v>102</v>
      </c>
      <c r="BU68" s="66">
        <v>95</v>
      </c>
      <c r="BV68" s="66">
        <v>99</v>
      </c>
      <c r="BW68" s="66">
        <v>87</v>
      </c>
      <c r="BX68" s="66">
        <v>104</v>
      </c>
      <c r="BY68" s="66">
        <v>109</v>
      </c>
      <c r="BZ68" s="66">
        <v>107</v>
      </c>
      <c r="CA68" s="66">
        <v>87</v>
      </c>
      <c r="CB68" s="66">
        <v>60</v>
      </c>
      <c r="CC68" s="66">
        <v>57</v>
      </c>
      <c r="CD68" s="66">
        <v>53</v>
      </c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54">
        <f t="shared" si="20"/>
        <v>0</v>
      </c>
      <c r="EZ68" s="54"/>
      <c r="FA68" s="54"/>
      <c r="FB68" s="54"/>
      <c r="FC68" s="54"/>
      <c r="FD68" s="132"/>
      <c r="FE68" s="132"/>
      <c r="FF68" s="54"/>
      <c r="FG68" s="54"/>
      <c r="FH68" s="54"/>
      <c r="FI68" s="122">
        <v>0</v>
      </c>
      <c r="FJ68" s="122">
        <v>0</v>
      </c>
      <c r="FK68" s="122">
        <v>0</v>
      </c>
      <c r="FL68" s="122">
        <v>0</v>
      </c>
      <c r="FM68" s="122">
        <v>0</v>
      </c>
      <c r="FN68" s="122">
        <v>0</v>
      </c>
      <c r="FO68" s="5"/>
      <c r="FP68" s="25">
        <v>0</v>
      </c>
      <c r="FQ68" s="25">
        <v>0</v>
      </c>
      <c r="FR68" s="25">
        <v>223</v>
      </c>
      <c r="FS68" s="25">
        <f t="shared" si="44"/>
        <v>383</v>
      </c>
      <c r="FT68" s="25">
        <f t="shared" si="45"/>
        <v>407</v>
      </c>
      <c r="FU68" s="25"/>
      <c r="FV68" s="25"/>
      <c r="FW68" s="25"/>
      <c r="FX68" s="25"/>
      <c r="FY68" s="25"/>
      <c r="FZ68" s="25">
        <f t="shared" si="43"/>
        <v>0</v>
      </c>
      <c r="GA68" s="25">
        <f t="shared" si="32"/>
        <v>0</v>
      </c>
      <c r="GB68" s="25">
        <f t="shared" si="33"/>
        <v>0</v>
      </c>
      <c r="GC68" s="25"/>
      <c r="GD68" s="126"/>
      <c r="GE68" s="126"/>
      <c r="GF68" s="126"/>
      <c r="GG68" s="126"/>
      <c r="GH68" s="126"/>
      <c r="GI68" s="126"/>
      <c r="GJ68" s="64"/>
      <c r="GK68" s="40"/>
      <c r="GL68" s="132">
        <f t="shared" si="18"/>
        <v>0</v>
      </c>
      <c r="GM68" s="64"/>
      <c r="GN68" s="132">
        <f t="shared" si="27"/>
        <v>0</v>
      </c>
    </row>
    <row r="69" spans="2:197" s="26" customFormat="1" ht="13" x14ac:dyDescent="0.3">
      <c r="B69" s="3" t="s">
        <v>699</v>
      </c>
      <c r="C69" s="23"/>
      <c r="D69" s="23"/>
      <c r="E69" s="23"/>
      <c r="F69" s="23"/>
      <c r="G69" s="23"/>
      <c r="H69" s="23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>
        <v>31</v>
      </c>
      <c r="W69" s="25"/>
      <c r="X69" s="25"/>
      <c r="Y69" s="25"/>
      <c r="Z69" s="25"/>
      <c r="AA69" s="25">
        <v>155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>
        <v>0</v>
      </c>
      <c r="BJ69" s="25">
        <v>0</v>
      </c>
      <c r="BK69" s="25">
        <v>0</v>
      </c>
      <c r="BL69" s="25"/>
      <c r="BM69" s="25"/>
      <c r="BN69" s="25"/>
      <c r="BO69" s="25"/>
      <c r="BP69" s="25"/>
      <c r="BQ69" s="25"/>
      <c r="BR69" s="25"/>
      <c r="BS69" s="93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>
        <v>32</v>
      </c>
      <c r="DA69" s="66">
        <v>60</v>
      </c>
      <c r="DB69" s="66">
        <v>65</v>
      </c>
      <c r="DC69" s="66">
        <v>77</v>
      </c>
      <c r="DD69" s="66">
        <v>84</v>
      </c>
      <c r="DE69" s="66">
        <v>87</v>
      </c>
      <c r="DF69" s="66">
        <v>89</v>
      </c>
      <c r="DG69" s="66">
        <v>94</v>
      </c>
      <c r="DH69" s="66">
        <v>79</v>
      </c>
      <c r="DI69" s="66">
        <v>76</v>
      </c>
      <c r="DJ69" s="66"/>
      <c r="DK69" s="66"/>
      <c r="DL69" s="66"/>
      <c r="DM69" s="66"/>
      <c r="DN69" s="66">
        <f>158-DM69</f>
        <v>158</v>
      </c>
      <c r="DO69" s="66">
        <f>214-DN69-DM69-DL69-DK69</f>
        <v>56</v>
      </c>
      <c r="DP69" s="66"/>
      <c r="DQ69" s="66"/>
      <c r="DR69" s="66"/>
      <c r="DS69" s="66">
        <f>213-DR69-DQ69-DP69</f>
        <v>213</v>
      </c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54">
        <f t="shared" si="20"/>
        <v>0</v>
      </c>
      <c r="EZ69" s="54"/>
      <c r="FA69" s="54"/>
      <c r="FB69" s="54"/>
      <c r="FC69" s="54"/>
      <c r="FD69" s="132"/>
      <c r="FE69" s="132"/>
      <c r="FF69" s="54"/>
      <c r="FG69" s="54"/>
      <c r="FH69" s="54"/>
      <c r="FI69" s="122">
        <v>0</v>
      </c>
      <c r="FJ69" s="122">
        <v>0</v>
      </c>
      <c r="FK69" s="122">
        <v>0</v>
      </c>
      <c r="FL69" s="122">
        <v>0</v>
      </c>
      <c r="FM69" s="122">
        <v>0</v>
      </c>
      <c r="FN69" s="122">
        <v>0</v>
      </c>
      <c r="FO69" s="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>
        <f t="shared" si="32"/>
        <v>234</v>
      </c>
      <c r="GB69" s="25">
        <f t="shared" si="33"/>
        <v>354</v>
      </c>
      <c r="GC69" s="25">
        <v>301</v>
      </c>
      <c r="GD69" s="126"/>
      <c r="GE69" s="126"/>
      <c r="GF69" s="126"/>
      <c r="GG69" s="126"/>
      <c r="GH69" s="126"/>
      <c r="GI69" s="126"/>
      <c r="GJ69" s="64"/>
      <c r="GK69" s="40"/>
      <c r="GL69" s="132"/>
      <c r="GM69" s="64"/>
      <c r="GN69" s="132">
        <f t="shared" si="27"/>
        <v>0</v>
      </c>
    </row>
    <row r="70" spans="2:197" s="26" customFormat="1" ht="13" x14ac:dyDescent="0.3">
      <c r="B70" s="3" t="s">
        <v>1045</v>
      </c>
      <c r="C70" s="23"/>
      <c r="D70" s="23"/>
      <c r="E70" s="23"/>
      <c r="F70" s="23"/>
      <c r="G70" s="23"/>
      <c r="H70" s="23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>
        <f>203-BJ70-BI70-BH70</f>
        <v>203</v>
      </c>
      <c r="BL70" s="25"/>
      <c r="BM70" s="25">
        <f>160-BL70</f>
        <v>160</v>
      </c>
      <c r="BN70" s="25"/>
      <c r="BO70" s="25"/>
      <c r="BP70" s="25"/>
      <c r="BQ70" s="25"/>
      <c r="BR70" s="25"/>
      <c r="BS70" s="93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54"/>
      <c r="EZ70" s="54"/>
      <c r="FA70" s="54"/>
      <c r="FB70" s="54"/>
      <c r="FC70" s="54"/>
      <c r="FD70" s="132"/>
      <c r="FE70" s="132"/>
      <c r="FF70" s="54"/>
      <c r="FG70" s="54"/>
      <c r="FH70" s="54"/>
      <c r="FI70" s="54">
        <v>485</v>
      </c>
      <c r="FJ70" s="54">
        <v>470</v>
      </c>
      <c r="FK70" s="66">
        <v>525</v>
      </c>
      <c r="FL70" s="66">
        <v>660</v>
      </c>
      <c r="FM70" s="122">
        <v>750</v>
      </c>
      <c r="FN70" s="122">
        <v>840</v>
      </c>
      <c r="FO70" s="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126"/>
      <c r="GE70" s="126"/>
      <c r="GF70" s="126"/>
      <c r="GG70" s="126"/>
      <c r="GH70" s="126"/>
      <c r="GI70" s="126"/>
      <c r="GJ70" s="64"/>
      <c r="GK70" s="40"/>
      <c r="GL70" s="132"/>
      <c r="GM70" s="64"/>
      <c r="GN70" s="132"/>
    </row>
    <row r="71" spans="2:197" s="26" customFormat="1" ht="13" x14ac:dyDescent="0.3">
      <c r="B71" s="15" t="s">
        <v>37</v>
      </c>
      <c r="C71" s="23"/>
      <c r="D71" s="23"/>
      <c r="E71" s="23"/>
      <c r="F71" s="23"/>
      <c r="G71" s="23"/>
      <c r="H71" s="23"/>
      <c r="I71" s="25">
        <v>614</v>
      </c>
      <c r="J71" s="25">
        <f>927-I71</f>
        <v>313</v>
      </c>
      <c r="K71" s="25">
        <v>216</v>
      </c>
      <c r="L71" s="25">
        <f>416-K71</f>
        <v>200</v>
      </c>
      <c r="M71" s="25">
        <v>204</v>
      </c>
      <c r="N71" s="25">
        <f>399-M71</f>
        <v>195</v>
      </c>
      <c r="O71" s="25">
        <v>176</v>
      </c>
      <c r="P71" s="25">
        <f>SUM(CL71:CM71)</f>
        <v>168</v>
      </c>
      <c r="Q71" s="25">
        <f>SUM(CN71:CO71)</f>
        <v>164</v>
      </c>
      <c r="R71" s="25">
        <f>CP71+CQ71</f>
        <v>143</v>
      </c>
      <c r="S71" s="25">
        <v>165</v>
      </c>
      <c r="T71" s="25">
        <f>+CU71+CT71</f>
        <v>146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>
        <f>900-BH71</f>
        <v>900</v>
      </c>
      <c r="BJ71" s="25"/>
      <c r="BK71" s="25">
        <f>1698-BJ71-BI71-BH71</f>
        <v>798</v>
      </c>
      <c r="BL71" s="25"/>
      <c r="BM71" s="25">
        <f>913-BL71</f>
        <v>913</v>
      </c>
      <c r="BN71" s="25">
        <v>311</v>
      </c>
      <c r="BO71" s="25">
        <v>324</v>
      </c>
      <c r="BP71" s="25">
        <v>379</v>
      </c>
      <c r="BQ71" s="25">
        <f>712-BP71</f>
        <v>333</v>
      </c>
      <c r="BR71" s="25">
        <f>1023-BQ71-BP71</f>
        <v>311</v>
      </c>
      <c r="BS71" s="66">
        <f>+FR71-BR71-BQ71-BP71</f>
        <v>352</v>
      </c>
      <c r="BT71" s="66">
        <v>369</v>
      </c>
      <c r="BU71" s="66">
        <v>305</v>
      </c>
      <c r="BV71" s="66">
        <v>307</v>
      </c>
      <c r="BW71" s="66">
        <v>321</v>
      </c>
      <c r="BX71" s="66">
        <v>330</v>
      </c>
      <c r="BY71" s="66">
        <v>284</v>
      </c>
      <c r="BZ71" s="66">
        <v>152</v>
      </c>
      <c r="CA71" s="66">
        <v>161</v>
      </c>
      <c r="CB71" s="66">
        <v>110</v>
      </c>
      <c r="CC71" s="66">
        <v>106</v>
      </c>
      <c r="CD71" s="66">
        <v>96</v>
      </c>
      <c r="CE71" s="66">
        <v>104</v>
      </c>
      <c r="CF71" s="66">
        <v>100</v>
      </c>
      <c r="CG71" s="66">
        <v>104</v>
      </c>
      <c r="CH71" s="66">
        <v>95</v>
      </c>
      <c r="CI71" s="66">
        <v>100</v>
      </c>
      <c r="CJ71" s="66">
        <v>91</v>
      </c>
      <c r="CK71" s="66">
        <v>85</v>
      </c>
      <c r="CL71" s="66">
        <v>76</v>
      </c>
      <c r="CM71" s="66">
        <v>92</v>
      </c>
      <c r="CN71" s="66">
        <v>77</v>
      </c>
      <c r="CO71" s="66">
        <v>87</v>
      </c>
      <c r="CP71" s="66">
        <v>73</v>
      </c>
      <c r="CQ71" s="66">
        <v>70</v>
      </c>
      <c r="CR71" s="66">
        <v>82</v>
      </c>
      <c r="CS71" s="66">
        <f>+S71-CR71</f>
        <v>83</v>
      </c>
      <c r="CT71" s="66">
        <f>242-CS71-CR71</f>
        <v>77</v>
      </c>
      <c r="CU71" s="66">
        <v>69</v>
      </c>
      <c r="CV71" s="66"/>
      <c r="CW71" s="66"/>
      <c r="CX71" s="66"/>
      <c r="CY71" s="66"/>
      <c r="CZ71" s="66">
        <v>73</v>
      </c>
      <c r="DA71" s="66">
        <v>60</v>
      </c>
      <c r="DB71" s="66">
        <v>65</v>
      </c>
      <c r="DC71" s="66">
        <v>68</v>
      </c>
      <c r="DD71" s="66">
        <v>68</v>
      </c>
      <c r="DE71" s="66">
        <v>70</v>
      </c>
      <c r="DF71" s="66"/>
      <c r="DG71" s="66"/>
      <c r="DH71" s="66">
        <v>68</v>
      </c>
      <c r="DI71" s="66">
        <v>65</v>
      </c>
      <c r="DJ71" s="66">
        <v>72</v>
      </c>
      <c r="DK71" s="66">
        <v>78</v>
      </c>
      <c r="DL71" s="66">
        <v>79</v>
      </c>
      <c r="DM71" s="66">
        <v>63</v>
      </c>
      <c r="DN71" s="66">
        <v>64</v>
      </c>
      <c r="DO71" s="66">
        <v>73</v>
      </c>
      <c r="DP71" s="66">
        <v>82</v>
      </c>
      <c r="DQ71" s="66">
        <v>75</v>
      </c>
      <c r="DR71" s="66">
        <f>232-DQ71-DP71</f>
        <v>75</v>
      </c>
      <c r="DS71" s="66">
        <v>66</v>
      </c>
      <c r="DT71" s="66">
        <v>74</v>
      </c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54">
        <f t="shared" si="20"/>
        <v>0</v>
      </c>
      <c r="EZ71" s="54"/>
      <c r="FA71" s="54"/>
      <c r="FB71" s="54"/>
      <c r="FC71" s="54"/>
      <c r="FD71" s="132"/>
      <c r="FE71" s="132"/>
      <c r="FF71" s="54"/>
      <c r="FG71" s="54"/>
      <c r="FH71" s="54"/>
      <c r="FI71" s="54">
        <v>1240</v>
      </c>
      <c r="FJ71" s="54">
        <v>1170</v>
      </c>
      <c r="FK71" s="66">
        <v>1260</v>
      </c>
      <c r="FL71" s="66">
        <v>1500</v>
      </c>
      <c r="FM71" s="122">
        <v>1630</v>
      </c>
      <c r="FN71" s="122">
        <v>1760</v>
      </c>
      <c r="FO71" s="5"/>
      <c r="FP71" s="25">
        <v>1755</v>
      </c>
      <c r="FQ71" s="25">
        <v>1548</v>
      </c>
      <c r="FR71" s="25">
        <v>1375</v>
      </c>
      <c r="FS71" s="25">
        <f>SUM(BT71:BW71)</f>
        <v>1302</v>
      </c>
      <c r="FT71" s="25">
        <f>SUM(BX71:CA71)</f>
        <v>927</v>
      </c>
      <c r="FU71" s="25">
        <f>SUM(K71:L71)</f>
        <v>416</v>
      </c>
      <c r="FV71" s="25">
        <f>SUM(M71:N71)</f>
        <v>399</v>
      </c>
      <c r="FW71" s="25">
        <f>SUM(CJ71:CM71)</f>
        <v>344</v>
      </c>
      <c r="FX71" s="25">
        <f>SUM(CN71:CQ71)</f>
        <v>307</v>
      </c>
      <c r="FY71" s="25">
        <f>SUM(CR71:CU71)</f>
        <v>311</v>
      </c>
      <c r="FZ71" s="25"/>
      <c r="GA71" s="25">
        <f t="shared" si="32"/>
        <v>266</v>
      </c>
      <c r="GB71" s="25">
        <v>268</v>
      </c>
      <c r="GC71" s="25">
        <v>283</v>
      </c>
      <c r="GD71" s="126">
        <v>279</v>
      </c>
      <c r="GE71" s="126">
        <v>298</v>
      </c>
      <c r="GF71" s="126">
        <v>299</v>
      </c>
      <c r="GG71" s="126">
        <v>305</v>
      </c>
      <c r="GH71" s="126">
        <v>342</v>
      </c>
      <c r="GI71" s="126">
        <v>252</v>
      </c>
      <c r="GJ71" s="126">
        <v>244</v>
      </c>
      <c r="GK71" s="40"/>
      <c r="GL71" s="132"/>
      <c r="GM71" s="64"/>
      <c r="GN71" s="132">
        <f t="shared" si="27"/>
        <v>0</v>
      </c>
    </row>
    <row r="72" spans="2:197" s="26" customFormat="1" ht="13" x14ac:dyDescent="0.3">
      <c r="B72" s="3" t="s">
        <v>995</v>
      </c>
      <c r="C72" s="23"/>
      <c r="D72" s="23"/>
      <c r="E72" s="23"/>
      <c r="F72" s="23"/>
      <c r="G72" s="23"/>
      <c r="H72" s="23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93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54"/>
      <c r="EZ72" s="54"/>
      <c r="FA72" s="54"/>
      <c r="FB72" s="54"/>
      <c r="FC72" s="54"/>
      <c r="FD72" s="132"/>
      <c r="FE72" s="132"/>
      <c r="FF72" s="54"/>
      <c r="FG72" s="54"/>
      <c r="FH72" s="54"/>
      <c r="FI72" s="54"/>
      <c r="FJ72" s="54"/>
      <c r="FK72" s="66"/>
      <c r="FL72" s="66"/>
      <c r="FM72" s="5"/>
      <c r="FN72" s="5"/>
      <c r="FO72" s="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>
        <v>698</v>
      </c>
      <c r="GC72" s="25">
        <v>679</v>
      </c>
      <c r="GD72" s="126">
        <v>763</v>
      </c>
      <c r="GE72" s="126">
        <v>1050</v>
      </c>
      <c r="GF72" s="126">
        <v>676</v>
      </c>
      <c r="GG72" s="126">
        <v>645</v>
      </c>
      <c r="GH72" s="126">
        <v>647</v>
      </c>
      <c r="GI72" s="126"/>
      <c r="GJ72" s="126"/>
      <c r="GK72" s="40"/>
      <c r="GL72" s="132">
        <v>526</v>
      </c>
      <c r="GM72" s="132">
        <v>419</v>
      </c>
      <c r="GN72" s="132">
        <f t="shared" si="27"/>
        <v>0</v>
      </c>
    </row>
    <row r="73" spans="2:197" s="26" customFormat="1" ht="13" x14ac:dyDescent="0.3">
      <c r="B73" s="3" t="s">
        <v>996</v>
      </c>
      <c r="C73" s="23"/>
      <c r="D73" s="23"/>
      <c r="E73" s="23"/>
      <c r="F73" s="23"/>
      <c r="G73" s="23"/>
      <c r="H73" s="23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93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54"/>
      <c r="EZ73" s="54"/>
      <c r="FA73" s="54"/>
      <c r="FB73" s="54"/>
      <c r="FC73" s="54"/>
      <c r="FD73" s="132"/>
      <c r="FE73" s="132"/>
      <c r="FF73" s="54"/>
      <c r="FG73" s="54"/>
      <c r="FH73" s="54"/>
      <c r="FI73" s="54"/>
      <c r="FJ73" s="54"/>
      <c r="FK73" s="66"/>
      <c r="FL73" s="66"/>
      <c r="FM73" s="5"/>
      <c r="FN73" s="5"/>
      <c r="FO73" s="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>
        <f>272+164</f>
        <v>436</v>
      </c>
      <c r="GC73" s="25">
        <f>183+211</f>
        <v>394</v>
      </c>
      <c r="GD73" s="126">
        <f>114+160</f>
        <v>274</v>
      </c>
      <c r="GE73" s="126">
        <f>116+104</f>
        <v>220</v>
      </c>
      <c r="GF73" s="126">
        <f>91+523</f>
        <v>614</v>
      </c>
      <c r="GG73" s="126">
        <f>88+401</f>
        <v>489</v>
      </c>
      <c r="GH73" s="126">
        <f>111+370</f>
        <v>481</v>
      </c>
      <c r="GI73" s="126"/>
      <c r="GJ73" s="126"/>
      <c r="GK73" s="40"/>
      <c r="GL73" s="132">
        <v>58</v>
      </c>
      <c r="GM73" s="132">
        <v>87</v>
      </c>
      <c r="GN73" s="132">
        <f t="shared" si="27"/>
        <v>0</v>
      </c>
    </row>
    <row r="74" spans="2:197" s="26" customFormat="1" ht="13" x14ac:dyDescent="0.3">
      <c r="B74" s="3" t="s">
        <v>997</v>
      </c>
      <c r="C74" s="23"/>
      <c r="D74" s="23"/>
      <c r="E74" s="23"/>
      <c r="F74" s="23"/>
      <c r="G74" s="23"/>
      <c r="H74" s="23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93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54"/>
      <c r="EZ74" s="54"/>
      <c r="FA74" s="54"/>
      <c r="FB74" s="54"/>
      <c r="FC74" s="54"/>
      <c r="FD74" s="132"/>
      <c r="FE74" s="132"/>
      <c r="FF74" s="54"/>
      <c r="FG74" s="54"/>
      <c r="FH74" s="54"/>
      <c r="FI74" s="54"/>
      <c r="FJ74" s="54"/>
      <c r="FK74" s="66"/>
      <c r="FL74" s="66"/>
      <c r="FM74" s="5"/>
      <c r="FN74" s="5"/>
      <c r="FO74" s="5"/>
      <c r="FP74" s="25"/>
      <c r="FQ74" s="25"/>
      <c r="FR74" s="25"/>
      <c r="FS74" s="25"/>
      <c r="FT74" s="25"/>
      <c r="FU74" s="25"/>
      <c r="FV74" s="25"/>
      <c r="FW74" s="25"/>
      <c r="FX74" s="25"/>
      <c r="FY74" s="25"/>
      <c r="FZ74" s="25"/>
      <c r="GA74" s="25"/>
      <c r="GB74" s="25">
        <v>497</v>
      </c>
      <c r="GC74" s="25">
        <v>434</v>
      </c>
      <c r="GD74" s="126">
        <v>373</v>
      </c>
      <c r="GE74" s="126">
        <v>367</v>
      </c>
      <c r="GF74" s="126">
        <v>339</v>
      </c>
      <c r="GG74" s="126">
        <v>311</v>
      </c>
      <c r="GH74" s="126">
        <v>283</v>
      </c>
      <c r="GI74" s="126"/>
      <c r="GJ74" s="126"/>
      <c r="GK74" s="40"/>
      <c r="GL74" s="132">
        <v>34</v>
      </c>
      <c r="GM74" s="132">
        <v>24</v>
      </c>
      <c r="GN74" s="132">
        <f t="shared" si="27"/>
        <v>0</v>
      </c>
    </row>
    <row r="75" spans="2:197" s="26" customFormat="1" ht="13" x14ac:dyDescent="0.3">
      <c r="B75" s="3"/>
      <c r="C75" s="23"/>
      <c r="D75" s="23"/>
      <c r="E75" s="23"/>
      <c r="F75" s="23"/>
      <c r="G75" s="23"/>
      <c r="H75" s="23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93"/>
      <c r="BT75" s="93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54"/>
      <c r="EZ75" s="54"/>
      <c r="FA75" s="54"/>
      <c r="FB75" s="54"/>
      <c r="FC75" s="54"/>
      <c r="FD75" s="132"/>
      <c r="FE75" s="132"/>
      <c r="FF75" s="54"/>
      <c r="FG75" s="54"/>
      <c r="FH75" s="54"/>
      <c r="FI75" s="54"/>
      <c r="FJ75" s="54"/>
      <c r="FK75" s="66"/>
      <c r="FL75" s="66"/>
      <c r="FM75" s="5"/>
      <c r="FN75" s="5"/>
      <c r="FO75" s="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126"/>
      <c r="GE75" s="126"/>
      <c r="GF75" s="126"/>
      <c r="GG75" s="126"/>
      <c r="GH75" s="126"/>
      <c r="GI75" s="126"/>
      <c r="GJ75" s="64"/>
      <c r="GK75" s="40"/>
      <c r="GL75" s="132"/>
      <c r="GM75" s="64"/>
      <c r="GN75" s="132">
        <f t="shared" si="27"/>
        <v>0</v>
      </c>
    </row>
    <row r="76" spans="2:197" s="26" customFormat="1" ht="13" x14ac:dyDescent="0.3">
      <c r="B76" s="3" t="s">
        <v>338</v>
      </c>
      <c r="C76" s="23"/>
      <c r="D76" s="23"/>
      <c r="E76" s="23"/>
      <c r="F76" s="23"/>
      <c r="G76" s="23"/>
      <c r="H76" s="23"/>
      <c r="I76" s="25"/>
      <c r="J76" s="25"/>
      <c r="K76" s="25"/>
      <c r="L76" s="25"/>
      <c r="M76" s="25"/>
      <c r="N76" s="25"/>
      <c r="O76" s="25"/>
      <c r="P76" s="25"/>
      <c r="Q76" s="68">
        <f>Q8+Q4+Q5-SUM(Q24:Q56)</f>
        <v>9018</v>
      </c>
      <c r="R76" s="68">
        <f>R8+R4+R5-SUM(R24:R56)</f>
        <v>6571</v>
      </c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93"/>
      <c r="BT76" s="66">
        <v>1354</v>
      </c>
      <c r="BU76" s="66">
        <v>1389</v>
      </c>
      <c r="BV76" s="66">
        <v>1247</v>
      </c>
      <c r="BW76" s="66">
        <v>1287</v>
      </c>
      <c r="BX76" s="66">
        <v>1332</v>
      </c>
      <c r="BY76" s="66">
        <v>1387.7282626022334</v>
      </c>
      <c r="BZ76" s="66">
        <v>1301.2717373977657</v>
      </c>
      <c r="CA76" s="66">
        <v>1442</v>
      </c>
      <c r="CB76" s="66">
        <v>1278</v>
      </c>
      <c r="CC76" s="66">
        <v>1338</v>
      </c>
      <c r="CD76" s="66">
        <v>1286.2578675886843</v>
      </c>
      <c r="CE76" s="66">
        <v>1242.1465217449652</v>
      </c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25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>
        <v>787</v>
      </c>
      <c r="EO76" s="66"/>
      <c r="EP76" s="66"/>
      <c r="EQ76" s="66"/>
      <c r="ER76" s="66"/>
      <c r="ES76" s="66"/>
      <c r="ET76" s="66"/>
      <c r="EU76" s="66"/>
      <c r="EV76" s="66">
        <v>779</v>
      </c>
      <c r="EW76" s="66"/>
      <c r="EX76" s="66"/>
      <c r="EY76" s="54">
        <f t="shared" si="20"/>
        <v>1397</v>
      </c>
      <c r="EZ76" s="54">
        <v>754</v>
      </c>
      <c r="FA76" s="54">
        <f>1321-EZ76</f>
        <v>567</v>
      </c>
      <c r="FB76" s="54">
        <f>1825-FA76-EZ76</f>
        <v>504</v>
      </c>
      <c r="FC76" s="54">
        <f>2541-FB76-FA76-EZ76</f>
        <v>716</v>
      </c>
      <c r="FD76" s="132">
        <v>555</v>
      </c>
      <c r="FE76" s="132">
        <f>1097-FD76</f>
        <v>542</v>
      </c>
      <c r="FF76" s="54"/>
      <c r="FG76" s="54"/>
      <c r="FH76" s="54"/>
      <c r="FI76" s="54"/>
      <c r="FJ76" s="54"/>
      <c r="FK76" s="66"/>
      <c r="FL76" s="66"/>
      <c r="FM76" s="5"/>
      <c r="FN76" s="5"/>
      <c r="FO76" s="5"/>
      <c r="FP76" s="25">
        <v>7640</v>
      </c>
      <c r="FQ76" s="25">
        <v>6710</v>
      </c>
      <c r="FR76" s="25">
        <v>6004</v>
      </c>
      <c r="FS76" s="25">
        <f>SUM(BT76:BW76)</f>
        <v>5277</v>
      </c>
      <c r="FT76" s="25">
        <f>SUM(BX76:CA76)</f>
        <v>5462.9999999999991</v>
      </c>
      <c r="FU76" s="25">
        <f>SUM(CB76:CE76)</f>
        <v>5144.4043893336493</v>
      </c>
      <c r="FV76" s="25"/>
      <c r="FW76" s="25"/>
      <c r="FX76" s="25"/>
      <c r="FY76" s="25"/>
      <c r="FZ76" s="25"/>
      <c r="GA76" s="25"/>
      <c r="GB76" s="25">
        <v>1542</v>
      </c>
      <c r="GC76" s="25">
        <v>1353</v>
      </c>
      <c r="GD76" s="126">
        <v>1447</v>
      </c>
      <c r="GE76" s="126">
        <v>1508</v>
      </c>
      <c r="GF76" s="126">
        <v>1517</v>
      </c>
      <c r="GG76" s="126">
        <v>1548</v>
      </c>
      <c r="GH76" s="126">
        <v>1593</v>
      </c>
      <c r="GI76" s="126"/>
      <c r="GJ76" s="64"/>
      <c r="GK76" s="40"/>
      <c r="GL76" s="132">
        <v>2770</v>
      </c>
      <c r="GM76" s="132">
        <v>2176</v>
      </c>
      <c r="GN76" s="132">
        <f t="shared" si="27"/>
        <v>2541</v>
      </c>
    </row>
    <row r="77" spans="2:197" s="26" customFormat="1" ht="13" x14ac:dyDescent="0.3">
      <c r="B77" s="3" t="s">
        <v>18</v>
      </c>
      <c r="C77" s="23"/>
      <c r="D77" s="23"/>
      <c r="E77" s="23"/>
      <c r="F77" s="23"/>
      <c r="G77" s="23"/>
      <c r="H77" s="23"/>
      <c r="I77" s="27">
        <f>I8+I4+I5-SUM(I24:I56)</f>
        <v>7606</v>
      </c>
      <c r="J77" s="27">
        <f>J8+J4+J5-SUM(J24:J56)</f>
        <v>8183</v>
      </c>
      <c r="K77" s="27">
        <f>K8+K4+K5-SUM(K24:K56)</f>
        <v>8626</v>
      </c>
      <c r="L77" s="27">
        <f>L8+L4+L5-SUM(L24:L56)</f>
        <v>8996</v>
      </c>
      <c r="M77" s="27">
        <f>M8+M4+M5-SUM(M24:M56)</f>
        <v>9315</v>
      </c>
      <c r="N77" s="27">
        <f>N8+N4+N5-SUM(N24:N56)</f>
        <v>9543</v>
      </c>
      <c r="O77" s="27">
        <f>O8+O4+O5-SUM(O24:O56)</f>
        <v>8746</v>
      </c>
      <c r="P77" s="27">
        <f>P8+P4+P5-SUM(P24:P56)</f>
        <v>9220</v>
      </c>
      <c r="Q77" s="46"/>
      <c r="R77" s="27"/>
      <c r="S77" s="27">
        <f>+CR77+CS77</f>
        <v>9120</v>
      </c>
      <c r="T77" s="27">
        <f>+CU77+CT77</f>
        <v>8513</v>
      </c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25">
        <f>CD4+CD5+CD8-SUM(CD24:CD56)</f>
        <v>4169.910722056241</v>
      </c>
      <c r="CE77" s="25">
        <f>CE4+CE5+CE8-SUM(CE24:CE56)</f>
        <v>4460.2622756988276</v>
      </c>
      <c r="CF77" s="25">
        <f>CF4+CF5+CF8-SUM(CF24:CF56)</f>
        <v>4490</v>
      </c>
      <c r="CG77" s="25">
        <f>CG4+CG5+CG8-SUM(CG24:CG56)</f>
        <v>4673</v>
      </c>
      <c r="CH77" s="25">
        <f>CH4+CH5+CH8-SUM(CH24:CH56)</f>
        <v>4566</v>
      </c>
      <c r="CI77" s="25">
        <f>CI4+CI5+CI8-SUM(CI24:CI56)</f>
        <v>4818</v>
      </c>
      <c r="CJ77" s="25">
        <f>CJ4+CJ5+CJ8-SUM(CJ24:CJ56)</f>
        <v>4327</v>
      </c>
      <c r="CK77" s="25">
        <f>CK4+CK5+CK8-SUM(CK24:CK56)</f>
        <v>4416</v>
      </c>
      <c r="CL77" s="25">
        <f>CL4+CL5+CL8-SUM(CL24:CL56)</f>
        <v>4476</v>
      </c>
      <c r="CM77" s="25">
        <f>CM4+CM5+CM8-SUM(CM24:CM56)</f>
        <v>4744</v>
      </c>
      <c r="CN77" s="25">
        <f>CN4+CN5+CN8-SUM(CN24:CN56)</f>
        <v>4385</v>
      </c>
      <c r="CO77" s="25">
        <f>CO4+CO5+CO8-SUM(CO24:CO56)</f>
        <v>4633</v>
      </c>
      <c r="CP77" s="25">
        <f>CP4+CP5+CP8-SUM(CP24:CP56)</f>
        <v>4410</v>
      </c>
      <c r="CQ77" s="25">
        <f>CQ4+CQ5+CQ7+CQ8-SUM(CQ24:CQ76)</f>
        <v>4239</v>
      </c>
      <c r="CR77" s="25">
        <f>CR4+CR5+CR7+CR8-SUM(CR24:CR76)</f>
        <v>4496</v>
      </c>
      <c r="CS77" s="25">
        <f>CS4+CS5+CS7+CS8-SUM(CS24:CS76)</f>
        <v>4624</v>
      </c>
      <c r="CT77" s="25">
        <f>CT4+CT5+CT7+CT8-SUM(CT24:CT76)</f>
        <v>4356</v>
      </c>
      <c r="CU77" s="25">
        <f>CU4+CU5+CU7+CU8-SUM(CU24:CU76)</f>
        <v>4157</v>
      </c>
      <c r="CV77" s="25">
        <f>CV4+CV5+CV7+CV8-SUM(CV24:CV76)</f>
        <v>4339</v>
      </c>
      <c r="CW77" s="25">
        <f>CW4+CW5+CW7+CW8-SUM(CW24:CW76)</f>
        <v>4196</v>
      </c>
      <c r="CX77" s="25">
        <f>CX4+CX5+CX7+CX8-SUM(CX24:CX76)</f>
        <v>3823</v>
      </c>
      <c r="CY77" s="25">
        <f>CY4+CY5+CY7+CY8-SUM(CY24:CY76)</f>
        <v>4342</v>
      </c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126"/>
      <c r="FE77" s="126"/>
      <c r="FF77" s="25"/>
      <c r="FG77" s="25"/>
      <c r="FH77" s="25"/>
      <c r="FI77" s="25"/>
      <c r="FJ77" s="25"/>
      <c r="FK77" s="25"/>
      <c r="FL77" s="25"/>
      <c r="FM77" s="5"/>
      <c r="FN77" s="5"/>
      <c r="FO77" s="5"/>
      <c r="FP77" s="25"/>
      <c r="FQ77" s="25"/>
      <c r="FR77" s="25"/>
      <c r="FS77" s="25"/>
      <c r="FT77" s="25"/>
      <c r="FU77" s="25">
        <f>SUM(K77:L77)</f>
        <v>17622</v>
      </c>
      <c r="FV77" s="25">
        <f>SUM(M77:N77)</f>
        <v>18858</v>
      </c>
      <c r="FW77" s="25">
        <f>SUM(CJ77:CM77)</f>
        <v>17963</v>
      </c>
      <c r="FX77" s="25">
        <f>SUM(CN77:CQ77)</f>
        <v>17667</v>
      </c>
      <c r="FY77" s="25">
        <f>SUM(CR77:CU77)</f>
        <v>17633</v>
      </c>
      <c r="FZ77" s="25">
        <f>SUM(CV77:CY77)</f>
        <v>16700</v>
      </c>
      <c r="GA77" s="25"/>
      <c r="GB77" s="25"/>
      <c r="GC77" s="25"/>
      <c r="GD77" s="126"/>
      <c r="GE77" s="126"/>
      <c r="GF77" s="126"/>
      <c r="GG77" s="126"/>
      <c r="GH77" s="126"/>
      <c r="GI77" s="126">
        <f>464+93+195+337+1758</f>
        <v>2847</v>
      </c>
      <c r="GJ77" s="126">
        <f>1576+2+294+224+106+382</f>
        <v>2584</v>
      </c>
      <c r="GK77" s="133"/>
      <c r="GL77" s="132"/>
      <c r="GM77" s="64"/>
      <c r="GN77" s="132">
        <f t="shared" si="27"/>
        <v>0</v>
      </c>
      <c r="GO77" s="97"/>
    </row>
    <row r="78" spans="2:197" s="17" customFormat="1" ht="13" x14ac:dyDescent="0.3">
      <c r="B78" s="17" t="s">
        <v>63</v>
      </c>
      <c r="C78" s="69">
        <v>12810</v>
      </c>
      <c r="D78" s="69">
        <v>14380</v>
      </c>
      <c r="E78" s="27">
        <v>14526</v>
      </c>
      <c r="F78" s="27">
        <v>14996</v>
      </c>
      <c r="G78" s="27"/>
      <c r="H78" s="27"/>
      <c r="I78" s="27">
        <f>+I4+I5+I6+I8</f>
        <v>16622</v>
      </c>
      <c r="J78" s="27">
        <f>+J4+J5+J6+J8</f>
        <v>18889</v>
      </c>
      <c r="K78" s="27">
        <f>+K4+K5+K6+K8</f>
        <v>19849</v>
      </c>
      <c r="L78" s="27">
        <f>+L4+L5+L6+L8</f>
        <v>22192</v>
      </c>
      <c r="M78" s="27">
        <f>+M4+M5+M6+M8</f>
        <v>22827</v>
      </c>
      <c r="N78" s="27">
        <f>+N4+N5+N6+N8</f>
        <v>23306</v>
      </c>
      <c r="O78" s="27">
        <f>+O4+O5+O6+O8</f>
        <v>22004</v>
      </c>
      <c r="P78" s="27">
        <f>+P4+P5+P6+P8</f>
        <v>23613</v>
      </c>
      <c r="Q78" s="27">
        <f>+Q4+Q5+Q6+Q8</f>
        <v>24006</v>
      </c>
      <c r="R78" s="27">
        <f>R6+R3</f>
        <v>25216</v>
      </c>
      <c r="S78" s="27">
        <f>SUM(S24:S77)+S6</f>
        <v>24636</v>
      </c>
      <c r="T78" s="27">
        <f>SUM(T24:T77)+T6</f>
        <v>22767</v>
      </c>
      <c r="U78" s="27">
        <f>SUM(U24:U77)+U6</f>
        <v>13136</v>
      </c>
      <c r="V78" s="27">
        <f>SUM(V24:V77)+V6</f>
        <v>12726</v>
      </c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48"/>
      <c r="BT78" s="48"/>
      <c r="BU78" s="24"/>
      <c r="BV78" s="24"/>
      <c r="BW78" s="24"/>
      <c r="BX78" s="24"/>
      <c r="BY78" s="24"/>
      <c r="BZ78" s="24"/>
      <c r="CA78" s="24"/>
      <c r="CB78" s="24"/>
      <c r="CC78" s="24"/>
      <c r="CD78" s="27">
        <f>SUM(CD24:CD77)+CD6</f>
        <v>12262.168589644925</v>
      </c>
      <c r="CE78" s="27">
        <f>SUM(CE24:CE77)+CE6</f>
        <v>13158.408797443793</v>
      </c>
      <c r="CF78" s="27">
        <f>SUM(CF24:CF77)+CF6</f>
        <v>11726</v>
      </c>
      <c r="CG78" s="27">
        <f>SUM(CG24:CG77)+CG6</f>
        <v>11849</v>
      </c>
      <c r="CH78" s="27">
        <f>SUM(CH24:CH77)+CH6</f>
        <v>11476</v>
      </c>
      <c r="CI78" s="27">
        <f>SUM(CI24:CI77)+CI6</f>
        <v>12538</v>
      </c>
      <c r="CJ78" s="27">
        <f>SUM(CJ24:CJ77)+CJ6</f>
        <v>11082</v>
      </c>
      <c r="CK78" s="27">
        <f>SUM(CK24:CK77)+CK6</f>
        <v>11362</v>
      </c>
      <c r="CL78" s="27">
        <f>SUM(CL24:CL77)+CL6</f>
        <v>11503</v>
      </c>
      <c r="CM78" s="27">
        <f>SUM(CM24:CM77)+CM6</f>
        <v>12516</v>
      </c>
      <c r="CN78" s="27">
        <f>SUM(CN24:CN77)+CN6</f>
        <v>11757</v>
      </c>
      <c r="CO78" s="27">
        <f>SUM(CO24:CO77)+CO6</f>
        <v>12622</v>
      </c>
      <c r="CP78" s="27">
        <f>SUM(CP24:CP77)+CP6</f>
        <v>12564</v>
      </c>
      <c r="CQ78" s="27">
        <f>SUM(CQ24:CQ77)+CQ6</f>
        <v>12652</v>
      </c>
      <c r="CR78" s="27">
        <f>SUM(CR24:CR76)+CR6</f>
        <v>7749</v>
      </c>
      <c r="CS78" s="27">
        <f>SUM(CS24:CS77)+CS6</f>
        <v>12391</v>
      </c>
      <c r="CT78" s="27">
        <f>SUM(CT24:CT77)+CT6</f>
        <v>11491</v>
      </c>
      <c r="CU78" s="27">
        <f>SUM(CU24:CU77)+CU6</f>
        <v>11346</v>
      </c>
      <c r="CV78" s="27">
        <f>SUM(CV24:CV77)+CV6</f>
        <v>11120</v>
      </c>
      <c r="CW78" s="27">
        <f>SUM(CW24:CW77)+CW6</f>
        <v>10551</v>
      </c>
      <c r="CX78" s="27">
        <f>SUM(CX24:CX77)+CX6</f>
        <v>9821</v>
      </c>
      <c r="CY78" s="27">
        <f>SUM(CY24:CY77)+CY6</f>
        <v>11039</v>
      </c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>
        <f>SUM(EU6:EU77)</f>
        <v>13855</v>
      </c>
      <c r="EV78" s="27">
        <f>SUM(EV6:EV77)</f>
        <v>14509</v>
      </c>
      <c r="EW78" s="27">
        <f>SUM(EW6:EW77)</f>
        <v>15056</v>
      </c>
      <c r="EX78" s="27">
        <f>SUM(EX6:EX77)</f>
        <v>14651</v>
      </c>
      <c r="EY78" s="27">
        <f>SUM(EY6:EY77)</f>
        <v>17049</v>
      </c>
      <c r="EZ78" s="27">
        <f>SUM(EZ6:EZ77)</f>
        <v>15808</v>
      </c>
      <c r="FA78" s="27">
        <f>SUM(FA6:FA77)</f>
        <v>15634</v>
      </c>
      <c r="FB78" s="27">
        <f>SUM(FB6:FB77)</f>
        <v>15240</v>
      </c>
      <c r="FC78" s="27">
        <f>SUM(FC6:FC77)</f>
        <v>15968</v>
      </c>
      <c r="FD78" s="27">
        <f>SUM(FD6:FD77)</f>
        <v>14866</v>
      </c>
      <c r="FE78" s="27">
        <f>SUM(FE6:FE77)</f>
        <v>15822</v>
      </c>
      <c r="FF78" s="27"/>
      <c r="FG78" s="27"/>
      <c r="FH78" s="27"/>
      <c r="FI78" s="27"/>
      <c r="FJ78" s="27"/>
      <c r="FK78" s="27"/>
      <c r="FL78" s="27"/>
      <c r="FP78" s="27"/>
      <c r="FQ78" s="27">
        <v>26066</v>
      </c>
      <c r="FR78" s="27">
        <v>27190</v>
      </c>
      <c r="FS78" s="27">
        <v>29522</v>
      </c>
      <c r="FT78" s="27">
        <f>I78+J78</f>
        <v>35511</v>
      </c>
      <c r="FU78" s="27">
        <f>L78+K78</f>
        <v>42041</v>
      </c>
      <c r="FV78" s="27">
        <f>N78+M78</f>
        <v>46133</v>
      </c>
      <c r="FW78" s="27">
        <f>SUM(FW24:FW77,FW6)</f>
        <v>46463</v>
      </c>
      <c r="FX78" s="27">
        <f>SUM(FX24:FX77,FX6)</f>
        <v>49595</v>
      </c>
      <c r="FY78" s="27">
        <f>SUM(FY24:FY77)+FY6</f>
        <v>47326</v>
      </c>
      <c r="FZ78" s="27">
        <f>FZ3+FZ6</f>
        <v>42531</v>
      </c>
      <c r="GA78" s="27">
        <f>SUM(GA24:GA77)+GA6</f>
        <v>16547</v>
      </c>
      <c r="GB78" s="27">
        <f>SUM(GB6:GB77)</f>
        <v>46780</v>
      </c>
      <c r="GC78" s="27">
        <f>SUM(GC6:GC77)</f>
        <v>47462</v>
      </c>
      <c r="GD78" s="124">
        <f>SUM(GD6:GD77)</f>
        <v>48145</v>
      </c>
      <c r="GE78" s="124">
        <f>SUM(GE6:GE77)</f>
        <v>50576</v>
      </c>
      <c r="GF78" s="124">
        <f>SUM(GF6:GF77)</f>
        <v>53299</v>
      </c>
      <c r="GG78" s="124">
        <f>SUM(GG6:GG77)</f>
        <v>56846</v>
      </c>
      <c r="GH78" s="124">
        <f>SUM(GH6:GH77)</f>
        <v>61466</v>
      </c>
      <c r="GI78" s="124">
        <f>SUM(GI9:GI77)+GI6</f>
        <v>58323</v>
      </c>
      <c r="GJ78" s="124">
        <f>SUM(GJ9:GJ77)+GJ6</f>
        <v>62801</v>
      </c>
      <c r="GK78" s="124">
        <f>SUM(GK9:GK77)+GK6</f>
        <v>60488</v>
      </c>
      <c r="GL78" s="124">
        <f>SUM(GL9:GL77)+GL6</f>
        <v>59912</v>
      </c>
      <c r="GM78" s="124">
        <f>SUM(GM9:GM77)+GM6</f>
        <v>61653</v>
      </c>
      <c r="GN78" s="124">
        <f>SUM(GN9:GN77)+GN6</f>
        <v>62650</v>
      </c>
    </row>
    <row r="79" spans="2:197" x14ac:dyDescent="0.25">
      <c r="B79" s="15" t="s">
        <v>64</v>
      </c>
      <c r="C79" s="70"/>
      <c r="D79" s="70"/>
      <c r="E79" s="25">
        <v>790</v>
      </c>
      <c r="F79" s="25">
        <v>860</v>
      </c>
      <c r="G79" s="70">
        <v>710</v>
      </c>
      <c r="H79" s="25"/>
      <c r="I79" s="25">
        <v>710</v>
      </c>
      <c r="J79" s="25">
        <f>1447-I79</f>
        <v>737</v>
      </c>
      <c r="K79" s="25">
        <v>727</v>
      </c>
      <c r="L79" s="25">
        <f>1466-K79</f>
        <v>739</v>
      </c>
      <c r="M79" s="25">
        <f>1191-492-74-22-2</f>
        <v>601</v>
      </c>
      <c r="N79" s="25">
        <f>2243-M79-259-722-55-5</f>
        <v>601</v>
      </c>
      <c r="O79" s="25">
        <v>1136</v>
      </c>
      <c r="P79" s="25">
        <f>+O79+15</f>
        <v>1151</v>
      </c>
      <c r="Q79" s="25">
        <v>1116</v>
      </c>
      <c r="R79" s="25">
        <f>2100-Q79</f>
        <v>984</v>
      </c>
      <c r="S79" s="25">
        <v>878</v>
      </c>
      <c r="T79" s="25">
        <f>1694-S79</f>
        <v>816</v>
      </c>
      <c r="U79" s="25"/>
      <c r="V79" s="25"/>
      <c r="W79" s="25"/>
      <c r="X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FP79" s="25"/>
      <c r="FQ79" s="25"/>
      <c r="FR79" s="25"/>
      <c r="FS79" s="25">
        <v>1570</v>
      </c>
      <c r="FT79" s="25">
        <f>I79+J79</f>
        <v>1447</v>
      </c>
      <c r="FU79" s="25">
        <f>L79+K79</f>
        <v>1466</v>
      </c>
      <c r="FV79" s="25">
        <f>N79+M79</f>
        <v>1202</v>
      </c>
      <c r="FW79" s="25">
        <f>SUM(O79:P79)</f>
        <v>2287</v>
      </c>
      <c r="FX79" s="25">
        <f>SUM(Q79:R79)</f>
        <v>2100</v>
      </c>
      <c r="FY79" s="25">
        <f>T79+S79</f>
        <v>1694</v>
      </c>
      <c r="FZ79" s="25">
        <v>1582</v>
      </c>
      <c r="GA79" s="25"/>
      <c r="GB79" s="25">
        <v>1832</v>
      </c>
      <c r="GC79" s="25">
        <v>2404</v>
      </c>
      <c r="GD79" s="126"/>
      <c r="GE79" s="126"/>
      <c r="GF79" s="126">
        <v>2447</v>
      </c>
      <c r="GG79" s="126">
        <v>2651</v>
      </c>
      <c r="GH79" s="126">
        <f t="shared" ref="GH79" si="46">GG79</f>
        <v>2651</v>
      </c>
      <c r="GI79" s="126">
        <v>2020</v>
      </c>
      <c r="GJ79" s="129">
        <v>3049</v>
      </c>
      <c r="GL79" s="129">
        <v>1725</v>
      </c>
    </row>
    <row r="80" spans="2:197" s="17" customFormat="1" ht="13" x14ac:dyDescent="0.3">
      <c r="B80" s="15" t="s">
        <v>13</v>
      </c>
      <c r="C80" s="25">
        <v>2895</v>
      </c>
      <c r="D80" s="25">
        <v>3202</v>
      </c>
      <c r="E80" s="25">
        <v>3193</v>
      </c>
      <c r="F80" s="25">
        <v>3363</v>
      </c>
      <c r="G80" s="25">
        <v>3760</v>
      </c>
      <c r="H80" s="25">
        <v>3958</v>
      </c>
      <c r="I80" s="25">
        <v>4348</v>
      </c>
      <c r="J80" s="25">
        <f>9304-I80</f>
        <v>4956</v>
      </c>
      <c r="K80" s="25">
        <v>4934</v>
      </c>
      <c r="L80" s="25">
        <f>10616-K80</f>
        <v>5682</v>
      </c>
      <c r="M80" s="25">
        <v>5629</v>
      </c>
      <c r="N80" s="71">
        <f>13743-M80</f>
        <v>8114</v>
      </c>
      <c r="O80" s="25">
        <v>6532</v>
      </c>
      <c r="P80" s="25">
        <f>O80+597</f>
        <v>7129</v>
      </c>
      <c r="Q80" s="25">
        <v>7100</v>
      </c>
      <c r="R80" s="25">
        <f>14615-Q80</f>
        <v>7515</v>
      </c>
      <c r="S80" s="25">
        <v>6870</v>
      </c>
      <c r="T80" s="25">
        <f>13293-S80</f>
        <v>6423</v>
      </c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93"/>
      <c r="BT80" s="93"/>
      <c r="BU80" s="93"/>
      <c r="BV80" s="93"/>
      <c r="BW80" s="93"/>
      <c r="BX80" s="93"/>
      <c r="BY80" s="93"/>
      <c r="BZ80" s="93"/>
      <c r="CA80" s="93"/>
      <c r="CB80" s="93"/>
      <c r="CC80" s="93"/>
      <c r="CD80" s="93"/>
      <c r="CE80" s="93"/>
      <c r="CF80" s="93"/>
      <c r="CG80" s="93"/>
      <c r="CH80" s="93"/>
      <c r="CI80" s="93"/>
      <c r="CJ80" s="93"/>
      <c r="CK80" s="93"/>
      <c r="CL80" s="93"/>
      <c r="CM80" s="93"/>
      <c r="CN80" s="93"/>
      <c r="CO80" s="93"/>
      <c r="CP80" s="94"/>
      <c r="CQ80" s="93"/>
      <c r="CR80" s="93"/>
      <c r="CS80" s="93"/>
      <c r="CT80" s="93"/>
      <c r="CU80" s="93"/>
      <c r="CV80" s="93"/>
      <c r="CW80" s="93"/>
      <c r="CX80" s="93"/>
      <c r="CY80" s="93"/>
      <c r="CZ80" s="93"/>
      <c r="DA80" s="93"/>
      <c r="DB80" s="93"/>
      <c r="DC80" s="93"/>
      <c r="DD80" s="93"/>
      <c r="DE80" s="93"/>
      <c r="DF80" s="93"/>
      <c r="DG80" s="93"/>
      <c r="DH80" s="93"/>
      <c r="DI80" s="93"/>
      <c r="DJ80" s="93"/>
      <c r="DK80" s="93"/>
      <c r="DL80" s="93"/>
      <c r="DM80" s="93"/>
      <c r="DN80" s="93"/>
      <c r="DO80" s="93"/>
      <c r="DP80" s="93"/>
      <c r="DQ80" s="93"/>
      <c r="DR80" s="93"/>
      <c r="DS80" s="93"/>
      <c r="DT80" s="93"/>
      <c r="DU80" s="93"/>
      <c r="DV80" s="93"/>
      <c r="DW80" s="93"/>
      <c r="DX80" s="93"/>
      <c r="DY80" s="93"/>
      <c r="DZ80" s="93"/>
      <c r="EA80" s="93"/>
      <c r="EB80" s="93"/>
      <c r="EC80" s="93"/>
      <c r="ED80" s="93"/>
      <c r="EE80" s="93"/>
      <c r="EF80" s="93"/>
      <c r="EG80" s="93"/>
      <c r="EH80" s="93"/>
      <c r="EI80" s="93"/>
      <c r="EJ80" s="93"/>
      <c r="EK80" s="93"/>
      <c r="EL80" s="93"/>
      <c r="EM80" s="93"/>
      <c r="EN80" s="93"/>
      <c r="EO80" s="93"/>
      <c r="EP80" s="93"/>
      <c r="EQ80" s="93"/>
      <c r="ER80" s="93"/>
      <c r="ES80" s="93"/>
      <c r="ET80" s="93"/>
      <c r="EU80" s="93"/>
      <c r="EV80" s="93"/>
      <c r="EW80" s="93"/>
      <c r="EX80" s="93"/>
      <c r="EY80" s="93"/>
      <c r="EZ80" s="93"/>
      <c r="FA80" s="93"/>
      <c r="FB80" s="93"/>
      <c r="FC80" s="93"/>
      <c r="FD80" s="147"/>
      <c r="FE80" s="147"/>
      <c r="FF80" s="93"/>
      <c r="FG80" s="93"/>
      <c r="FH80" s="93"/>
      <c r="FI80" s="93"/>
      <c r="FJ80" s="93"/>
      <c r="FK80" s="93"/>
      <c r="FL80" s="93"/>
      <c r="FM80" s="5"/>
      <c r="FN80" s="5"/>
      <c r="FO80" s="5"/>
      <c r="FP80" s="25"/>
      <c r="FQ80" s="25">
        <v>5984</v>
      </c>
      <c r="FR80" s="25">
        <v>6097</v>
      </c>
      <c r="FS80" s="25">
        <v>7718</v>
      </c>
      <c r="FT80" s="25">
        <f>I80+J80</f>
        <v>9304</v>
      </c>
      <c r="FU80" s="25">
        <f>L80+K80</f>
        <v>10616</v>
      </c>
      <c r="FV80" s="25">
        <f>N80+M80</f>
        <v>13743</v>
      </c>
      <c r="FW80" s="25">
        <f>SUM(O80:P80)</f>
        <v>13661</v>
      </c>
      <c r="FX80" s="25">
        <f>SUM(Q80:R80)</f>
        <v>14615</v>
      </c>
      <c r="FY80" s="25">
        <f>T80+S80</f>
        <v>13293</v>
      </c>
      <c r="FZ80" s="25">
        <v>11942</v>
      </c>
      <c r="GA80" s="25">
        <f t="shared" ref="GA80:GH80" si="47">GA78-GA81+GA79</f>
        <v>16547</v>
      </c>
      <c r="GB80" s="25">
        <v>11948</v>
      </c>
      <c r="GC80" s="25">
        <v>13381</v>
      </c>
      <c r="GD80" s="126">
        <f t="shared" si="47"/>
        <v>48145</v>
      </c>
      <c r="GE80" s="126">
        <f t="shared" si="47"/>
        <v>50576</v>
      </c>
      <c r="GF80" s="126">
        <v>18179</v>
      </c>
      <c r="GG80" s="126">
        <v>17269</v>
      </c>
      <c r="GH80" s="126">
        <f t="shared" si="47"/>
        <v>64117</v>
      </c>
      <c r="GI80" s="126">
        <v>14567</v>
      </c>
      <c r="GJ80" s="126">
        <v>18138</v>
      </c>
      <c r="GK80" s="91"/>
      <c r="GL80" s="126">
        <v>15251</v>
      </c>
      <c r="GM80" s="137"/>
    </row>
    <row r="81" spans="2:268" s="17" customFormat="1" ht="13" x14ac:dyDescent="0.3">
      <c r="B81" s="15" t="s">
        <v>0</v>
      </c>
      <c r="C81" s="25">
        <v>9915</v>
      </c>
      <c r="D81" s="25">
        <v>11178</v>
      </c>
      <c r="E81" s="25">
        <v>11333</v>
      </c>
      <c r="F81" s="25">
        <v>11633</v>
      </c>
      <c r="G81" s="25">
        <v>10766</v>
      </c>
      <c r="H81" s="25">
        <v>11038</v>
      </c>
      <c r="I81" s="25">
        <f t="shared" ref="I81:N81" si="48">I78-I80+I79</f>
        <v>12984</v>
      </c>
      <c r="J81" s="25">
        <f t="shared" si="48"/>
        <v>14670</v>
      </c>
      <c r="K81" s="25">
        <f t="shared" si="48"/>
        <v>15642</v>
      </c>
      <c r="L81" s="25">
        <f t="shared" si="48"/>
        <v>17249</v>
      </c>
      <c r="M81" s="25">
        <f>M78-M80+M79</f>
        <v>17799</v>
      </c>
      <c r="N81" s="25">
        <f t="shared" si="48"/>
        <v>15793</v>
      </c>
      <c r="O81" s="25">
        <f t="shared" ref="O81:T81" si="49">O78-O80+O79</f>
        <v>16608</v>
      </c>
      <c r="P81" s="25">
        <f t="shared" si="49"/>
        <v>17635</v>
      </c>
      <c r="Q81" s="25">
        <f t="shared" si="49"/>
        <v>18022</v>
      </c>
      <c r="R81" s="25">
        <f t="shared" si="49"/>
        <v>18685</v>
      </c>
      <c r="S81" s="25">
        <f t="shared" si="49"/>
        <v>18644</v>
      </c>
      <c r="T81" s="25">
        <f t="shared" si="49"/>
        <v>17160</v>
      </c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93"/>
      <c r="BT81" s="93"/>
      <c r="BU81" s="93"/>
      <c r="BV81" s="93"/>
      <c r="BW81" s="93"/>
      <c r="BX81" s="93"/>
      <c r="BY81" s="93"/>
      <c r="BZ81" s="93"/>
      <c r="CA81" s="93"/>
      <c r="CB81" s="93"/>
      <c r="CC81" s="93"/>
      <c r="CD81" s="93"/>
      <c r="CE81" s="93"/>
      <c r="CF81" s="93"/>
      <c r="CG81" s="93"/>
      <c r="CH81" s="93"/>
      <c r="CI81" s="93"/>
      <c r="CJ81" s="93"/>
      <c r="CK81" s="93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93"/>
      <c r="CW81" s="93"/>
      <c r="CX81" s="93"/>
      <c r="CY81" s="93"/>
      <c r="CZ81" s="93"/>
      <c r="DA81" s="93"/>
      <c r="DB81" s="93"/>
      <c r="DC81" s="93"/>
      <c r="DD81" s="93"/>
      <c r="DE81" s="93"/>
      <c r="DF81" s="93"/>
      <c r="DG81" s="93"/>
      <c r="DH81" s="93"/>
      <c r="DI81" s="93"/>
      <c r="DJ81" s="93"/>
      <c r="DK81" s="93"/>
      <c r="DL81" s="93"/>
      <c r="DM81" s="93"/>
      <c r="DN81" s="93"/>
      <c r="DO81" s="93"/>
      <c r="DP81" s="93"/>
      <c r="DQ81" s="93"/>
      <c r="DR81" s="93"/>
      <c r="DS81" s="93"/>
      <c r="DT81" s="93"/>
      <c r="DU81" s="93"/>
      <c r="DV81" s="93"/>
      <c r="DW81" s="93"/>
      <c r="DX81" s="93"/>
      <c r="DY81" s="93"/>
      <c r="DZ81" s="93"/>
      <c r="EA81" s="93"/>
      <c r="EB81" s="93"/>
      <c r="EC81" s="93"/>
      <c r="ED81" s="93"/>
      <c r="EE81" s="93"/>
      <c r="EF81" s="93"/>
      <c r="EG81" s="93"/>
      <c r="EH81" s="93"/>
      <c r="EI81" s="93"/>
      <c r="EJ81" s="93"/>
      <c r="EK81" s="93"/>
      <c r="EL81" s="93"/>
      <c r="EM81" s="93"/>
      <c r="EN81" s="93"/>
      <c r="EO81" s="93"/>
      <c r="EP81" s="93"/>
      <c r="EQ81" s="93"/>
      <c r="ER81" s="93"/>
      <c r="ES81" s="93"/>
      <c r="ET81" s="93"/>
      <c r="EU81" s="93"/>
      <c r="EV81" s="93"/>
      <c r="EW81" s="93"/>
      <c r="EX81" s="93"/>
      <c r="EY81" s="93"/>
      <c r="EZ81" s="93"/>
      <c r="FA81" s="93"/>
      <c r="FB81" s="93"/>
      <c r="FC81" s="93"/>
      <c r="FD81" s="147"/>
      <c r="FE81" s="147"/>
      <c r="FF81" s="93"/>
      <c r="FG81" s="93"/>
      <c r="FH81" s="93"/>
      <c r="FI81" s="93"/>
      <c r="FJ81" s="93"/>
      <c r="FK81" s="93"/>
      <c r="FL81" s="93"/>
      <c r="FM81" s="5"/>
      <c r="FN81" s="5"/>
      <c r="FO81" s="5"/>
      <c r="FP81" s="25"/>
      <c r="FQ81" s="25">
        <v>20082</v>
      </c>
      <c r="FR81" s="25">
        <v>21093</v>
      </c>
      <c r="FS81" s="25">
        <v>21804</v>
      </c>
      <c r="FT81" s="25">
        <f t="shared" ref="FT81:FU81" si="50">FT78+FT79-FT80</f>
        <v>27654</v>
      </c>
      <c r="FU81" s="25">
        <f t="shared" si="50"/>
        <v>32891</v>
      </c>
      <c r="FV81" s="25">
        <f>FV78+FV79-FV80</f>
        <v>33592</v>
      </c>
      <c r="FW81" s="25">
        <f>FW78+FW79-FW80</f>
        <v>35089</v>
      </c>
      <c r="FX81" s="25">
        <f>SUM(Q81:R81)</f>
        <v>36707</v>
      </c>
      <c r="FY81" s="25">
        <f>FY78+FY79-FY80</f>
        <v>35727</v>
      </c>
      <c r="FZ81" s="25">
        <f>FZ78+FZ79-FZ80</f>
        <v>32171</v>
      </c>
      <c r="GA81" s="25">
        <f t="shared" ref="GA81:GH81" si="51">GA78*GA100</f>
        <v>0</v>
      </c>
      <c r="GB81" s="126">
        <f>+GB78+GB79-GB80</f>
        <v>36664</v>
      </c>
      <c r="GC81" s="126">
        <f>+GC78+GC79-GC80</f>
        <v>36485</v>
      </c>
      <c r="GD81" s="126">
        <f t="shared" si="51"/>
        <v>0</v>
      </c>
      <c r="GE81" s="126">
        <f t="shared" si="51"/>
        <v>0</v>
      </c>
      <c r="GF81" s="126">
        <f>+GF78+GF79-GF80</f>
        <v>37567</v>
      </c>
      <c r="GG81" s="126">
        <f>+GG78+GG79-GG80</f>
        <v>42228</v>
      </c>
      <c r="GH81" s="126">
        <f t="shared" si="51"/>
        <v>0</v>
      </c>
      <c r="GI81" s="126">
        <f>GI78+GI79-GI80</f>
        <v>45776</v>
      </c>
      <c r="GJ81" s="126">
        <f>GJ78+GJ79-GJ80</f>
        <v>47712</v>
      </c>
      <c r="GK81" s="91"/>
      <c r="GL81" s="126">
        <f>GL78+GL79-GL80</f>
        <v>46386</v>
      </c>
      <c r="GM81" s="137"/>
    </row>
    <row r="82" spans="2:268" x14ac:dyDescent="0.25">
      <c r="B82" s="15" t="s">
        <v>186</v>
      </c>
      <c r="C82" s="25">
        <v>3658</v>
      </c>
      <c r="D82" s="25">
        <v>4159</v>
      </c>
      <c r="E82" s="25">
        <v>3983</v>
      </c>
      <c r="F82" s="25">
        <v>4292</v>
      </c>
      <c r="G82" s="25">
        <v>4000</v>
      </c>
      <c r="H82" s="25">
        <v>4338</v>
      </c>
      <c r="I82" s="25">
        <v>4409</v>
      </c>
      <c r="J82" s="25">
        <f>9625-I82</f>
        <v>5216</v>
      </c>
      <c r="K82" s="25">
        <v>5208</v>
      </c>
      <c r="L82" s="25">
        <f>10856-K82</f>
        <v>5648</v>
      </c>
      <c r="M82" s="25">
        <v>5552</v>
      </c>
      <c r="N82" s="71">
        <f>9327-M82</f>
        <v>3775</v>
      </c>
      <c r="O82" s="25">
        <v>4371</v>
      </c>
      <c r="P82" s="25">
        <f>O82+428</f>
        <v>4799</v>
      </c>
      <c r="Q82" s="25">
        <v>4567</v>
      </c>
      <c r="R82" s="25">
        <f>9475-Q82</f>
        <v>4908</v>
      </c>
      <c r="S82" s="25">
        <v>4546</v>
      </c>
      <c r="T82" s="25">
        <f>9488-S82</f>
        <v>4942</v>
      </c>
      <c r="U82" s="25"/>
      <c r="V82" s="25"/>
      <c r="W82" s="25"/>
      <c r="X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FP82" s="25"/>
      <c r="FQ82" s="25">
        <v>7859</v>
      </c>
      <c r="FR82" s="25">
        <v>7817</v>
      </c>
      <c r="FS82" s="25">
        <v>8338</v>
      </c>
      <c r="FT82" s="25">
        <v>9507</v>
      </c>
      <c r="FU82" s="25">
        <f>SUM(K82:L82)</f>
        <v>10856</v>
      </c>
      <c r="FV82" s="25">
        <f>N82+M82</f>
        <v>9327</v>
      </c>
      <c r="FW82" s="25">
        <f>SUM(O82:P82)</f>
        <v>9170</v>
      </c>
      <c r="FX82" s="25">
        <f t="shared" ref="FX82" si="52">SUM(Q82:R82)</f>
        <v>9475</v>
      </c>
      <c r="FY82" s="25">
        <f>T82+S82</f>
        <v>9488</v>
      </c>
      <c r="FZ82" s="25">
        <v>8049</v>
      </c>
      <c r="GA82" s="25">
        <f t="shared" ref="GA82:GH82" si="53">FZ82*0.99</f>
        <v>7968.51</v>
      </c>
      <c r="GB82" s="25">
        <v>8373</v>
      </c>
      <c r="GC82" s="25">
        <v>8657</v>
      </c>
      <c r="GD82" s="126">
        <f t="shared" si="53"/>
        <v>8570.43</v>
      </c>
      <c r="GE82" s="126">
        <f t="shared" si="53"/>
        <v>8484.7257000000009</v>
      </c>
      <c r="GF82" s="126">
        <v>9847</v>
      </c>
      <c r="GG82" s="126">
        <v>10109</v>
      </c>
      <c r="GH82" s="126">
        <f t="shared" si="53"/>
        <v>10007.91</v>
      </c>
      <c r="GI82" s="126">
        <v>9361</v>
      </c>
      <c r="GJ82" s="126">
        <v>9444</v>
      </c>
      <c r="GL82" s="126"/>
    </row>
    <row r="83" spans="2:268" s="17" customFormat="1" ht="13" x14ac:dyDescent="0.3">
      <c r="B83" s="15" t="s">
        <v>185</v>
      </c>
      <c r="C83" s="25">
        <v>633</v>
      </c>
      <c r="D83" s="25">
        <v>727</v>
      </c>
      <c r="E83" s="25">
        <v>677</v>
      </c>
      <c r="F83" s="25">
        <v>721</v>
      </c>
      <c r="G83" s="25">
        <v>1059</v>
      </c>
      <c r="H83" s="25">
        <v>1026</v>
      </c>
      <c r="I83" s="25">
        <v>1145</v>
      </c>
      <c r="J83" s="25">
        <f>2288-I83</f>
        <v>1143</v>
      </c>
      <c r="K83" s="25">
        <v>1072</v>
      </c>
      <c r="L83" s="25">
        <f>2542-K83</f>
        <v>1470</v>
      </c>
      <c r="M83" s="25">
        <v>1237</v>
      </c>
      <c r="N83" s="25">
        <f>2453-M83</f>
        <v>1216</v>
      </c>
      <c r="O83" s="25">
        <v>1089</v>
      </c>
      <c r="P83" s="25">
        <f>O83+154</f>
        <v>1243</v>
      </c>
      <c r="Q83" s="25">
        <v>967</v>
      </c>
      <c r="R83" s="25">
        <f>2175-Q83</f>
        <v>1208</v>
      </c>
      <c r="S83" s="25">
        <v>871</v>
      </c>
      <c r="T83" s="25">
        <f>2874-S83</f>
        <v>2003</v>
      </c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3"/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93"/>
      <c r="CW83" s="93"/>
      <c r="CX83" s="93"/>
      <c r="CY83" s="93"/>
      <c r="CZ83" s="93"/>
      <c r="DA83" s="93"/>
      <c r="DB83" s="93"/>
      <c r="DC83" s="93"/>
      <c r="DD83" s="93"/>
      <c r="DE83" s="93"/>
      <c r="DF83" s="93"/>
      <c r="DG83" s="93"/>
      <c r="DH83" s="93"/>
      <c r="DI83" s="93"/>
      <c r="DJ83" s="93"/>
      <c r="DK83" s="93"/>
      <c r="DL83" s="93"/>
      <c r="DM83" s="93"/>
      <c r="DN83" s="93"/>
      <c r="DO83" s="93"/>
      <c r="DP83" s="93"/>
      <c r="DQ83" s="93"/>
      <c r="DR83" s="93"/>
      <c r="DS83" s="93"/>
      <c r="DT83" s="93"/>
      <c r="DU83" s="93"/>
      <c r="DV83" s="93"/>
      <c r="DW83" s="93"/>
      <c r="DX83" s="93"/>
      <c r="DY83" s="93"/>
      <c r="DZ83" s="93"/>
      <c r="EA83" s="93"/>
      <c r="EB83" s="93"/>
      <c r="EC83" s="93"/>
      <c r="ED83" s="93"/>
      <c r="EE83" s="93"/>
      <c r="EF83" s="93"/>
      <c r="EG83" s="93"/>
      <c r="EH83" s="93"/>
      <c r="EI83" s="93"/>
      <c r="EJ83" s="93"/>
      <c r="EK83" s="93"/>
      <c r="EL83" s="93"/>
      <c r="EM83" s="93"/>
      <c r="EN83" s="93"/>
      <c r="EO83" s="93"/>
      <c r="EP83" s="93"/>
      <c r="EQ83" s="93"/>
      <c r="ER83" s="93"/>
      <c r="ES83" s="93"/>
      <c r="ET83" s="93"/>
      <c r="EU83" s="93"/>
      <c r="EV83" s="93"/>
      <c r="EW83" s="93"/>
      <c r="EX83" s="93"/>
      <c r="EY83" s="93"/>
      <c r="EZ83" s="93"/>
      <c r="FA83" s="93"/>
      <c r="FB83" s="93"/>
      <c r="FC83" s="93"/>
      <c r="FD83" s="147"/>
      <c r="FE83" s="147"/>
      <c r="FF83" s="93"/>
      <c r="FG83" s="93"/>
      <c r="FH83" s="93"/>
      <c r="FI83" s="93"/>
      <c r="FJ83" s="93"/>
      <c r="FK83" s="93"/>
      <c r="FL83" s="93"/>
      <c r="FM83" s="5"/>
      <c r="FN83" s="5"/>
      <c r="FO83" s="5"/>
      <c r="FP83" s="25"/>
      <c r="FQ83" s="25">
        <v>1193</v>
      </c>
      <c r="FR83" s="25">
        <v>1360</v>
      </c>
      <c r="FS83" s="25">
        <v>2085</v>
      </c>
      <c r="FT83" s="25">
        <v>2309</v>
      </c>
      <c r="FU83" s="25">
        <f>SUM(K83:L83)</f>
        <v>2542</v>
      </c>
      <c r="FV83" s="25">
        <f>N83+M83</f>
        <v>2453</v>
      </c>
      <c r="FW83" s="25">
        <f>SUM(O83:P83)</f>
        <v>2332</v>
      </c>
      <c r="FX83" s="25">
        <f t="shared" ref="FX83" si="54">SUM(Q83:R83)</f>
        <v>2175</v>
      </c>
      <c r="FY83" s="25">
        <f>T83+S83</f>
        <v>2874</v>
      </c>
      <c r="FZ83" s="25">
        <v>2342</v>
      </c>
      <c r="GA83" s="25">
        <f t="shared" ref="GA83:GH83" si="55">FZ83*0.99</f>
        <v>2318.58</v>
      </c>
      <c r="GB83" s="25">
        <v>9270</v>
      </c>
      <c r="GC83" s="25">
        <v>9895</v>
      </c>
      <c r="GD83" s="126">
        <f t="shared" si="55"/>
        <v>9796.0499999999993</v>
      </c>
      <c r="GE83" s="126">
        <f t="shared" si="55"/>
        <v>9698.0895</v>
      </c>
      <c r="GF83" s="126">
        <v>3425</v>
      </c>
      <c r="GG83" s="126">
        <v>5258</v>
      </c>
      <c r="GH83" s="126">
        <f t="shared" si="55"/>
        <v>5205.42</v>
      </c>
      <c r="GI83" s="126">
        <v>2726</v>
      </c>
      <c r="GJ83" s="126">
        <v>2663</v>
      </c>
      <c r="GK83" s="91"/>
      <c r="GL83" s="126">
        <v>13518</v>
      </c>
      <c r="GM83" s="137"/>
    </row>
    <row r="84" spans="2:268" x14ac:dyDescent="0.25">
      <c r="B84" s="15" t="s">
        <v>1</v>
      </c>
      <c r="C84" s="25">
        <v>2173</v>
      </c>
      <c r="D84" s="25">
        <v>2451</v>
      </c>
      <c r="E84" s="25">
        <v>2333</v>
      </c>
      <c r="F84" s="25">
        <v>2720</v>
      </c>
      <c r="G84" s="25">
        <v>2361</v>
      </c>
      <c r="H84" s="25">
        <v>2793</v>
      </c>
      <c r="I84" s="25">
        <v>2559</v>
      </c>
      <c r="J84" s="25">
        <f>5705-I84</f>
        <v>3146</v>
      </c>
      <c r="K84" s="72">
        <v>3063</v>
      </c>
      <c r="L84" s="72">
        <f>6589-K84</f>
        <v>3526</v>
      </c>
      <c r="M84" s="25">
        <v>3635</v>
      </c>
      <c r="N84" s="25">
        <f>8385-M84</f>
        <v>4750</v>
      </c>
      <c r="O84" s="25">
        <v>4107</v>
      </c>
      <c r="P84" s="25">
        <f>8845-O84</f>
        <v>4738</v>
      </c>
      <c r="Q84" s="25">
        <v>4518</v>
      </c>
      <c r="R84" s="25">
        <f>9874-Q84</f>
        <v>5356</v>
      </c>
      <c r="S84" s="25">
        <v>4471</v>
      </c>
      <c r="T84" s="25">
        <f>10026-S84</f>
        <v>5555</v>
      </c>
      <c r="U84" s="25"/>
      <c r="V84" s="25"/>
      <c r="W84" s="25"/>
      <c r="X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FP84" s="25"/>
      <c r="FQ84" s="25">
        <v>4132</v>
      </c>
      <c r="FR84" s="25">
        <v>4624</v>
      </c>
      <c r="FS84" s="25">
        <v>5154</v>
      </c>
      <c r="FT84" s="25">
        <f>I84+J84</f>
        <v>5705</v>
      </c>
      <c r="FU84" s="25">
        <f>L84+K84</f>
        <v>6589</v>
      </c>
      <c r="FV84" s="25">
        <f>N84+M84</f>
        <v>8385</v>
      </c>
      <c r="FW84" s="25">
        <f>SUM(O84:P84)</f>
        <v>8845</v>
      </c>
      <c r="FX84" s="25">
        <f t="shared" ref="FX84" si="56">SUM(Q84:R84)</f>
        <v>9874</v>
      </c>
      <c r="FY84" s="25">
        <f>T84+S84</f>
        <v>10026</v>
      </c>
      <c r="FZ84" s="25">
        <v>8326</v>
      </c>
      <c r="GA84" s="25"/>
      <c r="GB84" s="25">
        <v>2645</v>
      </c>
      <c r="GC84" s="25">
        <v>3843</v>
      </c>
      <c r="GD84" s="126"/>
      <c r="GE84" s="126"/>
      <c r="GF84" s="126">
        <v>11292</v>
      </c>
      <c r="GG84" s="126">
        <v>12092</v>
      </c>
      <c r="GH84" s="126"/>
      <c r="GI84" s="126">
        <v>12153</v>
      </c>
      <c r="GJ84" s="129">
        <v>13708</v>
      </c>
      <c r="GL84" s="129">
        <v>15251</v>
      </c>
    </row>
    <row r="85" spans="2:268" x14ac:dyDescent="0.25">
      <c r="B85" s="15" t="s">
        <v>183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>
        <f>736+472+2</f>
        <v>1210</v>
      </c>
      <c r="N85" s="25">
        <f>1560+976+6+58-M85</f>
        <v>1390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FP85" s="25"/>
      <c r="FQ85" s="25"/>
      <c r="FR85" s="25"/>
      <c r="FS85" s="25"/>
      <c r="FT85" s="25"/>
      <c r="FU85" s="25">
        <f>M85+L85</f>
        <v>1210</v>
      </c>
      <c r="FV85" s="25">
        <f>N85+M85</f>
        <v>2600</v>
      </c>
      <c r="FW85" s="25"/>
      <c r="FX85" s="25"/>
      <c r="FY85" s="25"/>
      <c r="FZ85" s="25"/>
      <c r="GA85" s="25"/>
      <c r="GB85" s="25"/>
      <c r="GC85" s="25"/>
      <c r="GD85" s="126"/>
      <c r="GE85" s="126"/>
      <c r="GF85" s="126"/>
      <c r="GG85" s="126"/>
      <c r="GH85" s="126"/>
      <c r="GI85" s="126"/>
    </row>
    <row r="86" spans="2:268" x14ac:dyDescent="0.25">
      <c r="B86" s="3" t="s">
        <v>567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>
        <f t="shared" ref="M86:Q86" si="57">SUM(M82:M84)-M85</f>
        <v>9214</v>
      </c>
      <c r="N86" s="25">
        <f t="shared" si="57"/>
        <v>8351</v>
      </c>
      <c r="O86" s="25">
        <f t="shared" si="57"/>
        <v>9567</v>
      </c>
      <c r="P86" s="25">
        <f t="shared" si="57"/>
        <v>10780</v>
      </c>
      <c r="Q86" s="25">
        <f t="shared" si="57"/>
        <v>10052</v>
      </c>
      <c r="R86" s="25">
        <f>SUM(R82:R84)-R85</f>
        <v>11472</v>
      </c>
      <c r="S86" s="25">
        <f>SUM(S82:S84)-S85</f>
        <v>9888</v>
      </c>
      <c r="T86" s="25">
        <f>SUM(T82:T84)-T85</f>
        <v>12500</v>
      </c>
      <c r="U86" s="25"/>
      <c r="V86" s="25"/>
      <c r="W86" s="25"/>
      <c r="X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FP86" s="25"/>
      <c r="FQ86" s="25"/>
      <c r="FR86" s="25"/>
      <c r="FS86" s="25"/>
      <c r="FT86" s="25"/>
      <c r="FU86" s="25">
        <f t="shared" ref="FU86:FZ86" si="58">SUM(FU82:FU84)-FU85</f>
        <v>18777</v>
      </c>
      <c r="FV86" s="25">
        <f t="shared" si="58"/>
        <v>17565</v>
      </c>
      <c r="FW86" s="25">
        <f t="shared" si="58"/>
        <v>20347</v>
      </c>
      <c r="FX86" s="25">
        <f t="shared" si="58"/>
        <v>21524</v>
      </c>
      <c r="FY86" s="25">
        <f t="shared" si="58"/>
        <v>22388</v>
      </c>
      <c r="FZ86" s="25">
        <f t="shared" si="58"/>
        <v>18717</v>
      </c>
      <c r="GA86" s="25">
        <f t="shared" ref="GA86:GH86" si="59">SUM(GA82:GA84)-GA85</f>
        <v>10287.09</v>
      </c>
      <c r="GB86" s="25">
        <f t="shared" si="59"/>
        <v>20288</v>
      </c>
      <c r="GC86" s="25">
        <f t="shared" si="59"/>
        <v>22395</v>
      </c>
      <c r="GD86" s="126">
        <f t="shared" si="59"/>
        <v>18366.48</v>
      </c>
      <c r="GE86" s="126">
        <f t="shared" si="59"/>
        <v>18182.815200000001</v>
      </c>
      <c r="GF86" s="126">
        <f>SUM(GF82:GF84)-GF85</f>
        <v>24564</v>
      </c>
      <c r="GG86" s="126">
        <f>SUM(GG82:GG84)-GG85</f>
        <v>27459</v>
      </c>
      <c r="GH86" s="126">
        <f t="shared" si="59"/>
        <v>15213.33</v>
      </c>
      <c r="GI86" s="129">
        <f>SUM(GI82:GI84)</f>
        <v>24240</v>
      </c>
      <c r="GJ86" s="129">
        <f>SUM(GJ82:GJ84)</f>
        <v>25815</v>
      </c>
      <c r="GL86" s="129">
        <f>SUM(GL82:GL84)</f>
        <v>28769</v>
      </c>
    </row>
    <row r="87" spans="2:268" s="17" customFormat="1" ht="13" x14ac:dyDescent="0.3">
      <c r="B87" s="17" t="s">
        <v>149</v>
      </c>
      <c r="C87" s="27">
        <v>2833</v>
      </c>
      <c r="D87" s="27">
        <v>2960</v>
      </c>
      <c r="E87" s="27">
        <v>3701</v>
      </c>
      <c r="F87" s="27">
        <v>3249</v>
      </c>
      <c r="G87" s="27">
        <v>3527</v>
      </c>
      <c r="H87" s="27">
        <v>3239</v>
      </c>
      <c r="I87" s="27">
        <f>I81-I82-I83-I84</f>
        <v>4871</v>
      </c>
      <c r="J87" s="27">
        <f>J81-J82-J83-J84</f>
        <v>5165</v>
      </c>
      <c r="K87" s="27">
        <f>K81-K82-K83-K84</f>
        <v>6299</v>
      </c>
      <c r="L87" s="27">
        <f>L81-L82-L83-L84</f>
        <v>6605</v>
      </c>
      <c r="M87" s="27">
        <f t="shared" ref="M87:Q87" si="60">M81-M86</f>
        <v>8585</v>
      </c>
      <c r="N87" s="27">
        <f t="shared" si="60"/>
        <v>7442</v>
      </c>
      <c r="O87" s="27">
        <f t="shared" si="60"/>
        <v>7041</v>
      </c>
      <c r="P87" s="27">
        <f t="shared" si="60"/>
        <v>6855</v>
      </c>
      <c r="Q87" s="27">
        <f t="shared" si="60"/>
        <v>7970</v>
      </c>
      <c r="R87" s="27">
        <f>R81-R86</f>
        <v>7213</v>
      </c>
      <c r="S87" s="27">
        <f>S81-S86</f>
        <v>8756</v>
      </c>
      <c r="T87" s="27">
        <f>T81-T86</f>
        <v>4660</v>
      </c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3"/>
      <c r="CF87" s="93"/>
      <c r="CG87" s="93"/>
      <c r="CH87" s="93"/>
      <c r="CI87" s="93"/>
      <c r="CJ87" s="93"/>
      <c r="CK87" s="93"/>
      <c r="CL87" s="93"/>
      <c r="CM87" s="93"/>
      <c r="CN87" s="93"/>
      <c r="CO87" s="93"/>
      <c r="CP87" s="93"/>
      <c r="CQ87" s="93"/>
      <c r="CR87" s="93"/>
      <c r="CS87" s="93"/>
      <c r="CT87" s="93"/>
      <c r="CU87" s="93"/>
      <c r="CV87" s="93"/>
      <c r="CW87" s="93"/>
      <c r="CX87" s="93"/>
      <c r="CY87" s="93"/>
      <c r="CZ87" s="93"/>
      <c r="DA87" s="93"/>
      <c r="DB87" s="93"/>
      <c r="DC87" s="93"/>
      <c r="DD87" s="93"/>
      <c r="DE87" s="93"/>
      <c r="DF87" s="93"/>
      <c r="DG87" s="93"/>
      <c r="DH87" s="93"/>
      <c r="DI87" s="93"/>
      <c r="DJ87" s="93"/>
      <c r="DK87" s="93"/>
      <c r="DL87" s="93"/>
      <c r="DM87" s="93"/>
      <c r="DN87" s="93"/>
      <c r="DO87" s="93"/>
      <c r="DP87" s="93"/>
      <c r="DQ87" s="93"/>
      <c r="DR87" s="93"/>
      <c r="DS87" s="93"/>
      <c r="DT87" s="93"/>
      <c r="DU87" s="93"/>
      <c r="DV87" s="93"/>
      <c r="DW87" s="93"/>
      <c r="DX87" s="93"/>
      <c r="DY87" s="93"/>
      <c r="DZ87" s="93"/>
      <c r="EA87" s="93"/>
      <c r="EB87" s="93"/>
      <c r="EC87" s="93"/>
      <c r="ED87" s="93"/>
      <c r="EE87" s="93"/>
      <c r="EF87" s="93"/>
      <c r="EG87" s="93"/>
      <c r="EH87" s="93"/>
      <c r="EI87" s="93"/>
      <c r="EJ87" s="93"/>
      <c r="EK87" s="93"/>
      <c r="EL87" s="93"/>
      <c r="EM87" s="93"/>
      <c r="EN87" s="93"/>
      <c r="EO87" s="93"/>
      <c r="EP87" s="93"/>
      <c r="EQ87" s="93"/>
      <c r="ER87" s="93"/>
      <c r="ES87" s="93"/>
      <c r="ET87" s="93"/>
      <c r="EU87" s="93"/>
      <c r="EV87" s="93"/>
      <c r="EW87" s="93"/>
      <c r="EX87" s="93"/>
      <c r="EY87" s="93"/>
      <c r="EZ87" s="93"/>
      <c r="FA87" s="93"/>
      <c r="FB87" s="93"/>
      <c r="FC87" s="93"/>
      <c r="FD87" s="147"/>
      <c r="FE87" s="147"/>
      <c r="FF87" s="93"/>
      <c r="FG87" s="93"/>
      <c r="FH87" s="93"/>
      <c r="FI87" s="93"/>
      <c r="FJ87" s="93"/>
      <c r="FK87" s="93"/>
      <c r="FL87" s="93"/>
      <c r="FM87" s="5"/>
      <c r="FN87" s="5"/>
      <c r="FO87" s="5"/>
      <c r="FP87" s="27"/>
      <c r="FQ87" s="27">
        <v>5223</v>
      </c>
      <c r="FR87" s="27">
        <v>5793</v>
      </c>
      <c r="FS87" s="27">
        <v>6766</v>
      </c>
      <c r="FT87" s="27">
        <f>FT81-FT82-FT83-FT84</f>
        <v>10133</v>
      </c>
      <c r="FU87" s="27">
        <f t="shared" ref="FU87:FZ87" si="61">FU81-FU86</f>
        <v>14114</v>
      </c>
      <c r="FV87" s="27">
        <f t="shared" si="61"/>
        <v>16027</v>
      </c>
      <c r="FW87" s="27">
        <f t="shared" si="61"/>
        <v>14742</v>
      </c>
      <c r="FX87" s="27">
        <f t="shared" si="61"/>
        <v>15183</v>
      </c>
      <c r="FY87" s="27">
        <f t="shared" si="61"/>
        <v>13339</v>
      </c>
      <c r="FZ87" s="27">
        <f t="shared" si="61"/>
        <v>13454</v>
      </c>
      <c r="GA87" s="27">
        <f t="shared" ref="GA87:GI87" si="62">GA81-GA86</f>
        <v>-10287.09</v>
      </c>
      <c r="GB87" s="27">
        <f t="shared" si="62"/>
        <v>16376</v>
      </c>
      <c r="GC87" s="27">
        <f t="shared" si="62"/>
        <v>14090</v>
      </c>
      <c r="GD87" s="124">
        <f t="shared" si="62"/>
        <v>-18366.48</v>
      </c>
      <c r="GE87" s="124">
        <f t="shared" si="62"/>
        <v>-18182.815200000001</v>
      </c>
      <c r="GF87" s="124">
        <f>GF81-GF86</f>
        <v>13003</v>
      </c>
      <c r="GG87" s="124">
        <f>GG81-GG86</f>
        <v>14769</v>
      </c>
      <c r="GH87" s="124">
        <f t="shared" si="62"/>
        <v>-15213.33</v>
      </c>
      <c r="GI87" s="124">
        <f t="shared" si="62"/>
        <v>21536</v>
      </c>
      <c r="GJ87" s="138">
        <f>GJ81-GJ86</f>
        <v>21897</v>
      </c>
      <c r="GK87" s="91"/>
      <c r="GL87" s="138">
        <f>GL81-GL86</f>
        <v>17617</v>
      </c>
      <c r="GM87" s="137"/>
    </row>
    <row r="88" spans="2:268" x14ac:dyDescent="0.25">
      <c r="B88" s="15" t="s">
        <v>2</v>
      </c>
      <c r="C88" s="23">
        <v>-75</v>
      </c>
      <c r="D88" s="23">
        <v>122</v>
      </c>
      <c r="E88" s="23">
        <v>131</v>
      </c>
      <c r="F88" s="23">
        <v>106</v>
      </c>
      <c r="G88" s="67">
        <v>213</v>
      </c>
      <c r="H88" s="67">
        <v>156</v>
      </c>
      <c r="I88" s="67">
        <v>241</v>
      </c>
      <c r="J88" s="67">
        <f>678-I88</f>
        <v>437</v>
      </c>
      <c r="K88" s="67">
        <v>902</v>
      </c>
      <c r="L88" s="67">
        <f>1829-K88</f>
        <v>927</v>
      </c>
      <c r="M88" s="67">
        <v>979</v>
      </c>
      <c r="N88" s="67">
        <f>1805-M88</f>
        <v>826</v>
      </c>
      <c r="O88" s="67">
        <v>684</v>
      </c>
      <c r="P88" s="67">
        <f>O88</f>
        <v>684</v>
      </c>
      <c r="Q88" s="67">
        <v>484</v>
      </c>
      <c r="R88" s="67">
        <f>792-Q88</f>
        <v>308</v>
      </c>
      <c r="S88" s="67">
        <v>302</v>
      </c>
      <c r="T88" s="67">
        <f>-3+557-S88</f>
        <v>252</v>
      </c>
      <c r="FP88" s="25"/>
      <c r="FQ88" s="25">
        <v>2000</v>
      </c>
      <c r="FR88" s="25">
        <v>47</v>
      </c>
      <c r="FS88" s="25">
        <v>369</v>
      </c>
      <c r="FT88" s="25">
        <v>1313</v>
      </c>
      <c r="FU88" s="25">
        <f>SUM(K88:L88)</f>
        <v>1829</v>
      </c>
      <c r="FV88" s="25">
        <f>N88+M88</f>
        <v>1805</v>
      </c>
      <c r="FW88" s="25">
        <v>1123</v>
      </c>
      <c r="FX88" s="25">
        <f t="shared" ref="FX88:FX89" si="63">SUM(Q88:R88)</f>
        <v>792</v>
      </c>
      <c r="FY88" s="25">
        <f>T88+S88</f>
        <v>554</v>
      </c>
      <c r="FZ88" s="25">
        <f>-2228+647+12</f>
        <v>-1569</v>
      </c>
      <c r="GA88" s="25">
        <f t="shared" ref="GA88:GH88" si="64">GA98*$GX$100</f>
        <v>-66.900000000000006</v>
      </c>
      <c r="GB88" s="25"/>
      <c r="GC88" s="25"/>
      <c r="GD88" s="126"/>
      <c r="GE88" s="126"/>
      <c r="GF88" s="126"/>
      <c r="GG88" s="126"/>
      <c r="GH88" s="126">
        <f t="shared" si="64"/>
        <v>363.8191624000001</v>
      </c>
      <c r="GI88" s="126">
        <f>-539-25</f>
        <v>-564</v>
      </c>
      <c r="GJ88" s="130">
        <f>-412-339</f>
        <v>-751</v>
      </c>
      <c r="GL88" s="130">
        <f>805-980-320</f>
        <v>-495</v>
      </c>
    </row>
    <row r="89" spans="2:268" s="17" customFormat="1" ht="13" x14ac:dyDescent="0.3">
      <c r="B89" s="15" t="s">
        <v>3</v>
      </c>
      <c r="C89" s="25">
        <v>-276</v>
      </c>
      <c r="D89" s="25">
        <v>-401</v>
      </c>
      <c r="E89" s="25">
        <v>-370</v>
      </c>
      <c r="F89" s="25">
        <v>-206</v>
      </c>
      <c r="G89" s="25">
        <v>-383</v>
      </c>
      <c r="H89" s="25">
        <v>-244</v>
      </c>
      <c r="I89" s="25">
        <v>-187</v>
      </c>
      <c r="J89" s="25">
        <f>-382-I89</f>
        <v>-195</v>
      </c>
      <c r="K89" s="25">
        <v>478</v>
      </c>
      <c r="L89" s="25">
        <f>974-K89</f>
        <v>496</v>
      </c>
      <c r="M89" s="25">
        <v>479</v>
      </c>
      <c r="N89" s="25">
        <f>971-M89</f>
        <v>492</v>
      </c>
      <c r="O89" s="67">
        <v>447</v>
      </c>
      <c r="P89" s="67">
        <f>O89</f>
        <v>447</v>
      </c>
      <c r="Q89" s="67">
        <v>1035</v>
      </c>
      <c r="R89" s="67">
        <f>2460-Q89</f>
        <v>1425</v>
      </c>
      <c r="S89" s="67">
        <v>1508</v>
      </c>
      <c r="T89" s="67">
        <f>2829-S89</f>
        <v>1321</v>
      </c>
      <c r="U89" s="67"/>
      <c r="V89" s="67"/>
      <c r="W89" s="67"/>
      <c r="X89" s="67"/>
      <c r="Y89" s="25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130"/>
      <c r="FE89" s="130"/>
      <c r="FF89" s="44"/>
      <c r="FG89" s="44"/>
      <c r="FH89" s="44"/>
      <c r="FI89" s="44"/>
      <c r="FJ89" s="44"/>
      <c r="FK89" s="44"/>
      <c r="FL89" s="44"/>
      <c r="FM89" s="15"/>
      <c r="FN89" s="15"/>
      <c r="FO89" s="15"/>
      <c r="FP89" s="25"/>
      <c r="FQ89" s="25">
        <v>-1165.1611044776121</v>
      </c>
      <c r="FR89" s="25">
        <v>-677</v>
      </c>
      <c r="FS89" s="25">
        <v>-627</v>
      </c>
      <c r="FT89" s="25">
        <v>985</v>
      </c>
      <c r="FU89" s="25">
        <f>SUM(K89:L89)</f>
        <v>974</v>
      </c>
      <c r="FV89" s="25">
        <f>N89+M89</f>
        <v>971</v>
      </c>
      <c r="FW89" s="25">
        <v>887</v>
      </c>
      <c r="FX89" s="25">
        <f t="shared" si="63"/>
        <v>2460</v>
      </c>
      <c r="FY89" s="25">
        <f>T89+S89</f>
        <v>2829</v>
      </c>
      <c r="FZ89" s="25"/>
      <c r="GA89" s="25"/>
      <c r="GB89" s="25"/>
      <c r="GC89" s="25"/>
      <c r="GD89" s="126"/>
      <c r="GE89" s="126"/>
      <c r="GF89" s="126"/>
      <c r="GG89" s="126"/>
      <c r="GH89" s="126"/>
      <c r="GI89" s="126"/>
      <c r="GJ89" s="137"/>
      <c r="GK89" s="91"/>
      <c r="GL89" s="137"/>
      <c r="GM89" s="137"/>
    </row>
    <row r="90" spans="2:268" s="17" customFormat="1" ht="13" x14ac:dyDescent="0.3">
      <c r="B90" s="17" t="s">
        <v>15</v>
      </c>
      <c r="C90" s="27">
        <v>2464</v>
      </c>
      <c r="D90" s="27">
        <v>2655</v>
      </c>
      <c r="E90" s="27">
        <v>3435</v>
      </c>
      <c r="F90" s="27">
        <v>3133</v>
      </c>
      <c r="G90" s="27">
        <v>3330</v>
      </c>
      <c r="H90" s="27">
        <v>3135</v>
      </c>
      <c r="I90" s="27">
        <f t="shared" ref="I90:S90" si="65">I87+I88-I89</f>
        <v>5299</v>
      </c>
      <c r="J90" s="27">
        <f t="shared" si="65"/>
        <v>5797</v>
      </c>
      <c r="K90" s="27">
        <f t="shared" si="65"/>
        <v>6723</v>
      </c>
      <c r="L90" s="27">
        <f t="shared" si="65"/>
        <v>7036</v>
      </c>
      <c r="M90" s="27">
        <f t="shared" si="65"/>
        <v>9085</v>
      </c>
      <c r="N90" s="27">
        <f t="shared" si="65"/>
        <v>7776</v>
      </c>
      <c r="O90" s="27">
        <f t="shared" si="65"/>
        <v>7278</v>
      </c>
      <c r="P90" s="27">
        <f t="shared" si="65"/>
        <v>7092</v>
      </c>
      <c r="Q90" s="27">
        <f t="shared" si="65"/>
        <v>7419</v>
      </c>
      <c r="R90" s="27">
        <f t="shared" si="65"/>
        <v>6096</v>
      </c>
      <c r="S90" s="27">
        <f t="shared" si="65"/>
        <v>7550</v>
      </c>
      <c r="T90" s="27">
        <f>T87+T88-T89</f>
        <v>3591</v>
      </c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3"/>
      <c r="CF90" s="93"/>
      <c r="CG90" s="93"/>
      <c r="CH90" s="93"/>
      <c r="CI90" s="93"/>
      <c r="CJ90" s="93"/>
      <c r="CK90" s="93"/>
      <c r="CL90" s="93"/>
      <c r="CM90" s="93"/>
      <c r="CN90" s="93"/>
      <c r="CO90" s="93"/>
      <c r="CP90" s="93"/>
      <c r="CQ90" s="93"/>
      <c r="CR90" s="93"/>
      <c r="CS90" s="93"/>
      <c r="CT90" s="93"/>
      <c r="CU90" s="93"/>
      <c r="CV90" s="93"/>
      <c r="CW90" s="93"/>
      <c r="CX90" s="93"/>
      <c r="CY90" s="93"/>
      <c r="CZ90" s="93"/>
      <c r="DA90" s="93"/>
      <c r="DB90" s="93"/>
      <c r="DC90" s="93"/>
      <c r="DD90" s="93"/>
      <c r="DE90" s="93"/>
      <c r="DF90" s="93"/>
      <c r="DG90" s="93"/>
      <c r="DH90" s="93"/>
      <c r="DI90" s="93"/>
      <c r="DJ90" s="93"/>
      <c r="DK90" s="93"/>
      <c r="DL90" s="93"/>
      <c r="DM90" s="93"/>
      <c r="DN90" s="93"/>
      <c r="DO90" s="93"/>
      <c r="DP90" s="93"/>
      <c r="DQ90" s="93"/>
      <c r="DR90" s="93"/>
      <c r="DS90" s="93"/>
      <c r="DT90" s="93"/>
      <c r="DU90" s="93"/>
      <c r="DV90" s="93"/>
      <c r="DW90" s="93"/>
      <c r="DX90" s="93"/>
      <c r="DY90" s="93"/>
      <c r="DZ90" s="93"/>
      <c r="EA90" s="93"/>
      <c r="EB90" s="93"/>
      <c r="EC90" s="93"/>
      <c r="ED90" s="93"/>
      <c r="EE90" s="93"/>
      <c r="EF90" s="93"/>
      <c r="EG90" s="93"/>
      <c r="EH90" s="93"/>
      <c r="EI90" s="93"/>
      <c r="EJ90" s="93"/>
      <c r="EK90" s="93"/>
      <c r="EL90" s="93"/>
      <c r="EM90" s="93"/>
      <c r="EN90" s="93"/>
      <c r="EO90" s="93"/>
      <c r="EP90" s="93"/>
      <c r="EQ90" s="93"/>
      <c r="ER90" s="93"/>
      <c r="ES90" s="93"/>
      <c r="ET90" s="93"/>
      <c r="EU90" s="93"/>
      <c r="EV90" s="93"/>
      <c r="EW90" s="93"/>
      <c r="EX90" s="93"/>
      <c r="EY90" s="93"/>
      <c r="EZ90" s="93"/>
      <c r="FA90" s="93"/>
      <c r="FB90" s="93"/>
      <c r="FC90" s="93"/>
      <c r="FD90" s="147"/>
      <c r="FE90" s="147"/>
      <c r="FF90" s="93"/>
      <c r="FG90" s="93"/>
      <c r="FH90" s="93"/>
      <c r="FI90" s="93"/>
      <c r="FJ90" s="93"/>
      <c r="FK90" s="93"/>
      <c r="FL90" s="93"/>
      <c r="FM90" s="5"/>
      <c r="FN90" s="5"/>
      <c r="FO90" s="5"/>
      <c r="FP90" s="27"/>
      <c r="FQ90" s="27">
        <v>6020.8388955223882</v>
      </c>
      <c r="FR90" s="27">
        <v>5119</v>
      </c>
      <c r="FS90" s="27">
        <v>6465</v>
      </c>
      <c r="FT90" s="27">
        <f t="shared" ref="FT90:GI90" si="66">FT87+FT88-FT89</f>
        <v>10461</v>
      </c>
      <c r="FU90" s="27">
        <f t="shared" si="66"/>
        <v>14969</v>
      </c>
      <c r="FV90" s="27">
        <f t="shared" si="66"/>
        <v>16861</v>
      </c>
      <c r="FW90" s="27">
        <f t="shared" si="66"/>
        <v>14978</v>
      </c>
      <c r="FX90" s="27">
        <f t="shared" si="66"/>
        <v>13515</v>
      </c>
      <c r="FY90" s="27">
        <f>FY87+FY88-FY89</f>
        <v>11064</v>
      </c>
      <c r="FZ90" s="27">
        <f t="shared" si="66"/>
        <v>11885</v>
      </c>
      <c r="GA90" s="27">
        <f t="shared" si="66"/>
        <v>-10353.99</v>
      </c>
      <c r="GB90" s="27">
        <f t="shared" si="66"/>
        <v>16376</v>
      </c>
      <c r="GC90" s="27">
        <f t="shared" si="66"/>
        <v>14090</v>
      </c>
      <c r="GD90" s="124">
        <f t="shared" si="66"/>
        <v>-18366.48</v>
      </c>
      <c r="GE90" s="124">
        <f t="shared" si="66"/>
        <v>-18182.815200000001</v>
      </c>
      <c r="GF90" s="124">
        <f t="shared" si="66"/>
        <v>13003</v>
      </c>
      <c r="GG90" s="124">
        <f t="shared" si="66"/>
        <v>14769</v>
      </c>
      <c r="GH90" s="124">
        <f t="shared" si="66"/>
        <v>-14849.510837599999</v>
      </c>
      <c r="GI90" s="124">
        <f t="shared" si="66"/>
        <v>20972</v>
      </c>
      <c r="GJ90" s="138">
        <f>GJ87+GJ88</f>
        <v>21146</v>
      </c>
      <c r="GK90" s="138">
        <f>GK87+GK88</f>
        <v>0</v>
      </c>
      <c r="GL90" s="138">
        <f>GL87+GL88</f>
        <v>17122</v>
      </c>
      <c r="GM90" s="137"/>
    </row>
    <row r="91" spans="2:268" x14ac:dyDescent="0.25">
      <c r="B91" s="15" t="s">
        <v>5</v>
      </c>
      <c r="C91" s="25">
        <v>-658</v>
      </c>
      <c r="D91" s="25">
        <v>-661</v>
      </c>
      <c r="E91" s="25">
        <v>-835</v>
      </c>
      <c r="F91" s="25">
        <v>-810</v>
      </c>
      <c r="G91" s="25">
        <v>-806</v>
      </c>
      <c r="H91" s="25">
        <v>-799</v>
      </c>
      <c r="I91" s="25">
        <v>1095</v>
      </c>
      <c r="J91" s="25">
        <f>2224-I91</f>
        <v>1129</v>
      </c>
      <c r="K91" s="25">
        <v>1701</v>
      </c>
      <c r="L91" s="25">
        <f>3436-K91</f>
        <v>1735</v>
      </c>
      <c r="M91" s="25">
        <v>2115</v>
      </c>
      <c r="N91" s="25">
        <f>3867-M91</f>
        <v>1752</v>
      </c>
      <c r="O91" s="25">
        <v>1861</v>
      </c>
      <c r="P91" s="25"/>
      <c r="Q91" s="25">
        <v>1678</v>
      </c>
      <c r="R91" s="25">
        <f>2870-Q91</f>
        <v>1192</v>
      </c>
      <c r="S91" s="25">
        <v>1800</v>
      </c>
      <c r="T91" s="25">
        <f>2320-S91</f>
        <v>520</v>
      </c>
      <c r="U91" s="25"/>
      <c r="V91" s="25"/>
      <c r="W91" s="25"/>
      <c r="X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FP91" s="25"/>
      <c r="FQ91" s="25">
        <v>-1595</v>
      </c>
      <c r="FR91" s="25">
        <v>-1319</v>
      </c>
      <c r="FS91" s="25">
        <v>-1605</v>
      </c>
      <c r="FT91" s="25">
        <v>2284</v>
      </c>
      <c r="FU91" s="25">
        <f>SUM(K91:L91)</f>
        <v>3436</v>
      </c>
      <c r="FV91" s="25">
        <f>N91+M91</f>
        <v>3867</v>
      </c>
      <c r="FW91" s="25">
        <v>3317</v>
      </c>
      <c r="FX91" s="25">
        <f>SUM(Q91:R91)</f>
        <v>2870</v>
      </c>
      <c r="FY91" s="25">
        <f>T91+S91</f>
        <v>2320</v>
      </c>
      <c r="FZ91" s="25">
        <v>2341</v>
      </c>
      <c r="GA91" s="25">
        <f t="shared" ref="GA91:GH91" si="67">GA90*0.24</f>
        <v>-2484.9575999999997</v>
      </c>
      <c r="GB91" s="25">
        <f t="shared" si="67"/>
        <v>3930.24</v>
      </c>
      <c r="GC91" s="25">
        <f t="shared" si="67"/>
        <v>3381.6</v>
      </c>
      <c r="GD91" s="126">
        <f t="shared" si="67"/>
        <v>-4407.9551999999994</v>
      </c>
      <c r="GE91" s="126">
        <f t="shared" si="67"/>
        <v>-4363.8756480000002</v>
      </c>
      <c r="GF91" s="126">
        <f t="shared" si="67"/>
        <v>3120.72</v>
      </c>
      <c r="GG91" s="126">
        <f t="shared" si="67"/>
        <v>3544.56</v>
      </c>
      <c r="GH91" s="126">
        <f t="shared" si="67"/>
        <v>-3563.8826010239995</v>
      </c>
      <c r="GI91" s="126">
        <v>3594</v>
      </c>
      <c r="GJ91" s="129">
        <v>3075</v>
      </c>
      <c r="GK91" s="129"/>
      <c r="GL91" s="129">
        <v>2136</v>
      </c>
    </row>
    <row r="92" spans="2:268" x14ac:dyDescent="0.25">
      <c r="B92" s="15" t="s">
        <v>6</v>
      </c>
      <c r="C92" s="25">
        <v>1806</v>
      </c>
      <c r="D92" s="25">
        <v>1994</v>
      </c>
      <c r="E92" s="25">
        <v>2600</v>
      </c>
      <c r="F92" s="25">
        <v>2323</v>
      </c>
      <c r="G92" s="25">
        <v>2524</v>
      </c>
      <c r="H92" s="25">
        <v>2336</v>
      </c>
      <c r="I92" s="25">
        <f t="shared" ref="I92:N92" si="68">I90-I91</f>
        <v>4204</v>
      </c>
      <c r="J92" s="25">
        <f t="shared" si="68"/>
        <v>4668</v>
      </c>
      <c r="K92" s="25">
        <f t="shared" si="68"/>
        <v>5022</v>
      </c>
      <c r="L92" s="25">
        <f t="shared" si="68"/>
        <v>5301</v>
      </c>
      <c r="M92" s="25">
        <f t="shared" si="68"/>
        <v>6970</v>
      </c>
      <c r="N92" s="25">
        <f t="shared" si="68"/>
        <v>6024</v>
      </c>
      <c r="O92" s="25">
        <f t="shared" ref="O92:T92" si="69">O90-O91</f>
        <v>5417</v>
      </c>
      <c r="P92" s="25">
        <f t="shared" si="69"/>
        <v>7092</v>
      </c>
      <c r="Q92" s="25">
        <f t="shared" si="69"/>
        <v>5741</v>
      </c>
      <c r="R92" s="25">
        <f t="shared" si="69"/>
        <v>4904</v>
      </c>
      <c r="S92" s="25">
        <f t="shared" si="69"/>
        <v>5750</v>
      </c>
      <c r="T92" s="25">
        <f t="shared" si="69"/>
        <v>3071</v>
      </c>
      <c r="U92" s="25"/>
      <c r="V92" s="25"/>
      <c r="W92" s="25"/>
      <c r="X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FP92" s="25"/>
      <c r="FQ92" s="25">
        <v>4425.8388955223882</v>
      </c>
      <c r="FR92" s="25">
        <v>3800</v>
      </c>
      <c r="FS92" s="25">
        <v>4860</v>
      </c>
      <c r="FT92" s="25">
        <f t="shared" ref="FT92:GC92" si="70">FT90-FT91</f>
        <v>8177</v>
      </c>
      <c r="FU92" s="25">
        <f t="shared" si="70"/>
        <v>11533</v>
      </c>
      <c r="FV92" s="25">
        <f t="shared" si="70"/>
        <v>12994</v>
      </c>
      <c r="FW92" s="25">
        <f t="shared" si="70"/>
        <v>11661</v>
      </c>
      <c r="FX92" s="25">
        <f>FX90-FX91</f>
        <v>10645</v>
      </c>
      <c r="FY92" s="25">
        <f>FY90-FY91</f>
        <v>8744</v>
      </c>
      <c r="FZ92" s="25">
        <f t="shared" si="70"/>
        <v>9544</v>
      </c>
      <c r="GA92" s="25">
        <f t="shared" si="70"/>
        <v>-7869.0324000000001</v>
      </c>
      <c r="GB92" s="25">
        <f t="shared" si="70"/>
        <v>12445.76</v>
      </c>
      <c r="GC92" s="25">
        <f t="shared" si="70"/>
        <v>10708.4</v>
      </c>
      <c r="GD92" s="126">
        <f t="shared" ref="GD92:GH92" si="71">GD90-GD91</f>
        <v>-13958.524799999999</v>
      </c>
      <c r="GE92" s="126">
        <f t="shared" si="71"/>
        <v>-13818.939552</v>
      </c>
      <c r="GF92" s="126">
        <f t="shared" si="71"/>
        <v>9882.2800000000007</v>
      </c>
      <c r="GG92" s="126">
        <f t="shared" si="71"/>
        <v>11224.44</v>
      </c>
      <c r="GH92" s="126">
        <f t="shared" si="71"/>
        <v>-11285.628236576</v>
      </c>
      <c r="GI92" s="126">
        <f>GI90-GI91</f>
        <v>17378</v>
      </c>
      <c r="GJ92" s="129">
        <f>GJ90-GJ91</f>
        <v>18071</v>
      </c>
      <c r="GK92" s="129"/>
      <c r="GL92" s="129">
        <f>GL90-GL91</f>
        <v>14986</v>
      </c>
    </row>
    <row r="93" spans="2:268" x14ac:dyDescent="0.25">
      <c r="B93" s="15" t="s">
        <v>4</v>
      </c>
      <c r="C93" s="25">
        <v>-185.5</v>
      </c>
      <c r="D93" s="25">
        <v>-243.5</v>
      </c>
      <c r="E93" s="25">
        <v>-274</v>
      </c>
      <c r="F93" s="25">
        <v>-306</v>
      </c>
      <c r="G93" s="25">
        <v>-262</v>
      </c>
      <c r="H93" s="25">
        <v>-276</v>
      </c>
      <c r="I93" s="25">
        <v>444</v>
      </c>
      <c r="J93" s="25">
        <f>943-I93</f>
        <v>499</v>
      </c>
      <c r="K93" s="25">
        <v>572</v>
      </c>
      <c r="L93" s="25">
        <f>1291-K93</f>
        <v>719</v>
      </c>
      <c r="M93" s="25">
        <v>943</v>
      </c>
      <c r="N93" s="25">
        <f>1676-M93</f>
        <v>733</v>
      </c>
      <c r="O93" s="25">
        <v>912</v>
      </c>
      <c r="P93" s="25">
        <f>O93</f>
        <v>912</v>
      </c>
      <c r="Q93" s="25">
        <v>578</v>
      </c>
      <c r="R93" s="25">
        <f>726-Q93</f>
        <v>148</v>
      </c>
      <c r="S93" s="25">
        <v>97</v>
      </c>
      <c r="T93" s="25">
        <f>225-S93</f>
        <v>128</v>
      </c>
      <c r="U93" s="25"/>
      <c r="V93" s="25"/>
      <c r="W93" s="25"/>
      <c r="X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130"/>
      <c r="FE93" s="130"/>
      <c r="FF93" s="44"/>
      <c r="FG93" s="44"/>
      <c r="FH93" s="44"/>
      <c r="FI93" s="44"/>
      <c r="FJ93" s="44"/>
      <c r="FK93" s="44"/>
      <c r="FL93" s="44"/>
      <c r="FM93" s="15"/>
      <c r="FN93" s="15"/>
      <c r="FO93" s="15"/>
      <c r="FP93" s="25"/>
      <c r="FQ93" s="25">
        <v>34</v>
      </c>
      <c r="FR93" s="25">
        <v>-429</v>
      </c>
      <c r="FS93" s="25">
        <v>-538</v>
      </c>
      <c r="FT93" s="25">
        <v>943</v>
      </c>
      <c r="FU93" s="25">
        <f>SUM(K93:L93)</f>
        <v>1291</v>
      </c>
      <c r="FV93" s="25">
        <f>N93+M93</f>
        <v>1676</v>
      </c>
      <c r="FW93" s="25">
        <v>1875</v>
      </c>
      <c r="FX93" s="25">
        <f>SUM(Q93:R93)</f>
        <v>726</v>
      </c>
      <c r="FY93" s="25">
        <f>T93+S93</f>
        <v>225</v>
      </c>
      <c r="FZ93" s="25">
        <v>201</v>
      </c>
      <c r="GA93" s="25"/>
      <c r="GB93" s="25"/>
      <c r="GC93" s="25"/>
      <c r="GD93" s="126"/>
      <c r="GE93" s="126"/>
      <c r="GF93" s="126"/>
      <c r="GG93" s="126"/>
      <c r="GH93" s="126"/>
      <c r="GI93" s="126">
        <v>801</v>
      </c>
      <c r="GJ93" s="129">
        <v>1033</v>
      </c>
      <c r="GK93" s="129"/>
      <c r="GL93" s="129">
        <v>877</v>
      </c>
    </row>
    <row r="94" spans="2:268" x14ac:dyDescent="0.25">
      <c r="B94" s="15" t="s">
        <v>20</v>
      </c>
      <c r="C94" s="25">
        <v>1620.5</v>
      </c>
      <c r="D94" s="25">
        <v>1750.5</v>
      </c>
      <c r="E94" s="25">
        <v>2326</v>
      </c>
      <c r="F94" s="25">
        <v>2017</v>
      </c>
      <c r="G94" s="25">
        <v>2262</v>
      </c>
      <c r="H94" s="25">
        <v>2060</v>
      </c>
      <c r="I94" s="25">
        <f t="shared" ref="I94:N94" si="72">I92-I93</f>
        <v>3760</v>
      </c>
      <c r="J94" s="25">
        <f t="shared" si="72"/>
        <v>4169</v>
      </c>
      <c r="K94" s="25">
        <f t="shared" si="72"/>
        <v>4450</v>
      </c>
      <c r="L94" s="25">
        <f t="shared" si="72"/>
        <v>4582</v>
      </c>
      <c r="M94" s="25">
        <f t="shared" si="72"/>
        <v>6027</v>
      </c>
      <c r="N94" s="25">
        <f t="shared" si="72"/>
        <v>5291</v>
      </c>
      <c r="O94" s="25">
        <f t="shared" ref="O94:T94" si="73">O92-O93</f>
        <v>4505</v>
      </c>
      <c r="P94" s="25">
        <f t="shared" si="73"/>
        <v>6180</v>
      </c>
      <c r="Q94" s="25">
        <f t="shared" si="73"/>
        <v>5163</v>
      </c>
      <c r="R94" s="25">
        <f t="shared" si="73"/>
        <v>4756</v>
      </c>
      <c r="S94" s="25">
        <f t="shared" si="73"/>
        <v>5653</v>
      </c>
      <c r="T94" s="25">
        <f t="shared" si="73"/>
        <v>2943</v>
      </c>
      <c r="U94" s="25"/>
      <c r="V94" s="25"/>
      <c r="W94" s="25"/>
      <c r="X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130"/>
      <c r="FE94" s="130"/>
      <c r="FF94" s="44"/>
      <c r="FG94" s="44"/>
      <c r="FH94" s="44"/>
      <c r="FI94" s="44"/>
      <c r="FJ94" s="44"/>
      <c r="FK94" s="44"/>
      <c r="FL94" s="44"/>
      <c r="FM94" s="15"/>
      <c r="FN94" s="15"/>
      <c r="FO94" s="15"/>
      <c r="FP94" s="25"/>
      <c r="FQ94" s="25">
        <v>4459.8388955223882</v>
      </c>
      <c r="FR94" s="25">
        <v>3371</v>
      </c>
      <c r="FS94" s="25">
        <v>4322</v>
      </c>
      <c r="FT94" s="25">
        <f t="shared" ref="FT94:GI94" si="74">FT92-FT93</f>
        <v>7234</v>
      </c>
      <c r="FU94" s="25">
        <f t="shared" si="74"/>
        <v>10242</v>
      </c>
      <c r="FV94" s="25">
        <f t="shared" si="74"/>
        <v>11318</v>
      </c>
      <c r="FW94" s="25">
        <f t="shared" si="74"/>
        <v>9786</v>
      </c>
      <c r="FX94" s="25">
        <f>FX92-FX93</f>
        <v>9919</v>
      </c>
      <c r="FY94" s="25">
        <f>FY92-FY93</f>
        <v>8519</v>
      </c>
      <c r="FZ94" s="25">
        <f t="shared" si="74"/>
        <v>9343</v>
      </c>
      <c r="GA94" s="25">
        <f t="shared" si="74"/>
        <v>-7869.0324000000001</v>
      </c>
      <c r="GB94" s="25">
        <f t="shared" si="74"/>
        <v>12445.76</v>
      </c>
      <c r="GC94" s="25">
        <f t="shared" si="74"/>
        <v>10708.4</v>
      </c>
      <c r="GD94" s="126">
        <f t="shared" si="74"/>
        <v>-13958.524799999999</v>
      </c>
      <c r="GE94" s="126">
        <f t="shared" si="74"/>
        <v>-13818.939552</v>
      </c>
      <c r="GF94" s="126">
        <f t="shared" si="74"/>
        <v>9882.2800000000007</v>
      </c>
      <c r="GG94" s="126">
        <f t="shared" si="74"/>
        <v>11224.44</v>
      </c>
      <c r="GH94" s="126">
        <f t="shared" si="74"/>
        <v>-11285.628236576</v>
      </c>
      <c r="GI94" s="126">
        <f t="shared" si="74"/>
        <v>16577</v>
      </c>
      <c r="GJ94" s="126">
        <f>GJ92-GJ93</f>
        <v>17038</v>
      </c>
      <c r="GK94" s="126">
        <f>GK92-GK93</f>
        <v>0</v>
      </c>
      <c r="GL94" s="126">
        <f>GL92-GL93</f>
        <v>14109</v>
      </c>
      <c r="GM94" s="126">
        <f t="shared" ref="GM94:HR94" si="75">GL94*(1+$GX$101)</f>
        <v>14250.09</v>
      </c>
      <c r="GN94" s="32">
        <f t="shared" si="75"/>
        <v>14392.590900000001</v>
      </c>
      <c r="GO94" s="32">
        <f t="shared" si="75"/>
        <v>14536.516809000001</v>
      </c>
      <c r="GP94" s="32">
        <f t="shared" si="75"/>
        <v>14681.881977090001</v>
      </c>
      <c r="GQ94" s="32">
        <f t="shared" si="75"/>
        <v>14828.700796860901</v>
      </c>
      <c r="GR94" s="32">
        <f t="shared" si="75"/>
        <v>14976.98780482951</v>
      </c>
      <c r="GS94" s="32">
        <f t="shared" si="75"/>
        <v>15126.757682877806</v>
      </c>
      <c r="GT94" s="32">
        <f t="shared" si="75"/>
        <v>15278.025259706585</v>
      </c>
      <c r="GU94" s="32">
        <f t="shared" si="75"/>
        <v>15430.80551230365</v>
      </c>
      <c r="GV94" s="32">
        <f t="shared" si="75"/>
        <v>15585.113567426686</v>
      </c>
      <c r="GW94" s="32">
        <f t="shared" si="75"/>
        <v>15740.964703100954</v>
      </c>
      <c r="GX94" s="32">
        <f t="shared" si="75"/>
        <v>15898.374350131964</v>
      </c>
      <c r="GY94" s="32">
        <f t="shared" si="75"/>
        <v>16057.358093633284</v>
      </c>
      <c r="GZ94" s="32">
        <f t="shared" si="75"/>
        <v>16217.931674569616</v>
      </c>
      <c r="HA94" s="32">
        <f t="shared" si="75"/>
        <v>16380.110991315312</v>
      </c>
      <c r="HB94" s="32">
        <f t="shared" si="75"/>
        <v>16543.912101228467</v>
      </c>
      <c r="HC94" s="32">
        <f t="shared" si="75"/>
        <v>16709.351222240752</v>
      </c>
      <c r="HD94" s="32">
        <f t="shared" si="75"/>
        <v>16876.444734463159</v>
      </c>
      <c r="HE94" s="32">
        <f t="shared" si="75"/>
        <v>17045.20918180779</v>
      </c>
      <c r="HF94" s="32">
        <f t="shared" si="75"/>
        <v>17215.661273625868</v>
      </c>
      <c r="HG94" s="32">
        <f t="shared" si="75"/>
        <v>17387.817886362129</v>
      </c>
      <c r="HH94" s="32">
        <f t="shared" si="75"/>
        <v>17561.696065225751</v>
      </c>
      <c r="HI94" s="32">
        <f t="shared" si="75"/>
        <v>17737.313025878007</v>
      </c>
      <c r="HJ94" s="32">
        <f t="shared" si="75"/>
        <v>17914.686156136788</v>
      </c>
      <c r="HK94" s="32">
        <f t="shared" si="75"/>
        <v>18093.833017698154</v>
      </c>
      <c r="HL94" s="32">
        <f t="shared" si="75"/>
        <v>18274.771347875136</v>
      </c>
      <c r="HM94" s="32">
        <f t="shared" si="75"/>
        <v>18457.519061353887</v>
      </c>
      <c r="HN94" s="32">
        <f t="shared" si="75"/>
        <v>18642.094251967424</v>
      </c>
      <c r="HO94" s="32">
        <f t="shared" si="75"/>
        <v>18828.5151944871</v>
      </c>
      <c r="HP94" s="32">
        <f t="shared" si="75"/>
        <v>19016.80034643197</v>
      </c>
      <c r="HQ94" s="32">
        <f t="shared" si="75"/>
        <v>19206.968349896291</v>
      </c>
      <c r="HR94" s="32">
        <f t="shared" si="75"/>
        <v>19399.038033395256</v>
      </c>
      <c r="HS94" s="32">
        <f t="shared" ref="HS94:IX94" si="76">HR94*(1+$GX$101)</f>
        <v>19593.028413729207</v>
      </c>
      <c r="HT94" s="32">
        <f t="shared" si="76"/>
        <v>19788.958697866499</v>
      </c>
      <c r="HU94" s="32">
        <f t="shared" si="76"/>
        <v>19986.848284845164</v>
      </c>
      <c r="HV94" s="32">
        <f t="shared" si="76"/>
        <v>20186.716767693615</v>
      </c>
      <c r="HW94" s="32">
        <f t="shared" si="76"/>
        <v>20388.583935370552</v>
      </c>
      <c r="HX94" s="32">
        <f t="shared" si="76"/>
        <v>20592.469774724257</v>
      </c>
      <c r="HY94" s="32">
        <f t="shared" si="76"/>
        <v>20798.3944724715</v>
      </c>
      <c r="HZ94" s="32">
        <f t="shared" si="76"/>
        <v>21006.378417196214</v>
      </c>
      <c r="IA94" s="32">
        <f t="shared" si="76"/>
        <v>21216.442201368176</v>
      </c>
      <c r="IB94" s="32">
        <f t="shared" si="76"/>
        <v>21428.606623381856</v>
      </c>
      <c r="IC94" s="32">
        <f t="shared" si="76"/>
        <v>21642.892689615674</v>
      </c>
      <c r="ID94" s="32">
        <f t="shared" si="76"/>
        <v>21859.321616511832</v>
      </c>
      <c r="IE94" s="32">
        <f t="shared" si="76"/>
        <v>22077.91483267695</v>
      </c>
      <c r="IF94" s="32">
        <f t="shared" si="76"/>
        <v>22298.693981003718</v>
      </c>
      <c r="IG94" s="32">
        <f t="shared" si="76"/>
        <v>22521.680920813757</v>
      </c>
      <c r="IH94" s="32">
        <f t="shared" si="76"/>
        <v>22746.897730021894</v>
      </c>
      <c r="II94" s="32">
        <f t="shared" si="76"/>
        <v>22974.366707322111</v>
      </c>
      <c r="IJ94" s="32">
        <f t="shared" si="76"/>
        <v>23204.110374395332</v>
      </c>
      <c r="IK94" s="32">
        <f t="shared" si="76"/>
        <v>23436.151478139287</v>
      </c>
      <c r="IL94" s="32">
        <f t="shared" si="76"/>
        <v>23670.512992920681</v>
      </c>
      <c r="IM94" s="32">
        <f t="shared" si="76"/>
        <v>23907.218122849888</v>
      </c>
      <c r="IN94" s="32">
        <f t="shared" si="76"/>
        <v>24146.290304078386</v>
      </c>
      <c r="IO94" s="32">
        <f t="shared" si="76"/>
        <v>24387.753207119171</v>
      </c>
      <c r="IP94" s="32">
        <f t="shared" si="76"/>
        <v>24631.630739190361</v>
      </c>
      <c r="IQ94" s="32">
        <f t="shared" si="76"/>
        <v>24877.947046582263</v>
      </c>
      <c r="IR94" s="32">
        <f t="shared" si="76"/>
        <v>25126.726517048086</v>
      </c>
      <c r="IS94" s="32">
        <f t="shared" si="76"/>
        <v>25377.993782218568</v>
      </c>
      <c r="IT94" s="32">
        <f t="shared" si="76"/>
        <v>25631.773720040754</v>
      </c>
      <c r="IU94" s="32">
        <f t="shared" si="76"/>
        <v>25888.09145724116</v>
      </c>
      <c r="IV94" s="32">
        <f t="shared" si="76"/>
        <v>26146.972371813572</v>
      </c>
      <c r="IW94" s="32">
        <f t="shared" si="76"/>
        <v>26408.442095531707</v>
      </c>
      <c r="IX94" s="32">
        <f t="shared" si="76"/>
        <v>26672.526516487025</v>
      </c>
      <c r="IY94" s="32">
        <f t="shared" ref="IY94:JH94" si="77">IX94*(1+$GX$101)</f>
        <v>26939.251781651896</v>
      </c>
      <c r="IZ94" s="32">
        <f t="shared" si="77"/>
        <v>27208.644299468415</v>
      </c>
      <c r="JA94" s="32">
        <f t="shared" si="77"/>
        <v>27480.7307424631</v>
      </c>
      <c r="JB94" s="32">
        <f t="shared" si="77"/>
        <v>27755.538049887731</v>
      </c>
      <c r="JC94" s="32">
        <f t="shared" si="77"/>
        <v>28033.093430386609</v>
      </c>
      <c r="JD94" s="32">
        <f t="shared" si="77"/>
        <v>28313.424364690476</v>
      </c>
      <c r="JE94" s="32">
        <f t="shared" si="77"/>
        <v>28596.558608337382</v>
      </c>
      <c r="JF94" s="32">
        <f t="shared" si="77"/>
        <v>28882.524194420756</v>
      </c>
      <c r="JG94" s="32">
        <f t="shared" si="77"/>
        <v>29171.349436364962</v>
      </c>
      <c r="JH94" s="32">
        <f t="shared" si="77"/>
        <v>29463.062930728611</v>
      </c>
    </row>
    <row r="95" spans="2:268" s="17" customFormat="1" ht="13" x14ac:dyDescent="0.3">
      <c r="B95" s="17" t="s">
        <v>21</v>
      </c>
      <c r="C95" s="49">
        <v>1.9072573266926225</v>
      </c>
      <c r="D95" s="49">
        <v>2.0566674424016758</v>
      </c>
      <c r="E95" s="49">
        <v>2.7278037383177569</v>
      </c>
      <c r="F95" s="49">
        <v>2.3449074074074074</v>
      </c>
      <c r="G95" s="49">
        <v>2.6395520047522396</v>
      </c>
      <c r="H95" s="49">
        <v>2.4104238397498516</v>
      </c>
      <c r="I95" s="49">
        <f t="shared" ref="I95:N95" si="78">I94/I96</f>
        <v>4.3591034019903718</v>
      </c>
      <c r="J95" s="49">
        <f t="shared" si="78"/>
        <v>4.8332718305579414</v>
      </c>
      <c r="K95" s="49">
        <f t="shared" si="78"/>
        <v>5.1590452496960513</v>
      </c>
      <c r="L95" s="49">
        <f t="shared" si="78"/>
        <v>5.3120776031701817</v>
      </c>
      <c r="M95" s="49">
        <f t="shared" si="78"/>
        <v>6.9873181393074386</v>
      </c>
      <c r="N95" s="49">
        <f t="shared" si="78"/>
        <v>6.1340468350880464</v>
      </c>
      <c r="O95" s="49">
        <f t="shared" ref="O95:T95" si="79">O94/O96</f>
        <v>5.2228087303102724</v>
      </c>
      <c r="P95" s="49">
        <f t="shared" si="79"/>
        <v>7.1646965490160897</v>
      </c>
      <c r="Q95" s="49">
        <f t="shared" si="79"/>
        <v>5.9856518256585876</v>
      </c>
      <c r="R95" s="49">
        <f t="shared" si="79"/>
        <v>5.5138020691133525</v>
      </c>
      <c r="S95" s="49">
        <f t="shared" si="79"/>
        <v>6.5537264711307364</v>
      </c>
      <c r="T95" s="49">
        <f t="shared" si="79"/>
        <v>3.4119258808663999</v>
      </c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93"/>
      <c r="BT95" s="93"/>
      <c r="BU95" s="93"/>
      <c r="BV95" s="93"/>
      <c r="BW95" s="93"/>
      <c r="BX95" s="93"/>
      <c r="BY95" s="93"/>
      <c r="BZ95" s="93"/>
      <c r="CA95" s="93"/>
      <c r="CB95" s="93"/>
      <c r="CC95" s="93"/>
      <c r="CD95" s="93"/>
      <c r="CE95" s="93"/>
      <c r="CF95" s="93"/>
      <c r="CG95" s="93"/>
      <c r="CH95" s="93"/>
      <c r="CI95" s="93"/>
      <c r="CJ95" s="93"/>
      <c r="CK95" s="93"/>
      <c r="CL95" s="93"/>
      <c r="CM95" s="93"/>
      <c r="CN95" s="93"/>
      <c r="CO95" s="93"/>
      <c r="CP95" s="93"/>
      <c r="CQ95" s="93"/>
      <c r="CR95" s="93"/>
      <c r="CS95" s="93"/>
      <c r="CT95" s="93"/>
      <c r="CU95" s="93"/>
      <c r="CV95" s="93"/>
      <c r="CW95" s="93"/>
      <c r="CX95" s="93"/>
      <c r="CY95" s="93"/>
      <c r="CZ95" s="93"/>
      <c r="DA95" s="93"/>
      <c r="DB95" s="93"/>
      <c r="DC95" s="93"/>
      <c r="DD95" s="93"/>
      <c r="DE95" s="93"/>
      <c r="DF95" s="93"/>
      <c r="DG95" s="93"/>
      <c r="DH95" s="93"/>
      <c r="DI95" s="93"/>
      <c r="DJ95" s="93"/>
      <c r="DK95" s="93"/>
      <c r="DL95" s="93"/>
      <c r="DM95" s="93"/>
      <c r="DN95" s="93"/>
      <c r="DO95" s="93"/>
      <c r="DP95" s="93"/>
      <c r="DQ95" s="93"/>
      <c r="DR95" s="93"/>
      <c r="DS95" s="93"/>
      <c r="DT95" s="93"/>
      <c r="DU95" s="93"/>
      <c r="DV95" s="93"/>
      <c r="DW95" s="93"/>
      <c r="DX95" s="93"/>
      <c r="DY95" s="93"/>
      <c r="DZ95" s="93"/>
      <c r="EA95" s="93"/>
      <c r="EB95" s="93"/>
      <c r="EC95" s="93"/>
      <c r="ED95" s="93"/>
      <c r="EE95" s="93"/>
      <c r="EF95" s="93"/>
      <c r="EG95" s="93"/>
      <c r="EH95" s="93"/>
      <c r="EI95" s="93"/>
      <c r="EJ95" s="93"/>
      <c r="EK95" s="93"/>
      <c r="EL95" s="93"/>
      <c r="EM95" s="93"/>
      <c r="EN95" s="93"/>
      <c r="EO95" s="93"/>
      <c r="EP95" s="93"/>
      <c r="EQ95" s="93"/>
      <c r="ER95" s="93"/>
      <c r="ES95" s="93"/>
      <c r="ET95" s="93"/>
      <c r="EU95" s="93"/>
      <c r="EV95" s="93"/>
      <c r="EW95" s="93"/>
      <c r="EX95" s="93"/>
      <c r="EY95" s="93"/>
      <c r="EZ95" s="93"/>
      <c r="FA95" s="93"/>
      <c r="FB95" s="93"/>
      <c r="FC95" s="93"/>
      <c r="FD95" s="147"/>
      <c r="FE95" s="147"/>
      <c r="FF95" s="93"/>
      <c r="FG95" s="93"/>
      <c r="FH95" s="93"/>
      <c r="FI95" s="93"/>
      <c r="FJ95" s="93"/>
      <c r="FK95" s="93"/>
      <c r="FL95" s="93"/>
      <c r="FM95" s="5"/>
      <c r="FN95" s="5"/>
      <c r="FO95" s="5"/>
      <c r="FP95" s="49"/>
      <c r="FQ95" s="49">
        <v>5.3184322359227147</v>
      </c>
      <c r="FR95" s="49">
        <v>3.9639115250291037</v>
      </c>
      <c r="FS95" s="49">
        <v>5.0502424081454445</v>
      </c>
      <c r="FT95" s="49">
        <v>6.1026426057431324</v>
      </c>
      <c r="FU95" s="49">
        <f t="shared" ref="FU95:GC95" si="80">FU94/FU96</f>
        <v>11.873919426379091</v>
      </c>
      <c r="FV95" s="49">
        <f t="shared" si="80"/>
        <v>13.121364974395485</v>
      </c>
      <c r="FW95" s="49">
        <f>FW94/FW96</f>
        <v>11.345262205286643</v>
      </c>
      <c r="FX95" s="49">
        <f>FX94/FX96</f>
        <v>11.499453894771941</v>
      </c>
      <c r="FY95" s="49">
        <f>FY94/FY96</f>
        <v>9.8763834791372265</v>
      </c>
      <c r="FZ95" s="49">
        <f t="shared" si="80"/>
        <v>10.831676352339372</v>
      </c>
      <c r="GA95" s="49">
        <f t="shared" si="80"/>
        <v>-9.1228526343650156</v>
      </c>
      <c r="GB95" s="49">
        <f t="shared" si="80"/>
        <v>14.428817754349916</v>
      </c>
      <c r="GC95" s="49">
        <f t="shared" si="80"/>
        <v>12.414633741987684</v>
      </c>
      <c r="GD95" s="139"/>
      <c r="GE95" s="139"/>
      <c r="GF95" s="139"/>
      <c r="GG95" s="139"/>
      <c r="GH95" s="139"/>
      <c r="GI95" s="139"/>
      <c r="GJ95" s="137"/>
      <c r="GK95" s="91"/>
      <c r="GL95" s="137"/>
      <c r="GM95" s="137"/>
    </row>
    <row r="96" spans="2:268" s="17" customFormat="1" ht="13" x14ac:dyDescent="0.3">
      <c r="B96" s="15" t="s">
        <v>42</v>
      </c>
      <c r="C96" s="25">
        <v>858.56269999999995</v>
      </c>
      <c r="D96" s="25">
        <v>859.4</v>
      </c>
      <c r="E96" s="25">
        <v>856</v>
      </c>
      <c r="F96" s="25">
        <v>864</v>
      </c>
      <c r="G96" s="25">
        <v>860.56269999999995</v>
      </c>
      <c r="H96" s="25">
        <v>858.56269999999995</v>
      </c>
      <c r="I96" s="25">
        <v>862.56269999999995</v>
      </c>
      <c r="J96" s="25">
        <v>862.56269999999995</v>
      </c>
      <c r="K96" s="25">
        <v>862.56269999999995</v>
      </c>
      <c r="L96" s="25">
        <v>862.56269999999995</v>
      </c>
      <c r="M96" s="25">
        <v>862.56269999999995</v>
      </c>
      <c r="N96" s="25">
        <v>862.56269999999995</v>
      </c>
      <c r="O96" s="25">
        <v>862.56269999999995</v>
      </c>
      <c r="P96" s="25">
        <f>O96</f>
        <v>862.56269999999995</v>
      </c>
      <c r="Q96" s="25">
        <f>P96</f>
        <v>862.56269999999995</v>
      </c>
      <c r="R96" s="25">
        <f>+Q96</f>
        <v>862.56269999999995</v>
      </c>
      <c r="S96" s="25">
        <f>+R96</f>
        <v>862.56269999999995</v>
      </c>
      <c r="T96" s="25">
        <f>+S96</f>
        <v>862.56269999999995</v>
      </c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95"/>
      <c r="BT96" s="95"/>
      <c r="BU96" s="93"/>
      <c r="BV96" s="93"/>
      <c r="BW96" s="93"/>
      <c r="BX96" s="93"/>
      <c r="BY96" s="93"/>
      <c r="BZ96" s="93"/>
      <c r="CA96" s="93"/>
      <c r="CB96" s="93"/>
      <c r="CC96" s="93"/>
      <c r="CD96" s="93"/>
      <c r="CE96" s="93"/>
      <c r="CF96" s="93"/>
      <c r="CG96" s="93"/>
      <c r="CH96" s="93"/>
      <c r="CI96" s="93"/>
      <c r="CJ96" s="93"/>
      <c r="CK96" s="93"/>
      <c r="CL96" s="93"/>
      <c r="CM96" s="93"/>
      <c r="CN96" s="93"/>
      <c r="CO96" s="93"/>
      <c r="CP96" s="93"/>
      <c r="CQ96" s="93"/>
      <c r="CR96" s="93"/>
      <c r="CS96" s="93"/>
      <c r="CT96" s="93"/>
      <c r="CU96" s="93"/>
      <c r="CV96" s="93"/>
      <c r="CW96" s="93"/>
      <c r="CX96" s="93"/>
      <c r="CY96" s="93"/>
      <c r="CZ96" s="93"/>
      <c r="DA96" s="93"/>
      <c r="DB96" s="93"/>
      <c r="DC96" s="93"/>
      <c r="DD96" s="93"/>
      <c r="DE96" s="93"/>
      <c r="DF96" s="93"/>
      <c r="DG96" s="93"/>
      <c r="DH96" s="93"/>
      <c r="DI96" s="93"/>
      <c r="DJ96" s="93"/>
      <c r="DK96" s="93"/>
      <c r="DL96" s="93"/>
      <c r="DM96" s="93"/>
      <c r="DN96" s="93"/>
      <c r="DO96" s="93"/>
      <c r="DP96" s="93"/>
      <c r="DQ96" s="93"/>
      <c r="DR96" s="93"/>
      <c r="DS96" s="93"/>
      <c r="DT96" s="93"/>
      <c r="DU96" s="93"/>
      <c r="DV96" s="93"/>
      <c r="DW96" s="93"/>
      <c r="DX96" s="93"/>
      <c r="DY96" s="93"/>
      <c r="DZ96" s="93"/>
      <c r="EA96" s="93"/>
      <c r="EB96" s="93"/>
      <c r="EC96" s="93"/>
      <c r="ED96" s="93"/>
      <c r="EE96" s="93"/>
      <c r="EF96" s="93"/>
      <c r="EG96" s="93"/>
      <c r="EH96" s="93"/>
      <c r="EI96" s="93"/>
      <c r="EJ96" s="93"/>
      <c r="EK96" s="93"/>
      <c r="EL96" s="93"/>
      <c r="EM96" s="93"/>
      <c r="EN96" s="93"/>
      <c r="EO96" s="93"/>
      <c r="EP96" s="93"/>
      <c r="EQ96" s="93"/>
      <c r="ER96" s="93"/>
      <c r="ES96" s="93"/>
      <c r="ET96" s="93"/>
      <c r="EU96" s="93"/>
      <c r="EV96" s="93"/>
      <c r="EW96" s="93"/>
      <c r="EX96" s="93"/>
      <c r="EY96" s="93"/>
      <c r="EZ96" s="93"/>
      <c r="FA96" s="93"/>
      <c r="FB96" s="93"/>
      <c r="FC96" s="93"/>
      <c r="FD96" s="147"/>
      <c r="FE96" s="147"/>
      <c r="FF96" s="93"/>
      <c r="FG96" s="93"/>
      <c r="FH96" s="93"/>
      <c r="FI96" s="93"/>
      <c r="FJ96" s="93"/>
      <c r="FK96" s="93"/>
      <c r="FL96" s="93"/>
      <c r="FM96" s="5"/>
      <c r="FN96" s="5"/>
      <c r="FO96" s="5"/>
      <c r="FP96" s="25"/>
      <c r="FQ96" s="25">
        <v>838.56269999999995</v>
      </c>
      <c r="FR96" s="25">
        <v>859</v>
      </c>
      <c r="FS96" s="25">
        <v>859.56269999999995</v>
      </c>
      <c r="FT96" s="25">
        <v>858</v>
      </c>
      <c r="FU96" s="25">
        <f>AVERAGE(M96:N96)</f>
        <v>862.56269999999995</v>
      </c>
      <c r="FV96" s="25">
        <f t="shared" ref="FV96:GC96" si="81">FU96</f>
        <v>862.56269999999995</v>
      </c>
      <c r="FW96" s="25">
        <f t="shared" si="81"/>
        <v>862.56269999999995</v>
      </c>
      <c r="FX96" s="25">
        <f t="shared" si="81"/>
        <v>862.56269999999995</v>
      </c>
      <c r="FY96" s="25">
        <f>FX96</f>
        <v>862.56269999999995</v>
      </c>
      <c r="FZ96" s="25">
        <f t="shared" si="81"/>
        <v>862.56269999999995</v>
      </c>
      <c r="GA96" s="25">
        <f t="shared" si="81"/>
        <v>862.56269999999995</v>
      </c>
      <c r="GB96" s="25">
        <f t="shared" si="81"/>
        <v>862.56269999999995</v>
      </c>
      <c r="GC96" s="25">
        <f t="shared" si="81"/>
        <v>862.56269999999995</v>
      </c>
      <c r="GD96" s="126"/>
      <c r="GE96" s="126"/>
      <c r="GF96" s="126"/>
      <c r="GG96" s="126"/>
      <c r="GH96" s="126"/>
      <c r="GI96" s="126"/>
      <c r="GJ96" s="137"/>
      <c r="GK96" s="91"/>
      <c r="GL96" s="137"/>
      <c r="GM96" s="137"/>
    </row>
    <row r="97" spans="2:208" s="17" customFormat="1" ht="13" x14ac:dyDescent="0.3">
      <c r="B97" s="1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95"/>
      <c r="BT97" s="95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3"/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93"/>
      <c r="CW97" s="93"/>
      <c r="CX97" s="93"/>
      <c r="CY97" s="93"/>
      <c r="CZ97" s="93"/>
      <c r="DA97" s="93"/>
      <c r="DB97" s="93"/>
      <c r="DC97" s="93"/>
      <c r="DD97" s="93"/>
      <c r="DE97" s="93"/>
      <c r="DF97" s="93"/>
      <c r="DG97" s="93"/>
      <c r="DH97" s="93"/>
      <c r="DI97" s="93"/>
      <c r="DJ97" s="93"/>
      <c r="DK97" s="93"/>
      <c r="DL97" s="93"/>
      <c r="DM97" s="93"/>
      <c r="DN97" s="93"/>
      <c r="DO97" s="93"/>
      <c r="DP97" s="93"/>
      <c r="DQ97" s="93"/>
      <c r="DR97" s="93"/>
      <c r="DS97" s="93"/>
      <c r="DT97" s="93"/>
      <c r="DU97" s="93"/>
      <c r="DV97" s="93"/>
      <c r="DW97" s="93"/>
      <c r="DX97" s="93"/>
      <c r="DY97" s="93"/>
      <c r="DZ97" s="93"/>
      <c r="EA97" s="93"/>
      <c r="EB97" s="93"/>
      <c r="EC97" s="93"/>
      <c r="ED97" s="93"/>
      <c r="EE97" s="93"/>
      <c r="EF97" s="93"/>
      <c r="EG97" s="93"/>
      <c r="EH97" s="93"/>
      <c r="EI97" s="93"/>
      <c r="EJ97" s="93"/>
      <c r="EK97" s="93"/>
      <c r="EL97" s="93"/>
      <c r="EM97" s="93"/>
      <c r="EN97" s="93"/>
      <c r="EO97" s="93"/>
      <c r="EP97" s="93"/>
      <c r="EQ97" s="93"/>
      <c r="ER97" s="93"/>
      <c r="ES97" s="93"/>
      <c r="ET97" s="93"/>
      <c r="EU97" s="93"/>
      <c r="EV97" s="93"/>
      <c r="EW97" s="93"/>
      <c r="EX97" s="93"/>
      <c r="EY97" s="93"/>
      <c r="EZ97" s="93"/>
      <c r="FA97" s="93"/>
      <c r="FB97" s="93"/>
      <c r="FC97" s="93"/>
      <c r="FD97" s="147"/>
      <c r="FE97" s="147"/>
      <c r="FF97" s="93"/>
      <c r="FG97" s="93"/>
      <c r="FH97" s="93"/>
      <c r="FI97" s="93"/>
      <c r="FJ97" s="93"/>
      <c r="FK97" s="93"/>
      <c r="FL97" s="93"/>
      <c r="FM97" s="5"/>
      <c r="FN97" s="5"/>
      <c r="FO97" s="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126"/>
      <c r="GE97" s="126"/>
      <c r="GF97" s="126"/>
      <c r="GG97" s="126"/>
      <c r="GH97" s="126"/>
      <c r="GI97" s="126"/>
      <c r="GJ97" s="137"/>
      <c r="GK97" s="91"/>
      <c r="GL97" s="137"/>
      <c r="GM97" s="137"/>
    </row>
    <row r="98" spans="2:208" x14ac:dyDescent="0.25">
      <c r="B98" s="15" t="s">
        <v>182</v>
      </c>
      <c r="C98" s="50"/>
      <c r="D98" s="50"/>
      <c r="E98" s="50"/>
      <c r="F98" s="50"/>
      <c r="G98" s="50"/>
      <c r="H98" s="50"/>
      <c r="I98" s="50"/>
      <c r="J98" s="50"/>
      <c r="K98" s="50"/>
      <c r="L98" s="25">
        <v>16088</v>
      </c>
      <c r="M98" s="25">
        <v>15626</v>
      </c>
      <c r="N98" s="25">
        <v>17336</v>
      </c>
      <c r="O98" s="25">
        <v>11171</v>
      </c>
      <c r="P98" s="25"/>
      <c r="Q98" s="25">
        <v>-31000</v>
      </c>
      <c r="R98" s="25">
        <f>Q98+R94</f>
        <v>-26244</v>
      </c>
      <c r="S98" s="25">
        <v>-27520</v>
      </c>
      <c r="T98" s="25">
        <v>-19200</v>
      </c>
      <c r="U98" s="25"/>
      <c r="V98" s="25"/>
      <c r="W98" s="25"/>
      <c r="X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126"/>
      <c r="FE98" s="126"/>
      <c r="FF98" s="25"/>
      <c r="FG98" s="25"/>
      <c r="FH98" s="25"/>
      <c r="FI98" s="25"/>
      <c r="FJ98" s="25"/>
      <c r="FK98" s="25"/>
      <c r="FL98" s="25"/>
      <c r="FM98" s="32"/>
      <c r="FN98" s="32"/>
      <c r="FO98" s="32"/>
      <c r="FP98" s="25"/>
      <c r="FQ98" s="25"/>
      <c r="FR98" s="25"/>
      <c r="FS98" s="25"/>
      <c r="FT98" s="25"/>
      <c r="FU98" s="25"/>
      <c r="FV98" s="25"/>
      <c r="FW98" s="25">
        <f>N98</f>
        <v>17336</v>
      </c>
      <c r="FX98" s="25">
        <f>Q98+4000</f>
        <v>-27000</v>
      </c>
      <c r="FY98" s="25">
        <f>+T98</f>
        <v>-19200</v>
      </c>
      <c r="FZ98" s="25">
        <f>FY98+FY94</f>
        <v>-10681</v>
      </c>
      <c r="GA98" s="25">
        <f t="shared" ref="GA98:GB98" si="82">FZ98+FZ94</f>
        <v>-1338</v>
      </c>
      <c r="GB98" s="25">
        <f t="shared" si="82"/>
        <v>-9207.0324000000001</v>
      </c>
      <c r="GC98" s="25">
        <f t="shared" ref="GC98:GH98" si="83">GB98+GB94</f>
        <v>3238.7276000000002</v>
      </c>
      <c r="GD98" s="126">
        <f t="shared" si="83"/>
        <v>13947.1276</v>
      </c>
      <c r="GE98" s="126">
        <f t="shared" si="83"/>
        <v>-11.39719999999943</v>
      </c>
      <c r="GF98" s="126">
        <f t="shared" si="83"/>
        <v>-13830.336751999999</v>
      </c>
      <c r="GG98" s="126">
        <f t="shared" si="83"/>
        <v>-3948.0567519999986</v>
      </c>
      <c r="GH98" s="126">
        <f t="shared" si="83"/>
        <v>7276.3832480000019</v>
      </c>
      <c r="GI98" s="126"/>
      <c r="GJ98" s="126"/>
      <c r="GL98" s="1"/>
      <c r="GM98" s="1"/>
    </row>
    <row r="99" spans="2:208" x14ac:dyDescent="0.25">
      <c r="C99" s="50"/>
      <c r="D99" s="50"/>
      <c r="E99" s="50"/>
      <c r="F99" s="50"/>
      <c r="G99" s="50"/>
      <c r="H99" s="50"/>
      <c r="I99" s="50"/>
      <c r="J99" s="50"/>
      <c r="K99" s="50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126"/>
      <c r="FE99" s="126"/>
      <c r="FF99" s="25"/>
      <c r="FG99" s="25"/>
      <c r="FH99" s="25"/>
      <c r="FI99" s="25"/>
      <c r="FJ99" s="25"/>
      <c r="FK99" s="25"/>
      <c r="FL99" s="25"/>
      <c r="FM99" s="32"/>
      <c r="FN99" s="32"/>
      <c r="FO99" s="32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126"/>
      <c r="GE99" s="126"/>
      <c r="GF99" s="126"/>
      <c r="GG99" s="126"/>
      <c r="GH99" s="126"/>
      <c r="GI99" s="126"/>
      <c r="GL99" s="1"/>
      <c r="GM99" s="1"/>
    </row>
    <row r="100" spans="2:208" s="17" customFormat="1" ht="13" x14ac:dyDescent="0.3">
      <c r="B100" s="17" t="s">
        <v>8</v>
      </c>
      <c r="C100" s="29">
        <v>0.77400468384074939</v>
      </c>
      <c r="D100" s="29">
        <v>0.77732962447844223</v>
      </c>
      <c r="E100" s="29">
        <v>0.7801872504474735</v>
      </c>
      <c r="F100" s="29">
        <v>0.77574019738596955</v>
      </c>
      <c r="G100" s="29">
        <v>0.74115379319840291</v>
      </c>
      <c r="H100" s="29">
        <v>0.73606295012003198</v>
      </c>
      <c r="I100" s="73">
        <v>0.73841896282035857</v>
      </c>
      <c r="J100" s="73">
        <v>0.74</v>
      </c>
      <c r="K100" s="29">
        <f t="shared" ref="K100:P100" si="84">K81/K78</f>
        <v>0.78804977580734548</v>
      </c>
      <c r="L100" s="29">
        <f t="shared" si="84"/>
        <v>0.77726207642393652</v>
      </c>
      <c r="M100" s="29">
        <f t="shared" si="84"/>
        <v>0.77973452490471806</v>
      </c>
      <c r="N100" s="29">
        <f t="shared" si="84"/>
        <v>0.6776366600875311</v>
      </c>
      <c r="O100" s="29">
        <f t="shared" si="84"/>
        <v>0.75477185966187965</v>
      </c>
      <c r="P100" s="29">
        <f t="shared" si="84"/>
        <v>0.74683437089738702</v>
      </c>
      <c r="Q100" s="29">
        <f>Q81/Q78</f>
        <v>0.75072898442056157</v>
      </c>
      <c r="R100" s="29">
        <f>R81/R78</f>
        <v>0.74099777918781728</v>
      </c>
      <c r="S100" s="29">
        <f>S81/S78</f>
        <v>0.75677869784055851</v>
      </c>
      <c r="T100" s="29">
        <f>T81/T78</f>
        <v>0.75372249308209249</v>
      </c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137"/>
      <c r="FE100" s="137"/>
      <c r="FF100" s="48"/>
      <c r="FG100" s="48"/>
      <c r="FH100" s="48"/>
      <c r="FI100" s="48"/>
      <c r="FJ100" s="48"/>
      <c r="FK100" s="48"/>
      <c r="FL100" s="48"/>
      <c r="FP100" s="29"/>
      <c r="FQ100" s="29">
        <f t="shared" ref="FQ100:FW100" si="85">FQ81/FQ78</f>
        <v>0.77042891122535107</v>
      </c>
      <c r="FR100" s="29">
        <f t="shared" si="85"/>
        <v>0.77576314821625603</v>
      </c>
      <c r="FS100" s="29">
        <f t="shared" si="85"/>
        <v>0.73856784770679496</v>
      </c>
      <c r="FT100" s="29">
        <f t="shared" si="85"/>
        <v>0.77874461434485087</v>
      </c>
      <c r="FU100" s="29">
        <f t="shared" si="85"/>
        <v>0.78235531980685524</v>
      </c>
      <c r="FV100" s="29">
        <f t="shared" si="85"/>
        <v>0.72815555025686607</v>
      </c>
      <c r="FW100" s="29">
        <f t="shared" si="85"/>
        <v>0.75520306480425281</v>
      </c>
      <c r="FX100" s="111">
        <v>0.75800000000000001</v>
      </c>
      <c r="FY100" s="111">
        <f>+FX100+0.25%</f>
        <v>0.76049999999999995</v>
      </c>
      <c r="FZ100" s="29">
        <f t="shared" ref="FZ100" si="86">FZ81/FZ78</f>
        <v>0.75641296936352309</v>
      </c>
      <c r="GA100" s="29"/>
      <c r="GB100" s="29"/>
      <c r="GC100" s="29"/>
      <c r="GD100" s="140"/>
      <c r="GE100" s="140"/>
      <c r="GF100" s="140"/>
      <c r="GG100" s="140"/>
      <c r="GH100" s="140"/>
      <c r="GI100" s="140">
        <f>GI81/GI78</f>
        <v>0.78487046276769024</v>
      </c>
      <c r="GJ100" s="140">
        <f t="shared" ref="GJ100" si="87">GJ81/GJ78</f>
        <v>0.75973312526870596</v>
      </c>
      <c r="GK100" s="91"/>
      <c r="GL100" s="91"/>
      <c r="GM100" s="91"/>
      <c r="GW100" s="88" t="s">
        <v>659</v>
      </c>
      <c r="GX100" s="51">
        <v>0.05</v>
      </c>
    </row>
    <row r="101" spans="2:208" x14ac:dyDescent="0.25">
      <c r="B101" s="15" t="s">
        <v>186</v>
      </c>
      <c r="C101" s="28">
        <v>0.2855581576893052</v>
      </c>
      <c r="D101" s="28">
        <v>0.289221140472879</v>
      </c>
      <c r="E101" s="28">
        <v>0.27419798981137272</v>
      </c>
      <c r="F101" s="28">
        <v>0.28620965590824221</v>
      </c>
      <c r="G101" s="28">
        <v>0.27536830510808208</v>
      </c>
      <c r="H101" s="28">
        <v>0.28927714057081888</v>
      </c>
      <c r="I101" s="28">
        <f t="shared" ref="I101:Q101" si="88">I82/I78</f>
        <v>0.26525087233786548</v>
      </c>
      <c r="J101" s="28">
        <f t="shared" si="88"/>
        <v>0.27613955212028163</v>
      </c>
      <c r="K101" s="28">
        <f t="shared" si="88"/>
        <v>0.26238097637160562</v>
      </c>
      <c r="L101" s="28">
        <f t="shared" si="88"/>
        <v>0.25450612833453495</v>
      </c>
      <c r="M101" s="28">
        <f t="shared" si="88"/>
        <v>0.24322074736058177</v>
      </c>
      <c r="N101" s="28">
        <f t="shared" si="88"/>
        <v>0.16197545696387197</v>
      </c>
      <c r="O101" s="28">
        <f t="shared" si="88"/>
        <v>0.19864570078167607</v>
      </c>
      <c r="P101" s="28">
        <f t="shared" si="88"/>
        <v>0.20323550586541311</v>
      </c>
      <c r="Q101" s="28">
        <f t="shared" si="88"/>
        <v>0.19024410564025659</v>
      </c>
      <c r="R101" s="28">
        <f>R82/R78</f>
        <v>0.19463832487309646</v>
      </c>
      <c r="S101" s="28">
        <f>S82/S78</f>
        <v>0.1845267088813119</v>
      </c>
      <c r="T101" s="28">
        <f>T82/T78</f>
        <v>0.21706856414986603</v>
      </c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FP101" s="28"/>
      <c r="FQ101" s="28">
        <v>0.3015038747794061</v>
      </c>
      <c r="FR101" s="28">
        <v>0.2874954027215888</v>
      </c>
      <c r="FS101" s="28">
        <v>0.28243343946887067</v>
      </c>
      <c r="FT101" s="28">
        <v>0.27400024467646372</v>
      </c>
      <c r="FU101" s="28">
        <v>0.27083787651550573</v>
      </c>
      <c r="FV101" s="28">
        <v>0.25664542132384005</v>
      </c>
      <c r="FW101" s="28">
        <f>FW82/FW78</f>
        <v>0.19736134128231064</v>
      </c>
      <c r="FX101" s="28">
        <f>FX82/FX78</f>
        <v>0.19104748462546628</v>
      </c>
      <c r="FY101" s="28">
        <f t="shared" ref="FY101:GI101" si="89">FY82/FY78</f>
        <v>0.20048176478045895</v>
      </c>
      <c r="FZ101" s="28">
        <f t="shared" si="89"/>
        <v>0.18925019397615855</v>
      </c>
      <c r="GA101" s="28">
        <f t="shared" si="89"/>
        <v>0.48156826010757237</v>
      </c>
      <c r="GB101" s="28">
        <f t="shared" si="89"/>
        <v>0.17898674647285165</v>
      </c>
      <c r="GC101" s="28">
        <f t="shared" si="89"/>
        <v>0.1823985504192828</v>
      </c>
      <c r="GD101" s="141">
        <f t="shared" si="89"/>
        <v>0.17801287776508465</v>
      </c>
      <c r="GE101" s="141">
        <f t="shared" si="89"/>
        <v>0.16776189694716864</v>
      </c>
      <c r="GF101" s="141">
        <f t="shared" si="89"/>
        <v>0.18475018293026135</v>
      </c>
      <c r="GG101" s="141">
        <f t="shared" si="89"/>
        <v>0.1778313337789818</v>
      </c>
      <c r="GH101" s="141">
        <f t="shared" si="89"/>
        <v>0.16282025835421207</v>
      </c>
      <c r="GI101" s="141">
        <f t="shared" si="89"/>
        <v>0.16050271762426488</v>
      </c>
      <c r="GJ101" s="141">
        <f t="shared" ref="GJ101" si="90">GJ82/GJ78</f>
        <v>0.1503797710227544</v>
      </c>
      <c r="GW101" s="88" t="s">
        <v>286</v>
      </c>
      <c r="GX101" s="51">
        <v>0.01</v>
      </c>
      <c r="GZ101" s="103" t="s">
        <v>658</v>
      </c>
    </row>
    <row r="102" spans="2:208" s="17" customFormat="1" ht="13" x14ac:dyDescent="0.3">
      <c r="B102" s="15" t="s">
        <v>185</v>
      </c>
      <c r="C102" s="28">
        <v>0.33497267759562843</v>
      </c>
      <c r="D102" s="28">
        <v>0.33977746870653686</v>
      </c>
      <c r="E102" s="28">
        <v>0.3208040754509156</v>
      </c>
      <c r="F102" s="28">
        <v>0.33428914377167246</v>
      </c>
      <c r="G102" s="28">
        <v>0.34827206388544679</v>
      </c>
      <c r="H102" s="28">
        <v>0.35769538543611629</v>
      </c>
      <c r="I102" s="28">
        <v>0.33413548309469376</v>
      </c>
      <c r="J102" s="28">
        <v>0.35242098296664276</v>
      </c>
      <c r="K102" s="28">
        <f t="shared" ref="K102:Q102" si="91">K83/K78</f>
        <v>5.40077585772583E-2</v>
      </c>
      <c r="L102" s="28">
        <f t="shared" si="91"/>
        <v>6.6240086517664026E-2</v>
      </c>
      <c r="M102" s="28">
        <f t="shared" si="91"/>
        <v>5.4190213343847202E-2</v>
      </c>
      <c r="N102" s="28">
        <f t="shared" si="91"/>
        <v>5.2175405474984983E-2</v>
      </c>
      <c r="O102" s="28">
        <f t="shared" si="91"/>
        <v>4.9491001636066172E-2</v>
      </c>
      <c r="P102" s="28">
        <f t="shared" si="91"/>
        <v>5.2640494642781518E-2</v>
      </c>
      <c r="Q102" s="28">
        <f t="shared" si="91"/>
        <v>4.0281596267599765E-2</v>
      </c>
      <c r="R102" s="28">
        <f>R83/R78</f>
        <v>4.7906091370558374E-2</v>
      </c>
      <c r="S102" s="28">
        <f>S83/S78</f>
        <v>3.5354765383990905E-2</v>
      </c>
      <c r="T102" s="28">
        <f>T83/T78</f>
        <v>8.7978214081785036E-2</v>
      </c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93"/>
      <c r="BT102" s="93"/>
      <c r="BU102" s="93"/>
      <c r="BV102" s="93"/>
      <c r="BW102" s="93"/>
      <c r="BX102" s="93"/>
      <c r="BY102" s="93"/>
      <c r="BZ102" s="93"/>
      <c r="CA102" s="93"/>
      <c r="CB102" s="93"/>
      <c r="CC102" s="93"/>
      <c r="CD102" s="93"/>
      <c r="CE102" s="93"/>
      <c r="CF102" s="93"/>
      <c r="CG102" s="93"/>
      <c r="CH102" s="93"/>
      <c r="CI102" s="93"/>
      <c r="CJ102" s="93"/>
      <c r="CK102" s="93"/>
      <c r="CL102" s="93"/>
      <c r="CM102" s="93"/>
      <c r="CN102" s="93"/>
      <c r="CO102" s="93"/>
      <c r="CP102" s="93"/>
      <c r="CQ102" s="93"/>
      <c r="CR102" s="93"/>
      <c r="CS102" s="93"/>
      <c r="CT102" s="93"/>
      <c r="CU102" s="93"/>
      <c r="CV102" s="93"/>
      <c r="CW102" s="93"/>
      <c r="CX102" s="93"/>
      <c r="CY102" s="93"/>
      <c r="CZ102" s="93"/>
      <c r="DA102" s="93"/>
      <c r="DB102" s="93"/>
      <c r="DC102" s="93"/>
      <c r="DD102" s="93"/>
      <c r="DE102" s="93"/>
      <c r="DF102" s="93"/>
      <c r="DG102" s="93"/>
      <c r="DH102" s="93"/>
      <c r="DI102" s="93"/>
      <c r="DJ102" s="93"/>
      <c r="DK102" s="93"/>
      <c r="DL102" s="93"/>
      <c r="DM102" s="93"/>
      <c r="DN102" s="93"/>
      <c r="DO102" s="93"/>
      <c r="DP102" s="93"/>
      <c r="DQ102" s="93"/>
      <c r="DR102" s="93"/>
      <c r="DS102" s="93"/>
      <c r="DT102" s="93"/>
      <c r="DU102" s="93"/>
      <c r="DV102" s="93"/>
      <c r="DW102" s="93"/>
      <c r="DX102" s="93"/>
      <c r="DY102" s="93"/>
      <c r="DZ102" s="93"/>
      <c r="EA102" s="93"/>
      <c r="EB102" s="93"/>
      <c r="EC102" s="93"/>
      <c r="ED102" s="93"/>
      <c r="EE102" s="93"/>
      <c r="EF102" s="93"/>
      <c r="EG102" s="93"/>
      <c r="EH102" s="93"/>
      <c r="EI102" s="93"/>
      <c r="EJ102" s="93"/>
      <c r="EK102" s="93"/>
      <c r="EL102" s="93"/>
      <c r="EM102" s="93"/>
      <c r="EN102" s="93"/>
      <c r="EO102" s="93"/>
      <c r="EP102" s="93"/>
      <c r="EQ102" s="93"/>
      <c r="ER102" s="93"/>
      <c r="ES102" s="93"/>
      <c r="ET102" s="93"/>
      <c r="EU102" s="93"/>
      <c r="EV102" s="93"/>
      <c r="EW102" s="93"/>
      <c r="EX102" s="93"/>
      <c r="EY102" s="93"/>
      <c r="EZ102" s="93"/>
      <c r="FA102" s="93"/>
      <c r="FB102" s="93"/>
      <c r="FC102" s="93"/>
      <c r="FD102" s="147"/>
      <c r="FE102" s="147"/>
      <c r="FF102" s="93"/>
      <c r="FG102" s="93"/>
      <c r="FH102" s="93"/>
      <c r="FI102" s="93"/>
      <c r="FJ102" s="93"/>
      <c r="FK102" s="93"/>
      <c r="FL102" s="93"/>
      <c r="FM102" s="5"/>
      <c r="FN102" s="5"/>
      <c r="FO102" s="5"/>
      <c r="FP102" s="28"/>
      <c r="FQ102" s="28">
        <v>0.34727230875469961</v>
      </c>
      <c r="FR102" s="28">
        <v>0.33751379183523356</v>
      </c>
      <c r="FS102" s="28">
        <v>0.35305873585800418</v>
      </c>
      <c r="FT102" s="28">
        <v>0.34502251241079884</v>
      </c>
      <c r="FU102" s="28">
        <v>0.33891166000207307</v>
      </c>
      <c r="FV102" s="28">
        <v>0.32326238327340828</v>
      </c>
      <c r="FW102" s="28">
        <f>FW83/FW78</f>
        <v>5.019047414071412E-2</v>
      </c>
      <c r="FX102" s="28">
        <f>FX83/FX78</f>
        <v>4.3855227341465873E-2</v>
      </c>
      <c r="FY102" s="28">
        <f t="shared" ref="FY102:GI102" si="92">FY83/FY78</f>
        <v>6.0727718378903776E-2</v>
      </c>
      <c r="FZ102" s="28">
        <f t="shared" si="92"/>
        <v>5.5065716771296229E-2</v>
      </c>
      <c r="GA102" s="28">
        <f t="shared" si="92"/>
        <v>0.14012086783102676</v>
      </c>
      <c r="GB102" s="28">
        <f t="shared" si="92"/>
        <v>0.19816160752458314</v>
      </c>
      <c r="GC102" s="28">
        <f t="shared" si="92"/>
        <v>0.20848257553411151</v>
      </c>
      <c r="GD102" s="141">
        <f t="shared" si="92"/>
        <v>0.20346972686675666</v>
      </c>
      <c r="GE102" s="141">
        <f t="shared" si="92"/>
        <v>0.19175279776969315</v>
      </c>
      <c r="GF102" s="141">
        <f t="shared" si="92"/>
        <v>6.4260117450608834E-2</v>
      </c>
      <c r="GG102" s="141">
        <f t="shared" si="92"/>
        <v>9.2495514196249518E-2</v>
      </c>
      <c r="GH102" s="141">
        <f t="shared" si="92"/>
        <v>8.4687794878469405E-2</v>
      </c>
      <c r="GI102" s="141">
        <f t="shared" si="92"/>
        <v>4.6739708176877046E-2</v>
      </c>
      <c r="GJ102" s="141">
        <f t="shared" ref="GJ102" si="93">GJ83/GJ78</f>
        <v>4.2403783379245552E-2</v>
      </c>
      <c r="GK102" s="91"/>
      <c r="GL102" s="91"/>
      <c r="GM102" s="91"/>
      <c r="GW102" s="88" t="s">
        <v>287</v>
      </c>
      <c r="GX102" s="51">
        <v>0.11</v>
      </c>
      <c r="GZ102" s="3" t="s">
        <v>654</v>
      </c>
    </row>
    <row r="103" spans="2:208" x14ac:dyDescent="0.25">
      <c r="B103" s="30" t="s">
        <v>1</v>
      </c>
      <c r="C103" s="28">
        <v>0.16963309914129587</v>
      </c>
      <c r="D103" s="28">
        <v>0.17044506258692629</v>
      </c>
      <c r="E103" s="28">
        <v>0.16060856395428885</v>
      </c>
      <c r="F103" s="28">
        <v>0.18138170178714325</v>
      </c>
      <c r="G103" s="28">
        <v>0.16253614209004544</v>
      </c>
      <c r="H103" s="28">
        <v>0.18624966657775407</v>
      </c>
      <c r="I103" s="28">
        <v>0.1539525929491036</v>
      </c>
      <c r="J103" s="28">
        <v>0.18283130835135153</v>
      </c>
      <c r="K103" s="28">
        <f t="shared" ref="K103:Q103" si="94">K84/K78</f>
        <v>0.15431507884528187</v>
      </c>
      <c r="L103" s="28">
        <f t="shared" si="94"/>
        <v>0.15888608507570295</v>
      </c>
      <c r="M103" s="28">
        <f t="shared" si="94"/>
        <v>0.15924124939764314</v>
      </c>
      <c r="N103" s="28">
        <f t="shared" si="94"/>
        <v>0.20381017763666009</v>
      </c>
      <c r="O103" s="28">
        <f t="shared" si="94"/>
        <v>0.18664788220323578</v>
      </c>
      <c r="P103" s="28">
        <f t="shared" si="94"/>
        <v>0.20065218311946809</v>
      </c>
      <c r="Q103" s="28">
        <f t="shared" si="94"/>
        <v>0.18820294926268433</v>
      </c>
      <c r="R103" s="28">
        <f>R84/R78</f>
        <v>0.21240482233502539</v>
      </c>
      <c r="S103" s="28">
        <f>S84/S78</f>
        <v>0.18148238350381554</v>
      </c>
      <c r="T103" s="28">
        <f>T84/T78</f>
        <v>0.24399349936311326</v>
      </c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FP103" s="28"/>
      <c r="FQ103" s="28">
        <v>0.15852067827821684</v>
      </c>
      <c r="FR103" s="28">
        <v>0.17006252298639205</v>
      </c>
      <c r="FS103" s="28">
        <v>0.17458166790867827</v>
      </c>
      <c r="FT103" s="28">
        <v>0.16883613144566781</v>
      </c>
      <c r="FU103" s="28">
        <v>0.17008854048286479</v>
      </c>
      <c r="FV103" s="28">
        <v>0.16445100677776556</v>
      </c>
      <c r="FW103" s="28">
        <f>FW84/FW78</f>
        <v>0.19036652820523858</v>
      </c>
      <c r="FX103" s="28">
        <f>FX84/FX78</f>
        <v>0.19909265046879726</v>
      </c>
      <c r="FY103" s="28">
        <f t="shared" ref="FY103:GI103" si="95">FY84/FY78</f>
        <v>0.21184972319655157</v>
      </c>
      <c r="FZ103" s="28">
        <f t="shared" si="95"/>
        <v>0.19576309045167054</v>
      </c>
      <c r="GA103" s="28">
        <f t="shared" si="95"/>
        <v>0</v>
      </c>
      <c r="GB103" s="28">
        <f t="shared" si="95"/>
        <v>5.6541256947413424E-2</v>
      </c>
      <c r="GC103" s="28">
        <f t="shared" si="95"/>
        <v>8.097003918924614E-2</v>
      </c>
      <c r="GD103" s="141">
        <f t="shared" si="95"/>
        <v>0</v>
      </c>
      <c r="GE103" s="141">
        <f t="shared" si="95"/>
        <v>0</v>
      </c>
      <c r="GF103" s="141">
        <f t="shared" si="95"/>
        <v>0.21186138576708757</v>
      </c>
      <c r="GG103" s="141">
        <f t="shared" si="95"/>
        <v>0.21271505470921437</v>
      </c>
      <c r="GH103" s="141">
        <f t="shared" si="95"/>
        <v>0</v>
      </c>
      <c r="GI103" s="141">
        <f t="shared" si="95"/>
        <v>0.20837405483257035</v>
      </c>
      <c r="GJ103" s="141">
        <f t="shared" ref="GJ103" si="96">GJ84/GJ78</f>
        <v>0.21827677903218101</v>
      </c>
      <c r="GW103" s="112" t="s">
        <v>682</v>
      </c>
      <c r="GX103" s="25">
        <f>NPV(GX102,GB94:JK94)+Main!J5-Main!J6+GA94</f>
        <v>46496.790335418555</v>
      </c>
      <c r="GZ103" s="3" t="s">
        <v>655</v>
      </c>
    </row>
    <row r="104" spans="2:208" s="17" customFormat="1" ht="13" x14ac:dyDescent="0.3">
      <c r="B104" s="17" t="s">
        <v>149</v>
      </c>
      <c r="C104" s="29">
        <v>0.22115534738485559</v>
      </c>
      <c r="D104" s="29">
        <v>0.20584144645340752</v>
      </c>
      <c r="E104" s="29">
        <v>0.25478452430125292</v>
      </c>
      <c r="F104" s="29">
        <v>0.21665777540677514</v>
      </c>
      <c r="G104" s="29">
        <v>0.24280600302905136</v>
      </c>
      <c r="H104" s="29">
        <v>0.21599093091491064</v>
      </c>
      <c r="I104" s="29">
        <v>0.26308506798219228</v>
      </c>
      <c r="J104" s="29">
        <v>0.22392567642135672</v>
      </c>
      <c r="K104" s="29">
        <f t="shared" ref="K104:R104" si="97">K87/K78</f>
        <v>0.31734596201319965</v>
      </c>
      <c r="L104" s="29">
        <f t="shared" si="97"/>
        <v>0.29762977649603461</v>
      </c>
      <c r="M104" s="29">
        <f t="shared" si="97"/>
        <v>0.37608971831602928</v>
      </c>
      <c r="N104" s="29">
        <f t="shared" si="97"/>
        <v>0.31931691409937357</v>
      </c>
      <c r="O104" s="29">
        <f t="shared" si="97"/>
        <v>0.31998727504090163</v>
      </c>
      <c r="P104" s="29">
        <f t="shared" si="97"/>
        <v>0.29030618726972429</v>
      </c>
      <c r="Q104" s="29">
        <f t="shared" si="97"/>
        <v>0.33200033325002082</v>
      </c>
      <c r="R104" s="29">
        <f t="shared" si="97"/>
        <v>0.28604854060913704</v>
      </c>
      <c r="S104" s="29">
        <f t="shared" ref="S104:T104" si="98">S87/S78</f>
        <v>0.35541484007144014</v>
      </c>
      <c r="T104" s="29">
        <f t="shared" si="98"/>
        <v>0.20468221548732815</v>
      </c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3"/>
      <c r="CF104" s="93"/>
      <c r="CG104" s="93"/>
      <c r="CH104" s="93"/>
      <c r="CI104" s="93"/>
      <c r="CJ104" s="93"/>
      <c r="CK104" s="93"/>
      <c r="CL104" s="93"/>
      <c r="CM104" s="93"/>
      <c r="CN104" s="93"/>
      <c r="CO104" s="93"/>
      <c r="CP104" s="93"/>
      <c r="CQ104" s="93"/>
      <c r="CR104" s="93"/>
      <c r="CS104" s="93"/>
      <c r="CT104" s="93"/>
      <c r="CU104" s="93"/>
      <c r="CV104" s="93"/>
      <c r="CW104" s="93"/>
      <c r="CX104" s="93"/>
      <c r="CY104" s="93"/>
      <c r="CZ104" s="93"/>
      <c r="DA104" s="93"/>
      <c r="DB104" s="93"/>
      <c r="DC104" s="93"/>
      <c r="DD104" s="93"/>
      <c r="DE104" s="93"/>
      <c r="DF104" s="93"/>
      <c r="DG104" s="93"/>
      <c r="DH104" s="93"/>
      <c r="DI104" s="93"/>
      <c r="DJ104" s="93"/>
      <c r="DK104" s="93"/>
      <c r="DL104" s="93"/>
      <c r="DM104" s="93"/>
      <c r="DN104" s="93"/>
      <c r="DO104" s="93"/>
      <c r="DP104" s="93"/>
      <c r="DQ104" s="93"/>
      <c r="DR104" s="93"/>
      <c r="DS104" s="93"/>
      <c r="DT104" s="93"/>
      <c r="DU104" s="93"/>
      <c r="DV104" s="93"/>
      <c r="DW104" s="93"/>
      <c r="DX104" s="93"/>
      <c r="DY104" s="93"/>
      <c r="DZ104" s="93"/>
      <c r="EA104" s="93"/>
      <c r="EB104" s="93"/>
      <c r="EC104" s="93"/>
      <c r="ED104" s="93"/>
      <c r="EE104" s="93"/>
      <c r="EF104" s="93"/>
      <c r="EG104" s="93"/>
      <c r="EH104" s="93"/>
      <c r="EI104" s="93"/>
      <c r="EJ104" s="93"/>
      <c r="EK104" s="93"/>
      <c r="EL104" s="93"/>
      <c r="EM104" s="93"/>
      <c r="EN104" s="93"/>
      <c r="EO104" s="93"/>
      <c r="EP104" s="93"/>
      <c r="EQ104" s="93"/>
      <c r="ER104" s="93"/>
      <c r="ES104" s="93"/>
      <c r="ET104" s="93"/>
      <c r="EU104" s="93"/>
      <c r="EV104" s="93"/>
      <c r="EW104" s="93"/>
      <c r="EX104" s="93"/>
      <c r="EY104" s="93"/>
      <c r="EZ104" s="93"/>
      <c r="FA104" s="93"/>
      <c r="FB104" s="93"/>
      <c r="FC104" s="93"/>
      <c r="FD104" s="147"/>
      <c r="FE104" s="147"/>
      <c r="FF104" s="93"/>
      <c r="FG104" s="93"/>
      <c r="FH104" s="93"/>
      <c r="FI104" s="93"/>
      <c r="FJ104" s="93"/>
      <c r="FK104" s="93"/>
      <c r="FL104" s="93"/>
      <c r="FM104" s="5"/>
      <c r="FN104" s="5"/>
      <c r="FO104" s="5"/>
      <c r="FP104" s="29"/>
      <c r="FQ104" s="29">
        <v>0.20037596869485153</v>
      </c>
      <c r="FR104" s="29">
        <v>0.21305627068775285</v>
      </c>
      <c r="FS104" s="29">
        <v>0.22918501456540885</v>
      </c>
      <c r="FT104" s="29">
        <v>0.2429030652968388</v>
      </c>
      <c r="FU104" s="29">
        <f>FU87/FU78</f>
        <v>0.33571989248590661</v>
      </c>
      <c r="FV104" s="29">
        <f>FV87/FV78</f>
        <v>0.34740857954175969</v>
      </c>
      <c r="FW104" s="29">
        <f>FW87/FW78</f>
        <v>0.31728472117598949</v>
      </c>
      <c r="FX104" s="29">
        <f>FX87/FX78</f>
        <v>0.30613973182780524</v>
      </c>
      <c r="FY104" s="29">
        <f t="shared" ref="FY104:GI104" si="99">FY87/FY78</f>
        <v>0.28185352660271312</v>
      </c>
      <c r="FZ104" s="29">
        <f t="shared" si="99"/>
        <v>0.31633396816439774</v>
      </c>
      <c r="GA104" s="29">
        <f t="shared" si="99"/>
        <v>-0.6216891279385991</v>
      </c>
      <c r="GB104" s="29">
        <f t="shared" si="99"/>
        <v>0.35006412997007269</v>
      </c>
      <c r="GC104" s="29">
        <f t="shared" si="99"/>
        <v>0.29686907420673381</v>
      </c>
      <c r="GD104" s="140">
        <f t="shared" si="99"/>
        <v>-0.3814826046318413</v>
      </c>
      <c r="GE104" s="140">
        <f t="shared" si="99"/>
        <v>-0.35951469471686176</v>
      </c>
      <c r="GF104" s="140">
        <f t="shared" si="99"/>
        <v>0.24396330137526032</v>
      </c>
      <c r="GG104" s="140">
        <f t="shared" si="99"/>
        <v>0.25980719839566546</v>
      </c>
      <c r="GH104" s="140">
        <f t="shared" si="99"/>
        <v>-0.24750805323268149</v>
      </c>
      <c r="GI104" s="140">
        <f t="shared" si="99"/>
        <v>0.36925398213397803</v>
      </c>
      <c r="GJ104" s="140">
        <f t="shared" ref="GJ104" si="100">GJ87/GJ78</f>
        <v>0.34867279183452493</v>
      </c>
      <c r="GK104" s="91"/>
      <c r="GL104" s="91"/>
      <c r="GM104" s="91"/>
      <c r="GW104" s="112" t="s">
        <v>683</v>
      </c>
      <c r="GX104" s="50">
        <f>GX103/Main!J3</f>
        <v>58.413053185199189</v>
      </c>
      <c r="GZ104" s="3" t="s">
        <v>656</v>
      </c>
    </row>
    <row r="105" spans="2:208" x14ac:dyDescent="0.25">
      <c r="B105" s="15" t="s">
        <v>10</v>
      </c>
      <c r="C105" s="28">
        <v>0.1923497267759563</v>
      </c>
      <c r="D105" s="28">
        <v>0.18463143254520167</v>
      </c>
      <c r="E105" s="28">
        <v>0.23647253201156546</v>
      </c>
      <c r="F105" s="28">
        <v>0.20892237930114696</v>
      </c>
      <c r="G105" s="28">
        <v>0.22924411400247832</v>
      </c>
      <c r="H105" s="28">
        <v>0.20905574819951986</v>
      </c>
      <c r="I105" s="28">
        <v>0.26633377451570206</v>
      </c>
      <c r="J105" s="28">
        <v>0.21662116376542248</v>
      </c>
      <c r="K105" s="28"/>
      <c r="L105" s="28"/>
      <c r="M105" s="28"/>
      <c r="N105" s="28"/>
      <c r="O105" s="28"/>
      <c r="P105" s="28"/>
      <c r="Q105" s="28"/>
      <c r="R105" s="28">
        <f>R90/R78</f>
        <v>0.24175126903553298</v>
      </c>
      <c r="S105" s="28">
        <f>S90/S78</f>
        <v>0.30646208800129893</v>
      </c>
      <c r="T105" s="28">
        <f>T90/T78</f>
        <v>0.15772829094742391</v>
      </c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FP105" s="28"/>
      <c r="FQ105" s="28">
        <v>0.23098438178172287</v>
      </c>
      <c r="FR105" s="28">
        <v>0.18826774549466715</v>
      </c>
      <c r="FS105" s="28">
        <v>0.2189892283720615</v>
      </c>
      <c r="FT105" s="28">
        <v>0.24071284416750166</v>
      </c>
      <c r="FU105" s="28">
        <v>0.27114359566035856</v>
      </c>
      <c r="FV105" s="28">
        <v>0.30398791565649136</v>
      </c>
      <c r="FW105" s="28">
        <f t="shared" ref="FW105:GI105" si="101">FW90/FW78</f>
        <v>0.32236403159503263</v>
      </c>
      <c r="FX105" s="28">
        <f t="shared" si="101"/>
        <v>0.2725073092045569</v>
      </c>
      <c r="FY105" s="28">
        <f t="shared" si="101"/>
        <v>0.23378269872797194</v>
      </c>
      <c r="FZ105" s="28">
        <f t="shared" si="101"/>
        <v>0.27944322964425949</v>
      </c>
      <c r="GA105" s="28">
        <f t="shared" si="101"/>
        <v>-0.62573215688644468</v>
      </c>
      <c r="GB105" s="28">
        <f t="shared" si="101"/>
        <v>0.35006412997007269</v>
      </c>
      <c r="GC105" s="28">
        <f t="shared" si="101"/>
        <v>0.29686907420673381</v>
      </c>
      <c r="GD105" s="141">
        <f t="shared" si="101"/>
        <v>-0.3814826046318413</v>
      </c>
      <c r="GE105" s="141">
        <f t="shared" si="101"/>
        <v>-0.35951469471686176</v>
      </c>
      <c r="GF105" s="141">
        <f t="shared" si="101"/>
        <v>0.24396330137526032</v>
      </c>
      <c r="GG105" s="141">
        <f t="shared" si="101"/>
        <v>0.25980719839566546</v>
      </c>
      <c r="GH105" s="141">
        <f t="shared" si="101"/>
        <v>-0.24158902218462239</v>
      </c>
      <c r="GI105" s="141">
        <f t="shared" si="101"/>
        <v>0.35958369768358966</v>
      </c>
      <c r="GJ105" s="141">
        <f t="shared" ref="GJ105" si="102">GJ90/GJ78</f>
        <v>0.33671438352892469</v>
      </c>
      <c r="GW105" s="112" t="s">
        <v>684</v>
      </c>
      <c r="GX105" s="104">
        <f>GX104/Main!J2-1</f>
        <v>-0.83400666898209952</v>
      </c>
      <c r="GZ105" s="3" t="s">
        <v>657</v>
      </c>
    </row>
    <row r="106" spans="2:208" x14ac:dyDescent="0.25">
      <c r="B106" s="15" t="s">
        <v>11</v>
      </c>
      <c r="C106" s="28">
        <v>0.26704545454545453</v>
      </c>
      <c r="D106" s="28">
        <v>0.24896421845574387</v>
      </c>
      <c r="E106" s="28">
        <v>0.2430858806404658</v>
      </c>
      <c r="F106" s="28">
        <v>0.25853814235556977</v>
      </c>
      <c r="G106" s="28">
        <v>0.24204204204204205</v>
      </c>
      <c r="H106" s="28">
        <v>0.25486443381180224</v>
      </c>
      <c r="I106" s="28">
        <v>0.24734583239213914</v>
      </c>
      <c r="J106" s="28">
        <v>0.25700000000000001</v>
      </c>
      <c r="K106" s="28">
        <f t="shared" ref="K106:R106" si="103">K91/K90</f>
        <v>0.25301204819277107</v>
      </c>
      <c r="L106" s="28">
        <f t="shared" si="103"/>
        <v>0.24658897100625354</v>
      </c>
      <c r="M106" s="28">
        <f t="shared" si="103"/>
        <v>0.23280132085855806</v>
      </c>
      <c r="N106" s="28">
        <f t="shared" si="103"/>
        <v>0.22530864197530864</v>
      </c>
      <c r="O106" s="28">
        <f t="shared" si="103"/>
        <v>0.25570211596592468</v>
      </c>
      <c r="P106" s="28">
        <f t="shared" si="103"/>
        <v>0</v>
      </c>
      <c r="Q106" s="28">
        <f t="shared" si="103"/>
        <v>0.2261760345059981</v>
      </c>
      <c r="R106" s="28">
        <f t="shared" si="103"/>
        <v>0.19553805774278216</v>
      </c>
      <c r="S106" s="28">
        <f t="shared" ref="S106:T106" si="104">S91/S90</f>
        <v>0.23841059602649006</v>
      </c>
      <c r="T106" s="28">
        <f t="shared" si="104"/>
        <v>0.14480646059593427</v>
      </c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FP106" s="28"/>
      <c r="FQ106" s="28">
        <v>0.2649132500765265</v>
      </c>
      <c r="FR106" s="28">
        <v>0.25766751318616915</v>
      </c>
      <c r="FS106" s="28">
        <v>0.24825986078886311</v>
      </c>
      <c r="FT106" s="28">
        <v>0.25182342708389949</v>
      </c>
      <c r="FU106" s="28">
        <v>0.27200000000000002</v>
      </c>
      <c r="FV106" s="28">
        <v>0.28000000000000003</v>
      </c>
      <c r="FW106" s="28">
        <f>FW91/FW90</f>
        <v>0.22145813860328481</v>
      </c>
      <c r="FX106" s="28">
        <f>FX91/FX90</f>
        <v>0.21235664076951535</v>
      </c>
      <c r="FY106" s="28">
        <f>FY91/FY90</f>
        <v>0.2096890817064353</v>
      </c>
      <c r="FZ106" s="28">
        <f t="shared" ref="FZ106:GH106" si="105">FZ91/FZ90</f>
        <v>0.19697097181320994</v>
      </c>
      <c r="GA106" s="28">
        <f t="shared" si="105"/>
        <v>0.24</v>
      </c>
      <c r="GB106" s="28">
        <f t="shared" si="105"/>
        <v>0.24</v>
      </c>
      <c r="GC106" s="28">
        <f t="shared" si="105"/>
        <v>0.24</v>
      </c>
      <c r="GD106" s="141">
        <f t="shared" si="105"/>
        <v>0.23999999999999996</v>
      </c>
      <c r="GE106" s="141">
        <f t="shared" si="105"/>
        <v>0.24</v>
      </c>
      <c r="GF106" s="141">
        <f t="shared" si="105"/>
        <v>0.24</v>
      </c>
      <c r="GG106" s="141">
        <f t="shared" si="105"/>
        <v>0.24</v>
      </c>
      <c r="GH106" s="141">
        <f t="shared" si="105"/>
        <v>0.24</v>
      </c>
      <c r="GI106" s="141">
        <f>GI91/GI90</f>
        <v>0.17137135227922945</v>
      </c>
      <c r="GJ106" s="141">
        <f t="shared" ref="GJ106" si="106">GJ91/GJ90</f>
        <v>0.14541757306346353</v>
      </c>
      <c r="GR106" s="44"/>
      <c r="GS106" s="44"/>
    </row>
    <row r="107" spans="2:208" s="17" customFormat="1" ht="13" x14ac:dyDescent="0.3">
      <c r="B107" s="17" t="s">
        <v>20</v>
      </c>
      <c r="C107" s="29">
        <v>0.12782982045277128</v>
      </c>
      <c r="D107" s="29">
        <v>0.12291376912378303</v>
      </c>
      <c r="E107" s="29">
        <v>0.1607462481068429</v>
      </c>
      <c r="F107" s="29">
        <v>0.13510269405174713</v>
      </c>
      <c r="G107" s="29">
        <v>0.15637477626325211</v>
      </c>
      <c r="H107" s="29">
        <v>0.1380034675913577</v>
      </c>
      <c r="I107" s="29">
        <v>0.17350499338226447</v>
      </c>
      <c r="J107" s="29">
        <v>0.1330572899949157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93"/>
      <c r="BT107" s="93"/>
      <c r="BU107" s="93"/>
      <c r="BV107" s="93"/>
      <c r="BW107" s="93"/>
      <c r="BX107" s="93"/>
      <c r="BY107" s="93"/>
      <c r="BZ107" s="93"/>
      <c r="CA107" s="93"/>
      <c r="CB107" s="93"/>
      <c r="CC107" s="93"/>
      <c r="CD107" s="93"/>
      <c r="CE107" s="93"/>
      <c r="CF107" s="93"/>
      <c r="CG107" s="93"/>
      <c r="CH107" s="93"/>
      <c r="CI107" s="93"/>
      <c r="CJ107" s="93"/>
      <c r="CK107" s="93"/>
      <c r="CL107" s="93"/>
      <c r="CM107" s="93"/>
      <c r="CN107" s="93"/>
      <c r="CO107" s="93"/>
      <c r="CP107" s="93"/>
      <c r="CQ107" s="93"/>
      <c r="CR107" s="93"/>
      <c r="CS107" s="93"/>
      <c r="CT107" s="93"/>
      <c r="CU107" s="93"/>
      <c r="CV107" s="93"/>
      <c r="CW107" s="93"/>
      <c r="CX107" s="93"/>
      <c r="CY107" s="93"/>
      <c r="CZ107" s="93"/>
      <c r="DA107" s="93"/>
      <c r="DB107" s="93"/>
      <c r="DC107" s="93"/>
      <c r="DD107" s="93"/>
      <c r="DE107" s="93"/>
      <c r="DF107" s="93"/>
      <c r="DG107" s="93"/>
      <c r="DH107" s="93"/>
      <c r="DI107" s="93"/>
      <c r="DJ107" s="93"/>
      <c r="DK107" s="93"/>
      <c r="DL107" s="93"/>
      <c r="DM107" s="93"/>
      <c r="DN107" s="93"/>
      <c r="DO107" s="93"/>
      <c r="DP107" s="93"/>
      <c r="DQ107" s="93"/>
      <c r="DR107" s="93"/>
      <c r="DS107" s="93"/>
      <c r="DT107" s="93"/>
      <c r="DU107" s="93"/>
      <c r="DV107" s="93"/>
      <c r="DW107" s="93"/>
      <c r="DX107" s="93"/>
      <c r="DY107" s="93"/>
      <c r="DZ107" s="93"/>
      <c r="EA107" s="93"/>
      <c r="EB107" s="93"/>
      <c r="EC107" s="93"/>
      <c r="ED107" s="93"/>
      <c r="EE107" s="93"/>
      <c r="EF107" s="93"/>
      <c r="EG107" s="93"/>
      <c r="EH107" s="93"/>
      <c r="EI107" s="93"/>
      <c r="EJ107" s="93"/>
      <c r="EK107" s="93"/>
      <c r="EL107" s="93"/>
      <c r="EM107" s="93"/>
      <c r="EN107" s="93"/>
      <c r="EO107" s="93"/>
      <c r="EP107" s="93"/>
      <c r="EQ107" s="93"/>
      <c r="ER107" s="93"/>
      <c r="ES107" s="93"/>
      <c r="ET107" s="93"/>
      <c r="EU107" s="93"/>
      <c r="EV107" s="93"/>
      <c r="EW107" s="93"/>
      <c r="EX107" s="93"/>
      <c r="EY107" s="93"/>
      <c r="EZ107" s="93"/>
      <c r="FA107" s="93"/>
      <c r="FB107" s="93"/>
      <c r="FC107" s="93"/>
      <c r="FD107" s="147"/>
      <c r="FE107" s="147"/>
      <c r="FF107" s="93"/>
      <c r="FG107" s="93"/>
      <c r="FH107" s="93"/>
      <c r="FI107" s="93"/>
      <c r="FJ107" s="93"/>
      <c r="FK107" s="93"/>
      <c r="FL107" s="93"/>
      <c r="FM107" s="5"/>
      <c r="FN107" s="5"/>
      <c r="FO107" s="5"/>
      <c r="FP107" s="29"/>
      <c r="FQ107" s="29">
        <v>0.17109793967322903</v>
      </c>
      <c r="FR107" s="29">
        <v>0.12522986392055904</v>
      </c>
      <c r="FS107" s="29">
        <v>0.14704288327349097</v>
      </c>
      <c r="FT107" s="29">
        <v>0.15265901938106788</v>
      </c>
      <c r="FU107" s="29">
        <v>0.16483039249577047</v>
      </c>
      <c r="FV107" s="29">
        <v>0.17561949193815188</v>
      </c>
      <c r="FW107" s="29">
        <f t="shared" ref="FW107:GH107" si="107">FW94/FW78</f>
        <v>0.2106192023760842</v>
      </c>
      <c r="FX107" s="29">
        <f t="shared" si="107"/>
        <v>0.2</v>
      </c>
      <c r="FY107" s="29">
        <f t="shared" si="107"/>
        <v>0.1800067616109538</v>
      </c>
      <c r="FZ107" s="29">
        <f t="shared" si="107"/>
        <v>0.21967506054407374</v>
      </c>
      <c r="GA107" s="29">
        <f t="shared" si="107"/>
        <v>-0.47555643923369795</v>
      </c>
      <c r="GB107" s="29">
        <f t="shared" si="107"/>
        <v>0.26604873877725527</v>
      </c>
      <c r="GC107" s="29">
        <f t="shared" si="107"/>
        <v>0.22562049639711768</v>
      </c>
      <c r="GD107" s="140">
        <f t="shared" si="107"/>
        <v>-0.28992677952019941</v>
      </c>
      <c r="GE107" s="140">
        <f t="shared" si="107"/>
        <v>-0.27323116798481495</v>
      </c>
      <c r="GF107" s="140">
        <f t="shared" si="107"/>
        <v>0.18541210904519786</v>
      </c>
      <c r="GG107" s="140">
        <f t="shared" si="107"/>
        <v>0.19745347078070577</v>
      </c>
      <c r="GH107" s="140">
        <f t="shared" si="107"/>
        <v>-0.18360765686031302</v>
      </c>
      <c r="GI107" s="140">
        <f>GI94/GI78</f>
        <v>0.28422749172710593</v>
      </c>
      <c r="GJ107" s="140">
        <f>GJ94/GJ78</f>
        <v>0.27130141239789174</v>
      </c>
      <c r="GK107" s="91"/>
      <c r="GL107" s="137"/>
      <c r="GM107" s="137"/>
    </row>
    <row r="108" spans="2:208" x14ac:dyDescent="0.25">
      <c r="B108" s="15" t="s">
        <v>7</v>
      </c>
      <c r="C108" s="28">
        <v>0.11280249804839969</v>
      </c>
      <c r="D108" s="28">
        <v>0.11328233657858136</v>
      </c>
      <c r="E108" s="28">
        <v>0.19454770755885997</v>
      </c>
      <c r="F108" s="28">
        <v>0.10089357161909843</v>
      </c>
      <c r="G108" s="28">
        <v>0.18718160539721879</v>
      </c>
      <c r="H108" s="28">
        <v>9.8826353694318483E-2</v>
      </c>
      <c r="I108" s="28">
        <v>0.16827096618938756</v>
      </c>
      <c r="J108" s="28">
        <v>0.13251987160344253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FP108" s="28"/>
      <c r="FQ108" s="28">
        <v>-4.0346087028221136E-2</v>
      </c>
      <c r="FR108" s="28">
        <v>0.11305627068775286</v>
      </c>
      <c r="FS108" s="28">
        <v>0.14230065713705034</v>
      </c>
      <c r="FT108" s="28">
        <v>0.15410220583112316</v>
      </c>
      <c r="FU108" s="28">
        <v>0.16469033218166365</v>
      </c>
      <c r="FV108" s="28">
        <v>0.17550225150897455</v>
      </c>
      <c r="FW108" s="28"/>
      <c r="FX108" s="28"/>
      <c r="FY108" s="28"/>
      <c r="FZ108" s="28"/>
      <c r="GA108" s="28"/>
      <c r="GB108" s="28"/>
      <c r="GC108" s="28"/>
      <c r="GD108" s="141"/>
      <c r="GE108" s="141"/>
      <c r="GF108" s="141"/>
      <c r="GG108" s="141"/>
      <c r="GH108" s="141"/>
      <c r="GI108" s="141"/>
    </row>
    <row r="109" spans="2:208" x14ac:dyDescent="0.25">
      <c r="G109" s="23"/>
      <c r="H109" s="23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</row>
    <row r="110" spans="2:208" s="17" customFormat="1" ht="13" x14ac:dyDescent="0.3">
      <c r="B110" s="17" t="s">
        <v>184</v>
      </c>
      <c r="C110" s="75" t="s">
        <v>12</v>
      </c>
      <c r="D110" s="75" t="s">
        <v>12</v>
      </c>
      <c r="E110" s="29">
        <v>0.13395784543325528</v>
      </c>
      <c r="F110" s="29">
        <v>4.2837273991655156E-2</v>
      </c>
      <c r="G110" s="75" t="s">
        <v>12</v>
      </c>
      <c r="H110" s="75" t="s">
        <v>12</v>
      </c>
      <c r="I110" s="29">
        <v>0.14429299187663491</v>
      </c>
      <c r="J110" s="29">
        <v>7.3267007224671055E-2</v>
      </c>
      <c r="K110" s="29">
        <f t="shared" ref="K110:T110" si="108">K78/I78-1</f>
        <v>0.19414029599326188</v>
      </c>
      <c r="L110" s="29">
        <f t="shared" si="108"/>
        <v>0.17486367727248653</v>
      </c>
      <c r="M110" s="29">
        <f t="shared" si="108"/>
        <v>0.1500327472416747</v>
      </c>
      <c r="N110" s="29">
        <f t="shared" si="108"/>
        <v>5.0198269646719584E-2</v>
      </c>
      <c r="O110" s="29">
        <f t="shared" si="108"/>
        <v>-3.6053795943400413E-2</v>
      </c>
      <c r="P110" s="29">
        <f t="shared" si="108"/>
        <v>1.3172573586200942E-2</v>
      </c>
      <c r="Q110" s="29">
        <f t="shared" si="108"/>
        <v>9.0983457553172054E-2</v>
      </c>
      <c r="R110" s="29">
        <f t="shared" si="108"/>
        <v>6.7886333799178411E-2</v>
      </c>
      <c r="S110" s="29">
        <f t="shared" si="108"/>
        <v>2.6243439140214875E-2</v>
      </c>
      <c r="T110" s="29">
        <f t="shared" si="108"/>
        <v>-9.7120875634517767E-2</v>
      </c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>
        <f t="shared" ref="CL110:CM110" si="109">CL78/CH78-1</f>
        <v>2.3527361449982021E-3</v>
      </c>
      <c r="CM110" s="79">
        <f t="shared" si="109"/>
        <v>-1.7546658159196538E-3</v>
      </c>
      <c r="CN110" s="79">
        <f t="shared" ref="CN110:CS110" si="110">CN78/CJ78-1</f>
        <v>6.0909583107742193E-2</v>
      </c>
      <c r="CO110" s="79">
        <f t="shared" si="110"/>
        <v>0.1108959690195388</v>
      </c>
      <c r="CP110" s="79">
        <f t="shared" si="110"/>
        <v>9.2236807789272346E-2</v>
      </c>
      <c r="CQ110" s="79">
        <f t="shared" si="110"/>
        <v>1.0866091403004097E-2</v>
      </c>
      <c r="CR110" s="79">
        <f t="shared" si="110"/>
        <v>-0.34090329165603472</v>
      </c>
      <c r="CS110" s="79">
        <f t="shared" si="110"/>
        <v>-1.8301378545396929E-2</v>
      </c>
      <c r="CT110" s="79">
        <f t="shared" ref="CT110" si="111">CT78/CP78-1</f>
        <v>-8.5402737981534527E-2</v>
      </c>
      <c r="CU110" s="79">
        <f t="shared" ref="CU110" si="112">CU78/CQ78-1</f>
        <v>-0.10322478659500478</v>
      </c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8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79">
        <f>+EY78/EU78-1</f>
        <v>0.23053049440635154</v>
      </c>
      <c r="EZ110" s="79">
        <f t="shared" ref="EZ110:FB110" si="113">+EZ78/EV78-1</f>
        <v>8.9530636156868182E-2</v>
      </c>
      <c r="FA110" s="79">
        <f t="shared" si="113"/>
        <v>3.8390010626992543E-2</v>
      </c>
      <c r="FB110" s="79">
        <f t="shared" si="113"/>
        <v>4.0202033990853758E-2</v>
      </c>
      <c r="FC110" s="79">
        <f>+FC78/EY78-1</f>
        <v>-6.340547832717458E-2</v>
      </c>
      <c r="FD110" s="142"/>
      <c r="FE110" s="142"/>
      <c r="FF110" s="79"/>
      <c r="FG110" s="79"/>
      <c r="FH110" s="48"/>
      <c r="FI110" s="48"/>
      <c r="FJ110" s="48"/>
      <c r="FK110" s="48"/>
      <c r="FL110" s="48"/>
      <c r="FP110" s="29"/>
      <c r="FQ110" s="29"/>
      <c r="FR110" s="29">
        <v>4.3121307450318502E-2</v>
      </c>
      <c r="FS110" s="29"/>
      <c r="FT110" s="29">
        <f t="shared" ref="FT110:FU110" si="114">FT78/FS78-1</f>
        <v>0.20286565950816349</v>
      </c>
      <c r="FU110" s="29">
        <f t="shared" si="114"/>
        <v>0.18388668299963395</v>
      </c>
      <c r="FV110" s="29">
        <f>FV78/FU78-1</f>
        <v>9.733355533883592E-2</v>
      </c>
      <c r="FW110" s="29">
        <f>FW78/FV78-1</f>
        <v>7.1532308759456598E-3</v>
      </c>
      <c r="FX110" s="29">
        <f>FX78/FW78-1</f>
        <v>6.7408475561199221E-2</v>
      </c>
      <c r="FY110" s="29">
        <f>FY78/FX78-1</f>
        <v>-4.5750579695533866E-2</v>
      </c>
      <c r="FZ110" s="29">
        <f t="shared" ref="FZ110:GB110" si="115">FZ78/FY78-1</f>
        <v>-0.10131851413599291</v>
      </c>
      <c r="GA110" s="29">
        <f t="shared" si="115"/>
        <v>-0.61094260656932597</v>
      </c>
      <c r="GB110" s="29">
        <f t="shared" si="115"/>
        <v>1.8270985677162024</v>
      </c>
      <c r="GC110" s="29">
        <f t="shared" ref="GC110" si="116">GC78/GB78-1</f>
        <v>1.4578879863189398E-2</v>
      </c>
      <c r="GD110" s="140">
        <f t="shared" ref="GD110" si="117">GD78/GC78-1</f>
        <v>1.4390459736210115E-2</v>
      </c>
      <c r="GE110" s="140">
        <f t="shared" ref="GE110" si="118">GE78/GD78-1</f>
        <v>5.0493301485097009E-2</v>
      </c>
      <c r="GF110" s="140">
        <f t="shared" ref="GF110" si="119">GF78/GE78-1</f>
        <v>5.3839765896868119E-2</v>
      </c>
      <c r="GG110" s="140">
        <f t="shared" ref="GG110" si="120">GG78/GF78-1</f>
        <v>6.6549090977316538E-2</v>
      </c>
      <c r="GH110" s="140">
        <f t="shared" ref="GH110" si="121">GH78/GG78-1</f>
        <v>8.1272209126411754E-2</v>
      </c>
      <c r="GI110" s="140">
        <f t="shared" ref="GI110" si="122">GI78/GH78-1</f>
        <v>-5.1133960238180509E-2</v>
      </c>
      <c r="GJ110" s="140">
        <f t="shared" ref="GJ110:GN110" si="123">GJ78/GI78-1</f>
        <v>7.6779315192976982E-2</v>
      </c>
      <c r="GK110" s="140">
        <f t="shared" si="123"/>
        <v>-3.6830623716182842E-2</v>
      </c>
      <c r="GL110" s="140">
        <f t="shared" si="123"/>
        <v>-9.5225499272583169E-3</v>
      </c>
      <c r="GM110" s="140">
        <f t="shared" si="123"/>
        <v>2.9059286954199459E-2</v>
      </c>
      <c r="GN110" s="140">
        <f t="shared" si="123"/>
        <v>1.6171151444374088E-2</v>
      </c>
    </row>
    <row r="111" spans="2:208" s="17" customFormat="1" ht="13" x14ac:dyDescent="0.3">
      <c r="B111" s="17" t="s">
        <v>335</v>
      </c>
      <c r="C111" s="75"/>
      <c r="D111" s="75"/>
      <c r="E111" s="29"/>
      <c r="F111" s="29"/>
      <c r="G111" s="75"/>
      <c r="H111" s="75"/>
      <c r="I111" s="29"/>
      <c r="J111" s="29"/>
      <c r="K111" s="29"/>
      <c r="L111" s="29"/>
      <c r="M111" s="29"/>
      <c r="N111" s="29"/>
      <c r="O111" s="29"/>
      <c r="P111" s="29"/>
      <c r="Q111" s="29">
        <v>0.1</v>
      </c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79"/>
      <c r="CO111" s="48"/>
      <c r="CP111" s="79">
        <v>0.14000000000000001</v>
      </c>
      <c r="CQ111" s="48"/>
      <c r="CR111" s="79">
        <v>0.09</v>
      </c>
      <c r="CS111" s="79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8"/>
      <c r="DV111" s="48"/>
      <c r="DW111" s="48"/>
      <c r="DX111" s="48"/>
      <c r="DY111" s="48"/>
      <c r="DZ111" s="48"/>
      <c r="EA111" s="48"/>
      <c r="EB111" s="48"/>
      <c r="EC111" s="48"/>
      <c r="ED111" s="48"/>
      <c r="EE111" s="48"/>
      <c r="EF111" s="48"/>
      <c r="EG111" s="48"/>
      <c r="EH111" s="48"/>
      <c r="EI111" s="48"/>
      <c r="EJ111" s="48"/>
      <c r="EK111" s="48"/>
      <c r="EL111" s="48"/>
      <c r="EM111" s="48"/>
      <c r="EN111" s="48"/>
      <c r="EO111" s="48"/>
      <c r="EP111" s="48"/>
      <c r="EQ111" s="48"/>
      <c r="ER111" s="48"/>
      <c r="ES111" s="48"/>
      <c r="ET111" s="48"/>
      <c r="EU111" s="48"/>
      <c r="EV111" s="48"/>
      <c r="EW111" s="48"/>
      <c r="EX111" s="48"/>
      <c r="EY111" s="48"/>
      <c r="EZ111" s="48"/>
      <c r="FA111" s="48"/>
      <c r="FB111" s="48"/>
      <c r="FC111" s="48"/>
      <c r="FD111" s="137"/>
      <c r="FE111" s="137"/>
      <c r="FF111" s="48"/>
      <c r="FG111" s="48"/>
      <c r="FH111" s="48"/>
      <c r="FI111" s="48"/>
      <c r="FJ111" s="48"/>
      <c r="FK111" s="48"/>
      <c r="FL111" s="48"/>
      <c r="FP111" s="29"/>
      <c r="FQ111" s="29"/>
      <c r="FR111" s="29"/>
      <c r="FS111" s="29"/>
      <c r="FT111" s="29"/>
      <c r="FU111" s="29">
        <v>0.17399999999999999</v>
      </c>
      <c r="FV111" s="29">
        <v>0.10199999999999999</v>
      </c>
      <c r="FW111" s="29">
        <v>5.8999999999999997E-2</v>
      </c>
      <c r="FX111" s="29">
        <v>0.1</v>
      </c>
      <c r="FY111" s="29">
        <v>0</v>
      </c>
      <c r="FZ111" s="29"/>
      <c r="GA111" s="29"/>
      <c r="GB111" s="29"/>
      <c r="GC111" s="29"/>
      <c r="GD111" s="140"/>
      <c r="GE111" s="140"/>
      <c r="GF111" s="140"/>
      <c r="GG111" s="140"/>
      <c r="GH111" s="140"/>
      <c r="GI111" s="140"/>
      <c r="GJ111" s="137"/>
      <c r="GK111" s="91"/>
      <c r="GL111" s="140">
        <v>0.01</v>
      </c>
      <c r="GM111" s="140">
        <v>7.0000000000000007E-2</v>
      </c>
    </row>
    <row r="112" spans="2:208" s="17" customFormat="1" ht="13" x14ac:dyDescent="0.3">
      <c r="B112" s="17" t="s">
        <v>336</v>
      </c>
      <c r="C112" s="75"/>
      <c r="D112" s="75"/>
      <c r="E112" s="29"/>
      <c r="F112" s="29"/>
      <c r="G112" s="75"/>
      <c r="H112" s="75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79"/>
      <c r="CO112" s="48"/>
      <c r="CP112" s="79">
        <v>0.15</v>
      </c>
      <c r="CQ112" s="48"/>
      <c r="CR112" s="79">
        <v>0.1</v>
      </c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8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79">
        <v>0.02</v>
      </c>
      <c r="EW112" s="48"/>
      <c r="EX112" s="48"/>
      <c r="EY112" s="48"/>
      <c r="EZ112" s="48"/>
      <c r="FA112" s="48"/>
      <c r="FB112" s="48"/>
      <c r="FC112" s="48"/>
      <c r="FD112" s="137"/>
      <c r="FE112" s="137"/>
      <c r="FF112" s="48"/>
      <c r="FG112" s="48"/>
      <c r="FH112" s="48"/>
      <c r="FI112" s="48"/>
      <c r="FJ112" s="48"/>
      <c r="FK112" s="48"/>
      <c r="FL112" s="48"/>
      <c r="FP112" s="29"/>
      <c r="FQ112" s="29"/>
      <c r="FR112" s="29"/>
      <c r="FS112" s="29"/>
      <c r="FT112" s="29"/>
      <c r="FU112" s="29"/>
      <c r="FV112" s="29">
        <v>0.114</v>
      </c>
      <c r="FW112" s="29">
        <v>4.7E-2</v>
      </c>
      <c r="FX112" s="29">
        <v>0.11</v>
      </c>
      <c r="FY112" s="29">
        <v>-0.02</v>
      </c>
      <c r="FZ112" s="29"/>
      <c r="GA112" s="29"/>
      <c r="GB112" s="29"/>
      <c r="GC112" s="29"/>
      <c r="GD112" s="140"/>
      <c r="GE112" s="140"/>
      <c r="GF112" s="140"/>
      <c r="GG112" s="140"/>
      <c r="GH112" s="140"/>
      <c r="GI112" s="140"/>
      <c r="GJ112" s="137"/>
      <c r="GK112" s="91"/>
      <c r="GL112" s="137"/>
      <c r="GM112" s="142">
        <v>0.08</v>
      </c>
    </row>
    <row r="113" spans="2:195" s="17" customFormat="1" ht="13" x14ac:dyDescent="0.3">
      <c r="B113" s="17" t="s">
        <v>700</v>
      </c>
      <c r="C113" s="75"/>
      <c r="D113" s="75"/>
      <c r="E113" s="29"/>
      <c r="F113" s="29"/>
      <c r="G113" s="75"/>
      <c r="H113" s="75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79"/>
      <c r="CO113" s="48"/>
      <c r="CP113" s="79"/>
      <c r="CQ113" s="48"/>
      <c r="CR113" s="79"/>
      <c r="CS113" s="48"/>
      <c r="CT113" s="48"/>
      <c r="CU113" s="79">
        <v>0.1</v>
      </c>
      <c r="CV113" s="79">
        <v>7.0000000000000007E-2</v>
      </c>
      <c r="CW113" s="79">
        <v>0.06</v>
      </c>
      <c r="CX113" s="79">
        <v>7.0000000000000007E-2</v>
      </c>
      <c r="CY113" s="79">
        <v>0.1</v>
      </c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8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8"/>
      <c r="FB113" s="48"/>
      <c r="FC113" s="48"/>
      <c r="FD113" s="137"/>
      <c r="FE113" s="137"/>
      <c r="FF113" s="48"/>
      <c r="FG113" s="48"/>
      <c r="FH113" s="48"/>
      <c r="FI113" s="48"/>
      <c r="FJ113" s="48"/>
      <c r="FK113" s="48"/>
      <c r="FL113" s="48"/>
      <c r="FP113" s="29"/>
      <c r="FQ113" s="29"/>
      <c r="FR113" s="29"/>
      <c r="FS113" s="29"/>
      <c r="FT113" s="29"/>
      <c r="FU113" s="29"/>
      <c r="FV113" s="29"/>
      <c r="FW113" s="29"/>
      <c r="FX113" s="29"/>
      <c r="FY113" s="29"/>
      <c r="FZ113" s="29"/>
      <c r="GA113" s="29"/>
      <c r="GB113" s="29"/>
      <c r="GC113" s="29"/>
      <c r="GD113" s="140"/>
      <c r="GE113" s="140"/>
      <c r="GF113" s="140"/>
      <c r="GG113" s="140"/>
      <c r="GH113" s="140"/>
      <c r="GI113" s="140"/>
      <c r="GJ113" s="137"/>
      <c r="GK113" s="91"/>
      <c r="GL113" s="137"/>
      <c r="GM113" s="137"/>
    </row>
    <row r="114" spans="2:195" s="17" customFormat="1" ht="13" x14ac:dyDescent="0.3">
      <c r="B114" s="17" t="s">
        <v>701</v>
      </c>
      <c r="C114" s="75"/>
      <c r="D114" s="75"/>
      <c r="E114" s="29"/>
      <c r="F114" s="29"/>
      <c r="G114" s="75"/>
      <c r="H114" s="75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79"/>
      <c r="CO114" s="48"/>
      <c r="CP114" s="79"/>
      <c r="CQ114" s="48"/>
      <c r="CR114" s="79"/>
      <c r="CS114" s="48"/>
      <c r="CT114" s="48"/>
      <c r="CU114" s="79">
        <v>0.02</v>
      </c>
      <c r="CV114" s="79">
        <v>-0.06</v>
      </c>
      <c r="CW114" s="79">
        <v>-0.09</v>
      </c>
      <c r="CX114" s="79">
        <v>-0.1</v>
      </c>
      <c r="CY114" s="79">
        <v>-0.02</v>
      </c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8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/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8"/>
      <c r="FB114" s="48"/>
      <c r="FC114" s="48"/>
      <c r="FD114" s="137"/>
      <c r="FE114" s="137"/>
      <c r="FF114" s="48"/>
      <c r="FG114" s="48"/>
      <c r="FH114" s="48"/>
      <c r="FI114" s="48"/>
      <c r="FJ114" s="48"/>
      <c r="FK114" s="48"/>
      <c r="FL114" s="48"/>
      <c r="FP114" s="29"/>
      <c r="FQ114" s="29"/>
      <c r="FR114" s="29"/>
      <c r="FS114" s="29"/>
      <c r="FT114" s="29"/>
      <c r="FU114" s="29"/>
      <c r="FV114" s="29"/>
      <c r="FW114" s="29"/>
      <c r="FX114" s="29"/>
      <c r="FY114" s="29"/>
      <c r="FZ114" s="29"/>
      <c r="GA114" s="29"/>
      <c r="GB114" s="29"/>
      <c r="GC114" s="29"/>
      <c r="GD114" s="140"/>
      <c r="GE114" s="140"/>
      <c r="GF114" s="140"/>
      <c r="GG114" s="140"/>
      <c r="GH114" s="140"/>
      <c r="GI114" s="140"/>
      <c r="GJ114" s="137"/>
      <c r="GK114" s="91"/>
      <c r="GL114" s="137"/>
      <c r="GM114" s="137"/>
    </row>
    <row r="115" spans="2:195" s="17" customFormat="1" ht="13" x14ac:dyDescent="0.3">
      <c r="B115" s="17" t="s">
        <v>702</v>
      </c>
      <c r="C115" s="75"/>
      <c r="D115" s="75"/>
      <c r="E115" s="29"/>
      <c r="F115" s="29"/>
      <c r="G115" s="75"/>
      <c r="H115" s="75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79"/>
      <c r="CO115" s="48"/>
      <c r="CP115" s="79"/>
      <c r="CQ115" s="48"/>
      <c r="CR115" s="79"/>
      <c r="CS115" s="48"/>
      <c r="CT115" s="48"/>
      <c r="CU115" s="79">
        <v>0.05</v>
      </c>
      <c r="CV115" s="79">
        <v>0.08</v>
      </c>
      <c r="CW115" s="79">
        <v>0.12</v>
      </c>
      <c r="CX115" s="79">
        <v>0.04</v>
      </c>
      <c r="CY115" s="79">
        <v>0.14000000000000001</v>
      </c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8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8"/>
      <c r="FB115" s="48"/>
      <c r="FC115" s="48"/>
      <c r="FD115" s="137"/>
      <c r="FE115" s="137"/>
      <c r="FF115" s="48"/>
      <c r="FG115" s="48"/>
      <c r="FH115" s="48"/>
      <c r="FI115" s="48"/>
      <c r="FJ115" s="48"/>
      <c r="FK115" s="48"/>
      <c r="FL115" s="48"/>
      <c r="FP115" s="29"/>
      <c r="FQ115" s="29"/>
      <c r="FR115" s="29"/>
      <c r="FS115" s="29"/>
      <c r="FT115" s="29"/>
      <c r="FU115" s="29"/>
      <c r="FV115" s="29"/>
      <c r="FW115" s="29"/>
      <c r="FX115" s="29"/>
      <c r="FY115" s="29"/>
      <c r="FZ115" s="29"/>
      <c r="GA115" s="29"/>
      <c r="GB115" s="29"/>
      <c r="GC115" s="29"/>
      <c r="GD115" s="140"/>
      <c r="GE115" s="140"/>
      <c r="GF115" s="140"/>
      <c r="GG115" s="140"/>
      <c r="GH115" s="140"/>
      <c r="GI115" s="140"/>
      <c r="GJ115" s="137"/>
      <c r="GK115" s="91"/>
      <c r="GL115" s="137"/>
      <c r="GM115" s="137"/>
    </row>
    <row r="116" spans="2:195" s="17" customFormat="1" ht="13" x14ac:dyDescent="0.3">
      <c r="B116" s="3" t="s">
        <v>679</v>
      </c>
      <c r="C116" s="75"/>
      <c r="D116" s="75"/>
      <c r="E116" s="29"/>
      <c r="F116" s="29"/>
      <c r="G116" s="75"/>
      <c r="H116" s="75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79"/>
      <c r="CO116" s="48"/>
      <c r="CP116" s="79"/>
      <c r="CQ116" s="48"/>
      <c r="CR116" s="79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8"/>
      <c r="DV116" s="48"/>
      <c r="DW116" s="48"/>
      <c r="DX116" s="48"/>
      <c r="DY116" s="48"/>
      <c r="DZ116" s="48"/>
      <c r="EA116" s="48"/>
      <c r="EB116" s="48"/>
      <c r="EC116" s="48"/>
      <c r="ED116" s="48"/>
      <c r="EE116" s="48"/>
      <c r="EF116" s="48"/>
      <c r="EG116" s="48"/>
      <c r="EH116" s="48"/>
      <c r="EI116" s="48"/>
      <c r="EJ116" s="48"/>
      <c r="EK116" s="48"/>
      <c r="EL116" s="48"/>
      <c r="EM116" s="48"/>
      <c r="EN116" s="48"/>
      <c r="EO116" s="48"/>
      <c r="EP116" s="48"/>
      <c r="EQ116" s="48"/>
      <c r="ER116" s="48"/>
      <c r="ES116" s="48"/>
      <c r="ET116" s="48"/>
      <c r="EU116" s="48"/>
      <c r="EV116" s="48"/>
      <c r="EW116" s="48"/>
      <c r="EX116" s="48"/>
      <c r="EY116" s="48"/>
      <c r="EZ116" s="48"/>
      <c r="FA116" s="48"/>
      <c r="FB116" s="48"/>
      <c r="FC116" s="48"/>
      <c r="FD116" s="137"/>
      <c r="FE116" s="137"/>
      <c r="FF116" s="48"/>
      <c r="FG116" s="48"/>
      <c r="FH116" s="48"/>
      <c r="FI116" s="48"/>
      <c r="FJ116" s="48"/>
      <c r="FK116" s="48"/>
      <c r="FL116" s="48"/>
      <c r="FP116" s="29"/>
      <c r="FQ116" s="29"/>
      <c r="FR116" s="29"/>
      <c r="FS116" s="29"/>
      <c r="FT116" s="29"/>
      <c r="FU116" s="29"/>
      <c r="FV116" s="81">
        <f>FV6/FU6-1</f>
        <v>6.8937921573110739E-2</v>
      </c>
      <c r="FW116" s="81">
        <f>FW6/FV6-1</f>
        <v>3.2727272727272716E-2</v>
      </c>
      <c r="FX116" s="81">
        <f>FX6/FW6-1</f>
        <v>4.1321458160729074E-2</v>
      </c>
      <c r="FY116" s="81">
        <f>FY6/FX6-1</f>
        <v>3.5803083043262074E-2</v>
      </c>
      <c r="FZ116" s="81">
        <f>FZ6/FY6-1</f>
        <v>-6.5098415746519422E-2</v>
      </c>
      <c r="GA116" s="81">
        <f>GA6/FZ6-1</f>
        <v>-1</v>
      </c>
      <c r="GB116" s="81" t="e">
        <f>GB6/GA6-1</f>
        <v>#DIV/0!</v>
      </c>
      <c r="GC116" s="81">
        <f>GC6/GB6-1</f>
        <v>2.7682321496754536E-2</v>
      </c>
      <c r="GD116" s="143">
        <f>GD6/GC6-1</f>
        <v>4.4584804012632873E-3</v>
      </c>
      <c r="GE116" s="143">
        <f>GE6/GD6-1</f>
        <v>6.0939522840761873E-2</v>
      </c>
      <c r="GF116" s="143">
        <f>GF6/GE6-1</f>
        <v>5.2819663557918561E-2</v>
      </c>
      <c r="GG116" s="143">
        <f>GG6/GF6-1</f>
        <v>6.6230648232469491E-2</v>
      </c>
      <c r="GH116" s="143">
        <f>GH6/GG6-1</f>
        <v>5.5128503765820014E-3</v>
      </c>
      <c r="GI116" s="143">
        <f>GI6/GH6-1</f>
        <v>6.4942084942084977E-2</v>
      </c>
      <c r="GJ116" s="143">
        <f>GJ6/GI6-1</f>
        <v>0.2877963889493147</v>
      </c>
      <c r="GK116" s="91"/>
      <c r="GL116" s="137"/>
      <c r="GM116" s="137"/>
    </row>
    <row r="117" spans="2:195" s="3" customFormat="1" x14ac:dyDescent="0.25">
      <c r="B117" s="3" t="s">
        <v>337</v>
      </c>
      <c r="C117" s="80"/>
      <c r="D117" s="80"/>
      <c r="E117" s="81"/>
      <c r="F117" s="81"/>
      <c r="G117" s="80"/>
      <c r="H117" s="80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82"/>
      <c r="CO117" s="52"/>
      <c r="CP117" s="82">
        <v>0.1</v>
      </c>
      <c r="CQ117" s="52"/>
      <c r="CR117" s="82">
        <v>0.09</v>
      </c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144"/>
      <c r="FE117" s="144"/>
      <c r="FF117" s="52"/>
      <c r="FG117" s="52"/>
      <c r="FH117" s="52"/>
      <c r="FI117" s="52"/>
      <c r="FJ117" s="52"/>
      <c r="FK117" s="52"/>
      <c r="FL117" s="52"/>
      <c r="FP117" s="81"/>
      <c r="FQ117" s="81"/>
      <c r="FR117" s="81"/>
      <c r="FS117" s="81"/>
      <c r="FT117" s="81"/>
      <c r="FU117" s="81"/>
      <c r="FV117" s="81">
        <v>5.6000000000000001E-2</v>
      </c>
      <c r="FW117" s="81">
        <v>0.105</v>
      </c>
      <c r="FX117" s="81">
        <v>0.09</v>
      </c>
      <c r="FY117" s="81">
        <v>0.08</v>
      </c>
      <c r="FZ117" s="81"/>
      <c r="GA117" s="81"/>
      <c r="GB117" s="81"/>
      <c r="GC117" s="81"/>
      <c r="GD117" s="143"/>
      <c r="GE117" s="143"/>
      <c r="GF117" s="143"/>
      <c r="GG117" s="143"/>
      <c r="GH117" s="143"/>
      <c r="GI117" s="143"/>
      <c r="GJ117" s="144"/>
      <c r="GK117" s="2"/>
      <c r="GL117" s="144"/>
      <c r="GM117" s="144"/>
    </row>
    <row r="118" spans="2:195" x14ac:dyDescent="0.25">
      <c r="B118" s="15" t="s">
        <v>187</v>
      </c>
      <c r="C118" s="74" t="s">
        <v>12</v>
      </c>
      <c r="D118" s="74" t="s">
        <v>12</v>
      </c>
      <c r="E118" s="28">
        <v>8.8846364133406297E-2</v>
      </c>
      <c r="F118" s="28">
        <v>3.1978841067564323E-2</v>
      </c>
      <c r="G118" s="74" t="s">
        <v>12</v>
      </c>
      <c r="H118" s="74" t="s">
        <v>12</v>
      </c>
      <c r="I118" s="28">
        <v>0.10224999999999995</v>
      </c>
      <c r="J118" s="28">
        <v>6.1689216876127606E-2</v>
      </c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FP118" s="28"/>
      <c r="FQ118" s="28"/>
      <c r="FR118" s="28">
        <v>-5.3441913729481705E-3</v>
      </c>
      <c r="FS118" s="28"/>
      <c r="FT118" s="28">
        <f t="shared" ref="FT118:FV120" si="124">FT82/FS82-1</f>
        <v>0.14020148716718639</v>
      </c>
      <c r="FU118" s="28">
        <f t="shared" si="124"/>
        <v>0.14189544546123911</v>
      </c>
      <c r="FV118" s="28">
        <f t="shared" si="124"/>
        <v>-0.14084377302873985</v>
      </c>
      <c r="FW118" s="28">
        <v>0.10866670124251376</v>
      </c>
      <c r="FX118" s="28"/>
      <c r="FY118" s="28"/>
      <c r="FZ118" s="28"/>
      <c r="GA118" s="28"/>
      <c r="GB118" s="28"/>
      <c r="GC118" s="28"/>
      <c r="GD118" s="141"/>
      <c r="GE118" s="141"/>
      <c r="GF118" s="141"/>
      <c r="GG118" s="141"/>
      <c r="GH118" s="141"/>
      <c r="GI118" s="141"/>
    </row>
    <row r="119" spans="2:195" s="17" customFormat="1" ht="13" x14ac:dyDescent="0.3">
      <c r="B119" s="15" t="s">
        <v>188</v>
      </c>
      <c r="C119" s="75" t="s">
        <v>12</v>
      </c>
      <c r="D119" s="75" t="s">
        <v>12</v>
      </c>
      <c r="E119" s="29">
        <v>8.599394080633882E-2</v>
      </c>
      <c r="F119" s="29">
        <v>2.5992632009824046E-2</v>
      </c>
      <c r="G119" s="75" t="s">
        <v>12</v>
      </c>
      <c r="H119" s="75" t="s">
        <v>12</v>
      </c>
      <c r="I119" s="29">
        <v>9.7845423996837377E-2</v>
      </c>
      <c r="J119" s="29">
        <v>5.8237668615354954E-2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3"/>
      <c r="EU119" s="93"/>
      <c r="EV119" s="93"/>
      <c r="EW119" s="93"/>
      <c r="EX119" s="93"/>
      <c r="EY119" s="93"/>
      <c r="EZ119" s="93"/>
      <c r="FA119" s="93"/>
      <c r="FB119" s="93"/>
      <c r="FC119" s="93"/>
      <c r="FD119" s="147"/>
      <c r="FE119" s="147"/>
      <c r="FF119" s="93"/>
      <c r="FG119" s="93"/>
      <c r="FH119" s="93"/>
      <c r="FI119" s="93"/>
      <c r="FJ119" s="93"/>
      <c r="FK119" s="93"/>
      <c r="FL119" s="93"/>
      <c r="FM119" s="5"/>
      <c r="FN119" s="5"/>
      <c r="FO119" s="5"/>
      <c r="FP119" s="28"/>
      <c r="FQ119" s="28"/>
      <c r="FR119" s="28">
        <v>1.3809102960671726E-2</v>
      </c>
      <c r="FS119" s="28"/>
      <c r="FT119" s="28">
        <f t="shared" si="124"/>
        <v>0.10743405275779372</v>
      </c>
      <c r="FU119" s="28">
        <f t="shared" si="124"/>
        <v>0.10090948462537885</v>
      </c>
      <c r="FV119" s="28">
        <f t="shared" si="124"/>
        <v>-3.5011801730920555E-2</v>
      </c>
      <c r="FW119" s="29">
        <v>0.11175549765689508</v>
      </c>
      <c r="FX119" s="29"/>
      <c r="FY119" s="29"/>
      <c r="FZ119" s="29"/>
      <c r="GA119" s="29"/>
      <c r="GB119" s="29"/>
      <c r="GC119" s="29"/>
      <c r="GD119" s="140"/>
      <c r="GE119" s="140"/>
      <c r="GF119" s="140"/>
      <c r="GG119" s="140"/>
      <c r="GH119" s="140"/>
      <c r="GI119" s="140"/>
      <c r="GJ119" s="137"/>
      <c r="GK119" s="91"/>
      <c r="GL119" s="137"/>
      <c r="GM119" s="137"/>
    </row>
    <row r="120" spans="2:195" s="17" customFormat="1" ht="13" x14ac:dyDescent="0.3">
      <c r="B120" s="30" t="s">
        <v>189</v>
      </c>
      <c r="C120" s="75" t="s">
        <v>12</v>
      </c>
      <c r="D120" s="75" t="s">
        <v>12</v>
      </c>
      <c r="E120" s="29">
        <v>7.3630924988495217E-2</v>
      </c>
      <c r="F120" s="29">
        <v>0.1097511219910241</v>
      </c>
      <c r="G120" s="75" t="s">
        <v>12</v>
      </c>
      <c r="H120" s="75" t="s">
        <v>12</v>
      </c>
      <c r="I120" s="29">
        <v>8.3862770012706589E-2</v>
      </c>
      <c r="J120" s="29">
        <v>5.0101322750746524E-2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147"/>
      <c r="FE120" s="147"/>
      <c r="FF120" s="93"/>
      <c r="FG120" s="93"/>
      <c r="FH120" s="93"/>
      <c r="FI120" s="93"/>
      <c r="FJ120" s="93"/>
      <c r="FK120" s="93"/>
      <c r="FL120" s="93"/>
      <c r="FM120" s="5"/>
      <c r="FN120" s="5"/>
      <c r="FO120" s="5"/>
      <c r="FP120" s="28"/>
      <c r="FQ120" s="28"/>
      <c r="FR120" s="28">
        <v>0.11907066795740562</v>
      </c>
      <c r="FS120" s="28"/>
      <c r="FT120" s="28">
        <f t="shared" si="124"/>
        <v>0.10690725649980592</v>
      </c>
      <c r="FU120" s="28">
        <f t="shared" si="124"/>
        <v>0.15495179666958814</v>
      </c>
      <c r="FV120" s="28">
        <f t="shared" si="124"/>
        <v>0.2725755046289271</v>
      </c>
      <c r="FW120" s="29">
        <v>0.11157806678724591</v>
      </c>
      <c r="FX120" s="29"/>
      <c r="FY120" s="29"/>
      <c r="FZ120" s="29"/>
      <c r="GA120" s="29"/>
      <c r="GB120" s="29"/>
      <c r="GC120" s="29"/>
      <c r="GD120" s="140"/>
      <c r="GE120" s="140"/>
      <c r="GF120" s="140"/>
      <c r="GG120" s="140"/>
      <c r="GH120" s="140"/>
      <c r="GI120" s="140"/>
      <c r="GJ120" s="137"/>
      <c r="GK120" s="91"/>
      <c r="GL120" s="137"/>
      <c r="GM120" s="137"/>
    </row>
    <row r="121" spans="2:195" s="17" customFormat="1" ht="13" x14ac:dyDescent="0.3">
      <c r="B121" s="17" t="s">
        <v>149</v>
      </c>
      <c r="C121" s="74" t="s">
        <v>12</v>
      </c>
      <c r="D121" s="74" t="s">
        <v>12</v>
      </c>
      <c r="E121" s="29">
        <v>0.3063889869396399</v>
      </c>
      <c r="F121" s="29">
        <v>9.763513513513522E-2</v>
      </c>
      <c r="G121" s="74" t="s">
        <v>12</v>
      </c>
      <c r="H121" s="74" t="s">
        <v>12</v>
      </c>
      <c r="I121" s="29">
        <v>0.23986390700311877</v>
      </c>
      <c r="J121" s="29">
        <v>0.10487106107533983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3"/>
      <c r="EU121" s="93"/>
      <c r="EV121" s="93"/>
      <c r="EW121" s="93"/>
      <c r="EX121" s="93"/>
      <c r="EY121" s="93"/>
      <c r="EZ121" s="93"/>
      <c r="FA121" s="93"/>
      <c r="FB121" s="93"/>
      <c r="FC121" s="93"/>
      <c r="FD121" s="147"/>
      <c r="FE121" s="147"/>
      <c r="FF121" s="93"/>
      <c r="FG121" s="93"/>
      <c r="FH121" s="93"/>
      <c r="FI121" s="93"/>
      <c r="FJ121" s="93"/>
      <c r="FK121" s="93"/>
      <c r="FL121" s="93"/>
      <c r="FM121" s="5"/>
      <c r="FN121" s="5"/>
      <c r="FO121" s="5"/>
      <c r="FP121" s="29"/>
      <c r="FQ121" s="29"/>
      <c r="FR121" s="29">
        <v>0.10913268236645601</v>
      </c>
      <c r="FS121" s="29"/>
      <c r="FT121" s="29">
        <f>FT87/FT78</f>
        <v>0.28534820196558813</v>
      </c>
      <c r="FU121" s="29"/>
      <c r="FV121" s="29"/>
      <c r="FW121" s="29">
        <f>FW87/FV87-1</f>
        <v>-8.0177200973357454E-2</v>
      </c>
      <c r="FX121" s="29">
        <f>FX87/FW87-1</f>
        <v>2.9914529914529808E-2</v>
      </c>
      <c r="FY121" s="29">
        <f>FY87/FX87-1</f>
        <v>-0.12145162352631234</v>
      </c>
      <c r="FZ121" s="29"/>
      <c r="GA121" s="29"/>
      <c r="GB121" s="29"/>
      <c r="GC121" s="29"/>
      <c r="GD121" s="140"/>
      <c r="GE121" s="140"/>
      <c r="GF121" s="140"/>
      <c r="GG121" s="140"/>
      <c r="GH121" s="140"/>
      <c r="GI121" s="140"/>
      <c r="GJ121" s="137"/>
      <c r="GK121" s="91"/>
      <c r="GL121" s="137"/>
      <c r="GM121" s="137"/>
    </row>
    <row r="122" spans="2:195" x14ac:dyDescent="0.25">
      <c r="B122" s="15" t="s">
        <v>194</v>
      </c>
      <c r="C122" s="74" t="s">
        <v>12</v>
      </c>
      <c r="D122" s="74" t="s">
        <v>12</v>
      </c>
      <c r="E122" s="28">
        <v>0.5</v>
      </c>
      <c r="F122" s="28">
        <v>-0.38461538461538458</v>
      </c>
      <c r="G122" s="74" t="s">
        <v>12</v>
      </c>
      <c r="H122" s="74" t="s">
        <v>12</v>
      </c>
      <c r="I122" s="28" t="s">
        <v>22</v>
      </c>
      <c r="J122" s="28">
        <v>0</v>
      </c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FP122" s="28"/>
      <c r="FQ122" s="28"/>
      <c r="FR122" s="28">
        <v>0.18918918918918926</v>
      </c>
      <c r="FS122" s="28"/>
      <c r="FT122" s="28">
        <v>-0.62790697674418605</v>
      </c>
      <c r="FU122" s="28">
        <v>0</v>
      </c>
      <c r="FV122" s="28">
        <v>0</v>
      </c>
      <c r="FW122" s="28">
        <v>0</v>
      </c>
      <c r="FX122" s="28"/>
      <c r="FY122" s="28"/>
      <c r="FZ122" s="28"/>
      <c r="GA122" s="28"/>
      <c r="GB122" s="28"/>
      <c r="GC122" s="28"/>
      <c r="GD122" s="141"/>
      <c r="GE122" s="141"/>
      <c r="GF122" s="141"/>
      <c r="GG122" s="141"/>
      <c r="GH122" s="141"/>
      <c r="GI122" s="141"/>
    </row>
    <row r="123" spans="2:195" x14ac:dyDescent="0.25">
      <c r="B123" s="15" t="s">
        <v>14</v>
      </c>
      <c r="C123" s="74" t="s">
        <v>12</v>
      </c>
      <c r="D123" s="74" t="s">
        <v>12</v>
      </c>
      <c r="E123" s="28">
        <v>-0.31908831908831914</v>
      </c>
      <c r="F123" s="28">
        <v>-0.64157706093189959</v>
      </c>
      <c r="G123" s="74" t="s">
        <v>12</v>
      </c>
      <c r="H123" s="74" t="s">
        <v>12</v>
      </c>
      <c r="I123" s="28" t="s">
        <v>12</v>
      </c>
      <c r="J123" s="28">
        <v>-0.58432078257659692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FP123" s="28"/>
      <c r="FQ123" s="28"/>
      <c r="FR123" s="28">
        <v>-1.7546366171712531</v>
      </c>
      <c r="FS123" s="28"/>
      <c r="FT123" s="28">
        <v>-0.77084256183093414</v>
      </c>
      <c r="FU123" s="28">
        <v>-0.74361496486317979</v>
      </c>
      <c r="FV123" s="28">
        <v>-2.1573365350255624</v>
      </c>
      <c r="FW123" s="28">
        <v>1.8537461678109746</v>
      </c>
      <c r="FX123" s="28"/>
      <c r="FY123" s="28"/>
      <c r="FZ123" s="28"/>
      <c r="GA123" s="28"/>
      <c r="GB123" s="28"/>
      <c r="GC123" s="28"/>
      <c r="GD123" s="141"/>
      <c r="GE123" s="141"/>
      <c r="GF123" s="141"/>
      <c r="GG123" s="141"/>
      <c r="GH123" s="141"/>
      <c r="GI123" s="141"/>
    </row>
    <row r="124" spans="2:195" x14ac:dyDescent="0.25">
      <c r="B124" s="15" t="s">
        <v>15</v>
      </c>
      <c r="C124" s="74" t="s">
        <v>12</v>
      </c>
      <c r="D124" s="74" t="s">
        <v>12</v>
      </c>
      <c r="E124" s="28">
        <v>0.39407467532467533</v>
      </c>
      <c r="F124" s="28">
        <v>0.18003766478342742</v>
      </c>
      <c r="G124" s="74" t="s">
        <v>12</v>
      </c>
      <c r="H124" s="74" t="s">
        <v>12</v>
      </c>
      <c r="I124" s="28">
        <v>0.32942942942942932</v>
      </c>
      <c r="J124" s="28">
        <v>0.13307229097301021</v>
      </c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FP124" s="28"/>
      <c r="FQ124" s="28"/>
      <c r="FR124" s="28">
        <v>-0.1497862525757121</v>
      </c>
      <c r="FS124" s="28"/>
      <c r="FT124" s="28">
        <v>0.27706643758613492</v>
      </c>
      <c r="FU124" s="28">
        <v>0.2896293957283107</v>
      </c>
      <c r="FV124" s="28">
        <v>0.33935179791748182</v>
      </c>
      <c r="FW124" s="28">
        <v>0.22525526811705765</v>
      </c>
      <c r="FX124" s="28"/>
      <c r="FY124" s="28"/>
      <c r="FZ124" s="28"/>
      <c r="GA124" s="28"/>
      <c r="GB124" s="28"/>
      <c r="GC124" s="28"/>
      <c r="GD124" s="141"/>
      <c r="GE124" s="141"/>
      <c r="GF124" s="141"/>
      <c r="GG124" s="141"/>
      <c r="GH124" s="141"/>
      <c r="GI124" s="141"/>
    </row>
    <row r="125" spans="2:195" x14ac:dyDescent="0.25">
      <c r="B125" s="15" t="s">
        <v>4</v>
      </c>
      <c r="C125" s="74" t="s">
        <v>12</v>
      </c>
      <c r="D125" s="74" t="s">
        <v>12</v>
      </c>
      <c r="E125" s="28">
        <v>0.47708894878706198</v>
      </c>
      <c r="F125" s="28">
        <v>0.25667351129363447</v>
      </c>
      <c r="G125" s="74" t="s">
        <v>12</v>
      </c>
      <c r="H125" s="74" t="s">
        <v>12</v>
      </c>
      <c r="I125" s="28">
        <v>0.69465648854961826</v>
      </c>
      <c r="J125" s="28">
        <v>-0.10639136046998865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FP125" s="28"/>
      <c r="FQ125" s="28"/>
      <c r="FR125" s="28">
        <v>-13.617647058823529</v>
      </c>
      <c r="FS125" s="28"/>
      <c r="FT125" s="28">
        <v>0.75939385108773849</v>
      </c>
      <c r="FU125" s="28">
        <v>0.35668583556657008</v>
      </c>
      <c r="FV125" s="28">
        <v>0.5843113747061166</v>
      </c>
      <c r="FW125" s="28">
        <v>0.29449709369533661</v>
      </c>
      <c r="FX125" s="28"/>
      <c r="FY125" s="28"/>
      <c r="FZ125" s="28"/>
      <c r="GA125" s="28"/>
      <c r="GB125" s="28"/>
      <c r="GC125" s="28"/>
      <c r="GD125" s="141"/>
      <c r="GE125" s="141"/>
      <c r="GF125" s="141"/>
      <c r="GG125" s="141"/>
      <c r="GH125" s="141"/>
      <c r="GI125" s="141"/>
    </row>
    <row r="126" spans="2:195" s="17" customFormat="1" ht="13" x14ac:dyDescent="0.3">
      <c r="B126" s="17" t="s">
        <v>20</v>
      </c>
      <c r="C126" s="74" t="s">
        <v>12</v>
      </c>
      <c r="D126" s="74" t="s">
        <v>12</v>
      </c>
      <c r="E126" s="29">
        <v>0.42595419847328242</v>
      </c>
      <c r="F126" s="29">
        <v>0.14625176803394635</v>
      </c>
      <c r="G126" s="74" t="s">
        <v>12</v>
      </c>
      <c r="H126" s="74" t="s">
        <v>12</v>
      </c>
      <c r="I126" s="29">
        <v>0.26964560862865938</v>
      </c>
      <c r="J126" s="29">
        <v>0.14267721422019086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93"/>
      <c r="EH126" s="93"/>
      <c r="EI126" s="93"/>
      <c r="EJ126" s="93"/>
      <c r="EK126" s="93"/>
      <c r="EL126" s="93"/>
      <c r="EM126" s="93"/>
      <c r="EN126" s="93"/>
      <c r="EO126" s="93"/>
      <c r="EP126" s="93"/>
      <c r="EQ126" s="93"/>
      <c r="ER126" s="93"/>
      <c r="ES126" s="93"/>
      <c r="ET126" s="93"/>
      <c r="EU126" s="93"/>
      <c r="EV126" s="93"/>
      <c r="EW126" s="93"/>
      <c r="EX126" s="93"/>
      <c r="EY126" s="93"/>
      <c r="EZ126" s="93"/>
      <c r="FA126" s="93"/>
      <c r="FB126" s="93"/>
      <c r="FC126" s="93"/>
      <c r="FD126" s="147"/>
      <c r="FE126" s="147"/>
      <c r="FF126" s="93"/>
      <c r="FG126" s="93"/>
      <c r="FH126" s="93"/>
      <c r="FI126" s="93"/>
      <c r="FJ126" s="93"/>
      <c r="FK126" s="93"/>
      <c r="FL126" s="93"/>
      <c r="FM126" s="5"/>
      <c r="FN126" s="5"/>
      <c r="FO126" s="5"/>
      <c r="FP126" s="29"/>
      <c r="FQ126" s="29"/>
      <c r="FR126" s="29">
        <v>-0.23651950669819721</v>
      </c>
      <c r="FS126" s="29"/>
      <c r="FT126" s="29">
        <v>0.20618920887528391</v>
      </c>
      <c r="FU126" s="29">
        <v>0.23617416138624936</v>
      </c>
      <c r="FV126" s="29">
        <v>0.27283796353628231</v>
      </c>
      <c r="FW126" s="29">
        <v>0.19103888723838436</v>
      </c>
      <c r="FX126" s="29"/>
      <c r="FY126" s="29"/>
      <c r="FZ126" s="29"/>
      <c r="GA126" s="29"/>
      <c r="GB126" s="29"/>
      <c r="GC126" s="29"/>
      <c r="GD126" s="140"/>
      <c r="GE126" s="140"/>
      <c r="GF126" s="140"/>
      <c r="GG126" s="140"/>
      <c r="GH126" s="140"/>
      <c r="GI126" s="140"/>
      <c r="GJ126" s="137"/>
      <c r="GK126" s="91"/>
      <c r="GL126" s="137"/>
      <c r="GM126" s="137"/>
    </row>
    <row r="127" spans="2:195" x14ac:dyDescent="0.25">
      <c r="B127" s="15" t="s">
        <v>16</v>
      </c>
      <c r="C127" s="74" t="s">
        <v>12</v>
      </c>
      <c r="D127" s="74" t="s">
        <v>12</v>
      </c>
      <c r="E127" s="28">
        <v>0.95570934256055362</v>
      </c>
      <c r="F127" s="28">
        <v>-7.1209330877839205E-2</v>
      </c>
      <c r="G127" s="74" t="s">
        <v>12</v>
      </c>
      <c r="H127" s="74" t="s">
        <v>12</v>
      </c>
      <c r="I127" s="28">
        <v>2.8687017285766725E-2</v>
      </c>
      <c r="J127" s="28">
        <v>0.15407772178764811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FP127" s="28"/>
      <c r="FQ127" s="28"/>
      <c r="FR127" s="28">
        <v>-3.9229948572900177</v>
      </c>
      <c r="FS127" s="28"/>
      <c r="FT127" s="28">
        <v>0.25816885401752154</v>
      </c>
      <c r="FU127" s="28">
        <v>0.22355666613924408</v>
      </c>
      <c r="FV127" s="28">
        <v>0.27306999762332884</v>
      </c>
      <c r="FW127" s="28">
        <v>0.19116650657623802</v>
      </c>
      <c r="FX127" s="28"/>
      <c r="FY127" s="28"/>
      <c r="FZ127" s="28"/>
      <c r="GA127" s="28"/>
      <c r="GB127" s="28"/>
      <c r="GC127" s="28"/>
      <c r="GD127" s="141"/>
      <c r="GE127" s="141"/>
      <c r="GF127" s="141"/>
      <c r="GG127" s="141"/>
      <c r="GH127" s="141"/>
      <c r="GI127" s="141"/>
    </row>
    <row r="128" spans="2:195" s="17" customFormat="1" ht="13" x14ac:dyDescent="0.3">
      <c r="B128" s="17" t="s">
        <v>21</v>
      </c>
      <c r="C128" s="74" t="s">
        <v>12</v>
      </c>
      <c r="D128" s="74" t="s">
        <v>12</v>
      </c>
      <c r="E128" s="29">
        <v>0.43022323214667901</v>
      </c>
      <c r="F128" s="29">
        <v>0.14014903871339501</v>
      </c>
      <c r="G128" s="74" t="s">
        <v>12</v>
      </c>
      <c r="H128" s="74" t="s">
        <v>12</v>
      </c>
      <c r="I128" s="29">
        <v>0.27343782401471151</v>
      </c>
      <c r="J128" s="29">
        <v>0.14267721422019086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93"/>
      <c r="EH128" s="93"/>
      <c r="EI128" s="93"/>
      <c r="EJ128" s="93"/>
      <c r="EK128" s="93"/>
      <c r="EL128" s="93"/>
      <c r="EM128" s="93"/>
      <c r="EN128" s="93"/>
      <c r="EO128" s="93"/>
      <c r="EP128" s="93"/>
      <c r="EQ128" s="93"/>
      <c r="ER128" s="93"/>
      <c r="ES128" s="93"/>
      <c r="ET128" s="93"/>
      <c r="EU128" s="93"/>
      <c r="EV128" s="93"/>
      <c r="EW128" s="93"/>
      <c r="EX128" s="93"/>
      <c r="EY128" s="93"/>
      <c r="EZ128" s="93"/>
      <c r="FA128" s="93"/>
      <c r="FB128" s="93"/>
      <c r="FC128" s="93"/>
      <c r="FD128" s="147"/>
      <c r="FE128" s="147"/>
      <c r="FF128" s="93"/>
      <c r="FG128" s="93"/>
      <c r="FH128" s="93"/>
      <c r="FI128" s="93"/>
      <c r="FJ128" s="93"/>
      <c r="FK128" s="93"/>
      <c r="FL128" s="93"/>
      <c r="FM128" s="5"/>
      <c r="FN128" s="5"/>
      <c r="FO128" s="5"/>
      <c r="FP128" s="29"/>
      <c r="FQ128" s="29"/>
      <c r="FR128" s="29">
        <v>-0.25468420970839167</v>
      </c>
      <c r="FS128" s="29"/>
      <c r="FT128" s="29">
        <v>0.20838607586445579</v>
      </c>
      <c r="FU128" s="29">
        <v>0.23617416138624936</v>
      </c>
      <c r="FV128" s="29">
        <v>0.27283796353628231</v>
      </c>
      <c r="FW128" s="29">
        <f>FW95/FV95-1</f>
        <v>-0.13535960417034809</v>
      </c>
      <c r="FX128" s="29">
        <f>FX95/FW95-1</f>
        <v>1.3590844062947083E-2</v>
      </c>
      <c r="FY128" s="29">
        <f>FY95/FX95-1</f>
        <v>-0.14114326040931557</v>
      </c>
      <c r="FZ128" s="29"/>
      <c r="GA128" s="29"/>
      <c r="GB128" s="29"/>
      <c r="GC128" s="29"/>
      <c r="GD128" s="140"/>
      <c r="GE128" s="140"/>
      <c r="GF128" s="140"/>
      <c r="GG128" s="140"/>
      <c r="GH128" s="140"/>
      <c r="GI128" s="140"/>
      <c r="GJ128" s="137"/>
      <c r="GK128" s="91"/>
      <c r="GL128" s="137"/>
      <c r="GM128" s="137"/>
    </row>
    <row r="129" spans="2:195" x14ac:dyDescent="0.25">
      <c r="B129" s="15" t="s">
        <v>42</v>
      </c>
      <c r="C129" s="74" t="s">
        <v>12</v>
      </c>
      <c r="D129" s="74" t="s">
        <v>12</v>
      </c>
      <c r="E129" s="28"/>
      <c r="F129" s="28"/>
      <c r="G129" s="74" t="s">
        <v>12</v>
      </c>
      <c r="H129" s="74" t="s">
        <v>12</v>
      </c>
      <c r="I129" s="28">
        <v>0.30643115658155562</v>
      </c>
      <c r="J129" s="28">
        <v>0.17124789823043063</v>
      </c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FP129" s="28"/>
      <c r="FQ129" s="28"/>
      <c r="FR129" s="28"/>
      <c r="FS129" s="28"/>
      <c r="FT129" s="28">
        <v>0.24010160092268173</v>
      </c>
      <c r="FU129" s="28">
        <v>0.22959823690009884</v>
      </c>
      <c r="FV129" s="28">
        <v>0.26006430673578218</v>
      </c>
      <c r="FW129" s="28">
        <v>0.18389813893782847</v>
      </c>
      <c r="FX129" s="28"/>
      <c r="FY129" s="28"/>
      <c r="FZ129" s="28"/>
      <c r="GA129" s="28"/>
      <c r="GB129" s="28"/>
      <c r="GC129" s="28"/>
      <c r="GD129" s="141"/>
      <c r="GE129" s="141"/>
      <c r="GF129" s="141"/>
      <c r="GG129" s="141"/>
      <c r="GH129" s="141"/>
      <c r="GI129" s="141"/>
    </row>
    <row r="130" spans="2:195" x14ac:dyDescent="0.25">
      <c r="B130" s="15" t="s">
        <v>17</v>
      </c>
      <c r="C130" s="74" t="s">
        <v>12</v>
      </c>
      <c r="D130" s="74" t="s">
        <v>12</v>
      </c>
      <c r="E130" s="28">
        <v>0.94492985420368969</v>
      </c>
      <c r="F130" s="28">
        <v>-8.0257132892308958E-2</v>
      </c>
      <c r="G130" s="74" t="s">
        <v>12</v>
      </c>
      <c r="H130" s="74" t="s">
        <v>12</v>
      </c>
      <c r="I130" s="28">
        <v>2.6696798876403083E-2</v>
      </c>
      <c r="J130" s="28">
        <v>0.15339148720865947</v>
      </c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FP130" s="28"/>
      <c r="FQ130" s="28"/>
      <c r="FR130" s="28">
        <v>-3.885011675710488</v>
      </c>
      <c r="FS130" s="28"/>
      <c r="FT130" s="28">
        <v>0.25609102568827624</v>
      </c>
      <c r="FU130" s="28">
        <v>0.22332428171071594</v>
      </c>
      <c r="FV130" s="28">
        <v>0.27283796353628231</v>
      </c>
      <c r="FW130" s="28">
        <v>0.19103888723838436</v>
      </c>
      <c r="FX130" s="28"/>
      <c r="FY130" s="28"/>
      <c r="FZ130" s="28"/>
      <c r="GA130" s="28"/>
      <c r="GB130" s="28"/>
      <c r="GC130" s="28"/>
      <c r="GD130" s="141"/>
      <c r="GE130" s="141"/>
      <c r="GF130" s="141"/>
      <c r="GG130" s="141"/>
      <c r="GH130" s="141"/>
      <c r="GI130" s="141"/>
    </row>
    <row r="131" spans="2:195" x14ac:dyDescent="0.25">
      <c r="C131" s="44"/>
      <c r="D131" s="44"/>
      <c r="E131" s="44"/>
      <c r="F131" s="44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</row>
    <row r="132" spans="2:195" x14ac:dyDescent="0.25">
      <c r="B132" s="3" t="s">
        <v>471</v>
      </c>
      <c r="E132" s="44"/>
      <c r="F132" s="44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</row>
    <row r="133" spans="2:195" s="26" customFormat="1" ht="13" x14ac:dyDescent="0.3">
      <c r="B133" s="17" t="s">
        <v>138</v>
      </c>
      <c r="C133" s="24"/>
      <c r="D133" s="24"/>
      <c r="E133" s="24"/>
      <c r="F133" s="24"/>
      <c r="G133" s="24"/>
      <c r="H133" s="24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48"/>
      <c r="BT133" s="48"/>
      <c r="BU133" s="48"/>
      <c r="BV133" s="48"/>
      <c r="BW133" s="48"/>
      <c r="BX133" s="79">
        <f>BX21/BT21-1</f>
        <v>0.18797953964194369</v>
      </c>
      <c r="BY133" s="79">
        <f>BY21/BU21-1</f>
        <v>0.20546318289786214</v>
      </c>
      <c r="BZ133" s="79">
        <f>BZ21/BV21-1</f>
        <v>0.20113636363636367</v>
      </c>
      <c r="CA133" s="79">
        <f>CA21/BW21-1</f>
        <v>0.31922196796338675</v>
      </c>
      <c r="CB133" s="79">
        <f>CB21/BX21-1</f>
        <v>0.23358449946178683</v>
      </c>
      <c r="CC133" s="79">
        <f>CC21/BY21-1</f>
        <v>0.18423645320197046</v>
      </c>
      <c r="CD133" s="79">
        <f>CD21/BZ21-1</f>
        <v>0.11352885525070966</v>
      </c>
      <c r="CE133" s="79">
        <f>CE21/CA21-1</f>
        <v>0.1396357328707718</v>
      </c>
      <c r="CF133" s="79">
        <f>CF21/CB21-1</f>
        <v>0.14223385689354284</v>
      </c>
      <c r="CG133" s="79">
        <f>CG21/CC21-1</f>
        <v>0.16056572379367728</v>
      </c>
      <c r="CH133" s="79">
        <f>CH21/CD21-1</f>
        <v>0.1724723874256584</v>
      </c>
      <c r="CI133" s="79">
        <f>CI21/CE21-1</f>
        <v>8.9802130898021248E-2</v>
      </c>
      <c r="CJ133" s="79">
        <f>CJ21/CF21-1</f>
        <v>7.4866310160427885E-2</v>
      </c>
      <c r="CK133" s="79">
        <f>CK21/CG21-1</f>
        <v>4.6594982078853153E-2</v>
      </c>
      <c r="CL133" s="79">
        <f>CL21/CH21-1</f>
        <v>6.6666666666666652E-2</v>
      </c>
      <c r="CM133" s="79">
        <f>CM21/CI21-1</f>
        <v>0.1061452513966481</v>
      </c>
      <c r="CN133" s="79">
        <f>CN21/CJ21-1</f>
        <v>5.2594171997156991E-2</v>
      </c>
      <c r="CO133" s="79">
        <f>CO21/CK21-1</f>
        <v>0.10753424657534238</v>
      </c>
      <c r="CP133" s="79">
        <f>CP21/CL21-1</f>
        <v>2.4456521739130377E-2</v>
      </c>
      <c r="CQ133" s="79">
        <f>CQ21/CM21-1</f>
        <v>-6.5025252525252486E-2</v>
      </c>
      <c r="CR133" s="79">
        <f>CR21/CN21-1</f>
        <v>8.4402430790006644E-2</v>
      </c>
      <c r="CS133" s="79">
        <f>CS21/CO21-1</f>
        <v>4.8237476808905333E-2</v>
      </c>
      <c r="CT133" s="79">
        <f>CT21/CP21-1</f>
        <v>7.9575596816976457E-3</v>
      </c>
      <c r="CU133" s="79">
        <f>CU21/CQ21-1</f>
        <v>3.6461850101283E-2</v>
      </c>
      <c r="CV133" s="79">
        <f>CV21/CR21-1</f>
        <v>-3.1133250311332517E-2</v>
      </c>
      <c r="CW133" s="79">
        <f>CW21/CS21-1</f>
        <v>-0.11504424778761058</v>
      </c>
      <c r="CX133" s="79">
        <f>CX21/CT21-1</f>
        <v>-0.10460526315789476</v>
      </c>
      <c r="CY133" s="79">
        <f>CY21/CU21-1</f>
        <v>3.4527687296416865E-2</v>
      </c>
      <c r="CZ133" s="79"/>
      <c r="DA133" s="79"/>
      <c r="DB133" s="79"/>
      <c r="DC133" s="79"/>
      <c r="DD133" s="79"/>
      <c r="DE133" s="79"/>
      <c r="DF133" s="79"/>
      <c r="DG133" s="79"/>
      <c r="DH133" s="79"/>
      <c r="DI133" s="79"/>
      <c r="DJ133" s="79"/>
      <c r="DK133" s="79"/>
      <c r="DL133" s="79"/>
      <c r="DM133" s="79"/>
      <c r="DN133" s="79"/>
      <c r="DO133" s="79"/>
      <c r="DP133" s="79"/>
      <c r="DQ133" s="79"/>
      <c r="DR133" s="79"/>
      <c r="DS133" s="79"/>
      <c r="DT133" s="79"/>
      <c r="DU133" s="79"/>
      <c r="DV133" s="79"/>
      <c r="DW133" s="79"/>
      <c r="DX133" s="79"/>
      <c r="DY133" s="79"/>
      <c r="DZ133" s="79"/>
      <c r="EA133" s="79"/>
      <c r="EB133" s="79"/>
      <c r="EC133" s="79"/>
      <c r="ED133" s="79"/>
      <c r="EE133" s="79"/>
      <c r="EF133" s="79"/>
      <c r="EG133" s="79"/>
      <c r="EH133" s="79"/>
      <c r="EI133" s="79"/>
      <c r="EJ133" s="79"/>
      <c r="EK133" s="79"/>
      <c r="EL133" s="79"/>
      <c r="EM133" s="79"/>
      <c r="EN133" s="79"/>
      <c r="EO133" s="79"/>
      <c r="EP133" s="79"/>
      <c r="EQ133" s="79"/>
      <c r="ER133" s="79"/>
      <c r="ES133" s="79"/>
      <c r="ET133" s="79"/>
      <c r="EU133" s="79"/>
      <c r="EV133" s="79"/>
      <c r="EW133" s="79"/>
      <c r="EX133" s="79"/>
      <c r="EY133" s="79"/>
      <c r="EZ133" s="79"/>
      <c r="FA133" s="79"/>
      <c r="FB133" s="79"/>
      <c r="FC133" s="79"/>
      <c r="FD133" s="142"/>
      <c r="FE133" s="142"/>
      <c r="FF133" s="79"/>
      <c r="FG133" s="79"/>
      <c r="FH133" s="79"/>
      <c r="FI133" s="79"/>
      <c r="FJ133" s="79"/>
      <c r="FK133" s="79"/>
      <c r="FL133" s="79"/>
      <c r="FM133" s="17"/>
      <c r="FN133" s="17"/>
      <c r="FO133" s="17"/>
      <c r="FP133" s="47"/>
      <c r="FQ133" s="47"/>
      <c r="FR133" s="47"/>
      <c r="FS133" s="47"/>
      <c r="FT133" s="47"/>
      <c r="FU133" s="47"/>
      <c r="FV133" s="47"/>
      <c r="FW133" s="47"/>
      <c r="FX133" s="47"/>
      <c r="FY133" s="47"/>
      <c r="FZ133" s="47"/>
      <c r="GA133" s="47"/>
      <c r="GB133" s="47"/>
      <c r="GC133" s="47"/>
      <c r="GD133" s="145"/>
      <c r="GE133" s="145"/>
      <c r="GF133" s="145"/>
      <c r="GG133" s="145"/>
      <c r="GH133" s="145"/>
      <c r="GI133" s="145"/>
      <c r="GJ133" s="64"/>
      <c r="GK133" s="40"/>
      <c r="GL133" s="64"/>
      <c r="GM133" s="64"/>
    </row>
    <row r="134" spans="2:195" s="26" customFormat="1" ht="13" x14ac:dyDescent="0.3">
      <c r="B134" s="17" t="s">
        <v>24</v>
      </c>
      <c r="C134" s="24"/>
      <c r="D134" s="24"/>
      <c r="E134" s="24"/>
      <c r="F134" s="24"/>
      <c r="G134" s="24"/>
      <c r="H134" s="24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48"/>
      <c r="BT134" s="48"/>
      <c r="BU134" s="48"/>
      <c r="BV134" s="48"/>
      <c r="BW134" s="48"/>
      <c r="BX134" s="79">
        <f>BX23/BT23-1</f>
        <v>0.19207317073170738</v>
      </c>
      <c r="BY134" s="79">
        <f>BY23/BU23-1</f>
        <v>0.2921348314606742</v>
      </c>
      <c r="BZ134" s="79">
        <f>BZ23/BV23-1</f>
        <v>0.58445040214477206</v>
      </c>
      <c r="CA134" s="79">
        <f>CA23/BW23-1</f>
        <v>0.86387535984716535</v>
      </c>
      <c r="CB134" s="79">
        <f>CB23/BX23-1</f>
        <v>1.2020460358056266</v>
      </c>
      <c r="CC134" s="79">
        <f>CC23/BY23-1</f>
        <v>1.0695652173913044</v>
      </c>
      <c r="CD134" s="79">
        <f>CD23/BZ23-1</f>
        <v>0.7072758037225042</v>
      </c>
      <c r="CE134" s="79">
        <f>CE23/CA23-1</f>
        <v>0.56960227272727271</v>
      </c>
      <c r="CF134" s="79">
        <f>CF23/CB23-1</f>
        <v>0.35656213704994189</v>
      </c>
      <c r="CG134" s="79">
        <f>CG23/CC23-1</f>
        <v>0.27521008403361336</v>
      </c>
      <c r="CH134" s="79">
        <f>CH23/CD23-1</f>
        <v>0.19821605550049548</v>
      </c>
      <c r="CI134" s="79">
        <f>CI23/CE23-1</f>
        <v>0.14117647058823524</v>
      </c>
      <c r="CJ134" s="79">
        <f>CJ23/CF23-1</f>
        <v>4.8801369863013644E-2</v>
      </c>
      <c r="CK134" s="79">
        <f>CK23/CG23-1</f>
        <v>2.883031301482708E-2</v>
      </c>
      <c r="CL134" s="79">
        <f>CL23/CH23-1</f>
        <v>7.1133167907361461E-2</v>
      </c>
      <c r="CM134" s="79">
        <f>CM23/CI23-1</f>
        <v>4.9167327517843029E-2</v>
      </c>
      <c r="CN134" s="79">
        <f>CN23/CJ23-1</f>
        <v>6.6938775510203996E-2</v>
      </c>
      <c r="CO134" s="79">
        <f>CO23/CK23-1</f>
        <v>7.125700560448367E-2</v>
      </c>
      <c r="CP134" s="79">
        <f>CP23/CL23-1</f>
        <v>2.4710424710424617E-2</v>
      </c>
      <c r="CQ134" s="79">
        <f>CQ23/CM23-1</f>
        <v>-2.1919879062736181E-2</v>
      </c>
      <c r="CR134" s="79">
        <f>CR23/CN23-1</f>
        <v>8.4162203519510426E-2</v>
      </c>
      <c r="CS134" s="79">
        <f>CS23/CO23-1</f>
        <v>3.811659192825112E-2</v>
      </c>
      <c r="CT134" s="79">
        <f>CT23/CP23-1</f>
        <v>2.2607385079125741E-2</v>
      </c>
      <c r="CU134" s="79">
        <f>CU23/CQ23-1</f>
        <v>-2.1638330757341562E-2</v>
      </c>
      <c r="CV134" s="79">
        <f>CV23/CR23-1</f>
        <v>-2.1877205363443841E-2</v>
      </c>
      <c r="CW134" s="79">
        <f>CW23/CS23-1</f>
        <v>-4.2476601871850206E-2</v>
      </c>
      <c r="CX134" s="79">
        <f>CX23/CT23-1</f>
        <v>-0.12380250552689753</v>
      </c>
      <c r="CY134" s="79">
        <f>CY23/CU23-1</f>
        <v>6.4770932069510234E-2</v>
      </c>
      <c r="CZ134" s="79"/>
      <c r="DA134" s="79"/>
      <c r="DB134" s="79"/>
      <c r="DC134" s="79"/>
      <c r="DD134" s="79"/>
      <c r="DE134" s="79"/>
      <c r="DF134" s="79"/>
      <c r="DG134" s="79"/>
      <c r="DH134" s="79"/>
      <c r="DI134" s="79"/>
      <c r="DJ134" s="79"/>
      <c r="DK134" s="79"/>
      <c r="DL134" s="79"/>
      <c r="DM134" s="79"/>
      <c r="DN134" s="79"/>
      <c r="DO134" s="79"/>
      <c r="DP134" s="79"/>
      <c r="DQ134" s="79"/>
      <c r="DR134" s="79"/>
      <c r="DS134" s="79"/>
      <c r="DT134" s="79"/>
      <c r="DU134" s="79"/>
      <c r="DV134" s="79"/>
      <c r="DW134" s="79"/>
      <c r="DX134" s="79"/>
      <c r="DY134" s="79"/>
      <c r="DZ134" s="79"/>
      <c r="EA134" s="79"/>
      <c r="EB134" s="79"/>
      <c r="EC134" s="79"/>
      <c r="ED134" s="79"/>
      <c r="EE134" s="79"/>
      <c r="EF134" s="79"/>
      <c r="EG134" s="79"/>
      <c r="EH134" s="79"/>
      <c r="EI134" s="79"/>
      <c r="EJ134" s="79"/>
      <c r="EK134" s="79"/>
      <c r="EL134" s="79"/>
      <c r="EM134" s="79"/>
      <c r="EN134" s="79"/>
      <c r="EO134" s="79"/>
      <c r="EP134" s="79"/>
      <c r="EQ134" s="79"/>
      <c r="ER134" s="79"/>
      <c r="ES134" s="79"/>
      <c r="ET134" s="79"/>
      <c r="EU134" s="79"/>
      <c r="EV134" s="79"/>
      <c r="EW134" s="79"/>
      <c r="EX134" s="79"/>
      <c r="EY134" s="79"/>
      <c r="EZ134" s="79"/>
      <c r="FA134" s="79"/>
      <c r="FB134" s="79"/>
      <c r="FC134" s="79"/>
      <c r="FD134" s="142"/>
      <c r="FE134" s="142"/>
      <c r="FF134" s="79"/>
      <c r="FG134" s="79"/>
      <c r="FH134" s="79"/>
      <c r="FI134" s="79"/>
      <c r="FJ134" s="79"/>
      <c r="FK134" s="79"/>
      <c r="FL134" s="79"/>
      <c r="FM134" s="17"/>
      <c r="FN134" s="17"/>
      <c r="FO134" s="17"/>
      <c r="FP134" s="47"/>
      <c r="FQ134" s="47"/>
      <c r="FR134" s="47"/>
      <c r="FS134" s="47"/>
      <c r="FT134" s="47"/>
      <c r="FU134" s="47"/>
      <c r="FV134" s="47"/>
      <c r="FW134" s="47"/>
      <c r="FX134" s="47"/>
      <c r="FY134" s="47"/>
      <c r="FZ134" s="47"/>
      <c r="GA134" s="47"/>
      <c r="GB134" s="47"/>
      <c r="GC134" s="47"/>
      <c r="GD134" s="145"/>
      <c r="GE134" s="145"/>
      <c r="GF134" s="145"/>
      <c r="GG134" s="145"/>
      <c r="GH134" s="145"/>
      <c r="GI134" s="145"/>
      <c r="GJ134" s="64"/>
      <c r="GK134" s="40"/>
      <c r="GL134" s="64"/>
      <c r="GM134" s="64"/>
    </row>
    <row r="135" spans="2:195" s="26" customFormat="1" ht="13" x14ac:dyDescent="0.3">
      <c r="B135" s="17" t="s">
        <v>23</v>
      </c>
      <c r="C135" s="24"/>
      <c r="D135" s="24"/>
      <c r="E135" s="24"/>
      <c r="F135" s="24"/>
      <c r="G135" s="24"/>
      <c r="H135" s="24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48"/>
      <c r="BT135" s="48"/>
      <c r="BU135" s="48"/>
      <c r="BV135" s="48"/>
      <c r="BW135" s="48"/>
      <c r="BX135" s="79">
        <f>BX24/BT24-1</f>
        <v>4.416666666666667</v>
      </c>
      <c r="BY135" s="79">
        <f>BY24/BU24-1</f>
        <v>1.0532544378698225</v>
      </c>
      <c r="BZ135" s="79">
        <f>BZ24/BV24-1</f>
        <v>1.0680851063829788</v>
      </c>
      <c r="CA135" s="79">
        <f>CA24/BW24-1</f>
        <v>1.403361344537815</v>
      </c>
      <c r="CB135" s="79">
        <f>CB24/BX24-1</f>
        <v>1.6</v>
      </c>
      <c r="CC135" s="79">
        <f>CC24/BY24-1</f>
        <v>1.0547550432276656</v>
      </c>
      <c r="CD135" s="79">
        <f>CD24/BZ24-1</f>
        <v>0.52469135802469147</v>
      </c>
      <c r="CE135" s="79">
        <f>CE24/CA24-1</f>
        <v>0.45454545454545459</v>
      </c>
      <c r="CF135" s="79">
        <f>CF24/CB24-1</f>
        <v>0.36538461538461542</v>
      </c>
      <c r="CG135" s="79">
        <f>CG24/CC24-1</f>
        <v>0.38288920056100983</v>
      </c>
      <c r="CH135" s="79">
        <f>CH24/CD24-1</f>
        <v>0.4331983805668016</v>
      </c>
      <c r="CI135" s="79">
        <f>CI24/CE24-1</f>
        <v>0.36418269230769229</v>
      </c>
      <c r="CJ135" s="79">
        <f>CJ24/CF24-1</f>
        <v>0.22535211267605626</v>
      </c>
      <c r="CK135" s="79">
        <f>CK24/CG24-1</f>
        <v>0.23732251521298164</v>
      </c>
      <c r="CL135" s="79">
        <f>CL24/CH24-1</f>
        <v>0.27212806026365355</v>
      </c>
      <c r="CM135" s="79">
        <f>CM24/CI24-1</f>
        <v>0.32599118942731287</v>
      </c>
      <c r="CN135" s="79">
        <f>CN24/CJ24-1</f>
        <v>0.31299734748010599</v>
      </c>
      <c r="CO135" s="79">
        <f>CO24/CK24-1</f>
        <v>0.31557377049180335</v>
      </c>
      <c r="CP135" s="79">
        <f>CP24/CL24-1</f>
        <v>0.17986676535899337</v>
      </c>
      <c r="CQ135" s="79">
        <f>CQ24/CM24-1</f>
        <v>2.1926910299003399E-2</v>
      </c>
      <c r="CR135" s="79">
        <f>CR24/CN24-1</f>
        <v>0.12188552188552193</v>
      </c>
      <c r="CS135" s="79">
        <f>CS24/CO24-1</f>
        <v>7.6012461059190128E-2</v>
      </c>
      <c r="CT135" s="79">
        <f>CT24/CP24-1</f>
        <v>8.7829360100375453E-3</v>
      </c>
      <c r="CU135" s="79">
        <f>CU24/CQ24-1</f>
        <v>-5.0715214564369338E-2</v>
      </c>
      <c r="CV135" s="79">
        <f>CV24/CR24-1</f>
        <v>-0.1494597839135654</v>
      </c>
      <c r="CW135" s="79">
        <f>CW24/CS24-1</f>
        <v>-0.2420382165605095</v>
      </c>
      <c r="CX135" s="79">
        <f>CX24/CT24-1</f>
        <v>-0.24378109452736318</v>
      </c>
      <c r="CY135" s="79">
        <f>CY24/CU24-1</f>
        <v>-7.5342465753424626E-2</v>
      </c>
      <c r="CZ135" s="79"/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79"/>
      <c r="DL135" s="79"/>
      <c r="DM135" s="79"/>
      <c r="DN135" s="79"/>
      <c r="DO135" s="79"/>
      <c r="DP135" s="79"/>
      <c r="DQ135" s="79"/>
      <c r="DR135" s="79"/>
      <c r="DS135" s="79"/>
      <c r="DT135" s="79"/>
      <c r="DU135" s="79"/>
      <c r="DV135" s="79"/>
      <c r="DW135" s="79"/>
      <c r="DX135" s="79"/>
      <c r="DY135" s="79"/>
      <c r="DZ135" s="79"/>
      <c r="EA135" s="79"/>
      <c r="EB135" s="79"/>
      <c r="EC135" s="79"/>
      <c r="ED135" s="79"/>
      <c r="EE135" s="79"/>
      <c r="EF135" s="79"/>
      <c r="EG135" s="79"/>
      <c r="EH135" s="79"/>
      <c r="EI135" s="79"/>
      <c r="EJ135" s="79"/>
      <c r="EK135" s="79"/>
      <c r="EL135" s="79"/>
      <c r="EM135" s="79"/>
      <c r="EN135" s="79"/>
      <c r="EO135" s="79"/>
      <c r="EP135" s="79"/>
      <c r="EQ135" s="79"/>
      <c r="ER135" s="79"/>
      <c r="ES135" s="79"/>
      <c r="ET135" s="79"/>
      <c r="EU135" s="79"/>
      <c r="EV135" s="79"/>
      <c r="EW135" s="79"/>
      <c r="EX135" s="79"/>
      <c r="EY135" s="79"/>
      <c r="EZ135" s="79"/>
      <c r="FA135" s="79"/>
      <c r="FB135" s="79"/>
      <c r="FC135" s="79"/>
      <c r="FD135" s="142"/>
      <c r="FE135" s="142"/>
      <c r="FF135" s="79"/>
      <c r="FG135" s="79"/>
      <c r="FH135" s="79"/>
      <c r="FI135" s="79"/>
      <c r="FJ135" s="79"/>
      <c r="FK135" s="79"/>
      <c r="FL135" s="79"/>
      <c r="FM135" s="17"/>
      <c r="FN135" s="17"/>
      <c r="FO135" s="17"/>
      <c r="FP135" s="47"/>
      <c r="FQ135" s="47"/>
      <c r="FR135" s="47"/>
      <c r="FS135" s="47"/>
      <c r="FT135" s="47"/>
      <c r="FU135" s="47"/>
      <c r="FV135" s="47"/>
      <c r="FW135" s="47"/>
      <c r="FX135" s="47"/>
      <c r="FY135" s="47"/>
      <c r="FZ135" s="47"/>
      <c r="GA135" s="47"/>
      <c r="GB135" s="47"/>
      <c r="GC135" s="47"/>
      <c r="GD135" s="145"/>
      <c r="GE135" s="145"/>
      <c r="GF135" s="145"/>
      <c r="GG135" s="145"/>
      <c r="GH135" s="145"/>
      <c r="GI135" s="145"/>
      <c r="GJ135" s="64"/>
      <c r="GK135" s="40"/>
      <c r="GL135" s="64"/>
      <c r="GM135" s="64"/>
    </row>
    <row r="136" spans="2:195" s="26" customFormat="1" ht="13" x14ac:dyDescent="0.3">
      <c r="B136" s="15" t="s">
        <v>139</v>
      </c>
      <c r="C136" s="23"/>
      <c r="D136" s="23"/>
      <c r="E136" s="23"/>
      <c r="F136" s="23"/>
      <c r="G136" s="23"/>
      <c r="H136" s="23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93"/>
      <c r="BT136" s="93"/>
      <c r="BU136" s="93"/>
      <c r="BV136" s="93"/>
      <c r="BW136" s="93"/>
      <c r="BX136" s="94">
        <f t="shared" ref="BX136:CR136" si="125">BX44/BT44-1</f>
        <v>5.5214723926380271E-2</v>
      </c>
      <c r="BY136" s="94">
        <f t="shared" si="125"/>
        <v>7.344632768361592E-2</v>
      </c>
      <c r="BZ136" s="94">
        <f t="shared" si="125"/>
        <v>6.8181818181818121E-2</v>
      </c>
      <c r="CA136" s="94">
        <f t="shared" si="125"/>
        <v>0.12734082397003754</v>
      </c>
      <c r="CB136" s="94">
        <f t="shared" si="125"/>
        <v>3.6821705426356655E-2</v>
      </c>
      <c r="CC136" s="94">
        <f t="shared" si="125"/>
        <v>-8.7719298245614308E-3</v>
      </c>
      <c r="CD136" s="94">
        <f t="shared" si="125"/>
        <v>-5.1418439716312103E-2</v>
      </c>
      <c r="CE136" s="94">
        <f t="shared" si="125"/>
        <v>-1.6611295681063121E-2</v>
      </c>
      <c r="CF136" s="94">
        <f t="shared" si="125"/>
        <v>-2.4299065420560706E-2</v>
      </c>
      <c r="CG136" s="94">
        <f t="shared" si="125"/>
        <v>-3.7168141592920367E-2</v>
      </c>
      <c r="CH136" s="94">
        <f t="shared" si="125"/>
        <v>-3.1775700934579487E-2</v>
      </c>
      <c r="CI136" s="94">
        <f t="shared" si="125"/>
        <v>-0.13851351351351349</v>
      </c>
      <c r="CJ136" s="94">
        <f t="shared" si="125"/>
        <v>-0.15325670498084287</v>
      </c>
      <c r="CK136" s="94">
        <f t="shared" si="125"/>
        <v>-0.17279411764705888</v>
      </c>
      <c r="CL136" s="94">
        <f t="shared" si="125"/>
        <v>-0.17567567567567566</v>
      </c>
      <c r="CM136" s="94">
        <f t="shared" si="125"/>
        <v>-0.10784313725490191</v>
      </c>
      <c r="CN136" s="94">
        <f t="shared" si="125"/>
        <v>-0.14479638009049778</v>
      </c>
      <c r="CO136" s="94">
        <f t="shared" si="125"/>
        <v>-8.666666666666667E-2</v>
      </c>
      <c r="CP136" s="94">
        <f t="shared" si="125"/>
        <v>-8.4309133489461341E-2</v>
      </c>
      <c r="CQ136" s="94">
        <f t="shared" si="125"/>
        <v>-0.1648351648351648</v>
      </c>
      <c r="CR136" s="94">
        <f t="shared" si="125"/>
        <v>-0.10317460317460314</v>
      </c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94"/>
      <c r="EL136" s="94"/>
      <c r="EM136" s="94"/>
      <c r="EN136" s="94"/>
      <c r="EO136" s="94"/>
      <c r="EP136" s="94"/>
      <c r="EQ136" s="94"/>
      <c r="ER136" s="94"/>
      <c r="ES136" s="94"/>
      <c r="ET136" s="94"/>
      <c r="EU136" s="94"/>
      <c r="EV136" s="94"/>
      <c r="EW136" s="94"/>
      <c r="EX136" s="94"/>
      <c r="EY136" s="94"/>
      <c r="EZ136" s="94"/>
      <c r="FA136" s="94"/>
      <c r="FB136" s="94"/>
      <c r="FC136" s="94"/>
      <c r="FD136" s="65"/>
      <c r="FE136" s="65"/>
      <c r="FF136" s="94"/>
      <c r="FG136" s="94"/>
      <c r="FH136" s="94"/>
      <c r="FI136" s="94"/>
      <c r="FJ136" s="94"/>
      <c r="FK136" s="94"/>
      <c r="FL136" s="94"/>
      <c r="FM136" s="5"/>
      <c r="FN136" s="5"/>
      <c r="FO136" s="5"/>
      <c r="FP136" s="47"/>
      <c r="FQ136" s="47"/>
      <c r="FR136" s="47"/>
      <c r="FS136" s="47"/>
      <c r="FT136" s="47"/>
      <c r="FU136" s="47"/>
      <c r="FV136" s="47"/>
      <c r="FW136" s="47"/>
      <c r="FX136" s="47"/>
      <c r="FY136" s="47"/>
      <c r="FZ136" s="47"/>
      <c r="GA136" s="47"/>
      <c r="GB136" s="47"/>
      <c r="GC136" s="47"/>
      <c r="GD136" s="145"/>
      <c r="GE136" s="145"/>
      <c r="GF136" s="145"/>
      <c r="GG136" s="145"/>
      <c r="GH136" s="145"/>
      <c r="GI136" s="145"/>
      <c r="GJ136" s="64"/>
      <c r="GK136" s="40"/>
      <c r="GL136" s="64"/>
      <c r="GM136" s="64"/>
    </row>
    <row r="137" spans="2:195" s="26" customFormat="1" ht="13" x14ac:dyDescent="0.3">
      <c r="B137" s="15" t="s">
        <v>33</v>
      </c>
      <c r="C137" s="23"/>
      <c r="D137" s="23"/>
      <c r="E137" s="23"/>
      <c r="F137" s="23"/>
      <c r="G137" s="23"/>
      <c r="H137" s="23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93"/>
      <c r="BT137" s="93"/>
      <c r="BU137" s="93"/>
      <c r="BV137" s="93"/>
      <c r="BW137" s="93"/>
      <c r="BX137" s="94">
        <f t="shared" ref="BX137:CR137" si="126">BX50/BT50-1</f>
        <v>2.925925925925926</v>
      </c>
      <c r="BY137" s="94">
        <f t="shared" si="126"/>
        <v>7.2105263157894743</v>
      </c>
      <c r="BZ137" s="94">
        <f t="shared" si="126"/>
        <v>1.5363636363636362</v>
      </c>
      <c r="CA137" s="94">
        <f t="shared" si="126"/>
        <v>6.5161290322580649</v>
      </c>
      <c r="CB137" s="94">
        <f t="shared" si="126"/>
        <v>0.41745283018867929</v>
      </c>
      <c r="CC137" s="94">
        <f t="shared" si="126"/>
        <v>1.3076923076923075</v>
      </c>
      <c r="CD137" s="94">
        <f t="shared" si="126"/>
        <v>1.3978494623655915</v>
      </c>
      <c r="CE137" s="94">
        <f t="shared" si="126"/>
        <v>0.42632331902718179</v>
      </c>
      <c r="CF137" s="94">
        <f t="shared" si="126"/>
        <v>0.43926788685524132</v>
      </c>
      <c r="CG137" s="94">
        <f t="shared" si="126"/>
        <v>0.25277777777777777</v>
      </c>
      <c r="CH137" s="94">
        <f t="shared" si="126"/>
        <v>-0.61584454409566525</v>
      </c>
      <c r="CI137" s="94">
        <f t="shared" si="126"/>
        <v>-0.48645937813440321</v>
      </c>
      <c r="CJ137" s="94">
        <f t="shared" si="126"/>
        <v>-0.67861271676300583</v>
      </c>
      <c r="CK137" s="94">
        <f t="shared" si="126"/>
        <v>-0.89135254988913526</v>
      </c>
      <c r="CL137" s="94">
        <f t="shared" si="126"/>
        <v>-0.60700389105058372</v>
      </c>
      <c r="CM137" s="94">
        <f t="shared" si="126"/>
        <v>-0.646484375</v>
      </c>
      <c r="CN137" s="94">
        <f t="shared" si="126"/>
        <v>0.44244604316546754</v>
      </c>
      <c r="CO137" s="94">
        <f t="shared" si="126"/>
        <v>11.428571428571429</v>
      </c>
      <c r="CP137" s="94">
        <f t="shared" si="126"/>
        <v>8.8415841584158414</v>
      </c>
      <c r="CQ137" s="94">
        <f t="shared" si="126"/>
        <v>5.6077348066298338</v>
      </c>
      <c r="CR137" s="94">
        <f t="shared" si="126"/>
        <v>0.28927680798004984</v>
      </c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94"/>
      <c r="EL137" s="94"/>
      <c r="EM137" s="94"/>
      <c r="EN137" s="94"/>
      <c r="EO137" s="94"/>
      <c r="EP137" s="94"/>
      <c r="EQ137" s="94"/>
      <c r="ER137" s="94"/>
      <c r="ES137" s="94"/>
      <c r="ET137" s="94"/>
      <c r="EU137" s="94"/>
      <c r="EV137" s="94"/>
      <c r="EW137" s="94"/>
      <c r="EX137" s="94"/>
      <c r="EY137" s="94"/>
      <c r="EZ137" s="94"/>
      <c r="FA137" s="94"/>
      <c r="FB137" s="94"/>
      <c r="FC137" s="94"/>
      <c r="FD137" s="65"/>
      <c r="FE137" s="65"/>
      <c r="FF137" s="94"/>
      <c r="FG137" s="94"/>
      <c r="FH137" s="94"/>
      <c r="FI137" s="94"/>
      <c r="FJ137" s="94"/>
      <c r="FK137" s="94"/>
      <c r="FL137" s="94"/>
      <c r="FM137" s="5"/>
      <c r="FN137" s="5"/>
      <c r="FO137" s="5"/>
      <c r="FP137" s="47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7"/>
      <c r="GB137" s="47"/>
      <c r="GC137" s="47"/>
      <c r="GD137" s="145"/>
      <c r="GE137" s="145"/>
      <c r="GF137" s="145"/>
      <c r="GG137" s="145"/>
      <c r="GH137" s="145"/>
      <c r="GI137" s="145"/>
      <c r="GJ137" s="64"/>
      <c r="GK137" s="40"/>
      <c r="GL137" s="64"/>
      <c r="GM137" s="64"/>
    </row>
    <row r="138" spans="2:195" s="26" customFormat="1" ht="13" x14ac:dyDescent="0.3">
      <c r="B138" s="15" t="s">
        <v>40</v>
      </c>
      <c r="C138" s="23"/>
      <c r="D138" s="23"/>
      <c r="E138" s="23"/>
      <c r="F138" s="23"/>
      <c r="G138" s="23"/>
      <c r="H138" s="23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93"/>
      <c r="BT138" s="93"/>
      <c r="BU138" s="93"/>
      <c r="BV138" s="93"/>
      <c r="BW138" s="93"/>
      <c r="BX138" s="94">
        <f>BX29/BT29-1</f>
        <v>2.7100271002709064E-3</v>
      </c>
      <c r="BY138" s="94">
        <f>BY29/BU29-1</f>
        <v>0.22857142857142865</v>
      </c>
      <c r="BZ138" s="94">
        <f>BZ29/BV29-1</f>
        <v>0.3086053412462908</v>
      </c>
      <c r="CA138" s="94">
        <f>CA29/BW29-1</f>
        <v>0.33717579250720453</v>
      </c>
      <c r="CB138" s="94">
        <f>CB29/BX29-1</f>
        <v>0.22702702702702693</v>
      </c>
      <c r="CC138" s="94">
        <f>CC29/BY29-1</f>
        <v>1.6279069767441756E-2</v>
      </c>
      <c r="CD138" s="94">
        <f>CD29/BZ29-1</f>
        <v>5.6689342403628107E-2</v>
      </c>
      <c r="CE138" s="94">
        <f>CE29/CA29-1</f>
        <v>4.5258620689655249E-2</v>
      </c>
      <c r="CF138" s="94">
        <f>CF29/CB29-1</f>
        <v>4.8458149779735615E-2</v>
      </c>
      <c r="CG138" s="94">
        <f>CG29/CC29-1</f>
        <v>0.15102974828375282</v>
      </c>
      <c r="CH138" s="94">
        <f>CH29/CD29-1</f>
        <v>4.0772532188841248E-2</v>
      </c>
      <c r="CI138" s="94">
        <f>CI29/CE29-1</f>
        <v>0.12989690721649483</v>
      </c>
      <c r="CJ138" s="94">
        <f>CJ29/CF29-1</f>
        <v>2.3109243697478909E-2</v>
      </c>
      <c r="CK138" s="94">
        <f>CK29/CG29-1</f>
        <v>3.9761431411530879E-2</v>
      </c>
      <c r="CL138" s="94">
        <f>CL29/CH29-1</f>
        <v>5.7731958762886615E-2</v>
      </c>
      <c r="CM138" s="94">
        <f>CM29/CI29-1</f>
        <v>5.1094890510948954E-2</v>
      </c>
      <c r="CN138" s="94">
        <f>CN29/CJ29-1</f>
        <v>6.1601642710472193E-2</v>
      </c>
      <c r="CO138" s="94">
        <f>CO29/CK29-1</f>
        <v>-0.21606118546845121</v>
      </c>
      <c r="CP138" s="94">
        <f>CP29/CL29-1</f>
        <v>-0.29434697855750491</v>
      </c>
      <c r="CQ138" s="94">
        <f>CQ29/CM29-1</f>
        <v>-0.50173611111111116</v>
      </c>
      <c r="CR138" s="94">
        <f>CR29/CN29-1</f>
        <v>-0.30947775628626695</v>
      </c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65"/>
      <c r="FE138" s="65"/>
      <c r="FF138" s="94"/>
      <c r="FG138" s="94"/>
      <c r="FH138" s="94"/>
      <c r="FI138" s="94"/>
      <c r="FJ138" s="94"/>
      <c r="FK138" s="94"/>
      <c r="FL138" s="94"/>
      <c r="FM138" s="5"/>
      <c r="FN138" s="5"/>
      <c r="FO138" s="5"/>
      <c r="FP138" s="47"/>
      <c r="FQ138" s="47"/>
      <c r="FR138" s="47"/>
      <c r="FS138" s="47"/>
      <c r="FT138" s="47"/>
      <c r="FU138" s="47"/>
      <c r="FV138" s="47"/>
      <c r="FW138" s="47"/>
      <c r="FX138" s="47"/>
      <c r="FY138" s="47"/>
      <c r="FZ138" s="47"/>
      <c r="GA138" s="47"/>
      <c r="GB138" s="47"/>
      <c r="GC138" s="47"/>
      <c r="GD138" s="145"/>
      <c r="GE138" s="145"/>
      <c r="GF138" s="145"/>
      <c r="GG138" s="145"/>
      <c r="GH138" s="145"/>
      <c r="GI138" s="145"/>
      <c r="GJ138" s="64"/>
      <c r="GK138" s="40"/>
      <c r="GL138" s="64"/>
      <c r="GM138" s="64"/>
    </row>
    <row r="139" spans="2:195" s="26" customFormat="1" ht="13" x14ac:dyDescent="0.3">
      <c r="B139" s="15" t="s">
        <v>34</v>
      </c>
      <c r="C139" s="23"/>
      <c r="D139" s="23"/>
      <c r="E139" s="23"/>
      <c r="F139" s="23"/>
      <c r="G139" s="23"/>
      <c r="H139" s="23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93"/>
      <c r="BT139" s="93"/>
      <c r="BU139" s="93"/>
      <c r="BV139" s="93"/>
      <c r="BW139" s="93"/>
      <c r="BX139" s="94">
        <f t="shared" ref="BX139:CR139" si="127">BX45/BT45-1</f>
        <v>0.12456747404844282</v>
      </c>
      <c r="BY139" s="94">
        <f t="shared" si="127"/>
        <v>0.20338983050847448</v>
      </c>
      <c r="BZ139" s="94">
        <f t="shared" si="127"/>
        <v>0.18243243243243246</v>
      </c>
      <c r="CA139" s="94">
        <f t="shared" si="127"/>
        <v>0.24749163879598668</v>
      </c>
      <c r="CB139" s="94">
        <f t="shared" si="127"/>
        <v>7.6923076923076872E-2</v>
      </c>
      <c r="CC139" s="94">
        <f t="shared" si="127"/>
        <v>5.3521126760563309E-2</v>
      </c>
      <c r="CD139" s="94">
        <f t="shared" si="127"/>
        <v>0</v>
      </c>
      <c r="CE139" s="94">
        <f t="shared" si="127"/>
        <v>5.3619302949061698E-2</v>
      </c>
      <c r="CF139" s="94">
        <f t="shared" si="127"/>
        <v>0.14285714285714279</v>
      </c>
      <c r="CG139" s="94">
        <f t="shared" si="127"/>
        <v>8.8235294117646967E-2</v>
      </c>
      <c r="CH139" s="94">
        <f t="shared" si="127"/>
        <v>9.4285714285714306E-2</v>
      </c>
      <c r="CI139" s="94">
        <f t="shared" si="127"/>
        <v>0.13740458015267176</v>
      </c>
      <c r="CJ139" s="94">
        <f t="shared" si="127"/>
        <v>-7.7500000000000013E-2</v>
      </c>
      <c r="CK139" s="94">
        <f t="shared" si="127"/>
        <v>2.2113022113022129E-2</v>
      </c>
      <c r="CL139" s="94">
        <f t="shared" si="127"/>
        <v>5.7441253263707637E-2</v>
      </c>
      <c r="CM139" s="94">
        <f t="shared" si="127"/>
        <v>-4.4742729306487261E-3</v>
      </c>
      <c r="CN139" s="94">
        <f t="shared" si="127"/>
        <v>6.5040650406503975E-2</v>
      </c>
      <c r="CO139" s="94">
        <f t="shared" si="127"/>
        <v>7.9326923076923128E-2</v>
      </c>
      <c r="CP139" s="94">
        <f t="shared" si="127"/>
        <v>8.1481481481481488E-2</v>
      </c>
      <c r="CQ139" s="94">
        <f t="shared" si="127"/>
        <v>-0.15730337078651691</v>
      </c>
      <c r="CR139" s="94">
        <f t="shared" si="127"/>
        <v>0.12213740458015265</v>
      </c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65"/>
      <c r="FE139" s="65"/>
      <c r="FF139" s="94"/>
      <c r="FG139" s="94"/>
      <c r="FH139" s="94"/>
      <c r="FI139" s="94"/>
      <c r="FJ139" s="94"/>
      <c r="FK139" s="94"/>
      <c r="FL139" s="94"/>
      <c r="FM139" s="5"/>
      <c r="FN139" s="5"/>
      <c r="FO139" s="5"/>
      <c r="FP139" s="47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7"/>
      <c r="GB139" s="47"/>
      <c r="GC139" s="47"/>
      <c r="GD139" s="145"/>
      <c r="GE139" s="145"/>
      <c r="GF139" s="145"/>
      <c r="GG139" s="145"/>
      <c r="GH139" s="145"/>
      <c r="GI139" s="145"/>
      <c r="GJ139" s="64"/>
      <c r="GK139" s="40"/>
      <c r="GL139" s="64"/>
      <c r="GM139" s="64"/>
    </row>
    <row r="140" spans="2:195" s="26" customFormat="1" ht="13" x14ac:dyDescent="0.3">
      <c r="B140" s="15" t="s">
        <v>31</v>
      </c>
      <c r="C140" s="23"/>
      <c r="D140" s="23"/>
      <c r="E140" s="23"/>
      <c r="F140" s="23"/>
      <c r="G140" s="23"/>
      <c r="H140" s="23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93"/>
      <c r="BT140" s="93"/>
      <c r="BU140" s="93"/>
      <c r="BV140" s="93"/>
      <c r="BW140" s="93"/>
      <c r="BX140" s="94">
        <f t="shared" ref="BX140:CG140" si="128">BX47/BT47-1</f>
        <v>0.43478260869565211</v>
      </c>
      <c r="BY140" s="94">
        <f t="shared" si="128"/>
        <v>0.484375</v>
      </c>
      <c r="BZ140" s="94">
        <f t="shared" si="128"/>
        <v>0.46896551724137936</v>
      </c>
      <c r="CA140" s="94">
        <f t="shared" si="128"/>
        <v>0.56164383561643838</v>
      </c>
      <c r="CB140" s="94">
        <f t="shared" si="128"/>
        <v>0.44242424242424239</v>
      </c>
      <c r="CC140" s="94">
        <f t="shared" si="128"/>
        <v>0.23157894736842111</v>
      </c>
      <c r="CD140" s="94">
        <f t="shared" si="128"/>
        <v>0.1220657276995305</v>
      </c>
      <c r="CE140" s="94">
        <f t="shared" si="128"/>
        <v>0.14035087719298245</v>
      </c>
      <c r="CF140" s="94">
        <f t="shared" si="128"/>
        <v>0.12184873949579833</v>
      </c>
      <c r="CG140" s="94">
        <f t="shared" si="128"/>
        <v>0.20512820512820507</v>
      </c>
      <c r="CH140" s="94">
        <f t="shared" ref="CH140:CQ140" si="129">CH47/CD47-1</f>
        <v>0.21338912133891208</v>
      </c>
      <c r="CI140" s="94">
        <f t="shared" si="129"/>
        <v>0.19999999999999996</v>
      </c>
      <c r="CJ140" s="94">
        <f t="shared" si="129"/>
        <v>5.2434456928838857E-2</v>
      </c>
      <c r="CK140" s="94">
        <f t="shared" si="129"/>
        <v>3.5460992907801359E-2</v>
      </c>
      <c r="CL140" s="94">
        <f t="shared" si="129"/>
        <v>5.862068965517242E-2</v>
      </c>
      <c r="CM140" s="94">
        <f t="shared" si="129"/>
        <v>6.0897435897435903E-2</v>
      </c>
      <c r="CN140" s="94">
        <f t="shared" si="129"/>
        <v>5.3380782918149405E-2</v>
      </c>
      <c r="CO140" s="94">
        <f t="shared" si="129"/>
        <v>0.13013698630136994</v>
      </c>
      <c r="CP140" s="94">
        <f t="shared" si="129"/>
        <v>6.1889250814332275E-2</v>
      </c>
      <c r="CQ140" s="94">
        <f t="shared" si="129"/>
        <v>-6.9486404833836835E-2</v>
      </c>
      <c r="CR140" s="94">
        <f t="shared" ref="CR140" si="130">CR47/CN47-1</f>
        <v>0.18918918918918926</v>
      </c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65"/>
      <c r="FE140" s="65"/>
      <c r="FF140" s="94"/>
      <c r="FG140" s="94"/>
      <c r="FH140" s="94"/>
      <c r="FI140" s="94"/>
      <c r="FJ140" s="94"/>
      <c r="FK140" s="94"/>
      <c r="FL140" s="94"/>
      <c r="FM140" s="5"/>
      <c r="FN140" s="5"/>
      <c r="FO140" s="5"/>
      <c r="FP140" s="47"/>
      <c r="FQ140" s="47"/>
      <c r="FR140" s="47"/>
      <c r="FS140" s="47"/>
      <c r="FT140" s="47"/>
      <c r="FU140" s="47"/>
      <c r="FV140" s="47"/>
      <c r="FW140" s="47"/>
      <c r="FX140" s="47"/>
      <c r="FY140" s="47"/>
      <c r="FZ140" s="47"/>
      <c r="GA140" s="47"/>
      <c r="GB140" s="47"/>
      <c r="GC140" s="47"/>
      <c r="GD140" s="145"/>
      <c r="GE140" s="145"/>
      <c r="GF140" s="145"/>
      <c r="GG140" s="145"/>
      <c r="GH140" s="145"/>
      <c r="GI140" s="145"/>
      <c r="GJ140" s="64"/>
      <c r="GK140" s="40"/>
      <c r="GL140" s="64"/>
      <c r="GM140" s="64"/>
    </row>
    <row r="141" spans="2:195" s="26" customFormat="1" ht="13" x14ac:dyDescent="0.3">
      <c r="B141" s="15" t="s">
        <v>25</v>
      </c>
      <c r="C141" s="23"/>
      <c r="D141" s="23"/>
      <c r="E141" s="23"/>
      <c r="F141" s="23"/>
      <c r="G141" s="23"/>
      <c r="H141" s="23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93"/>
      <c r="BT141" s="93"/>
      <c r="BU141" s="93"/>
      <c r="BV141" s="93"/>
      <c r="BW141" s="93"/>
      <c r="BX141" s="94"/>
      <c r="BY141" s="94"/>
      <c r="BZ141" s="94"/>
      <c r="CA141" s="94">
        <f t="shared" ref="CA141:CR141" si="131">CA48/BW48-1</f>
        <v>7.2941176470588243</v>
      </c>
      <c r="CB141" s="94">
        <f t="shared" si="131"/>
        <v>2.0175438596491229</v>
      </c>
      <c r="CC141" s="94">
        <f t="shared" si="131"/>
        <v>1.2159090909090908</v>
      </c>
      <c r="CD141" s="94">
        <f t="shared" si="131"/>
        <v>1.0891089108910892</v>
      </c>
      <c r="CE141" s="94">
        <f t="shared" si="131"/>
        <v>0.66666666666666674</v>
      </c>
      <c r="CF141" s="94">
        <f t="shared" si="131"/>
        <v>0.41279069767441867</v>
      </c>
      <c r="CG141" s="94">
        <f t="shared" si="131"/>
        <v>0.33333333333333326</v>
      </c>
      <c r="CH141" s="94">
        <f t="shared" si="131"/>
        <v>0.28436018957345977</v>
      </c>
      <c r="CI141" s="94">
        <f t="shared" si="131"/>
        <v>0.22553191489361701</v>
      </c>
      <c r="CJ141" s="94">
        <f t="shared" si="131"/>
        <v>0.17695473251028804</v>
      </c>
      <c r="CK141" s="94">
        <f t="shared" si="131"/>
        <v>0.1576923076923078</v>
      </c>
      <c r="CL141" s="94">
        <f t="shared" si="131"/>
        <v>9.9630996309963082E-2</v>
      </c>
      <c r="CM141" s="94">
        <f t="shared" si="131"/>
        <v>0.14583333333333326</v>
      </c>
      <c r="CN141" s="94">
        <f t="shared" si="131"/>
        <v>0.11888111888111896</v>
      </c>
      <c r="CO141" s="94">
        <f t="shared" si="131"/>
        <v>7.3089700996677776E-2</v>
      </c>
      <c r="CP141" s="94">
        <f t="shared" si="131"/>
        <v>7.0469798657718075E-2</v>
      </c>
      <c r="CQ141" s="94">
        <f t="shared" si="131"/>
        <v>3.6363636363636376E-2</v>
      </c>
      <c r="CR141" s="94">
        <f t="shared" si="131"/>
        <v>1.8750000000000044E-2</v>
      </c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65"/>
      <c r="FE141" s="65"/>
      <c r="FF141" s="94"/>
      <c r="FG141" s="94"/>
      <c r="FH141" s="94"/>
      <c r="FI141" s="94"/>
      <c r="FJ141" s="94"/>
      <c r="FK141" s="94"/>
      <c r="FL141" s="94"/>
      <c r="FM141" s="5"/>
      <c r="FN141" s="5"/>
      <c r="FO141" s="5"/>
      <c r="FP141" s="47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7"/>
      <c r="GB141" s="47"/>
      <c r="GC141" s="47"/>
      <c r="GD141" s="145"/>
      <c r="GE141" s="145"/>
      <c r="GF141" s="145"/>
      <c r="GG141" s="145"/>
      <c r="GH141" s="145"/>
      <c r="GI141" s="145"/>
      <c r="GJ141" s="64"/>
      <c r="GK141" s="40"/>
      <c r="GL141" s="64"/>
      <c r="GM141" s="64"/>
    </row>
    <row r="142" spans="2:195" s="26" customFormat="1" ht="13" x14ac:dyDescent="0.3">
      <c r="B142" s="15" t="s">
        <v>29</v>
      </c>
      <c r="C142" s="23"/>
      <c r="D142" s="23"/>
      <c r="E142" s="23"/>
      <c r="F142" s="23"/>
      <c r="G142" s="23"/>
      <c r="H142" s="23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66"/>
      <c r="CE142" s="66"/>
      <c r="CF142" s="66"/>
      <c r="CG142" s="66"/>
      <c r="CH142" s="94">
        <f>CH26/CD26-1</f>
        <v>0.24479166666666674</v>
      </c>
      <c r="CI142" s="94">
        <f>CI26/CE26-1</f>
        <v>-0.1648351648351648</v>
      </c>
      <c r="CJ142" s="94">
        <f>CJ26/CF26-1</f>
        <v>-0.18250950570342206</v>
      </c>
      <c r="CK142" s="94">
        <f>CK26/CG26-1</f>
        <v>-0.13793103448275867</v>
      </c>
      <c r="CL142" s="94">
        <f>CL26/CH26-1</f>
        <v>2.9288702928870203E-2</v>
      </c>
      <c r="CM142" s="94">
        <f>CM26/CI26-1</f>
        <v>0.20175438596491224</v>
      </c>
      <c r="CN142" s="94">
        <f>CN26/CJ26-1</f>
        <v>0.29767441860465116</v>
      </c>
      <c r="CO142" s="94">
        <f>CO26/CK26-1</f>
        <v>0.30666666666666664</v>
      </c>
      <c r="CP142" s="94">
        <f>CP26/CL26-1</f>
        <v>0.20325203252032531</v>
      </c>
      <c r="CQ142" s="94">
        <f>CQ26/CM26-1</f>
        <v>0.2007299270072993</v>
      </c>
      <c r="CR142" s="94">
        <f>CR26/CN26-1</f>
        <v>0.17204301075268824</v>
      </c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65"/>
      <c r="FE142" s="65"/>
      <c r="FF142" s="94"/>
      <c r="FG142" s="94"/>
      <c r="FH142" s="94"/>
      <c r="FI142" s="94"/>
      <c r="FJ142" s="94"/>
      <c r="FK142" s="94"/>
      <c r="FL142" s="94"/>
      <c r="FM142" s="5"/>
      <c r="FN142" s="5"/>
      <c r="FO142" s="5"/>
      <c r="FP142" s="47"/>
      <c r="FQ142" s="47"/>
      <c r="FR142" s="47"/>
      <c r="FS142" s="47"/>
      <c r="FT142" s="47"/>
      <c r="FU142" s="47"/>
      <c r="FV142" s="47"/>
      <c r="FW142" s="47"/>
      <c r="FX142" s="47"/>
      <c r="FY142" s="47"/>
      <c r="FZ142" s="47"/>
      <c r="GA142" s="47"/>
      <c r="GB142" s="47"/>
      <c r="GC142" s="47"/>
      <c r="GD142" s="145"/>
      <c r="GE142" s="145"/>
      <c r="GF142" s="145"/>
      <c r="GG142" s="145"/>
      <c r="GH142" s="145"/>
      <c r="GI142" s="145"/>
      <c r="GJ142" s="64"/>
      <c r="GK142" s="40"/>
      <c r="GL142" s="64"/>
      <c r="GM142" s="64"/>
    </row>
    <row r="143" spans="2:195" s="26" customFormat="1" ht="13" x14ac:dyDescent="0.3">
      <c r="B143" s="15" t="s">
        <v>140</v>
      </c>
      <c r="C143" s="23"/>
      <c r="D143" s="23"/>
      <c r="E143" s="23"/>
      <c r="F143" s="23"/>
      <c r="G143" s="23"/>
      <c r="H143" s="23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93"/>
      <c r="BT143" s="93"/>
      <c r="BU143" s="93"/>
      <c r="BV143" s="93"/>
      <c r="BW143" s="93"/>
      <c r="BX143" s="94"/>
      <c r="BY143" s="94"/>
      <c r="BZ143" s="94"/>
      <c r="CA143" s="94"/>
      <c r="CB143" s="94"/>
      <c r="CC143" s="94">
        <f t="shared" ref="CC143:CR143" si="132">CC49/BY49-1</f>
        <v>3.3809523809523814</v>
      </c>
      <c r="CD143" s="94">
        <f t="shared" si="132"/>
        <v>9.1428571428571423</v>
      </c>
      <c r="CE143" s="94">
        <f t="shared" si="132"/>
        <v>2.5098039215686274</v>
      </c>
      <c r="CF143" s="94">
        <f t="shared" si="132"/>
        <v>1.2666666666666666</v>
      </c>
      <c r="CG143" s="94">
        <f t="shared" si="132"/>
        <v>1.2173913043478262</v>
      </c>
      <c r="CH143" s="94">
        <f t="shared" si="132"/>
        <v>0.61971830985915499</v>
      </c>
      <c r="CI143" s="94">
        <f t="shared" si="132"/>
        <v>0.58100558659217882</v>
      </c>
      <c r="CJ143" s="94">
        <f t="shared" si="132"/>
        <v>0.41764705882352948</v>
      </c>
      <c r="CK143" s="94">
        <f t="shared" si="132"/>
        <v>0.30392156862745101</v>
      </c>
      <c r="CL143" s="94">
        <f t="shared" si="132"/>
        <v>0.16521739130434776</v>
      </c>
      <c r="CM143" s="94">
        <f t="shared" si="132"/>
        <v>0.1766784452296819</v>
      </c>
      <c r="CN143" s="94">
        <f t="shared" si="132"/>
        <v>3.3195020746888071E-2</v>
      </c>
      <c r="CO143" s="94">
        <f t="shared" si="132"/>
        <v>3.7593984962406068E-2</v>
      </c>
      <c r="CP143" s="94">
        <f t="shared" si="132"/>
        <v>-4.8507462686567138E-2</v>
      </c>
      <c r="CQ143" s="94">
        <f t="shared" si="132"/>
        <v>-0.16516516516516522</v>
      </c>
      <c r="CR143" s="94">
        <f t="shared" si="132"/>
        <v>0.11244979919678721</v>
      </c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65"/>
      <c r="FE143" s="65"/>
      <c r="FF143" s="94"/>
      <c r="FG143" s="94"/>
      <c r="FH143" s="94"/>
      <c r="FI143" s="94"/>
      <c r="FJ143" s="94"/>
      <c r="FK143" s="94"/>
      <c r="FL143" s="94"/>
      <c r="FM143" s="5"/>
      <c r="FN143" s="5"/>
      <c r="FO143" s="5"/>
      <c r="FP143" s="47"/>
      <c r="FQ143" s="47"/>
      <c r="FR143" s="47"/>
      <c r="FS143" s="47"/>
      <c r="FT143" s="47"/>
      <c r="FU143" s="47"/>
      <c r="FV143" s="47"/>
      <c r="FW143" s="47"/>
      <c r="FX143" s="47"/>
      <c r="FY143" s="47"/>
      <c r="FZ143" s="47"/>
      <c r="GA143" s="47"/>
      <c r="GB143" s="47"/>
      <c r="GC143" s="47"/>
      <c r="GD143" s="145"/>
      <c r="GE143" s="145"/>
      <c r="GF143" s="145"/>
      <c r="GG143" s="145"/>
      <c r="GH143" s="145"/>
      <c r="GI143" s="145"/>
      <c r="GJ143" s="64"/>
      <c r="GK143" s="40"/>
      <c r="GL143" s="64"/>
      <c r="GM143" s="64"/>
    </row>
    <row r="144" spans="2:195" s="26" customFormat="1" ht="13" x14ac:dyDescent="0.3">
      <c r="B144" s="15" t="s">
        <v>39</v>
      </c>
      <c r="C144" s="23"/>
      <c r="D144" s="23"/>
      <c r="E144" s="23"/>
      <c r="F144" s="23"/>
      <c r="G144" s="23"/>
      <c r="H144" s="23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93"/>
      <c r="BT144" s="93"/>
      <c r="BU144" s="93"/>
      <c r="BV144" s="93"/>
      <c r="BW144" s="93"/>
      <c r="BX144" s="94">
        <f t="shared" ref="BX144:CR144" si="133">BX58/BT58-1</f>
        <v>6.8493150684931781E-3</v>
      </c>
      <c r="BY144" s="94">
        <f t="shared" si="133"/>
        <v>0</v>
      </c>
      <c r="BZ144" s="94">
        <f t="shared" si="133"/>
        <v>0.11724137931034484</v>
      </c>
      <c r="CA144" s="94">
        <f t="shared" si="133"/>
        <v>0.17518248175182483</v>
      </c>
      <c r="CB144" s="94">
        <f t="shared" si="133"/>
        <v>0.23129251700680276</v>
      </c>
      <c r="CC144" s="94">
        <f t="shared" si="133"/>
        <v>0.10303030303030303</v>
      </c>
      <c r="CD144" s="94">
        <f t="shared" si="133"/>
        <v>-1.2345679012345734E-2</v>
      </c>
      <c r="CE144" s="94">
        <f t="shared" si="133"/>
        <v>5.5900621118012417E-2</v>
      </c>
      <c r="CF144" s="94">
        <f t="shared" si="133"/>
        <v>-9.9447513812154664E-2</v>
      </c>
      <c r="CG144" s="94">
        <f t="shared" si="133"/>
        <v>-3.2967032967032961E-2</v>
      </c>
      <c r="CH144" s="94">
        <f t="shared" si="133"/>
        <v>-5.6250000000000022E-2</v>
      </c>
      <c r="CI144" s="94">
        <f t="shared" si="133"/>
        <v>-0.16470588235294115</v>
      </c>
      <c r="CJ144" s="94">
        <f t="shared" si="133"/>
        <v>-0.16564417177914115</v>
      </c>
      <c r="CK144" s="94">
        <f t="shared" si="133"/>
        <v>-0.27272727272727271</v>
      </c>
      <c r="CL144" s="94">
        <f t="shared" si="133"/>
        <v>-0.16556291390728473</v>
      </c>
      <c r="CM144" s="94">
        <f t="shared" si="133"/>
        <v>-0.21126760563380287</v>
      </c>
      <c r="CN144" s="94">
        <f t="shared" si="133"/>
        <v>-0.24264705882352944</v>
      </c>
      <c r="CO144" s="94">
        <f t="shared" si="133"/>
        <v>-0.171875</v>
      </c>
      <c r="CP144" s="94">
        <f t="shared" si="133"/>
        <v>-0.22222222222222221</v>
      </c>
      <c r="CQ144" s="94">
        <f t="shared" si="133"/>
        <v>-0.1964285714285714</v>
      </c>
      <c r="CR144" s="94">
        <f t="shared" si="133"/>
        <v>-0.11650485436893199</v>
      </c>
      <c r="CS144" s="94"/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65"/>
      <c r="FE144" s="65"/>
      <c r="FF144" s="94"/>
      <c r="FG144" s="94"/>
      <c r="FH144" s="94"/>
      <c r="FI144" s="94"/>
      <c r="FJ144" s="94"/>
      <c r="FK144" s="94"/>
      <c r="FL144" s="94"/>
      <c r="FM144" s="5"/>
      <c r="FN144" s="5"/>
      <c r="FO144" s="5"/>
      <c r="FP144" s="47"/>
      <c r="FQ144" s="47"/>
      <c r="FR144" s="47"/>
      <c r="FS144" s="47"/>
      <c r="FT144" s="47"/>
      <c r="FU144" s="47"/>
      <c r="FV144" s="47"/>
      <c r="FW144" s="47"/>
      <c r="FX144" s="47"/>
      <c r="FY144" s="47"/>
      <c r="FZ144" s="47"/>
      <c r="GA144" s="47"/>
      <c r="GB144" s="47"/>
      <c r="GC144" s="47"/>
      <c r="GD144" s="145"/>
      <c r="GE144" s="145"/>
      <c r="GF144" s="145"/>
      <c r="GG144" s="145"/>
      <c r="GH144" s="145"/>
      <c r="GI144" s="145"/>
      <c r="GJ144" s="64"/>
      <c r="GK144" s="40"/>
      <c r="GL144" s="64"/>
      <c r="GM144" s="64"/>
    </row>
    <row r="145" spans="2:195" s="26" customFormat="1" ht="13" x14ac:dyDescent="0.3">
      <c r="B145" s="15" t="s">
        <v>28</v>
      </c>
      <c r="C145" s="23"/>
      <c r="D145" s="23"/>
      <c r="E145" s="23"/>
      <c r="F145" s="23"/>
      <c r="G145" s="23"/>
      <c r="H145" s="23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93"/>
      <c r="BT145" s="93"/>
      <c r="BU145" s="93"/>
      <c r="BV145" s="93"/>
      <c r="BW145" s="93"/>
      <c r="BX145" s="94">
        <f>BX12/BT12-1</f>
        <v>1.1315789473684212</v>
      </c>
      <c r="BY145" s="94">
        <f>BY12/BU12-1</f>
        <v>0.81818181818181812</v>
      </c>
      <c r="BZ145" s="94">
        <f>BZ12/BV12-1</f>
        <v>0.52941176470588225</v>
      </c>
      <c r="CA145" s="94">
        <f>CA12/BW12-1</f>
        <v>0.68493150684931514</v>
      </c>
      <c r="CB145" s="94">
        <f>CB12/BX12-1</f>
        <v>0.53086419753086411</v>
      </c>
      <c r="CC145" s="94">
        <f>CC12/BY12-1</f>
        <v>0.33000000000000007</v>
      </c>
      <c r="CD145" s="94">
        <f>CD12/BZ12-1</f>
        <v>0.29807692307692313</v>
      </c>
      <c r="CE145" s="94">
        <f>CE12/CA12-1</f>
        <v>0.17886178861788626</v>
      </c>
      <c r="CF145" s="94">
        <f>CF12/CB12-1</f>
        <v>9.6774193548387011E-2</v>
      </c>
      <c r="CG145" s="94">
        <f>CG12/CC12-1</f>
        <v>0.11278195488721798</v>
      </c>
      <c r="CH145" s="94">
        <f>CH12/CD12-1</f>
        <v>7.4074074074074181E-2</v>
      </c>
      <c r="CI145" s="94">
        <f>CI12/CE12-1</f>
        <v>-4.8275862068965503E-2</v>
      </c>
      <c r="CJ145" s="94">
        <f>CJ12/CF12-1</f>
        <v>-8.0882352941176516E-2</v>
      </c>
      <c r="CK145" s="94">
        <f>CK12/CG12-1</f>
        <v>-9.4594594594594628E-2</v>
      </c>
      <c r="CL145" s="94">
        <f>CL12/CH12-1</f>
        <v>0</v>
      </c>
      <c r="CM145" s="94">
        <f>CM12/CI12-1</f>
        <v>0.13043478260869557</v>
      </c>
      <c r="CN145" s="94">
        <f>CN12/CJ12-1</f>
        <v>0.21599999999999997</v>
      </c>
      <c r="CO145" s="94">
        <f>CO12/CK12-1</f>
        <v>0.20149253731343286</v>
      </c>
      <c r="CP145" s="94">
        <f>CP12/CL12-1</f>
        <v>8.2758620689655116E-2</v>
      </c>
      <c r="CQ145" s="94">
        <f>CQ12/CM12-1</f>
        <v>-3.8461538461538436E-2</v>
      </c>
      <c r="CR145" s="94">
        <f>CR12/CN12-1</f>
        <v>-2.6315789473684181E-2</v>
      </c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65"/>
      <c r="FE145" s="65"/>
      <c r="FF145" s="94"/>
      <c r="FG145" s="94"/>
      <c r="FH145" s="94"/>
      <c r="FI145" s="94"/>
      <c r="FJ145" s="94"/>
      <c r="FK145" s="94"/>
      <c r="FL145" s="94"/>
      <c r="FM145" s="5"/>
      <c r="FN145" s="5"/>
      <c r="FO145" s="5"/>
      <c r="FP145" s="47"/>
      <c r="FQ145" s="47"/>
      <c r="FR145" s="47"/>
      <c r="FS145" s="47"/>
      <c r="FT145" s="47"/>
      <c r="FU145" s="47"/>
      <c r="FV145" s="47"/>
      <c r="FW145" s="47"/>
      <c r="FX145" s="47"/>
      <c r="FY145" s="47"/>
      <c r="FZ145" s="47"/>
      <c r="GA145" s="47"/>
      <c r="GB145" s="47"/>
      <c r="GC145" s="47"/>
      <c r="GD145" s="145"/>
      <c r="GE145" s="145"/>
      <c r="GF145" s="145"/>
      <c r="GG145" s="145"/>
      <c r="GH145" s="145"/>
      <c r="GI145" s="145"/>
      <c r="GJ145" s="64"/>
      <c r="GK145" s="40"/>
      <c r="GL145" s="64"/>
      <c r="GM145" s="64"/>
    </row>
    <row r="146" spans="2:195" s="26" customFormat="1" ht="13" x14ac:dyDescent="0.3">
      <c r="B146" s="15" t="s">
        <v>141</v>
      </c>
      <c r="C146" s="23"/>
      <c r="D146" s="23"/>
      <c r="E146" s="23"/>
      <c r="F146" s="23"/>
      <c r="G146" s="23"/>
      <c r="H146" s="23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93"/>
      <c r="BT146" s="93"/>
      <c r="BU146" s="93"/>
      <c r="BV146" s="93"/>
      <c r="BW146" s="93"/>
      <c r="BX146" s="94">
        <f>BX51/BT51-1</f>
        <v>0</v>
      </c>
      <c r="BY146" s="94">
        <f>BY51/BU51-1</f>
        <v>0.25316455696202533</v>
      </c>
      <c r="BZ146" s="94">
        <f>BZ51/BV51-1</f>
        <v>0.23456790123456783</v>
      </c>
      <c r="CA146" s="94">
        <f>CA51/BW51-1</f>
        <v>0.31325301204819267</v>
      </c>
      <c r="CB146" s="94">
        <f>CB51/BX51-1</f>
        <v>0.27906976744186052</v>
      </c>
      <c r="CC146" s="94">
        <f>CC51/BY51-1</f>
        <v>0.14141414141414144</v>
      </c>
      <c r="CD146" s="94">
        <f>CD51/BZ51-1</f>
        <v>0.26</v>
      </c>
      <c r="CE146" s="94">
        <f>CE51/CA51-1</f>
        <v>0.27522935779816504</v>
      </c>
      <c r="CF146" s="94">
        <f>CF51/CB51-1</f>
        <v>0.1272727272727272</v>
      </c>
      <c r="CG146" s="94">
        <f>CG51/CC51-1</f>
        <v>0.21238938053097356</v>
      </c>
      <c r="CH146" s="94">
        <f>CH51/CD51-1</f>
        <v>8.7301587301587213E-2</v>
      </c>
      <c r="CI146" s="94">
        <f>CI51/CE51-1</f>
        <v>3.5971223021582732E-2</v>
      </c>
      <c r="CJ146" s="94">
        <f>CJ51/CF51-1</f>
        <v>3.2258064516129004E-2</v>
      </c>
      <c r="CK146" s="94">
        <f>CK51/CG51-1</f>
        <v>-7.2992700729926918E-3</v>
      </c>
      <c r="CL146" s="94">
        <f>CL51/CH51-1</f>
        <v>4.3795620437956151E-2</v>
      </c>
      <c r="CM146" s="94">
        <f>CM51/CI51-1</f>
        <v>3.4722222222222321E-2</v>
      </c>
      <c r="CN146" s="94">
        <f>CN51/CJ51-1</f>
        <v>2.34375E-2</v>
      </c>
      <c r="CO146" s="94">
        <f>CO51/CK51-1</f>
        <v>5.1470588235294157E-2</v>
      </c>
      <c r="CP146" s="94">
        <f>CP51/CL51-1</f>
        <v>3.4965034965035002E-2</v>
      </c>
      <c r="CQ146" s="94">
        <f>CQ51/CM51-1</f>
        <v>-4.6979865771812124E-2</v>
      </c>
      <c r="CR146" s="94">
        <f>CR51/CN51-1</f>
        <v>0.13740458015267176</v>
      </c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65"/>
      <c r="FE146" s="65"/>
      <c r="FF146" s="94"/>
      <c r="FG146" s="94"/>
      <c r="FH146" s="94"/>
      <c r="FI146" s="94"/>
      <c r="FJ146" s="94"/>
      <c r="FK146" s="94"/>
      <c r="FL146" s="94"/>
      <c r="FM146" s="5"/>
      <c r="FN146" s="5"/>
      <c r="FO146" s="5"/>
      <c r="FP146" s="47"/>
      <c r="FQ146" s="47"/>
      <c r="FR146" s="47"/>
      <c r="FS146" s="47"/>
      <c r="FT146" s="47"/>
      <c r="FU146" s="47"/>
      <c r="FV146" s="47"/>
      <c r="FW146" s="47"/>
      <c r="FX146" s="47"/>
      <c r="FY146" s="47"/>
      <c r="FZ146" s="47"/>
      <c r="GA146" s="47"/>
      <c r="GB146" s="47"/>
      <c r="GC146" s="47"/>
      <c r="GD146" s="145"/>
      <c r="GE146" s="145"/>
      <c r="GF146" s="145"/>
      <c r="GG146" s="145"/>
      <c r="GH146" s="145"/>
      <c r="GI146" s="145"/>
      <c r="GJ146" s="64"/>
      <c r="GK146" s="40"/>
      <c r="GL146" s="64"/>
      <c r="GM146" s="64"/>
    </row>
    <row r="147" spans="2:195" s="26" customFormat="1" ht="13" x14ac:dyDescent="0.3">
      <c r="B147" s="15" t="s">
        <v>142</v>
      </c>
      <c r="C147" s="23"/>
      <c r="D147" s="23"/>
      <c r="E147" s="23"/>
      <c r="F147" s="23"/>
      <c r="G147" s="23"/>
      <c r="H147" s="23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93"/>
      <c r="BT147" s="93"/>
      <c r="BU147" s="93"/>
      <c r="BV147" s="93"/>
      <c r="BW147" s="93"/>
      <c r="BX147" s="94">
        <f>BX53/BT53-1</f>
        <v>9.1743119266054496E-3</v>
      </c>
      <c r="BY147" s="94">
        <f>BY53/BU53-1</f>
        <v>5.1724137931034475E-2</v>
      </c>
      <c r="BZ147" s="94">
        <f>BZ53/BV53-1</f>
        <v>5.4545454545454453E-2</v>
      </c>
      <c r="CA147" s="94">
        <f>CA53/BW53-1</f>
        <v>0.12280701754385959</v>
      </c>
      <c r="CB147" s="94">
        <f>CB53/BX53-1</f>
        <v>7.2727272727272751E-2</v>
      </c>
      <c r="CC147" s="94">
        <f>CC53/BY53-1</f>
        <v>3.2786885245901676E-2</v>
      </c>
      <c r="CD147" s="94">
        <f>CD53/BZ53-1</f>
        <v>1.7241379310344751E-2</v>
      </c>
      <c r="CE147" s="94">
        <f>CE53/CA53-1</f>
        <v>3.125E-2</v>
      </c>
      <c r="CF147" s="94">
        <f>CF53/CB53-1</f>
        <v>-8.4745762711864181E-3</v>
      </c>
      <c r="CG147" s="94">
        <f>CG53/CC53-1</f>
        <v>-3.1746031746031744E-2</v>
      </c>
      <c r="CH147" s="94">
        <f>CH53/CD53-1</f>
        <v>0</v>
      </c>
      <c r="CI147" s="94">
        <f>CI53/CE53-1</f>
        <v>-0.14393939393939392</v>
      </c>
      <c r="CJ147" s="94">
        <f>CJ53/CF53-1</f>
        <v>-0.17094017094017089</v>
      </c>
      <c r="CK147" s="94">
        <f>CK53/CG53-1</f>
        <v>-0.19672131147540983</v>
      </c>
      <c r="CL147" s="94">
        <f>CL53/CH53-1</f>
        <v>-0.10169491525423724</v>
      </c>
      <c r="CM147" s="94">
        <f>CM53/CI53-1</f>
        <v>-8.8495575221239076E-3</v>
      </c>
      <c r="CN147" s="94">
        <f>CN53/CJ53-1</f>
        <v>7.2164948453608213E-2</v>
      </c>
      <c r="CO147" s="94">
        <f>CO53/CK53-1</f>
        <v>9.1836734693877542E-2</v>
      </c>
      <c r="CP147" s="94">
        <f>CP53/CL53-1</f>
        <v>-5.6603773584905648E-2</v>
      </c>
      <c r="CQ147" s="94">
        <f>CQ53/CM53-1</f>
        <v>-0.2053571428571429</v>
      </c>
      <c r="CR147" s="94">
        <f>CR53/CN53-1</f>
        <v>-0.125</v>
      </c>
      <c r="CS147" s="94"/>
      <c r="CT147" s="94"/>
      <c r="CU147" s="94"/>
      <c r="CV147" s="94"/>
      <c r="CW147" s="94"/>
      <c r="CX147" s="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94"/>
      <c r="DI147" s="94"/>
      <c r="DJ147" s="94"/>
      <c r="DK147" s="94"/>
      <c r="DL147" s="94"/>
      <c r="DM147" s="94"/>
      <c r="DN147" s="94"/>
      <c r="DO147" s="94"/>
      <c r="DP147" s="94"/>
      <c r="DQ147" s="94"/>
      <c r="DR147" s="94"/>
      <c r="DS147" s="94"/>
      <c r="DT147" s="94"/>
      <c r="DU147" s="94"/>
      <c r="DV147" s="94"/>
      <c r="DW147" s="94"/>
      <c r="DX147" s="94"/>
      <c r="DY147" s="94"/>
      <c r="DZ147" s="94"/>
      <c r="EA147" s="94"/>
      <c r="EB147" s="94"/>
      <c r="EC147" s="94"/>
      <c r="ED147" s="94"/>
      <c r="EE147" s="94"/>
      <c r="EF147" s="94"/>
      <c r="EG147" s="94"/>
      <c r="EH147" s="94"/>
      <c r="EI147" s="94"/>
      <c r="EJ147" s="94"/>
      <c r="EK147" s="94"/>
      <c r="EL147" s="94"/>
      <c r="EM147" s="94"/>
      <c r="EN147" s="94"/>
      <c r="EO147" s="94"/>
      <c r="EP147" s="94"/>
      <c r="EQ147" s="94"/>
      <c r="ER147" s="94"/>
      <c r="ES147" s="94"/>
      <c r="ET147" s="94"/>
      <c r="EU147" s="94"/>
      <c r="EV147" s="94"/>
      <c r="EW147" s="94"/>
      <c r="EX147" s="94"/>
      <c r="EY147" s="94"/>
      <c r="EZ147" s="94"/>
      <c r="FA147" s="94"/>
      <c r="FB147" s="94"/>
      <c r="FC147" s="94"/>
      <c r="FD147" s="65"/>
      <c r="FE147" s="65"/>
      <c r="FF147" s="94"/>
      <c r="FG147" s="94"/>
      <c r="FH147" s="94"/>
      <c r="FI147" s="94"/>
      <c r="FJ147" s="94"/>
      <c r="FK147" s="94"/>
      <c r="FL147" s="94"/>
      <c r="FM147" s="5"/>
      <c r="FN147" s="5"/>
      <c r="FO147" s="5"/>
      <c r="FP147" s="47"/>
      <c r="FQ147" s="47"/>
      <c r="FR147" s="47"/>
      <c r="FS147" s="47"/>
      <c r="FT147" s="47"/>
      <c r="FU147" s="47"/>
      <c r="FV147" s="47"/>
      <c r="FW147" s="47"/>
      <c r="FX147" s="47"/>
      <c r="FY147" s="47"/>
      <c r="FZ147" s="47"/>
      <c r="GA147" s="47"/>
      <c r="GB147" s="47"/>
      <c r="GC147" s="47"/>
      <c r="GD147" s="145"/>
      <c r="GE147" s="145"/>
      <c r="GF147" s="145"/>
      <c r="GG147" s="145"/>
      <c r="GH147" s="145"/>
      <c r="GI147" s="145"/>
      <c r="GJ147" s="64"/>
      <c r="GK147" s="40"/>
      <c r="GL147" s="64"/>
      <c r="GM147" s="64"/>
    </row>
    <row r="148" spans="2:195" s="26" customFormat="1" ht="13" x14ac:dyDescent="0.3">
      <c r="B148" s="15" t="s">
        <v>27</v>
      </c>
      <c r="C148" s="23"/>
      <c r="D148" s="23"/>
      <c r="E148" s="23"/>
      <c r="F148" s="23"/>
      <c r="G148" s="23"/>
      <c r="H148" s="23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93"/>
      <c r="BT148" s="93"/>
      <c r="BU148" s="93"/>
      <c r="BV148" s="93"/>
      <c r="BW148" s="93"/>
      <c r="BX148" s="94">
        <f>BX28/BT28-1</f>
        <v>5.9523809523809534E-2</v>
      </c>
      <c r="BY148" s="94">
        <f>BY28/BU28-1</f>
        <v>0.18586636397103939</v>
      </c>
      <c r="BZ148" s="94">
        <f>BZ28/BV28-1</f>
        <v>0.16279069767441867</v>
      </c>
      <c r="CA148" s="94">
        <f>CA28/BW28-1</f>
        <v>0.2441860465116279</v>
      </c>
      <c r="CB148" s="94">
        <f>CB28/BX28-1</f>
        <v>0.22471910112359561</v>
      </c>
      <c r="CC148" s="94">
        <f>CC28/BY28-1</f>
        <v>6.1855670103092786E-2</v>
      </c>
      <c r="CD148" s="94">
        <f>CD28/BZ28-1</f>
        <v>8.0000000000000071E-2</v>
      </c>
      <c r="CE148" s="94">
        <f>CE28/CA28-1</f>
        <v>8.4112149532710179E-2</v>
      </c>
      <c r="CF148" s="94">
        <f>CF28/CB28-1</f>
        <v>1.8348623853210899E-2</v>
      </c>
      <c r="CG148" s="94">
        <f>CG28/CC28-1</f>
        <v>0.16504854368932032</v>
      </c>
      <c r="CH148" s="94">
        <f>CH28/CD28-1</f>
        <v>0.14814814814814814</v>
      </c>
      <c r="CI148" s="94">
        <f>CI28/CE28-1</f>
        <v>0.10344827586206895</v>
      </c>
      <c r="CJ148" s="94">
        <f>CJ28/CF28-1</f>
        <v>5.4054054054053946E-2</v>
      </c>
      <c r="CK148" s="94">
        <f>CK28/CG28-1</f>
        <v>0</v>
      </c>
      <c r="CL148" s="94">
        <f>CL28/CH28-1</f>
        <v>-3.2258064516129004E-2</v>
      </c>
      <c r="CM148" s="94">
        <f>CM28/CI28-1</f>
        <v>8.59375E-2</v>
      </c>
      <c r="CN148" s="94">
        <f>CN28/CJ28-1</f>
        <v>2.564102564102555E-2</v>
      </c>
      <c r="CO148" s="94">
        <f>CO28/CK28-1</f>
        <v>6.6666666666666652E-2</v>
      </c>
      <c r="CP148" s="94">
        <f>CP28/CL28-1</f>
        <v>4.1666666666666741E-2</v>
      </c>
      <c r="CQ148" s="94">
        <f>CQ28/CM28-1</f>
        <v>-7.9136690647481966E-2</v>
      </c>
      <c r="CR148" s="94">
        <f>CR28/CN28-1</f>
        <v>0.125</v>
      </c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65"/>
      <c r="FE148" s="65"/>
      <c r="FF148" s="94"/>
      <c r="FG148" s="94"/>
      <c r="FH148" s="94"/>
      <c r="FI148" s="94"/>
      <c r="FJ148" s="94"/>
      <c r="FK148" s="94"/>
      <c r="FL148" s="94"/>
      <c r="FM148" s="5"/>
      <c r="FN148" s="5"/>
      <c r="FO148" s="5"/>
      <c r="FP148" s="47"/>
      <c r="FQ148" s="47"/>
      <c r="FR148" s="47"/>
      <c r="FS148" s="47"/>
      <c r="FT148" s="47"/>
      <c r="FU148" s="47"/>
      <c r="FV148" s="47"/>
      <c r="FW148" s="47"/>
      <c r="FX148" s="47"/>
      <c r="FY148" s="47"/>
      <c r="FZ148" s="47"/>
      <c r="GA148" s="47"/>
      <c r="GB148" s="47"/>
      <c r="GC148" s="47"/>
      <c r="GD148" s="145"/>
      <c r="GE148" s="145"/>
      <c r="GF148" s="145"/>
      <c r="GG148" s="145"/>
      <c r="GH148" s="145"/>
      <c r="GI148" s="145"/>
      <c r="GJ148" s="64"/>
      <c r="GK148" s="40"/>
      <c r="GL148" s="64"/>
      <c r="GM148" s="64"/>
    </row>
    <row r="149" spans="2:195" s="26" customFormat="1" ht="13" x14ac:dyDescent="0.3">
      <c r="B149" s="15" t="s">
        <v>37</v>
      </c>
      <c r="C149" s="23"/>
      <c r="D149" s="23"/>
      <c r="E149" s="23"/>
      <c r="F149" s="23"/>
      <c r="G149" s="23"/>
      <c r="H149" s="23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66"/>
      <c r="CE149" s="66"/>
      <c r="CF149" s="66"/>
      <c r="CG149" s="66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3"/>
      <c r="DD149" s="93"/>
      <c r="DE149" s="93"/>
      <c r="DF149" s="93"/>
      <c r="DG149" s="93"/>
      <c r="DH149" s="93"/>
      <c r="DI149" s="93"/>
      <c r="DJ149" s="93"/>
      <c r="DK149" s="93"/>
      <c r="DL149" s="93"/>
      <c r="DM149" s="93"/>
      <c r="DN149" s="93"/>
      <c r="DO149" s="93"/>
      <c r="DP149" s="93"/>
      <c r="DQ149" s="93"/>
      <c r="DR149" s="93"/>
      <c r="DS149" s="93"/>
      <c r="DT149" s="93"/>
      <c r="DU149" s="93"/>
      <c r="DV149" s="93"/>
      <c r="DW149" s="93"/>
      <c r="DX149" s="93"/>
      <c r="DY149" s="93"/>
      <c r="DZ149" s="93"/>
      <c r="EA149" s="93"/>
      <c r="EB149" s="93"/>
      <c r="EC149" s="93"/>
      <c r="ED149" s="93"/>
      <c r="EE149" s="93"/>
      <c r="EF149" s="93"/>
      <c r="EG149" s="93"/>
      <c r="EH149" s="93"/>
      <c r="EI149" s="93"/>
      <c r="EJ149" s="93"/>
      <c r="EK149" s="93"/>
      <c r="EL149" s="93"/>
      <c r="EM149" s="93"/>
      <c r="EN149" s="93"/>
      <c r="EO149" s="93"/>
      <c r="EP149" s="93"/>
      <c r="EQ149" s="93"/>
      <c r="ER149" s="93"/>
      <c r="ES149" s="93"/>
      <c r="ET149" s="93"/>
      <c r="EU149" s="93"/>
      <c r="EV149" s="93"/>
      <c r="EW149" s="93"/>
      <c r="EX149" s="93"/>
      <c r="EY149" s="93"/>
      <c r="EZ149" s="93"/>
      <c r="FA149" s="93"/>
      <c r="FB149" s="93"/>
      <c r="FC149" s="93"/>
      <c r="FD149" s="147"/>
      <c r="FE149" s="147"/>
      <c r="FF149" s="93"/>
      <c r="FG149" s="93"/>
      <c r="FH149" s="93"/>
      <c r="FI149" s="93"/>
      <c r="FJ149" s="93"/>
      <c r="FK149" s="93"/>
      <c r="FL149" s="93"/>
      <c r="FM149" s="5"/>
      <c r="FN149" s="5"/>
      <c r="FO149" s="5"/>
      <c r="FP149" s="47"/>
      <c r="FQ149" s="47"/>
      <c r="FR149" s="47"/>
      <c r="FS149" s="47"/>
      <c r="FT149" s="47"/>
      <c r="FU149" s="47"/>
      <c r="FV149" s="47"/>
      <c r="FW149" s="47"/>
      <c r="FX149" s="47"/>
      <c r="FY149" s="47"/>
      <c r="FZ149" s="47"/>
      <c r="GA149" s="47"/>
      <c r="GB149" s="47"/>
      <c r="GC149" s="47"/>
      <c r="GD149" s="145"/>
      <c r="GE149" s="145"/>
      <c r="GF149" s="145"/>
      <c r="GG149" s="145"/>
      <c r="GH149" s="145"/>
      <c r="GI149" s="145"/>
      <c r="GJ149" s="64"/>
      <c r="GK149" s="40"/>
      <c r="GL149" s="64"/>
      <c r="GM149" s="64"/>
    </row>
    <row r="150" spans="2:195" s="26" customFormat="1" ht="13" x14ac:dyDescent="0.3">
      <c r="B150" s="15" t="s">
        <v>30</v>
      </c>
      <c r="C150" s="23"/>
      <c r="D150" s="23"/>
      <c r="E150" s="23"/>
      <c r="F150" s="23"/>
      <c r="G150" s="23"/>
      <c r="H150" s="23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66"/>
      <c r="CE150" s="66"/>
      <c r="CF150" s="66"/>
      <c r="CG150" s="66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3"/>
      <c r="DD150" s="93"/>
      <c r="DE150" s="93"/>
      <c r="DF150" s="93"/>
      <c r="DG150" s="93"/>
      <c r="DH150" s="93"/>
      <c r="DI150" s="93"/>
      <c r="DJ150" s="93"/>
      <c r="DK150" s="93"/>
      <c r="DL150" s="93"/>
      <c r="DM150" s="93"/>
      <c r="DN150" s="93"/>
      <c r="DO150" s="93"/>
      <c r="DP150" s="93"/>
      <c r="DQ150" s="93"/>
      <c r="DR150" s="93"/>
      <c r="DS150" s="93"/>
      <c r="DT150" s="93"/>
      <c r="DU150" s="93"/>
      <c r="DV150" s="93"/>
      <c r="DW150" s="93"/>
      <c r="DX150" s="93"/>
      <c r="DY150" s="93"/>
      <c r="DZ150" s="93"/>
      <c r="EA150" s="93"/>
      <c r="EB150" s="93"/>
      <c r="EC150" s="93"/>
      <c r="ED150" s="93"/>
      <c r="EE150" s="93"/>
      <c r="EF150" s="93"/>
      <c r="EG150" s="93"/>
      <c r="EH150" s="93"/>
      <c r="EI150" s="93"/>
      <c r="EJ150" s="93"/>
      <c r="EK150" s="93"/>
      <c r="EL150" s="93"/>
      <c r="EM150" s="93"/>
      <c r="EN150" s="93"/>
      <c r="EO150" s="93"/>
      <c r="EP150" s="93"/>
      <c r="EQ150" s="93"/>
      <c r="ER150" s="93"/>
      <c r="ES150" s="93"/>
      <c r="ET150" s="93"/>
      <c r="EU150" s="93"/>
      <c r="EV150" s="93"/>
      <c r="EW150" s="93"/>
      <c r="EX150" s="93"/>
      <c r="EY150" s="93"/>
      <c r="EZ150" s="93"/>
      <c r="FA150" s="93"/>
      <c r="FB150" s="93"/>
      <c r="FC150" s="93"/>
      <c r="FD150" s="147"/>
      <c r="FE150" s="147"/>
      <c r="FF150" s="93"/>
      <c r="FG150" s="93"/>
      <c r="FH150" s="93"/>
      <c r="FI150" s="93"/>
      <c r="FJ150" s="93"/>
      <c r="FK150" s="93"/>
      <c r="FL150" s="93"/>
      <c r="FM150" s="5"/>
      <c r="FN150" s="5"/>
      <c r="FO150" s="5"/>
      <c r="FP150" s="47"/>
      <c r="FQ150" s="47"/>
      <c r="FR150" s="47"/>
      <c r="FS150" s="47"/>
      <c r="FT150" s="47"/>
      <c r="FU150" s="47"/>
      <c r="FV150" s="47"/>
      <c r="FW150" s="47"/>
      <c r="FX150" s="47"/>
      <c r="FY150" s="47"/>
      <c r="FZ150" s="47"/>
      <c r="GA150" s="47"/>
      <c r="GB150" s="47"/>
      <c r="GC150" s="47"/>
      <c r="GD150" s="145"/>
      <c r="GE150" s="145"/>
      <c r="GF150" s="145"/>
      <c r="GG150" s="145"/>
      <c r="GH150" s="145"/>
      <c r="GI150" s="145"/>
      <c r="GJ150" s="64"/>
      <c r="GK150" s="40"/>
      <c r="GL150" s="64"/>
      <c r="GM150" s="64"/>
    </row>
    <row r="151" spans="2:195" s="26" customFormat="1" ht="13" x14ac:dyDescent="0.3">
      <c r="B151" s="15" t="s">
        <v>26</v>
      </c>
      <c r="C151" s="23"/>
      <c r="D151" s="23"/>
      <c r="E151" s="23"/>
      <c r="F151" s="23"/>
      <c r="G151" s="23"/>
      <c r="H151" s="23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66"/>
      <c r="CE151" s="66"/>
      <c r="CF151" s="66"/>
      <c r="CG151" s="66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3"/>
      <c r="DD151" s="93"/>
      <c r="DE151" s="93"/>
      <c r="DF151" s="93"/>
      <c r="DG151" s="93"/>
      <c r="DH151" s="93"/>
      <c r="DI151" s="93"/>
      <c r="DJ151" s="93"/>
      <c r="DK151" s="93"/>
      <c r="DL151" s="93"/>
      <c r="DM151" s="93"/>
      <c r="DN151" s="93"/>
      <c r="DO151" s="93"/>
      <c r="DP151" s="93"/>
      <c r="DQ151" s="93"/>
      <c r="DR151" s="93"/>
      <c r="DS151" s="93"/>
      <c r="DT151" s="93"/>
      <c r="DU151" s="93"/>
      <c r="DV151" s="93"/>
      <c r="DW151" s="93"/>
      <c r="DX151" s="93"/>
      <c r="DY151" s="93"/>
      <c r="DZ151" s="93"/>
      <c r="EA151" s="93"/>
      <c r="EB151" s="93"/>
      <c r="EC151" s="93"/>
      <c r="ED151" s="93"/>
      <c r="EE151" s="93"/>
      <c r="EF151" s="93"/>
      <c r="EG151" s="93"/>
      <c r="EH151" s="93"/>
      <c r="EI151" s="93"/>
      <c r="EJ151" s="93"/>
      <c r="EK151" s="93"/>
      <c r="EL151" s="93"/>
      <c r="EM151" s="93"/>
      <c r="EN151" s="93"/>
      <c r="EO151" s="93"/>
      <c r="EP151" s="93"/>
      <c r="EQ151" s="93"/>
      <c r="ER151" s="93"/>
      <c r="ES151" s="93"/>
      <c r="ET151" s="93"/>
      <c r="EU151" s="93"/>
      <c r="EV151" s="93"/>
      <c r="EW151" s="93"/>
      <c r="EX151" s="93"/>
      <c r="EY151" s="93"/>
      <c r="EZ151" s="93"/>
      <c r="FA151" s="93"/>
      <c r="FB151" s="93"/>
      <c r="FC151" s="93"/>
      <c r="FD151" s="147"/>
      <c r="FE151" s="147"/>
      <c r="FF151" s="93"/>
      <c r="FG151" s="93"/>
      <c r="FH151" s="93"/>
      <c r="FI151" s="93"/>
      <c r="FJ151" s="93"/>
      <c r="FK151" s="93"/>
      <c r="FL151" s="93"/>
      <c r="FM151" s="5"/>
      <c r="FN151" s="5"/>
      <c r="FO151" s="5"/>
      <c r="FP151" s="47"/>
      <c r="FQ151" s="47"/>
      <c r="FR151" s="47"/>
      <c r="FS151" s="47"/>
      <c r="FT151" s="47"/>
      <c r="FU151" s="47"/>
      <c r="FV151" s="47"/>
      <c r="FW151" s="47"/>
      <c r="FX151" s="47"/>
      <c r="FY151" s="47"/>
      <c r="FZ151" s="47"/>
      <c r="GA151" s="47"/>
      <c r="GB151" s="47"/>
      <c r="GC151" s="47"/>
      <c r="GD151" s="145"/>
      <c r="GE151" s="145"/>
      <c r="GF151" s="145"/>
      <c r="GG151" s="145"/>
      <c r="GH151" s="145"/>
      <c r="GI151" s="145"/>
      <c r="GJ151" s="64"/>
      <c r="GK151" s="40"/>
      <c r="GL151" s="64"/>
      <c r="GM151" s="64"/>
    </row>
    <row r="152" spans="2:195" s="26" customFormat="1" ht="13" x14ac:dyDescent="0.3">
      <c r="C152" s="23"/>
      <c r="D152" s="23"/>
      <c r="E152" s="23"/>
      <c r="F152" s="23"/>
      <c r="G152" s="23"/>
      <c r="H152" s="23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66"/>
      <c r="CE152" s="66"/>
      <c r="CF152" s="66"/>
      <c r="CG152" s="66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3"/>
      <c r="DP152" s="93"/>
      <c r="DQ152" s="93"/>
      <c r="DR152" s="93"/>
      <c r="DS152" s="93"/>
      <c r="DT152" s="93"/>
      <c r="DU152" s="93"/>
      <c r="DV152" s="93"/>
      <c r="DW152" s="93"/>
      <c r="DX152" s="93"/>
      <c r="DY152" s="93"/>
      <c r="DZ152" s="93"/>
      <c r="EA152" s="93"/>
      <c r="EB152" s="93"/>
      <c r="EC152" s="93"/>
      <c r="ED152" s="93"/>
      <c r="EE152" s="93"/>
      <c r="EF152" s="93"/>
      <c r="EG152" s="93"/>
      <c r="EH152" s="93"/>
      <c r="EI152" s="93"/>
      <c r="EJ152" s="93"/>
      <c r="EK152" s="93"/>
      <c r="EL152" s="93"/>
      <c r="EM152" s="93"/>
      <c r="EN152" s="93"/>
      <c r="EO152" s="93"/>
      <c r="EP152" s="93"/>
      <c r="EQ152" s="93"/>
      <c r="ER152" s="93"/>
      <c r="ES152" s="93"/>
      <c r="ET152" s="93"/>
      <c r="EU152" s="93"/>
      <c r="EV152" s="93"/>
      <c r="EW152" s="93"/>
      <c r="EX152" s="93"/>
      <c r="EY152" s="93"/>
      <c r="EZ152" s="93"/>
      <c r="FA152" s="93"/>
      <c r="FB152" s="93"/>
      <c r="FC152" s="93"/>
      <c r="FD152" s="147"/>
      <c r="FE152" s="147"/>
      <c r="FF152" s="93"/>
      <c r="FG152" s="93"/>
      <c r="FH152" s="93"/>
      <c r="FI152" s="93"/>
      <c r="FJ152" s="93"/>
      <c r="FK152" s="93"/>
      <c r="FL152" s="93"/>
      <c r="FM152" s="5"/>
      <c r="FN152" s="5"/>
      <c r="FO152" s="5"/>
      <c r="FP152" s="47"/>
      <c r="FQ152" s="47"/>
      <c r="FR152" s="47"/>
      <c r="FS152" s="47"/>
      <c r="FT152" s="47"/>
      <c r="FU152" s="47"/>
      <c r="FV152" s="47"/>
      <c r="FW152" s="47"/>
      <c r="FX152" s="47"/>
      <c r="FY152" s="47"/>
      <c r="FZ152" s="47"/>
      <c r="GA152" s="47"/>
      <c r="GB152" s="47"/>
      <c r="GC152" s="47"/>
      <c r="GD152" s="145"/>
      <c r="GE152" s="145"/>
      <c r="GF152" s="145"/>
      <c r="GG152" s="145"/>
      <c r="GH152" s="145"/>
      <c r="GI152" s="145"/>
      <c r="GJ152" s="64"/>
      <c r="GK152" s="40"/>
      <c r="GL152" s="64"/>
      <c r="GM152" s="64"/>
    </row>
    <row r="153" spans="2:195" s="26" customFormat="1" ht="13" x14ac:dyDescent="0.3">
      <c r="B153" s="3" t="s">
        <v>589</v>
      </c>
      <c r="C153" s="23"/>
      <c r="D153" s="23"/>
      <c r="E153" s="23"/>
      <c r="F153" s="23"/>
      <c r="G153" s="23"/>
      <c r="H153" s="23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66"/>
      <c r="CE153" s="66"/>
      <c r="CF153" s="66"/>
      <c r="CG153" s="66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3"/>
      <c r="DD153" s="93"/>
      <c r="DE153" s="93"/>
      <c r="DF153" s="93"/>
      <c r="DG153" s="93"/>
      <c r="DH153" s="93"/>
      <c r="DI153" s="93"/>
      <c r="DJ153" s="93"/>
      <c r="DK153" s="93"/>
      <c r="DL153" s="93"/>
      <c r="DM153" s="93"/>
      <c r="DN153" s="93"/>
      <c r="DO153" s="93"/>
      <c r="DP153" s="93"/>
      <c r="DQ153" s="93"/>
      <c r="DR153" s="93"/>
      <c r="DS153" s="93"/>
      <c r="DT153" s="93"/>
      <c r="DU153" s="93"/>
      <c r="DV153" s="93"/>
      <c r="DW153" s="93"/>
      <c r="DX153" s="93"/>
      <c r="DY153" s="93"/>
      <c r="DZ153" s="93"/>
      <c r="EA153" s="93"/>
      <c r="EB153" s="93"/>
      <c r="EC153" s="93"/>
      <c r="ED153" s="93"/>
      <c r="EE153" s="93"/>
      <c r="EF153" s="93"/>
      <c r="EG153" s="93"/>
      <c r="EH153" s="93"/>
      <c r="EI153" s="93"/>
      <c r="EJ153" s="93"/>
      <c r="EK153" s="93"/>
      <c r="EL153" s="93"/>
      <c r="EM153" s="93"/>
      <c r="EN153" s="93"/>
      <c r="EO153" s="93"/>
      <c r="EP153" s="93"/>
      <c r="EQ153" s="93"/>
      <c r="ER153" s="93"/>
      <c r="ES153" s="93"/>
      <c r="ET153" s="93"/>
      <c r="EU153" s="93"/>
      <c r="EV153" s="93"/>
      <c r="EW153" s="93"/>
      <c r="EX153" s="93"/>
      <c r="EY153" s="93"/>
      <c r="EZ153" s="93"/>
      <c r="FA153" s="93"/>
      <c r="FB153" s="93"/>
      <c r="FC153" s="93"/>
      <c r="FD153" s="147"/>
      <c r="FE153" s="147"/>
      <c r="FF153" s="93"/>
      <c r="FG153" s="93"/>
      <c r="FH153" s="93"/>
      <c r="FI153" s="93"/>
      <c r="FJ153" s="93"/>
      <c r="FK153" s="93"/>
      <c r="FL153" s="93"/>
      <c r="FM153" s="5"/>
      <c r="FN153" s="5"/>
      <c r="FO153" s="5"/>
      <c r="FP153" s="47"/>
      <c r="FQ153" s="47"/>
      <c r="FR153" s="47"/>
      <c r="FS153" s="47"/>
      <c r="FT153" s="47"/>
      <c r="FU153" s="47"/>
      <c r="FV153" s="47"/>
      <c r="FW153" s="23">
        <f>FW94</f>
        <v>9786</v>
      </c>
      <c r="FX153" s="23">
        <f t="shared" ref="FX153" si="134">FX94</f>
        <v>9919</v>
      </c>
      <c r="FY153" s="47"/>
      <c r="FZ153" s="47"/>
      <c r="GA153" s="47"/>
      <c r="GB153" s="47"/>
      <c r="GC153" s="47"/>
      <c r="GD153" s="145"/>
      <c r="GE153" s="145"/>
      <c r="GF153" s="145"/>
      <c r="GG153" s="145"/>
      <c r="GH153" s="145"/>
      <c r="GI153" s="145"/>
      <c r="GJ153" s="64"/>
      <c r="GK153" s="40"/>
      <c r="GL153" s="64"/>
      <c r="GM153" s="64"/>
    </row>
    <row r="154" spans="2:195" x14ac:dyDescent="0.25">
      <c r="B154" s="3" t="s">
        <v>586</v>
      </c>
      <c r="E154" s="44"/>
      <c r="F154" s="44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FW154" s="23">
        <v>12177</v>
      </c>
      <c r="FX154" s="23">
        <v>16877</v>
      </c>
    </row>
    <row r="155" spans="2:195" x14ac:dyDescent="0.25">
      <c r="B155" s="3" t="s">
        <v>587</v>
      </c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FW155" s="23">
        <v>3139</v>
      </c>
      <c r="FX155" s="23">
        <v>2984</v>
      </c>
    </row>
    <row r="156" spans="2:195" x14ac:dyDescent="0.25">
      <c r="B156" s="3" t="s">
        <v>588</v>
      </c>
      <c r="E156" s="28"/>
      <c r="F156" s="28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FW156" s="23">
        <f>+FW154-FW155</f>
        <v>9038</v>
      </c>
      <c r="FX156" s="23">
        <f>+FX154-FX155</f>
        <v>13893</v>
      </c>
    </row>
    <row r="157" spans="2:195" x14ac:dyDescent="0.25"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</row>
    <row r="158" spans="2:195" x14ac:dyDescent="0.25">
      <c r="B158" s="3" t="s">
        <v>785</v>
      </c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GA158" s="23">
        <v>82089</v>
      </c>
      <c r="GB158" s="23">
        <v>85080</v>
      </c>
      <c r="GC158" s="23">
        <v>88509</v>
      </c>
      <c r="GD158" s="129">
        <v>91747</v>
      </c>
      <c r="GE158" s="129">
        <v>94052</v>
      </c>
      <c r="GF158" s="129">
        <v>93734</v>
      </c>
      <c r="GG158" s="129">
        <v>94442</v>
      </c>
      <c r="GH158" s="129">
        <v>97735</v>
      </c>
      <c r="GI158" s="129">
        <v>101465</v>
      </c>
      <c r="GJ158" s="129">
        <v>100920</v>
      </c>
    </row>
    <row r="159" spans="2:195" x14ac:dyDescent="0.25"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</row>
    <row r="160" spans="2:195" s="123" customFormat="1" x14ac:dyDescent="0.25">
      <c r="B160" s="20" t="s">
        <v>909</v>
      </c>
      <c r="C160" s="23"/>
      <c r="D160" s="23"/>
      <c r="E160" s="23"/>
      <c r="F160" s="23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128"/>
      <c r="FE160" s="128"/>
      <c r="FF160" s="66"/>
      <c r="FG160" s="66"/>
      <c r="FH160" s="66"/>
      <c r="FI160" s="66"/>
      <c r="FJ160" s="66"/>
      <c r="FK160" s="66"/>
      <c r="FL160" s="66"/>
      <c r="FM160" s="122"/>
      <c r="FN160" s="122"/>
      <c r="FO160" s="122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129"/>
      <c r="GE160" s="129"/>
      <c r="GF160" s="129"/>
      <c r="GG160" s="129"/>
      <c r="GH160" s="129"/>
      <c r="GI160" s="129"/>
      <c r="GJ160" s="129"/>
      <c r="GK160" s="146"/>
      <c r="GL160" s="129">
        <f>+GL161-GL172</f>
        <v>-18699</v>
      </c>
      <c r="GM160" s="129">
        <f>+GM161-GM172</f>
        <v>-17337</v>
      </c>
    </row>
    <row r="161" spans="2:195" s="123" customFormat="1" x14ac:dyDescent="0.25">
      <c r="B161" s="20" t="s">
        <v>786</v>
      </c>
      <c r="C161" s="23"/>
      <c r="D161" s="23"/>
      <c r="E161" s="23"/>
      <c r="F161" s="23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66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DQ161" s="66"/>
      <c r="DR161" s="66"/>
      <c r="DS161" s="66"/>
      <c r="DT161" s="66"/>
      <c r="DU161" s="66"/>
      <c r="DV161" s="66"/>
      <c r="DW161" s="66"/>
      <c r="DX161" s="66"/>
      <c r="DY161" s="66"/>
      <c r="DZ161" s="66"/>
      <c r="EA161" s="66"/>
      <c r="EB161" s="66"/>
      <c r="EC161" s="66"/>
      <c r="ED161" s="66"/>
      <c r="EE161" s="66"/>
      <c r="EF161" s="66"/>
      <c r="EG161" s="66"/>
      <c r="EH161" s="66"/>
      <c r="EI161" s="66"/>
      <c r="EJ161" s="66"/>
      <c r="EK161" s="66"/>
      <c r="EL161" s="66"/>
      <c r="EM161" s="66"/>
      <c r="EN161" s="66"/>
      <c r="EO161" s="66"/>
      <c r="EP161" s="66"/>
      <c r="EQ161" s="66"/>
      <c r="ER161" s="66"/>
      <c r="ES161" s="66"/>
      <c r="ET161" s="66"/>
      <c r="EU161" s="66"/>
      <c r="EV161" s="66"/>
      <c r="EW161" s="66"/>
      <c r="EX161" s="66"/>
      <c r="EY161" s="66"/>
      <c r="EZ161" s="66"/>
      <c r="FA161" s="66"/>
      <c r="FB161" s="66"/>
      <c r="FC161" s="66"/>
      <c r="FD161" s="128"/>
      <c r="FE161" s="128"/>
      <c r="FF161" s="66"/>
      <c r="FG161" s="66"/>
      <c r="FH161" s="66"/>
      <c r="FI161" s="66"/>
      <c r="FJ161" s="66"/>
      <c r="FK161" s="66"/>
      <c r="FL161" s="66"/>
      <c r="FM161" s="122"/>
      <c r="FN161" s="122"/>
      <c r="FO161" s="122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129"/>
      <c r="GE161" s="129"/>
      <c r="GF161" s="129"/>
      <c r="GG161" s="129"/>
      <c r="GH161" s="129"/>
      <c r="GI161" s="129"/>
      <c r="GJ161" s="129"/>
      <c r="GK161" s="146"/>
      <c r="GL161" s="129">
        <f>5376+5134</f>
        <v>10510</v>
      </c>
      <c r="GM161" s="129">
        <f>6975+10342</f>
        <v>17317</v>
      </c>
    </row>
    <row r="162" spans="2:195" s="123" customFormat="1" x14ac:dyDescent="0.25">
      <c r="B162" s="20" t="s">
        <v>900</v>
      </c>
      <c r="C162" s="23"/>
      <c r="D162" s="23"/>
      <c r="E162" s="23"/>
      <c r="F162" s="23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128"/>
      <c r="FE162" s="128"/>
      <c r="FF162" s="66"/>
      <c r="FG162" s="66"/>
      <c r="FH162" s="66"/>
      <c r="FI162" s="66"/>
      <c r="FJ162" s="66"/>
      <c r="FK162" s="66"/>
      <c r="FL162" s="66"/>
      <c r="FM162" s="122"/>
      <c r="FN162" s="122"/>
      <c r="FO162" s="122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129"/>
      <c r="GE162" s="129"/>
      <c r="GF162" s="129"/>
      <c r="GG162" s="129"/>
      <c r="GH162" s="129"/>
      <c r="GI162" s="129"/>
      <c r="GJ162" s="129"/>
      <c r="GK162" s="146"/>
      <c r="GL162" s="129">
        <v>3822</v>
      </c>
      <c r="GM162" s="129">
        <v>3401</v>
      </c>
    </row>
    <row r="163" spans="2:195" s="123" customFormat="1" x14ac:dyDescent="0.25">
      <c r="B163" s="20" t="s">
        <v>901</v>
      </c>
      <c r="C163" s="23"/>
      <c r="D163" s="23"/>
      <c r="E163" s="23"/>
      <c r="F163" s="23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  <c r="EH163" s="66"/>
      <c r="EI163" s="66"/>
      <c r="EJ163" s="66"/>
      <c r="EK163" s="66"/>
      <c r="EL163" s="66"/>
      <c r="EM163" s="66"/>
      <c r="EN163" s="66"/>
      <c r="EO163" s="66"/>
      <c r="EP163" s="66"/>
      <c r="EQ163" s="66"/>
      <c r="ER163" s="66"/>
      <c r="ES163" s="66"/>
      <c r="ET163" s="66"/>
      <c r="EU163" s="66"/>
      <c r="EV163" s="66"/>
      <c r="EW163" s="66"/>
      <c r="EX163" s="66"/>
      <c r="EY163" s="66"/>
      <c r="EZ163" s="66"/>
      <c r="FA163" s="66"/>
      <c r="FB163" s="66"/>
      <c r="FC163" s="66"/>
      <c r="FD163" s="128"/>
      <c r="FE163" s="128"/>
      <c r="FF163" s="66"/>
      <c r="FG163" s="66"/>
      <c r="FH163" s="66"/>
      <c r="FI163" s="66"/>
      <c r="FJ163" s="66"/>
      <c r="FK163" s="66"/>
      <c r="FL163" s="66"/>
      <c r="FM163" s="122"/>
      <c r="FN163" s="122"/>
      <c r="FO163" s="122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129"/>
      <c r="GE163" s="129"/>
      <c r="GF163" s="129"/>
      <c r="GG163" s="129"/>
      <c r="GH163" s="129"/>
      <c r="GI163" s="129"/>
      <c r="GJ163" s="129"/>
      <c r="GK163" s="146"/>
      <c r="GL163" s="129">
        <f>344+6882</f>
        <v>7226</v>
      </c>
      <c r="GM163" s="129">
        <f>415+8569</f>
        <v>8984</v>
      </c>
    </row>
    <row r="164" spans="2:195" s="123" customFormat="1" x14ac:dyDescent="0.25">
      <c r="B164" s="20" t="s">
        <v>902</v>
      </c>
      <c r="C164" s="23"/>
      <c r="D164" s="23"/>
      <c r="E164" s="23"/>
      <c r="F164" s="23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128"/>
      <c r="FE164" s="128"/>
      <c r="FF164" s="66"/>
      <c r="FG164" s="66"/>
      <c r="FH164" s="66"/>
      <c r="FI164" s="66"/>
      <c r="FJ164" s="66"/>
      <c r="FK164" s="66"/>
      <c r="FL164" s="66"/>
      <c r="FM164" s="122"/>
      <c r="FN164" s="122"/>
      <c r="FO164" s="122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129"/>
      <c r="GE164" s="129"/>
      <c r="GF164" s="129"/>
      <c r="GG164" s="129"/>
      <c r="GH164" s="129"/>
      <c r="GI164" s="129"/>
      <c r="GJ164" s="129"/>
      <c r="GK164" s="146"/>
      <c r="GL164" s="129">
        <v>11021</v>
      </c>
      <c r="GM164" s="129">
        <v>11297</v>
      </c>
    </row>
    <row r="165" spans="2:195" s="123" customFormat="1" x14ac:dyDescent="0.25">
      <c r="B165" s="20" t="s">
        <v>903</v>
      </c>
      <c r="C165" s="23"/>
      <c r="D165" s="23"/>
      <c r="E165" s="23"/>
      <c r="F165" s="23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  <c r="EH165" s="66"/>
      <c r="EI165" s="66"/>
      <c r="EJ165" s="66"/>
      <c r="EK165" s="66"/>
      <c r="EL165" s="66"/>
      <c r="EM165" s="66"/>
      <c r="EN165" s="66"/>
      <c r="EO165" s="66"/>
      <c r="EP165" s="66"/>
      <c r="EQ165" s="66"/>
      <c r="ER165" s="66"/>
      <c r="ES165" s="66"/>
      <c r="ET165" s="66"/>
      <c r="EU165" s="66"/>
      <c r="EV165" s="66"/>
      <c r="EW165" s="66"/>
      <c r="EX165" s="66"/>
      <c r="EY165" s="66"/>
      <c r="EZ165" s="66"/>
      <c r="FA165" s="66"/>
      <c r="FB165" s="66"/>
      <c r="FC165" s="66"/>
      <c r="FD165" s="128"/>
      <c r="FE165" s="128"/>
      <c r="FF165" s="66"/>
      <c r="FG165" s="66"/>
      <c r="FH165" s="66"/>
      <c r="FI165" s="66"/>
      <c r="FJ165" s="66"/>
      <c r="FK165" s="66"/>
      <c r="FL165" s="66"/>
      <c r="FM165" s="122"/>
      <c r="FN165" s="122"/>
      <c r="FO165" s="122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129"/>
      <c r="GE165" s="129"/>
      <c r="GF165" s="129"/>
      <c r="GG165" s="129"/>
      <c r="GH165" s="129"/>
      <c r="GI165" s="129"/>
      <c r="GJ165" s="129"/>
      <c r="GK165" s="146"/>
      <c r="GL165" s="129">
        <v>7749</v>
      </c>
      <c r="GM165" s="129">
        <v>7606</v>
      </c>
    </row>
    <row r="166" spans="2:195" s="123" customFormat="1" x14ac:dyDescent="0.25">
      <c r="B166" s="20" t="s">
        <v>904</v>
      </c>
      <c r="C166" s="23"/>
      <c r="D166" s="23"/>
      <c r="E166" s="23"/>
      <c r="F166" s="23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128"/>
      <c r="FE166" s="128"/>
      <c r="FF166" s="66"/>
      <c r="FG166" s="66"/>
      <c r="FH166" s="66"/>
      <c r="FI166" s="66"/>
      <c r="FJ166" s="66"/>
      <c r="FK166" s="66"/>
      <c r="FL166" s="66"/>
      <c r="FM166" s="122"/>
      <c r="FN166" s="122"/>
      <c r="FO166" s="122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129"/>
      <c r="GE166" s="129"/>
      <c r="GF166" s="129"/>
      <c r="GG166" s="129"/>
      <c r="GH166" s="129"/>
      <c r="GI166" s="129"/>
      <c r="GJ166" s="129"/>
      <c r="GK166" s="146"/>
      <c r="GL166" s="129">
        <v>1964</v>
      </c>
      <c r="GM166" s="129">
        <v>2021</v>
      </c>
    </row>
    <row r="167" spans="2:195" s="123" customFormat="1" x14ac:dyDescent="0.25">
      <c r="B167" s="20" t="s">
        <v>905</v>
      </c>
      <c r="C167" s="23"/>
      <c r="D167" s="23"/>
      <c r="E167" s="23"/>
      <c r="F167" s="23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  <c r="EH167" s="66"/>
      <c r="EI167" s="66"/>
      <c r="EJ167" s="66"/>
      <c r="EK167" s="66"/>
      <c r="EL167" s="66"/>
      <c r="EM167" s="66"/>
      <c r="EN167" s="66"/>
      <c r="EO167" s="66"/>
      <c r="EP167" s="66"/>
      <c r="EQ167" s="66"/>
      <c r="ER167" s="66"/>
      <c r="ES167" s="66"/>
      <c r="ET167" s="66"/>
      <c r="EU167" s="66"/>
      <c r="EV167" s="66"/>
      <c r="EW167" s="66"/>
      <c r="EX167" s="66"/>
      <c r="EY167" s="66"/>
      <c r="EZ167" s="66"/>
      <c r="FA167" s="66"/>
      <c r="FB167" s="66"/>
      <c r="FC167" s="66"/>
      <c r="FD167" s="128"/>
      <c r="FE167" s="128"/>
      <c r="FF167" s="66"/>
      <c r="FG167" s="66"/>
      <c r="FH167" s="66"/>
      <c r="FI167" s="66"/>
      <c r="FJ167" s="66"/>
      <c r="FK167" s="66"/>
      <c r="FL167" s="66"/>
      <c r="FM167" s="122"/>
      <c r="FN167" s="122"/>
      <c r="FO167" s="122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129"/>
      <c r="GE167" s="129"/>
      <c r="GF167" s="129"/>
      <c r="GG167" s="129"/>
      <c r="GH167" s="129"/>
      <c r="GI167" s="129"/>
      <c r="GJ167" s="129"/>
      <c r="GK167" s="146"/>
      <c r="GL167" s="129">
        <v>1019</v>
      </c>
      <c r="GM167" s="129">
        <v>2256</v>
      </c>
    </row>
    <row r="168" spans="2:195" s="123" customFormat="1" x14ac:dyDescent="0.25">
      <c r="B168" s="20" t="s">
        <v>908</v>
      </c>
      <c r="C168" s="23"/>
      <c r="D168" s="23"/>
      <c r="E168" s="23"/>
      <c r="F168" s="23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128"/>
      <c r="FE168" s="128"/>
      <c r="FF168" s="66"/>
      <c r="FG168" s="66"/>
      <c r="FH168" s="66"/>
      <c r="FI168" s="66"/>
      <c r="FJ168" s="66"/>
      <c r="FK168" s="66"/>
      <c r="FL168" s="66"/>
      <c r="FM168" s="122"/>
      <c r="FN168" s="122"/>
      <c r="FO168" s="122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129"/>
      <c r="GE168" s="129"/>
      <c r="GF168" s="129"/>
      <c r="GG168" s="129"/>
      <c r="GH168" s="129"/>
      <c r="GI168" s="129"/>
      <c r="GJ168" s="129"/>
      <c r="GK168" s="146"/>
      <c r="GL168" s="129">
        <f>9390+14828+1215</f>
        <v>25433</v>
      </c>
      <c r="GM168" s="129">
        <f>1183+7876+17303</f>
        <v>26362</v>
      </c>
    </row>
    <row r="169" spans="2:195" s="123" customFormat="1" x14ac:dyDescent="0.25">
      <c r="B169" s="20" t="s">
        <v>907</v>
      </c>
      <c r="C169" s="23"/>
      <c r="D169" s="23"/>
      <c r="E169" s="23"/>
      <c r="F169" s="23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128"/>
      <c r="FE169" s="128"/>
      <c r="FF169" s="66"/>
      <c r="FG169" s="66"/>
      <c r="FH169" s="66"/>
      <c r="FI169" s="66"/>
      <c r="FJ169" s="66"/>
      <c r="FK169" s="66"/>
      <c r="FL169" s="66"/>
      <c r="FM169" s="122"/>
      <c r="FN169" s="122"/>
      <c r="FO169" s="122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129"/>
      <c r="GE169" s="129"/>
      <c r="GF169" s="129"/>
      <c r="GG169" s="129"/>
      <c r="GH169" s="129"/>
      <c r="GI169" s="129"/>
      <c r="GJ169" s="129"/>
      <c r="GK169" s="146"/>
      <c r="GL169" s="129">
        <v>21724</v>
      </c>
      <c r="GM169" s="129">
        <v>22557</v>
      </c>
    </row>
    <row r="170" spans="2:195" s="123" customFormat="1" ht="13" x14ac:dyDescent="0.3">
      <c r="B170" s="20" t="s">
        <v>906</v>
      </c>
      <c r="C170" s="23"/>
      <c r="D170" s="23"/>
      <c r="E170" s="23"/>
      <c r="F170" s="23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25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66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DQ170" s="66"/>
      <c r="DR170" s="66"/>
      <c r="DS170" s="66"/>
      <c r="DT170" s="66"/>
      <c r="DU170" s="66"/>
      <c r="DV170" s="66"/>
      <c r="DW170" s="66"/>
      <c r="DX170" s="66"/>
      <c r="DY170" s="66"/>
      <c r="DZ170" s="66"/>
      <c r="EA170" s="6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128"/>
      <c r="FE170" s="128"/>
      <c r="FF170" s="66"/>
      <c r="FG170" s="66"/>
      <c r="FH170" s="66"/>
      <c r="FI170" s="66"/>
      <c r="FJ170" s="66"/>
      <c r="FK170" s="66"/>
      <c r="FL170" s="66"/>
      <c r="FM170" s="122"/>
      <c r="FN170" s="122"/>
      <c r="FO170" s="122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129"/>
      <c r="GE170" s="129"/>
      <c r="GF170" s="129"/>
      <c r="GG170" s="129"/>
      <c r="GH170" s="129"/>
      <c r="GI170" s="129"/>
      <c r="GJ170" s="129"/>
      <c r="GK170" s="146"/>
      <c r="GL170" s="138">
        <f>SUM(GL161:GL169)</f>
        <v>90468</v>
      </c>
      <c r="GM170" s="138">
        <f>SUM(GM161:GM169)</f>
        <v>101801</v>
      </c>
    </row>
    <row r="172" spans="2:195" s="123" customFormat="1" x14ac:dyDescent="0.25">
      <c r="B172" s="20" t="s">
        <v>595</v>
      </c>
      <c r="C172" s="23"/>
      <c r="D172" s="23"/>
      <c r="E172" s="23"/>
      <c r="F172" s="23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25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128"/>
      <c r="FE172" s="128"/>
      <c r="FF172" s="66"/>
      <c r="FG172" s="66"/>
      <c r="FH172" s="66"/>
      <c r="FI172" s="66"/>
      <c r="FJ172" s="66"/>
      <c r="FK172" s="66"/>
      <c r="FL172" s="66"/>
      <c r="FM172" s="122"/>
      <c r="FN172" s="122"/>
      <c r="FO172" s="122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129"/>
      <c r="GE172" s="129"/>
      <c r="GF172" s="129"/>
      <c r="GG172" s="129"/>
      <c r="GH172" s="129"/>
      <c r="GI172" s="129"/>
      <c r="GJ172" s="129"/>
      <c r="GK172" s="146"/>
      <c r="GL172" s="129">
        <f>4400+24809</f>
        <v>29209</v>
      </c>
      <c r="GM172" s="129">
        <f>30722+3932</f>
        <v>34654</v>
      </c>
    </row>
    <row r="173" spans="2:195" s="123" customFormat="1" x14ac:dyDescent="0.25">
      <c r="B173" s="20" t="s">
        <v>912</v>
      </c>
      <c r="C173" s="23"/>
      <c r="D173" s="23"/>
      <c r="E173" s="23"/>
      <c r="F173" s="23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25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128"/>
      <c r="FE173" s="128"/>
      <c r="FF173" s="66"/>
      <c r="FG173" s="66"/>
      <c r="FH173" s="66"/>
      <c r="FI173" s="66"/>
      <c r="FJ173" s="66"/>
      <c r="FK173" s="66"/>
      <c r="FL173" s="66"/>
      <c r="FM173" s="122"/>
      <c r="FN173" s="122"/>
      <c r="FO173" s="122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129"/>
      <c r="GE173" s="129"/>
      <c r="GF173" s="129"/>
      <c r="GG173" s="129"/>
      <c r="GH173" s="129"/>
      <c r="GI173" s="129"/>
      <c r="GJ173" s="129"/>
      <c r="GK173" s="146"/>
      <c r="GL173" s="129">
        <v>12158</v>
      </c>
      <c r="GM173" s="129">
        <v>13548</v>
      </c>
    </row>
    <row r="174" spans="2:195" s="123" customFormat="1" x14ac:dyDescent="0.25">
      <c r="B174" s="20" t="s">
        <v>911</v>
      </c>
      <c r="C174" s="23"/>
      <c r="D174" s="23"/>
      <c r="E174" s="23"/>
      <c r="F174" s="23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25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  <c r="EH174" s="66"/>
      <c r="EI174" s="66"/>
      <c r="EJ174" s="66"/>
      <c r="EK174" s="66"/>
      <c r="EL174" s="66"/>
      <c r="EM174" s="66"/>
      <c r="EN174" s="66"/>
      <c r="EO174" s="66"/>
      <c r="EP174" s="66"/>
      <c r="EQ174" s="66"/>
      <c r="ER174" s="66"/>
      <c r="ES174" s="66"/>
      <c r="ET174" s="66"/>
      <c r="EU174" s="66"/>
      <c r="EV174" s="66"/>
      <c r="EW174" s="66"/>
      <c r="EX174" s="66"/>
      <c r="EY174" s="66"/>
      <c r="EZ174" s="66"/>
      <c r="FA174" s="66"/>
      <c r="FB174" s="66"/>
      <c r="FC174" s="66"/>
      <c r="FD174" s="128"/>
      <c r="FE174" s="128"/>
      <c r="FF174" s="66"/>
      <c r="FG174" s="66"/>
      <c r="FH174" s="66"/>
      <c r="FI174" s="66"/>
      <c r="FJ174" s="66"/>
      <c r="FK174" s="66"/>
      <c r="FL174" s="66"/>
      <c r="FM174" s="122"/>
      <c r="FN174" s="122"/>
      <c r="FO174" s="122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129"/>
      <c r="GE174" s="129"/>
      <c r="GF174" s="129"/>
      <c r="GG174" s="129"/>
      <c r="GH174" s="129"/>
      <c r="GI174" s="129"/>
      <c r="GJ174" s="129"/>
      <c r="GK174" s="146"/>
      <c r="GL174" s="129">
        <v>4325</v>
      </c>
      <c r="GM174" s="129">
        <v>4894</v>
      </c>
    </row>
    <row r="175" spans="2:195" s="123" customFormat="1" x14ac:dyDescent="0.25">
      <c r="B175" s="20" t="s">
        <v>910</v>
      </c>
      <c r="C175" s="23"/>
      <c r="D175" s="23"/>
      <c r="E175" s="23"/>
      <c r="F175" s="23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25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  <c r="EH175" s="66"/>
      <c r="EI175" s="66"/>
      <c r="EJ175" s="66"/>
      <c r="EK175" s="66"/>
      <c r="EL175" s="66"/>
      <c r="EM175" s="66"/>
      <c r="EN175" s="66"/>
      <c r="EO175" s="66"/>
      <c r="EP175" s="66"/>
      <c r="EQ175" s="66"/>
      <c r="ER175" s="66"/>
      <c r="ES175" s="66"/>
      <c r="ET175" s="66"/>
      <c r="EU175" s="66"/>
      <c r="EV175" s="66"/>
      <c r="EW175" s="66"/>
      <c r="EX175" s="66"/>
      <c r="EY175" s="66"/>
      <c r="EZ175" s="66"/>
      <c r="FA175" s="66"/>
      <c r="FB175" s="66"/>
      <c r="FC175" s="66"/>
      <c r="FD175" s="128"/>
      <c r="FE175" s="128"/>
      <c r="FF175" s="66"/>
      <c r="FG175" s="66"/>
      <c r="FH175" s="66"/>
      <c r="FI175" s="66"/>
      <c r="FJ175" s="66"/>
      <c r="FK175" s="66"/>
      <c r="FL175" s="66"/>
      <c r="FM175" s="122"/>
      <c r="FN175" s="122"/>
      <c r="FO175" s="122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129"/>
      <c r="GE175" s="129"/>
      <c r="GF175" s="129"/>
      <c r="GG175" s="129"/>
      <c r="GH175" s="129"/>
      <c r="GI175" s="129"/>
      <c r="GJ175" s="129"/>
      <c r="GK175" s="146"/>
      <c r="GL175" s="129">
        <f>1684+1059</f>
        <v>2743</v>
      </c>
      <c r="GM175" s="129">
        <f>1726+1079</f>
        <v>2805</v>
      </c>
    </row>
    <row r="176" spans="2:195" s="123" customFormat="1" x14ac:dyDescent="0.25">
      <c r="B176" s="20" t="s">
        <v>901</v>
      </c>
      <c r="C176" s="23"/>
      <c r="D176" s="23"/>
      <c r="E176" s="23"/>
      <c r="F176" s="23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25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  <c r="EH176" s="66"/>
      <c r="EI176" s="66"/>
      <c r="EJ176" s="66"/>
      <c r="EK176" s="66"/>
      <c r="EL176" s="66"/>
      <c r="EM176" s="66"/>
      <c r="EN176" s="66"/>
      <c r="EO176" s="66"/>
      <c r="EP176" s="66"/>
      <c r="EQ176" s="66"/>
      <c r="ER176" s="66"/>
      <c r="ES176" s="66"/>
      <c r="ET176" s="66"/>
      <c r="EU176" s="66"/>
      <c r="EV176" s="66"/>
      <c r="EW176" s="66"/>
      <c r="EX176" s="66"/>
      <c r="EY176" s="66"/>
      <c r="EZ176" s="66"/>
      <c r="FA176" s="66"/>
      <c r="FB176" s="66"/>
      <c r="FC176" s="66"/>
      <c r="FD176" s="128"/>
      <c r="FE176" s="128"/>
      <c r="FF176" s="66"/>
      <c r="FG176" s="66"/>
      <c r="FH176" s="66"/>
      <c r="FI176" s="66"/>
      <c r="FJ176" s="66"/>
      <c r="FK176" s="66"/>
      <c r="FL176" s="66"/>
      <c r="FM176" s="122"/>
      <c r="FN176" s="122"/>
      <c r="FO176" s="122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129"/>
      <c r="GE176" s="129"/>
      <c r="GF176" s="129"/>
      <c r="GG176" s="129"/>
      <c r="GH176" s="129"/>
      <c r="GI176" s="129"/>
      <c r="GJ176" s="129"/>
      <c r="GK176" s="146"/>
      <c r="GL176" s="129">
        <f>2257+593</f>
        <v>2850</v>
      </c>
      <c r="GM176" s="129">
        <f>2923+832</f>
        <v>3755</v>
      </c>
    </row>
    <row r="177" spans="2:195" s="123" customFormat="1" x14ac:dyDescent="0.25">
      <c r="B177" s="20" t="s">
        <v>913</v>
      </c>
      <c r="C177" s="23"/>
      <c r="D177" s="23"/>
      <c r="E177" s="23"/>
      <c r="F177" s="23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25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128"/>
      <c r="FE177" s="128"/>
      <c r="FF177" s="66"/>
      <c r="FG177" s="66"/>
      <c r="FH177" s="66"/>
      <c r="FI177" s="66"/>
      <c r="FJ177" s="66"/>
      <c r="FK177" s="66"/>
      <c r="FL177" s="66"/>
      <c r="FM177" s="122"/>
      <c r="FN177" s="122"/>
      <c r="FO177" s="122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129"/>
      <c r="GE177" s="129"/>
      <c r="GF177" s="129"/>
      <c r="GG177" s="129"/>
      <c r="GH177" s="129"/>
      <c r="GI177" s="129"/>
      <c r="GJ177" s="129"/>
      <c r="GK177" s="146"/>
      <c r="GL177" s="129">
        <v>1541</v>
      </c>
      <c r="GM177" s="129">
        <v>1603</v>
      </c>
    </row>
    <row r="178" spans="2:195" s="123" customFormat="1" x14ac:dyDescent="0.25">
      <c r="B178" s="20" t="s">
        <v>914</v>
      </c>
      <c r="C178" s="23"/>
      <c r="D178" s="23"/>
      <c r="E178" s="23"/>
      <c r="F178" s="23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25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  <c r="EH178" s="66"/>
      <c r="EI178" s="66"/>
      <c r="EJ178" s="66"/>
      <c r="EK178" s="66"/>
      <c r="EL178" s="66"/>
      <c r="EM178" s="66"/>
      <c r="EN178" s="66"/>
      <c r="EO178" s="66"/>
      <c r="EP178" s="66"/>
      <c r="EQ178" s="66"/>
      <c r="ER178" s="66"/>
      <c r="ES178" s="66"/>
      <c r="ET178" s="66"/>
      <c r="EU178" s="66"/>
      <c r="EV178" s="66"/>
      <c r="EW178" s="66"/>
      <c r="EX178" s="66"/>
      <c r="EY178" s="66"/>
      <c r="EZ178" s="66"/>
      <c r="FA178" s="66"/>
      <c r="FB178" s="66"/>
      <c r="FC178" s="66"/>
      <c r="FD178" s="128"/>
      <c r="FE178" s="128"/>
      <c r="FF178" s="66"/>
      <c r="FG178" s="66"/>
      <c r="FH178" s="66"/>
      <c r="FI178" s="66"/>
      <c r="FJ178" s="66"/>
      <c r="FK178" s="66"/>
      <c r="FL178" s="66"/>
      <c r="FM178" s="122"/>
      <c r="FN178" s="122"/>
      <c r="FO178" s="122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129"/>
      <c r="GE178" s="129"/>
      <c r="GF178" s="129"/>
      <c r="GG178" s="129"/>
      <c r="GH178" s="129"/>
      <c r="GI178" s="129"/>
      <c r="GJ178" s="129"/>
      <c r="GK178" s="146"/>
      <c r="GL178" s="129">
        <v>4379</v>
      </c>
      <c r="GM178" s="129">
        <v>4381</v>
      </c>
    </row>
    <row r="179" spans="2:195" s="123" customFormat="1" x14ac:dyDescent="0.25">
      <c r="B179" s="20" t="s">
        <v>916</v>
      </c>
      <c r="C179" s="23"/>
      <c r="D179" s="23"/>
      <c r="E179" s="23"/>
      <c r="F179" s="23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25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128"/>
      <c r="FE179" s="128"/>
      <c r="FF179" s="66"/>
      <c r="FG179" s="66"/>
      <c r="FH179" s="66"/>
      <c r="FI179" s="66"/>
      <c r="FJ179" s="66"/>
      <c r="FK179" s="66"/>
      <c r="FL179" s="66"/>
      <c r="FM179" s="122"/>
      <c r="FN179" s="122"/>
      <c r="FO179" s="122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129"/>
      <c r="GE179" s="129"/>
      <c r="GF179" s="129"/>
      <c r="GG179" s="129"/>
      <c r="GH179" s="129"/>
      <c r="GI179" s="129"/>
      <c r="GJ179" s="129"/>
      <c r="GK179" s="146"/>
      <c r="GL179" s="129">
        <v>33263</v>
      </c>
      <c r="GM179" s="129">
        <v>36161</v>
      </c>
    </row>
    <row r="180" spans="2:195" s="123" customFormat="1" ht="13" x14ac:dyDescent="0.3">
      <c r="B180" s="20" t="s">
        <v>915</v>
      </c>
      <c r="C180" s="23"/>
      <c r="D180" s="23"/>
      <c r="E180" s="23"/>
      <c r="F180" s="23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25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  <c r="EH180" s="66"/>
      <c r="EI180" s="66"/>
      <c r="EJ180" s="66"/>
      <c r="EK180" s="66"/>
      <c r="EL180" s="66"/>
      <c r="EM180" s="66"/>
      <c r="EN180" s="66"/>
      <c r="EO180" s="66"/>
      <c r="EP180" s="66"/>
      <c r="EQ180" s="66"/>
      <c r="ER180" s="66"/>
      <c r="ES180" s="66"/>
      <c r="ET180" s="66"/>
      <c r="EU180" s="66"/>
      <c r="EV180" s="66"/>
      <c r="EW180" s="66"/>
      <c r="EX180" s="66"/>
      <c r="EY180" s="66"/>
      <c r="EZ180" s="66"/>
      <c r="FA180" s="66"/>
      <c r="FB180" s="66"/>
      <c r="FC180" s="66"/>
      <c r="FD180" s="128"/>
      <c r="FE180" s="128"/>
      <c r="FF180" s="66"/>
      <c r="FG180" s="66"/>
      <c r="FH180" s="66"/>
      <c r="FI180" s="66"/>
      <c r="FJ180" s="66"/>
      <c r="FK180" s="66"/>
      <c r="FL180" s="66"/>
      <c r="FM180" s="122"/>
      <c r="FN180" s="122"/>
      <c r="FO180" s="122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129"/>
      <c r="GE180" s="129"/>
      <c r="GF180" s="129"/>
      <c r="GG180" s="129"/>
      <c r="GH180" s="129"/>
      <c r="GI180" s="129"/>
      <c r="GJ180" s="129"/>
      <c r="GK180" s="146"/>
      <c r="GL180" s="138">
        <f>SUM(GL172:GL179)</f>
        <v>90468</v>
      </c>
      <c r="GM180" s="138">
        <f>SUM(GM172:GM179)</f>
        <v>101801</v>
      </c>
    </row>
    <row r="182" spans="2:195" s="123" customFormat="1" x14ac:dyDescent="0.25">
      <c r="B182" s="20" t="s">
        <v>589</v>
      </c>
      <c r="C182" s="23"/>
      <c r="D182" s="23"/>
      <c r="E182" s="23"/>
      <c r="F182" s="23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25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  <c r="EH182" s="66"/>
      <c r="EI182" s="66"/>
      <c r="EJ182" s="66"/>
      <c r="EK182" s="66"/>
      <c r="EL182" s="66"/>
      <c r="EM182" s="66"/>
      <c r="EN182" s="66"/>
      <c r="EO182" s="66"/>
      <c r="EP182" s="66"/>
      <c r="EQ182" s="66"/>
      <c r="ER182" s="66"/>
      <c r="ES182" s="66"/>
      <c r="ET182" s="66"/>
      <c r="EU182" s="66"/>
      <c r="EV182" s="66"/>
      <c r="EW182" s="66"/>
      <c r="EX182" s="66"/>
      <c r="EY182" s="66"/>
      <c r="EZ182" s="66"/>
      <c r="FA182" s="66"/>
      <c r="FB182" s="66"/>
      <c r="FC182" s="66"/>
      <c r="FD182" s="128"/>
      <c r="FE182" s="128"/>
      <c r="FF182" s="66"/>
      <c r="FG182" s="66"/>
      <c r="FH182" s="66"/>
      <c r="FI182" s="66"/>
      <c r="FJ182" s="66"/>
      <c r="FK182" s="66"/>
      <c r="FL182" s="66"/>
      <c r="FM182" s="122"/>
      <c r="FN182" s="122"/>
      <c r="FO182" s="122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129"/>
      <c r="GE182" s="129"/>
      <c r="GF182" s="129"/>
      <c r="GG182" s="129"/>
      <c r="GH182" s="129"/>
      <c r="GI182" s="129"/>
      <c r="GJ182" s="129"/>
      <c r="GK182" s="146"/>
      <c r="GL182" s="129">
        <f>+GL94</f>
        <v>14109</v>
      </c>
      <c r="GM182" s="129">
        <f>+GM94</f>
        <v>14250.09</v>
      </c>
    </row>
    <row r="183" spans="2:195" s="123" customFormat="1" x14ac:dyDescent="0.25">
      <c r="B183" s="20" t="s">
        <v>998</v>
      </c>
      <c r="C183" s="23"/>
      <c r="D183" s="23"/>
      <c r="E183" s="23"/>
      <c r="F183" s="23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25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  <c r="EH183" s="66"/>
      <c r="EI183" s="66"/>
      <c r="EJ183" s="66"/>
      <c r="EK183" s="66"/>
      <c r="EL183" s="66"/>
      <c r="EM183" s="66"/>
      <c r="EN183" s="66"/>
      <c r="EO183" s="66"/>
      <c r="EP183" s="66"/>
      <c r="EQ183" s="66"/>
      <c r="ER183" s="66"/>
      <c r="ES183" s="66"/>
      <c r="ET183" s="66"/>
      <c r="EU183" s="66"/>
      <c r="EV183" s="66"/>
      <c r="EW183" s="66"/>
      <c r="EX183" s="66"/>
      <c r="EY183" s="66"/>
      <c r="EZ183" s="66"/>
      <c r="FA183" s="66"/>
      <c r="FB183" s="66"/>
      <c r="FC183" s="66"/>
      <c r="FD183" s="128"/>
      <c r="FE183" s="128"/>
      <c r="FF183" s="66"/>
      <c r="FG183" s="66"/>
      <c r="FH183" s="66"/>
      <c r="FI183" s="66"/>
      <c r="FJ183" s="66"/>
      <c r="FK183" s="66"/>
      <c r="FL183" s="66"/>
      <c r="FM183" s="122"/>
      <c r="FN183" s="122"/>
      <c r="FO183" s="122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129"/>
      <c r="GE183" s="129"/>
      <c r="GF183" s="129"/>
      <c r="GG183" s="129"/>
      <c r="GH183" s="129"/>
      <c r="GI183" s="129"/>
      <c r="GJ183" s="129"/>
      <c r="GK183" s="146"/>
      <c r="GL183" s="129">
        <v>22617</v>
      </c>
      <c r="GM183" s="129">
        <v>24332</v>
      </c>
    </row>
    <row r="184" spans="2:195" s="123" customFormat="1" x14ac:dyDescent="0.25">
      <c r="B184" s="20" t="s">
        <v>999</v>
      </c>
      <c r="C184" s="23"/>
      <c r="D184" s="23"/>
      <c r="E184" s="23"/>
      <c r="F184" s="23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25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  <c r="EH184" s="66"/>
      <c r="EI184" s="66"/>
      <c r="EJ184" s="66"/>
      <c r="EK184" s="66"/>
      <c r="EL184" s="66"/>
      <c r="EM184" s="66"/>
      <c r="EN184" s="66"/>
      <c r="EO184" s="66"/>
      <c r="EP184" s="66"/>
      <c r="EQ184" s="66"/>
      <c r="ER184" s="66"/>
      <c r="ES184" s="66"/>
      <c r="ET184" s="66"/>
      <c r="EU184" s="66"/>
      <c r="EV184" s="66"/>
      <c r="EW184" s="66"/>
      <c r="EX184" s="66"/>
      <c r="EY184" s="66"/>
      <c r="EZ184" s="66"/>
      <c r="FA184" s="66"/>
      <c r="FB184" s="66"/>
      <c r="FC184" s="66"/>
      <c r="FD184" s="128"/>
      <c r="FE184" s="128"/>
      <c r="FF184" s="66"/>
      <c r="FG184" s="66"/>
      <c r="FH184" s="66"/>
      <c r="FI184" s="66"/>
      <c r="FJ184" s="66"/>
      <c r="FK184" s="66"/>
      <c r="FL184" s="66"/>
      <c r="FM184" s="122"/>
      <c r="FN184" s="122"/>
      <c r="FO184" s="122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129"/>
      <c r="GE184" s="129"/>
      <c r="GF184" s="129"/>
      <c r="GG184" s="129"/>
      <c r="GH184" s="129"/>
      <c r="GI184" s="129"/>
      <c r="GJ184" s="129"/>
      <c r="GK184" s="146"/>
      <c r="GL184" s="129">
        <v>-1107</v>
      </c>
      <c r="GM184" s="129">
        <v>1161</v>
      </c>
    </row>
    <row r="185" spans="2:195" s="123" customFormat="1" x14ac:dyDescent="0.25">
      <c r="B185" s="20" t="s">
        <v>905</v>
      </c>
      <c r="C185" s="23"/>
      <c r="D185" s="23"/>
      <c r="E185" s="23"/>
      <c r="F185" s="23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25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  <c r="EH185" s="66"/>
      <c r="EI185" s="66"/>
      <c r="EJ185" s="66"/>
      <c r="EK185" s="66"/>
      <c r="EL185" s="66"/>
      <c r="EM185" s="66"/>
      <c r="EN185" s="66"/>
      <c r="EO185" s="66"/>
      <c r="EP185" s="66"/>
      <c r="EQ185" s="66"/>
      <c r="ER185" s="66"/>
      <c r="ES185" s="66"/>
      <c r="ET185" s="66"/>
      <c r="EU185" s="66"/>
      <c r="EV185" s="66"/>
      <c r="EW185" s="66"/>
      <c r="EX185" s="66"/>
      <c r="EY185" s="66"/>
      <c r="EZ185" s="66"/>
      <c r="FA185" s="66"/>
      <c r="FB185" s="66"/>
      <c r="FC185" s="66"/>
      <c r="FD185" s="128"/>
      <c r="FE185" s="128"/>
      <c r="FF185" s="66"/>
      <c r="FG185" s="66"/>
      <c r="FH185" s="66"/>
      <c r="FI185" s="66"/>
      <c r="FJ185" s="66"/>
      <c r="FK185" s="66"/>
      <c r="FL185" s="66"/>
      <c r="FM185" s="122"/>
      <c r="FN185" s="122"/>
      <c r="FO185" s="122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129"/>
      <c r="GE185" s="129"/>
      <c r="GF185" s="129"/>
      <c r="GG185" s="129"/>
      <c r="GH185" s="129"/>
      <c r="GI185" s="129"/>
      <c r="GJ185" s="129"/>
      <c r="GK185" s="146"/>
      <c r="GL185" s="129">
        <v>-743</v>
      </c>
      <c r="GM185" s="129">
        <v>-661</v>
      </c>
    </row>
    <row r="186" spans="2:195" s="123" customFormat="1" x14ac:dyDescent="0.25">
      <c r="B186" s="20" t="s">
        <v>910</v>
      </c>
      <c r="C186" s="23"/>
      <c r="D186" s="23"/>
      <c r="E186" s="23"/>
      <c r="F186" s="23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25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128"/>
      <c r="FE186" s="128"/>
      <c r="FF186" s="66"/>
      <c r="FG186" s="66"/>
      <c r="FH186" s="66"/>
      <c r="FI186" s="66"/>
      <c r="FJ186" s="66"/>
      <c r="FK186" s="66"/>
      <c r="FL186" s="66"/>
      <c r="FM186" s="122"/>
      <c r="FN186" s="122"/>
      <c r="FO186" s="122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129"/>
      <c r="GE186" s="129"/>
      <c r="GF186" s="129"/>
      <c r="GG186" s="129"/>
      <c r="GH186" s="129"/>
      <c r="GI186" s="129"/>
      <c r="GJ186" s="129"/>
      <c r="GK186" s="146"/>
      <c r="GL186" s="129">
        <v>-1052</v>
      </c>
      <c r="GM186" s="129">
        <v>-1012</v>
      </c>
    </row>
    <row r="187" spans="2:195" s="123" customFormat="1" x14ac:dyDescent="0.25">
      <c r="B187" s="20" t="s">
        <v>18</v>
      </c>
      <c r="C187" s="23"/>
      <c r="D187" s="23"/>
      <c r="E187" s="23"/>
      <c r="F187" s="23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25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128"/>
      <c r="FE187" s="128"/>
      <c r="FF187" s="66"/>
      <c r="FG187" s="66"/>
      <c r="FH187" s="66"/>
      <c r="FI187" s="66"/>
      <c r="FJ187" s="66"/>
      <c r="FK187" s="66"/>
      <c r="FL187" s="66"/>
      <c r="FM187" s="122"/>
      <c r="FN187" s="122"/>
      <c r="FO187" s="122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129"/>
      <c r="GE187" s="129"/>
      <c r="GF187" s="129"/>
      <c r="GG187" s="129"/>
      <c r="GH187" s="129"/>
      <c r="GI187" s="129"/>
      <c r="GJ187" s="129"/>
      <c r="GK187" s="146"/>
      <c r="GL187" s="129">
        <v>0</v>
      </c>
      <c r="GM187" s="129">
        <v>1</v>
      </c>
    </row>
    <row r="188" spans="2:195" s="123" customFormat="1" x14ac:dyDescent="0.25">
      <c r="B188" s="20" t="s">
        <v>901</v>
      </c>
      <c r="C188" s="23"/>
      <c r="D188" s="23"/>
      <c r="E188" s="23"/>
      <c r="F188" s="23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25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128"/>
      <c r="FE188" s="128"/>
      <c r="FF188" s="66"/>
      <c r="FG188" s="66"/>
      <c r="FH188" s="66"/>
      <c r="FI188" s="66"/>
      <c r="FJ188" s="66"/>
      <c r="FK188" s="66"/>
      <c r="FL188" s="66"/>
      <c r="FM188" s="122"/>
      <c r="FN188" s="122"/>
      <c r="FO188" s="122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129"/>
      <c r="GE188" s="129"/>
      <c r="GF188" s="129"/>
      <c r="GG188" s="129"/>
      <c r="GH188" s="129"/>
      <c r="GI188" s="129"/>
      <c r="GJ188" s="129"/>
      <c r="GK188" s="146"/>
      <c r="GL188" s="129">
        <v>-3620</v>
      </c>
      <c r="GM188" s="129">
        <v>-3727</v>
      </c>
    </row>
    <row r="189" spans="2:195" s="123" customFormat="1" x14ac:dyDescent="0.25">
      <c r="B189" s="20" t="s">
        <v>586</v>
      </c>
      <c r="C189" s="23"/>
      <c r="D189" s="23"/>
      <c r="E189" s="23"/>
      <c r="F189" s="23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25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128"/>
      <c r="FE189" s="128"/>
      <c r="FF189" s="66"/>
      <c r="FG189" s="66"/>
      <c r="FH189" s="66"/>
      <c r="FI189" s="66"/>
      <c r="FJ189" s="66"/>
      <c r="FK189" s="66"/>
      <c r="FL189" s="66"/>
      <c r="FM189" s="122"/>
      <c r="FN189" s="122"/>
      <c r="FO189" s="122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129"/>
      <c r="GE189" s="129"/>
      <c r="GF189" s="129"/>
      <c r="GG189" s="129"/>
      <c r="GH189" s="129"/>
      <c r="GI189" s="129"/>
      <c r="GJ189" s="129"/>
      <c r="GK189" s="146"/>
      <c r="GL189" s="129">
        <f>SUM(GL183:GL188)</f>
        <v>16095</v>
      </c>
      <c r="GM189" s="129">
        <f>SUM(GM183:GM188)</f>
        <v>20094</v>
      </c>
    </row>
    <row r="191" spans="2:195" s="123" customFormat="1" x14ac:dyDescent="0.25">
      <c r="B191" s="20" t="s">
        <v>1001</v>
      </c>
      <c r="C191" s="23"/>
      <c r="D191" s="23"/>
      <c r="E191" s="23"/>
      <c r="F191" s="23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25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128"/>
      <c r="FE191" s="128"/>
      <c r="FF191" s="66"/>
      <c r="FG191" s="66"/>
      <c r="FH191" s="66"/>
      <c r="FI191" s="66"/>
      <c r="FJ191" s="66"/>
      <c r="FK191" s="66"/>
      <c r="FL191" s="66"/>
      <c r="FM191" s="122"/>
      <c r="FN191" s="122"/>
      <c r="FO191" s="122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129"/>
      <c r="GE191" s="129"/>
      <c r="GF191" s="129"/>
      <c r="GG191" s="129"/>
      <c r="GH191" s="129"/>
      <c r="GI191" s="129"/>
      <c r="GJ191" s="129"/>
      <c r="GK191" s="146"/>
      <c r="GL191" s="129">
        <f>-3742+173</f>
        <v>-3569</v>
      </c>
      <c r="GM191" s="129">
        <f>-3529+61</f>
        <v>-3468</v>
      </c>
    </row>
    <row r="192" spans="2:195" s="123" customFormat="1" x14ac:dyDescent="0.25">
      <c r="B192" s="20" t="s">
        <v>1002</v>
      </c>
      <c r="C192" s="23"/>
      <c r="D192" s="23"/>
      <c r="E192" s="23"/>
      <c r="F192" s="23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25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128"/>
      <c r="FE192" s="128"/>
      <c r="FF192" s="66"/>
      <c r="FG192" s="66"/>
      <c r="FH192" s="66"/>
      <c r="FI192" s="66"/>
      <c r="FJ192" s="66"/>
      <c r="FK192" s="66"/>
      <c r="FL192" s="66"/>
      <c r="FM192" s="122"/>
      <c r="FN192" s="122"/>
      <c r="FO192" s="122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129"/>
      <c r="GE192" s="129"/>
      <c r="GF192" s="129"/>
      <c r="GG192" s="129"/>
      <c r="GH192" s="129"/>
      <c r="GI192" s="129"/>
      <c r="GJ192" s="129"/>
      <c r="GK192" s="146"/>
      <c r="GL192" s="129">
        <v>-907</v>
      </c>
      <c r="GM192" s="129">
        <v>-1480</v>
      </c>
    </row>
    <row r="193" spans="2:195" s="123" customFormat="1" x14ac:dyDescent="0.25">
      <c r="B193" s="20" t="s">
        <v>1003</v>
      </c>
      <c r="C193" s="23"/>
      <c r="D193" s="23"/>
      <c r="E193" s="23"/>
      <c r="F193" s="23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25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128"/>
      <c r="FE193" s="128"/>
      <c r="FF193" s="66"/>
      <c r="FG193" s="66"/>
      <c r="FH193" s="66"/>
      <c r="FI193" s="66"/>
      <c r="FJ193" s="66"/>
      <c r="FK193" s="66"/>
      <c r="FL193" s="66"/>
      <c r="FM193" s="122"/>
      <c r="FN193" s="122"/>
      <c r="FO193" s="122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129"/>
      <c r="GE193" s="129"/>
      <c r="GF193" s="129"/>
      <c r="GG193" s="129"/>
      <c r="GH193" s="129"/>
      <c r="GI193" s="129"/>
      <c r="GJ193" s="129"/>
      <c r="GK193" s="146"/>
      <c r="GL193" s="132">
        <f>558+1</f>
        <v>559</v>
      </c>
      <c r="GM193" s="129">
        <f>376+1049+1</f>
        <v>1426</v>
      </c>
    </row>
    <row r="194" spans="2:195" s="123" customFormat="1" x14ac:dyDescent="0.25">
      <c r="B194" s="20" t="s">
        <v>1004</v>
      </c>
      <c r="C194" s="23"/>
      <c r="D194" s="23"/>
      <c r="E194" s="23"/>
      <c r="F194" s="23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25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128"/>
      <c r="FE194" s="128"/>
      <c r="FF194" s="66"/>
      <c r="FG194" s="66"/>
      <c r="FH194" s="66"/>
      <c r="FI194" s="66"/>
      <c r="FJ194" s="66"/>
      <c r="FK194" s="66"/>
      <c r="FL194" s="66"/>
      <c r="FM194" s="122"/>
      <c r="FN194" s="122"/>
      <c r="FO194" s="122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129"/>
      <c r="GE194" s="129"/>
      <c r="GF194" s="129"/>
      <c r="GG194" s="129"/>
      <c r="GH194" s="129"/>
      <c r="GI194" s="129"/>
      <c r="GJ194" s="129"/>
      <c r="GK194" s="146"/>
      <c r="GL194" s="129">
        <v>-6220</v>
      </c>
      <c r="GM194" s="129">
        <f>-2836-283</f>
        <v>-3119</v>
      </c>
    </row>
    <row r="195" spans="2:195" s="123" customFormat="1" x14ac:dyDescent="0.25">
      <c r="B195" s="20" t="s">
        <v>1005</v>
      </c>
      <c r="C195" s="23"/>
      <c r="D195" s="23"/>
      <c r="E195" s="23"/>
      <c r="F195" s="23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25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128"/>
      <c r="FE195" s="128"/>
      <c r="FF195" s="66"/>
      <c r="FG195" s="66"/>
      <c r="FH195" s="66"/>
      <c r="FI195" s="66"/>
      <c r="FJ195" s="66"/>
      <c r="FK195" s="66"/>
      <c r="FL195" s="66"/>
      <c r="FM195" s="122"/>
      <c r="FN195" s="122"/>
      <c r="FO195" s="122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129"/>
      <c r="GE195" s="129"/>
      <c r="GF195" s="129"/>
      <c r="GG195" s="129"/>
      <c r="GH195" s="129"/>
      <c r="GI195" s="129"/>
      <c r="GJ195" s="129"/>
      <c r="GK195" s="146"/>
      <c r="GL195" s="129">
        <f>168+125-87-745+33</f>
        <v>-506</v>
      </c>
      <c r="GM195" s="129">
        <f>232+198-112-5084+14</f>
        <v>-4752</v>
      </c>
    </row>
    <row r="196" spans="2:195" s="123" customFormat="1" x14ac:dyDescent="0.25">
      <c r="B196" s="20" t="s">
        <v>1000</v>
      </c>
      <c r="C196" s="23"/>
      <c r="D196" s="23"/>
      <c r="E196" s="23"/>
      <c r="F196" s="23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25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128"/>
      <c r="FE196" s="128"/>
      <c r="FF196" s="66"/>
      <c r="FG196" s="66"/>
      <c r="FH196" s="66"/>
      <c r="FI196" s="66"/>
      <c r="FJ196" s="66"/>
      <c r="FK196" s="66"/>
      <c r="FL196" s="66"/>
      <c r="FM196" s="122"/>
      <c r="FN196" s="122"/>
      <c r="FO196" s="122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129"/>
      <c r="GE196" s="129"/>
      <c r="GF196" s="129"/>
      <c r="GG196" s="129"/>
      <c r="GH196" s="129"/>
      <c r="GI196" s="129"/>
      <c r="GJ196" s="129"/>
      <c r="GK196" s="146"/>
      <c r="GL196" s="129">
        <f>SUM(GL191:GL195)</f>
        <v>-10643</v>
      </c>
      <c r="GM196" s="129">
        <f>SUM(GM191:GM195)</f>
        <v>-11393</v>
      </c>
    </row>
    <row r="198" spans="2:195" s="123" customFormat="1" x14ac:dyDescent="0.25">
      <c r="B198" s="20" t="s">
        <v>595</v>
      </c>
      <c r="C198" s="23"/>
      <c r="D198" s="23"/>
      <c r="E198" s="23"/>
      <c r="F198" s="23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25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  <c r="EH198" s="66"/>
      <c r="EI198" s="66"/>
      <c r="EJ198" s="66"/>
      <c r="EK198" s="66"/>
      <c r="EL198" s="66"/>
      <c r="EM198" s="66"/>
      <c r="EN198" s="66"/>
      <c r="EO198" s="66"/>
      <c r="EP198" s="66"/>
      <c r="EQ198" s="66"/>
      <c r="ER198" s="66"/>
      <c r="ES198" s="66"/>
      <c r="ET198" s="66"/>
      <c r="EU198" s="66"/>
      <c r="EV198" s="66"/>
      <c r="EW198" s="66"/>
      <c r="EX198" s="66"/>
      <c r="EY198" s="66"/>
      <c r="EZ198" s="66"/>
      <c r="FA198" s="66"/>
      <c r="FB198" s="66"/>
      <c r="FC198" s="66"/>
      <c r="FD198" s="128"/>
      <c r="FE198" s="128"/>
      <c r="FF198" s="66"/>
      <c r="FG198" s="66"/>
      <c r="FH198" s="66"/>
      <c r="FI198" s="66"/>
      <c r="FJ198" s="66"/>
      <c r="FK198" s="66"/>
      <c r="FL198" s="66"/>
      <c r="FM198" s="122"/>
      <c r="FN198" s="122"/>
      <c r="FO198" s="122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129"/>
      <c r="GE198" s="129"/>
      <c r="GF198" s="129"/>
      <c r="GG198" s="129"/>
      <c r="GH198" s="129"/>
      <c r="GI198" s="129"/>
      <c r="GJ198" s="129"/>
      <c r="GK198" s="146"/>
      <c r="GL198" s="129">
        <f>8167-1751-806+175+155-770</f>
        <v>5170</v>
      </c>
      <c r="GM198" s="129">
        <f>7915-3095-709-292+30-1145</f>
        <v>2704</v>
      </c>
    </row>
    <row r="199" spans="2:195" s="123" customFormat="1" x14ac:dyDescent="0.25">
      <c r="B199" s="20" t="s">
        <v>1009</v>
      </c>
      <c r="C199" s="23"/>
      <c r="D199" s="23"/>
      <c r="E199" s="23"/>
      <c r="F199" s="23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25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  <c r="EH199" s="66"/>
      <c r="EI199" s="66"/>
      <c r="EJ199" s="66"/>
      <c r="EK199" s="66"/>
      <c r="EL199" s="66"/>
      <c r="EM199" s="66"/>
      <c r="EN199" s="66"/>
      <c r="EO199" s="66"/>
      <c r="EP199" s="66"/>
      <c r="EQ199" s="66"/>
      <c r="ER199" s="66"/>
      <c r="ES199" s="66"/>
      <c r="ET199" s="66"/>
      <c r="EU199" s="66"/>
      <c r="EV199" s="66"/>
      <c r="EW199" s="66"/>
      <c r="EX199" s="66"/>
      <c r="EY199" s="66"/>
      <c r="EZ199" s="66"/>
      <c r="FA199" s="66"/>
      <c r="FB199" s="66"/>
      <c r="FC199" s="66"/>
      <c r="FD199" s="128"/>
      <c r="FE199" s="128"/>
      <c r="FF199" s="66"/>
      <c r="FG199" s="66"/>
      <c r="FH199" s="66"/>
      <c r="FI199" s="66"/>
      <c r="FJ199" s="66"/>
      <c r="FK199" s="66"/>
      <c r="FL199" s="66"/>
      <c r="FM199" s="122"/>
      <c r="FN199" s="122"/>
      <c r="FO199" s="122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129"/>
      <c r="GE199" s="129"/>
      <c r="GF199" s="129"/>
      <c r="GG199" s="129"/>
      <c r="GH199" s="129"/>
      <c r="GI199" s="129"/>
      <c r="GJ199" s="129"/>
      <c r="GK199" s="146"/>
      <c r="GL199" s="129">
        <v>-339</v>
      </c>
      <c r="GM199" s="129">
        <v>-350</v>
      </c>
    </row>
    <row r="200" spans="2:195" s="123" customFormat="1" x14ac:dyDescent="0.25">
      <c r="B200" s="20" t="s">
        <v>1008</v>
      </c>
      <c r="C200" s="23"/>
      <c r="D200" s="23"/>
      <c r="E200" s="23"/>
      <c r="F200" s="23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25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  <c r="EH200" s="66"/>
      <c r="EI200" s="66"/>
      <c r="EJ200" s="66"/>
      <c r="EK200" s="66"/>
      <c r="EL200" s="66"/>
      <c r="EM200" s="66"/>
      <c r="EN200" s="66"/>
      <c r="EO200" s="66"/>
      <c r="EP200" s="66"/>
      <c r="EQ200" s="66"/>
      <c r="ER200" s="66"/>
      <c r="ES200" s="66"/>
      <c r="ET200" s="66"/>
      <c r="EU200" s="66"/>
      <c r="EV200" s="66"/>
      <c r="EW200" s="66"/>
      <c r="EX200" s="66"/>
      <c r="EY200" s="66"/>
      <c r="EZ200" s="66"/>
      <c r="FA200" s="66"/>
      <c r="FB200" s="66"/>
      <c r="FC200" s="66"/>
      <c r="FD200" s="128"/>
      <c r="FE200" s="128"/>
      <c r="FF200" s="66"/>
      <c r="FG200" s="66"/>
      <c r="FH200" s="66"/>
      <c r="FI200" s="66"/>
      <c r="FJ200" s="66"/>
      <c r="FK200" s="66"/>
      <c r="FL200" s="66"/>
      <c r="FM200" s="122"/>
      <c r="FN200" s="122"/>
      <c r="FO200" s="122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129"/>
      <c r="GE200" s="129"/>
      <c r="GF200" s="129"/>
      <c r="GG200" s="129"/>
      <c r="GH200" s="129"/>
      <c r="GI200" s="129"/>
      <c r="GJ200" s="129"/>
      <c r="GK200" s="146"/>
      <c r="GL200" s="129">
        <v>-7926</v>
      </c>
      <c r="GM200" s="129">
        <v>-8043</v>
      </c>
    </row>
    <row r="201" spans="2:195" s="123" customFormat="1" x14ac:dyDescent="0.25">
      <c r="B201" s="20" t="s">
        <v>1007</v>
      </c>
      <c r="C201" s="23"/>
      <c r="D201" s="23"/>
      <c r="E201" s="23"/>
      <c r="F201" s="23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25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128"/>
      <c r="FE201" s="128"/>
      <c r="FF201" s="66"/>
      <c r="FG201" s="66"/>
      <c r="FH201" s="66"/>
      <c r="FI201" s="66"/>
      <c r="FJ201" s="66"/>
      <c r="FK201" s="66"/>
      <c r="FL201" s="66"/>
      <c r="FM201" s="122"/>
      <c r="FN201" s="122"/>
      <c r="FO201" s="122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129"/>
      <c r="GE201" s="129"/>
      <c r="GF201" s="129"/>
      <c r="GG201" s="129"/>
      <c r="GH201" s="129"/>
      <c r="GI201" s="129"/>
      <c r="GJ201" s="129"/>
      <c r="GK201" s="146"/>
      <c r="GL201" s="129">
        <v>-1144</v>
      </c>
      <c r="GM201" s="129">
        <v>-1130</v>
      </c>
    </row>
    <row r="202" spans="2:195" s="123" customFormat="1" x14ac:dyDescent="0.25">
      <c r="B202" s="20" t="s">
        <v>1006</v>
      </c>
      <c r="C202" s="23"/>
      <c r="D202" s="23"/>
      <c r="E202" s="23"/>
      <c r="F202" s="23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25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  <c r="EH202" s="66"/>
      <c r="EI202" s="66"/>
      <c r="EJ202" s="66"/>
      <c r="EK202" s="66"/>
      <c r="EL202" s="66"/>
      <c r="EM202" s="66"/>
      <c r="EN202" s="66"/>
      <c r="EO202" s="66"/>
      <c r="EP202" s="66"/>
      <c r="EQ202" s="66"/>
      <c r="ER202" s="66"/>
      <c r="ES202" s="66"/>
      <c r="ET202" s="66"/>
      <c r="EU202" s="66"/>
      <c r="EV202" s="66"/>
      <c r="EW202" s="66"/>
      <c r="EX202" s="66"/>
      <c r="EY202" s="66"/>
      <c r="EZ202" s="66"/>
      <c r="FA202" s="66"/>
      <c r="FB202" s="66"/>
      <c r="FC202" s="66"/>
      <c r="FD202" s="128"/>
      <c r="FE202" s="128"/>
      <c r="FF202" s="66"/>
      <c r="FG202" s="66"/>
      <c r="FH202" s="66"/>
      <c r="FI202" s="66"/>
      <c r="FJ202" s="66"/>
      <c r="FK202" s="66"/>
      <c r="FL202" s="66"/>
      <c r="FM202" s="122"/>
      <c r="FN202" s="122"/>
      <c r="FO202" s="122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129"/>
      <c r="GE202" s="129"/>
      <c r="GF202" s="129"/>
      <c r="GG202" s="129"/>
      <c r="GH202" s="129"/>
      <c r="GI202" s="129"/>
      <c r="GJ202" s="129"/>
      <c r="GK202" s="146"/>
      <c r="GL202" s="129">
        <f t="shared" ref="GL202" si="135">SUM(GL198:GL201)</f>
        <v>-4239</v>
      </c>
      <c r="GM202" s="129">
        <f>SUM(GM198:GM201)</f>
        <v>-6819</v>
      </c>
    </row>
    <row r="203" spans="2:195" x14ac:dyDescent="0.25">
      <c r="B203" s="3" t="s">
        <v>1011</v>
      </c>
      <c r="GL203" s="130">
        <v>-828</v>
      </c>
      <c r="GM203" s="130">
        <v>-283</v>
      </c>
    </row>
    <row r="204" spans="2:195" x14ac:dyDescent="0.25">
      <c r="B204" s="3" t="s">
        <v>1010</v>
      </c>
      <c r="GL204" s="129">
        <f t="shared" ref="GL204" si="136">+GL203+GL202+GL196+GL189</f>
        <v>385</v>
      </c>
      <c r="GM204" s="129">
        <f>+GM203+GM202+GM196+GM189</f>
        <v>1599</v>
      </c>
    </row>
  </sheetData>
  <phoneticPr fontId="0" type="noConversion"/>
  <hyperlinks>
    <hyperlink ref="A1" location="Main!A1" display="Main" xr:uid="{00000000-0004-0000-0300-000000000000}"/>
  </hyperlinks>
  <printOptions horizontalCentered="1" verticalCentered="1"/>
  <pageMargins left="0.23" right="0.2" top="0.26" bottom="0.25" header="0.25" footer="0.25"/>
  <pageSetup scale="15" orientation="landscape" r:id="rId1"/>
  <headerFooter alignWithMargins="0">
    <oddHeader>&amp;A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F5E5-E2DF-486B-876C-CF711BFA812B}">
  <dimension ref="A1:C33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2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779</v>
      </c>
    </row>
    <row r="3" spans="1:3" x14ac:dyDescent="0.25">
      <c r="B3" s="2" t="s">
        <v>791</v>
      </c>
      <c r="C3" s="2" t="s">
        <v>945</v>
      </c>
    </row>
    <row r="4" spans="1:3" x14ac:dyDescent="0.25">
      <c r="B4" s="2" t="s">
        <v>44</v>
      </c>
      <c r="C4" s="2" t="s">
        <v>947</v>
      </c>
    </row>
    <row r="5" spans="1:3" x14ac:dyDescent="0.25">
      <c r="B5" s="2" t="s">
        <v>794</v>
      </c>
      <c r="C5" s="2" t="s">
        <v>948</v>
      </c>
    </row>
    <row r="6" spans="1:3" x14ac:dyDescent="0.25">
      <c r="B6" s="2" t="s">
        <v>949</v>
      </c>
      <c r="C6" s="2" t="s">
        <v>950</v>
      </c>
    </row>
    <row r="7" spans="1:3" x14ac:dyDescent="0.25">
      <c r="B7" s="2" t="s">
        <v>104</v>
      </c>
      <c r="C7" s="2" t="s">
        <v>946</v>
      </c>
    </row>
    <row r="8" spans="1:3" x14ac:dyDescent="0.25">
      <c r="B8" s="2"/>
      <c r="C8" s="2" t="s">
        <v>951</v>
      </c>
    </row>
    <row r="9" spans="1:3" x14ac:dyDescent="0.25">
      <c r="B9" s="2" t="s">
        <v>53</v>
      </c>
    </row>
    <row r="10" spans="1:3" ht="13" x14ac:dyDescent="0.3">
      <c r="C10" s="40" t="s">
        <v>952</v>
      </c>
    </row>
    <row r="11" spans="1:3" x14ac:dyDescent="0.25">
      <c r="C11" s="2" t="s">
        <v>960</v>
      </c>
    </row>
    <row r="12" spans="1:3" x14ac:dyDescent="0.25">
      <c r="C12" s="2" t="s">
        <v>959</v>
      </c>
    </row>
    <row r="14" spans="1:3" ht="13" x14ac:dyDescent="0.3">
      <c r="C14" s="40" t="s">
        <v>953</v>
      </c>
    </row>
    <row r="15" spans="1:3" x14ac:dyDescent="0.25">
      <c r="C15" s="2" t="s">
        <v>961</v>
      </c>
    </row>
    <row r="16" spans="1:3" x14ac:dyDescent="0.25">
      <c r="C16" s="2" t="s">
        <v>962</v>
      </c>
    </row>
    <row r="17" spans="3:3" ht="13" x14ac:dyDescent="0.3">
      <c r="C17" s="91"/>
    </row>
    <row r="18" spans="3:3" ht="13" x14ac:dyDescent="0.3">
      <c r="C18" s="40" t="s">
        <v>956</v>
      </c>
    </row>
    <row r="19" spans="3:3" x14ac:dyDescent="0.25">
      <c r="C19" s="2" t="s">
        <v>963</v>
      </c>
    </row>
    <row r="22" spans="3:3" ht="13" x14ac:dyDescent="0.3">
      <c r="C22" s="40" t="s">
        <v>957</v>
      </c>
    </row>
    <row r="23" spans="3:3" x14ac:dyDescent="0.25">
      <c r="C23" s="2" t="s">
        <v>964</v>
      </c>
    </row>
    <row r="26" spans="3:3" ht="13" x14ac:dyDescent="0.3">
      <c r="C26" s="40" t="s">
        <v>954</v>
      </c>
    </row>
    <row r="29" spans="3:3" ht="13" x14ac:dyDescent="0.3">
      <c r="C29" s="40" t="s">
        <v>955</v>
      </c>
    </row>
    <row r="33" spans="3:3" ht="13" x14ac:dyDescent="0.3">
      <c r="C33" s="40" t="s">
        <v>958</v>
      </c>
    </row>
  </sheetData>
  <hyperlinks>
    <hyperlink ref="A1" location="Main!A1" display="Main" xr:uid="{D261D207-27BE-4F03-A2D2-0A7EDC71690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5B3-07FE-4EEF-84E7-5108734F64E4}">
  <dimension ref="A1:C18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867</v>
      </c>
    </row>
    <row r="3" spans="1:3" x14ac:dyDescent="0.25">
      <c r="B3" s="2" t="s">
        <v>791</v>
      </c>
      <c r="C3" s="2" t="s">
        <v>792</v>
      </c>
    </row>
    <row r="4" spans="1:3" x14ac:dyDescent="0.25">
      <c r="B4" s="2" t="s">
        <v>44</v>
      </c>
      <c r="C4" s="2" t="s">
        <v>793</v>
      </c>
    </row>
    <row r="5" spans="1:3" x14ac:dyDescent="0.25">
      <c r="B5" s="2"/>
      <c r="C5" s="2" t="s">
        <v>809</v>
      </c>
    </row>
    <row r="6" spans="1:3" x14ac:dyDescent="0.25">
      <c r="B6" s="2" t="s">
        <v>794</v>
      </c>
      <c r="C6" s="2" t="s">
        <v>789</v>
      </c>
    </row>
    <row r="7" spans="1:3" x14ac:dyDescent="0.25">
      <c r="B7" s="2" t="s">
        <v>53</v>
      </c>
    </row>
    <row r="8" spans="1:3" ht="13" x14ac:dyDescent="0.3">
      <c r="C8" s="40" t="s">
        <v>808</v>
      </c>
    </row>
    <row r="9" spans="1:3" x14ac:dyDescent="0.25">
      <c r="C9" s="2" t="s">
        <v>805</v>
      </c>
    </row>
    <row r="10" spans="1:3" x14ac:dyDescent="0.25">
      <c r="C10" s="2" t="s">
        <v>806</v>
      </c>
    </row>
    <row r="11" spans="1:3" x14ac:dyDescent="0.25">
      <c r="C11" s="2" t="s">
        <v>807</v>
      </c>
    </row>
    <row r="13" spans="1:3" ht="13" x14ac:dyDescent="0.3">
      <c r="C13" s="40" t="s">
        <v>816</v>
      </c>
    </row>
    <row r="14" spans="1:3" x14ac:dyDescent="0.25">
      <c r="C14" s="2" t="s">
        <v>815</v>
      </c>
    </row>
    <row r="15" spans="1:3" x14ac:dyDescent="0.25">
      <c r="C15" s="2" t="s">
        <v>814</v>
      </c>
    </row>
    <row r="16" spans="1:3" x14ac:dyDescent="0.25">
      <c r="C16" s="2" t="s">
        <v>812</v>
      </c>
    </row>
    <row r="17" spans="3:3" x14ac:dyDescent="0.25">
      <c r="C17" s="2" t="s">
        <v>813</v>
      </c>
    </row>
    <row r="18" spans="3:3" x14ac:dyDescent="0.25">
      <c r="C18" s="2" t="s">
        <v>817</v>
      </c>
    </row>
  </sheetData>
  <hyperlinks>
    <hyperlink ref="A1" location="Main!A1" display="Main" xr:uid="{E1C9F1F9-FCBD-44EC-A620-74140254EEE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509D-B07E-4040-BDE2-947BE83599F5}">
  <dimension ref="A1:C9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2.453125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776</v>
      </c>
    </row>
    <row r="3" spans="1:3" x14ac:dyDescent="0.25">
      <c r="B3" s="2" t="s">
        <v>791</v>
      </c>
      <c r="C3" s="2" t="s">
        <v>969</v>
      </c>
    </row>
    <row r="4" spans="1:3" x14ac:dyDescent="0.25">
      <c r="B4" s="2" t="s">
        <v>44</v>
      </c>
      <c r="C4" s="2" t="s">
        <v>146</v>
      </c>
    </row>
    <row r="5" spans="1:3" x14ac:dyDescent="0.25">
      <c r="B5" s="2" t="s">
        <v>104</v>
      </c>
      <c r="C5" s="2" t="s">
        <v>968</v>
      </c>
    </row>
    <row r="6" spans="1:3" x14ac:dyDescent="0.25">
      <c r="B6" s="2" t="s">
        <v>794</v>
      </c>
    </row>
    <row r="7" spans="1:3" x14ac:dyDescent="0.25">
      <c r="B7" s="2" t="s">
        <v>65</v>
      </c>
      <c r="C7" s="2" t="s">
        <v>967</v>
      </c>
    </row>
    <row r="8" spans="1:3" x14ac:dyDescent="0.25">
      <c r="B8" s="2" t="s">
        <v>53</v>
      </c>
    </row>
    <row r="9" spans="1:3" ht="13" x14ac:dyDescent="0.3">
      <c r="C9" s="40" t="s">
        <v>970</v>
      </c>
    </row>
  </sheetData>
  <hyperlinks>
    <hyperlink ref="A1" location="Main!A1" display="Main" xr:uid="{8F41DEBC-7EBE-4203-9D66-3D1B432EB44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C20" sqref="C20"/>
    </sheetView>
  </sheetViews>
  <sheetFormatPr defaultColWidth="8.81640625" defaultRowHeight="12.5" x14ac:dyDescent="0.25"/>
  <cols>
    <col min="1" max="1" width="5" bestFit="1" customWidth="1"/>
    <col min="2" max="2" width="22.7265625" customWidth="1"/>
    <col min="3" max="3" width="12.1796875" customWidth="1"/>
  </cols>
  <sheetData>
    <row r="1" spans="1:5" x14ac:dyDescent="0.25">
      <c r="A1" s="39" t="s">
        <v>55</v>
      </c>
    </row>
    <row r="2" spans="1:5" x14ac:dyDescent="0.25">
      <c r="B2" s="2" t="s">
        <v>397</v>
      </c>
    </row>
    <row r="3" spans="1:5" x14ac:dyDescent="0.25">
      <c r="B3" s="2" t="s">
        <v>492</v>
      </c>
    </row>
    <row r="4" spans="1:5" x14ac:dyDescent="0.25">
      <c r="B4" s="2" t="s">
        <v>396</v>
      </c>
    </row>
    <row r="5" spans="1:5" x14ac:dyDescent="0.25">
      <c r="B5" s="3" t="s">
        <v>390</v>
      </c>
    </row>
    <row r="6" spans="1:5" x14ac:dyDescent="0.25">
      <c r="B6" s="3" t="s">
        <v>391</v>
      </c>
    </row>
    <row r="7" spans="1:5" x14ac:dyDescent="0.25">
      <c r="B7" s="2" t="s">
        <v>399</v>
      </c>
    </row>
    <row r="8" spans="1:5" x14ac:dyDescent="0.25">
      <c r="B8" s="2" t="s">
        <v>398</v>
      </c>
    </row>
    <row r="9" spans="1:5" x14ac:dyDescent="0.25">
      <c r="B9" s="2" t="s">
        <v>446</v>
      </c>
    </row>
    <row r="11" spans="1:5" ht="13" x14ac:dyDescent="0.3">
      <c r="B11" s="40" t="s">
        <v>448</v>
      </c>
      <c r="C11" s="64" t="s">
        <v>470</v>
      </c>
      <c r="E11" s="40" t="s">
        <v>644</v>
      </c>
    </row>
    <row r="12" spans="1:5" x14ac:dyDescent="0.25">
      <c r="B12" s="2" t="s">
        <v>449</v>
      </c>
      <c r="C12" s="65">
        <f>3363/7365</f>
        <v>0.4566191446028513</v>
      </c>
      <c r="E12" s="2" t="s">
        <v>647</v>
      </c>
    </row>
    <row r="13" spans="1:5" x14ac:dyDescent="0.25">
      <c r="B13" s="2" t="s">
        <v>450</v>
      </c>
      <c r="C13" s="65">
        <f>346/7365</f>
        <v>4.6978954514596064E-2</v>
      </c>
      <c r="E13" s="2" t="s">
        <v>648</v>
      </c>
    </row>
    <row r="14" spans="1:5" x14ac:dyDescent="0.25">
      <c r="B14" s="2" t="s">
        <v>451</v>
      </c>
      <c r="C14" s="65">
        <f>2158/7365</f>
        <v>0.29300746775288528</v>
      </c>
      <c r="E14" s="2" t="s">
        <v>645</v>
      </c>
    </row>
    <row r="15" spans="1:5" x14ac:dyDescent="0.25">
      <c r="B15" s="2" t="s">
        <v>468</v>
      </c>
      <c r="C15" s="65">
        <f>882/7365</f>
        <v>0.11975560081466395</v>
      </c>
      <c r="E15" s="2" t="s">
        <v>646</v>
      </c>
    </row>
    <row r="16" spans="1:5" x14ac:dyDescent="0.25">
      <c r="B16" s="2" t="s">
        <v>469</v>
      </c>
      <c r="C16" s="65">
        <f>616/7365</f>
        <v>8.3638832315003395E-2</v>
      </c>
      <c r="E16" s="2" t="s">
        <v>649</v>
      </c>
    </row>
    <row r="17" spans="2:5" x14ac:dyDescent="0.25">
      <c r="E17" s="2"/>
    </row>
    <row r="19" spans="2:5" ht="13" x14ac:dyDescent="0.3">
      <c r="B19" s="40" t="s">
        <v>819</v>
      </c>
    </row>
    <row r="20" spans="2:5" x14ac:dyDescent="0.25">
      <c r="B20" s="2" t="s">
        <v>820</v>
      </c>
      <c r="C20" s="2" t="s">
        <v>821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C1E7-E82D-44AC-A17C-198506D7E061}">
  <dimension ref="A1:C16"/>
  <sheetViews>
    <sheetView zoomScale="205" zoomScaleNormal="205" workbookViewId="0"/>
  </sheetViews>
  <sheetFormatPr defaultRowHeight="12.5" x14ac:dyDescent="0.25"/>
  <cols>
    <col min="1" max="1" width="4.54296875" bestFit="1" customWidth="1"/>
    <col min="2" max="2" width="9.54296875" bestFit="1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928</v>
      </c>
    </row>
    <row r="3" spans="1:3" x14ac:dyDescent="0.25">
      <c r="B3" s="2" t="s">
        <v>791</v>
      </c>
    </row>
    <row r="4" spans="1:3" x14ac:dyDescent="0.25">
      <c r="B4" s="2" t="s">
        <v>65</v>
      </c>
      <c r="C4" s="2" t="s">
        <v>978</v>
      </c>
    </row>
    <row r="5" spans="1:3" x14ac:dyDescent="0.25">
      <c r="B5" s="2" t="s">
        <v>53</v>
      </c>
    </row>
    <row r="6" spans="1:3" ht="13" x14ac:dyDescent="0.3">
      <c r="C6" s="40" t="s">
        <v>979</v>
      </c>
    </row>
    <row r="7" spans="1:3" x14ac:dyDescent="0.25">
      <c r="C7" s="2" t="s">
        <v>980</v>
      </c>
    </row>
    <row r="10" spans="1:3" ht="13" x14ac:dyDescent="0.3">
      <c r="C10" s="40" t="s">
        <v>981</v>
      </c>
    </row>
    <row r="13" spans="1:3" ht="13" x14ac:dyDescent="0.3">
      <c r="C13" s="40" t="s">
        <v>982</v>
      </c>
    </row>
    <row r="16" spans="1:3" ht="13" x14ac:dyDescent="0.3">
      <c r="C16" s="40" t="s">
        <v>983</v>
      </c>
    </row>
  </sheetData>
  <hyperlinks>
    <hyperlink ref="A1" location="Main!A1" display="Main" xr:uid="{A7BDF025-D314-422D-8026-21AF8D9F400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1550-2C60-4D31-8950-C59764829BC8}">
  <dimension ref="A1:C8"/>
  <sheetViews>
    <sheetView zoomScale="220" zoomScaleNormal="220" workbookViewId="0"/>
  </sheetViews>
  <sheetFormatPr defaultRowHeight="12.5" x14ac:dyDescent="0.25"/>
  <cols>
    <col min="1" max="1" width="4.54296875" bestFit="1" customWidth="1"/>
    <col min="2" max="2" width="15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775</v>
      </c>
    </row>
    <row r="3" spans="1:3" x14ac:dyDescent="0.25">
      <c r="B3" s="2" t="s">
        <v>791</v>
      </c>
    </row>
    <row r="4" spans="1:3" x14ac:dyDescent="0.25">
      <c r="B4" s="2" t="s">
        <v>65</v>
      </c>
      <c r="C4" s="2" t="s">
        <v>975</v>
      </c>
    </row>
    <row r="5" spans="1:3" x14ac:dyDescent="0.25">
      <c r="B5" s="2" t="s">
        <v>9</v>
      </c>
      <c r="C5" s="2" t="s">
        <v>977</v>
      </c>
    </row>
    <row r="6" spans="1:3" x14ac:dyDescent="0.25">
      <c r="B6" s="2" t="s">
        <v>53</v>
      </c>
    </row>
    <row r="7" spans="1:3" ht="13" x14ac:dyDescent="0.3">
      <c r="C7" s="40" t="s">
        <v>984</v>
      </c>
    </row>
    <row r="8" spans="1:3" x14ac:dyDescent="0.25">
      <c r="C8" s="2" t="s">
        <v>976</v>
      </c>
    </row>
  </sheetData>
  <hyperlinks>
    <hyperlink ref="A1" location="Main!A1" display="Main" xr:uid="{4C4B5457-511E-4CEF-98D6-780325045EF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2"/>
  <sheetViews>
    <sheetView zoomScale="205" zoomScaleNormal="205" workbookViewId="0">
      <selection activeCell="C11" sqref="C11"/>
    </sheetView>
  </sheetViews>
  <sheetFormatPr defaultColWidth="9.1796875" defaultRowHeight="12.5" x14ac:dyDescent="0.25"/>
  <cols>
    <col min="1" max="1" width="5" style="5" bestFit="1" customWidth="1"/>
    <col min="2" max="2" width="13.1796875" style="5" customWidth="1"/>
    <col min="3" max="3" width="19.26953125" style="5" customWidth="1"/>
    <col min="4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165</v>
      </c>
    </row>
    <row r="3" spans="1:3" x14ac:dyDescent="0.25">
      <c r="B3" s="5" t="s">
        <v>51</v>
      </c>
      <c r="C3" s="5" t="s">
        <v>166</v>
      </c>
    </row>
    <row r="4" spans="1:3" x14ac:dyDescent="0.25">
      <c r="B4" s="5" t="s">
        <v>44</v>
      </c>
      <c r="C4" s="15" t="s">
        <v>304</v>
      </c>
    </row>
    <row r="5" spans="1:3" x14ac:dyDescent="0.25">
      <c r="B5" s="5" t="s">
        <v>65</v>
      </c>
      <c r="C5" s="5" t="s">
        <v>208</v>
      </c>
    </row>
    <row r="6" spans="1:3" x14ac:dyDescent="0.25">
      <c r="B6" s="5" t="s">
        <v>168</v>
      </c>
      <c r="C6" s="5" t="s">
        <v>169</v>
      </c>
    </row>
    <row r="7" spans="1:3" x14ac:dyDescent="0.25">
      <c r="B7" s="5" t="s">
        <v>106</v>
      </c>
      <c r="C7" s="5" t="s">
        <v>285</v>
      </c>
    </row>
    <row r="8" spans="1:3" x14ac:dyDescent="0.25">
      <c r="B8" s="5" t="s">
        <v>884</v>
      </c>
      <c r="C8" s="5" t="s">
        <v>885</v>
      </c>
    </row>
    <row r="9" spans="1:3" x14ac:dyDescent="0.25">
      <c r="B9" s="5" t="s">
        <v>886</v>
      </c>
      <c r="C9" s="5" t="s">
        <v>887</v>
      </c>
    </row>
    <row r="10" spans="1:3" x14ac:dyDescent="0.25">
      <c r="B10" s="5" t="s">
        <v>883</v>
      </c>
      <c r="C10" s="5" t="s">
        <v>889</v>
      </c>
    </row>
    <row r="11" spans="1:3" x14ac:dyDescent="0.25">
      <c r="B11" s="15" t="s">
        <v>9</v>
      </c>
      <c r="C11" s="3" t="s">
        <v>888</v>
      </c>
    </row>
    <row r="12" spans="1:3" x14ac:dyDescent="0.25">
      <c r="B12" s="3" t="s">
        <v>75</v>
      </c>
      <c r="C12" s="3" t="s">
        <v>473</v>
      </c>
    </row>
    <row r="13" spans="1:3" x14ac:dyDescent="0.25">
      <c r="B13" s="5" t="s">
        <v>53</v>
      </c>
    </row>
    <row r="14" spans="1:3" ht="13" x14ac:dyDescent="0.3">
      <c r="C14" s="16" t="s">
        <v>167</v>
      </c>
    </row>
    <row r="15" spans="1:3" x14ac:dyDescent="0.25">
      <c r="C15" s="5" t="s">
        <v>170</v>
      </c>
    </row>
    <row r="17" spans="3:3" ht="13" x14ac:dyDescent="0.3">
      <c r="C17" s="16" t="s">
        <v>291</v>
      </c>
    </row>
    <row r="18" spans="3:3" x14ac:dyDescent="0.25">
      <c r="C18" s="5" t="s">
        <v>171</v>
      </c>
    </row>
    <row r="20" spans="3:3" ht="13" x14ac:dyDescent="0.3">
      <c r="C20" s="16" t="s">
        <v>218</v>
      </c>
    </row>
    <row r="21" spans="3:3" x14ac:dyDescent="0.25">
      <c r="C21" s="5" t="s">
        <v>219</v>
      </c>
    </row>
    <row r="23" spans="3:3" ht="13" x14ac:dyDescent="0.3">
      <c r="C23" s="16" t="s">
        <v>220</v>
      </c>
    </row>
    <row r="25" spans="3:3" ht="13" x14ac:dyDescent="0.3">
      <c r="C25" s="16" t="s">
        <v>392</v>
      </c>
    </row>
    <row r="26" spans="3:3" x14ac:dyDescent="0.25">
      <c r="C26" s="3" t="s">
        <v>385</v>
      </c>
    </row>
    <row r="27" spans="3:3" x14ac:dyDescent="0.25">
      <c r="C27" s="3"/>
    </row>
    <row r="28" spans="3:3" ht="13" x14ac:dyDescent="0.3">
      <c r="C28" s="16" t="s">
        <v>504</v>
      </c>
    </row>
    <row r="29" spans="3:3" x14ac:dyDescent="0.25">
      <c r="C29" s="3" t="s">
        <v>505</v>
      </c>
    </row>
    <row r="30" spans="3:3" x14ac:dyDescent="0.25">
      <c r="C30" s="3"/>
    </row>
    <row r="31" spans="3:3" ht="13" x14ac:dyDescent="0.3">
      <c r="C31" s="16" t="s">
        <v>506</v>
      </c>
    </row>
    <row r="32" spans="3:3" x14ac:dyDescent="0.25">
      <c r="C32" s="3" t="s">
        <v>507</v>
      </c>
    </row>
    <row r="33" spans="3:29" x14ac:dyDescent="0.25">
      <c r="C33" s="3"/>
    </row>
    <row r="34" spans="3:29" ht="13" x14ac:dyDescent="0.3">
      <c r="C34" s="16" t="s">
        <v>501</v>
      </c>
    </row>
    <row r="35" spans="3:29" x14ac:dyDescent="0.25">
      <c r="C35" s="3" t="s">
        <v>508</v>
      </c>
    </row>
    <row r="36" spans="3:29" x14ac:dyDescent="0.25">
      <c r="C36" s="3"/>
    </row>
    <row r="37" spans="3:29" ht="13" x14ac:dyDescent="0.3">
      <c r="C37" s="16" t="s">
        <v>661</v>
      </c>
    </row>
    <row r="38" spans="3:29" x14ac:dyDescent="0.25">
      <c r="C38" s="3" t="s">
        <v>662</v>
      </c>
    </row>
    <row r="39" spans="3:29" x14ac:dyDescent="0.25">
      <c r="C39" s="3"/>
    </row>
    <row r="40" spans="3:29" ht="13" x14ac:dyDescent="0.3">
      <c r="C40" s="16" t="s">
        <v>663</v>
      </c>
    </row>
    <row r="41" spans="3:29" x14ac:dyDescent="0.25">
      <c r="C41" s="3" t="s">
        <v>664</v>
      </c>
    </row>
    <row r="43" spans="3:29" ht="13" x14ac:dyDescent="0.3">
      <c r="C43" s="31" t="s">
        <v>56</v>
      </c>
      <c r="D43" s="48" t="s">
        <v>157</v>
      </c>
      <c r="E43" s="48" t="s">
        <v>156</v>
      </c>
      <c r="F43" s="48" t="s">
        <v>155</v>
      </c>
      <c r="G43" s="48" t="s">
        <v>154</v>
      </c>
      <c r="H43" s="48" t="s">
        <v>153</v>
      </c>
      <c r="I43" s="48" t="s">
        <v>152</v>
      </c>
      <c r="J43" s="48" t="s">
        <v>151</v>
      </c>
      <c r="K43" s="48" t="s">
        <v>150</v>
      </c>
      <c r="L43" s="48" t="s">
        <v>131</v>
      </c>
      <c r="M43" s="48" t="s">
        <v>160</v>
      </c>
      <c r="N43" s="48" t="s">
        <v>132</v>
      </c>
      <c r="O43" s="48" t="s">
        <v>133</v>
      </c>
      <c r="P43" s="48" t="s">
        <v>134</v>
      </c>
      <c r="Q43" s="48" t="s">
        <v>135</v>
      </c>
      <c r="R43" s="48" t="s">
        <v>136</v>
      </c>
      <c r="S43" s="48" t="s">
        <v>137</v>
      </c>
      <c r="T43" s="48" t="s">
        <v>195</v>
      </c>
      <c r="U43" s="93"/>
      <c r="V43" s="48" t="s">
        <v>57</v>
      </c>
      <c r="W43" s="48" t="s">
        <v>58</v>
      </c>
      <c r="X43" s="48" t="s">
        <v>59</v>
      </c>
      <c r="Y43" s="48" t="s">
        <v>60</v>
      </c>
      <c r="Z43" s="48">
        <v>2005</v>
      </c>
      <c r="AA43" s="48">
        <v>2006</v>
      </c>
      <c r="AB43" s="48">
        <f t="shared" ref="AB43:AC43" si="0">AA43+1</f>
        <v>2007</v>
      </c>
      <c r="AC43" s="48">
        <f t="shared" si="0"/>
        <v>2008</v>
      </c>
    </row>
    <row r="44" spans="3:29" ht="13" x14ac:dyDescent="0.3">
      <c r="C44" s="17" t="s">
        <v>61</v>
      </c>
      <c r="D44" s="105">
        <f>SUM(D45:D47)</f>
        <v>782</v>
      </c>
      <c r="E44" s="105">
        <f>SUM(E45:E47)</f>
        <v>842</v>
      </c>
      <c r="F44" s="105">
        <f>SUM(F45:F47)</f>
        <v>880</v>
      </c>
      <c r="G44" s="105">
        <f>SUM(G45:G47)</f>
        <v>874</v>
      </c>
      <c r="H44" s="105">
        <f>SUM(H45:H47)</f>
        <v>929</v>
      </c>
      <c r="I44" s="105">
        <f t="shared" ref="I44:T44" si="1">SUM(I45:I47)</f>
        <v>1015</v>
      </c>
      <c r="J44" s="105">
        <f t="shared" si="1"/>
        <v>1057</v>
      </c>
      <c r="K44" s="105">
        <f t="shared" si="1"/>
        <v>1153</v>
      </c>
      <c r="L44" s="105">
        <f t="shared" si="1"/>
        <v>1146</v>
      </c>
      <c r="M44" s="105">
        <f t="shared" si="1"/>
        <v>1202</v>
      </c>
      <c r="N44" s="105">
        <f t="shared" si="1"/>
        <v>1177</v>
      </c>
      <c r="O44" s="105">
        <f t="shared" si="1"/>
        <v>1314</v>
      </c>
      <c r="P44" s="105">
        <f t="shared" si="1"/>
        <v>1309</v>
      </c>
      <c r="Q44" s="105">
        <f t="shared" si="1"/>
        <v>1395</v>
      </c>
      <c r="R44" s="105">
        <f t="shared" si="1"/>
        <v>1380</v>
      </c>
      <c r="S44" s="105">
        <f t="shared" si="1"/>
        <v>1432</v>
      </c>
      <c r="T44" s="105">
        <f t="shared" si="1"/>
        <v>1407</v>
      </c>
      <c r="U44" s="93"/>
      <c r="V44" s="106">
        <v>1721.3157894736842</v>
      </c>
      <c r="W44" s="106">
        <v>2402</v>
      </c>
      <c r="X44" s="106">
        <v>2775</v>
      </c>
      <c r="Y44" s="105">
        <f>SUM(D44:G44)</f>
        <v>3378</v>
      </c>
      <c r="Z44" s="105">
        <f t="shared" ref="Z44:Z47" si="2">SUM(H44:K44)</f>
        <v>4154</v>
      </c>
      <c r="AA44" s="105">
        <f t="shared" ref="AA44:AA47" si="3">SUM(L44:O44)</f>
        <v>4839</v>
      </c>
      <c r="AB44" s="105">
        <f>SUM(P44:S44)</f>
        <v>5516</v>
      </c>
      <c r="AC44" s="105"/>
    </row>
    <row r="45" spans="3:29" x14ac:dyDescent="0.25">
      <c r="C45" s="15" t="s">
        <v>93</v>
      </c>
      <c r="D45" s="107">
        <v>484</v>
      </c>
      <c r="E45" s="107">
        <v>514</v>
      </c>
      <c r="F45" s="107">
        <v>531</v>
      </c>
      <c r="G45" s="107">
        <v>514</v>
      </c>
      <c r="H45" s="107">
        <v>540</v>
      </c>
      <c r="I45" s="107">
        <v>573</v>
      </c>
      <c r="J45" s="107">
        <v>612</v>
      </c>
      <c r="K45" s="107">
        <v>672</v>
      </c>
      <c r="L45" s="107">
        <v>634</v>
      </c>
      <c r="M45" s="107">
        <v>675</v>
      </c>
      <c r="N45" s="107">
        <v>650</v>
      </c>
      <c r="O45" s="107">
        <v>737</v>
      </c>
      <c r="P45" s="107">
        <v>682</v>
      </c>
      <c r="Q45" s="107">
        <v>742</v>
      </c>
      <c r="R45" s="107">
        <v>718</v>
      </c>
      <c r="S45" s="107">
        <v>709</v>
      </c>
      <c r="T45" s="107">
        <v>675</v>
      </c>
      <c r="U45" s="93"/>
      <c r="V45" s="108">
        <v>1365</v>
      </c>
      <c r="W45" s="108">
        <v>1760</v>
      </c>
      <c r="X45" s="108">
        <v>1923</v>
      </c>
      <c r="Y45" s="109">
        <f>SUM(D45:G45)</f>
        <v>2043</v>
      </c>
      <c r="Z45" s="109">
        <f>SUM(H45:K45)</f>
        <v>2397</v>
      </c>
      <c r="AA45" s="109">
        <f t="shared" si="3"/>
        <v>2696</v>
      </c>
      <c r="AB45" s="107"/>
      <c r="AC45" s="107"/>
    </row>
    <row r="46" spans="3:29" x14ac:dyDescent="0.25">
      <c r="C46" s="15" t="s">
        <v>92</v>
      </c>
      <c r="D46" s="107">
        <v>39</v>
      </c>
      <c r="E46" s="107">
        <v>48</v>
      </c>
      <c r="F46" s="107">
        <v>49</v>
      </c>
      <c r="G46" s="107">
        <v>58</v>
      </c>
      <c r="H46" s="107">
        <v>40</v>
      </c>
      <c r="I46" s="107">
        <v>52</v>
      </c>
      <c r="J46" s="107">
        <v>50</v>
      </c>
      <c r="K46" s="107">
        <v>59</v>
      </c>
      <c r="L46" s="107">
        <v>41</v>
      </c>
      <c r="M46" s="107">
        <v>48</v>
      </c>
      <c r="N46" s="107">
        <v>49</v>
      </c>
      <c r="O46" s="107">
        <v>56</v>
      </c>
      <c r="P46" s="107">
        <v>38</v>
      </c>
      <c r="Q46" s="107">
        <v>48</v>
      </c>
      <c r="R46" s="107">
        <v>49</v>
      </c>
      <c r="S46" s="107">
        <v>55</v>
      </c>
      <c r="T46" s="107">
        <v>43</v>
      </c>
      <c r="U46" s="93"/>
      <c r="V46" s="108">
        <v>26.315789473684209</v>
      </c>
      <c r="W46" s="108">
        <v>70</v>
      </c>
      <c r="X46" s="108">
        <v>109</v>
      </c>
      <c r="Y46" s="109">
        <f t="shared" ref="Y46:Y47" si="4">SUM(D46:G46)</f>
        <v>194</v>
      </c>
      <c r="Z46" s="109">
        <f t="shared" si="2"/>
        <v>201</v>
      </c>
      <c r="AA46" s="109">
        <f t="shared" si="3"/>
        <v>194</v>
      </c>
      <c r="AB46" s="107"/>
      <c r="AC46" s="107"/>
    </row>
    <row r="47" spans="3:29" x14ac:dyDescent="0.25">
      <c r="C47" s="15" t="s">
        <v>162</v>
      </c>
      <c r="D47" s="107">
        <v>259</v>
      </c>
      <c r="E47" s="107">
        <v>280</v>
      </c>
      <c r="F47" s="107">
        <v>300</v>
      </c>
      <c r="G47" s="107">
        <v>302</v>
      </c>
      <c r="H47" s="107">
        <v>349</v>
      </c>
      <c r="I47" s="107">
        <v>390</v>
      </c>
      <c r="J47" s="107">
        <v>395</v>
      </c>
      <c r="K47" s="107">
        <v>422</v>
      </c>
      <c r="L47" s="107">
        <v>471</v>
      </c>
      <c r="M47" s="107">
        <v>479</v>
      </c>
      <c r="N47" s="66">
        <v>478</v>
      </c>
      <c r="O47" s="66">
        <v>521</v>
      </c>
      <c r="P47" s="66">
        <v>589</v>
      </c>
      <c r="Q47" s="66">
        <v>605</v>
      </c>
      <c r="R47" s="66">
        <v>613</v>
      </c>
      <c r="S47" s="107">
        <v>668</v>
      </c>
      <c r="T47" s="107">
        <v>689</v>
      </c>
      <c r="U47" s="93"/>
      <c r="V47" s="108">
        <v>330</v>
      </c>
      <c r="W47" s="108">
        <v>572</v>
      </c>
      <c r="X47" s="108">
        <v>743</v>
      </c>
      <c r="Y47" s="109">
        <f t="shared" si="4"/>
        <v>1141</v>
      </c>
      <c r="Z47" s="109">
        <f t="shared" si="2"/>
        <v>1556</v>
      </c>
      <c r="AA47" s="109">
        <f t="shared" si="3"/>
        <v>1949</v>
      </c>
      <c r="AB47" s="107"/>
      <c r="AC47" s="107"/>
    </row>
    <row r="50" spans="2:4" x14ac:dyDescent="0.25">
      <c r="B50" s="3" t="s">
        <v>386</v>
      </c>
    </row>
    <row r="51" spans="2:4" x14ac:dyDescent="0.25">
      <c r="C51" s="55">
        <v>39387</v>
      </c>
      <c r="D51" s="5">
        <v>197</v>
      </c>
    </row>
    <row r="52" spans="2:4" x14ac:dyDescent="0.25">
      <c r="C52" s="55">
        <v>39356</v>
      </c>
      <c r="D52" s="5">
        <v>202</v>
      </c>
    </row>
  </sheetData>
  <phoneticPr fontId="17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4294967292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0F0E-07B1-F341-AD79-56F9F4F62487}">
  <dimension ref="A1:C4"/>
  <sheetViews>
    <sheetView zoomScale="160" zoomScaleNormal="160"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770</v>
      </c>
    </row>
    <row r="3" spans="1:3" x14ac:dyDescent="0.25">
      <c r="B3" s="2" t="s">
        <v>791</v>
      </c>
    </row>
    <row r="4" spans="1:3" x14ac:dyDescent="0.25">
      <c r="B4" s="2" t="s">
        <v>44</v>
      </c>
      <c r="C4" s="2" t="s">
        <v>797</v>
      </c>
    </row>
  </sheetData>
  <hyperlinks>
    <hyperlink ref="A1" location="Main!A1" display="Main" xr:uid="{E1D96BB9-C922-CC4B-B74F-B678E7F4A88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2"/>
  <sheetViews>
    <sheetView zoomScale="145" zoomScaleNormal="145" workbookViewId="0"/>
  </sheetViews>
  <sheetFormatPr defaultColWidth="9.1796875" defaultRowHeight="12.5" x14ac:dyDescent="0.25"/>
  <cols>
    <col min="1" max="1" width="5" style="5" bestFit="1" customWidth="1"/>
    <col min="2" max="2" width="14.179687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A2" s="13"/>
      <c r="B2" s="5" t="s">
        <v>49</v>
      </c>
      <c r="C2" s="5" t="s">
        <v>23</v>
      </c>
    </row>
    <row r="3" spans="1:3" x14ac:dyDescent="0.25">
      <c r="A3" s="13"/>
      <c r="B3" s="5" t="s">
        <v>51</v>
      </c>
      <c r="C3" s="5" t="s">
        <v>190</v>
      </c>
    </row>
    <row r="4" spans="1:3" x14ac:dyDescent="0.25">
      <c r="A4" s="13"/>
      <c r="B4" s="5" t="s">
        <v>44</v>
      </c>
      <c r="C4" s="5" t="s">
        <v>231</v>
      </c>
    </row>
    <row r="5" spans="1:3" x14ac:dyDescent="0.25">
      <c r="A5" s="13"/>
      <c r="C5" s="3" t="s">
        <v>522</v>
      </c>
    </row>
    <row r="6" spans="1:3" x14ac:dyDescent="0.25">
      <c r="A6" s="13"/>
      <c r="B6" s="5" t="s">
        <v>191</v>
      </c>
      <c r="C6" s="5" t="s">
        <v>192</v>
      </c>
    </row>
    <row r="7" spans="1:3" x14ac:dyDescent="0.25">
      <c r="A7" s="13"/>
      <c r="C7" s="5" t="s">
        <v>193</v>
      </c>
    </row>
    <row r="8" spans="1:3" x14ac:dyDescent="0.25">
      <c r="B8" s="5" t="s">
        <v>65</v>
      </c>
      <c r="C8" s="3" t="s">
        <v>520</v>
      </c>
    </row>
    <row r="9" spans="1:3" x14ac:dyDescent="0.25">
      <c r="B9" s="5" t="s">
        <v>66</v>
      </c>
      <c r="C9" s="3" t="s">
        <v>519</v>
      </c>
    </row>
    <row r="10" spans="1:3" x14ac:dyDescent="0.25">
      <c r="B10" s="5" t="s">
        <v>81</v>
      </c>
      <c r="C10" s="5" t="s">
        <v>514</v>
      </c>
    </row>
    <row r="11" spans="1:3" x14ac:dyDescent="0.25">
      <c r="B11" s="3" t="s">
        <v>75</v>
      </c>
      <c r="C11" s="3" t="s">
        <v>549</v>
      </c>
    </row>
    <row r="12" spans="1:3" x14ac:dyDescent="0.25">
      <c r="B12" s="3" t="s">
        <v>96</v>
      </c>
      <c r="C12" s="3" t="s">
        <v>521</v>
      </c>
    </row>
    <row r="13" spans="1:3" x14ac:dyDescent="0.25">
      <c r="B13" s="3"/>
      <c r="C13" s="3" t="s">
        <v>523</v>
      </c>
    </row>
    <row r="14" spans="1:3" x14ac:dyDescent="0.25">
      <c r="B14" s="3"/>
      <c r="C14" s="3" t="s">
        <v>526</v>
      </c>
    </row>
    <row r="15" spans="1:3" x14ac:dyDescent="0.25">
      <c r="B15" s="3"/>
      <c r="C15" s="3" t="s">
        <v>533</v>
      </c>
    </row>
    <row r="16" spans="1:3" x14ac:dyDescent="0.25">
      <c r="B16" s="3"/>
      <c r="C16" s="3" t="s">
        <v>542</v>
      </c>
    </row>
    <row r="17" spans="2:3" x14ac:dyDescent="0.25">
      <c r="B17" s="3"/>
      <c r="C17" s="3" t="s">
        <v>550</v>
      </c>
    </row>
    <row r="18" spans="2:3" x14ac:dyDescent="0.25">
      <c r="B18" s="3"/>
      <c r="C18" s="3" t="s">
        <v>556</v>
      </c>
    </row>
    <row r="19" spans="2:3" x14ac:dyDescent="0.25">
      <c r="B19" s="5" t="s">
        <v>53</v>
      </c>
    </row>
    <row r="20" spans="2:3" ht="13" x14ac:dyDescent="0.3">
      <c r="C20" s="16" t="s">
        <v>419</v>
      </c>
    </row>
    <row r="21" spans="2:3" x14ac:dyDescent="0.25">
      <c r="C21" s="3" t="s">
        <v>417</v>
      </c>
    </row>
    <row r="22" spans="2:3" x14ac:dyDescent="0.25">
      <c r="C22" s="3" t="s">
        <v>418</v>
      </c>
    </row>
    <row r="23" spans="2:3" x14ac:dyDescent="0.25">
      <c r="C23" s="3"/>
    </row>
    <row r="24" spans="2:3" ht="13" x14ac:dyDescent="0.3">
      <c r="C24" s="16" t="s">
        <v>581</v>
      </c>
    </row>
    <row r="25" spans="2:3" x14ac:dyDescent="0.25">
      <c r="C25" s="3" t="s">
        <v>652</v>
      </c>
    </row>
    <row r="26" spans="2:3" ht="13" x14ac:dyDescent="0.3">
      <c r="C26" s="16"/>
    </row>
    <row r="27" spans="2:3" ht="13" x14ac:dyDescent="0.3">
      <c r="C27" s="16" t="s">
        <v>582</v>
      </c>
    </row>
    <row r="28" spans="2:3" x14ac:dyDescent="0.25">
      <c r="C28" s="3" t="s">
        <v>650</v>
      </c>
    </row>
    <row r="29" spans="2:3" x14ac:dyDescent="0.25">
      <c r="C29" s="3" t="s">
        <v>651</v>
      </c>
    </row>
    <row r="30" spans="2:3" x14ac:dyDescent="0.25">
      <c r="C30" s="3"/>
    </row>
    <row r="31" spans="2:3" ht="13" x14ac:dyDescent="0.3">
      <c r="C31" s="16"/>
    </row>
    <row r="32" spans="2:3" ht="13" x14ac:dyDescent="0.3">
      <c r="C32" s="16" t="s">
        <v>583</v>
      </c>
    </row>
    <row r="33" spans="3:3" ht="13" x14ac:dyDescent="0.3">
      <c r="C33" s="16" t="s">
        <v>653</v>
      </c>
    </row>
    <row r="34" spans="3:3" x14ac:dyDescent="0.25">
      <c r="C34" s="3"/>
    </row>
    <row r="35" spans="3:3" ht="13" x14ac:dyDescent="0.3">
      <c r="C35" s="16" t="s">
        <v>513</v>
      </c>
    </row>
    <row r="36" spans="3:3" x14ac:dyDescent="0.25">
      <c r="C36" s="3" t="s">
        <v>555</v>
      </c>
    </row>
    <row r="37" spans="3:3" x14ac:dyDescent="0.25">
      <c r="C37" s="3" t="s">
        <v>554</v>
      </c>
    </row>
    <row r="38" spans="3:3" ht="13" x14ac:dyDescent="0.3">
      <c r="C38" s="16"/>
    </row>
    <row r="39" spans="3:3" ht="13" x14ac:dyDescent="0.3">
      <c r="C39" s="16" t="s">
        <v>226</v>
      </c>
    </row>
    <row r="40" spans="3:3" x14ac:dyDescent="0.25">
      <c r="C40" s="5" t="s">
        <v>223</v>
      </c>
    </row>
    <row r="41" spans="3:3" x14ac:dyDescent="0.25">
      <c r="C41" s="5" t="s">
        <v>224</v>
      </c>
    </row>
    <row r="42" spans="3:3" x14ac:dyDescent="0.25">
      <c r="C42" s="5" t="s">
        <v>225</v>
      </c>
    </row>
    <row r="43" spans="3:3" x14ac:dyDescent="0.25">
      <c r="C43" s="3" t="s">
        <v>529</v>
      </c>
    </row>
    <row r="45" spans="3:3" ht="13" x14ac:dyDescent="0.3">
      <c r="C45" s="16" t="s">
        <v>528</v>
      </c>
    </row>
    <row r="46" spans="3:3" x14ac:dyDescent="0.25">
      <c r="C46" s="3" t="s">
        <v>527</v>
      </c>
    </row>
    <row r="47" spans="3:3" x14ac:dyDescent="0.25">
      <c r="C47" s="3" t="s">
        <v>530</v>
      </c>
    </row>
    <row r="48" spans="3:3" x14ac:dyDescent="0.25">
      <c r="C48" s="3"/>
    </row>
    <row r="49" spans="3:3" ht="13" x14ac:dyDescent="0.3">
      <c r="C49" s="16" t="s">
        <v>415</v>
      </c>
    </row>
    <row r="50" spans="3:3" x14ac:dyDescent="0.25">
      <c r="C50" s="15" t="s">
        <v>229</v>
      </c>
    </row>
    <row r="52" spans="3:3" ht="13" x14ac:dyDescent="0.3">
      <c r="C52" s="16" t="s">
        <v>227</v>
      </c>
    </row>
    <row r="53" spans="3:3" x14ac:dyDescent="0.25">
      <c r="C53" s="5" t="s">
        <v>228</v>
      </c>
    </row>
    <row r="55" spans="3:3" ht="13" x14ac:dyDescent="0.3">
      <c r="C55" s="16" t="s">
        <v>412</v>
      </c>
    </row>
    <row r="56" spans="3:3" x14ac:dyDescent="0.25">
      <c r="C56" s="3" t="s">
        <v>416</v>
      </c>
    </row>
    <row r="57" spans="3:3" ht="13" x14ac:dyDescent="0.3">
      <c r="C57" s="16"/>
    </row>
    <row r="58" spans="3:3" x14ac:dyDescent="0.25">
      <c r="C58" s="3" t="s">
        <v>413</v>
      </c>
    </row>
    <row r="59" spans="3:3" x14ac:dyDescent="0.25">
      <c r="C59" s="3" t="s">
        <v>414</v>
      </c>
    </row>
    <row r="60" spans="3:3" x14ac:dyDescent="0.25">
      <c r="C60" s="3"/>
    </row>
    <row r="61" spans="3:3" ht="13" x14ac:dyDescent="0.3">
      <c r="C61" s="16" t="s">
        <v>524</v>
      </c>
    </row>
    <row r="62" spans="3:3" x14ac:dyDescent="0.25">
      <c r="C62" s="3" t="s">
        <v>525</v>
      </c>
    </row>
    <row r="63" spans="3:3" x14ac:dyDescent="0.25">
      <c r="C63" s="5" t="s">
        <v>230</v>
      </c>
    </row>
    <row r="65" spans="3:3" ht="13" x14ac:dyDescent="0.3">
      <c r="C65" s="16" t="s">
        <v>258</v>
      </c>
    </row>
    <row r="66" spans="3:3" x14ac:dyDescent="0.25">
      <c r="C66" s="5" t="s">
        <v>259</v>
      </c>
    </row>
    <row r="68" spans="3:3" ht="13" x14ac:dyDescent="0.3">
      <c r="C68" s="16" t="s">
        <v>543</v>
      </c>
    </row>
    <row r="69" spans="3:3" x14ac:dyDescent="0.25">
      <c r="C69" s="3" t="s">
        <v>544</v>
      </c>
    </row>
    <row r="70" spans="3:3" x14ac:dyDescent="0.25">
      <c r="C70" s="3" t="s">
        <v>545</v>
      </c>
    </row>
    <row r="71" spans="3:3" x14ac:dyDescent="0.25">
      <c r="C71" s="3" t="s">
        <v>546</v>
      </c>
    </row>
    <row r="73" spans="3:3" ht="13" x14ac:dyDescent="0.3">
      <c r="C73" s="16" t="s">
        <v>428</v>
      </c>
    </row>
    <row r="74" spans="3:3" x14ac:dyDescent="0.25">
      <c r="C74" s="3" t="s">
        <v>426</v>
      </c>
    </row>
    <row r="75" spans="3:3" x14ac:dyDescent="0.25">
      <c r="C75" s="3" t="s">
        <v>429</v>
      </c>
    </row>
    <row r="76" spans="3:3" x14ac:dyDescent="0.25">
      <c r="C76" s="3" t="s">
        <v>430</v>
      </c>
    </row>
    <row r="77" spans="3:3" x14ac:dyDescent="0.25">
      <c r="C77" s="3"/>
    </row>
    <row r="78" spans="3:3" ht="13" x14ac:dyDescent="0.3">
      <c r="C78" s="16" t="s">
        <v>421</v>
      </c>
    </row>
    <row r="79" spans="3:3" x14ac:dyDescent="0.25">
      <c r="C79" s="3" t="s">
        <v>422</v>
      </c>
    </row>
    <row r="80" spans="3:3" x14ac:dyDescent="0.25">
      <c r="C80" s="3"/>
    </row>
    <row r="81" spans="3:3" ht="13" x14ac:dyDescent="0.3">
      <c r="C81" s="16" t="s">
        <v>423</v>
      </c>
    </row>
    <row r="82" spans="3:3" x14ac:dyDescent="0.25">
      <c r="C82" s="3" t="s">
        <v>424</v>
      </c>
    </row>
    <row r="83" spans="3:3" x14ac:dyDescent="0.25">
      <c r="C83" s="3"/>
    </row>
    <row r="84" spans="3:3" x14ac:dyDescent="0.25">
      <c r="C84" s="3" t="s">
        <v>404</v>
      </c>
    </row>
    <row r="85" spans="3:3" ht="13" x14ac:dyDescent="0.3">
      <c r="C85" s="16" t="s">
        <v>427</v>
      </c>
    </row>
    <row r="86" spans="3:3" ht="13" x14ac:dyDescent="0.3">
      <c r="C86" s="16"/>
    </row>
    <row r="87" spans="3:3" ht="13" x14ac:dyDescent="0.3">
      <c r="C87" s="16" t="s">
        <v>511</v>
      </c>
    </row>
    <row r="88" spans="3:3" x14ac:dyDescent="0.25">
      <c r="C88" s="3" t="s">
        <v>512</v>
      </c>
    </row>
    <row r="89" spans="3:3" x14ac:dyDescent="0.25">
      <c r="C89" s="3"/>
    </row>
    <row r="90" spans="3:3" ht="13" x14ac:dyDescent="0.3">
      <c r="C90" s="16" t="s">
        <v>534</v>
      </c>
    </row>
    <row r="91" spans="3:3" x14ac:dyDescent="0.25">
      <c r="C91" s="3" t="s">
        <v>535</v>
      </c>
    </row>
    <row r="92" spans="3:3" x14ac:dyDescent="0.25">
      <c r="C92" s="3"/>
    </row>
    <row r="93" spans="3:3" ht="13" x14ac:dyDescent="0.3">
      <c r="C93" s="16" t="s">
        <v>547</v>
      </c>
    </row>
    <row r="94" spans="3:3" x14ac:dyDescent="0.25">
      <c r="C94" s="3"/>
    </row>
    <row r="95" spans="3:3" ht="13" x14ac:dyDescent="0.3">
      <c r="C95" s="16" t="s">
        <v>548</v>
      </c>
    </row>
    <row r="96" spans="3:3" ht="13" x14ac:dyDescent="0.3">
      <c r="C96" s="16"/>
    </row>
    <row r="97" spans="2:4" ht="13" x14ac:dyDescent="0.3">
      <c r="C97" s="16" t="s">
        <v>551</v>
      </c>
    </row>
    <row r="98" spans="2:4" ht="13" x14ac:dyDescent="0.3">
      <c r="C98" s="16"/>
    </row>
    <row r="99" spans="2:4" ht="13" x14ac:dyDescent="0.3">
      <c r="C99" s="16" t="s">
        <v>552</v>
      </c>
    </row>
    <row r="100" spans="2:4" ht="13" x14ac:dyDescent="0.3">
      <c r="C100" s="16"/>
    </row>
    <row r="101" spans="2:4" ht="13" x14ac:dyDescent="0.3">
      <c r="C101" s="16" t="s">
        <v>553</v>
      </c>
    </row>
    <row r="102" spans="2:4" ht="13" x14ac:dyDescent="0.3">
      <c r="C102" s="16"/>
    </row>
    <row r="103" spans="2:4" ht="13" x14ac:dyDescent="0.3">
      <c r="C103" s="16" t="s">
        <v>557</v>
      </c>
    </row>
    <row r="104" spans="2:4" x14ac:dyDescent="0.25">
      <c r="C104" s="3" t="s">
        <v>558</v>
      </c>
    </row>
    <row r="105" spans="2:4" ht="13" x14ac:dyDescent="0.3">
      <c r="C105" s="16"/>
    </row>
    <row r="106" spans="2:4" ht="13" x14ac:dyDescent="0.3">
      <c r="C106" s="16" t="s">
        <v>559</v>
      </c>
    </row>
    <row r="107" spans="2:4" ht="13" x14ac:dyDescent="0.3">
      <c r="C107" s="16"/>
    </row>
    <row r="108" spans="2:4" ht="13" x14ac:dyDescent="0.3">
      <c r="C108" s="16"/>
    </row>
    <row r="109" spans="2:4" ht="13" x14ac:dyDescent="0.3">
      <c r="C109" s="16"/>
    </row>
    <row r="110" spans="2:4" x14ac:dyDescent="0.25">
      <c r="B110" s="3" t="s">
        <v>386</v>
      </c>
    </row>
    <row r="111" spans="2:4" x14ac:dyDescent="0.25">
      <c r="C111" s="55">
        <v>39387</v>
      </c>
      <c r="D111" s="5">
        <v>194</v>
      </c>
    </row>
    <row r="112" spans="2:4" x14ac:dyDescent="0.25">
      <c r="C112" s="55">
        <v>39356</v>
      </c>
      <c r="D112" s="5">
        <v>196</v>
      </c>
    </row>
  </sheetData>
  <phoneticPr fontId="17" type="noConversion"/>
  <hyperlinks>
    <hyperlink ref="A1" location="Main!A1" display="Main" xr:uid="{00000000-0004-0000-0600-000000000000}"/>
  </hyperlink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4" sqref="E14"/>
    </sheetView>
  </sheetViews>
  <sheetFormatPr defaultColWidth="8.81640625" defaultRowHeight="12.5" x14ac:dyDescent="0.25"/>
  <cols>
    <col min="1" max="1" width="5" bestFit="1" customWidth="1"/>
    <col min="2" max="2" width="22.453125" customWidth="1"/>
    <col min="3" max="26" width="8.7265625" customWidth="1"/>
  </cols>
  <sheetData>
    <row r="1" spans="1:26" x14ac:dyDescent="0.25">
      <c r="A1" s="39" t="s">
        <v>55</v>
      </c>
    </row>
    <row r="3" spans="1:26" x14ac:dyDescent="0.25">
      <c r="C3">
        <v>2005</v>
      </c>
      <c r="D3">
        <v>2006</v>
      </c>
      <c r="E3">
        <f>+D3+1</f>
        <v>2007</v>
      </c>
      <c r="F3">
        <f t="shared" ref="F3:Z3" si="0">+E3+1</f>
        <v>2008</v>
      </c>
      <c r="G3">
        <f t="shared" si="0"/>
        <v>2009</v>
      </c>
      <c r="H3">
        <f t="shared" si="0"/>
        <v>2010</v>
      </c>
      <c r="I3">
        <f t="shared" si="0"/>
        <v>2011</v>
      </c>
      <c r="J3">
        <f t="shared" si="0"/>
        <v>2012</v>
      </c>
      <c r="K3">
        <f t="shared" si="0"/>
        <v>2013</v>
      </c>
      <c r="L3">
        <f t="shared" si="0"/>
        <v>2014</v>
      </c>
      <c r="M3">
        <f t="shared" si="0"/>
        <v>2015</v>
      </c>
      <c r="N3">
        <f t="shared" si="0"/>
        <v>2016</v>
      </c>
      <c r="O3">
        <f t="shared" si="0"/>
        <v>2017</v>
      </c>
      <c r="P3">
        <f t="shared" si="0"/>
        <v>2018</v>
      </c>
      <c r="Q3">
        <f t="shared" si="0"/>
        <v>2019</v>
      </c>
      <c r="R3">
        <f t="shared" si="0"/>
        <v>2020</v>
      </c>
      <c r="S3">
        <f t="shared" si="0"/>
        <v>2021</v>
      </c>
      <c r="T3">
        <f t="shared" si="0"/>
        <v>2022</v>
      </c>
      <c r="U3">
        <f t="shared" si="0"/>
        <v>2023</v>
      </c>
      <c r="V3">
        <f t="shared" si="0"/>
        <v>2024</v>
      </c>
      <c r="W3">
        <f t="shared" si="0"/>
        <v>2025</v>
      </c>
      <c r="X3">
        <f t="shared" si="0"/>
        <v>2026</v>
      </c>
      <c r="Y3">
        <f t="shared" si="0"/>
        <v>2027</v>
      </c>
      <c r="Z3">
        <f t="shared" si="0"/>
        <v>2028</v>
      </c>
    </row>
    <row r="4" spans="1:26" x14ac:dyDescent="0.25">
      <c r="B4" s="2" t="s">
        <v>531</v>
      </c>
    </row>
    <row r="5" spans="1:26" x14ac:dyDescent="0.25">
      <c r="B5" s="2" t="s">
        <v>532</v>
      </c>
    </row>
    <row r="8" spans="1:26" x14ac:dyDescent="0.25">
      <c r="B8" s="2" t="s">
        <v>536</v>
      </c>
      <c r="C8" s="89">
        <v>15000</v>
      </c>
      <c r="D8" s="89">
        <f>C8*1.01</f>
        <v>15150</v>
      </c>
      <c r="E8" s="89">
        <f t="shared" ref="E8:Z8" si="1">D8*1.01</f>
        <v>15301.5</v>
      </c>
      <c r="F8" s="89">
        <f t="shared" si="1"/>
        <v>15454.514999999999</v>
      </c>
      <c r="G8" s="89">
        <f t="shared" si="1"/>
        <v>15609.060149999999</v>
      </c>
      <c r="H8" s="89">
        <f t="shared" si="1"/>
        <v>15765.150751499999</v>
      </c>
      <c r="I8" s="89">
        <f t="shared" si="1"/>
        <v>15922.802259014999</v>
      </c>
      <c r="J8" s="89">
        <f t="shared" si="1"/>
        <v>16082.03028160515</v>
      </c>
      <c r="K8" s="89">
        <f t="shared" si="1"/>
        <v>16242.850584421201</v>
      </c>
      <c r="L8" s="89">
        <f t="shared" si="1"/>
        <v>16405.279090265412</v>
      </c>
      <c r="M8" s="89">
        <f t="shared" si="1"/>
        <v>16569.331881168066</v>
      </c>
      <c r="N8" s="89">
        <f t="shared" si="1"/>
        <v>16735.025199979747</v>
      </c>
      <c r="O8" s="89">
        <f t="shared" si="1"/>
        <v>16902.375451979544</v>
      </c>
      <c r="P8" s="89">
        <f t="shared" si="1"/>
        <v>17071.39920649934</v>
      </c>
      <c r="Q8" s="89">
        <f t="shared" si="1"/>
        <v>17242.113198564333</v>
      </c>
      <c r="R8" s="89">
        <f t="shared" si="1"/>
        <v>17414.534330549977</v>
      </c>
      <c r="S8" s="89">
        <f t="shared" si="1"/>
        <v>17588.679673855477</v>
      </c>
      <c r="T8" s="89">
        <f t="shared" si="1"/>
        <v>17764.566470594033</v>
      </c>
      <c r="U8" s="89">
        <f t="shared" si="1"/>
        <v>17942.212135299975</v>
      </c>
      <c r="V8" s="89">
        <f t="shared" si="1"/>
        <v>18121.634256652975</v>
      </c>
      <c r="W8" s="89">
        <f t="shared" si="1"/>
        <v>18302.850599219506</v>
      </c>
      <c r="X8" s="89">
        <f t="shared" si="1"/>
        <v>18485.879105211701</v>
      </c>
      <c r="Y8" s="89">
        <f t="shared" si="1"/>
        <v>18670.737896263818</v>
      </c>
      <c r="Z8" s="89">
        <f t="shared" si="1"/>
        <v>18857.445275226455</v>
      </c>
    </row>
    <row r="9" spans="1:26" x14ac:dyDescent="0.25">
      <c r="B9" s="2" t="s">
        <v>537</v>
      </c>
      <c r="C9" s="89">
        <v>15000</v>
      </c>
      <c r="D9" s="89">
        <f t="shared" ref="D9:Z9" si="2">C9*1.01</f>
        <v>15150</v>
      </c>
      <c r="E9" s="89">
        <f t="shared" si="2"/>
        <v>15301.5</v>
      </c>
      <c r="F9" s="89">
        <f t="shared" si="2"/>
        <v>15454.514999999999</v>
      </c>
      <c r="G9" s="89">
        <f t="shared" si="2"/>
        <v>15609.060149999999</v>
      </c>
      <c r="H9" s="89">
        <f t="shared" si="2"/>
        <v>15765.150751499999</v>
      </c>
      <c r="I9" s="89">
        <f t="shared" si="2"/>
        <v>15922.802259014999</v>
      </c>
      <c r="J9" s="89">
        <f t="shared" si="2"/>
        <v>16082.03028160515</v>
      </c>
      <c r="K9" s="89">
        <f t="shared" si="2"/>
        <v>16242.850584421201</v>
      </c>
      <c r="L9" s="89">
        <f t="shared" si="2"/>
        <v>16405.279090265412</v>
      </c>
      <c r="M9" s="89">
        <f t="shared" si="2"/>
        <v>16569.331881168066</v>
      </c>
      <c r="N9" s="89">
        <f t="shared" si="2"/>
        <v>16735.025199979747</v>
      </c>
      <c r="O9" s="89">
        <f t="shared" si="2"/>
        <v>16902.375451979544</v>
      </c>
      <c r="P9" s="89">
        <f t="shared" si="2"/>
        <v>17071.39920649934</v>
      </c>
      <c r="Q9" s="89">
        <f t="shared" si="2"/>
        <v>17242.113198564333</v>
      </c>
      <c r="R9" s="89">
        <f t="shared" si="2"/>
        <v>17414.534330549977</v>
      </c>
      <c r="S9" s="89">
        <f t="shared" si="2"/>
        <v>17588.679673855477</v>
      </c>
      <c r="T9" s="89">
        <f t="shared" si="2"/>
        <v>17764.566470594033</v>
      </c>
      <c r="U9" s="89">
        <f t="shared" si="2"/>
        <v>17942.212135299975</v>
      </c>
      <c r="V9" s="89">
        <f t="shared" si="2"/>
        <v>18121.634256652975</v>
      </c>
      <c r="W9" s="89">
        <f t="shared" si="2"/>
        <v>18302.850599219506</v>
      </c>
      <c r="X9" s="89">
        <f t="shared" si="2"/>
        <v>18485.879105211701</v>
      </c>
      <c r="Y9" s="89">
        <f t="shared" si="2"/>
        <v>18670.737896263818</v>
      </c>
      <c r="Z9" s="89">
        <f t="shared" si="2"/>
        <v>18857.445275226455</v>
      </c>
    </row>
    <row r="10" spans="1:26" x14ac:dyDescent="0.25">
      <c r="B10" s="2" t="s">
        <v>539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x14ac:dyDescent="0.25">
      <c r="B11" s="2" t="s">
        <v>540</v>
      </c>
      <c r="C11" s="89">
        <f>SUM(C8:C10)</f>
        <v>30000</v>
      </c>
      <c r="D11" s="89">
        <f t="shared" ref="D11:Z11" si="3">SUM(D8:D10)</f>
        <v>30300</v>
      </c>
      <c r="E11" s="89">
        <f t="shared" si="3"/>
        <v>30603</v>
      </c>
      <c r="F11" s="89">
        <f t="shared" si="3"/>
        <v>30909.03</v>
      </c>
      <c r="G11" s="89">
        <f t="shared" si="3"/>
        <v>31218.120299999999</v>
      </c>
      <c r="H11" s="89">
        <f t="shared" si="3"/>
        <v>31530.301502999999</v>
      </c>
      <c r="I11" s="89">
        <f t="shared" si="3"/>
        <v>31845.604518029999</v>
      </c>
      <c r="J11" s="89">
        <f t="shared" si="3"/>
        <v>32164.0605632103</v>
      </c>
      <c r="K11" s="89">
        <f t="shared" si="3"/>
        <v>32485.701168842403</v>
      </c>
      <c r="L11" s="89">
        <f t="shared" si="3"/>
        <v>32810.558180530825</v>
      </c>
      <c r="M11" s="89">
        <f t="shared" si="3"/>
        <v>33138.663762336131</v>
      </c>
      <c r="N11" s="89">
        <f t="shared" si="3"/>
        <v>33470.050399959495</v>
      </c>
      <c r="O11" s="89">
        <f t="shared" si="3"/>
        <v>33804.750903959088</v>
      </c>
      <c r="P11" s="89">
        <f t="shared" si="3"/>
        <v>34142.79841299868</v>
      </c>
      <c r="Q11" s="89">
        <f t="shared" si="3"/>
        <v>34484.226397128667</v>
      </c>
      <c r="R11" s="89">
        <f t="shared" si="3"/>
        <v>34829.068661099955</v>
      </c>
      <c r="S11" s="89">
        <f t="shared" si="3"/>
        <v>35177.359347710953</v>
      </c>
      <c r="T11" s="89">
        <f t="shared" si="3"/>
        <v>35529.132941188065</v>
      </c>
      <c r="U11" s="89">
        <f t="shared" si="3"/>
        <v>35884.42427059995</v>
      </c>
      <c r="V11" s="89">
        <f t="shared" si="3"/>
        <v>36243.268513305949</v>
      </c>
      <c r="W11" s="89">
        <f t="shared" si="3"/>
        <v>36605.701198439012</v>
      </c>
      <c r="X11" s="89">
        <f t="shared" si="3"/>
        <v>36971.758210423402</v>
      </c>
      <c r="Y11" s="89">
        <f t="shared" si="3"/>
        <v>37341.475792527635</v>
      </c>
      <c r="Z11" s="89">
        <f t="shared" si="3"/>
        <v>37714.89055045291</v>
      </c>
    </row>
    <row r="12" spans="1:26" x14ac:dyDescent="0.25">
      <c r="B12" s="2" t="s">
        <v>538</v>
      </c>
      <c r="C12" s="90">
        <v>0</v>
      </c>
      <c r="D12" s="90">
        <v>0.25</v>
      </c>
      <c r="E12" s="90">
        <v>0.3</v>
      </c>
      <c r="F12" s="90">
        <v>0.35</v>
      </c>
      <c r="G12" s="90">
        <v>0.35</v>
      </c>
      <c r="H12" s="90">
        <v>0.35</v>
      </c>
      <c r="I12" s="90">
        <v>0.35</v>
      </c>
      <c r="J12" s="90">
        <v>0.35</v>
      </c>
      <c r="K12" s="90">
        <v>0.35</v>
      </c>
      <c r="L12" s="90">
        <v>0.35</v>
      </c>
      <c r="M12" s="90">
        <v>0.35</v>
      </c>
      <c r="N12" s="90">
        <v>0.35</v>
      </c>
      <c r="O12" s="90">
        <v>0.35</v>
      </c>
      <c r="P12" s="90">
        <v>0.35</v>
      </c>
      <c r="Q12" s="90">
        <v>0.35</v>
      </c>
      <c r="R12" s="90">
        <v>0.35</v>
      </c>
      <c r="S12" s="90">
        <v>0.35</v>
      </c>
      <c r="T12" s="90">
        <v>0.35</v>
      </c>
      <c r="U12" s="90">
        <v>0.35</v>
      </c>
      <c r="V12" s="90">
        <v>0.35</v>
      </c>
      <c r="W12" s="90">
        <v>0.35</v>
      </c>
      <c r="X12" s="90">
        <v>0.35</v>
      </c>
      <c r="Y12" s="90">
        <v>0.35</v>
      </c>
      <c r="Z12" s="90">
        <v>0.35</v>
      </c>
    </row>
    <row r="13" spans="1:26" x14ac:dyDescent="0.25">
      <c r="B13" s="2" t="s">
        <v>106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50</v>
      </c>
      <c r="I13">
        <v>50</v>
      </c>
      <c r="J13">
        <v>50</v>
      </c>
      <c r="K13">
        <v>50</v>
      </c>
      <c r="L13">
        <v>50</v>
      </c>
      <c r="M13">
        <v>50</v>
      </c>
      <c r="N13">
        <v>50</v>
      </c>
      <c r="O13">
        <v>50</v>
      </c>
      <c r="P13">
        <v>50</v>
      </c>
      <c r="Q13">
        <v>50</v>
      </c>
      <c r="R13">
        <v>50</v>
      </c>
      <c r="S13">
        <v>50</v>
      </c>
      <c r="T13">
        <v>50</v>
      </c>
      <c r="U13">
        <v>50</v>
      </c>
      <c r="V13">
        <v>50</v>
      </c>
      <c r="W13">
        <v>50</v>
      </c>
      <c r="X13">
        <v>50</v>
      </c>
      <c r="Y13">
        <v>50</v>
      </c>
      <c r="Z13">
        <v>50</v>
      </c>
    </row>
    <row r="14" spans="1:26" s="91" customFormat="1" ht="13" x14ac:dyDescent="0.3">
      <c r="B14" s="91" t="s">
        <v>541</v>
      </c>
      <c r="C14" s="92">
        <f>C13*C12*C9</f>
        <v>0</v>
      </c>
      <c r="D14" s="92">
        <f t="shared" ref="D14:Z14" si="4">D13*D12*D9</f>
        <v>189375</v>
      </c>
      <c r="E14" s="92">
        <f t="shared" si="4"/>
        <v>229522.5</v>
      </c>
      <c r="F14" s="92">
        <f t="shared" si="4"/>
        <v>270454.01250000001</v>
      </c>
      <c r="G14" s="92">
        <f t="shared" si="4"/>
        <v>273158.55262500001</v>
      </c>
      <c r="H14" s="92">
        <f t="shared" si="4"/>
        <v>275890.13815124996</v>
      </c>
      <c r="I14" s="92">
        <f t="shared" si="4"/>
        <v>278649.03953276249</v>
      </c>
      <c r="J14" s="92">
        <f t="shared" si="4"/>
        <v>281435.52992809011</v>
      </c>
      <c r="K14" s="92">
        <f t="shared" si="4"/>
        <v>284249.88522737101</v>
      </c>
      <c r="L14" s="92">
        <f t="shared" si="4"/>
        <v>287092.38407964469</v>
      </c>
      <c r="M14" s="92">
        <f t="shared" si="4"/>
        <v>289963.30792044115</v>
      </c>
      <c r="N14" s="92">
        <f t="shared" si="4"/>
        <v>292862.94099964557</v>
      </c>
      <c r="O14" s="92">
        <f t="shared" si="4"/>
        <v>295791.57040964201</v>
      </c>
      <c r="P14" s="92">
        <f t="shared" si="4"/>
        <v>298749.48611373844</v>
      </c>
      <c r="Q14" s="92">
        <f t="shared" si="4"/>
        <v>301736.98097487586</v>
      </c>
      <c r="R14" s="92">
        <f t="shared" si="4"/>
        <v>304754.35078462458</v>
      </c>
      <c r="S14" s="92">
        <f t="shared" si="4"/>
        <v>307801.89429247082</v>
      </c>
      <c r="T14" s="92">
        <f t="shared" si="4"/>
        <v>310879.91323539556</v>
      </c>
      <c r="U14" s="92">
        <f t="shared" si="4"/>
        <v>313988.71236774954</v>
      </c>
      <c r="V14" s="92">
        <f t="shared" si="4"/>
        <v>317128.59949142707</v>
      </c>
      <c r="W14" s="92">
        <f t="shared" si="4"/>
        <v>320299.88548634137</v>
      </c>
      <c r="X14" s="92">
        <f t="shared" si="4"/>
        <v>323502.88434120477</v>
      </c>
      <c r="Y14" s="92">
        <f t="shared" si="4"/>
        <v>326737.91318461683</v>
      </c>
      <c r="Z14" s="92">
        <f t="shared" si="4"/>
        <v>330005.29231646296</v>
      </c>
    </row>
  </sheetData>
  <hyperlinks>
    <hyperlink ref="A1" location="Main!A1" display="Main" xr:uid="{00000000-0004-0000-07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E127-785F-4CE6-BD27-DE08806227C3}">
  <dimension ref="A1:C10"/>
  <sheetViews>
    <sheetView zoomScale="160" zoomScaleNormal="160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9" t="s">
        <v>55</v>
      </c>
    </row>
    <row r="2" spans="1:3" x14ac:dyDescent="0.25">
      <c r="B2" s="2" t="s">
        <v>790</v>
      </c>
      <c r="C2" s="2" t="s">
        <v>777</v>
      </c>
    </row>
    <row r="3" spans="1:3" x14ac:dyDescent="0.25">
      <c r="B3" s="2" t="s">
        <v>791</v>
      </c>
      <c r="C3" s="2" t="s">
        <v>827</v>
      </c>
    </row>
    <row r="4" spans="1:3" x14ac:dyDescent="0.25">
      <c r="B4" s="2" t="s">
        <v>44</v>
      </c>
      <c r="C4" s="2" t="s">
        <v>833</v>
      </c>
    </row>
    <row r="5" spans="1:3" x14ac:dyDescent="0.25">
      <c r="B5" s="2" t="s">
        <v>794</v>
      </c>
      <c r="C5" s="2" t="s">
        <v>825</v>
      </c>
    </row>
    <row r="6" spans="1:3" x14ac:dyDescent="0.25">
      <c r="B6" s="2" t="s">
        <v>65</v>
      </c>
      <c r="C6" s="2" t="s">
        <v>823</v>
      </c>
    </row>
    <row r="7" spans="1:3" x14ac:dyDescent="0.25">
      <c r="B7" s="2" t="s">
        <v>53</v>
      </c>
    </row>
    <row r="8" spans="1:3" ht="13" x14ac:dyDescent="0.3">
      <c r="C8" s="40" t="s">
        <v>829</v>
      </c>
    </row>
    <row r="9" spans="1:3" x14ac:dyDescent="0.25">
      <c r="C9" s="2" t="s">
        <v>828</v>
      </c>
    </row>
    <row r="10" spans="1:3" x14ac:dyDescent="0.25">
      <c r="C10" s="2" t="s">
        <v>830</v>
      </c>
    </row>
  </sheetData>
  <hyperlinks>
    <hyperlink ref="A1" location="Main!A1" display="Main" xr:uid="{0B2D5550-8E3D-4BF1-A950-6B4377AE243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>
      <selection activeCell="C19" sqref="C19"/>
    </sheetView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24</v>
      </c>
    </row>
    <row r="3" spans="1:3" x14ac:dyDescent="0.25">
      <c r="B3" s="5" t="s">
        <v>51</v>
      </c>
      <c r="C3" s="5" t="s">
        <v>260</v>
      </c>
    </row>
    <row r="4" spans="1:3" x14ac:dyDescent="0.25">
      <c r="B4" s="5" t="s">
        <v>44</v>
      </c>
      <c r="C4" s="5" t="s">
        <v>261</v>
      </c>
    </row>
    <row r="5" spans="1:3" x14ac:dyDescent="0.25">
      <c r="B5" s="5" t="s">
        <v>106</v>
      </c>
      <c r="C5" s="15" t="s">
        <v>285</v>
      </c>
    </row>
    <row r="6" spans="1:3" x14ac:dyDescent="0.25">
      <c r="B6" s="5" t="s">
        <v>53</v>
      </c>
    </row>
    <row r="7" spans="1:3" ht="13" x14ac:dyDescent="0.3">
      <c r="C7" s="16" t="s">
        <v>237</v>
      </c>
    </row>
    <row r="8" spans="1:3" x14ac:dyDescent="0.25">
      <c r="C8" s="5" t="s">
        <v>238</v>
      </c>
    </row>
    <row r="10" spans="1:3" ht="13" x14ac:dyDescent="0.3">
      <c r="C10" s="16" t="s">
        <v>264</v>
      </c>
    </row>
    <row r="12" spans="1:3" ht="13" x14ac:dyDescent="0.3">
      <c r="C12" s="16" t="s">
        <v>262</v>
      </c>
    </row>
    <row r="14" spans="1:3" ht="13" x14ac:dyDescent="0.3">
      <c r="C14" s="16" t="s">
        <v>263</v>
      </c>
    </row>
    <row r="16" spans="1:3" ht="13" x14ac:dyDescent="0.3">
      <c r="C16" s="16" t="s">
        <v>431</v>
      </c>
    </row>
    <row r="17" spans="2:4" x14ac:dyDescent="0.25">
      <c r="C17" s="3" t="s">
        <v>432</v>
      </c>
    </row>
    <row r="18" spans="2:4" x14ac:dyDescent="0.25">
      <c r="C18" s="15"/>
    </row>
    <row r="19" spans="2:4" ht="13" x14ac:dyDescent="0.3">
      <c r="C19" s="16" t="s">
        <v>425</v>
      </c>
    </row>
    <row r="21" spans="2:4" x14ac:dyDescent="0.25">
      <c r="B21" s="3" t="s">
        <v>386</v>
      </c>
    </row>
    <row r="22" spans="2:4" x14ac:dyDescent="0.25">
      <c r="C22" s="55">
        <v>39387</v>
      </c>
      <c r="D22" s="5">
        <v>109</v>
      </c>
    </row>
    <row r="23" spans="2:4" x14ac:dyDescent="0.25">
      <c r="C23" s="55">
        <v>39356</v>
      </c>
      <c r="D23" s="5">
        <v>110</v>
      </c>
    </row>
  </sheetData>
  <phoneticPr fontId="17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34</v>
      </c>
    </row>
    <row r="3" spans="1:3" x14ac:dyDescent="0.25">
      <c r="B3" s="5" t="s">
        <v>51</v>
      </c>
      <c r="C3" s="5" t="s">
        <v>245</v>
      </c>
    </row>
    <row r="4" spans="1:3" x14ac:dyDescent="0.25">
      <c r="B4" s="5" t="s">
        <v>44</v>
      </c>
      <c r="C4" s="5" t="s">
        <v>246</v>
      </c>
    </row>
    <row r="5" spans="1:3" x14ac:dyDescent="0.25">
      <c r="B5" s="5" t="s">
        <v>53</v>
      </c>
    </row>
    <row r="6" spans="1:3" ht="13" x14ac:dyDescent="0.3">
      <c r="C6" s="16" t="s">
        <v>247</v>
      </c>
    </row>
    <row r="7" spans="1:3" x14ac:dyDescent="0.25">
      <c r="C7" s="5" t="s">
        <v>248</v>
      </c>
    </row>
    <row r="9" spans="1:3" ht="13" x14ac:dyDescent="0.3">
      <c r="C9" s="16" t="s">
        <v>249</v>
      </c>
    </row>
    <row r="10" spans="1:3" x14ac:dyDescent="0.25">
      <c r="C10" s="5" t="s">
        <v>250</v>
      </c>
    </row>
    <row r="12" spans="1:3" ht="13" x14ac:dyDescent="0.3">
      <c r="C12" s="16" t="s">
        <v>251</v>
      </c>
    </row>
  </sheetData>
  <phoneticPr fontId="17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39" t="s">
        <v>55</v>
      </c>
    </row>
    <row r="2" spans="1:3" x14ac:dyDescent="0.25">
      <c r="B2" s="2" t="s">
        <v>49</v>
      </c>
      <c r="C2" s="2" t="s">
        <v>31</v>
      </c>
    </row>
    <row r="3" spans="1:3" x14ac:dyDescent="0.25">
      <c r="B3" s="2" t="s">
        <v>51</v>
      </c>
      <c r="C3" s="2" t="s">
        <v>498</v>
      </c>
    </row>
    <row r="4" spans="1:3" x14ac:dyDescent="0.25">
      <c r="B4" s="2" t="s">
        <v>74</v>
      </c>
      <c r="C4" s="2" t="s">
        <v>499</v>
      </c>
    </row>
  </sheetData>
  <hyperlinks>
    <hyperlink ref="A1" location="Main!A1" display="Main" xr:uid="{00000000-0004-0000-0A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2579-86B6-4388-B513-8B891427E3C2}">
  <dimension ref="A1:C13"/>
  <sheetViews>
    <sheetView workbookViewId="0"/>
  </sheetViews>
  <sheetFormatPr defaultRowHeight="12.5" x14ac:dyDescent="0.25"/>
  <cols>
    <col min="1" max="1" width="4.54296875" bestFit="1" customWidth="1"/>
    <col min="2" max="2" width="11.26953125" bestFit="1" customWidth="1"/>
  </cols>
  <sheetData>
    <row r="1" spans="1:3" x14ac:dyDescent="0.25">
      <c r="A1" s="39" t="s">
        <v>55</v>
      </c>
    </row>
    <row r="2" spans="1:3" x14ac:dyDescent="0.25">
      <c r="B2" t="s">
        <v>790</v>
      </c>
      <c r="C2" s="2" t="s">
        <v>938</v>
      </c>
    </row>
    <row r="3" spans="1:3" x14ac:dyDescent="0.25">
      <c r="B3" t="s">
        <v>791</v>
      </c>
      <c r="C3" t="s">
        <v>931</v>
      </c>
    </row>
    <row r="4" spans="1:3" x14ac:dyDescent="0.25">
      <c r="B4" t="s">
        <v>44</v>
      </c>
      <c r="C4" t="s">
        <v>932</v>
      </c>
    </row>
    <row r="5" spans="1:3" x14ac:dyDescent="0.25">
      <c r="B5" s="2" t="s">
        <v>794</v>
      </c>
      <c r="C5" s="2" t="s">
        <v>860</v>
      </c>
    </row>
    <row r="6" spans="1:3" x14ac:dyDescent="0.25">
      <c r="B6" t="s">
        <v>53</v>
      </c>
    </row>
    <row r="7" spans="1:3" ht="13" x14ac:dyDescent="0.3">
      <c r="C7" s="40" t="s">
        <v>933</v>
      </c>
    </row>
    <row r="8" spans="1:3" x14ac:dyDescent="0.25">
      <c r="C8" s="2" t="s">
        <v>935</v>
      </c>
    </row>
    <row r="12" spans="1:3" ht="13" x14ac:dyDescent="0.3">
      <c r="C12" s="40" t="s">
        <v>937</v>
      </c>
    </row>
    <row r="13" spans="1:3" x14ac:dyDescent="0.25">
      <c r="C13" s="2" t="s">
        <v>936</v>
      </c>
    </row>
  </sheetData>
  <hyperlinks>
    <hyperlink ref="A1" location="Main!A1" display="Main" xr:uid="{7092318C-0EE8-4263-A5F7-AB3F9CDD04A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7648-FCE8-444A-87A9-C79BE7BF52CB}">
  <dimension ref="A1:C21"/>
  <sheetViews>
    <sheetView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39" t="s">
        <v>55</v>
      </c>
    </row>
    <row r="2" spans="1:3" x14ac:dyDescent="0.25">
      <c r="B2" s="2" t="s">
        <v>790</v>
      </c>
    </row>
    <row r="3" spans="1:3" x14ac:dyDescent="0.25">
      <c r="B3" s="2" t="s">
        <v>791</v>
      </c>
      <c r="C3" s="148" t="s">
        <v>881</v>
      </c>
    </row>
    <row r="4" spans="1:3" x14ac:dyDescent="0.25">
      <c r="B4" s="2" t="s">
        <v>44</v>
      </c>
      <c r="C4" s="2" t="s">
        <v>1060</v>
      </c>
    </row>
    <row r="5" spans="1:3" x14ac:dyDescent="0.25">
      <c r="B5" s="2" t="s">
        <v>794</v>
      </c>
      <c r="C5" s="2" t="s">
        <v>882</v>
      </c>
    </row>
    <row r="6" spans="1:3" x14ac:dyDescent="0.25">
      <c r="B6" s="2" t="s">
        <v>65</v>
      </c>
      <c r="C6" s="149">
        <v>1</v>
      </c>
    </row>
    <row r="7" spans="1:3" x14ac:dyDescent="0.25">
      <c r="B7" s="2" t="s">
        <v>53</v>
      </c>
    </row>
    <row r="8" spans="1:3" ht="13" x14ac:dyDescent="0.3">
      <c r="C8" s="40" t="s">
        <v>1065</v>
      </c>
    </row>
    <row r="9" spans="1:3" x14ac:dyDescent="0.25">
      <c r="C9" s="2" t="s">
        <v>1062</v>
      </c>
    </row>
    <row r="12" spans="1:3" ht="13" x14ac:dyDescent="0.3">
      <c r="C12" s="40" t="s">
        <v>1063</v>
      </c>
    </row>
    <row r="13" spans="1:3" x14ac:dyDescent="0.25">
      <c r="C13" s="2" t="s">
        <v>1064</v>
      </c>
    </row>
    <row r="16" spans="1:3" ht="13" x14ac:dyDescent="0.3">
      <c r="C16" s="40" t="s">
        <v>1066</v>
      </c>
    </row>
    <row r="18" spans="3:3" ht="13" x14ac:dyDescent="0.3">
      <c r="C18" s="40" t="s">
        <v>1067</v>
      </c>
    </row>
    <row r="21" spans="3:3" ht="13" x14ac:dyDescent="0.3">
      <c r="C21" s="40" t="s">
        <v>1068</v>
      </c>
    </row>
  </sheetData>
  <hyperlinks>
    <hyperlink ref="A1" location="Main!A1" display="Main" xr:uid="{B53458B1-8464-4F43-8E03-8A9A9CD564D3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66BD-2937-462A-A6B3-724060BDB3D2}">
  <dimension ref="A1:C6"/>
  <sheetViews>
    <sheetView zoomScale="190" zoomScaleNormal="190" workbookViewId="0"/>
  </sheetViews>
  <sheetFormatPr defaultRowHeight="12.5" x14ac:dyDescent="0.25"/>
  <cols>
    <col min="1" max="1" width="4.6328125" bestFit="1" customWidth="1"/>
    <col min="2" max="2" width="11.7265625" bestFit="1" customWidth="1"/>
  </cols>
  <sheetData>
    <row r="1" spans="1:3" x14ac:dyDescent="0.25">
      <c r="A1" s="39" t="s">
        <v>55</v>
      </c>
    </row>
    <row r="2" spans="1:3" x14ac:dyDescent="0.25">
      <c r="B2" s="2" t="s">
        <v>790</v>
      </c>
    </row>
    <row r="3" spans="1:3" x14ac:dyDescent="0.25">
      <c r="B3" s="2" t="s">
        <v>791</v>
      </c>
      <c r="C3" s="148" t="s">
        <v>871</v>
      </c>
    </row>
    <row r="4" spans="1:3" x14ac:dyDescent="0.25">
      <c r="B4" s="2" t="s">
        <v>44</v>
      </c>
      <c r="C4" s="2" t="s">
        <v>1069</v>
      </c>
    </row>
    <row r="5" spans="1:3" x14ac:dyDescent="0.25">
      <c r="B5" s="2" t="s">
        <v>794</v>
      </c>
      <c r="C5" s="2" t="s">
        <v>872</v>
      </c>
    </row>
    <row r="6" spans="1:3" x14ac:dyDescent="0.25">
      <c r="B6" s="2" t="s">
        <v>53</v>
      </c>
    </row>
  </sheetData>
  <hyperlinks>
    <hyperlink ref="A1" location="Main!A1" display="Main" xr:uid="{447B1F26-FFFD-430B-9E53-7D7D231AA99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"/>
  <sheetViews>
    <sheetView workbookViewId="0"/>
  </sheetViews>
  <sheetFormatPr defaultColWidth="9.1796875" defaultRowHeight="12.5" x14ac:dyDescent="0.25"/>
  <cols>
    <col min="1" max="1" width="5" style="4" bestFit="1" customWidth="1"/>
    <col min="2" max="2" width="12.81640625" style="4" bestFit="1" customWidth="1"/>
    <col min="3" max="16384" width="9.1796875" style="4"/>
  </cols>
  <sheetData>
    <row r="1" spans="1:3" x14ac:dyDescent="0.25">
      <c r="A1" s="13" t="s">
        <v>55</v>
      </c>
    </row>
    <row r="2" spans="1:3" x14ac:dyDescent="0.25">
      <c r="B2" s="4" t="s">
        <v>49</v>
      </c>
      <c r="C2" s="4" t="s">
        <v>62</v>
      </c>
    </row>
    <row r="3" spans="1:3" x14ac:dyDescent="0.25">
      <c r="B3" s="4" t="s">
        <v>51</v>
      </c>
      <c r="C3" s="4" t="s">
        <v>210</v>
      </c>
    </row>
    <row r="4" spans="1:3" x14ac:dyDescent="0.25">
      <c r="B4" s="4" t="s">
        <v>66</v>
      </c>
      <c r="C4" s="4" t="s">
        <v>85</v>
      </c>
    </row>
    <row r="5" spans="1:3" x14ac:dyDescent="0.25">
      <c r="B5" s="4" t="s">
        <v>75</v>
      </c>
      <c r="C5" s="4" t="s">
        <v>209</v>
      </c>
    </row>
    <row r="6" spans="1:3" x14ac:dyDescent="0.25">
      <c r="B6" s="15" t="s">
        <v>191</v>
      </c>
      <c r="C6" s="15" t="s">
        <v>310</v>
      </c>
    </row>
    <row r="7" spans="1:3" x14ac:dyDescent="0.25">
      <c r="B7" s="4" t="s">
        <v>53</v>
      </c>
    </row>
    <row r="8" spans="1:3" ht="13" x14ac:dyDescent="0.3">
      <c r="C8" s="16" t="s">
        <v>217</v>
      </c>
    </row>
    <row r="9" spans="1:3" ht="13" x14ac:dyDescent="0.3">
      <c r="C9" s="17" t="s">
        <v>213</v>
      </c>
    </row>
    <row r="10" spans="1:3" x14ac:dyDescent="0.25">
      <c r="C10" s="4" t="s">
        <v>214</v>
      </c>
    </row>
    <row r="12" spans="1:3" ht="13" x14ac:dyDescent="0.3">
      <c r="C12" s="16" t="s">
        <v>212</v>
      </c>
    </row>
    <row r="13" spans="1:3" x14ac:dyDescent="0.25">
      <c r="C13" s="4" t="s">
        <v>215</v>
      </c>
    </row>
    <row r="14" spans="1:3" x14ac:dyDescent="0.25">
      <c r="C14" s="4" t="s">
        <v>216</v>
      </c>
    </row>
    <row r="16" spans="1:3" ht="13" x14ac:dyDescent="0.3">
      <c r="C16" s="16" t="s">
        <v>489</v>
      </c>
    </row>
    <row r="17" spans="3:3" x14ac:dyDescent="0.25">
      <c r="C17" s="4" t="s">
        <v>242</v>
      </c>
    </row>
    <row r="18" spans="3:3" x14ac:dyDescent="0.25">
      <c r="C18" s="3" t="s">
        <v>488</v>
      </c>
    </row>
    <row r="19" spans="3:3" x14ac:dyDescent="0.25">
      <c r="C19" s="3" t="s">
        <v>490</v>
      </c>
    </row>
  </sheetData>
  <phoneticPr fontId="17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defaultColWidth="9.1796875" defaultRowHeight="12.5" x14ac:dyDescent="0.25"/>
  <cols>
    <col min="1" max="1" width="5" style="57" bestFit="1" customWidth="1"/>
    <col min="2" max="2" width="11.26953125" style="57" bestFit="1" customWidth="1"/>
    <col min="3" max="16384" width="9.1796875" style="57"/>
  </cols>
  <sheetData>
    <row r="1" spans="1:4" x14ac:dyDescent="0.25">
      <c r="A1" s="56" t="s">
        <v>55</v>
      </c>
    </row>
    <row r="2" spans="1:4" x14ac:dyDescent="0.25">
      <c r="B2" s="58" t="s">
        <v>49</v>
      </c>
      <c r="C2" s="58" t="s">
        <v>29</v>
      </c>
    </row>
    <row r="3" spans="1:4" x14ac:dyDescent="0.25">
      <c r="B3" s="58" t="s">
        <v>386</v>
      </c>
    </row>
    <row r="4" spans="1:4" x14ac:dyDescent="0.25">
      <c r="C4" s="59">
        <v>39387</v>
      </c>
      <c r="D4" s="57">
        <v>69</v>
      </c>
    </row>
    <row r="5" spans="1:4" x14ac:dyDescent="0.25">
      <c r="C5" s="59">
        <v>39356</v>
      </c>
      <c r="D5" s="57">
        <v>74</v>
      </c>
    </row>
    <row r="6" spans="1:4" x14ac:dyDescent="0.25">
      <c r="B6" s="58" t="s">
        <v>53</v>
      </c>
    </row>
  </sheetData>
  <hyperlinks>
    <hyperlink ref="A1" location="Main!A1" display="Main" xr:uid="{00000000-0004-0000-0C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51</v>
      </c>
      <c r="C2" s="5" t="s">
        <v>148</v>
      </c>
    </row>
    <row r="3" spans="1:3" x14ac:dyDescent="0.25">
      <c r="B3" s="5" t="s">
        <v>44</v>
      </c>
      <c r="C3" s="5" t="s">
        <v>236</v>
      </c>
    </row>
    <row r="4" spans="1:3" x14ac:dyDescent="0.25">
      <c r="B4" s="5" t="s">
        <v>66</v>
      </c>
      <c r="C4" s="5" t="s">
        <v>235</v>
      </c>
    </row>
    <row r="5" spans="1:3" x14ac:dyDescent="0.25">
      <c r="B5" s="5" t="s">
        <v>53</v>
      </c>
    </row>
    <row r="6" spans="1:3" ht="13" x14ac:dyDescent="0.3">
      <c r="C6" s="16" t="s">
        <v>234</v>
      </c>
    </row>
    <row r="8" spans="1:3" ht="13" x14ac:dyDescent="0.3">
      <c r="C8" s="16" t="s">
        <v>671</v>
      </c>
    </row>
    <row r="9" spans="1:3" x14ac:dyDescent="0.25">
      <c r="C9" s="3" t="s">
        <v>672</v>
      </c>
    </row>
    <row r="11" spans="1:3" ht="13" x14ac:dyDescent="0.3">
      <c r="C11" s="16" t="s">
        <v>232</v>
      </c>
    </row>
    <row r="12" spans="1:3" x14ac:dyDescent="0.25">
      <c r="C12" s="5" t="s">
        <v>233</v>
      </c>
    </row>
  </sheetData>
  <phoneticPr fontId="17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5"/>
  <sheetViews>
    <sheetView workbookViewId="0"/>
  </sheetViews>
  <sheetFormatPr defaultColWidth="9.1796875" defaultRowHeight="12.5" x14ac:dyDescent="0.25"/>
  <cols>
    <col min="1" max="1" width="5" style="76" bestFit="1" customWidth="1"/>
    <col min="2" max="2" width="14" style="76" bestFit="1" customWidth="1"/>
    <col min="3" max="16384" width="9.1796875" style="76"/>
  </cols>
  <sheetData>
    <row r="1" spans="1:3" x14ac:dyDescent="0.25">
      <c r="A1" s="78" t="s">
        <v>55</v>
      </c>
    </row>
    <row r="2" spans="1:3" x14ac:dyDescent="0.25">
      <c r="B2" s="76" t="s">
        <v>49</v>
      </c>
      <c r="C2" s="76" t="s">
        <v>486</v>
      </c>
    </row>
    <row r="3" spans="1:3" x14ac:dyDescent="0.25">
      <c r="B3" s="76" t="s">
        <v>51</v>
      </c>
      <c r="C3" s="76" t="s">
        <v>485</v>
      </c>
    </row>
    <row r="4" spans="1:3" x14ac:dyDescent="0.25">
      <c r="B4" s="76" t="s">
        <v>44</v>
      </c>
      <c r="C4" s="76" t="s">
        <v>349</v>
      </c>
    </row>
    <row r="5" spans="1:3" x14ac:dyDescent="0.25">
      <c r="B5" s="76" t="s">
        <v>66</v>
      </c>
      <c r="C5" s="76" t="s">
        <v>484</v>
      </c>
    </row>
    <row r="6" spans="1:3" x14ac:dyDescent="0.25">
      <c r="B6" s="76" t="s">
        <v>65</v>
      </c>
      <c r="C6" s="76" t="s">
        <v>483</v>
      </c>
    </row>
    <row r="7" spans="1:3" x14ac:dyDescent="0.25">
      <c r="C7" s="76" t="s">
        <v>482</v>
      </c>
    </row>
    <row r="8" spans="1:3" x14ac:dyDescent="0.25">
      <c r="C8" s="76" t="s">
        <v>481</v>
      </c>
    </row>
    <row r="9" spans="1:3" x14ac:dyDescent="0.25">
      <c r="C9" s="76" t="s">
        <v>480</v>
      </c>
    </row>
    <row r="10" spans="1:3" x14ac:dyDescent="0.25">
      <c r="B10" s="76" t="s">
        <v>479</v>
      </c>
    </row>
    <row r="11" spans="1:3" ht="13" x14ac:dyDescent="0.3">
      <c r="C11" s="77" t="s">
        <v>478</v>
      </c>
    </row>
    <row r="12" spans="1:3" ht="13" x14ac:dyDescent="0.3">
      <c r="C12" s="77"/>
    </row>
    <row r="13" spans="1:3" ht="13" x14ac:dyDescent="0.3">
      <c r="C13" s="77" t="s">
        <v>487</v>
      </c>
    </row>
    <row r="14" spans="1:3" ht="13" x14ac:dyDescent="0.3">
      <c r="C14" s="77"/>
    </row>
    <row r="15" spans="1:3" ht="13" x14ac:dyDescent="0.3">
      <c r="C15" s="77" t="s">
        <v>477</v>
      </c>
    </row>
    <row r="17" spans="3:3" ht="13" x14ac:dyDescent="0.3">
      <c r="C17" s="77" t="s">
        <v>476</v>
      </c>
    </row>
    <row r="18" spans="3:3" x14ac:dyDescent="0.25">
      <c r="C18" s="76" t="s">
        <v>579</v>
      </c>
    </row>
    <row r="20" spans="3:3" ht="13" x14ac:dyDescent="0.3">
      <c r="C20" s="77" t="s">
        <v>475</v>
      </c>
    </row>
    <row r="21" spans="3:3" x14ac:dyDescent="0.25">
      <c r="C21" s="76" t="s">
        <v>579</v>
      </c>
    </row>
    <row r="23" spans="3:3" ht="13" x14ac:dyDescent="0.3">
      <c r="C23" s="77" t="s">
        <v>474</v>
      </c>
    </row>
    <row r="25" spans="3:3" ht="13" x14ac:dyDescent="0.3">
      <c r="C25" s="77" t="s">
        <v>502</v>
      </c>
    </row>
  </sheetData>
  <hyperlinks>
    <hyperlink ref="A1" location="Main!A1" display="Main" xr:uid="{00000000-0004-0000-15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39" t="s">
        <v>55</v>
      </c>
    </row>
    <row r="2" spans="1:3" x14ac:dyDescent="0.25">
      <c r="B2" s="2" t="s">
        <v>49</v>
      </c>
    </row>
    <row r="3" spans="1:3" x14ac:dyDescent="0.25">
      <c r="B3" s="2" t="s">
        <v>51</v>
      </c>
      <c r="C3" s="2" t="s">
        <v>315</v>
      </c>
    </row>
  </sheetData>
  <hyperlinks>
    <hyperlink ref="A1" location="Main!A1" display="Main" xr:uid="{00000000-0004-0000-16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2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13" t="s">
        <v>55</v>
      </c>
    </row>
    <row r="2" spans="1:3" x14ac:dyDescent="0.25">
      <c r="B2" s="5" t="s">
        <v>49</v>
      </c>
      <c r="C2" s="5" t="s">
        <v>50</v>
      </c>
    </row>
    <row r="3" spans="1:3" x14ac:dyDescent="0.25">
      <c r="B3" s="5" t="s">
        <v>51</v>
      </c>
      <c r="C3" s="5" t="s">
        <v>52</v>
      </c>
    </row>
    <row r="4" spans="1:3" x14ac:dyDescent="0.25">
      <c r="B4" s="5" t="s">
        <v>104</v>
      </c>
      <c r="C4" s="5" t="s">
        <v>105</v>
      </c>
    </row>
    <row r="5" spans="1:3" x14ac:dyDescent="0.25">
      <c r="B5" s="5" t="s">
        <v>74</v>
      </c>
      <c r="C5" s="5" t="s">
        <v>175</v>
      </c>
    </row>
    <row r="6" spans="1:3" x14ac:dyDescent="0.25">
      <c r="B6" s="5" t="s">
        <v>53</v>
      </c>
    </row>
    <row r="7" spans="1:3" x14ac:dyDescent="0.25">
      <c r="C7" s="5" t="s">
        <v>54</v>
      </c>
    </row>
    <row r="9" spans="1:3" ht="13" x14ac:dyDescent="0.3">
      <c r="C9" s="16" t="s">
        <v>89</v>
      </c>
    </row>
    <row r="10" spans="1:3" x14ac:dyDescent="0.25">
      <c r="C10" s="5" t="s">
        <v>88</v>
      </c>
    </row>
    <row r="11" spans="1:3" x14ac:dyDescent="0.25">
      <c r="C11" s="5" t="s">
        <v>90</v>
      </c>
    </row>
    <row r="12" spans="1:3" x14ac:dyDescent="0.25">
      <c r="C12" s="5" t="s">
        <v>91</v>
      </c>
    </row>
  </sheetData>
  <phoneticPr fontId="17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  <col min="3" max="3" width="7.26953125" bestFit="1" customWidth="1"/>
  </cols>
  <sheetData>
    <row r="1" spans="1:4" x14ac:dyDescent="0.25">
      <c r="A1" s="39" t="s">
        <v>55</v>
      </c>
    </row>
    <row r="2" spans="1:4" x14ac:dyDescent="0.25">
      <c r="B2" s="2" t="s">
        <v>49</v>
      </c>
      <c r="C2" s="2" t="s">
        <v>25</v>
      </c>
    </row>
    <row r="3" spans="1:4" x14ac:dyDescent="0.25">
      <c r="B3" s="3" t="s">
        <v>386</v>
      </c>
      <c r="C3" s="5"/>
      <c r="D3" s="5"/>
    </row>
    <row r="4" spans="1:4" x14ac:dyDescent="0.25">
      <c r="B4" s="5"/>
      <c r="C4" s="55">
        <v>39387</v>
      </c>
      <c r="D4" s="5">
        <v>37</v>
      </c>
    </row>
    <row r="5" spans="1:4" x14ac:dyDescent="0.25">
      <c r="B5" s="5"/>
      <c r="C5" s="55">
        <v>39356</v>
      </c>
      <c r="D5" s="5">
        <v>38</v>
      </c>
    </row>
  </sheetData>
  <hyperlinks>
    <hyperlink ref="A1" location="Main!A1" display="Main" xr:uid="{00000000-0004-0000-0D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7"/>
  <sheetViews>
    <sheetView workbookViewId="0">
      <selection activeCell="E16" sqref="E16"/>
    </sheetView>
  </sheetViews>
  <sheetFormatPr defaultColWidth="8.81640625" defaultRowHeight="12.5" x14ac:dyDescent="0.25"/>
  <cols>
    <col min="1" max="1" width="5" bestFit="1" customWidth="1"/>
  </cols>
  <sheetData>
    <row r="1" spans="1:6" x14ac:dyDescent="0.25">
      <c r="A1" s="39" t="s">
        <v>55</v>
      </c>
    </row>
    <row r="3" spans="1:6" x14ac:dyDescent="0.25">
      <c r="B3" s="2" t="s">
        <v>122</v>
      </c>
      <c r="C3" s="2" t="s">
        <v>123</v>
      </c>
    </row>
    <row r="4" spans="1:6" x14ac:dyDescent="0.25">
      <c r="B4" s="2" t="s">
        <v>199</v>
      </c>
      <c r="C4" s="2" t="s">
        <v>67</v>
      </c>
      <c r="D4" s="2" t="s">
        <v>114</v>
      </c>
    </row>
    <row r="5" spans="1:6" x14ac:dyDescent="0.25">
      <c r="B5" s="8" t="s">
        <v>127</v>
      </c>
      <c r="C5" s="11" t="s">
        <v>84</v>
      </c>
      <c r="D5" s="11" t="s">
        <v>110</v>
      </c>
      <c r="E5" s="14" t="s">
        <v>128</v>
      </c>
      <c r="F5" s="11" t="s">
        <v>129</v>
      </c>
    </row>
    <row r="6" spans="1:6" x14ac:dyDescent="0.25">
      <c r="B6" s="8" t="s">
        <v>288</v>
      </c>
      <c r="C6" s="11" t="s">
        <v>289</v>
      </c>
      <c r="D6" s="11" t="s">
        <v>110</v>
      </c>
      <c r="E6" s="14">
        <v>1</v>
      </c>
      <c r="F6" s="11" t="s">
        <v>290</v>
      </c>
    </row>
    <row r="7" spans="1:6" x14ac:dyDescent="0.25">
      <c r="B7" s="8" t="s">
        <v>273</v>
      </c>
      <c r="C7" s="11" t="s">
        <v>274</v>
      </c>
      <c r="D7" s="11" t="s">
        <v>110</v>
      </c>
      <c r="E7" s="14">
        <v>1</v>
      </c>
    </row>
    <row r="8" spans="1:6" x14ac:dyDescent="0.25">
      <c r="B8" s="8" t="s">
        <v>278</v>
      </c>
      <c r="C8" s="11" t="s">
        <v>115</v>
      </c>
      <c r="D8" s="11" t="s">
        <v>110</v>
      </c>
      <c r="E8" s="14">
        <v>1</v>
      </c>
    </row>
    <row r="9" spans="1:6" x14ac:dyDescent="0.25">
      <c r="B9" s="8" t="s">
        <v>277</v>
      </c>
      <c r="C9" s="11" t="s">
        <v>115</v>
      </c>
      <c r="D9" s="11" t="s">
        <v>110</v>
      </c>
      <c r="E9" s="14">
        <v>1</v>
      </c>
    </row>
    <row r="10" spans="1:6" x14ac:dyDescent="0.25">
      <c r="B10" s="53" t="s">
        <v>359</v>
      </c>
      <c r="C10" s="10" t="s">
        <v>356</v>
      </c>
      <c r="D10" s="10" t="s">
        <v>110</v>
      </c>
      <c r="E10" s="41">
        <v>1</v>
      </c>
      <c r="F10" s="10" t="s">
        <v>360</v>
      </c>
    </row>
    <row r="11" spans="1:6" x14ac:dyDescent="0.25">
      <c r="B11" s="8" t="s">
        <v>281</v>
      </c>
      <c r="C11" s="11" t="s">
        <v>282</v>
      </c>
      <c r="D11" s="11" t="s">
        <v>110</v>
      </c>
      <c r="E11" s="14">
        <v>1</v>
      </c>
    </row>
    <row r="12" spans="1:6" x14ac:dyDescent="0.25">
      <c r="B12" s="8" t="s">
        <v>116</v>
      </c>
      <c r="C12" s="11" t="s">
        <v>84</v>
      </c>
      <c r="D12" s="11" t="s">
        <v>80</v>
      </c>
      <c r="E12" s="14">
        <v>1</v>
      </c>
      <c r="F12" s="11" t="s">
        <v>117</v>
      </c>
    </row>
    <row r="13" spans="1:6" x14ac:dyDescent="0.25">
      <c r="B13" s="8" t="s">
        <v>118</v>
      </c>
      <c r="C13" s="11" t="s">
        <v>119</v>
      </c>
      <c r="D13" s="11" t="s">
        <v>80</v>
      </c>
      <c r="E13" s="14">
        <v>1</v>
      </c>
    </row>
    <row r="14" spans="1:6" x14ac:dyDescent="0.25">
      <c r="B14" s="8" t="s">
        <v>69</v>
      </c>
      <c r="C14" s="11" t="s">
        <v>67</v>
      </c>
      <c r="D14" s="11" t="s">
        <v>80</v>
      </c>
      <c r="E14" s="14">
        <v>1</v>
      </c>
    </row>
    <row r="15" spans="1:6" x14ac:dyDescent="0.25">
      <c r="B15" s="53" t="s">
        <v>125</v>
      </c>
      <c r="C15" s="10" t="s">
        <v>124</v>
      </c>
      <c r="D15" s="10" t="s">
        <v>80</v>
      </c>
      <c r="E15" s="2" t="s">
        <v>126</v>
      </c>
      <c r="F15" s="2" t="s">
        <v>584</v>
      </c>
    </row>
    <row r="16" spans="1:6" x14ac:dyDescent="0.25">
      <c r="B16" s="53" t="s">
        <v>372</v>
      </c>
      <c r="C16" s="10" t="s">
        <v>289</v>
      </c>
      <c r="D16" s="10" t="s">
        <v>80</v>
      </c>
      <c r="E16" s="2" t="s">
        <v>561</v>
      </c>
      <c r="F16" s="2" t="s">
        <v>585</v>
      </c>
    </row>
    <row r="17" spans="2:4" x14ac:dyDescent="0.25">
      <c r="B17" s="53" t="s">
        <v>592</v>
      </c>
      <c r="C17" s="10" t="s">
        <v>289</v>
      </c>
      <c r="D17" s="10" t="s">
        <v>80</v>
      </c>
    </row>
  </sheetData>
  <hyperlinks>
    <hyperlink ref="A1" location="Main!A1" display="Main" xr:uid="{00000000-0004-0000-14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5"/>
  <sheetViews>
    <sheetView workbookViewId="0"/>
  </sheetViews>
  <sheetFormatPr defaultColWidth="9.1796875" defaultRowHeight="12.5" x14ac:dyDescent="0.25"/>
  <cols>
    <col min="1" max="1" width="5" style="5" bestFit="1" customWidth="1"/>
    <col min="2" max="2" width="12.81640625" style="5" bestFit="1" customWidth="1"/>
    <col min="3" max="16384" width="9.1796875" style="5"/>
  </cols>
  <sheetData>
    <row r="1" spans="1:3" x14ac:dyDescent="0.25">
      <c r="A1" s="60" t="s">
        <v>55</v>
      </c>
    </row>
    <row r="2" spans="1:3" x14ac:dyDescent="0.25">
      <c r="B2" s="5" t="s">
        <v>49</v>
      </c>
      <c r="C2" s="3" t="s">
        <v>516</v>
      </c>
    </row>
    <row r="3" spans="1:3" x14ac:dyDescent="0.25">
      <c r="B3" s="5" t="s">
        <v>51</v>
      </c>
      <c r="C3" s="5" t="s">
        <v>515</v>
      </c>
    </row>
    <row r="4" spans="1:3" x14ac:dyDescent="0.25">
      <c r="B4" s="5" t="s">
        <v>44</v>
      </c>
      <c r="C4" s="5" t="s">
        <v>70</v>
      </c>
    </row>
    <row r="5" spans="1:3" x14ac:dyDescent="0.25">
      <c r="B5" s="5" t="s">
        <v>65</v>
      </c>
      <c r="C5" s="5" t="s">
        <v>77</v>
      </c>
    </row>
    <row r="6" spans="1:3" x14ac:dyDescent="0.25">
      <c r="B6" s="5" t="s">
        <v>66</v>
      </c>
      <c r="C6" s="5" t="s">
        <v>98</v>
      </c>
    </row>
    <row r="7" spans="1:3" x14ac:dyDescent="0.25">
      <c r="C7" s="5" t="s">
        <v>99</v>
      </c>
    </row>
    <row r="8" spans="1:3" x14ac:dyDescent="0.25">
      <c r="C8" s="5" t="s">
        <v>100</v>
      </c>
    </row>
    <row r="9" spans="1:3" x14ac:dyDescent="0.25">
      <c r="C9" s="5" t="s">
        <v>101</v>
      </c>
    </row>
    <row r="10" spans="1:3" x14ac:dyDescent="0.25">
      <c r="C10" s="5" t="s">
        <v>102</v>
      </c>
    </row>
    <row r="11" spans="1:3" x14ac:dyDescent="0.25">
      <c r="B11" s="5" t="s">
        <v>75</v>
      </c>
      <c r="C11" s="5" t="s">
        <v>76</v>
      </c>
    </row>
    <row r="12" spans="1:3" x14ac:dyDescent="0.25">
      <c r="B12" s="5" t="s">
        <v>96</v>
      </c>
      <c r="C12" s="5" t="s">
        <v>97</v>
      </c>
    </row>
    <row r="13" spans="1:3" x14ac:dyDescent="0.25">
      <c r="B13" s="3" t="s">
        <v>53</v>
      </c>
    </row>
    <row r="14" spans="1:3" ht="13" x14ac:dyDescent="0.3">
      <c r="C14" s="16" t="s">
        <v>509</v>
      </c>
    </row>
    <row r="15" spans="1:3" x14ac:dyDescent="0.25">
      <c r="C15" s="3" t="s">
        <v>510</v>
      </c>
    </row>
  </sheetData>
  <phoneticPr fontId="17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39" t="s">
        <v>55</v>
      </c>
    </row>
    <row r="2" spans="1:3" x14ac:dyDescent="0.25">
      <c r="B2" s="1" t="s">
        <v>49</v>
      </c>
      <c r="C2" s="1" t="s">
        <v>292</v>
      </c>
    </row>
    <row r="3" spans="1:3" x14ac:dyDescent="0.25">
      <c r="B3" s="1" t="s">
        <v>51</v>
      </c>
      <c r="C3" s="1" t="s">
        <v>293</v>
      </c>
    </row>
    <row r="4" spans="1:3" x14ac:dyDescent="0.25">
      <c r="B4" s="1" t="s">
        <v>44</v>
      </c>
      <c r="C4" s="1" t="s">
        <v>294</v>
      </c>
    </row>
    <row r="5" spans="1:3" x14ac:dyDescent="0.25">
      <c r="B5" s="1" t="s">
        <v>66</v>
      </c>
      <c r="C5" s="1" t="s">
        <v>130</v>
      </c>
    </row>
    <row r="6" spans="1:3" x14ac:dyDescent="0.25">
      <c r="B6" s="1" t="s">
        <v>53</v>
      </c>
    </row>
    <row r="7" spans="1:3" ht="13" x14ac:dyDescent="0.3">
      <c r="C7" s="40" t="s">
        <v>295</v>
      </c>
    </row>
  </sheetData>
  <hyperlinks>
    <hyperlink ref="A1" location="Main!A1" display="Main" xr:uid="{00000000-0004-0000-13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/>
  </sheetViews>
  <sheetFormatPr defaultColWidth="9.1796875" defaultRowHeight="12.5" x14ac:dyDescent="0.25"/>
  <cols>
    <col min="1" max="1" width="5" style="4" bestFit="1" customWidth="1"/>
    <col min="2" max="2" width="12" style="4" bestFit="1" customWidth="1"/>
    <col min="3" max="16384" width="9.1796875" style="4"/>
  </cols>
  <sheetData>
    <row r="1" spans="1:3" x14ac:dyDescent="0.25">
      <c r="A1" s="13" t="s">
        <v>55</v>
      </c>
    </row>
    <row r="2" spans="1:3" x14ac:dyDescent="0.25">
      <c r="B2" s="4" t="s">
        <v>49</v>
      </c>
      <c r="C2" s="4" t="s">
        <v>78</v>
      </c>
    </row>
    <row r="3" spans="1:3" x14ac:dyDescent="0.25">
      <c r="B3" s="4" t="s">
        <v>66</v>
      </c>
      <c r="C3" s="4" t="s">
        <v>252</v>
      </c>
    </row>
    <row r="4" spans="1:3" x14ac:dyDescent="0.25">
      <c r="B4" s="4" t="s">
        <v>44</v>
      </c>
      <c r="C4" s="4" t="s">
        <v>246</v>
      </c>
    </row>
    <row r="5" spans="1:3" x14ac:dyDescent="0.25">
      <c r="B5" s="4" t="s">
        <v>75</v>
      </c>
      <c r="C5" s="4" t="s">
        <v>121</v>
      </c>
    </row>
    <row r="6" spans="1:3" x14ac:dyDescent="0.25">
      <c r="B6" s="4" t="s">
        <v>53</v>
      </c>
    </row>
    <row r="7" spans="1:3" ht="13" x14ac:dyDescent="0.3">
      <c r="C7" s="16" t="s">
        <v>257</v>
      </c>
    </row>
    <row r="10" spans="1:3" ht="13" x14ac:dyDescent="0.3">
      <c r="C10" s="16" t="s">
        <v>256</v>
      </c>
    </row>
    <row r="11" spans="1:3" x14ac:dyDescent="0.25">
      <c r="C11" s="4" t="s">
        <v>255</v>
      </c>
    </row>
    <row r="13" spans="1:3" x14ac:dyDescent="0.25">
      <c r="C13" s="4" t="s">
        <v>284</v>
      </c>
    </row>
  </sheetData>
  <phoneticPr fontId="17" type="noConversion"/>
  <hyperlinks>
    <hyperlink ref="A1" location="Main!A1" display="Main" xr:uid="{00000000-0004-0000-0E00-000000000000}"/>
  </hyperlinks>
  <pageMargins left="0.75" right="0.75" top="1" bottom="1" header="0.5" footer="0.5"/>
  <pageSetup orientation="portrait" horizontalDpi="4294967293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5"/>
  <sheetViews>
    <sheetView workbookViewId="0"/>
  </sheetViews>
  <sheetFormatPr defaultColWidth="9.1796875" defaultRowHeight="12.5" x14ac:dyDescent="0.25"/>
  <cols>
    <col min="1" max="1" width="5" style="4" bestFit="1" customWidth="1"/>
    <col min="2" max="2" width="12.81640625" style="4" bestFit="1" customWidth="1"/>
    <col min="3" max="16384" width="9.1796875" style="4"/>
  </cols>
  <sheetData>
    <row r="1" spans="1:3" x14ac:dyDescent="0.25">
      <c r="A1" s="13" t="s">
        <v>55</v>
      </c>
    </row>
    <row r="2" spans="1:3" x14ac:dyDescent="0.25">
      <c r="B2" s="4" t="s">
        <v>49</v>
      </c>
      <c r="C2" s="4" t="s">
        <v>222</v>
      </c>
    </row>
    <row r="3" spans="1:3" x14ac:dyDescent="0.25">
      <c r="B3" s="4" t="s">
        <v>51</v>
      </c>
      <c r="C3" s="4" t="s">
        <v>199</v>
      </c>
    </row>
    <row r="4" spans="1:3" x14ac:dyDescent="0.25">
      <c r="B4" s="4" t="s">
        <v>66</v>
      </c>
      <c r="C4" s="4" t="s">
        <v>203</v>
      </c>
    </row>
    <row r="5" spans="1:3" x14ac:dyDescent="0.25">
      <c r="B5" s="4" t="s">
        <v>65</v>
      </c>
      <c r="C5" s="4" t="s">
        <v>200</v>
      </c>
    </row>
    <row r="6" spans="1:3" x14ac:dyDescent="0.25">
      <c r="B6" s="4" t="s">
        <v>9</v>
      </c>
      <c r="C6" s="4" t="s">
        <v>202</v>
      </c>
    </row>
    <row r="7" spans="1:3" x14ac:dyDescent="0.25">
      <c r="B7" s="4" t="s">
        <v>81</v>
      </c>
      <c r="C7" s="4" t="s">
        <v>201</v>
      </c>
    </row>
    <row r="8" spans="1:3" x14ac:dyDescent="0.25">
      <c r="B8" s="4" t="s">
        <v>53</v>
      </c>
    </row>
    <row r="9" spans="1:3" ht="13" x14ac:dyDescent="0.3">
      <c r="C9" s="16" t="s">
        <v>495</v>
      </c>
    </row>
    <row r="10" spans="1:3" x14ac:dyDescent="0.25">
      <c r="C10" s="3" t="s">
        <v>496</v>
      </c>
    </row>
    <row r="11" spans="1:3" x14ac:dyDescent="0.25">
      <c r="C11" s="3" t="s">
        <v>497</v>
      </c>
    </row>
    <row r="13" spans="1:3" ht="13" x14ac:dyDescent="0.3">
      <c r="C13" s="16" t="s">
        <v>204</v>
      </c>
    </row>
    <row r="14" spans="1:3" x14ac:dyDescent="0.25">
      <c r="C14" s="4" t="s">
        <v>221</v>
      </c>
    </row>
    <row r="15" spans="1:3" x14ac:dyDescent="0.25">
      <c r="C15" s="15" t="s">
        <v>205</v>
      </c>
    </row>
  </sheetData>
  <phoneticPr fontId="17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3A384C-A6DF-4ACC-92F2-A1C6845C3F37}">
  <ds:schemaRefs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C23984D-947A-4544-B729-0E53BCCB05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11DF48-8F96-42CC-AFEE-EFAF0475A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Management and Structure</vt:lpstr>
      <vt:lpstr>Debt</vt:lpstr>
      <vt:lpstr>Master</vt:lpstr>
      <vt:lpstr>Main</vt:lpstr>
      <vt:lpstr>Model</vt:lpstr>
      <vt:lpstr>Vabysmo</vt:lpstr>
      <vt:lpstr>Tecentriq</vt:lpstr>
      <vt:lpstr>Phesgo</vt:lpstr>
      <vt:lpstr>Diagnostics</vt:lpstr>
      <vt:lpstr>Elevidys</vt:lpstr>
      <vt:lpstr>Evrysdi</vt:lpstr>
      <vt:lpstr>MabThera</vt:lpstr>
      <vt:lpstr>Hemlibra</vt:lpstr>
      <vt:lpstr>Avastin</vt:lpstr>
      <vt:lpstr>Avastin Model</vt:lpstr>
      <vt:lpstr>Polivy</vt:lpstr>
      <vt:lpstr>Herceptin</vt:lpstr>
      <vt:lpstr>Pegasys</vt:lpstr>
      <vt:lpstr>Xeloda</vt:lpstr>
      <vt:lpstr>tiragolumab</vt:lpstr>
      <vt:lpstr>giredestrant</vt:lpstr>
      <vt:lpstr>fenebrutinib</vt:lpstr>
      <vt:lpstr>Actemra</vt:lpstr>
      <vt:lpstr>Lucentis</vt:lpstr>
      <vt:lpstr>Perjeta</vt:lpstr>
      <vt:lpstr>Ocrevus</vt:lpstr>
      <vt:lpstr>Kadcyla</vt:lpstr>
      <vt:lpstr>Mircera</vt:lpstr>
      <vt:lpstr>Tarceva</vt:lpstr>
      <vt:lpstr>Failures</vt:lpstr>
      <vt:lpstr>dalcetrapib</vt:lpstr>
      <vt:lpstr>aleglitazar</vt:lpstr>
      <vt:lpstr>R1626</vt:lpstr>
      <vt:lpstr>taspoglutide</vt:lpstr>
    </vt:vector>
  </TitlesOfParts>
  <Company>Prudential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Prudential Financial</dc:creator>
  <cp:lastModifiedBy>Martin Shkreli</cp:lastModifiedBy>
  <cp:lastPrinted>2010-02-09T23:02:31Z</cp:lastPrinted>
  <dcterms:created xsi:type="dcterms:W3CDTF">2005-10-20T01:39:14Z</dcterms:created>
  <dcterms:modified xsi:type="dcterms:W3CDTF">2026-08-24T20:35:40Z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