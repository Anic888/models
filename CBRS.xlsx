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7635EC1-02BA-4E89-8E4A-93852E22E9D3}" xr6:coauthVersionLast="47" xr6:coauthVersionMax="47" xr10:uidLastSave="{00000000-0000-0000-0000-000000000000}"/>
  <bookViews>
    <workbookView xWindow="9320" yWindow="4780" windowWidth="21060" windowHeight="15500" activeTab="1" xr2:uid="{A2909965-7768-4416-AB8D-0607242B685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2" l="1"/>
  <c r="I11" i="2"/>
  <c r="H13" i="2"/>
  <c r="G7" i="2"/>
  <c r="C7" i="2"/>
  <c r="F17" i="2"/>
  <c r="E17" i="2"/>
  <c r="D17" i="2"/>
  <c r="C17" i="2"/>
  <c r="G17" i="2"/>
  <c r="F11" i="2"/>
  <c r="F13" i="2" s="1"/>
  <c r="E11" i="2"/>
  <c r="E13" i="2" s="1"/>
  <c r="D11" i="2"/>
  <c r="D13" i="2" s="1"/>
  <c r="C11" i="2"/>
  <c r="C13" i="2" s="1"/>
  <c r="C30" i="2" s="1"/>
  <c r="G11" i="2"/>
  <c r="G13" i="2" s="1"/>
  <c r="K6" i="1"/>
  <c r="K5" i="1"/>
  <c r="K4" i="1"/>
  <c r="K7" i="1" s="1"/>
  <c r="K3" i="1"/>
  <c r="G6" i="2" l="1"/>
  <c r="C6" i="2"/>
  <c r="G18" i="2"/>
  <c r="G30" i="2"/>
  <c r="C18" i="2"/>
  <c r="D18" i="2"/>
  <c r="E18" i="2"/>
  <c r="F18" i="2"/>
</calcChain>
</file>

<file path=xl/sharedStrings.xml><?xml version="1.0" encoding="utf-8"?>
<sst xmlns="http://schemas.openxmlformats.org/spreadsheetml/2006/main" count="31" uniqueCount="30">
  <si>
    <t>Price</t>
  </si>
  <si>
    <t>Shares</t>
  </si>
  <si>
    <t>MC</t>
  </si>
  <si>
    <t>Cash</t>
  </si>
  <si>
    <t>Debt</t>
  </si>
  <si>
    <t>EV</t>
  </si>
  <si>
    <t>Main</t>
  </si>
  <si>
    <t>Revenue</t>
  </si>
  <si>
    <t>Q125</t>
  </si>
  <si>
    <t>Q225</t>
  </si>
  <si>
    <t>Q325</t>
  </si>
  <si>
    <t>Q425</t>
  </si>
  <si>
    <t>Q126</t>
  </si>
  <si>
    <t>Q226</t>
  </si>
  <si>
    <t>Q326</t>
  </si>
  <si>
    <t>Q426</t>
  </si>
  <si>
    <t>Hardware</t>
  </si>
  <si>
    <t>Cloud</t>
  </si>
  <si>
    <t>Gross Margin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</si>
  <si>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</si>
  <si>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</si>
  <si>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</si>
  <si>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</si>
  <si>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</si>
  <si>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</si>
  <si>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</si>
  <si>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CX</t>
  </si>
  <si>
    <t>5/15/26 IPO</t>
  </si>
  <si>
    <t>OpenAI</t>
  </si>
  <si>
    <t>Customer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</si>
</sst>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CA04-04C5-449E-91A0-6AA90792C180}">
  <dimension ref="J2:K14"/>
  <sheetViews>
    <sheetView workbookViewId="0">
      <selection activeCell="K2" sqref="K2"/>
    </sheetView>
  </sheetViews>
  <sheetFormatPr defaultRowHeight="12.5" x14ac:dyDescent="0.25"/>
  <cols>
    <col min="1" max="16384" width="8.7265625" style="1"/>
  </cols>
  <sheetData>
    <row r="2" spans="10:11" x14ac:dyDescent="0.25">
      <c r="J2" s="1" t="s">
        <v>0</v>
      </c>
      <c r="K2" s="2">
        <v>207</v>
      </c>
    </row>
    <row r="3" spans="10:11" x14ac:dyDescent="0.25">
      <c r="J3" s="1" t="s">
        <v>1</v>
      </c>
      <c r="K3" s="3">
        <f>92.130188+130.720379+3.682</f>
        <v>226.532567</v>
      </c>
    </row>
    <row r="4" spans="10:11" x14ac:dyDescent="0.25">
      <c r="J4" s="1" t="s">
        <v>2</v>
      </c>
      <c r="K4" s="3">
        <f>+K2*K3</f>
        <v>46892.241369000003</v>
      </c>
    </row>
    <row r="5" spans="10:11" x14ac:dyDescent="0.25">
      <c r="J5" s="1" t="s">
        <v>3</v>
      </c>
      <c r="K5" s="3">
        <f>2745+515.6</f>
        <v>3260.6</v>
      </c>
    </row>
    <row r="6" spans="10:11" x14ac:dyDescent="0.25">
      <c r="J6" s="1" t="s">
        <v>4</v>
      </c>
      <c r="K6" s="3">
        <f>361.617+621.306</f>
        <v>982.923</v>
      </c>
    </row>
    <row r="7" spans="10:11" x14ac:dyDescent="0.25">
      <c r="J7" s="1" t="s">
        <v>5</v>
      </c>
      <c r="K7" s="3">
        <f>+K4-K5+K6</f>
        <v>44614.564369000007</v>
      </c>
    </row>
    <row r="14" spans="10:11" x14ac:dyDescent="0.25">
      <c r="J14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D156-7268-4E9B-8930-E206BF8A0379}">
  <dimension ref="A1:J35"/>
  <sheetViews>
    <sheetView tabSelected="1" topLeftCell="A4" zoomScale="175" zoomScaleNormal="175" workbookViewId="0">
      <pane xSplit="2" ySplit="2" topLeftCell="D6" activePane="bottomRight" state="frozen"/>
      <selection activeCell="A4" sqref="A4"/>
      <selection pane="topRight" activeCell="C4" sqref="C4"/>
      <selection pane="bottomLeft" activeCell="A6" sqref="A6"/>
      <selection pane="bottomRight" activeCell="H6" sqref="H6"/>
    </sheetView>
  </sheetViews>
  <sheetFormatPr defaultRowHeight="12.5" x14ac:dyDescent="0.25"/>
  <cols>
    <col min="1" max="1" width="4.6328125" style="1" bestFit="1" customWidth="1"/>
    <col min="2" max="2" width="17.26953125" style="1" bestFit="1" customWidth="1"/>
    <col min="3" max="7" width="8.7265625" style="4"/>
    <col min="8" max="16384" width="8.7265625" style="1"/>
  </cols>
  <sheetData>
    <row r="1" spans="1:10" x14ac:dyDescent="0.25">
      <c r="A1" s="1" t="s">
        <v>6</v>
      </c>
    </row>
    <row r="4" spans="1:10" x14ac:dyDescent="0.25">
      <c r="A4" s="1" t="s">
        <v>6</v>
      </c>
    </row>
    <row r="5" spans="1:10" x14ac:dyDescent="0.25"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</row>
    <row r="6" spans="1:10" s="3" customFormat="1" x14ac:dyDescent="0.25">
      <c r="B6" s="3" t="s">
        <v>28</v>
      </c>
      <c r="C6" s="6">
        <f>+C11*0.24</f>
        <v>23.88288</v>
      </c>
      <c r="D6" s="6"/>
      <c r="E6" s="6"/>
      <c r="F6" s="6"/>
      <c r="G6" s="6">
        <f>+G11*0.63</f>
        <v>121.84578</v>
      </c>
      <c r="H6" s="6"/>
      <c r="I6" s="6"/>
      <c r="J6" s="6"/>
    </row>
    <row r="7" spans="1:10" s="3" customFormat="1" x14ac:dyDescent="0.25">
      <c r="B7" s="3" t="s">
        <v>29</v>
      </c>
      <c r="C7" s="6">
        <f>+C11*0.64</f>
        <v>63.68768</v>
      </c>
      <c r="D7" s="6"/>
      <c r="E7" s="6"/>
      <c r="F7" s="6"/>
      <c r="G7" s="6">
        <f>+G11*0.11</f>
        <v>21.274660000000001</v>
      </c>
      <c r="H7" s="6"/>
      <c r="I7" s="6"/>
      <c r="J7" s="6"/>
    </row>
    <row r="8" spans="1:10" s="3" customFormat="1" x14ac:dyDescent="0.25">
      <c r="C8" s="6"/>
      <c r="D8" s="6"/>
      <c r="E8" s="6"/>
      <c r="F8" s="6"/>
      <c r="G8" s="6"/>
      <c r="H8" s="6"/>
      <c r="I8" s="6"/>
      <c r="J8" s="6"/>
    </row>
    <row r="9" spans="1:10" s="3" customFormat="1" x14ac:dyDescent="0.25">
      <c r="B9" s="3" t="s">
        <v>16</v>
      </c>
      <c r="C9" s="6">
        <v>69.674000000000007</v>
      </c>
      <c r="D9" s="6"/>
      <c r="E9" s="6"/>
      <c r="F9" s="6"/>
      <c r="G9" s="6">
        <v>110.593</v>
      </c>
    </row>
    <row r="10" spans="1:10" s="3" customFormat="1" x14ac:dyDescent="0.25">
      <c r="B10" s="3" t="s">
        <v>17</v>
      </c>
      <c r="C10" s="6">
        <v>29.838000000000001</v>
      </c>
      <c r="D10" s="6"/>
      <c r="E10" s="6"/>
      <c r="F10" s="6"/>
      <c r="G10" s="6">
        <v>82.813000000000002</v>
      </c>
    </row>
    <row r="11" spans="1:10" s="7" customFormat="1" ht="13" x14ac:dyDescent="0.3">
      <c r="B11" s="7" t="s">
        <v>7</v>
      </c>
      <c r="C11" s="8">
        <f t="shared" ref="C11:F11" si="0">+C9+C10</f>
        <v>99.512</v>
      </c>
      <c r="D11" s="8">
        <f t="shared" si="0"/>
        <v>0</v>
      </c>
      <c r="E11" s="8">
        <f t="shared" si="0"/>
        <v>0</v>
      </c>
      <c r="F11" s="8">
        <f t="shared" si="0"/>
        <v>0</v>
      </c>
      <c r="G11" s="8">
        <f>+G9+G10</f>
        <v>193.40600000000001</v>
      </c>
      <c r="H11" s="8">
        <v>194</v>
      </c>
      <c r="I11" s="7">
        <f>+H11+30</f>
        <v>224</v>
      </c>
      <c r="J11" s="7">
        <f>+I11+30</f>
        <v>254</v>
      </c>
    </row>
    <row r="12" spans="1:10" s="3" customFormat="1" x14ac:dyDescent="0.25">
      <c r="B12" s="3" t="s">
        <v>19</v>
      </c>
      <c r="C12" s="6">
        <v>57.908000000000001</v>
      </c>
      <c r="D12" s="6"/>
      <c r="E12" s="6"/>
      <c r="F12" s="6"/>
      <c r="G12" s="6">
        <v>107.23</v>
      </c>
    </row>
    <row r="13" spans="1:10" s="3" customFormat="1" x14ac:dyDescent="0.25">
      <c r="B13" s="3" t="s">
        <v>20</v>
      </c>
      <c r="C13" s="6">
        <f t="shared" ref="C13:F13" si="1">+C11-C12</f>
        <v>41.603999999999999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>+G11-G12</f>
        <v>86.176000000000002</v>
      </c>
      <c r="H13" s="3">
        <f>+H11*0.37</f>
        <v>71.78</v>
      </c>
    </row>
    <row r="14" spans="1:10" s="3" customFormat="1" x14ac:dyDescent="0.25">
      <c r="B14" s="3" t="s">
        <v>21</v>
      </c>
      <c r="C14" s="6">
        <v>52.750999999999998</v>
      </c>
      <c r="D14" s="6"/>
      <c r="E14" s="6"/>
      <c r="F14" s="6"/>
      <c r="G14" s="6">
        <v>75.495000000000005</v>
      </c>
    </row>
    <row r="15" spans="1:10" s="3" customFormat="1" x14ac:dyDescent="0.25">
      <c r="B15" s="3" t="s">
        <v>22</v>
      </c>
      <c r="C15" s="6">
        <v>10.326000000000001</v>
      </c>
      <c r="D15" s="6"/>
      <c r="E15" s="6"/>
      <c r="F15" s="6"/>
      <c r="G15" s="6">
        <v>14.701000000000001</v>
      </c>
    </row>
    <row r="16" spans="1:10" s="3" customFormat="1" x14ac:dyDescent="0.25">
      <c r="B16" s="3" t="s">
        <v>23</v>
      </c>
      <c r="C16" s="6">
        <v>6.9969999999999999</v>
      </c>
      <c r="D16" s="6"/>
      <c r="E16" s="6"/>
      <c r="F16" s="6"/>
      <c r="G16" s="6">
        <v>11.016999999999999</v>
      </c>
    </row>
    <row r="17" spans="2:7" s="3" customFormat="1" x14ac:dyDescent="0.25">
      <c r="B17" s="3" t="s">
        <v>24</v>
      </c>
      <c r="C17" s="6">
        <f t="shared" ref="C17:F17" si="2">+C16+C15+C14</f>
        <v>70.073999999999998</v>
      </c>
      <c r="D17" s="6">
        <f t="shared" si="2"/>
        <v>0</v>
      </c>
      <c r="E17" s="6">
        <f t="shared" si="2"/>
        <v>0</v>
      </c>
      <c r="F17" s="6">
        <f t="shared" si="2"/>
        <v>0</v>
      </c>
      <c r="G17" s="6">
        <f>+G16+G15+G14</f>
        <v>101.21300000000001</v>
      </c>
    </row>
    <row r="18" spans="2:7" s="3" customFormat="1" x14ac:dyDescent="0.25">
      <c r="B18" s="3" t="s">
        <v>25</v>
      </c>
      <c r="C18" s="6">
        <f t="shared" ref="C18:F18" si="3">+C13-C17</f>
        <v>-28.47</v>
      </c>
      <c r="D18" s="6">
        <f t="shared" si="3"/>
        <v>0</v>
      </c>
      <c r="E18" s="6">
        <f t="shared" si="3"/>
        <v>0</v>
      </c>
      <c r="F18" s="6">
        <f t="shared" si="3"/>
        <v>0</v>
      </c>
      <c r="G18" s="6">
        <f>+G13-G17</f>
        <v>-15.037000000000006</v>
      </c>
    </row>
    <row r="30" spans="2:7" x14ac:dyDescent="0.25">
      <c r="B30" s="1" t="s">
        <v>18</v>
      </c>
      <c r="C30" s="5">
        <f>+C13/C11</f>
        <v>0.41808023152986573</v>
      </c>
      <c r="G30" s="5">
        <f>+G13/G11</f>
        <v>0.44557045800026884</v>
      </c>
    </row>
    <row r="35" spans="2:7" x14ac:dyDescent="0.25">
      <c r="B35" s="1" t="s">
        <v>26</v>
      </c>
      <c r="C35" s="4">
        <v>-98.244</v>
      </c>
      <c r="G35" s="4">
        <v>-131.97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2026-06-30T13:44:38Z</dcterms:created>
  <dcterms:modified xsi:type="dcterms:W3CDTF">2026-08-12T20:17:51Z</dcterms:modified>
</cp:coreProperties>
</file>