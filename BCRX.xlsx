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92F3595-A587-4DEF-8386-DE84C0C9784C}" xr6:coauthVersionLast="47" xr6:coauthVersionMax="47" xr10:uidLastSave="{00000000-0000-0000-0000-000000000000}"/>
  <bookViews>
    <workbookView xWindow="7060" yWindow="2170" windowWidth="23870" windowHeight="16560" activeTab="3" xr2:uid="{C0EF46B9-3AAE-4D22-B3DC-BDB402CDEF14}"/>
  </bookViews>
  <sheets>
    <sheet name="Main" sheetId="1" r:id="rId1"/>
    <sheet name="Orladeyo" sheetId="2" r:id="rId2"/>
    <sheet name="navenibart" sheetId="3" r:id="rId3"/>
    <sheet name="Mod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3" i="4" l="1"/>
  <c r="AH16" i="4"/>
  <c r="AG14" i="4"/>
  <c r="AG15" i="4" s="1"/>
  <c r="AG16" i="4" s="1"/>
  <c r="AG17" i="4" s="1"/>
  <c r="AF14" i="4"/>
  <c r="AF15" i="4" s="1"/>
  <c r="AF16" i="4" s="1"/>
  <c r="AF17" i="4" s="1"/>
  <c r="AE14" i="4"/>
  <c r="AE15" i="4" s="1"/>
  <c r="AE16" i="4" s="1"/>
  <c r="AE17" i="4" s="1"/>
  <c r="AD14" i="4"/>
  <c r="AC14" i="4"/>
  <c r="AB14" i="4"/>
  <c r="AB15" i="4" s="1"/>
  <c r="AA14" i="4"/>
  <c r="AA15" i="4" s="1"/>
  <c r="Z14" i="4"/>
  <c r="Y14" i="4"/>
  <c r="X14" i="4"/>
  <c r="X15" i="4" s="1"/>
  <c r="W14" i="4"/>
  <c r="V14" i="4"/>
  <c r="U14" i="4"/>
  <c r="T14" i="4"/>
  <c r="S15" i="4"/>
  <c r="S16" i="4" s="1"/>
  <c r="S17" i="4" s="1"/>
  <c r="S14" i="4"/>
  <c r="U18" i="4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T18" i="4"/>
  <c r="S18" i="4"/>
  <c r="Y12" i="4"/>
  <c r="AG11" i="4"/>
  <c r="AG12" i="4" s="1"/>
  <c r="AF11" i="4"/>
  <c r="AF12" i="4" s="1"/>
  <c r="AE11" i="4"/>
  <c r="AE12" i="4" s="1"/>
  <c r="AD11" i="4"/>
  <c r="AD12" i="4" s="1"/>
  <c r="AC11" i="4"/>
  <c r="AC12" i="4" s="1"/>
  <c r="AB11" i="4"/>
  <c r="AB12" i="4" s="1"/>
  <c r="AA11" i="4"/>
  <c r="AA12" i="4" s="1"/>
  <c r="Z11" i="4"/>
  <c r="Z12" i="4" s="1"/>
  <c r="Y11" i="4"/>
  <c r="X11" i="4"/>
  <c r="X12" i="4" s="1"/>
  <c r="W11" i="4"/>
  <c r="W12" i="4" s="1"/>
  <c r="V11" i="4"/>
  <c r="V12" i="4" s="1"/>
  <c r="U11" i="4"/>
  <c r="U12" i="4" s="1"/>
  <c r="T11" i="4"/>
  <c r="T12" i="4" s="1"/>
  <c r="S12" i="4"/>
  <c r="S11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AE4" i="4"/>
  <c r="AF4" i="4" s="1"/>
  <c r="AG4" i="4" s="1"/>
  <c r="AD4" i="4"/>
  <c r="AC4" i="4"/>
  <c r="Z3" i="4"/>
  <c r="AA3" i="4" s="1"/>
  <c r="AB3" i="4" s="1"/>
  <c r="AC3" i="4" s="1"/>
  <c r="AD3" i="4" s="1"/>
  <c r="AE3" i="4" s="1"/>
  <c r="AF3" i="4" s="1"/>
  <c r="AG3" i="4" s="1"/>
  <c r="Y3" i="4"/>
  <c r="AI16" i="4" l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AC15" i="4"/>
  <c r="AC16" i="4" s="1"/>
  <c r="AC17" i="4" s="1"/>
  <c r="T15" i="4"/>
  <c r="T16" i="4" s="1"/>
  <c r="T17" i="4" s="1"/>
  <c r="V15" i="4"/>
  <c r="V16" i="4" s="1"/>
  <c r="V17" i="4" s="1"/>
  <c r="Y15" i="4"/>
  <c r="Y16" i="4" s="1"/>
  <c r="Y17" i="4" s="1"/>
  <c r="AD15" i="4"/>
  <c r="AD16" i="4" s="1"/>
  <c r="AD17" i="4" s="1"/>
  <c r="U15" i="4"/>
  <c r="U16" i="4" s="1"/>
  <c r="U17" i="4" s="1"/>
  <c r="W15" i="4"/>
  <c r="W16" i="4" s="1"/>
  <c r="W17" i="4" s="1"/>
  <c r="Z15" i="4"/>
  <c r="Z16" i="4" s="1"/>
  <c r="Z17" i="4" s="1"/>
  <c r="X16" i="4"/>
  <c r="X17" i="4" s="1"/>
  <c r="AA16" i="4"/>
  <c r="AA17" i="4" s="1"/>
  <c r="AB16" i="4"/>
  <c r="AB17" i="4" s="1"/>
  <c r="U4" i="4"/>
  <c r="V4" i="4" s="1"/>
  <c r="W4" i="4" s="1"/>
  <c r="X4" i="4" s="1"/>
  <c r="Y4" i="4" s="1"/>
  <c r="Z4" i="4" s="1"/>
  <c r="AA4" i="4" s="1"/>
  <c r="AB4" i="4" s="1"/>
  <c r="T4" i="4"/>
  <c r="S4" i="4"/>
  <c r="O2" i="4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N2" i="4"/>
  <c r="J8" i="4"/>
  <c r="I8" i="4"/>
  <c r="H8" i="4"/>
  <c r="J11" i="4"/>
  <c r="J12" i="4" s="1"/>
  <c r="I11" i="4"/>
  <c r="I12" i="4" s="1"/>
  <c r="H11" i="4"/>
  <c r="H12" i="4" s="1"/>
  <c r="G12" i="4"/>
  <c r="G11" i="4"/>
  <c r="G8" i="4"/>
  <c r="G5" i="4"/>
  <c r="J6" i="4"/>
  <c r="I6" i="4"/>
  <c r="H6" i="4"/>
  <c r="G6" i="4"/>
  <c r="F6" i="4"/>
  <c r="E6" i="4"/>
  <c r="D6" i="4"/>
  <c r="C6" i="4"/>
  <c r="H4" i="4"/>
  <c r="I4" i="4" s="1"/>
  <c r="J4" i="4" s="1"/>
  <c r="K4" i="1"/>
  <c r="K7" i="1" s="1"/>
  <c r="AI22" i="4" l="1"/>
</calcChain>
</file>

<file path=xl/sharedStrings.xml><?xml version="1.0" encoding="utf-8"?>
<sst xmlns="http://schemas.openxmlformats.org/spreadsheetml/2006/main" count="81" uniqueCount="64">
  <si>
    <t>Price</t>
  </si>
  <si>
    <t>Shares</t>
  </si>
  <si>
    <t>MC</t>
  </si>
  <si>
    <t>Cash</t>
  </si>
  <si>
    <t>Debt</t>
  </si>
  <si>
    <t>EV</t>
  </si>
  <si>
    <t>Brand</t>
  </si>
  <si>
    <t>Orladeyo</t>
  </si>
  <si>
    <t>Indication</t>
  </si>
  <si>
    <t>HAE</t>
  </si>
  <si>
    <t>Orladeyo (berotralstat)</t>
  </si>
  <si>
    <t>Q124</t>
  </si>
  <si>
    <t>Main</t>
  </si>
  <si>
    <t>Generic</t>
  </si>
  <si>
    <t>berotralstat</t>
  </si>
  <si>
    <t>MOA</t>
  </si>
  <si>
    <t>plasma kallikrein inhibitor</t>
  </si>
  <si>
    <t>Clinical Trial</t>
  </si>
  <si>
    <t>Phase III "APeX-2" n=121 HAE</t>
  </si>
  <si>
    <t>~3 attacks at baseline</t>
  </si>
  <si>
    <t>Placebo arm: 3 --&gt; 2.35</t>
  </si>
  <si>
    <t>110mg: 3 --&gt; 1.65 (p=0.024)</t>
  </si>
  <si>
    <t>150mg: 3 --&gt; 1.31</t>
  </si>
  <si>
    <t>navenibart</t>
  </si>
  <si>
    <t>kallikrein mab</t>
  </si>
  <si>
    <t>kallikrein mab?</t>
  </si>
  <si>
    <t>Clinical Trials</t>
  </si>
  <si>
    <t>Phase I/II "ALPHA-STAR"</t>
  </si>
  <si>
    <t>CRDO: Sandeep Menon</t>
  </si>
  <si>
    <t>Phase III "ALPHA-ORBIT"</t>
  </si>
  <si>
    <t>Q125</t>
  </si>
  <si>
    <t>Q225</t>
  </si>
  <si>
    <t>Q325</t>
  </si>
  <si>
    <t>Q425</t>
  </si>
  <si>
    <t>Q126</t>
  </si>
  <si>
    <t>Q226</t>
  </si>
  <si>
    <t>Q326</t>
  </si>
  <si>
    <t>Q426</t>
  </si>
  <si>
    <t>CEO: Charlie Gayer</t>
  </si>
  <si>
    <t xml:space="preserve">BCX17725 </t>
  </si>
  <si>
    <t>Dosing</t>
  </si>
  <si>
    <t>q3m q6m subcutaneous</t>
  </si>
  <si>
    <t>KLK5 inhibitor</t>
  </si>
  <si>
    <t>Netherton</t>
  </si>
  <si>
    <t>avoralstat</t>
  </si>
  <si>
    <t>Revenue</t>
  </si>
  <si>
    <t>Other</t>
  </si>
  <si>
    <t>SG&amp;A</t>
  </si>
  <si>
    <t>R&amp;D</t>
  </si>
  <si>
    <t>Gross Margin</t>
  </si>
  <si>
    <t>COGS</t>
  </si>
  <si>
    <t>Operating Expenses</t>
  </si>
  <si>
    <t>Operating Income</t>
  </si>
  <si>
    <t>p3</t>
  </si>
  <si>
    <t>file</t>
  </si>
  <si>
    <t>Interest Income</t>
  </si>
  <si>
    <t>Pretax Income</t>
  </si>
  <si>
    <t>Taxes</t>
  </si>
  <si>
    <t>Net Income</t>
  </si>
  <si>
    <t>EPS</t>
  </si>
  <si>
    <t>Maturity</t>
  </si>
  <si>
    <t>Discount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</si>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</sst>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0" xfId="0" applyBorder="1"/>
    <xf numFmtId="0" fontId="0" fillId="0" borderId="3" xfId="0" applyFill="1" applyBorder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48BB166-EFDB-4298-A236-C3C4E54F28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16711</xdr:colOff>
      <xdr:row>0</xdr:row>
      <xdr:rowOff>30079</xdr:rowOff>
    </xdr:from>
    <xdr:to>
      <xdr:col>7</xdr:col>
      <xdr:colOff>16711</xdr:colOff>
      <xdr:row>26</xdr:row>
      <xdr:rowOff>123658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D135C7C-B0EA-5945-E214-00B477CFE291}"/>
            </a:ext>
          </a:extLst>
        </xdr:cNvPr>
        <xdr:cNvCxnSpPr/>
      </xdr:nvCxnSpPr>
      <xdr:spPr>
        <a:xfrm>
          <a:off x="4588711" y="30079"/>
          <a:ext cx="0" cy="42678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3CBF-C7D5-4203-9326-B36E24494090}">
  <dimension ref="B2:L10"/>
  <sheetViews>
    <sheetView zoomScale="175" zoomScaleNormal="175" workbookViewId="0">
      <selection activeCell="L6" sqref="L6"/>
    </sheetView>
  </sheetViews>
  <sheetFormatPr defaultRowHeight="12.5" x14ac:dyDescent="0.25"/>
  <cols>
    <col min="1" max="1" width="5" customWidth="1"/>
    <col min="2" max="2" width="20" bestFit="1" customWidth="1"/>
  </cols>
  <sheetData>
    <row r="2" spans="2:12" x14ac:dyDescent="0.25">
      <c r="B2" s="10" t="s">
        <v>6</v>
      </c>
      <c r="C2" s="11" t="s">
        <v>8</v>
      </c>
      <c r="D2" s="11" t="s">
        <v>15</v>
      </c>
      <c r="E2" s="11"/>
      <c r="F2" s="11"/>
      <c r="G2" s="11"/>
      <c r="H2" s="12"/>
      <c r="J2" t="s">
        <v>0</v>
      </c>
      <c r="K2" s="1">
        <v>10</v>
      </c>
    </row>
    <row r="3" spans="2:12" x14ac:dyDescent="0.25">
      <c r="B3" s="6" t="s">
        <v>10</v>
      </c>
      <c r="C3" s="14" t="s">
        <v>9</v>
      </c>
      <c r="D3" s="14"/>
      <c r="E3" s="14"/>
      <c r="F3" s="14"/>
      <c r="G3" s="14"/>
      <c r="H3" s="7"/>
      <c r="J3" t="s">
        <v>1</v>
      </c>
      <c r="K3" s="2">
        <v>206.37708799999999</v>
      </c>
      <c r="L3" s="3" t="s">
        <v>11</v>
      </c>
    </row>
    <row r="4" spans="2:12" x14ac:dyDescent="0.25">
      <c r="B4" s="6" t="s">
        <v>23</v>
      </c>
      <c r="C4" s="14"/>
      <c r="D4" s="14" t="s">
        <v>24</v>
      </c>
      <c r="E4" s="14"/>
      <c r="F4" s="14"/>
      <c r="G4" s="14"/>
      <c r="H4" s="7"/>
      <c r="J4" t="s">
        <v>2</v>
      </c>
      <c r="K4" s="2">
        <f>+K2*K3</f>
        <v>2063.77088</v>
      </c>
      <c r="L4" s="3"/>
    </row>
    <row r="5" spans="2:12" x14ac:dyDescent="0.25">
      <c r="B5" s="15" t="s">
        <v>39</v>
      </c>
      <c r="C5" s="8" t="s">
        <v>43</v>
      </c>
      <c r="D5" s="8" t="s">
        <v>42</v>
      </c>
      <c r="E5" s="8"/>
      <c r="F5" s="8"/>
      <c r="G5" s="8"/>
      <c r="H5" s="9"/>
      <c r="J5" t="s">
        <v>3</v>
      </c>
      <c r="K5" s="2">
        <v>260</v>
      </c>
      <c r="L5" s="3" t="s">
        <v>30</v>
      </c>
    </row>
    <row r="6" spans="2:12" x14ac:dyDescent="0.25">
      <c r="B6" s="13"/>
      <c r="J6" t="s">
        <v>4</v>
      </c>
      <c r="K6" s="2">
        <v>308.48399999999998</v>
      </c>
      <c r="L6" s="3" t="s">
        <v>11</v>
      </c>
    </row>
    <row r="7" spans="2:12" x14ac:dyDescent="0.25">
      <c r="J7" t="s">
        <v>5</v>
      </c>
      <c r="K7" s="2">
        <f>+K4-K5+K6</f>
        <v>2112.25488</v>
      </c>
    </row>
    <row r="8" spans="2:12" x14ac:dyDescent="0.25">
      <c r="B8" t="s">
        <v>44</v>
      </c>
    </row>
    <row r="9" spans="2:12" x14ac:dyDescent="0.25">
      <c r="J9" t="s">
        <v>38</v>
      </c>
    </row>
    <row r="10" spans="2:12" x14ac:dyDescent="0.25">
      <c r="J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A0BB-1CAE-41B6-AABA-C9B1FDDA0942}">
  <dimension ref="A1:C11"/>
  <sheetViews>
    <sheetView zoomScale="235" zoomScaleNormal="235" workbookViewId="0">
      <selection activeCell="B1" sqref="B1"/>
    </sheetView>
  </sheetViews>
  <sheetFormatPr defaultRowHeight="12.5" x14ac:dyDescent="0.25"/>
  <cols>
    <col min="1" max="1" width="5" bestFit="1" customWidth="1"/>
    <col min="2" max="2" width="11" bestFit="1" customWidth="1"/>
  </cols>
  <sheetData>
    <row r="1" spans="1:3" x14ac:dyDescent="0.25">
      <c r="A1" s="5" t="s">
        <v>12</v>
      </c>
    </row>
    <row r="2" spans="1:3" x14ac:dyDescent="0.25">
      <c r="B2" t="s">
        <v>6</v>
      </c>
      <c r="C2" t="s">
        <v>7</v>
      </c>
    </row>
    <row r="3" spans="1:3" x14ac:dyDescent="0.25">
      <c r="B3" t="s">
        <v>13</v>
      </c>
      <c r="C3" t="s">
        <v>14</v>
      </c>
    </row>
    <row r="4" spans="1:3" x14ac:dyDescent="0.25">
      <c r="B4" t="s">
        <v>8</v>
      </c>
      <c r="C4" t="s">
        <v>9</v>
      </c>
    </row>
    <row r="5" spans="1:3" x14ac:dyDescent="0.25">
      <c r="B5" t="s">
        <v>15</v>
      </c>
      <c r="C5" t="s">
        <v>16</v>
      </c>
    </row>
    <row r="6" spans="1:3" x14ac:dyDescent="0.25">
      <c r="B6" t="s">
        <v>17</v>
      </c>
    </row>
    <row r="7" spans="1:3" ht="13" x14ac:dyDescent="0.3">
      <c r="C7" s="4" t="s">
        <v>18</v>
      </c>
    </row>
    <row r="8" spans="1:3" x14ac:dyDescent="0.25">
      <c r="C8" t="s">
        <v>19</v>
      </c>
    </row>
    <row r="9" spans="1:3" x14ac:dyDescent="0.25">
      <c r="C9" t="s">
        <v>20</v>
      </c>
    </row>
    <row r="10" spans="1:3" x14ac:dyDescent="0.25">
      <c r="C10" t="s">
        <v>21</v>
      </c>
    </row>
    <row r="11" spans="1:3" x14ac:dyDescent="0.25">
      <c r="C11" t="s">
        <v>22</v>
      </c>
    </row>
  </sheetData>
  <hyperlinks>
    <hyperlink ref="A1" location="Main!A1" display="Main" xr:uid="{EC17901C-BA1A-4E59-9049-B33A9461D3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F690-F63B-49CB-8F91-0EC36F87829E}">
  <dimension ref="A1:C11"/>
  <sheetViews>
    <sheetView zoomScale="220" zoomScaleNormal="220" workbookViewId="0">
      <selection activeCell="B7" sqref="B7"/>
    </sheetView>
  </sheetViews>
  <sheetFormatPr defaultRowHeight="12.5" x14ac:dyDescent="0.25"/>
  <cols>
    <col min="1" max="1" width="4.6328125" bestFit="1" customWidth="1"/>
    <col min="2" max="2" width="11.453125" bestFit="1" customWidth="1"/>
  </cols>
  <sheetData>
    <row r="1" spans="1:3" x14ac:dyDescent="0.25">
      <c r="A1" s="5" t="s">
        <v>12</v>
      </c>
    </row>
    <row r="2" spans="1:3" x14ac:dyDescent="0.25">
      <c r="B2" t="s">
        <v>6</v>
      </c>
    </row>
    <row r="3" spans="1:3" x14ac:dyDescent="0.25">
      <c r="B3" t="s">
        <v>13</v>
      </c>
      <c r="C3" t="s">
        <v>23</v>
      </c>
    </row>
    <row r="4" spans="1:3" x14ac:dyDescent="0.25">
      <c r="B4" t="s">
        <v>8</v>
      </c>
      <c r="C4" t="s">
        <v>9</v>
      </c>
    </row>
    <row r="5" spans="1:3" x14ac:dyDescent="0.25">
      <c r="B5" t="s">
        <v>15</v>
      </c>
      <c r="C5" t="s">
        <v>25</v>
      </c>
    </row>
    <row r="6" spans="1:3" x14ac:dyDescent="0.25">
      <c r="B6" t="s">
        <v>40</v>
      </c>
      <c r="C6" t="s">
        <v>41</v>
      </c>
    </row>
    <row r="7" spans="1:3" x14ac:dyDescent="0.25">
      <c r="B7" t="s">
        <v>26</v>
      </c>
    </row>
    <row r="8" spans="1:3" ht="13" x14ac:dyDescent="0.3">
      <c r="C8" s="4" t="s">
        <v>27</v>
      </c>
    </row>
    <row r="11" spans="1:3" ht="13" x14ac:dyDescent="0.3">
      <c r="C11" s="4" t="s">
        <v>29</v>
      </c>
    </row>
  </sheetData>
  <hyperlinks>
    <hyperlink ref="A1" location="Main!A1" display="Main" xr:uid="{A7793FD6-E712-4A2A-B4DB-D9E0C844F2F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7D15-5F0B-40A3-A30E-DA0845E37D98}">
  <dimension ref="A1:BX23"/>
  <sheetViews>
    <sheetView tabSelected="1" zoomScale="175" zoomScaleNormal="175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AI23" sqref="AI23"/>
    </sheetView>
  </sheetViews>
  <sheetFormatPr defaultRowHeight="12.5" x14ac:dyDescent="0.25"/>
  <cols>
    <col min="1" max="1" width="4.7265625" bestFit="1" customWidth="1"/>
    <col min="2" max="2" width="17.1796875" bestFit="1" customWidth="1"/>
    <col min="3" max="10" width="8.7265625" style="3"/>
    <col min="35" max="35" width="9.54296875" bestFit="1" customWidth="1"/>
  </cols>
  <sheetData>
    <row r="1" spans="1:76" x14ac:dyDescent="0.25">
      <c r="A1" t="s">
        <v>12</v>
      </c>
    </row>
    <row r="2" spans="1:76" x14ac:dyDescent="0.25"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M2">
        <v>2020</v>
      </c>
      <c r="N2">
        <f>+M2+1</f>
        <v>2021</v>
      </c>
      <c r="O2">
        <f t="shared" ref="O2:AW2" si="0">+N2+1</f>
        <v>2022</v>
      </c>
      <c r="P2">
        <f t="shared" si="0"/>
        <v>2023</v>
      </c>
      <c r="Q2">
        <f t="shared" si="0"/>
        <v>2024</v>
      </c>
      <c r="R2">
        <f t="shared" si="0"/>
        <v>2025</v>
      </c>
      <c r="S2">
        <f t="shared" si="0"/>
        <v>2026</v>
      </c>
      <c r="T2">
        <f t="shared" si="0"/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  <c r="Z2">
        <f t="shared" si="0"/>
        <v>2033</v>
      </c>
      <c r="AA2">
        <f t="shared" si="0"/>
        <v>2034</v>
      </c>
      <c r="AB2">
        <f t="shared" si="0"/>
        <v>2035</v>
      </c>
      <c r="AC2">
        <f t="shared" si="0"/>
        <v>2036</v>
      </c>
      <c r="AD2">
        <f t="shared" si="0"/>
        <v>2037</v>
      </c>
      <c r="AE2">
        <f t="shared" si="0"/>
        <v>2038</v>
      </c>
      <c r="AF2">
        <f t="shared" si="0"/>
        <v>2039</v>
      </c>
      <c r="AG2">
        <f t="shared" si="0"/>
        <v>2040</v>
      </c>
      <c r="AH2">
        <f t="shared" si="0"/>
        <v>2041</v>
      </c>
      <c r="AI2">
        <f t="shared" si="0"/>
        <v>2042</v>
      </c>
      <c r="AJ2">
        <f t="shared" si="0"/>
        <v>2043</v>
      </c>
      <c r="AK2">
        <f t="shared" si="0"/>
        <v>2044</v>
      </c>
      <c r="AL2">
        <f t="shared" si="0"/>
        <v>2045</v>
      </c>
      <c r="AM2">
        <f t="shared" si="0"/>
        <v>2046</v>
      </c>
      <c r="AN2">
        <f t="shared" si="0"/>
        <v>2047</v>
      </c>
      <c r="AO2">
        <f t="shared" si="0"/>
        <v>2048</v>
      </c>
      <c r="AP2">
        <f t="shared" si="0"/>
        <v>2049</v>
      </c>
      <c r="AQ2">
        <f t="shared" si="0"/>
        <v>2050</v>
      </c>
      <c r="AR2">
        <f t="shared" si="0"/>
        <v>2051</v>
      </c>
      <c r="AS2">
        <f t="shared" si="0"/>
        <v>2052</v>
      </c>
      <c r="AT2">
        <f t="shared" si="0"/>
        <v>2053</v>
      </c>
      <c r="AU2">
        <f t="shared" si="0"/>
        <v>2054</v>
      </c>
      <c r="AV2">
        <f t="shared" si="0"/>
        <v>2055</v>
      </c>
      <c r="AW2">
        <f t="shared" si="0"/>
        <v>2056</v>
      </c>
    </row>
    <row r="3" spans="1:76" s="2" customFormat="1" x14ac:dyDescent="0.25">
      <c r="B3" s="2" t="s">
        <v>23</v>
      </c>
      <c r="C3" s="20"/>
      <c r="D3" s="20"/>
      <c r="E3" s="20"/>
      <c r="F3" s="20"/>
      <c r="G3" s="20"/>
      <c r="H3" s="20"/>
      <c r="I3" s="20"/>
      <c r="J3" s="20"/>
      <c r="S3" s="20" t="s">
        <v>53</v>
      </c>
      <c r="T3" s="20" t="s">
        <v>54</v>
      </c>
      <c r="U3" s="2">
        <v>50</v>
      </c>
      <c r="V3" s="2">
        <v>200</v>
      </c>
      <c r="W3" s="2">
        <v>400</v>
      </c>
      <c r="X3" s="2">
        <v>600</v>
      </c>
      <c r="Y3" s="2">
        <f>+X3*1.05</f>
        <v>630</v>
      </c>
      <c r="Z3" s="2">
        <f t="shared" ref="Z3:AG3" si="1">+Y3*1.05</f>
        <v>661.5</v>
      </c>
      <c r="AA3" s="2">
        <f t="shared" si="1"/>
        <v>694.57500000000005</v>
      </c>
      <c r="AB3" s="2">
        <f t="shared" si="1"/>
        <v>729.30375000000004</v>
      </c>
      <c r="AC3" s="2">
        <f t="shared" si="1"/>
        <v>765.76893750000011</v>
      </c>
      <c r="AD3" s="2">
        <f t="shared" si="1"/>
        <v>804.0573843750002</v>
      </c>
      <c r="AE3" s="2">
        <f t="shared" si="1"/>
        <v>844.26025359375024</v>
      </c>
      <c r="AF3" s="2">
        <f t="shared" si="1"/>
        <v>886.47326627343773</v>
      </c>
      <c r="AG3" s="2">
        <f t="shared" si="1"/>
        <v>930.79692958710962</v>
      </c>
    </row>
    <row r="4" spans="1:76" s="2" customFormat="1" x14ac:dyDescent="0.25">
      <c r="B4" s="2" t="s">
        <v>7</v>
      </c>
      <c r="C4" s="20"/>
      <c r="D4" s="20"/>
      <c r="E4" s="20"/>
      <c r="F4" s="20"/>
      <c r="G4" s="20">
        <v>148.30000000000001</v>
      </c>
      <c r="H4" s="20">
        <f>+G4+5</f>
        <v>153.30000000000001</v>
      </c>
      <c r="I4" s="20">
        <f>+H4+5</f>
        <v>158.30000000000001</v>
      </c>
      <c r="J4" s="20">
        <f>+I4+5</f>
        <v>163.30000000000001</v>
      </c>
      <c r="S4" s="2">
        <f>SUM(G4:J4)</f>
        <v>623.20000000000005</v>
      </c>
      <c r="T4" s="2">
        <f>+S4*1.03</f>
        <v>641.89600000000007</v>
      </c>
      <c r="U4" s="2">
        <f t="shared" ref="U4:AB4" si="2">+T4*1.03</f>
        <v>661.1528800000001</v>
      </c>
      <c r="V4" s="2">
        <f t="shared" si="2"/>
        <v>680.98746640000013</v>
      </c>
      <c r="W4" s="2">
        <f t="shared" si="2"/>
        <v>701.4170903920002</v>
      </c>
      <c r="X4" s="2">
        <f t="shared" si="2"/>
        <v>722.45960310376017</v>
      </c>
      <c r="Y4" s="2">
        <f t="shared" si="2"/>
        <v>744.13339119687305</v>
      </c>
      <c r="Z4" s="2">
        <f t="shared" si="2"/>
        <v>766.45739293277927</v>
      </c>
      <c r="AA4" s="2">
        <f t="shared" si="2"/>
        <v>789.45111472076269</v>
      </c>
      <c r="AB4" s="2">
        <f t="shared" si="2"/>
        <v>813.13464816238559</v>
      </c>
      <c r="AC4" s="2">
        <f>+AB4*0.1</f>
        <v>81.313464816238564</v>
      </c>
      <c r="AD4" s="2">
        <f t="shared" ref="AD4:AG4" si="3">+AC4*0.1</f>
        <v>8.1313464816238561</v>
      </c>
      <c r="AE4" s="2">
        <f t="shared" si="3"/>
        <v>0.81313464816238568</v>
      </c>
      <c r="AF4" s="2">
        <f t="shared" si="3"/>
        <v>8.1313464816238579E-2</v>
      </c>
      <c r="AG4" s="2">
        <f t="shared" si="3"/>
        <v>8.1313464816238582E-3</v>
      </c>
    </row>
    <row r="5" spans="1:76" s="16" customFormat="1" x14ac:dyDescent="0.25">
      <c r="B5" s="16" t="s">
        <v>46</v>
      </c>
      <c r="C5" s="17"/>
      <c r="D5" s="17"/>
      <c r="E5" s="17"/>
      <c r="F5" s="17"/>
      <c r="G5" s="17">
        <f>3.016+5.05</f>
        <v>8.0659999999999989</v>
      </c>
      <c r="H5" s="17"/>
      <c r="I5" s="17"/>
      <c r="J5" s="17"/>
    </row>
    <row r="6" spans="1:76" s="18" customFormat="1" ht="13" x14ac:dyDescent="0.3">
      <c r="B6" s="18" t="s">
        <v>45</v>
      </c>
      <c r="C6" s="19">
        <f>SUM(C3:C5)</f>
        <v>0</v>
      </c>
      <c r="D6" s="19">
        <f t="shared" ref="D6:J6" si="4">SUM(D3:D5)</f>
        <v>0</v>
      </c>
      <c r="E6" s="19">
        <f t="shared" si="4"/>
        <v>0</v>
      </c>
      <c r="F6" s="19">
        <f t="shared" si="4"/>
        <v>0</v>
      </c>
      <c r="G6" s="19">
        <f t="shared" si="4"/>
        <v>156.36600000000001</v>
      </c>
      <c r="H6" s="19">
        <f t="shared" si="4"/>
        <v>153.30000000000001</v>
      </c>
      <c r="I6" s="19">
        <f t="shared" si="4"/>
        <v>158.30000000000001</v>
      </c>
      <c r="J6" s="19">
        <f t="shared" si="4"/>
        <v>163.30000000000001</v>
      </c>
      <c r="M6" s="19">
        <f t="shared" ref="M6" si="5">SUM(M3:M5)</f>
        <v>0</v>
      </c>
      <c r="N6" s="19">
        <f t="shared" ref="N6" si="6">SUM(N3:N5)</f>
        <v>0</v>
      </c>
      <c r="O6" s="19">
        <f t="shared" ref="O6" si="7">SUM(O3:O5)</f>
        <v>0</v>
      </c>
      <c r="P6" s="19">
        <f t="shared" ref="P6" si="8">SUM(P3:P5)</f>
        <v>0</v>
      </c>
      <c r="Q6" s="19">
        <f t="shared" ref="Q6" si="9">SUM(Q3:Q5)</f>
        <v>0</v>
      </c>
      <c r="R6" s="19">
        <f t="shared" ref="R6" si="10">SUM(R3:R5)</f>
        <v>0</v>
      </c>
      <c r="S6" s="19">
        <f t="shared" ref="S6" si="11">SUM(S3:S5)</f>
        <v>623.20000000000005</v>
      </c>
      <c r="T6" s="19">
        <f t="shared" ref="T6" si="12">SUM(T3:T5)</f>
        <v>641.89600000000007</v>
      </c>
      <c r="U6" s="19">
        <f t="shared" ref="U6" si="13">SUM(U3:U5)</f>
        <v>711.1528800000001</v>
      </c>
      <c r="V6" s="19">
        <f t="shared" ref="V6" si="14">SUM(V3:V5)</f>
        <v>880.98746640000013</v>
      </c>
      <c r="W6" s="19">
        <f t="shared" ref="W6" si="15">SUM(W3:W5)</f>
        <v>1101.4170903920003</v>
      </c>
      <c r="X6" s="19">
        <f t="shared" ref="X6" si="16">SUM(X3:X5)</f>
        <v>1322.4596031037602</v>
      </c>
      <c r="Y6" s="19">
        <f t="shared" ref="Y6" si="17">SUM(Y3:Y5)</f>
        <v>1374.1333911968732</v>
      </c>
      <c r="Z6" s="19">
        <f t="shared" ref="Z6" si="18">SUM(Z3:Z5)</f>
        <v>1427.9573929327794</v>
      </c>
      <c r="AA6" s="19">
        <f t="shared" ref="AA6" si="19">SUM(AA3:AA5)</f>
        <v>1484.0261147207627</v>
      </c>
      <c r="AB6" s="19">
        <f t="shared" ref="AB6" si="20">SUM(AB3:AB5)</f>
        <v>1542.4383981623855</v>
      </c>
      <c r="AC6" s="19">
        <f t="shared" ref="AC6" si="21">SUM(AC3:AC5)</f>
        <v>847.0824023162387</v>
      </c>
      <c r="AD6" s="19">
        <f t="shared" ref="AD6" si="22">SUM(AD3:AD5)</f>
        <v>812.18873085662403</v>
      </c>
      <c r="AE6" s="19">
        <f t="shared" ref="AE6" si="23">SUM(AE3:AE5)</f>
        <v>845.07338824191265</v>
      </c>
      <c r="AF6" s="19">
        <f t="shared" ref="AF6" si="24">SUM(AF3:AF5)</f>
        <v>886.55457973825401</v>
      </c>
      <c r="AG6" s="19">
        <f t="shared" ref="AG6" si="25">SUM(AG3:AG5)</f>
        <v>930.80506093359122</v>
      </c>
    </row>
    <row r="7" spans="1:76" s="16" customFormat="1" x14ac:dyDescent="0.25">
      <c r="B7" s="16" t="s">
        <v>50</v>
      </c>
      <c r="C7" s="17"/>
      <c r="D7" s="17"/>
      <c r="E7" s="17"/>
      <c r="F7" s="17"/>
      <c r="G7" s="17">
        <v>5.3769999999999998</v>
      </c>
      <c r="H7" s="17"/>
      <c r="I7" s="17"/>
      <c r="J7" s="17"/>
      <c r="S7" s="16">
        <f>+S6*0.03</f>
        <v>18.696000000000002</v>
      </c>
      <c r="T7" s="16">
        <f t="shared" ref="T7:AG7" si="26">+T6*0.03</f>
        <v>19.256880000000002</v>
      </c>
      <c r="U7" s="16">
        <f t="shared" si="26"/>
        <v>21.334586400000003</v>
      </c>
      <c r="V7" s="16">
        <f t="shared" si="26"/>
        <v>26.429623992000003</v>
      </c>
      <c r="W7" s="16">
        <f t="shared" si="26"/>
        <v>33.042512711760011</v>
      </c>
      <c r="X7" s="16">
        <f t="shared" si="26"/>
        <v>39.673788093112805</v>
      </c>
      <c r="Y7" s="16">
        <f t="shared" si="26"/>
        <v>41.224001735906192</v>
      </c>
      <c r="Z7" s="16">
        <f t="shared" si="26"/>
        <v>42.838721787983381</v>
      </c>
      <c r="AA7" s="16">
        <f t="shared" si="26"/>
        <v>44.520783441622882</v>
      </c>
      <c r="AB7" s="16">
        <f t="shared" si="26"/>
        <v>46.273151944871564</v>
      </c>
      <c r="AC7" s="16">
        <f t="shared" si="26"/>
        <v>25.412472069487158</v>
      </c>
      <c r="AD7" s="16">
        <f t="shared" si="26"/>
        <v>24.365661925698721</v>
      </c>
      <c r="AE7" s="16">
        <f t="shared" si="26"/>
        <v>25.352201647257377</v>
      </c>
      <c r="AF7" s="16">
        <f t="shared" si="26"/>
        <v>26.59663739214762</v>
      </c>
      <c r="AG7" s="16">
        <f t="shared" si="26"/>
        <v>27.924151828007737</v>
      </c>
    </row>
    <row r="8" spans="1:76" s="16" customFormat="1" x14ac:dyDescent="0.25">
      <c r="B8" s="16" t="s">
        <v>49</v>
      </c>
      <c r="C8" s="17"/>
      <c r="D8" s="17"/>
      <c r="E8" s="17"/>
      <c r="F8" s="17"/>
      <c r="G8" s="17">
        <f>+G6-G7</f>
        <v>150.989</v>
      </c>
      <c r="H8" s="17">
        <f t="shared" ref="H8:J8" si="27">+H6-H7</f>
        <v>153.30000000000001</v>
      </c>
      <c r="I8" s="17">
        <f t="shared" si="27"/>
        <v>158.30000000000001</v>
      </c>
      <c r="J8" s="17">
        <f t="shared" si="27"/>
        <v>163.30000000000001</v>
      </c>
      <c r="S8" s="16">
        <f>+S6-S7</f>
        <v>604.50400000000002</v>
      </c>
      <c r="T8" s="16">
        <f t="shared" ref="T8:AG8" si="28">+T6-T7</f>
        <v>622.63912000000005</v>
      </c>
      <c r="U8" s="16">
        <f t="shared" si="28"/>
        <v>689.81829360000006</v>
      </c>
      <c r="V8" s="16">
        <f t="shared" si="28"/>
        <v>854.55784240800017</v>
      </c>
      <c r="W8" s="16">
        <f t="shared" si="28"/>
        <v>1068.3745776802402</v>
      </c>
      <c r="X8" s="16">
        <f t="shared" si="28"/>
        <v>1282.7858150106474</v>
      </c>
      <c r="Y8" s="16">
        <f t="shared" si="28"/>
        <v>1332.9093894609671</v>
      </c>
      <c r="Z8" s="16">
        <f t="shared" si="28"/>
        <v>1385.1186711447961</v>
      </c>
      <c r="AA8" s="16">
        <f t="shared" si="28"/>
        <v>1439.5053312791399</v>
      </c>
      <c r="AB8" s="16">
        <f t="shared" si="28"/>
        <v>1496.1652462175139</v>
      </c>
      <c r="AC8" s="16">
        <f t="shared" si="28"/>
        <v>821.66993024675151</v>
      </c>
      <c r="AD8" s="16">
        <f t="shared" si="28"/>
        <v>787.82306893092527</v>
      </c>
      <c r="AE8" s="16">
        <f t="shared" si="28"/>
        <v>819.72118659465525</v>
      </c>
      <c r="AF8" s="16">
        <f t="shared" si="28"/>
        <v>859.95794234610639</v>
      </c>
      <c r="AG8" s="16">
        <f t="shared" si="28"/>
        <v>902.88090910558344</v>
      </c>
    </row>
    <row r="9" spans="1:76" s="16" customFormat="1" x14ac:dyDescent="0.25">
      <c r="B9" s="16" t="s">
        <v>48</v>
      </c>
      <c r="C9" s="17"/>
      <c r="D9" s="17"/>
      <c r="E9" s="17"/>
      <c r="F9" s="17"/>
      <c r="G9" s="17">
        <v>60.319000000000003</v>
      </c>
      <c r="H9" s="17"/>
      <c r="I9" s="17"/>
      <c r="J9" s="17"/>
    </row>
    <row r="10" spans="1:76" s="16" customFormat="1" x14ac:dyDescent="0.25">
      <c r="B10" s="16" t="s">
        <v>47</v>
      </c>
      <c r="C10" s="17"/>
      <c r="D10" s="17"/>
      <c r="E10" s="17"/>
      <c r="F10" s="17"/>
      <c r="G10" s="17">
        <v>94.554000000000002</v>
      </c>
      <c r="H10" s="17"/>
      <c r="I10" s="17"/>
      <c r="J10" s="17"/>
      <c r="T10" s="16">
        <v>200</v>
      </c>
      <c r="U10" s="16">
        <v>250</v>
      </c>
      <c r="V10" s="16">
        <v>350</v>
      </c>
      <c r="W10" s="16">
        <v>300</v>
      </c>
      <c r="X10" s="16">
        <v>200</v>
      </c>
      <c r="Y10" s="16">
        <v>200</v>
      </c>
      <c r="Z10" s="16">
        <v>200</v>
      </c>
      <c r="AA10" s="16">
        <v>200</v>
      </c>
      <c r="AB10" s="16">
        <v>200</v>
      </c>
      <c r="AC10" s="16">
        <v>200</v>
      </c>
      <c r="AD10" s="16">
        <v>200</v>
      </c>
      <c r="AE10" s="16">
        <v>200</v>
      </c>
      <c r="AF10" s="16">
        <v>200</v>
      </c>
      <c r="AG10" s="16">
        <v>200</v>
      </c>
    </row>
    <row r="11" spans="1:76" s="16" customFormat="1" x14ac:dyDescent="0.25">
      <c r="B11" s="16" t="s">
        <v>51</v>
      </c>
      <c r="C11" s="17"/>
      <c r="D11" s="17"/>
      <c r="E11" s="17"/>
      <c r="F11" s="17"/>
      <c r="G11" s="17">
        <f>+G9+G10</f>
        <v>154.87299999999999</v>
      </c>
      <c r="H11" s="17">
        <f t="shared" ref="H11:J11" si="29">+H9+H10</f>
        <v>0</v>
      </c>
      <c r="I11" s="17">
        <f t="shared" si="29"/>
        <v>0</v>
      </c>
      <c r="J11" s="17">
        <f t="shared" si="29"/>
        <v>0</v>
      </c>
      <c r="S11" s="16">
        <f>+S10+S9</f>
        <v>0</v>
      </c>
      <c r="T11" s="16">
        <f t="shared" ref="T11:AG11" si="30">+T10+T9</f>
        <v>200</v>
      </c>
      <c r="U11" s="16">
        <f t="shared" si="30"/>
        <v>250</v>
      </c>
      <c r="V11" s="16">
        <f t="shared" si="30"/>
        <v>350</v>
      </c>
      <c r="W11" s="16">
        <f t="shared" si="30"/>
        <v>300</v>
      </c>
      <c r="X11" s="16">
        <f t="shared" si="30"/>
        <v>200</v>
      </c>
      <c r="Y11" s="16">
        <f t="shared" si="30"/>
        <v>200</v>
      </c>
      <c r="Z11" s="16">
        <f t="shared" si="30"/>
        <v>200</v>
      </c>
      <c r="AA11" s="16">
        <f t="shared" si="30"/>
        <v>200</v>
      </c>
      <c r="AB11" s="16">
        <f t="shared" si="30"/>
        <v>200</v>
      </c>
      <c r="AC11" s="16">
        <f t="shared" si="30"/>
        <v>200</v>
      </c>
      <c r="AD11" s="16">
        <f t="shared" si="30"/>
        <v>200</v>
      </c>
      <c r="AE11" s="16">
        <f t="shared" si="30"/>
        <v>200</v>
      </c>
      <c r="AF11" s="16">
        <f t="shared" si="30"/>
        <v>200</v>
      </c>
      <c r="AG11" s="16">
        <f t="shared" si="30"/>
        <v>200</v>
      </c>
    </row>
    <row r="12" spans="1:76" s="16" customFormat="1" x14ac:dyDescent="0.25">
      <c r="B12" s="16" t="s">
        <v>52</v>
      </c>
      <c r="C12" s="17"/>
      <c r="D12" s="17"/>
      <c r="E12" s="17"/>
      <c r="F12" s="17"/>
      <c r="G12" s="17">
        <f>+G8-G11</f>
        <v>-3.8839999999999861</v>
      </c>
      <c r="H12" s="17">
        <f t="shared" ref="H12:J12" si="31">+H8-H11</f>
        <v>153.30000000000001</v>
      </c>
      <c r="I12" s="17">
        <f t="shared" si="31"/>
        <v>158.30000000000001</v>
      </c>
      <c r="J12" s="17">
        <f t="shared" si="31"/>
        <v>163.30000000000001</v>
      </c>
      <c r="S12" s="16">
        <f>+S8-S11</f>
        <v>604.50400000000002</v>
      </c>
      <c r="T12" s="16">
        <f t="shared" ref="T12:AG12" si="32">+T8-T11</f>
        <v>422.63912000000005</v>
      </c>
      <c r="U12" s="16">
        <f t="shared" si="32"/>
        <v>439.81829360000006</v>
      </c>
      <c r="V12" s="16">
        <f t="shared" si="32"/>
        <v>504.55784240800017</v>
      </c>
      <c r="W12" s="16">
        <f t="shared" si="32"/>
        <v>768.37457768024024</v>
      </c>
      <c r="X12" s="16">
        <f t="shared" si="32"/>
        <v>1082.7858150106474</v>
      </c>
      <c r="Y12" s="16">
        <f t="shared" si="32"/>
        <v>1132.9093894609671</v>
      </c>
      <c r="Z12" s="16">
        <f t="shared" si="32"/>
        <v>1185.1186711447961</v>
      </c>
      <c r="AA12" s="16">
        <f t="shared" si="32"/>
        <v>1239.5053312791399</v>
      </c>
      <c r="AB12" s="16">
        <f t="shared" si="32"/>
        <v>1296.1652462175139</v>
      </c>
      <c r="AC12" s="16">
        <f t="shared" si="32"/>
        <v>621.66993024675151</v>
      </c>
      <c r="AD12" s="16">
        <f t="shared" si="32"/>
        <v>587.82306893092527</v>
      </c>
      <c r="AE12" s="16">
        <f t="shared" si="32"/>
        <v>619.72118659465525</v>
      </c>
      <c r="AF12" s="16">
        <f t="shared" si="32"/>
        <v>659.95794234610639</v>
      </c>
      <c r="AG12" s="16">
        <f t="shared" si="32"/>
        <v>702.88090910558344</v>
      </c>
    </row>
    <row r="13" spans="1:76" s="16" customFormat="1" x14ac:dyDescent="0.25">
      <c r="B13" s="16" t="s">
        <v>55</v>
      </c>
      <c r="C13" s="17"/>
      <c r="D13" s="17"/>
      <c r="E13" s="17"/>
      <c r="F13" s="17"/>
      <c r="G13" s="17"/>
      <c r="H13" s="17"/>
      <c r="I13" s="17"/>
      <c r="J13" s="17"/>
      <c r="S13" s="16">
        <v>0</v>
      </c>
    </row>
    <row r="14" spans="1:76" s="16" customFormat="1" x14ac:dyDescent="0.25">
      <c r="B14" s="16" t="s">
        <v>56</v>
      </c>
      <c r="C14" s="17"/>
      <c r="D14" s="17"/>
      <c r="E14" s="17"/>
      <c r="F14" s="17"/>
      <c r="G14" s="17"/>
      <c r="H14" s="17"/>
      <c r="I14" s="17"/>
      <c r="J14" s="17"/>
      <c r="S14" s="16">
        <f>+S12+S13</f>
        <v>604.50400000000002</v>
      </c>
      <c r="T14" s="16">
        <f t="shared" ref="T14:AG14" si="33">+T12+T13</f>
        <v>422.63912000000005</v>
      </c>
      <c r="U14" s="16">
        <f t="shared" si="33"/>
        <v>439.81829360000006</v>
      </c>
      <c r="V14" s="16">
        <f t="shared" si="33"/>
        <v>504.55784240800017</v>
      </c>
      <c r="W14" s="16">
        <f t="shared" si="33"/>
        <v>768.37457768024024</v>
      </c>
      <c r="X14" s="16">
        <f t="shared" si="33"/>
        <v>1082.7858150106474</v>
      </c>
      <c r="Y14" s="16">
        <f t="shared" si="33"/>
        <v>1132.9093894609671</v>
      </c>
      <c r="Z14" s="16">
        <f t="shared" si="33"/>
        <v>1185.1186711447961</v>
      </c>
      <c r="AA14" s="16">
        <f t="shared" si="33"/>
        <v>1239.5053312791399</v>
      </c>
      <c r="AB14" s="16">
        <f t="shared" si="33"/>
        <v>1296.1652462175139</v>
      </c>
      <c r="AC14" s="16">
        <f t="shared" si="33"/>
        <v>621.66993024675151</v>
      </c>
      <c r="AD14" s="16">
        <f t="shared" si="33"/>
        <v>587.82306893092527</v>
      </c>
      <c r="AE14" s="16">
        <f t="shared" si="33"/>
        <v>619.72118659465525</v>
      </c>
      <c r="AF14" s="16">
        <f t="shared" si="33"/>
        <v>659.95794234610639</v>
      </c>
      <c r="AG14" s="16">
        <f t="shared" si="33"/>
        <v>702.88090910558344</v>
      </c>
    </row>
    <row r="15" spans="1:76" s="16" customFormat="1" x14ac:dyDescent="0.25">
      <c r="B15" s="16" t="s">
        <v>57</v>
      </c>
      <c r="C15" s="17"/>
      <c r="D15" s="17"/>
      <c r="E15" s="17"/>
      <c r="F15" s="17"/>
      <c r="G15" s="17"/>
      <c r="H15" s="17"/>
      <c r="I15" s="17"/>
      <c r="J15" s="17"/>
      <c r="S15" s="16">
        <f>+S14*0.15</f>
        <v>90.675600000000003</v>
      </c>
      <c r="T15" s="16">
        <f t="shared" ref="T15:AG15" si="34">+T14*0.15</f>
        <v>63.395868000000007</v>
      </c>
      <c r="U15" s="16">
        <f t="shared" si="34"/>
        <v>65.972744040000009</v>
      </c>
      <c r="V15" s="16">
        <f t="shared" si="34"/>
        <v>75.683676361200028</v>
      </c>
      <c r="W15" s="16">
        <f t="shared" si="34"/>
        <v>115.25618665203604</v>
      </c>
      <c r="X15" s="16">
        <f t="shared" si="34"/>
        <v>162.41787225159712</v>
      </c>
      <c r="Y15" s="16">
        <f t="shared" si="34"/>
        <v>169.93640841914507</v>
      </c>
      <c r="Z15" s="16">
        <f t="shared" si="34"/>
        <v>177.76780067171941</v>
      </c>
      <c r="AA15" s="16">
        <f t="shared" si="34"/>
        <v>185.92579969187099</v>
      </c>
      <c r="AB15" s="16">
        <f t="shared" si="34"/>
        <v>194.42478693262709</v>
      </c>
      <c r="AC15" s="16">
        <f t="shared" si="34"/>
        <v>93.250489537012726</v>
      </c>
      <c r="AD15" s="16">
        <f t="shared" si="34"/>
        <v>88.173460339638794</v>
      </c>
      <c r="AE15" s="16">
        <f t="shared" si="34"/>
        <v>92.95817798919829</v>
      </c>
      <c r="AF15" s="16">
        <f t="shared" si="34"/>
        <v>98.993691351915956</v>
      </c>
      <c r="AG15" s="16">
        <f t="shared" si="34"/>
        <v>105.43213636583751</v>
      </c>
    </row>
    <row r="16" spans="1:76" s="16" customFormat="1" x14ac:dyDescent="0.25">
      <c r="B16" s="16" t="s">
        <v>58</v>
      </c>
      <c r="C16" s="17"/>
      <c r="D16" s="17"/>
      <c r="E16" s="17"/>
      <c r="F16" s="17"/>
      <c r="G16" s="17"/>
      <c r="H16" s="17"/>
      <c r="I16" s="17"/>
      <c r="J16" s="17"/>
      <c r="S16" s="16">
        <f>+S14-S15</f>
        <v>513.82839999999999</v>
      </c>
      <c r="T16" s="16">
        <f t="shared" ref="T16:AG16" si="35">+T14-T15</f>
        <v>359.24325200000004</v>
      </c>
      <c r="U16" s="16">
        <f t="shared" si="35"/>
        <v>373.84554956000005</v>
      </c>
      <c r="V16" s="16">
        <f t="shared" si="35"/>
        <v>428.87416604680016</v>
      </c>
      <c r="W16" s="16">
        <f t="shared" si="35"/>
        <v>653.1183910282042</v>
      </c>
      <c r="X16" s="16">
        <f t="shared" si="35"/>
        <v>920.36794275905027</v>
      </c>
      <c r="Y16" s="16">
        <f t="shared" si="35"/>
        <v>962.97298104182198</v>
      </c>
      <c r="Z16" s="16">
        <f t="shared" si="35"/>
        <v>1007.3508704730766</v>
      </c>
      <c r="AA16" s="16">
        <f t="shared" si="35"/>
        <v>1053.579531587269</v>
      </c>
      <c r="AB16" s="16">
        <f t="shared" si="35"/>
        <v>1101.7404592848868</v>
      </c>
      <c r="AC16" s="16">
        <f t="shared" si="35"/>
        <v>528.41944070973875</v>
      </c>
      <c r="AD16" s="16">
        <f t="shared" si="35"/>
        <v>499.64960859128649</v>
      </c>
      <c r="AE16" s="16">
        <f t="shared" si="35"/>
        <v>526.763008605457</v>
      </c>
      <c r="AF16" s="16">
        <f t="shared" si="35"/>
        <v>560.96425099419048</v>
      </c>
      <c r="AG16" s="16">
        <f t="shared" si="35"/>
        <v>597.44877273974589</v>
      </c>
      <c r="AH16" s="16">
        <f>+AG16*(1+$AI$20)</f>
        <v>567.57633410275855</v>
      </c>
      <c r="AI16" s="16">
        <f>+AH16*(1+$AI$20)</f>
        <v>539.19751739762057</v>
      </c>
      <c r="AJ16" s="16">
        <f>+AI16*(1+$AI$20)</f>
        <v>512.23764152773947</v>
      </c>
      <c r="AK16" s="16">
        <f>+AJ16*(1+$AI$20)</f>
        <v>486.62575945135245</v>
      </c>
      <c r="AL16" s="16">
        <f>+AK16*(1+$AI$20)</f>
        <v>462.29447147878483</v>
      </c>
      <c r="AM16" s="16">
        <f>+AL16*(1+$AI$20)</f>
        <v>439.17974790484556</v>
      </c>
      <c r="AN16" s="16">
        <f>+AM16*(1+$AI$20)</f>
        <v>417.22076050960328</v>
      </c>
      <c r="AO16" s="16">
        <f>+AN16*(1+$AI$20)</f>
        <v>396.3597224841231</v>
      </c>
      <c r="AP16" s="16">
        <f>+AO16*(1+$AI$20)</f>
        <v>376.54173635991691</v>
      </c>
      <c r="AQ16" s="16">
        <f>+AP16*(1+$AI$20)</f>
        <v>357.71464954192106</v>
      </c>
      <c r="AR16" s="16">
        <f>+AQ16*(1+$AI$20)</f>
        <v>339.82891706482502</v>
      </c>
      <c r="AS16" s="16">
        <f>+AR16*(1+$AI$20)</f>
        <v>322.83747121158376</v>
      </c>
      <c r="AT16" s="16">
        <f>+AS16*(1+$AI$20)</f>
        <v>306.69559765100456</v>
      </c>
      <c r="AU16" s="16">
        <f>+AT16*(1+$AI$20)</f>
        <v>291.3608177684543</v>
      </c>
      <c r="AV16" s="16">
        <f>+AU16*(1+$AI$20)</f>
        <v>276.79277688003157</v>
      </c>
      <c r="AW16" s="16">
        <f>+AV16*(1+$AI$20)</f>
        <v>262.95313803603</v>
      </c>
      <c r="AX16" s="16">
        <f>+AW16*(1+$AI$20)</f>
        <v>249.80548113422847</v>
      </c>
      <c r="AY16" s="16">
        <f>+AX16*(1+$AI$20)</f>
        <v>237.31520707751704</v>
      </c>
      <c r="AZ16" s="16">
        <f>+AY16*(1+$AI$20)</f>
        <v>225.44944672364119</v>
      </c>
      <c r="BA16" s="16">
        <f>+AZ16*(1+$AI$20)</f>
        <v>214.17697438745913</v>
      </c>
      <c r="BB16" s="16">
        <f>+BA16*(1+$AI$20)</f>
        <v>203.46812566808617</v>
      </c>
      <c r="BC16" s="16">
        <f>+BB16*(1+$AI$20)</f>
        <v>193.29471938468185</v>
      </c>
      <c r="BD16" s="16">
        <f>+BC16*(1+$AI$20)</f>
        <v>183.62998341544775</v>
      </c>
      <c r="BE16" s="16">
        <f>+BD16*(1+$AI$20)</f>
        <v>174.44848424467537</v>
      </c>
      <c r="BF16" s="16">
        <f>+BE16*(1+$AI$20)</f>
        <v>165.72606003244158</v>
      </c>
      <c r="BG16" s="16">
        <f>+BF16*(1+$AI$20)</f>
        <v>157.43975703081949</v>
      </c>
      <c r="BH16" s="16">
        <f>+BG16*(1+$AI$20)</f>
        <v>149.56776917927851</v>
      </c>
      <c r="BI16" s="16">
        <f>+BH16*(1+$AI$20)</f>
        <v>142.08938072031458</v>
      </c>
      <c r="BJ16" s="16">
        <f>+BI16*(1+$AI$20)</f>
        <v>134.98491168429885</v>
      </c>
      <c r="BK16" s="16">
        <f>+BJ16*(1+$AI$20)</f>
        <v>128.2356661000839</v>
      </c>
      <c r="BL16" s="16">
        <f>+BK16*(1+$AI$20)</f>
        <v>121.8238827950797</v>
      </c>
      <c r="BM16" s="16">
        <f>+BL16*(1+$AI$20)</f>
        <v>115.7326886553257</v>
      </c>
      <c r="BN16" s="16">
        <f>+BM16*(1+$AI$20)</f>
        <v>109.94605422255941</v>
      </c>
      <c r="BO16" s="16">
        <f>+BN16*(1+$AI$20)</f>
        <v>104.44875151143144</v>
      </c>
      <c r="BP16" s="16">
        <f>+BO16*(1+$AI$20)</f>
        <v>99.226313935859864</v>
      </c>
      <c r="BQ16" s="16">
        <f>+BP16*(1+$AI$20)</f>
        <v>94.26499823906687</v>
      </c>
      <c r="BR16" s="16">
        <f>+BQ16*(1+$AI$20)</f>
        <v>89.551748327113529</v>
      </c>
      <c r="BS16" s="16">
        <f>+BR16*(1+$AI$20)</f>
        <v>85.074160910757854</v>
      </c>
      <c r="BT16" s="16">
        <f>+BS16*(1+$AI$20)</f>
        <v>80.820452865219963</v>
      </c>
      <c r="BU16" s="16">
        <f>+BT16*(1+$AI$20)</f>
        <v>76.779430221958961</v>
      </c>
      <c r="BV16" s="16">
        <f>+BU16*(1+$AI$20)</f>
        <v>72.940458710861009</v>
      </c>
      <c r="BW16" s="16">
        <f>+BV16*(1+$AI$20)</f>
        <v>69.29343577531796</v>
      </c>
      <c r="BX16" s="16">
        <f>+BW16*(1+$AI$20)</f>
        <v>65.828763986552062</v>
      </c>
    </row>
    <row r="17" spans="2:35" x14ac:dyDescent="0.25">
      <c r="B17" s="16" t="s">
        <v>59</v>
      </c>
      <c r="S17" s="1">
        <f>+S16/S18</f>
        <v>2.1232578512396696</v>
      </c>
      <c r="T17" s="1">
        <f t="shared" ref="T17:AG17" si="36">+T16/T18</f>
        <v>1.4844762479338844</v>
      </c>
      <c r="U17" s="1">
        <f t="shared" si="36"/>
        <v>1.544816320495868</v>
      </c>
      <c r="V17" s="1">
        <f t="shared" si="36"/>
        <v>1.7722072977140502</v>
      </c>
      <c r="W17" s="1">
        <f t="shared" si="36"/>
        <v>2.6988363265628275</v>
      </c>
      <c r="X17" s="1">
        <f t="shared" si="36"/>
        <v>3.8031733171861579</v>
      </c>
      <c r="Y17" s="1">
        <f t="shared" si="36"/>
        <v>3.9792271943876942</v>
      </c>
      <c r="Z17" s="1">
        <f t="shared" si="36"/>
        <v>4.1626069027813086</v>
      </c>
      <c r="AA17" s="1">
        <f t="shared" si="36"/>
        <v>4.3536344280465658</v>
      </c>
      <c r="AB17" s="1">
        <f t="shared" si="36"/>
        <v>4.5526465259706068</v>
      </c>
      <c r="AC17" s="1">
        <f t="shared" si="36"/>
        <v>2.1835514078914824</v>
      </c>
      <c r="AD17" s="1">
        <f t="shared" si="36"/>
        <v>2.0646678040962252</v>
      </c>
      <c r="AE17" s="1">
        <f t="shared" si="36"/>
        <v>2.1767066471299876</v>
      </c>
      <c r="AF17" s="1">
        <f t="shared" si="36"/>
        <v>2.3180340950173162</v>
      </c>
      <c r="AG17" s="1">
        <f t="shared" si="36"/>
        <v>2.4687965815691979</v>
      </c>
    </row>
    <row r="18" spans="2:35" s="16" customFormat="1" x14ac:dyDescent="0.25">
      <c r="B18" s="16" t="s">
        <v>1</v>
      </c>
      <c r="C18" s="17"/>
      <c r="D18" s="17"/>
      <c r="E18" s="17"/>
      <c r="F18" s="17"/>
      <c r="G18" s="17">
        <v>242</v>
      </c>
      <c r="H18" s="17"/>
      <c r="I18" s="17"/>
      <c r="J18" s="17"/>
      <c r="S18" s="16">
        <f>+G18</f>
        <v>242</v>
      </c>
      <c r="T18" s="16">
        <f>+S18</f>
        <v>242</v>
      </c>
      <c r="U18" s="16">
        <f t="shared" ref="U18:AG18" si="37">+T18</f>
        <v>242</v>
      </c>
      <c r="V18" s="16">
        <f t="shared" si="37"/>
        <v>242</v>
      </c>
      <c r="W18" s="16">
        <f t="shared" si="37"/>
        <v>242</v>
      </c>
      <c r="X18" s="16">
        <f t="shared" si="37"/>
        <v>242</v>
      </c>
      <c r="Y18" s="16">
        <f t="shared" si="37"/>
        <v>242</v>
      </c>
      <c r="Z18" s="16">
        <f t="shared" si="37"/>
        <v>242</v>
      </c>
      <c r="AA18" s="16">
        <f t="shared" si="37"/>
        <v>242</v>
      </c>
      <c r="AB18" s="16">
        <f t="shared" si="37"/>
        <v>242</v>
      </c>
      <c r="AC18" s="16">
        <f t="shared" si="37"/>
        <v>242</v>
      </c>
      <c r="AD18" s="16">
        <f t="shared" si="37"/>
        <v>242</v>
      </c>
      <c r="AE18" s="16">
        <f t="shared" si="37"/>
        <v>242</v>
      </c>
      <c r="AF18" s="16">
        <f t="shared" si="37"/>
        <v>242</v>
      </c>
      <c r="AG18" s="16">
        <f t="shared" si="37"/>
        <v>242</v>
      </c>
    </row>
    <row r="20" spans="2:35" x14ac:dyDescent="0.25">
      <c r="AH20" t="s">
        <v>60</v>
      </c>
      <c r="AI20" s="21">
        <v>-0.05</v>
      </c>
    </row>
    <row r="21" spans="2:35" x14ac:dyDescent="0.25">
      <c r="AH21" t="s">
        <v>61</v>
      </c>
      <c r="AI21" s="21">
        <v>0.08</v>
      </c>
    </row>
    <row r="22" spans="2:35" x14ac:dyDescent="0.25">
      <c r="AH22" t="s">
        <v>62</v>
      </c>
      <c r="AI22" s="2">
        <f>NPV(AI21,T16:BG16)</f>
        <v>6926.4177958668279</v>
      </c>
    </row>
    <row r="23" spans="2:35" x14ac:dyDescent="0.25">
      <c r="AH23" t="s">
        <v>63</v>
      </c>
      <c r="AI23" s="1">
        <f>AI22/AG18</f>
        <v>28.62156113994557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Orladeyo</vt:lpstr>
      <vt:lpstr>navenibart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2024-10-02T12:19:04Z</dcterms:created>
  <dcterms:modified xsi:type="dcterms:W3CDTF">2026-06-25T13:53:23Z</dcterms:modified>
</cp:coreProperties>
</file>