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465EBD8D-7199-4204-82F8-8BE5D8325709}" xr6:coauthVersionLast="47" xr6:coauthVersionMax="47" xr10:uidLastSave="{00000000-0000-0000-0000-000000000000}"/>
  <bookViews>
    <workbookView xWindow="10290" yWindow="900" windowWidth="17940" windowHeight="16280" xr2:uid="{AC62BB58-38E5-4FEB-A76D-4EBC5F30F9F7}"/>
  </bookViews>
  <sheets>
    <sheet name="Main" sheetId="1" r:id="rId1"/>
    <sheet name="Model"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1" i="1" l="1"/>
  <c r="L6" i="1" l="1"/>
  <c r="L5" i="1"/>
  <c r="K13" i="2"/>
  <c r="J13" i="2"/>
  <c r="I13" i="2"/>
  <c r="H13" i="2"/>
  <c r="G13" i="2"/>
  <c r="F13" i="2"/>
  <c r="J9" i="2"/>
  <c r="J10" i="2" s="1"/>
  <c r="I9" i="2"/>
  <c r="I10" i="2" s="1"/>
  <c r="H9" i="2"/>
  <c r="H10" i="2" s="1"/>
  <c r="G9" i="2"/>
  <c r="G10" i="2" s="1"/>
  <c r="G6" i="2"/>
  <c r="K6" i="2"/>
  <c r="K10" i="2"/>
  <c r="K9" i="2"/>
  <c r="E21" i="2"/>
  <c r="E19" i="2"/>
  <c r="E13" i="2"/>
  <c r="E9" i="2"/>
  <c r="E8" i="2"/>
  <c r="E5" i="2"/>
  <c r="L4" i="1"/>
  <c r="L7" i="1" s="1"/>
</calcChain>
</file>

<file path=xl/sharedStrings.xml><?xml version="1.0" encoding="utf-8"?>
<sst xmlns="http://schemas.openxmlformats.org/spreadsheetml/2006/main" count="40" uniqueCount="35">
  <si>
    <t>Price</t>
  </si>
  <si>
    <t>Shares</t>
  </si>
  <si>
    <t>MC</t>
  </si>
  <si>
    <t>Cash</t>
  </si>
  <si>
    <t>Debt</t>
  </si>
  <si>
    <t>EV</t>
  </si>
  <si>
    <t>Q324</t>
  </si>
  <si>
    <t>Main</t>
  </si>
  <si>
    <t>Revenue</t>
  </si>
  <si>
    <t>Q124</t>
  </si>
  <si>
    <t>Q224</t>
  </si>
  <si>
    <t>Q424</t>
  </si>
  <si>
    <t>Toloka</t>
  </si>
  <si>
    <t>Nebius - 2/3rd of revenue</t>
  </si>
  <si>
    <t>Nebius began executing its plan to invest over USD 1 billion(2) in AI infrastructure across Europe by mid-2025. In September 2024, Nebius announced the launch of a GPU cluster in Paris, which will become one of the first in Europe to feature NVIDIA H200 Tensor Core GPUs. Shortly afterwards, Nebius announced a major expansion of its data center in Finland to triple capacity to 75 MW by the end of 2025 or early 2026. This will enable Nebius to accommodate up to 60,000 GPUs(3) at this location alone, with annual revenue potential of over USD 1 billion at full capacity utilization.(4)</t>
  </si>
  <si>
    <t>Gross Margin</t>
  </si>
  <si>
    <t>PPE</t>
  </si>
  <si>
    <t>H100s</t>
  </si>
  <si>
    <t>Rent/hr</t>
  </si>
  <si>
    <t>Rent/Q</t>
  </si>
  <si>
    <t>Q125</t>
  </si>
  <si>
    <t>Q225</t>
  </si>
  <si>
    <t>Q325</t>
  </si>
  <si>
    <t>Q425</t>
  </si>
  <si>
    <t>Q126</t>
  </si>
  <si>
    <t>Q226</t>
  </si>
  <si>
    <t>Q326</t>
  </si>
  <si>
    <t>Q426</t>
  </si>
  <si>
    <t>Operating Income</t>
  </si>
  <si>
    <t>Operating Expenses</t>
  </si>
  <si>
    <t>Product Development</t>
  </si>
  <si>
    <t>COGS</t>
  </si>
  <si>
    <t>Depreciation</t>
  </si>
  <si>
    <t>Gross Profit</t>
  </si>
  <si>
    <t>SG&amp;A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</si>
</sst>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0"/>
      <color theme="1"/>
      <name val="Arial"/>
      <family val="2"/>
    </font>
    <font>
      <b/>
      <sz val="10"/>
      <color theme="1"/>
      <name val="Arial"/>
      <family val="2"/>
    </font>
    <font>
      <u/>
      <sz val="10"/>
      <color theme="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4" fontId="0" fillId="0" borderId="0" xfId="0" applyNumberFormat="1"/>
    <xf numFmtId="3" fontId="0" fillId="0" borderId="0" xfId="0" applyNumberFormat="1"/>
    <xf numFmtId="0" fontId="0" fillId="0" borderId="0" xfId="0" applyAlignment="1">
      <alignment horizontal="right"/>
    </xf>
    <xf numFmtId="0" fontId="1" fillId="0" borderId="0" xfId="0" applyFont="1"/>
    <xf numFmtId="0" fontId="1" fillId="0" borderId="0" xfId="0" applyFont="1" applyAlignment="1">
      <alignment horizontal="right"/>
    </xf>
    <xf numFmtId="9" fontId="0" fillId="0" borderId="0" xfId="0" applyNumberFormat="1" applyAlignment="1">
      <alignment horizontal="right"/>
    </xf>
    <xf numFmtId="3" fontId="0" fillId="0" borderId="0" xfId="0" applyNumberFormat="1" applyAlignment="1">
      <alignment horizontal="right"/>
    </xf>
    <xf numFmtId="4" fontId="0" fillId="0" borderId="0" xfId="0" applyNumberFormat="1" applyAlignment="1">
      <alignment horizontal="right"/>
    </xf>
    <xf numFmtId="3" fontId="1" fillId="0" borderId="0" xfId="0" applyNumberFormat="1" applyFont="1" applyAlignment="1">
      <alignment horizontal="right"/>
    </xf>
    <xf numFmtId="164" fontId="1" fillId="0" borderId="0" xfId="0" applyNumberFormat="1" applyFont="1"/>
    <xf numFmtId="164" fontId="1" fillId="0" borderId="0" xfId="0" applyNumberFormat="1" applyFont="1" applyAlignment="1">
      <alignment horizontal="right"/>
    </xf>
    <xf numFmtId="164" fontId="0" fillId="0" borderId="0" xfId="0" applyNumberFormat="1"/>
    <xf numFmtId="164" fontId="0" fillId="0" borderId="0" xfId="0" applyNumberFormat="1" applyAlignment="1">
      <alignment horizontal="right"/>
    </xf>
    <xf numFmtId="0" fontId="2" fillId="0" borderId="0" xfId="1"/>
  </cellXfs>
  <cellStyles count="2">
    <cellStyle name="Hyperlink" xfId="1" builtinId="8"/>
    <cellStyle name="Normal" xfId="0" builtinId="0"/>
  </cellStyles>
  <dxfs count="0"/>
  <tableStyles count="1" defaultTableStyle="TableStyleMedium2" defaultPivotStyle="PivotStyleLight16">
    <tableStyle name="Invisible" pivot="0" table="0" count="0" xr9:uid="{A33AE7AA-7308-42CC-AB49-F85D5953B3C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2C5C4-9000-4D8C-8AFC-9EFF7C3A2A69}">
  <dimension ref="B2:M11"/>
  <sheetViews>
    <sheetView tabSelected="1" zoomScale="130" zoomScaleNormal="130" workbookViewId="0"/>
  </sheetViews>
  <sheetFormatPr defaultRowHeight="12.5" x14ac:dyDescent="0.25"/>
  <sheetData>
    <row r="2" spans="2:13" x14ac:dyDescent="0.25">
      <c r="B2" t="s">
        <v>12</v>
      </c>
      <c r="K2" t="s">
        <v>0</v>
      </c>
      <c r="L2" s="1">
        <v>273</v>
      </c>
    </row>
    <row r="3" spans="2:13" x14ac:dyDescent="0.25">
      <c r="B3" t="s">
        <v>13</v>
      </c>
      <c r="K3" t="s">
        <v>1</v>
      </c>
      <c r="L3" s="2">
        <v>271.85521799999998</v>
      </c>
      <c r="M3" s="3" t="s">
        <v>25</v>
      </c>
    </row>
    <row r="4" spans="2:13" x14ac:dyDescent="0.25">
      <c r="K4" t="s">
        <v>2</v>
      </c>
      <c r="L4" s="2">
        <f>+L2*L3</f>
        <v>74216.474514000001</v>
      </c>
    </row>
    <row r="5" spans="2:13" x14ac:dyDescent="0.25">
      <c r="K5" t="s">
        <v>3</v>
      </c>
      <c r="L5" s="2">
        <f>8042.1+1606.7</f>
        <v>9648.8000000000011</v>
      </c>
      <c r="M5" s="3" t="s">
        <v>25</v>
      </c>
    </row>
    <row r="6" spans="2:13" x14ac:dyDescent="0.25">
      <c r="K6" t="s">
        <v>4</v>
      </c>
      <c r="L6" s="2">
        <f>8499+46.7</f>
        <v>8545.7000000000007</v>
      </c>
      <c r="M6" s="3" t="s">
        <v>25</v>
      </c>
    </row>
    <row r="7" spans="2:13" x14ac:dyDescent="0.25">
      <c r="B7" t="s">
        <v>14</v>
      </c>
      <c r="K7" t="s">
        <v>5</v>
      </c>
      <c r="L7" s="2">
        <f>+L4-L5+L6</f>
        <v>73113.374513999996</v>
      </c>
    </row>
    <row r="9" spans="2:13" x14ac:dyDescent="0.25">
      <c r="K9" t="s">
        <v>16</v>
      </c>
      <c r="L9" s="2">
        <v>13045.2</v>
      </c>
      <c r="M9" s="3" t="s">
        <v>25</v>
      </c>
    </row>
    <row r="11" spans="2:13" x14ac:dyDescent="0.25">
      <c r="L11" s="1">
        <f>+L7/L9</f>
        <v>5.6046189030447975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4C1F8-DAFD-4C56-929D-DD43081EAF02}">
  <dimension ref="A1:N21"/>
  <sheetViews>
    <sheetView zoomScale="190" zoomScaleNormal="190" workbookViewId="0">
      <pane xSplit="2" ySplit="2" topLeftCell="F3" activePane="bottomRight" state="frozen"/>
      <selection pane="topRight" activeCell="C1" sqref="C1"/>
      <selection pane="bottomLeft" activeCell="A3" sqref="A3"/>
      <selection pane="bottomRight"/>
    </sheetView>
  </sheetViews>
  <sheetFormatPr defaultRowHeight="12.5" x14ac:dyDescent="0.25"/>
  <cols>
    <col min="1" max="1" width="5" bestFit="1" customWidth="1"/>
    <col min="2" max="2" width="12.26953125" bestFit="1" customWidth="1"/>
    <col min="3" max="4" width="9.1796875" style="3"/>
    <col min="5" max="5" width="10.453125" style="3" bestFit="1" customWidth="1"/>
    <col min="6" max="6" width="9.1796875" style="3"/>
  </cols>
  <sheetData>
    <row r="1" spans="1:14" x14ac:dyDescent="0.25">
      <c r="A1" s="14" t="s">
        <v>7</v>
      </c>
    </row>
    <row r="2" spans="1:14" x14ac:dyDescent="0.25">
      <c r="C2" s="3" t="s">
        <v>9</v>
      </c>
      <c r="D2" s="3" t="s">
        <v>10</v>
      </c>
      <c r="E2" s="3" t="s">
        <v>6</v>
      </c>
      <c r="F2" s="3" t="s">
        <v>11</v>
      </c>
      <c r="G2" s="3" t="s">
        <v>20</v>
      </c>
      <c r="H2" s="3" t="s">
        <v>21</v>
      </c>
      <c r="I2" s="3" t="s">
        <v>22</v>
      </c>
      <c r="J2" s="3" t="s">
        <v>23</v>
      </c>
      <c r="K2" s="3" t="s">
        <v>24</v>
      </c>
      <c r="L2" s="3" t="s">
        <v>25</v>
      </c>
      <c r="M2" s="3" t="s">
        <v>26</v>
      </c>
      <c r="N2" s="3" t="s">
        <v>27</v>
      </c>
    </row>
    <row r="3" spans="1:14" s="10" customFormat="1" ht="13" x14ac:dyDescent="0.3">
      <c r="B3" s="10" t="s">
        <v>8</v>
      </c>
      <c r="C3" s="11"/>
      <c r="D3" s="11"/>
      <c r="E3" s="11">
        <v>43.3</v>
      </c>
      <c r="F3" s="11"/>
      <c r="G3" s="10">
        <v>105.1</v>
      </c>
      <c r="K3" s="10">
        <v>582.29999999999995</v>
      </c>
    </row>
    <row r="4" spans="1:14" s="12" customFormat="1" x14ac:dyDescent="0.25">
      <c r="B4" s="12" t="s">
        <v>31</v>
      </c>
      <c r="C4" s="13"/>
      <c r="D4" s="13"/>
      <c r="E4" s="13">
        <v>18.899999999999999</v>
      </c>
      <c r="F4" s="13"/>
      <c r="G4" s="12">
        <v>30.1</v>
      </c>
      <c r="K4" s="12">
        <v>133.6</v>
      </c>
    </row>
    <row r="5" spans="1:14" s="12" customFormat="1" x14ac:dyDescent="0.25">
      <c r="B5" s="12" t="s">
        <v>32</v>
      </c>
      <c r="C5" s="13"/>
      <c r="D5" s="13"/>
      <c r="E5" s="13">
        <f>+E3-E4</f>
        <v>24.4</v>
      </c>
      <c r="F5" s="13"/>
      <c r="G5" s="12">
        <v>75.2</v>
      </c>
      <c r="K5" s="12">
        <v>259.7</v>
      </c>
    </row>
    <row r="6" spans="1:14" s="12" customFormat="1" x14ac:dyDescent="0.25">
      <c r="B6" s="12" t="s">
        <v>33</v>
      </c>
      <c r="C6" s="13"/>
      <c r="D6" s="13"/>
      <c r="E6" s="13">
        <v>34.4</v>
      </c>
      <c r="F6" s="13"/>
      <c r="G6" s="12">
        <f>+G3-G4-G5</f>
        <v>-0.20000000000000284</v>
      </c>
      <c r="K6" s="12">
        <f>+K3-K4-K5</f>
        <v>188.99999999999994</v>
      </c>
    </row>
    <row r="7" spans="1:14" s="12" customFormat="1" x14ac:dyDescent="0.25">
      <c r="B7" s="12" t="s">
        <v>34</v>
      </c>
      <c r="C7" s="13"/>
      <c r="D7" s="13"/>
      <c r="E7" s="13">
        <v>53.5</v>
      </c>
      <c r="F7" s="13"/>
      <c r="G7" s="12">
        <v>68.2</v>
      </c>
      <c r="K7" s="12">
        <v>173.9</v>
      </c>
    </row>
    <row r="8" spans="1:14" s="12" customFormat="1" x14ac:dyDescent="0.25">
      <c r="B8" s="12" t="s">
        <v>30</v>
      </c>
      <c r="C8" s="13"/>
      <c r="D8" s="13"/>
      <c r="E8" s="13">
        <f>+E6+E7</f>
        <v>87.9</v>
      </c>
      <c r="F8" s="13"/>
      <c r="G8" s="12">
        <v>42.8</v>
      </c>
      <c r="K8" s="12">
        <v>191</v>
      </c>
    </row>
    <row r="9" spans="1:14" s="12" customFormat="1" x14ac:dyDescent="0.25">
      <c r="B9" s="12" t="s">
        <v>29</v>
      </c>
      <c r="C9" s="13"/>
      <c r="D9" s="13"/>
      <c r="E9" s="13">
        <f>+E5-E8</f>
        <v>-63.500000000000007</v>
      </c>
      <c r="F9" s="13"/>
      <c r="G9" s="12">
        <f t="shared" ref="G9:J9" si="0">+G7+G8</f>
        <v>111</v>
      </c>
      <c r="H9" s="12">
        <f t="shared" si="0"/>
        <v>0</v>
      </c>
      <c r="I9" s="12">
        <f t="shared" si="0"/>
        <v>0</v>
      </c>
      <c r="J9" s="12">
        <f t="shared" si="0"/>
        <v>0</v>
      </c>
      <c r="K9" s="12">
        <f>+K7+K8</f>
        <v>364.9</v>
      </c>
    </row>
    <row r="10" spans="1:14" s="12" customFormat="1" x14ac:dyDescent="0.25">
      <c r="B10" s="12" t="s">
        <v>28</v>
      </c>
      <c r="C10" s="13"/>
      <c r="D10" s="13"/>
      <c r="E10" s="13"/>
      <c r="F10" s="13"/>
      <c r="G10" s="12">
        <f t="shared" ref="G10:J10" si="1">+G6-G9</f>
        <v>-111.2</v>
      </c>
      <c r="H10" s="12">
        <f t="shared" si="1"/>
        <v>0</v>
      </c>
      <c r="I10" s="12">
        <f t="shared" si="1"/>
        <v>0</v>
      </c>
      <c r="J10" s="12">
        <f t="shared" si="1"/>
        <v>0</v>
      </c>
      <c r="K10" s="12">
        <f>+K6-K9</f>
        <v>-175.90000000000003</v>
      </c>
    </row>
    <row r="13" spans="1:14" x14ac:dyDescent="0.25">
      <c r="B13" t="s">
        <v>15</v>
      </c>
      <c r="E13" s="6">
        <f>+E5/E3</f>
        <v>0.56351039260969982</v>
      </c>
      <c r="F13" s="6" t="e">
        <f t="shared" ref="F13:K13" si="2">+F5/F3</f>
        <v>#DIV/0!</v>
      </c>
      <c r="G13" s="6">
        <f t="shared" si="2"/>
        <v>0.71550903901046625</v>
      </c>
      <c r="H13" s="6" t="e">
        <f t="shared" si="2"/>
        <v>#DIV/0!</v>
      </c>
      <c r="I13" s="6" t="e">
        <f t="shared" si="2"/>
        <v>#DIV/0!</v>
      </c>
      <c r="J13" s="6" t="e">
        <f t="shared" si="2"/>
        <v>#DIV/0!</v>
      </c>
      <c r="K13" s="6">
        <f t="shared" si="2"/>
        <v>0.44599003949854027</v>
      </c>
    </row>
    <row r="18" spans="2:6" x14ac:dyDescent="0.25">
      <c r="B18" t="s">
        <v>16</v>
      </c>
      <c r="E18" s="3">
        <v>475</v>
      </c>
    </row>
    <row r="19" spans="2:6" x14ac:dyDescent="0.25">
      <c r="B19" t="s">
        <v>17</v>
      </c>
      <c r="E19" s="7">
        <f>+E18/0.04</f>
        <v>11875</v>
      </c>
    </row>
    <row r="20" spans="2:6" x14ac:dyDescent="0.25">
      <c r="B20" t="s">
        <v>18</v>
      </c>
      <c r="E20" s="8">
        <v>2.5</v>
      </c>
    </row>
    <row r="21" spans="2:6" s="4" customFormat="1" ht="13" x14ac:dyDescent="0.3">
      <c r="B21" s="4" t="s">
        <v>19</v>
      </c>
      <c r="C21" s="5"/>
      <c r="D21" s="5"/>
      <c r="E21" s="9">
        <f>+E20*24*90*E19/1000000</f>
        <v>64.125</v>
      </c>
      <c r="F21" s="5"/>
    </row>
  </sheetData>
  <hyperlinks>
    <hyperlink ref="A1" location="Main!A1" display="Main" xr:uid="{52A18441-6515-43A4-BCC3-B5EA8D8DFD4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Shkreli</dc:creator>
  <cp:lastModifiedBy>Martin Shkreli</cp:lastModifiedBy>
  <dcterms:created xsi:type="dcterms:W3CDTF">2024-12-26T18:31:42Z</dcterms:created>
  <dcterms:modified xsi:type="dcterms:W3CDTF">2026-08-14T16:23:46Z</dcterms:modified>
</cp:coreProperties>
</file>