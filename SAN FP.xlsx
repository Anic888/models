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DDF757F-93D6-4904-9C18-6834D4274ACE}" xr6:coauthVersionLast="47" xr6:coauthVersionMax="47" xr10:uidLastSave="{00000000-0000-0000-0000-000000000000}"/>
  <bookViews>
    <workbookView xWindow="23710" yWindow="4240" windowWidth="22360" windowHeight="13710" activeTab="1" xr2:uid="{00000000-000D-0000-FFFF-FFFF00000000}"/>
  </bookViews>
  <sheets>
    <sheet name="Master" sheetId="22" r:id="rId1"/>
    <sheet name="Main" sheetId="2" r:id="rId2"/>
    <sheet name="Model" sheetId="1" r:id="rId3"/>
    <sheet name="Dupixent" sheetId="23" r:id="rId4"/>
    <sheet name="Lovenox" sheetId="13" r:id="rId5"/>
    <sheet name="Lantus" sheetId="18" r:id="rId6"/>
    <sheet name="Aubagio" sheetId="17" r:id="rId7"/>
    <sheet name="Plavix" sheetId="10" r:id="rId8"/>
    <sheet name="Multaq" sheetId="16" r:id="rId9"/>
    <sheet name="idraparinux" sheetId="14" r:id="rId10"/>
    <sheet name="SR 58611" sheetId="4" r:id="rId11"/>
    <sheet name="Eplivanserin" sheetId="5" r:id="rId12"/>
    <sheet name="SSR 591813" sheetId="6" r:id="rId13"/>
    <sheet name="Xaliproden" sheetId="7" r:id="rId14"/>
    <sheet name="Alvocidib" sheetId="8" r:id="rId15"/>
    <sheet name="SR 121463" sheetId="9" r:id="rId16"/>
    <sheet name="BSI-201" sheetId="19" r:id="rId17"/>
    <sheet name="Zimulti" sheetId="12" r:id="rId18"/>
    <sheet name="Failures" sheetId="1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O80" i="1" l="1"/>
  <c r="DN80" i="1"/>
  <c r="CP103" i="1"/>
  <c r="CO103" i="1"/>
  <c r="CN103" i="1"/>
  <c r="CP102" i="1"/>
  <c r="CO102" i="1"/>
  <c r="CN102" i="1"/>
  <c r="CM103" i="1"/>
  <c r="CM102" i="1"/>
  <c r="CI87" i="1"/>
  <c r="CM87" i="1"/>
  <c r="CI81" i="1"/>
  <c r="CL94" i="1"/>
  <c r="CK94" i="1"/>
  <c r="CJ94" i="1"/>
  <c r="CL93" i="1"/>
  <c r="CK93" i="1"/>
  <c r="CJ93" i="1"/>
  <c r="CL91" i="1"/>
  <c r="CK91" i="1"/>
  <c r="CJ91" i="1"/>
  <c r="CM88" i="1"/>
  <c r="CM91" i="1" s="1"/>
  <c r="CM93" i="1" s="1"/>
  <c r="CM94" i="1" s="1"/>
  <c r="CL88" i="1"/>
  <c r="CK88" i="1"/>
  <c r="CJ88" i="1"/>
  <c r="CM85" i="1"/>
  <c r="CM86" i="1" s="1"/>
  <c r="CL85" i="1"/>
  <c r="CL86" i="1" s="1"/>
  <c r="CK85" i="1"/>
  <c r="CK86" i="1" s="1"/>
  <c r="CJ85" i="1"/>
  <c r="CJ86" i="1" s="1"/>
  <c r="CM82" i="1"/>
  <c r="CM81" i="1"/>
  <c r="K6" i="2"/>
  <c r="CM80" i="1"/>
  <c r="CM100" i="1" s="1"/>
  <c r="CI85" i="1"/>
  <c r="CL3" i="1"/>
  <c r="CK3" i="1"/>
  <c r="CJ3" i="1"/>
  <c r="DM19" i="1"/>
  <c r="DM23" i="1"/>
  <c r="DM27" i="1"/>
  <c r="DM26" i="1"/>
  <c r="DM25" i="1"/>
  <c r="DM32" i="1"/>
  <c r="DM31" i="1"/>
  <c r="DM35" i="1"/>
  <c r="DM66" i="1"/>
  <c r="CH87" i="1" l="1"/>
  <c r="CH85" i="1"/>
  <c r="CH81" i="1"/>
  <c r="CH80" i="1"/>
  <c r="DM72" i="1"/>
  <c r="DM75" i="1"/>
  <c r="DM70" i="1"/>
  <c r="DM73" i="1"/>
  <c r="DM71" i="1"/>
  <c r="DM29" i="1"/>
  <c r="DM28" i="1"/>
  <c r="DM24" i="1"/>
  <c r="DM17" i="1"/>
  <c r="DM22" i="1"/>
  <c r="DM20" i="1"/>
  <c r="DM12" i="1"/>
  <c r="DM10" i="1"/>
  <c r="DM34" i="1"/>
  <c r="DM33" i="1"/>
  <c r="DM30" i="1"/>
  <c r="DM36" i="1"/>
  <c r="DM39" i="1"/>
  <c r="DM8" i="1"/>
  <c r="DM7" i="1"/>
  <c r="DM21" i="1"/>
  <c r="DM13" i="1"/>
  <c r="DM18" i="1"/>
  <c r="DM9" i="1"/>
  <c r="DM6" i="1"/>
  <c r="DM5" i="1"/>
  <c r="DM4" i="1"/>
  <c r="CJ39" i="1"/>
  <c r="CK39" i="1" s="1"/>
  <c r="CL39" i="1" s="1"/>
  <c r="BK7" i="1"/>
  <c r="BK62" i="1"/>
  <c r="BK41" i="1"/>
  <c r="BK80" i="1" s="1"/>
  <c r="BN80" i="1"/>
  <c r="BM80" i="1"/>
  <c r="BL80" i="1"/>
  <c r="CH102" i="1"/>
  <c r="CG103" i="1"/>
  <c r="CG102" i="1"/>
  <c r="CJ36" i="1"/>
  <c r="CK36" i="1" s="1"/>
  <c r="CL36" i="1" s="1"/>
  <c r="CJ35" i="1"/>
  <c r="CK35" i="1" s="1"/>
  <c r="CL35" i="1" s="1"/>
  <c r="CJ34" i="1"/>
  <c r="CK34" i="1" s="1"/>
  <c r="CL34" i="1" s="1"/>
  <c r="CJ33" i="1"/>
  <c r="CK33" i="1" s="1"/>
  <c r="CL33" i="1" s="1"/>
  <c r="CJ32" i="1"/>
  <c r="CK32" i="1" s="1"/>
  <c r="CL32" i="1" s="1"/>
  <c r="CJ31" i="1"/>
  <c r="CK31" i="1" s="1"/>
  <c r="CL31" i="1" s="1"/>
  <c r="CJ30" i="1"/>
  <c r="CK30" i="1" s="1"/>
  <c r="CL30" i="1" s="1"/>
  <c r="CJ29" i="1"/>
  <c r="CK29" i="1" s="1"/>
  <c r="CL29" i="1" s="1"/>
  <c r="CJ28" i="1"/>
  <c r="CK28" i="1" s="1"/>
  <c r="CL28" i="1" s="1"/>
  <c r="CJ27" i="1"/>
  <c r="CK27" i="1" s="1"/>
  <c r="CL27" i="1" s="1"/>
  <c r="CJ26" i="1"/>
  <c r="CK26" i="1" s="1"/>
  <c r="CL26" i="1" s="1"/>
  <c r="CJ25" i="1"/>
  <c r="CK25" i="1" s="1"/>
  <c r="CL25" i="1" s="1"/>
  <c r="CJ24" i="1"/>
  <c r="CK24" i="1" s="1"/>
  <c r="CL24" i="1" s="1"/>
  <c r="CJ23" i="1"/>
  <c r="CK23" i="1" s="1"/>
  <c r="CL23" i="1" s="1"/>
  <c r="CJ22" i="1"/>
  <c r="CK22" i="1" s="1"/>
  <c r="CL22" i="1" s="1"/>
  <c r="CJ21" i="1"/>
  <c r="CK21" i="1" s="1"/>
  <c r="CL21" i="1" s="1"/>
  <c r="CJ72" i="1"/>
  <c r="CK72" i="1" s="1"/>
  <c r="CL72" i="1" s="1"/>
  <c r="CJ71" i="1"/>
  <c r="CK71" i="1" s="1"/>
  <c r="CL71" i="1" s="1"/>
  <c r="CJ70" i="1"/>
  <c r="CK70" i="1" s="1"/>
  <c r="CL70" i="1" s="1"/>
  <c r="CJ66" i="1"/>
  <c r="CK66" i="1" s="1"/>
  <c r="CL66" i="1" s="1"/>
  <c r="CJ65" i="1"/>
  <c r="CK65" i="1" s="1"/>
  <c r="CL65" i="1" s="1"/>
  <c r="CL75" i="1"/>
  <c r="CK75" i="1"/>
  <c r="CJ75" i="1"/>
  <c r="DM3" i="1"/>
  <c r="CG87" i="1"/>
  <c r="CG85" i="1"/>
  <c r="CG81" i="1"/>
  <c r="CH82" i="1" l="1"/>
  <c r="CH97" i="1" s="1"/>
  <c r="CH86" i="1"/>
  <c r="CH88" i="1" s="1"/>
  <c r="CK20" i="1"/>
  <c r="CJ20" i="1"/>
  <c r="CL20" i="1"/>
  <c r="CL19" i="1"/>
  <c r="CK19" i="1"/>
  <c r="CJ19" i="1"/>
  <c r="CK18" i="1"/>
  <c r="CJ18" i="1"/>
  <c r="CL18" i="1"/>
  <c r="CJ17" i="1"/>
  <c r="CK17" i="1" s="1"/>
  <c r="CL17" i="1" s="1"/>
  <c r="CL13" i="1"/>
  <c r="CK13" i="1"/>
  <c r="CJ13" i="1"/>
  <c r="CJ12" i="1"/>
  <c r="CK12" i="1" s="1"/>
  <c r="CL12" i="1" s="1"/>
  <c r="CK9" i="1"/>
  <c r="CJ9" i="1"/>
  <c r="CL9" i="1"/>
  <c r="CJ8" i="1"/>
  <c r="CK8" i="1" s="1"/>
  <c r="CL8" i="1" s="1"/>
  <c r="CK6" i="1"/>
  <c r="CJ6" i="1"/>
  <c r="CL6" i="1"/>
  <c r="CJ5" i="1"/>
  <c r="CK5" i="1" s="1"/>
  <c r="CL5" i="1" s="1"/>
  <c r="CK4" i="1"/>
  <c r="CK103" i="1" s="1"/>
  <c r="CJ4" i="1"/>
  <c r="CJ103" i="1" s="1"/>
  <c r="CI103" i="1"/>
  <c r="CH103" i="1"/>
  <c r="CK7" i="1"/>
  <c r="CJ7" i="1"/>
  <c r="CL7" i="1"/>
  <c r="CL102" i="1"/>
  <c r="CK102" i="1"/>
  <c r="CJ102" i="1"/>
  <c r="BY87" i="1"/>
  <c r="BY85" i="1"/>
  <c r="BY81" i="1"/>
  <c r="BY41" i="1"/>
  <c r="BY7" i="1"/>
  <c r="BY76" i="1"/>
  <c r="BZ87" i="1"/>
  <c r="BZ85" i="1"/>
  <c r="BZ81" i="1"/>
  <c r="BZ41" i="1"/>
  <c r="BZ7" i="1"/>
  <c r="BZ80" i="1" s="1"/>
  <c r="BZ82" i="1" s="1"/>
  <c r="BZ97" i="1" s="1"/>
  <c r="CF74" i="1"/>
  <c r="CA87" i="1"/>
  <c r="CA85" i="1"/>
  <c r="CA81" i="1"/>
  <c r="CA74" i="1"/>
  <c r="CA7" i="1"/>
  <c r="CB87" i="1"/>
  <c r="CB85" i="1"/>
  <c r="CB81" i="1"/>
  <c r="CB7" i="1"/>
  <c r="CB74" i="1"/>
  <c r="CC87" i="1"/>
  <c r="CC85" i="1"/>
  <c r="CC81" i="1"/>
  <c r="CC74" i="1"/>
  <c r="CC7" i="1"/>
  <c r="CD87" i="1"/>
  <c r="CD85" i="1"/>
  <c r="CD81" i="1"/>
  <c r="CD7" i="1"/>
  <c r="CD74" i="1"/>
  <c r="BS103" i="1"/>
  <c r="CD103" i="1"/>
  <c r="CC103" i="1"/>
  <c r="CB103" i="1"/>
  <c r="CA103" i="1"/>
  <c r="BZ103" i="1"/>
  <c r="BY103" i="1"/>
  <c r="BX103" i="1"/>
  <c r="BW103" i="1"/>
  <c r="BV103" i="1"/>
  <c r="BU103" i="1"/>
  <c r="BT103" i="1"/>
  <c r="CF103" i="1"/>
  <c r="CE103" i="1"/>
  <c r="CF102" i="1"/>
  <c r="CE102" i="1"/>
  <c r="CE87" i="1"/>
  <c r="CE85" i="1"/>
  <c r="CE81" i="1"/>
  <c r="CE80" i="1"/>
  <c r="CF87" i="1"/>
  <c r="CF85" i="1"/>
  <c r="CF81" i="1"/>
  <c r="CG80" i="1"/>
  <c r="BZ102" i="1"/>
  <c r="BY102" i="1"/>
  <c r="BX102" i="1"/>
  <c r="BS102" i="1"/>
  <c r="BO87" i="1"/>
  <c r="BO85" i="1"/>
  <c r="BO81" i="1"/>
  <c r="BO76" i="1"/>
  <c r="BO7" i="1"/>
  <c r="BO41" i="1"/>
  <c r="BP87" i="1"/>
  <c r="BP81" i="1"/>
  <c r="BP85" i="1"/>
  <c r="BP7" i="1"/>
  <c r="BP76" i="1"/>
  <c r="BP41" i="1"/>
  <c r="BP80" i="1" s="1"/>
  <c r="BT102" i="1"/>
  <c r="BU102" i="1"/>
  <c r="BQ7" i="1"/>
  <c r="BW80" i="1"/>
  <c r="BQ76" i="1"/>
  <c r="BQ41" i="1"/>
  <c r="DI3" i="1"/>
  <c r="DK3" i="1"/>
  <c r="DJ3" i="1"/>
  <c r="BV102" i="1"/>
  <c r="BR76" i="1"/>
  <c r="BR80" i="1" s="1"/>
  <c r="BW102" i="1"/>
  <c r="BS76" i="1"/>
  <c r="BS80" i="1" s="1"/>
  <c r="BQ87" i="1"/>
  <c r="BQ81" i="1"/>
  <c r="BQ85" i="1"/>
  <c r="BU87" i="1"/>
  <c r="BU81" i="1"/>
  <c r="BT87" i="1"/>
  <c r="BX87" i="1"/>
  <c r="BX81" i="1"/>
  <c r="CD102" i="1"/>
  <c r="BT81" i="1"/>
  <c r="BX85" i="1"/>
  <c r="CA102" i="1"/>
  <c r="CC102" i="1"/>
  <c r="BT76" i="1"/>
  <c r="BT80" i="1" s="1"/>
  <c r="BU76" i="1"/>
  <c r="BU80" i="1" s="1"/>
  <c r="BX41" i="1"/>
  <c r="BX76" i="1"/>
  <c r="BR87" i="1"/>
  <c r="BR81" i="1"/>
  <c r="BV87" i="1"/>
  <c r="BV85" i="1"/>
  <c r="BU85" i="1"/>
  <c r="BT85" i="1"/>
  <c r="BS85" i="1"/>
  <c r="BR85" i="1"/>
  <c r="BV81" i="1"/>
  <c r="BV68" i="1"/>
  <c r="BS87" i="1"/>
  <c r="BW87" i="1"/>
  <c r="BW85" i="1"/>
  <c r="BW81" i="1"/>
  <c r="BS81" i="1"/>
  <c r="AR68" i="1"/>
  <c r="AR80" i="1" s="1"/>
  <c r="CD80" i="1" l="1"/>
  <c r="CD82" i="1" s="1"/>
  <c r="CD86" i="1" s="1"/>
  <c r="CD88" i="1" s="1"/>
  <c r="CH91" i="1"/>
  <c r="CH93" i="1" s="1"/>
  <c r="CH94" i="1" s="1"/>
  <c r="CH98" i="1"/>
  <c r="CF80" i="1"/>
  <c r="DM74" i="1"/>
  <c r="DM80" i="1" s="1"/>
  <c r="CE82" i="1"/>
  <c r="CE97" i="1"/>
  <c r="CE86" i="1"/>
  <c r="CE88" i="1" s="1"/>
  <c r="CL4" i="1"/>
  <c r="CL103" i="1" s="1"/>
  <c r="CG82" i="1"/>
  <c r="DN3" i="1"/>
  <c r="DO3" i="1" s="1"/>
  <c r="DP3" i="1" s="1"/>
  <c r="DQ3" i="1" s="1"/>
  <c r="DR3" i="1" s="1"/>
  <c r="DS3" i="1" s="1"/>
  <c r="CI102" i="1"/>
  <c r="CI80" i="1"/>
  <c r="BZ86" i="1"/>
  <c r="BZ88" i="1" s="1"/>
  <c r="CF82" i="1"/>
  <c r="CF86" i="1" s="1"/>
  <c r="CF88" i="1" s="1"/>
  <c r="BU82" i="1"/>
  <c r="BU97" i="1" s="1"/>
  <c r="BO80" i="1"/>
  <c r="BS100" i="1" s="1"/>
  <c r="BT100" i="1"/>
  <c r="BW100" i="1"/>
  <c r="BQ80" i="1"/>
  <c r="BU100" i="1" s="1"/>
  <c r="BX80" i="1"/>
  <c r="BX82" i="1" s="1"/>
  <c r="BX86" i="1" s="1"/>
  <c r="BX88" i="1" s="1"/>
  <c r="BP82" i="1"/>
  <c r="BP86" i="1" s="1"/>
  <c r="BP88" i="1" s="1"/>
  <c r="BV80" i="1"/>
  <c r="BV82" i="1" s="1"/>
  <c r="DL3" i="1"/>
  <c r="CB80" i="1"/>
  <c r="CB102" i="1"/>
  <c r="CC80" i="1"/>
  <c r="CC82" i="1" s="1"/>
  <c r="CC97" i="1" s="1"/>
  <c r="BS82" i="1"/>
  <c r="BS97" i="1" s="1"/>
  <c r="CA80" i="1"/>
  <c r="CA82" i="1" s="1"/>
  <c r="CA97" i="1" s="1"/>
  <c r="BT82" i="1"/>
  <c r="BT97" i="1" s="1"/>
  <c r="BW82" i="1"/>
  <c r="BY80" i="1"/>
  <c r="BR82" i="1"/>
  <c r="BR97" i="1" s="1"/>
  <c r="AN87" i="1"/>
  <c r="AN80" i="1"/>
  <c r="AN82" i="1" s="1"/>
  <c r="AO68" i="1"/>
  <c r="AO80" i="1" s="1"/>
  <c r="AO87" i="1"/>
  <c r="AO85" i="1"/>
  <c r="AN85" i="1"/>
  <c r="AM85" i="1"/>
  <c r="AM86" i="1" s="1"/>
  <c r="AL85" i="1"/>
  <c r="AL86" i="1" s="1"/>
  <c r="AK85" i="1"/>
  <c r="AK86" i="1" s="1"/>
  <c r="AJ85" i="1"/>
  <c r="AJ86" i="1" s="1"/>
  <c r="AI85" i="1"/>
  <c r="AI86" i="1" s="1"/>
  <c r="CH100" i="1" l="1"/>
  <c r="CD97" i="1"/>
  <c r="CC86" i="1"/>
  <c r="CC88" i="1" s="1"/>
  <c r="CI100" i="1"/>
  <c r="CI82" i="1"/>
  <c r="CG100" i="1"/>
  <c r="CC98" i="1"/>
  <c r="CC91" i="1"/>
  <c r="CC93" i="1" s="1"/>
  <c r="CC94" i="1" s="1"/>
  <c r="CD91" i="1"/>
  <c r="CD93" i="1" s="1"/>
  <c r="CD94" i="1" s="1"/>
  <c r="CD98" i="1"/>
  <c r="CG86" i="1"/>
  <c r="CG88" i="1" s="1"/>
  <c r="CG97" i="1"/>
  <c r="CE91" i="1"/>
  <c r="CE93" i="1" s="1"/>
  <c r="CE94" i="1" s="1"/>
  <c r="CE98" i="1"/>
  <c r="CF100" i="1"/>
  <c r="CB82" i="1"/>
  <c r="BO82" i="1"/>
  <c r="BO97" i="1" s="1"/>
  <c r="BT86" i="1"/>
  <c r="BT88" i="1" s="1"/>
  <c r="CA86" i="1"/>
  <c r="CA88" i="1" s="1"/>
  <c r="BY100" i="1"/>
  <c r="BY82" i="1"/>
  <c r="CJ80" i="1"/>
  <c r="CJ100" i="1" s="1"/>
  <c r="BZ91" i="1"/>
  <c r="BZ93" i="1" s="1"/>
  <c r="BZ94" i="1" s="1"/>
  <c r="BZ98" i="1"/>
  <c r="CF97" i="1"/>
  <c r="CA100" i="1"/>
  <c r="CE100" i="1"/>
  <c r="CF98" i="1"/>
  <c r="CF91" i="1"/>
  <c r="CF93" i="1" s="1"/>
  <c r="CF94" i="1" s="1"/>
  <c r="BO86" i="1"/>
  <c r="BO88" i="1" s="1"/>
  <c r="BO98" i="1" s="1"/>
  <c r="BV100" i="1"/>
  <c r="BX100" i="1"/>
  <c r="BU86" i="1"/>
  <c r="BU88" i="1" s="1"/>
  <c r="BU91" i="1" s="1"/>
  <c r="BU93" i="1" s="1"/>
  <c r="BU94" i="1" s="1"/>
  <c r="BP97" i="1"/>
  <c r="BZ100" i="1"/>
  <c r="CB100" i="1"/>
  <c r="BV97" i="1"/>
  <c r="BV86" i="1"/>
  <c r="BV88" i="1" s="1"/>
  <c r="BV91" i="1" s="1"/>
  <c r="BV93" i="1" s="1"/>
  <c r="BV94" i="1" s="1"/>
  <c r="CD100" i="1"/>
  <c r="CC100" i="1"/>
  <c r="BP98" i="1"/>
  <c r="BP91" i="1"/>
  <c r="BP93" i="1" s="1"/>
  <c r="BP94" i="1" s="1"/>
  <c r="BQ82" i="1"/>
  <c r="BQ97" i="1" s="1"/>
  <c r="BS86" i="1"/>
  <c r="BS88" i="1" s="1"/>
  <c r="BS91" i="1" s="1"/>
  <c r="BS93" i="1" s="1"/>
  <c r="BS94" i="1" s="1"/>
  <c r="BR86" i="1"/>
  <c r="BR88" i="1" s="1"/>
  <c r="BR91" i="1" s="1"/>
  <c r="BR93" i="1" s="1"/>
  <c r="BR94" i="1" s="1"/>
  <c r="BX98" i="1"/>
  <c r="BX91" i="1"/>
  <c r="BX93" i="1" s="1"/>
  <c r="BX94" i="1" s="1"/>
  <c r="BX97" i="1"/>
  <c r="BW86" i="1"/>
  <c r="BW88" i="1" s="1"/>
  <c r="BW97" i="1"/>
  <c r="BT91" i="1"/>
  <c r="BT93" i="1" s="1"/>
  <c r="BT94" i="1" s="1"/>
  <c r="BT98" i="1"/>
  <c r="AN86" i="1"/>
  <c r="AN88" i="1" s="1"/>
  <c r="AN91" i="1" s="1"/>
  <c r="AN93" i="1" s="1"/>
  <c r="AN94" i="1" s="1"/>
  <c r="CI97" i="1" l="1"/>
  <c r="CI86" i="1"/>
  <c r="CI88" i="1" s="1"/>
  <c r="CB97" i="1"/>
  <c r="CB86" i="1"/>
  <c r="CB88" i="1" s="1"/>
  <c r="CG91" i="1"/>
  <c r="CG93" i="1" s="1"/>
  <c r="CG94" i="1" s="1"/>
  <c r="CG98" i="1"/>
  <c r="BO91" i="1"/>
  <c r="BO93" i="1" s="1"/>
  <c r="BO94" i="1" s="1"/>
  <c r="CA91" i="1"/>
  <c r="CA93" i="1" s="1"/>
  <c r="CA94" i="1" s="1"/>
  <c r="CA98" i="1"/>
  <c r="BY97" i="1"/>
  <c r="BY86" i="1"/>
  <c r="BY88" i="1" s="1"/>
  <c r="CL80" i="1"/>
  <c r="CL100" i="1" s="1"/>
  <c r="CK80" i="1"/>
  <c r="CK100" i="1" s="1"/>
  <c r="BV98" i="1"/>
  <c r="BU98" i="1"/>
  <c r="BQ86" i="1"/>
  <c r="BQ88" i="1" s="1"/>
  <c r="BQ98" i="1" s="1"/>
  <c r="BS98" i="1"/>
  <c r="BR98" i="1"/>
  <c r="BW91" i="1"/>
  <c r="BW93" i="1" s="1"/>
  <c r="BW94" i="1" s="1"/>
  <c r="BW98" i="1"/>
  <c r="AO82" i="1"/>
  <c r="AO86" i="1" s="1"/>
  <c r="AO88" i="1" s="1"/>
  <c r="AO91" i="1" s="1"/>
  <c r="AO93" i="1" s="1"/>
  <c r="AO94" i="1" s="1"/>
  <c r="AM80" i="1"/>
  <c r="AL80" i="1"/>
  <c r="AK80" i="1"/>
  <c r="AJ80" i="1"/>
  <c r="AI80" i="1"/>
  <c r="CI91" i="1" l="1"/>
  <c r="CI93" i="1" s="1"/>
  <c r="CI94" i="1" s="1"/>
  <c r="CI98" i="1"/>
  <c r="CB91" i="1"/>
  <c r="CB93" i="1" s="1"/>
  <c r="CB94" i="1" s="1"/>
  <c r="CB98" i="1"/>
  <c r="BY91" i="1"/>
  <c r="BY93" i="1" s="1"/>
  <c r="BY94" i="1" s="1"/>
  <c r="BY98" i="1"/>
  <c r="BQ91" i="1"/>
  <c r="BQ93" i="1" s="1"/>
  <c r="BQ94" i="1" s="1"/>
  <c r="CY23" i="1"/>
  <c r="CY26" i="1" l="1"/>
  <c r="AG47" i="1" l="1"/>
  <c r="AH47" i="1" s="1"/>
  <c r="AG46" i="1"/>
  <c r="AH46" i="1" s="1"/>
  <c r="AG42" i="1"/>
  <c r="AH42" i="1" s="1"/>
  <c r="CY68" i="1" l="1"/>
  <c r="CZ68" i="1" s="1"/>
  <c r="CY84" i="1"/>
  <c r="CY83" i="1"/>
  <c r="AF95" i="1"/>
  <c r="AG95" i="1" s="1"/>
  <c r="AH95" i="1" s="1"/>
  <c r="AE90" i="1"/>
  <c r="AF90" i="1" s="1"/>
  <c r="AG90" i="1" s="1"/>
  <c r="AH90" i="1" s="1"/>
  <c r="AE110" i="1"/>
  <c r="AF110" i="1" s="1"/>
  <c r="AE80" i="1"/>
  <c r="AE82" i="1" s="1"/>
  <c r="AE97" i="1" s="1"/>
  <c r="AF78" i="1"/>
  <c r="AG78" i="1" s="1"/>
  <c r="AH78" i="1" s="1"/>
  <c r="AF77" i="1"/>
  <c r="AG77" i="1" s="1"/>
  <c r="AH77" i="1" s="1"/>
  <c r="AH69" i="1"/>
  <c r="AG69" i="1"/>
  <c r="AF69" i="1"/>
  <c r="AF68" i="1"/>
  <c r="AG68" i="1" s="1"/>
  <c r="AH68" i="1" s="1"/>
  <c r="AF67" i="1"/>
  <c r="AG67" i="1" s="1"/>
  <c r="AH67" i="1" s="1"/>
  <c r="AF65" i="1"/>
  <c r="AG65" i="1" s="1"/>
  <c r="AH65" i="1" s="1"/>
  <c r="AG23" i="1"/>
  <c r="AG26" i="1"/>
  <c r="AH26" i="1" s="1"/>
  <c r="AG44" i="1"/>
  <c r="AH44" i="1" s="1"/>
  <c r="AG19" i="1"/>
  <c r="AH19" i="1" s="1"/>
  <c r="AF64" i="1"/>
  <c r="AG64" i="1" s="1"/>
  <c r="AH64" i="1" s="1"/>
  <c r="AG45" i="1"/>
  <c r="AH45" i="1" s="1"/>
  <c r="AG56" i="1"/>
  <c r="AH56" i="1" s="1"/>
  <c r="AG13" i="1"/>
  <c r="AH13" i="1" s="1"/>
  <c r="AG6" i="1"/>
  <c r="AH6" i="1" s="1"/>
  <c r="AH4" i="1"/>
  <c r="AG4" i="1"/>
  <c r="AD104" i="1"/>
  <c r="AD90" i="1"/>
  <c r="AD85" i="1"/>
  <c r="AA81" i="1"/>
  <c r="Z80" i="1"/>
  <c r="Z82" i="1" s="1"/>
  <c r="AE85" i="1"/>
  <c r="AC80" i="1"/>
  <c r="AC82" i="1" s="1"/>
  <c r="AC97" i="1" s="1"/>
  <c r="CY53" i="1"/>
  <c r="CZ83" i="1" l="1"/>
  <c r="CZ4" i="1"/>
  <c r="AH23" i="1"/>
  <c r="CZ23" i="1" s="1"/>
  <c r="CZ77" i="1"/>
  <c r="DA77" i="1" s="1"/>
  <c r="DB77" i="1" s="1"/>
  <c r="DC77" i="1" s="1"/>
  <c r="DD77" i="1" s="1"/>
  <c r="DE77" i="1" s="1"/>
  <c r="DF77" i="1" s="1"/>
  <c r="AF85" i="1"/>
  <c r="AG85" i="1"/>
  <c r="AH85" i="1"/>
  <c r="AF80" i="1"/>
  <c r="AG80" i="1"/>
  <c r="AE86" i="1"/>
  <c r="AE88" i="1" s="1"/>
  <c r="AE98" i="1" s="1"/>
  <c r="AC87" i="1"/>
  <c r="AB110" i="1"/>
  <c r="CX95" i="1"/>
  <c r="CW89" i="1"/>
  <c r="CV95" i="1"/>
  <c r="CW95" i="1"/>
  <c r="AB89" i="1"/>
  <c r="AB87" i="1"/>
  <c r="AB80" i="1"/>
  <c r="AB82" i="1" s="1"/>
  <c r="AB97" i="1" s="1"/>
  <c r="CW54" i="1"/>
  <c r="CU54" i="1"/>
  <c r="DF23" i="1"/>
  <c r="AA6" i="1"/>
  <c r="AA4" i="1"/>
  <c r="AA65" i="1"/>
  <c r="AA67" i="1"/>
  <c r="AA46" i="1"/>
  <c r="CY46" i="1" s="1"/>
  <c r="AD103" i="1"/>
  <c r="CY95" i="1"/>
  <c r="AB85" i="1"/>
  <c r="AC85" i="1"/>
  <c r="AC104" i="1"/>
  <c r="V104" i="1"/>
  <c r="W104" i="1"/>
  <c r="Y104" i="1"/>
  <c r="Z104" i="1"/>
  <c r="CY48" i="1"/>
  <c r="CY64" i="1"/>
  <c r="V80" i="1"/>
  <c r="U80" i="1"/>
  <c r="T80" i="1"/>
  <c r="R80" i="1"/>
  <c r="Q80" i="1"/>
  <c r="P80" i="1"/>
  <c r="N80" i="1"/>
  <c r="M80" i="1"/>
  <c r="L80" i="1"/>
  <c r="K80" i="1"/>
  <c r="CX65" i="1"/>
  <c r="CX26" i="1"/>
  <c r="CX47" i="1"/>
  <c r="AA89" i="1"/>
  <c r="AA87" i="1"/>
  <c r="AA85" i="1"/>
  <c r="Z90" i="1"/>
  <c r="Z103" i="1"/>
  <c r="CY13" i="1"/>
  <c r="Y4" i="1"/>
  <c r="Y103" i="1" s="1"/>
  <c r="CV68" i="1"/>
  <c r="CU68" i="1"/>
  <c r="CV69" i="1"/>
  <c r="CW69" i="1"/>
  <c r="Y90" i="1"/>
  <c r="Y87" i="1"/>
  <c r="X78" i="1"/>
  <c r="CX78" i="1" s="1"/>
  <c r="Y85" i="1"/>
  <c r="Z85" i="1"/>
  <c r="W103" i="1"/>
  <c r="V103" i="1"/>
  <c r="U103" i="1"/>
  <c r="T103" i="1"/>
  <c r="R103" i="1"/>
  <c r="Q103" i="1"/>
  <c r="P103" i="1"/>
  <c r="W67" i="1"/>
  <c r="CX67" i="1" s="1"/>
  <c r="X69" i="1"/>
  <c r="CX69" i="1" s="1"/>
  <c r="X81" i="1"/>
  <c r="S68" i="1"/>
  <c r="CW68" i="1" s="1"/>
  <c r="CW6" i="1"/>
  <c r="X92" i="1"/>
  <c r="X89" i="1"/>
  <c r="CX89" i="1" s="1"/>
  <c r="X84" i="1"/>
  <c r="CX84" i="1" s="1"/>
  <c r="X83" i="1"/>
  <c r="CX83" i="1" s="1"/>
  <c r="CW47" i="1"/>
  <c r="CU47" i="1"/>
  <c r="CW52" i="1"/>
  <c r="CW49" i="1"/>
  <c r="CU49" i="1"/>
  <c r="CW42" i="1"/>
  <c r="CW48" i="1"/>
  <c r="X51" i="1"/>
  <c r="CX51" i="1" s="1"/>
  <c r="X54" i="1"/>
  <c r="CX54" i="1" s="1"/>
  <c r="X52" i="1"/>
  <c r="CX52" i="1" s="1"/>
  <c r="X49" i="1"/>
  <c r="CX49" i="1" s="1"/>
  <c r="X42" i="1"/>
  <c r="CX42" i="1" s="1"/>
  <c r="X48" i="1"/>
  <c r="CX48" i="1" s="1"/>
  <c r="X44" i="1"/>
  <c r="CX44" i="1" s="1"/>
  <c r="X19" i="1"/>
  <c r="X46" i="1"/>
  <c r="CX46" i="1" s="1"/>
  <c r="X64" i="1"/>
  <c r="CX64" i="1" s="1"/>
  <c r="X45" i="1"/>
  <c r="CX45" i="1" s="1"/>
  <c r="X56" i="1"/>
  <c r="X4" i="1"/>
  <c r="X13" i="1"/>
  <c r="CX13" i="1" s="1"/>
  <c r="X6" i="1"/>
  <c r="X104" i="1" s="1"/>
  <c r="CW90" i="1"/>
  <c r="CW92" i="1"/>
  <c r="CX92" i="1" s="1"/>
  <c r="AH80" i="1" l="1"/>
  <c r="AH82" i="1" s="1"/>
  <c r="AH81" i="1" s="1"/>
  <c r="AG82" i="1"/>
  <c r="AG86" i="1" s="1"/>
  <c r="AG88" i="1" s="1"/>
  <c r="AG89" i="1" s="1"/>
  <c r="AG91" i="1" s="1"/>
  <c r="AG93" i="1" s="1"/>
  <c r="AA103" i="1"/>
  <c r="AA80" i="1"/>
  <c r="AE100" i="1" s="1"/>
  <c r="CY4" i="1"/>
  <c r="AE103" i="1"/>
  <c r="AF82" i="1"/>
  <c r="AF81" i="1" s="1"/>
  <c r="CY6" i="1"/>
  <c r="CZ6" i="1" s="1"/>
  <c r="AE104" i="1"/>
  <c r="CZ84" i="1"/>
  <c r="CZ85" i="1" s="1"/>
  <c r="AE91" i="1"/>
  <c r="AE93" i="1" s="1"/>
  <c r="AE94" i="1" s="1"/>
  <c r="CX4" i="1"/>
  <c r="CY87" i="1"/>
  <c r="Y80" i="1"/>
  <c r="AC100" i="1" s="1"/>
  <c r="CX85" i="1"/>
  <c r="AB104" i="1"/>
  <c r="AC103" i="1"/>
  <c r="CY19" i="1"/>
  <c r="CY42" i="1"/>
  <c r="CZ42" i="1" s="1"/>
  <c r="DA42" i="1" s="1"/>
  <c r="DB42" i="1" s="1"/>
  <c r="DC42" i="1" s="1"/>
  <c r="DD42" i="1" s="1"/>
  <c r="DE42" i="1" s="1"/>
  <c r="DF42" i="1" s="1"/>
  <c r="S80" i="1"/>
  <c r="AB103" i="1"/>
  <c r="CY47" i="1"/>
  <c r="CZ47" i="1" s="1"/>
  <c r="DA47" i="1" s="1"/>
  <c r="DB47" i="1" s="1"/>
  <c r="DC47" i="1" s="1"/>
  <c r="DD47" i="1" s="1"/>
  <c r="DE47" i="1" s="1"/>
  <c r="DF47" i="1" s="1"/>
  <c r="CY49" i="1"/>
  <c r="CZ49" i="1" s="1"/>
  <c r="DA49" i="1" s="1"/>
  <c r="DB49" i="1" s="1"/>
  <c r="DC49" i="1" s="1"/>
  <c r="DD49" i="1" s="1"/>
  <c r="DE49" i="1" s="1"/>
  <c r="DF49" i="1" s="1"/>
  <c r="CY54" i="1"/>
  <c r="CZ54" i="1" s="1"/>
  <c r="DA54" i="1" s="1"/>
  <c r="DB54" i="1" s="1"/>
  <c r="DC54" i="1" s="1"/>
  <c r="DD54" i="1" s="1"/>
  <c r="DE54" i="1" s="1"/>
  <c r="DF54" i="1" s="1"/>
  <c r="AA104" i="1"/>
  <c r="CY44" i="1"/>
  <c r="CY52" i="1"/>
  <c r="CZ52" i="1" s="1"/>
  <c r="DA52" i="1" s="1"/>
  <c r="DB52" i="1" s="1"/>
  <c r="DC52" i="1" s="1"/>
  <c r="DD52" i="1" s="1"/>
  <c r="DE52" i="1" s="1"/>
  <c r="DF52" i="1" s="1"/>
  <c r="CY51" i="1"/>
  <c r="CY69" i="1"/>
  <c r="CZ69" i="1" s="1"/>
  <c r="DA69" i="1" s="1"/>
  <c r="DB69" i="1" s="1"/>
  <c r="DC69" i="1" s="1"/>
  <c r="DD69" i="1" s="1"/>
  <c r="DE69" i="1" s="1"/>
  <c r="DF69" i="1" s="1"/>
  <c r="CY56" i="1"/>
  <c r="CY67" i="1"/>
  <c r="CX56" i="1"/>
  <c r="CX19" i="1"/>
  <c r="CX6" i="1"/>
  <c r="W68" i="1"/>
  <c r="W80" i="1" s="1"/>
  <c r="X103" i="1"/>
  <c r="CZ48" i="1"/>
  <c r="DA48" i="1" s="1"/>
  <c r="DB48" i="1" s="1"/>
  <c r="DC48" i="1" s="1"/>
  <c r="DD48" i="1" s="1"/>
  <c r="DE48" i="1" s="1"/>
  <c r="DF48" i="1" s="1"/>
  <c r="X85" i="1"/>
  <c r="V87" i="1"/>
  <c r="U82" i="1"/>
  <c r="U97" i="1" s="1"/>
  <c r="V82" i="1"/>
  <c r="V97" i="1" s="1"/>
  <c r="CW4" i="1"/>
  <c r="W90" i="1"/>
  <c r="W87" i="1"/>
  <c r="W85" i="1"/>
  <c r="CW64" i="1"/>
  <c r="CZ64" i="1" s="1"/>
  <c r="DA64" i="1" s="1"/>
  <c r="DB64" i="1" s="1"/>
  <c r="DC64" i="1" s="1"/>
  <c r="DD64" i="1" s="1"/>
  <c r="DE64" i="1" s="1"/>
  <c r="DF64" i="1" s="1"/>
  <c r="CW19" i="1"/>
  <c r="CW56" i="1"/>
  <c r="CW13" i="1"/>
  <c r="U87" i="1"/>
  <c r="U85" i="1"/>
  <c r="CW45" i="1"/>
  <c r="CW51" i="1"/>
  <c r="CW46" i="1"/>
  <c r="O64" i="1"/>
  <c r="CV64" i="1" s="1"/>
  <c r="CV83" i="1"/>
  <c r="CW84" i="1"/>
  <c r="CW83" i="1"/>
  <c r="V85" i="1"/>
  <c r="O46" i="1"/>
  <c r="CV46" i="1" s="1"/>
  <c r="O19" i="1"/>
  <c r="CV19" i="1" s="1"/>
  <c r="O47" i="1"/>
  <c r="CV47" i="1" s="1"/>
  <c r="O48" i="1"/>
  <c r="CV48" i="1" s="1"/>
  <c r="O42" i="1"/>
  <c r="CV42" i="1" s="1"/>
  <c r="O49" i="1"/>
  <c r="CV49" i="1" s="1"/>
  <c r="O52" i="1"/>
  <c r="CV52" i="1" s="1"/>
  <c r="O54" i="1"/>
  <c r="CV54" i="1" s="1"/>
  <c r="O51" i="1"/>
  <c r="CV51" i="1" s="1"/>
  <c r="CU69" i="1"/>
  <c r="CV84" i="1"/>
  <c r="CV90" i="1"/>
  <c r="CV91" i="1" s="1"/>
  <c r="DC26" i="1"/>
  <c r="DD26" i="1" s="1"/>
  <c r="DE26" i="1" s="1"/>
  <c r="DF26" i="1" s="1"/>
  <c r="CY2" i="1"/>
  <c r="CZ2" i="1" s="1"/>
  <c r="DA2" i="1" s="1"/>
  <c r="DB2" i="1" s="1"/>
  <c r="DC2" i="1" s="1"/>
  <c r="T82" i="1"/>
  <c r="T85" i="1"/>
  <c r="T87" i="1"/>
  <c r="K4" i="2"/>
  <c r="R82" i="1"/>
  <c r="R85" i="1"/>
  <c r="R87" i="1"/>
  <c r="S85" i="1"/>
  <c r="S87" i="1"/>
  <c r="O6" i="1"/>
  <c r="O13" i="1"/>
  <c r="CV13" i="1" s="1"/>
  <c r="O4" i="1"/>
  <c r="O56" i="1"/>
  <c r="CV56" i="1" s="1"/>
  <c r="O45" i="1"/>
  <c r="CV45" i="1" s="1"/>
  <c r="O85" i="1"/>
  <c r="O87" i="1"/>
  <c r="P82" i="1"/>
  <c r="P97" i="1" s="1"/>
  <c r="P85" i="1"/>
  <c r="P87" i="1"/>
  <c r="Q82" i="1"/>
  <c r="Q85" i="1"/>
  <c r="Q87" i="1"/>
  <c r="CZ95" i="1"/>
  <c r="DA95" i="1" s="1"/>
  <c r="DB95" i="1" s="1"/>
  <c r="DC95" i="1" s="1"/>
  <c r="DD95" i="1" s="1"/>
  <c r="DE95" i="1" s="1"/>
  <c r="DF95" i="1" s="1"/>
  <c r="N87" i="1"/>
  <c r="N82" i="1"/>
  <c r="N85" i="1"/>
  <c r="M87" i="1"/>
  <c r="M82" i="1"/>
  <c r="M85" i="1"/>
  <c r="C79" i="1"/>
  <c r="G79" i="1"/>
  <c r="CU6" i="1"/>
  <c r="CU13" i="1"/>
  <c r="CU4" i="1"/>
  <c r="CU56" i="1"/>
  <c r="CU45" i="1"/>
  <c r="CU64" i="1"/>
  <c r="CU46" i="1"/>
  <c r="CU19" i="1"/>
  <c r="CU48" i="1"/>
  <c r="CU42" i="1"/>
  <c r="CU52" i="1"/>
  <c r="CU51" i="1"/>
  <c r="P100" i="1"/>
  <c r="C78" i="1"/>
  <c r="C81" i="1"/>
  <c r="C83" i="1"/>
  <c r="C84" i="1"/>
  <c r="D85" i="1"/>
  <c r="C85" i="1" s="1"/>
  <c r="D87" i="1"/>
  <c r="C87" i="1" s="1"/>
  <c r="C89" i="1"/>
  <c r="C90" i="1"/>
  <c r="C92" i="1"/>
  <c r="G78" i="1"/>
  <c r="G81" i="1"/>
  <c r="G83" i="1"/>
  <c r="G84" i="1"/>
  <c r="H85" i="1"/>
  <c r="G85" i="1" s="1"/>
  <c r="G87" i="1"/>
  <c r="G89" i="1"/>
  <c r="G90" i="1"/>
  <c r="H80" i="1"/>
  <c r="H82" i="1" s="1"/>
  <c r="D80" i="1"/>
  <c r="D82" i="1" s="1"/>
  <c r="H87" i="1"/>
  <c r="DA84" i="1" l="1"/>
  <c r="DB84" i="1" s="1"/>
  <c r="DC84" i="1" s="1"/>
  <c r="DD84" i="1" s="1"/>
  <c r="DE84" i="1" s="1"/>
  <c r="H86" i="1"/>
  <c r="AH86" i="1"/>
  <c r="AH88" i="1" s="1"/>
  <c r="AH89" i="1" s="1"/>
  <c r="AH91" i="1" s="1"/>
  <c r="AH93" i="1" s="1"/>
  <c r="AH94" i="1" s="1"/>
  <c r="AA82" i="1"/>
  <c r="AA97" i="1" s="1"/>
  <c r="AG81" i="1"/>
  <c r="AF86" i="1"/>
  <c r="AF88" i="1" s="1"/>
  <c r="AF89" i="1" s="1"/>
  <c r="AF91" i="1" s="1"/>
  <c r="AF93" i="1" s="1"/>
  <c r="AF94" i="1" s="1"/>
  <c r="AG94" i="1"/>
  <c r="AG110" i="1"/>
  <c r="DA6" i="1"/>
  <c r="DB6" i="1" s="1"/>
  <c r="DC6" i="1" s="1"/>
  <c r="DD6" i="1" s="1"/>
  <c r="DE6" i="1" s="1"/>
  <c r="DF6" i="1" s="1"/>
  <c r="CZ51" i="1"/>
  <c r="DA51" i="1" s="1"/>
  <c r="DB51" i="1" s="1"/>
  <c r="CZ19" i="1"/>
  <c r="DA19" i="1" s="1"/>
  <c r="DB19" i="1" s="1"/>
  <c r="DC19" i="1" s="1"/>
  <c r="DD19" i="1" s="1"/>
  <c r="DE19" i="1" s="1"/>
  <c r="DF19" i="1" s="1"/>
  <c r="CU80" i="1"/>
  <c r="AA100" i="1"/>
  <c r="CY85" i="1"/>
  <c r="DA4" i="1"/>
  <c r="DB4" i="1" s="1"/>
  <c r="DC4" i="1" s="1"/>
  <c r="DD4" i="1" s="1"/>
  <c r="DE4" i="1" s="1"/>
  <c r="DF4" i="1" s="1"/>
  <c r="CW80" i="1"/>
  <c r="CZ56" i="1"/>
  <c r="DA56" i="1" s="1"/>
  <c r="DB56" i="1" s="1"/>
  <c r="DC56" i="1" s="1"/>
  <c r="DD56" i="1" s="1"/>
  <c r="DE56" i="1" s="1"/>
  <c r="DF56" i="1" s="1"/>
  <c r="CY65" i="1"/>
  <c r="CZ65" i="1" s="1"/>
  <c r="DA65" i="1" s="1"/>
  <c r="DB65" i="1" s="1"/>
  <c r="DC65" i="1" s="1"/>
  <c r="DD65" i="1" s="1"/>
  <c r="DE65" i="1" s="1"/>
  <c r="DF65" i="1" s="1"/>
  <c r="D86" i="1"/>
  <c r="D88" i="1" s="1"/>
  <c r="D91" i="1" s="1"/>
  <c r="D93" i="1" s="1"/>
  <c r="D94" i="1" s="1"/>
  <c r="O80" i="1"/>
  <c r="S100" i="1" s="1"/>
  <c r="CZ46" i="1"/>
  <c r="DA46" i="1" s="1"/>
  <c r="DB46" i="1" s="1"/>
  <c r="DC46" i="1" s="1"/>
  <c r="DD46" i="1" s="1"/>
  <c r="DE46" i="1" s="1"/>
  <c r="DF46" i="1" s="1"/>
  <c r="AD80" i="1"/>
  <c r="CZ67" i="1"/>
  <c r="DA67" i="1" s="1"/>
  <c r="DB67" i="1" s="1"/>
  <c r="DC67" i="1" s="1"/>
  <c r="DD67" i="1" s="1"/>
  <c r="DE67" i="1" s="1"/>
  <c r="DF67" i="1" s="1"/>
  <c r="AA86" i="1"/>
  <c r="AA88" i="1" s="1"/>
  <c r="AA91" i="1" s="1"/>
  <c r="AA93" i="1" s="1"/>
  <c r="AA94" i="1" s="1"/>
  <c r="X87" i="1"/>
  <c r="CX87" i="1" s="1"/>
  <c r="X90" i="1"/>
  <c r="CX90" i="1" s="1"/>
  <c r="X68" i="1"/>
  <c r="T100" i="1"/>
  <c r="CV4" i="1"/>
  <c r="S103" i="1"/>
  <c r="O103" i="1"/>
  <c r="Y100" i="1"/>
  <c r="Y82" i="1"/>
  <c r="Z100" i="1"/>
  <c r="CZ44" i="1"/>
  <c r="DA44" i="1" s="1"/>
  <c r="DB44" i="1" s="1"/>
  <c r="DC44" i="1" s="1"/>
  <c r="DD44" i="1" s="1"/>
  <c r="DE44" i="1" s="1"/>
  <c r="DF44" i="1" s="1"/>
  <c r="C80" i="1"/>
  <c r="C82" i="1" s="1"/>
  <c r="C86" i="1" s="1"/>
  <c r="C88" i="1" s="1"/>
  <c r="C91" i="1" s="1"/>
  <c r="C93" i="1" s="1"/>
  <c r="C94" i="1" s="1"/>
  <c r="Q100" i="1"/>
  <c r="G80" i="1"/>
  <c r="G82" i="1" s="1"/>
  <c r="G86" i="1" s="1"/>
  <c r="G88" i="1" s="1"/>
  <c r="G91" i="1" s="1"/>
  <c r="G93" i="1" s="1"/>
  <c r="G94" i="1" s="1"/>
  <c r="M97" i="1"/>
  <c r="M86" i="1"/>
  <c r="M88" i="1" s="1"/>
  <c r="W100" i="1"/>
  <c r="H88" i="1"/>
  <c r="H91" i="1" s="1"/>
  <c r="H93" i="1" s="1"/>
  <c r="H94" i="1" s="1"/>
  <c r="N86" i="1"/>
  <c r="N88" i="1" s="1"/>
  <c r="N97" i="1"/>
  <c r="R97" i="1"/>
  <c r="R86" i="1"/>
  <c r="R88" i="1" s="1"/>
  <c r="R91" i="1" s="1"/>
  <c r="R93" i="1" s="1"/>
  <c r="Q97" i="1"/>
  <c r="Q86" i="1"/>
  <c r="Q88" i="1" s="1"/>
  <c r="Q98" i="1" s="1"/>
  <c r="U100" i="1"/>
  <c r="R100" i="1"/>
  <c r="DD2" i="1"/>
  <c r="CV6" i="1"/>
  <c r="S82" i="1"/>
  <c r="CW82" i="1" s="1"/>
  <c r="CW85" i="1"/>
  <c r="T86" i="1"/>
  <c r="T88" i="1" s="1"/>
  <c r="T91" i="1" s="1"/>
  <c r="T97" i="1"/>
  <c r="P86" i="1"/>
  <c r="P88" i="1" s="1"/>
  <c r="K7" i="2"/>
  <c r="U86" i="1"/>
  <c r="U88" i="1" s="1"/>
  <c r="U91" i="1" s="1"/>
  <c r="DD85" i="1" l="1"/>
  <c r="AH110" i="1"/>
  <c r="CY110" i="1" s="1"/>
  <c r="CZ87" i="1" s="1"/>
  <c r="AD82" i="1"/>
  <c r="AD100" i="1"/>
  <c r="CV80" i="1"/>
  <c r="CV97" i="1" s="1"/>
  <c r="CX68" i="1"/>
  <c r="CX80" i="1" s="1"/>
  <c r="X80" i="1"/>
  <c r="AB100" i="1" s="1"/>
  <c r="CY45" i="1"/>
  <c r="CY80" i="1" s="1"/>
  <c r="DE85" i="1"/>
  <c r="DF84" i="1"/>
  <c r="DF85" i="1" s="1"/>
  <c r="AA98" i="1"/>
  <c r="AB86" i="1"/>
  <c r="AB88" i="1" s="1"/>
  <c r="AC86" i="1"/>
  <c r="AC88" i="1" s="1"/>
  <c r="Q91" i="1"/>
  <c r="Q93" i="1" s="1"/>
  <c r="Q94" i="1" s="1"/>
  <c r="DA68" i="1"/>
  <c r="R98" i="1"/>
  <c r="CZ13" i="1"/>
  <c r="U93" i="1"/>
  <c r="U94" i="1" s="1"/>
  <c r="U98" i="1"/>
  <c r="W82" i="1"/>
  <c r="P98" i="1"/>
  <c r="P91" i="1"/>
  <c r="P93" i="1" s="1"/>
  <c r="P94" i="1" s="1"/>
  <c r="V86" i="1"/>
  <c r="V88" i="1" s="1"/>
  <c r="V100" i="1"/>
  <c r="R94" i="1"/>
  <c r="R107" i="1"/>
  <c r="DE2" i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N98" i="1"/>
  <c r="N91" i="1"/>
  <c r="N93" i="1" s="1"/>
  <c r="N94" i="1" s="1"/>
  <c r="T93" i="1"/>
  <c r="T94" i="1" s="1"/>
  <c r="T98" i="1"/>
  <c r="S86" i="1"/>
  <c r="S88" i="1" s="1"/>
  <c r="S97" i="1"/>
  <c r="M98" i="1"/>
  <c r="M91" i="1"/>
  <c r="M93" i="1" s="1"/>
  <c r="M94" i="1" s="1"/>
  <c r="O82" i="1"/>
  <c r="O100" i="1"/>
  <c r="CV100" i="1" l="1"/>
  <c r="CW100" i="1"/>
  <c r="AD86" i="1"/>
  <c r="AD88" i="1" s="1"/>
  <c r="AD97" i="1"/>
  <c r="DB68" i="1"/>
  <c r="X82" i="1"/>
  <c r="X97" i="1" s="1"/>
  <c r="Q105" i="1"/>
  <c r="U105" i="1"/>
  <c r="CY82" i="1"/>
  <c r="CY86" i="1" s="1"/>
  <c r="CY88" i="1" s="1"/>
  <c r="CZ45" i="1"/>
  <c r="DA45" i="1" s="1"/>
  <c r="DB45" i="1" s="1"/>
  <c r="DC45" i="1" s="1"/>
  <c r="DD45" i="1" s="1"/>
  <c r="DE45" i="1" s="1"/>
  <c r="DF45" i="1" s="1"/>
  <c r="AC91" i="1"/>
  <c r="AC93" i="1" s="1"/>
  <c r="AC94" i="1" s="1"/>
  <c r="AC98" i="1"/>
  <c r="AB91" i="1"/>
  <c r="AB93" i="1" s="1"/>
  <c r="AB94" i="1" s="1"/>
  <c r="AB98" i="1"/>
  <c r="X100" i="1"/>
  <c r="T105" i="1"/>
  <c r="V98" i="1"/>
  <c r="V91" i="1"/>
  <c r="V93" i="1" s="1"/>
  <c r="DA13" i="1"/>
  <c r="CX100" i="1"/>
  <c r="W86" i="1"/>
  <c r="W88" i="1" s="1"/>
  <c r="W91" i="1" s="1"/>
  <c r="W97" i="1"/>
  <c r="O86" i="1"/>
  <c r="O88" i="1" s="1"/>
  <c r="O97" i="1"/>
  <c r="CY100" i="1"/>
  <c r="S91" i="1"/>
  <c r="S93" i="1" s="1"/>
  <c r="S94" i="1" s="1"/>
  <c r="S98" i="1"/>
  <c r="R105" i="1"/>
  <c r="X86" i="1" l="1"/>
  <c r="X88" i="1" s="1"/>
  <c r="X91" i="1" s="1"/>
  <c r="X93" i="1" s="1"/>
  <c r="X94" i="1" s="1"/>
  <c r="DA80" i="1"/>
  <c r="AD98" i="1"/>
  <c r="AD91" i="1"/>
  <c r="AD93" i="1" s="1"/>
  <c r="CZ80" i="1"/>
  <c r="DC68" i="1"/>
  <c r="CY81" i="1"/>
  <c r="CY89" i="1"/>
  <c r="CY91" i="1" s="1"/>
  <c r="CY93" i="1" s="1"/>
  <c r="DB13" i="1"/>
  <c r="DB80" i="1" s="1"/>
  <c r="W93" i="1"/>
  <c r="W94" i="1" s="1"/>
  <c r="W98" i="1"/>
  <c r="V107" i="1"/>
  <c r="V94" i="1"/>
  <c r="V105" i="1" s="1"/>
  <c r="O91" i="1"/>
  <c r="O93" i="1" s="1"/>
  <c r="O94" i="1" s="1"/>
  <c r="CV94" i="1" s="1"/>
  <c r="O98" i="1"/>
  <c r="X98" i="1" l="1"/>
  <c r="CZ82" i="1"/>
  <c r="CZ86" i="1" s="1"/>
  <c r="CZ88" i="1" s="1"/>
  <c r="DD68" i="1"/>
  <c r="CZ100" i="1"/>
  <c r="CY94" i="1"/>
  <c r="W105" i="1"/>
  <c r="AA105" i="1"/>
  <c r="X105" i="1"/>
  <c r="AB105" i="1"/>
  <c r="DC13" i="1"/>
  <c r="DC80" i="1" s="1"/>
  <c r="S105" i="1"/>
  <c r="DA85" i="1"/>
  <c r="DA82" i="1"/>
  <c r="DA81" i="1" s="1"/>
  <c r="DA100" i="1"/>
  <c r="CZ81" i="1" l="1"/>
  <c r="CZ89" i="1"/>
  <c r="CZ91" i="1" s="1"/>
  <c r="CZ93" i="1" s="1"/>
  <c r="DE68" i="1"/>
  <c r="DD13" i="1"/>
  <c r="DD80" i="1" s="1"/>
  <c r="DC85" i="1"/>
  <c r="DB85" i="1"/>
  <c r="DB100" i="1"/>
  <c r="DB82" i="1"/>
  <c r="DA86" i="1"/>
  <c r="DF68" i="1" l="1"/>
  <c r="DE13" i="1"/>
  <c r="DF13" i="1" s="1"/>
  <c r="DB86" i="1"/>
  <c r="DC82" i="1"/>
  <c r="DC86" i="1" s="1"/>
  <c r="DC100" i="1"/>
  <c r="DB81" i="1"/>
  <c r="DE80" i="1" l="1"/>
  <c r="DE82" i="1" s="1"/>
  <c r="DE86" i="1" s="1"/>
  <c r="DF80" i="1"/>
  <c r="DC81" i="1"/>
  <c r="DD100" i="1"/>
  <c r="DD82" i="1"/>
  <c r="DD86" i="1" s="1"/>
  <c r="DF82" i="1" l="1"/>
  <c r="DF100" i="1"/>
  <c r="DE100" i="1"/>
  <c r="DD81" i="1"/>
  <c r="DE81" i="1"/>
  <c r="DF81" i="1" l="1"/>
  <c r="DF86" i="1"/>
  <c r="Y86" i="1"/>
  <c r="Y88" i="1" s="1"/>
  <c r="Y98" i="1" s="1"/>
  <c r="Y97" i="1"/>
  <c r="Y91" i="1" l="1"/>
  <c r="Y93" i="1" s="1"/>
  <c r="Y94" i="1" s="1"/>
  <c r="AC105" i="1" s="1"/>
  <c r="CW81" i="1"/>
  <c r="CW97" i="1"/>
  <c r="CW86" i="1"/>
  <c r="CW88" i="1" s="1"/>
  <c r="CW98" i="1" s="1"/>
  <c r="Y105" i="1" l="1"/>
  <c r="CW91" i="1"/>
  <c r="CW93" i="1" s="1"/>
  <c r="CW108" i="1" l="1"/>
  <c r="CW94" i="1"/>
  <c r="CW105" i="1" l="1"/>
  <c r="CX82" i="1" l="1"/>
  <c r="CX86" i="1" s="1"/>
  <c r="CX88" i="1" s="1"/>
  <c r="CX91" i="1" l="1"/>
  <c r="CX93" i="1" s="1"/>
  <c r="CX94" i="1" s="1"/>
  <c r="CX98" i="1"/>
  <c r="CX97" i="1"/>
  <c r="CX81" i="1"/>
  <c r="Z86" i="1"/>
  <c r="Z88" i="1" s="1"/>
  <c r="Z98" i="1" s="1"/>
  <c r="Z97" i="1"/>
  <c r="Z91" i="1" l="1"/>
  <c r="Z93" i="1" s="1"/>
  <c r="Z94" i="1" s="1"/>
  <c r="Z105" i="1" s="1"/>
  <c r="CX105" i="1" l="1"/>
  <c r="CX108" i="1"/>
  <c r="CY105" i="1" l="1"/>
  <c r="CY108" i="1"/>
  <c r="CZ94" i="1" l="1"/>
  <c r="CZ105" i="1" s="1"/>
  <c r="CZ108" i="1"/>
  <c r="CZ110" i="1" s="1"/>
  <c r="DA87" i="1" s="1"/>
  <c r="DA88" i="1" s="1"/>
  <c r="DA89" i="1" l="1"/>
  <c r="DA91" i="1" s="1"/>
  <c r="DA93" i="1" s="1"/>
  <c r="DA108" i="1" s="1"/>
  <c r="DA110" i="1" s="1"/>
  <c r="DB87" i="1" s="1"/>
  <c r="DB88" i="1" s="1"/>
  <c r="DB89" i="1" l="1"/>
  <c r="DB91" i="1" s="1"/>
  <c r="DB93" i="1" s="1"/>
  <c r="DB94" i="1" s="1"/>
  <c r="DA94" i="1"/>
  <c r="DA105" i="1" s="1"/>
  <c r="DB105" i="1" l="1"/>
  <c r="DB108" i="1"/>
  <c r="DB110" i="1" s="1"/>
  <c r="DC87" i="1" s="1"/>
  <c r="DC88" i="1" s="1"/>
  <c r="DC89" i="1" l="1"/>
  <c r="DC91" i="1" s="1"/>
  <c r="DC93" i="1" s="1"/>
  <c r="DC94" i="1" l="1"/>
  <c r="DC105" i="1" s="1"/>
  <c r="DC108" i="1"/>
  <c r="DC110" i="1" s="1"/>
  <c r="DD87" i="1" s="1"/>
  <c r="DD88" i="1" s="1"/>
  <c r="DD89" i="1" l="1"/>
  <c r="DD91" i="1" s="1"/>
  <c r="DD93" i="1" s="1"/>
  <c r="DD94" i="1" l="1"/>
  <c r="DD105" i="1" s="1"/>
  <c r="DD108" i="1"/>
  <c r="DD110" i="1" s="1"/>
  <c r="DE87" i="1" s="1"/>
  <c r="DE88" i="1" s="1"/>
  <c r="DE89" i="1" l="1"/>
  <c r="DE91" i="1" s="1"/>
  <c r="DE93" i="1" s="1"/>
  <c r="DE94" i="1" l="1"/>
  <c r="DE105" i="1" s="1"/>
  <c r="DE108" i="1"/>
  <c r="DE110" i="1" s="1"/>
  <c r="DF87" i="1" l="1"/>
  <c r="DF88" i="1" s="1"/>
  <c r="DF110" i="1"/>
  <c r="DF89" i="1" l="1"/>
  <c r="DF91" i="1" s="1"/>
  <c r="DF93" i="1" s="1"/>
  <c r="DF94" i="1" l="1"/>
  <c r="DF105" i="1" s="1"/>
  <c r="DG93" i="1"/>
  <c r="DH93" i="1" s="1"/>
  <c r="DI93" i="1" s="1"/>
  <c r="DJ93" i="1" s="1"/>
  <c r="DK93" i="1" s="1"/>
  <c r="DL93" i="1" s="1"/>
  <c r="DM93" i="1" s="1"/>
  <c r="DN93" i="1" s="1"/>
  <c r="DO93" i="1" s="1"/>
  <c r="DP93" i="1" s="1"/>
  <c r="DQ93" i="1" s="1"/>
  <c r="DR93" i="1" s="1"/>
  <c r="DS93" i="1" s="1"/>
  <c r="DT93" i="1" s="1"/>
  <c r="DU93" i="1" s="1"/>
  <c r="DV93" i="1" s="1"/>
  <c r="DW93" i="1" s="1"/>
  <c r="DX93" i="1" s="1"/>
  <c r="DY93" i="1" s="1"/>
  <c r="DZ93" i="1" s="1"/>
  <c r="EA93" i="1" s="1"/>
  <c r="EB93" i="1" s="1"/>
  <c r="EC93" i="1" s="1"/>
  <c r="ED93" i="1" s="1"/>
  <c r="EE93" i="1" s="1"/>
  <c r="EF93" i="1" s="1"/>
  <c r="EG93" i="1" s="1"/>
  <c r="EH93" i="1" s="1"/>
  <c r="EI93" i="1" s="1"/>
  <c r="EJ93" i="1" s="1"/>
  <c r="EK93" i="1" s="1"/>
  <c r="EL93" i="1" s="1"/>
  <c r="EM93" i="1" s="1"/>
  <c r="EN93" i="1" s="1"/>
  <c r="EO93" i="1" s="1"/>
  <c r="EP93" i="1" s="1"/>
  <c r="EQ93" i="1" s="1"/>
  <c r="ER93" i="1" s="1"/>
  <c r="ES93" i="1" s="1"/>
  <c r="ET93" i="1" s="1"/>
  <c r="EU93" i="1" s="1"/>
  <c r="EV93" i="1" s="1"/>
  <c r="EW93" i="1" s="1"/>
  <c r="EX93" i="1" s="1"/>
  <c r="EY93" i="1" s="1"/>
  <c r="EZ93" i="1" s="1"/>
  <c r="FA93" i="1" s="1"/>
  <c r="FB93" i="1" s="1"/>
  <c r="FC93" i="1" s="1"/>
  <c r="FD93" i="1" s="1"/>
  <c r="FE93" i="1" s="1"/>
  <c r="FF93" i="1" s="1"/>
  <c r="FG93" i="1" s="1"/>
  <c r="FH93" i="1" s="1"/>
  <c r="FI93" i="1" s="1"/>
  <c r="FJ93" i="1" s="1"/>
  <c r="FK93" i="1" s="1"/>
  <c r="FL93" i="1" s="1"/>
  <c r="FM93" i="1" s="1"/>
  <c r="FN93" i="1" s="1"/>
  <c r="FO93" i="1" s="1"/>
  <c r="FP93" i="1" s="1"/>
  <c r="FQ93" i="1" s="1"/>
  <c r="DR99" i="1" l="1"/>
  <c r="DR100" i="1" s="1"/>
  <c r="DR10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MSMB - Andre</author>
  </authors>
  <commentList>
    <comment ref="F10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MSMB - Andre: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4-1-10 attempting to settle and extend exclusivity for a year or two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tc={E33F5FBE-A351-43AB-BB26-9BE2FEDE5329}</author>
    <author>tc={14193EBD-CFEE-4BE7-8A7E-3BC4D57390F5}</author>
    <author>tc={0B16F1D4-179F-407C-B5AE-AB999DB6F2A3}</author>
    <author>tc={D5DD676B-0E5E-4508-8BC7-B0A73A9A23F5}</author>
    <author>tc={3C5A1471-DCCA-4393-8919-4C76421719EE}</author>
    <author>Martin</author>
    <author>MSMB</author>
    <author>tc={34F3C6B5-B16A-42A0-B3CE-E3EC5300FB08}</author>
    <author>RBC</author>
    <author>Martin Shkreli</author>
    <author>tc={33D8977C-9DE1-4C75-9837-4AE138309EE3}</author>
    <author>tc={32830F3D-2A32-4D82-A13A-FBAABE56DD80}</author>
    <author>tc={DBDCA234-B388-462B-A15C-B39E337DF9FD}</author>
    <author xml:space="preserve"> </author>
    <author>tc={7C44D660-A32A-4533-B79F-0EF2AB3E4C22}</author>
    <author>tc={369A9D9C-E8DB-4875-A620-36A7DE3DC2E0}</author>
    <author>tc={3A866901-E658-44E9-B783-7AF3287D819A}</author>
    <author>MSMB - Andre</author>
    <author>tc={F9AC6D8E-D4E8-48E6-87BF-AFF3BAEAF239}</author>
    <author>tc={F7588713-7B33-4A55-9D7A-5A4110D76910}</author>
    <author>tc={BD0047EE-85B6-4B61-A969-431013501C3B}</author>
    <author>tc={72BD4F50-2261-4075-AF16-39247C996EB7}</author>
    <author>tc={CA4E5E6C-37EE-411F-8975-5167617C6C26}</author>
    <author>tc={ABF320A3-69A6-421F-A688-B262FCFA851F}</author>
    <author>tc={C332E2A7-7FFB-4B2F-83D9-CD4DD37631A5}</author>
    <author>tc={49CC6791-3256-41EA-8E5C-93AA4F992D10}</author>
    <author>tc={59AA2E17-0081-4B0A-8941-5DBC6E5716EF}</author>
    <author>tc={65F7C13C-73F7-432E-96BC-9619FA75CE2E}</author>
    <author>tc={474CDD52-F71C-4FA1-A7E2-59168AC71305}</author>
    <author>tc={63FCEAEB-D131-4204-9A1E-5AC70DE4D13B}</author>
    <author>tc={69867039-2BC2-4030-8C8C-22D8871FE89F}</author>
    <author>tc={70D2DB62-68E2-4B0A-A405-84EE5DA5D593}</author>
  </authors>
  <commentList>
    <comment ref="CG3" authorId="0" shapeId="0" xr:uid="{E33F5FBE-A351-43AB-BB26-9BE2FEDE5329}">
      <text>
        <t>[Threaded comment]
Your version of Excel allows you to read this threaded comment; however, any edits to it will get removed if the file is opened in a newer version of Excel. Learn more: https://go.microsoft.com/fwlink/?linkid=870924
Comment:
    +26% CER</t>
      </text>
    </comment>
    <comment ref="CH3" authorId="1" shapeId="0" xr:uid="{14193EBD-CFEE-4BE7-8A7E-3BC4D57390F5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Q324: 13B guidance
16% CER
US 2.551B EUR</t>
      </text>
    </comment>
    <comment ref="CM3" authorId="2" shapeId="0" xr:uid="{0B16F1D4-179F-407C-B5AE-AB999DB6F2A3}">
      <text>
        <t>[Threaded comment]
Your version of Excel allows you to read this threaded comment; however, any edits to it will get removed if the file is opened in a newer version of Excel. Learn more: https://go.microsoft.com/fwlink/?linkid=870924
Comment:
    +31% CER</t>
      </text>
    </comment>
    <comment ref="DM3" authorId="3" shapeId="0" xr:uid="{D5DD676B-0E5E-4508-8BC7-B0A73A9A23F5}">
      <text>
        <t>[Threaded comment]
Your version of Excel allows you to read this threaded comment; however, any edits to it will get removed if the file is opened in a newer version of Excel. Learn more: https://go.microsoft.com/fwlink/?linkid=870924
Comment:
    +23.1% CER</t>
      </text>
    </comment>
    <comment ref="DS3" authorId="4" shapeId="0" xr:uid="{3C5A1471-DCCA-4393-8919-4C76421719EE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Q424: 22B EUR guidance</t>
      </text>
    </comment>
    <comment ref="Y4" authorId="5" shapeId="0" xr:uid="{00000000-0006-0000-0300-00000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up 22% CER</t>
        </r>
      </text>
    </comment>
    <comment ref="AA4" authorId="6" shapeId="0" xr:uid="{00000000-0006-0000-0300-00000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10.4% CER
Japan +41%
EM +21%
EU +11%
US +8%, 60% of sales</t>
        </r>
      </text>
    </comment>
    <comment ref="AB4" authorId="6" shapeId="0" xr:uid="{00000000-0006-0000-0300-00000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TRX +5% y/y</t>
        </r>
      </text>
    </comment>
    <comment ref="CM4" authorId="7" shapeId="0" xr:uid="{34F3C6B5-B16A-42A0-B3CE-E3EC5300FB08}">
      <text>
        <t>[Threaded comment]
Your version of Excel allows you to read this threaded comment; however, any edits to it will get removed if the file is opened in a newer version of Excel. Learn more: https://go.microsoft.com/fwlink/?linkid=870924
Comment:
    -1% CER</t>
      </text>
    </comment>
    <comment ref="T6" authorId="8" shapeId="0" xr:uid="{00000000-0006-0000-0300-000004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Followed stocking and manufacturing errors</t>
        </r>
      </text>
    </comment>
    <comment ref="U6" authorId="9" shapeId="0" xr:uid="{00000000-0006-0000-0300-00000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Impurities affected inventory build.</t>
        </r>
      </text>
    </comment>
    <comment ref="AA6" authorId="6" shapeId="0" xr:uid="{00000000-0006-0000-0300-00000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US flat y/y
Europe +15% y/y
Other +3% y/y</t>
        </r>
      </text>
    </comment>
    <comment ref="AB6" authorId="6" shapeId="0" xr:uid="{00000000-0006-0000-0300-000007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Rx +6% y/y
$ +10% y/y</t>
        </r>
      </text>
    </comment>
    <comment ref="AC6" authorId="6" shapeId="0" xr:uid="{00000000-0006-0000-0300-000008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Generic launched by Sandoz 7/23/10.</t>
        </r>
      </text>
    </comment>
    <comment ref="CX6" authorId="9" shapeId="0" xr:uid="{00000000-0006-0000-0300-00000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generics enter?</t>
        </r>
      </text>
    </comment>
    <comment ref="CH8" authorId="10" shapeId="0" xr:uid="{33D8977C-9DE1-4C75-9837-4AE13830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switches</t>
      </text>
    </comment>
    <comment ref="CM9" authorId="11" shapeId="0" xr:uid="{32830F3D-2A32-4D82-A13A-FBAABE56DD80}">
      <text>
        <t>[Threaded comment]
Your version of Excel allows you to read this threaded comment; however, any edits to it will get removed if the file is opened in a newer version of Excel. Learn more: https://go.microsoft.com/fwlink/?linkid=870924
Comment:
    +11% CER</t>
      </text>
    </comment>
    <comment ref="CH10" authorId="12" shapeId="0" xr:uid="{DBDCA234-B388-462B-A15C-B39E337DF9FD}">
      <text>
        <t>[Threaded comment]
Your version of Excel allows you to read this threaded comment; however, any edits to it will get removed if the file is opened in a newer version of Excel. Learn more: https://go.microsoft.com/fwlink/?linkid=870924
Comment:
    11/29/24 sold asset to Recordati</t>
      </text>
    </comment>
    <comment ref="S13" authorId="9" shapeId="0" xr:uid="{00000000-0006-0000-0300-00000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1470 global sales EUR</t>
        </r>
      </text>
    </comment>
    <comment ref="X13" authorId="13" shapeId="0" xr:uid="{00000000-0006-0000-0300-00000B000000}">
      <text>
        <r>
          <rPr>
            <sz val="8"/>
            <color indexed="81"/>
            <rFont val="Tahoma"/>
            <family val="2"/>
          </rPr>
          <t>+26 CER</t>
        </r>
      </text>
    </comment>
    <comment ref="AE13" authorId="5" shapeId="0" xr:uid="{00000000-0006-0000-0300-00000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1734 Global, EU at 153</t>
        </r>
      </text>
    </comment>
    <comment ref="CM13" authorId="14" shapeId="0" xr:uid="{7C44D660-A32A-4533-B79F-0EF2AB3E4C22}">
      <text>
        <t>[Threaded comment]
Your version of Excel allows you to read this threaded comment; however, any edits to it will get removed if the file is opened in a newer version of Excel. Learn more: https://go.microsoft.com/fwlink/?linkid=870924
Comment:
    -3% CER</t>
      </text>
    </comment>
    <comment ref="S19" authorId="9" shapeId="0" xr:uid="{00000000-0006-0000-0300-00000D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472 EUR ww</t>
        </r>
      </text>
    </comment>
    <comment ref="CZ26" authorId="13" shapeId="0" xr:uid="{00000000-0006-0000-0300-000019000000}">
      <text>
        <r>
          <rPr>
            <sz val="8"/>
            <color indexed="81"/>
            <rFont val="Tahoma"/>
            <family val="2"/>
          </rPr>
          <t>Lauch trajectory indicate $1bn in 3rd full year --JPM Q309</t>
        </r>
      </text>
    </comment>
    <comment ref="DC26" authorId="6" shapeId="0" xr:uid="{00000000-0006-0000-0300-00001A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COM expires!!</t>
        </r>
      </text>
    </comment>
    <comment ref="DE26" authorId="13" shapeId="0" xr:uid="{00000000-0006-0000-0300-00001B000000}">
      <text>
        <r>
          <rPr>
            <sz val="8"/>
            <color indexed="81"/>
            <rFont val="Tahoma"/>
            <family val="2"/>
          </rPr>
          <t>Kepler 2600m estimate</t>
        </r>
      </text>
    </comment>
    <comment ref="CH36" authorId="15" shapeId="0" xr:uid="{369A9D9C-E8DB-4875-A620-36A7DE3DC2E0}">
      <text>
        <t>[Threaded comment]
Your version of Excel allows you to read this threaded comment; however, any edits to it will get removed if the file is opened in a newer version of Excel. Learn more: https://go.microsoft.com/fwlink/?linkid=870924
Comment:
    Europe 8m, ROW 5m</t>
      </text>
    </comment>
    <comment ref="CH39" authorId="16" shapeId="0" xr:uid="{3A866901-E658-44E9-B783-7AF3287D819A}">
      <text>
        <t>[Threaded comment]
Your version of Excel allows you to read this threaded comment; however, any edits to it will get removed if the file is opened in a newer version of Excel. Learn more: https://go.microsoft.com/fwlink/?linkid=870924
Comment:
    Most patients have switched in the US from Myozyme/Lumizyme</t>
      </text>
    </comment>
    <comment ref="Y45" authorId="9" shapeId="0" xr:uid="{00000000-0006-0000-0300-00001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Lost patent case, TEVA, Hospira, Sun enter market.</t>
        </r>
      </text>
    </comment>
    <comment ref="AB45" authorId="17" shapeId="0" xr:uid="{00000000-0006-0000-0300-000012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Generic settlement</t>
        </r>
      </text>
    </comment>
    <comment ref="W46" authorId="9" shapeId="0" xr:uid="{00000000-0006-0000-0300-00001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128 CR</t>
        </r>
      </text>
    </comment>
    <comment ref="AA46" authorId="6" shapeId="0" xr:uid="{00000000-0006-0000-0300-00001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142 US
62 Other
17 EU</t>
        </r>
      </text>
    </comment>
    <comment ref="X47" authorId="13" shapeId="0" xr:uid="{00000000-0006-0000-0300-000015000000}">
      <text>
        <r>
          <rPr>
            <sz val="8"/>
            <color indexed="81"/>
            <rFont val="Tahoma"/>
            <family val="2"/>
          </rPr>
          <t>5% Europe</t>
        </r>
      </text>
    </comment>
    <comment ref="CT47" authorId="13" shapeId="0" xr:uid="{00000000-0006-0000-0300-000016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Tablets went generic through TEVA.</t>
        </r>
      </text>
    </comment>
    <comment ref="CX47" authorId="13" shapeId="0" xr:uid="{00000000-0006-0000-0300-000017000000}">
      <text>
        <r>
          <rPr>
            <b/>
            <sz val="8"/>
            <color indexed="81"/>
            <rFont val="Tahoma"/>
            <family val="2"/>
          </rPr>
          <t>11/1/09 BRL authorized generic for D-12</t>
        </r>
      </text>
    </comment>
    <comment ref="CZ52" authorId="13" shapeId="0" xr:uid="{00000000-0006-0000-0300-000018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BRL authorized generic settlement launch date</t>
        </r>
      </text>
    </comment>
    <comment ref="AA56" authorId="6" shapeId="0" xr:uid="{00000000-0006-0000-0300-00000E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+10% US CER
-3% Europe CER
-3% other CER</t>
        </r>
      </text>
    </comment>
    <comment ref="AB56" authorId="6" shapeId="0" xr:uid="{00000000-0006-0000-0300-00000F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-10% US y/y TRX, $</t>
        </r>
      </text>
    </comment>
    <comment ref="CY56" authorId="13" shapeId="0" xr:uid="{00000000-0006-0000-0300-000010000000}">
      <text>
        <r>
          <rPr>
            <sz val="8"/>
            <color indexed="81"/>
            <rFont val="Tahoma"/>
            <family val="2"/>
          </rPr>
          <t>5/14/10 expiry of 4814470 patent.</t>
        </r>
      </text>
    </comment>
    <comment ref="T64" authorId="9" shapeId="0" xr:uid="{00000000-0006-0000-0300-00001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TEVA agreement expires</t>
        </r>
      </text>
    </comment>
    <comment ref="AA65" authorId="6" shapeId="0" xr:uid="{00000000-0006-0000-0300-00001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10% US</t>
        </r>
      </text>
    </comment>
    <comment ref="CG65" authorId="18" shapeId="0" xr:uid="{F9AC6D8E-D4E8-48E6-87BF-AFF3BAEAF239}">
      <text>
        <t>[Threaded comment]
Your version of Excel allows you to read this threaded comment; however, any edits to it will get removed if the file is opened in a newer version of Excel. Learn more: https://go.microsoft.com/fwlink/?linkid=870924
Comment:
    Qunol acquisition</t>
      </text>
    </comment>
    <comment ref="AA67" authorId="6" shapeId="0" xr:uid="{00000000-0006-0000-0300-00001E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only 8% US</t>
        </r>
      </text>
    </comment>
    <comment ref="S68" authorId="13" shapeId="0" xr:uid="{00000000-0006-0000-0300-00001F000000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Accomplia 22</t>
        </r>
      </text>
    </comment>
    <comment ref="S78" authorId="9" shapeId="0" xr:uid="{00000000-0006-0000-0300-000020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Plavix-related strength</t>
        </r>
      </text>
    </comment>
    <comment ref="AA80" authorId="5" shapeId="0" xr:uid="{00000000-0006-0000-0300-00002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Animal was possibly not included previously</t>
        </r>
      </text>
    </comment>
    <comment ref="BZ80" authorId="19" shapeId="0" xr:uid="{F7588713-7B33-4A55-9D7A-5A4110D76910}">
      <text>
        <t>[Threaded comment]
Your version of Excel allows you to read this threaded comment; however, any edits to it will get removed if the file is opened in a newer version of Excel. Learn more: https://go.microsoft.com/fwlink/?linkid=870924
Comment:
    10725m reported</t>
      </text>
    </comment>
    <comment ref="CD80" authorId="20" shapeId="0" xr:uid="{BD0047EE-85B6-4B61-A969-431013501C3B}">
      <text>
        <t>[Threaded comment]
Your version of Excel allows you to read this threaded comment; however, any edits to it will get removed if the file is opened in a newer version of Excel. Learn more: https://go.microsoft.com/fwlink/?linkid=870924
Comment:
    9687 prior period recast (Q424)</t>
      </text>
    </comment>
    <comment ref="DO80" authorId="21" shapeId="0" xr:uid="{72BD4F50-2261-4075-AF16-39247C996EB7}">
      <text>
        <t>[Threaded comment]
Your version of Excel allows you to read this threaded comment; however, any edits to it will get removed if the file is opened in a newer version of Excel. Learn more: https://go.microsoft.com/fwlink/?linkid=870924
Comment:
    Q425: HSD CER
Q126: HSD CER</t>
      </text>
    </comment>
    <comment ref="CI81" authorId="22" shapeId="0" xr:uid="{CA4E5E6C-37EE-411F-8975-5167617C6C2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2826 COGS, 617 other revenue, recast</t>
      </text>
    </comment>
    <comment ref="CI84" authorId="23" shapeId="0" xr:uid="{ABF320A3-69A6-421F-A688-B262FCFA851F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2200</t>
      </text>
    </comment>
    <comment ref="S90" authorId="9" shapeId="0" xr:uid="{00000000-0006-0000-0300-00002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Plavix, Avapro, Gardasil impact</t>
        </r>
      </text>
    </comment>
    <comment ref="CG93" authorId="24" shapeId="0" xr:uid="{C332E2A7-7FFB-4B2F-83D9-CD4DD37631A5}">
      <text>
        <t>[Threaded comment]
Your version of Excel allows you to read this threaded comment; however, any edits to it will get removed if the file is opened in a newer version of Excel. Learn more: https://go.microsoft.com/fwlink/?linkid=870924
Comment:
    Business NI 3585m</t>
      </text>
    </comment>
    <comment ref="CI93" authorId="25" shapeId="0" xr:uid="{49CC6791-3256-41EA-8E5C-93AA4F992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2212</t>
      </text>
    </comment>
    <comment ref="CM93" authorId="26" shapeId="0" xr:uid="{59AA2E17-0081-4B0A-8941-5DBC6E5716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2264</t>
      </text>
    </comment>
    <comment ref="CG94" authorId="27" shapeId="0" xr:uid="{65F7C13C-73F7-432E-96BC-9619FA75CE2E}">
      <text>
        <t>[Threaded comment]
Your version of Excel allows you to read this threaded comment; however, any edits to it will get removed if the file is opened in a newer version of Excel. Learn more: https://go.microsoft.com/fwlink/?linkid=870924
Comment:
    Business EPS 2.86
IFRS EPS 2.25</t>
      </text>
    </comment>
    <comment ref="CH94" authorId="28" shapeId="0" xr:uid="{474CDD52-F71C-4FA1-A7E2-59168AC71305}">
      <text>
        <t>[Threaded comment]
Your version of Excel allows you to read this threaded comment; however, any edits to it will get removed if the file is opened in a newer version of Excel. Learn more: https://go.microsoft.com/fwlink/?linkid=870924
Comment:
    Business EPS of EUR1.31
-11% CER</t>
      </text>
    </comment>
    <comment ref="CI94" authorId="29" shapeId="0" xr:uid="{63FCEAEB-D131-4204-9A1E-5AC70DE4D1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business EPS 1.79</t>
      </text>
    </comment>
    <comment ref="CM94" authorId="30" shapeId="0" xr:uid="{69867039-2BC2-4030-8C8C-22D8871FE89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business EPS 1.88</t>
      </text>
    </comment>
    <comment ref="CW94" authorId="9" shapeId="0" xr:uid="{00000000-0006-0000-0300-000023000000}">
      <text>
        <r>
          <rPr>
            <sz val="8"/>
            <color indexed="81"/>
            <rFont val="Tahoma"/>
            <family val="2"/>
          </rPr>
          <t>Q308: Expect 9%</t>
        </r>
        <r>
          <rPr>
            <sz val="8"/>
            <color indexed="81"/>
            <rFont val="Tahoma"/>
            <family val="2"/>
          </rPr>
          <t xml:space="preserve">
Q208: Expect 7% eps growth at 1.371 euro/dollar. Compared to 5.17 eps for 2007/</t>
        </r>
      </text>
    </comment>
    <comment ref="CY94" authorId="6" shapeId="0" xr:uid="{00000000-0006-0000-0300-00002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Flat to -4% versus 2009</t>
        </r>
      </text>
    </comment>
    <comment ref="DM94" authorId="31" shapeId="0" xr:uid="{70D2DB62-68E2-4B0A-A405-84EE5DA5D593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10/21/24/Q324: +LSD CER excluding Opella</t>
      </text>
    </comment>
    <comment ref="AE101" authorId="5" shapeId="0" xr:uid="{00000000-0006-0000-0300-00002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+0.1% excluding H1N1</t>
        </r>
      </text>
    </comment>
    <comment ref="AA103" authorId="17" shapeId="0" xr:uid="{00000000-0006-0000-0300-000026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10.4% CER</t>
        </r>
      </text>
    </comment>
    <comment ref="AB103" authorId="6" shapeId="0" xr:uid="{00000000-0006-0000-0300-000027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10.6% CER</t>
        </r>
      </text>
    </comment>
    <comment ref="AC103" authorId="5" shapeId="0" xr:uid="{00000000-0006-0000-0300-00002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6.7% CER</t>
        </r>
      </text>
    </comment>
    <comment ref="AO105" authorId="5" shapeId="0" xr:uid="{00000000-0006-0000-0300-00002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-9%</t>
        </r>
      </text>
    </comment>
  </commentList>
</comments>
</file>

<file path=xl/sharedStrings.xml><?xml version="1.0" encoding="utf-8"?>
<sst xmlns="http://schemas.openxmlformats.org/spreadsheetml/2006/main" count="888" uniqueCount="651">
  <si>
    <t>Q2 2005</t>
  </si>
  <si>
    <t>Other Revs</t>
  </si>
  <si>
    <t>COGS</t>
  </si>
  <si>
    <t>R&amp;D</t>
  </si>
  <si>
    <t>SG&amp;A</t>
  </si>
  <si>
    <t>Taxes</t>
  </si>
  <si>
    <t>Financial Expenses</t>
  </si>
  <si>
    <t>EBT</t>
  </si>
  <si>
    <t>JV</t>
  </si>
  <si>
    <t>NI -MI</t>
  </si>
  <si>
    <t>EPS</t>
  </si>
  <si>
    <t>Shares</t>
  </si>
  <si>
    <t>Name</t>
  </si>
  <si>
    <t>Indication</t>
  </si>
  <si>
    <t>Economics</t>
  </si>
  <si>
    <t>IP</t>
  </si>
  <si>
    <t>Competition</t>
  </si>
  <si>
    <t>Phase</t>
  </si>
  <si>
    <t>Depression</t>
  </si>
  <si>
    <t>EFC5374</t>
  </si>
  <si>
    <t>Trial</t>
  </si>
  <si>
    <t>GEO</t>
  </si>
  <si>
    <t>EU</t>
  </si>
  <si>
    <t>n</t>
  </si>
  <si>
    <t>Pop</t>
  </si>
  <si>
    <t>Time</t>
  </si>
  <si>
    <t>6 wks</t>
  </si>
  <si>
    <t>EFC5379</t>
  </si>
  <si>
    <t>NA</t>
  </si>
  <si>
    <t>Result</t>
  </si>
  <si>
    <t>Positive</t>
  </si>
  <si>
    <t>Negative</t>
  </si>
  <si>
    <t>Insomnia</t>
  </si>
  <si>
    <t>p2b n=350 met PE of WASO, # of awakenings, TST. No next day effect or rebound insomnia and good safety.</t>
  </si>
  <si>
    <t>DRI5154 p2b n=527. 3 doses vs. placebo on abstinence. Met PE of prolonged abstinence during last 4 weeks of treatment. Safety "acceptable"</t>
  </si>
  <si>
    <t>Xenox p3 n=649 mCRC w/ FOLFOX4, decreased severe PSN (peripheral sensory neuropathy) by 39%.</t>
  </si>
  <si>
    <t>refractory CLL, activity similar to Campath or fludarabine, good safety</t>
  </si>
  <si>
    <t>HypoCAT in n=110 hyponatremic pts with cirrhotic ascites met PE to change serum sodium levels on day 5</t>
  </si>
  <si>
    <t>NormoCat in n=148 normonatremic pts with cirrhotic ascites met PE to chg body weight gain at end of tmt</t>
  </si>
  <si>
    <t>Plavix</t>
  </si>
  <si>
    <t>Cardiology</t>
  </si>
  <si>
    <t>BMY</t>
  </si>
  <si>
    <t>clopidogrel</t>
  </si>
  <si>
    <t>VTE trials for patients in AF: Amadeus, Active, Van Gogh</t>
  </si>
  <si>
    <t>Pranalcasan (HMR 3480)</t>
  </si>
  <si>
    <t>Osanetant (SR 142801)</t>
  </si>
  <si>
    <t>entering p3 CLL trials</t>
  </si>
  <si>
    <t>Actonel</t>
  </si>
  <si>
    <t>Allegra</t>
  </si>
  <si>
    <t>Lovenox</t>
  </si>
  <si>
    <t>Ambien CR</t>
  </si>
  <si>
    <t>B3 agonist for depression</t>
  </si>
  <si>
    <t>Nicotinic partial agonist</t>
  </si>
  <si>
    <t>vasopressin V2 partial agonist</t>
  </si>
  <si>
    <t>CMS says wont cover obesity drugs for Part D</t>
  </si>
  <si>
    <t>ADA rejected the concept of metabolic syndrome</t>
  </si>
  <si>
    <t>CRESCENDO - 2011 - 20k patients, mortality benefit</t>
  </si>
  <si>
    <t>Price</t>
  </si>
  <si>
    <t>3.14/day in the UK</t>
  </si>
  <si>
    <t>generic 9/2/2008</t>
  </si>
  <si>
    <t>Taxotere</t>
  </si>
  <si>
    <t>Eloxatin</t>
  </si>
  <si>
    <t>Lantus</t>
  </si>
  <si>
    <t>Copaxone</t>
  </si>
  <si>
    <t>Lovenox (enoxaparin)</t>
  </si>
  <si>
    <t>Main</t>
  </si>
  <si>
    <t>Brand Name</t>
  </si>
  <si>
    <t>Generic Name</t>
  </si>
  <si>
    <t>enoxaparin</t>
  </si>
  <si>
    <t>Venous Thromboembolism</t>
  </si>
  <si>
    <t>Mechanism</t>
  </si>
  <si>
    <t>Obesity (but contraindicated with depression)</t>
  </si>
  <si>
    <t>Reimbursement</t>
  </si>
  <si>
    <t>MRK has CB1 going into p3; PFE</t>
  </si>
  <si>
    <t>Clinical Trials</t>
  </si>
  <si>
    <t>Timeline</t>
  </si>
  <si>
    <t>SERENADE - 2008 - diabetes</t>
  </si>
  <si>
    <t>Results reported at IDF</t>
  </si>
  <si>
    <t>Safety</t>
  </si>
  <si>
    <t>Depression, Anxiety</t>
  </si>
  <si>
    <t>Oncology</t>
  </si>
  <si>
    <t>REGN</t>
  </si>
  <si>
    <t>AVE5530</t>
  </si>
  <si>
    <t>Type 2 Diabetes</t>
  </si>
  <si>
    <t>GLP-1</t>
  </si>
  <si>
    <t>HRPC</t>
  </si>
  <si>
    <t>Taxane</t>
  </si>
  <si>
    <t>idraparinux</t>
  </si>
  <si>
    <t>CASSIPOEA</t>
  </si>
  <si>
    <t>EQUINOX</t>
  </si>
  <si>
    <t>positive for DVT but mixed overall?</t>
  </si>
  <si>
    <t>n=3200 in pulmonary embolism</t>
  </si>
  <si>
    <t>bridging study</t>
  </si>
  <si>
    <t>VTE</t>
  </si>
  <si>
    <t>Admin</t>
  </si>
  <si>
    <t>5HT4 partial agonist. Also reportedly a 5HT2a antagonist.</t>
  </si>
  <si>
    <t>Allergic Rhinitis</t>
  </si>
  <si>
    <t>SR57746A</t>
  </si>
  <si>
    <t>xaliproden</t>
  </si>
  <si>
    <t>5-HT1a agonist</t>
  </si>
  <si>
    <t>Alzheimer's disease, Chemo-Induced Neuropathy, ALS, MS</t>
  </si>
  <si>
    <t>Zimulti, fka Accomplia</t>
  </si>
  <si>
    <t>Price EUR</t>
  </si>
  <si>
    <t>Cash EUR</t>
  </si>
  <si>
    <t>Debt EUR</t>
  </si>
  <si>
    <t>MC EUR</t>
  </si>
  <si>
    <t>EV EUR</t>
  </si>
  <si>
    <t>Plavix (clopidogrel)</t>
  </si>
  <si>
    <t>Approved</t>
  </si>
  <si>
    <t>Oral</t>
  </si>
  <si>
    <t>SQ</t>
  </si>
  <si>
    <t>CHARISMA n=15,600 - 3/12/2006</t>
  </si>
  <si>
    <t>CAPRIE - n=19,200 - 1998 results</t>
  </si>
  <si>
    <t>Plavix vs aspirin</t>
  </si>
  <si>
    <t>CURE n=12,600</t>
  </si>
  <si>
    <t>COMMIT - n=45,900 - Aspirin +- Plavix</t>
  </si>
  <si>
    <t>Acute MI in-hospital</t>
  </si>
  <si>
    <t>November 2011 expiry. US patent confirmed as valid.</t>
  </si>
  <si>
    <t>US: Received Class 2 response, 4/26/2007 PDUFA. Filing withdrawn following negative AdCom. EU labeling modified.</t>
  </si>
  <si>
    <t>Xyzal</t>
  </si>
  <si>
    <t>UCB</t>
  </si>
  <si>
    <t>EUR</t>
  </si>
  <si>
    <t>Q305</t>
  </si>
  <si>
    <t>Q405</t>
  </si>
  <si>
    <t>Q106</t>
  </si>
  <si>
    <t>Q206</t>
  </si>
  <si>
    <t>Q306</t>
  </si>
  <si>
    <t>Q406</t>
  </si>
  <si>
    <t>Q107</t>
  </si>
  <si>
    <t>Q207</t>
  </si>
  <si>
    <t>Q307</t>
  </si>
  <si>
    <t>Q407</t>
  </si>
  <si>
    <t>Ambien</t>
  </si>
  <si>
    <t>Depakine</t>
  </si>
  <si>
    <t>IV/SQ</t>
  </si>
  <si>
    <t>IV</t>
  </si>
  <si>
    <t>H5N1 vaccine</t>
  </si>
  <si>
    <t>Influenza</t>
  </si>
  <si>
    <t>Other</t>
  </si>
  <si>
    <t>Q205</t>
  </si>
  <si>
    <t>Q105</t>
  </si>
  <si>
    <t>Q404</t>
  </si>
  <si>
    <t>Q304</t>
  </si>
  <si>
    <t>Q204</t>
  </si>
  <si>
    <t>Q104</t>
  </si>
  <si>
    <t>Vaccines</t>
  </si>
  <si>
    <t>Superior in VTE events (43% RR) and trends higher in major bleeds.</t>
  </si>
  <si>
    <t>EXCLAIM Phase III - Lovenox vs placebo in AMI n=5043</t>
  </si>
  <si>
    <t>PREVAIL Phase III - Lovenox vs UFH n=1768</t>
  </si>
  <si>
    <t>44% RR for VTE.</t>
  </si>
  <si>
    <t>Aprovel (irbesartan)</t>
  </si>
  <si>
    <t>Hypertension</t>
  </si>
  <si>
    <t>Atrial Fibrillation</t>
  </si>
  <si>
    <t>III</t>
  </si>
  <si>
    <t>II</t>
  </si>
  <si>
    <t>VEGF</t>
  </si>
  <si>
    <t>XRP9881 (larotaxel)</t>
  </si>
  <si>
    <t>DebioPharm</t>
  </si>
  <si>
    <t>Alzheimer's</t>
  </si>
  <si>
    <t>Standard</t>
  </si>
  <si>
    <t>Heparin, LMWH.</t>
  </si>
  <si>
    <t>Long-acting factor X inhibitor.</t>
  </si>
  <si>
    <t>VAN GOGH - DVT</t>
  </si>
  <si>
    <t>2.9% recurrence of DVT compared with 3.0% with standard-therapy. 4.5% bleeding at day 92 and 7.0% for standard. 6 month bleeding was similar. Pulmonary embolism was higher for idraparinux, 3.4% vs 1.6%.</t>
  </si>
  <si>
    <t>Operating Expenses</t>
  </si>
  <si>
    <t>LMWH.</t>
  </si>
  <si>
    <t>Rivaroxaban proved superior to Lovenox in VTE prevention. Unfractionated heparin is another competitor.</t>
  </si>
  <si>
    <t>Operating Income</t>
  </si>
  <si>
    <t>Gross Profit</t>
  </si>
  <si>
    <t>Gross Margin</t>
  </si>
  <si>
    <t>Revenue Y/Y</t>
  </si>
  <si>
    <t>Tax Rate</t>
  </si>
  <si>
    <t>Net Income</t>
  </si>
  <si>
    <t>Minority Interest</t>
  </si>
  <si>
    <t>Cash</t>
  </si>
  <si>
    <t>CFFO</t>
  </si>
  <si>
    <t>EPS Y/Y</t>
  </si>
  <si>
    <t>Q108</t>
  </si>
  <si>
    <t>Q208</t>
  </si>
  <si>
    <t>Q308</t>
  </si>
  <si>
    <t>Q408</t>
  </si>
  <si>
    <t>Total Revenues</t>
  </si>
  <si>
    <t>Avapro/Aprovel</t>
  </si>
  <si>
    <t>EPLILONG Phase III success</t>
  </si>
  <si>
    <t>GEMS Phase III success</t>
  </si>
  <si>
    <t>EPOCH Phase III failed.</t>
  </si>
  <si>
    <t>Anticoagulant</t>
  </si>
  <si>
    <t>Appeals court ruled patent unenforceable 5/14/2008. FDA must approve a generic Lovenox.</t>
  </si>
  <si>
    <t>Multaq (dronedarone)</t>
  </si>
  <si>
    <t>Multaq</t>
  </si>
  <si>
    <t>Trials</t>
  </si>
  <si>
    <t>Phase III ATHENA n=4628</t>
  </si>
  <si>
    <t>24% decrease in cardiovascular hospitalizations or death vs placebo.</t>
  </si>
  <si>
    <t>Demonstrates rhythm control is important, as well as rate control.</t>
  </si>
  <si>
    <t>Schweizerhall May 8 2008 press release stating it received approval for generic clopidogrel and licensed to a major generics company (Sandoz?).</t>
  </si>
  <si>
    <t>ACS, Secondary Prevention</t>
  </si>
  <si>
    <t>US November 2011, EU 2013 (challenged)</t>
  </si>
  <si>
    <t>Launches across Europe in 2009? July 14 2008 expiry for salt patent. Remaining patent is EP0281459 (expires 2013, isomer and salt patent).</t>
  </si>
  <si>
    <t xml:space="preserve">  Schweizerhall generic is a different salt and launch is limited to monotherapy, not ACS/stent. Germany may be the only launch.</t>
  </si>
  <si>
    <t>DHODH</t>
  </si>
  <si>
    <t>teriflunomide</t>
  </si>
  <si>
    <t>DHODH inhibitor, metabolite of Arava.</t>
  </si>
  <si>
    <t>Phase III TESMO - Enrollment complete in January 2008</t>
  </si>
  <si>
    <t>n=1088, 91% with RRMS.</t>
  </si>
  <si>
    <t>108 week primary endpoint (annualized relapse rate).</t>
  </si>
  <si>
    <t>Mat</t>
  </si>
  <si>
    <t>Dis</t>
  </si>
  <si>
    <t>NPV</t>
  </si>
  <si>
    <t xml:space="preserve">  Conservative despite Lantus, Vaccines business.</t>
  </si>
  <si>
    <t>Q109</t>
  </si>
  <si>
    <t>Q4 2008</t>
  </si>
  <si>
    <t>saredutant</t>
  </si>
  <si>
    <t>BSI-201</t>
  </si>
  <si>
    <t>I</t>
  </si>
  <si>
    <t>Apidra</t>
  </si>
  <si>
    <t>Q209</t>
  </si>
  <si>
    <t>Q309</t>
  </si>
  <si>
    <t>Q409</t>
  </si>
  <si>
    <t>insulin glargine</t>
  </si>
  <si>
    <t>Meta-analysis/insurance data published by EASD? in June 2009.</t>
  </si>
  <si>
    <t>German insurance database of 127k patients suggests 1/100 cancer risk for Lantus over 18 months vs human insulin.</t>
  </si>
  <si>
    <t>Sweden &amp; Scotland data suggests breast cancer risk?</t>
  </si>
  <si>
    <t>Insulin</t>
  </si>
  <si>
    <t>Lantus (insulin glargine)</t>
  </si>
  <si>
    <t>Lantus vs human NPH insulin n=1017</t>
  </si>
  <si>
    <t>No difference in cancer rates.</t>
  </si>
  <si>
    <t>Tritace (ramipril)</t>
  </si>
  <si>
    <t>US generic</t>
  </si>
  <si>
    <t>Amaryl (glimepiride)</t>
  </si>
  <si>
    <t>Sulfonylurea</t>
  </si>
  <si>
    <t>US Generic</t>
  </si>
  <si>
    <t>BPH</t>
  </si>
  <si>
    <t>Alpha-1</t>
  </si>
  <si>
    <t>Uroxatral/Xatral (alfuzosin)</t>
  </si>
  <si>
    <t>SKYE XR</t>
  </si>
  <si>
    <t>95%, SKYE?</t>
  </si>
  <si>
    <t>2011? 2017</t>
  </si>
  <si>
    <t>Xatral (alfusozin)</t>
  </si>
  <si>
    <t>Nasacort (triamcinolone)</t>
  </si>
  <si>
    <t>2011, 2016</t>
  </si>
  <si>
    <t>Flonase</t>
  </si>
  <si>
    <t>Nasal</t>
  </si>
  <si>
    <t>Cancer</t>
  </si>
  <si>
    <t>EXEL</t>
  </si>
  <si>
    <t>Failed to meet primary endpoint.</t>
  </si>
  <si>
    <t>Protein</t>
  </si>
  <si>
    <t>Phase III ER- PR- HER2- mBC - Gem/Carbo+-BSI-201</t>
  </si>
  <si>
    <t>n=420, PFS/OS dual primary.</t>
  </si>
  <si>
    <t>Phase II ER-, PR, HER-2- mBC n=116</t>
  </si>
  <si>
    <t>6.9 mo PFS vs. 3.3 mo OS.</t>
  </si>
  <si>
    <t>9.2 mo OS vs 5.7 mo OS .</t>
  </si>
  <si>
    <t>Q209: Paying $4bn to own 50% of Merial/Intervet Schering-Plough</t>
  </si>
  <si>
    <t>$7/day WAC or $2,500/year.</t>
  </si>
  <si>
    <t>-</t>
  </si>
  <si>
    <t>P3</t>
  </si>
  <si>
    <t>Zentiva?</t>
  </si>
  <si>
    <t>Shantha?</t>
  </si>
  <si>
    <t>Multiple Sclerosis</t>
  </si>
  <si>
    <t>TEVA</t>
  </si>
  <si>
    <t>Interferons</t>
  </si>
  <si>
    <t>LMWH</t>
  </si>
  <si>
    <t>Antihistamine</t>
  </si>
  <si>
    <t>Platinum</t>
  </si>
  <si>
    <t>ARB</t>
  </si>
  <si>
    <t>Unknown</t>
  </si>
  <si>
    <t>GABA</t>
  </si>
  <si>
    <t>Vaccine</t>
  </si>
  <si>
    <t>Allegra (fexofenadine)</t>
  </si>
  <si>
    <t>AMRI</t>
  </si>
  <si>
    <t>Taxotere (docetaxel)</t>
  </si>
  <si>
    <t>2010 COM.</t>
  </si>
  <si>
    <t>Q110</t>
  </si>
  <si>
    <t>Q210</t>
  </si>
  <si>
    <t>Q310</t>
  </si>
  <si>
    <t>Q410</t>
  </si>
  <si>
    <t>Eloxatin (oxaliplatin)</t>
  </si>
  <si>
    <t>Generics launched Q309.</t>
  </si>
  <si>
    <t>ACE</t>
  </si>
  <si>
    <t>Generics</t>
  </si>
  <si>
    <t>KG in US</t>
  </si>
  <si>
    <t>BMY. 100% owned in Japan!</t>
  </si>
  <si>
    <t>Medley</t>
  </si>
  <si>
    <t>OTC</t>
  </si>
  <si>
    <t>Lantus Y/Y</t>
  </si>
  <si>
    <t>Used lower doses of carbo than normal.</t>
  </si>
  <si>
    <t>PARP1 inhibitor. RAD51 foci DNA repair phenocopy. BCRA1/2 similar.</t>
  </si>
  <si>
    <t>mBC, NSCLC, HRPC</t>
  </si>
  <si>
    <t>BMY US, Ex-US</t>
  </si>
  <si>
    <t>Settled with BRL for 11/09.</t>
  </si>
  <si>
    <t>No IP, Semi-Biologic</t>
  </si>
  <si>
    <t>Amphastar/WPI, TEVA and Sandoz/MNTA are attempting to genericize. FDA must decide however has been indecisive for 3 years.</t>
  </si>
  <si>
    <t>eplivanserin</t>
  </si>
  <si>
    <t>Status</t>
  </si>
  <si>
    <t>withdrawn</t>
  </si>
  <si>
    <t>Ciltyri</t>
  </si>
  <si>
    <t>Insuman</t>
  </si>
  <si>
    <t>ROIC</t>
  </si>
  <si>
    <t>Lovenox Y/Y</t>
  </si>
  <si>
    <t>Jevtana</t>
  </si>
  <si>
    <t>Lantus (biologic)</t>
  </si>
  <si>
    <t>Lovenox (biologic)</t>
  </si>
  <si>
    <t>2014 NCE, 2018 Use</t>
  </si>
  <si>
    <t>Multaq (2014)</t>
  </si>
  <si>
    <t>Actonel (ROW)</t>
  </si>
  <si>
    <t>Osteoporosis</t>
  </si>
  <si>
    <t>WCRX</t>
  </si>
  <si>
    <t>Biphosphonate</t>
  </si>
  <si>
    <t>100%?</t>
  </si>
  <si>
    <t>Revenue CER</t>
  </si>
  <si>
    <t>OCA</t>
  </si>
  <si>
    <t>A/R</t>
  </si>
  <si>
    <t>Inventories</t>
  </si>
  <si>
    <t>Deferred Tax Assets</t>
  </si>
  <si>
    <t xml:space="preserve">  All-pharma discount rate (PFE, MRK).</t>
  </si>
  <si>
    <t>Failures</t>
  </si>
  <si>
    <t>Q111</t>
  </si>
  <si>
    <t>Q211</t>
  </si>
  <si>
    <t>Q411</t>
  </si>
  <si>
    <t>Q311</t>
  </si>
  <si>
    <t>Animal</t>
  </si>
  <si>
    <t>Pentaxim</t>
  </si>
  <si>
    <t>Diphtheria, Tetanus, Pertussis, Polio, Haemophilus Influenza</t>
  </si>
  <si>
    <t>Fluzone</t>
  </si>
  <si>
    <t>Jevtana (cabazitaxel)</t>
  </si>
  <si>
    <t>Cerezyme</t>
  </si>
  <si>
    <t>Myozyme</t>
  </si>
  <si>
    <t>Fabrazyme</t>
  </si>
  <si>
    <t>Pompe Disease</t>
  </si>
  <si>
    <t>BAY GR?</t>
  </si>
  <si>
    <t>HoFH</t>
  </si>
  <si>
    <t>ISIS</t>
  </si>
  <si>
    <t>Gaucher Disease</t>
  </si>
  <si>
    <t>Hexavalent Ped Vaccine</t>
  </si>
  <si>
    <t>DTP-HepB-Polio-Hib</t>
  </si>
  <si>
    <t>2L mCRC</t>
  </si>
  <si>
    <t>SSR125543</t>
  </si>
  <si>
    <t>SAR260093</t>
  </si>
  <si>
    <t>Net Cash</t>
  </si>
  <si>
    <t>Share</t>
  </si>
  <si>
    <t>Upside</t>
  </si>
  <si>
    <t>Synvisc</t>
  </si>
  <si>
    <t>Q112</t>
  </si>
  <si>
    <t>Q212</t>
  </si>
  <si>
    <t>Q312</t>
  </si>
  <si>
    <t>Q412</t>
  </si>
  <si>
    <t>Q113</t>
  </si>
  <si>
    <t>Q213</t>
  </si>
  <si>
    <t>Q313</t>
  </si>
  <si>
    <t>Q413</t>
  </si>
  <si>
    <t>Aldurazyme</t>
  </si>
  <si>
    <t>Aubagio</t>
  </si>
  <si>
    <t>Mozobil</t>
  </si>
  <si>
    <t>Zaltrap</t>
  </si>
  <si>
    <t>Auvi-Q (epinephrine)</t>
  </si>
  <si>
    <t>Renagel/Renvela</t>
  </si>
  <si>
    <t>AVE5026?</t>
  </si>
  <si>
    <t>Thymoglobulin</t>
  </si>
  <si>
    <t>Lasix</t>
  </si>
  <si>
    <t>Targocid</t>
  </si>
  <si>
    <t>Orudis</t>
  </si>
  <si>
    <t>Cordarone</t>
  </si>
  <si>
    <t>Zaltrap (ziv-aflibercept)</t>
  </si>
  <si>
    <t>Kynamro (mipomersen)</t>
  </si>
  <si>
    <t>Cerdelga (eliglustat)</t>
  </si>
  <si>
    <t>Cholesterol</t>
  </si>
  <si>
    <t>PCSK9</t>
  </si>
  <si>
    <t>Lemtrada (alemtuzumab)</t>
  </si>
  <si>
    <t>AntiCD52</t>
  </si>
  <si>
    <t>Glucosylceramide Inhibitor</t>
  </si>
  <si>
    <t>SC</t>
  </si>
  <si>
    <t>Antibody</t>
  </si>
  <si>
    <t>NCE</t>
  </si>
  <si>
    <t>2013: outlicensed alvocidib to Tolero.</t>
  </si>
  <si>
    <t>Aubagio (teriflunomide)</t>
  </si>
  <si>
    <t>BSI-201 (iniparib, PARP inhibitor)</t>
  </si>
  <si>
    <t>Lyxumia (lixisenatide)</t>
  </si>
  <si>
    <t>Peptide</t>
  </si>
  <si>
    <t>SC?</t>
  </si>
  <si>
    <t>SAR121463 (satavaptan, vasopressin 2 antagonist)</t>
  </si>
  <si>
    <t>fedratinib (JAK inhibitor)</t>
  </si>
  <si>
    <t>volinanserin</t>
  </si>
  <si>
    <t>Accomplia</t>
  </si>
  <si>
    <t>Dengue Vaccine</t>
  </si>
  <si>
    <t>C. Diff Vaccine</t>
  </si>
  <si>
    <t>CDAD</t>
  </si>
  <si>
    <t>IM</t>
  </si>
  <si>
    <t>RA</t>
  </si>
  <si>
    <t>IL-6</t>
  </si>
  <si>
    <t>Temusi (XRP0038 for PAD, NV1FGF)</t>
  </si>
  <si>
    <t>xaliproden (neurotrophic for AD, ALS)</t>
  </si>
  <si>
    <t>ombrabulin (AVE8062, VDA for sarcoma)</t>
  </si>
  <si>
    <t>rhASM</t>
  </si>
  <si>
    <t>SC/IV?</t>
  </si>
  <si>
    <t>Zealand</t>
  </si>
  <si>
    <t>Alvesco for asthma/COPD?</t>
  </si>
  <si>
    <t>SR123781 anticoagulant, otamixaban anticoagulant</t>
  </si>
  <si>
    <t>SSR149744 (celivarone for Afib)</t>
  </si>
  <si>
    <t>SL650472 (5HT antagonist for PAD)</t>
  </si>
  <si>
    <t>SR46349 for Insomnia/FMS</t>
  </si>
  <si>
    <t>Asthma</t>
  </si>
  <si>
    <t>SC/IM?</t>
  </si>
  <si>
    <t>SAR339658</t>
  </si>
  <si>
    <t>IBD</t>
  </si>
  <si>
    <t>VLA2 mab</t>
  </si>
  <si>
    <t>SAR156597</t>
  </si>
  <si>
    <t>IPF</t>
  </si>
  <si>
    <t>IL4/IL3 mab</t>
  </si>
  <si>
    <t>SAR100842</t>
  </si>
  <si>
    <t>Systemic Sclerosis</t>
  </si>
  <si>
    <t>LPA-1 Antagonist</t>
  </si>
  <si>
    <t>?</t>
  </si>
  <si>
    <t>fresolimumab</t>
  </si>
  <si>
    <t>FSGS</t>
  </si>
  <si>
    <t>TGF-Beta antibody</t>
  </si>
  <si>
    <t>IV?</t>
  </si>
  <si>
    <t>GENZ438027/ALN-TTR02</t>
  </si>
  <si>
    <t>FAP</t>
  </si>
  <si>
    <t>ALNY?</t>
  </si>
  <si>
    <t>Antisense</t>
  </si>
  <si>
    <t>SAR279356</t>
  </si>
  <si>
    <t>Infections</t>
  </si>
  <si>
    <t>PNAB mab</t>
  </si>
  <si>
    <t>SAR3419</t>
  </si>
  <si>
    <t>NHL,ALL</t>
  </si>
  <si>
    <t>IMGN?</t>
  </si>
  <si>
    <t>CD19</t>
  </si>
  <si>
    <t>SAR256212</t>
  </si>
  <si>
    <t>Breast Cancer</t>
  </si>
  <si>
    <t>ErbB3 mab</t>
  </si>
  <si>
    <t>SAR245409/XL765</t>
  </si>
  <si>
    <t>Ovarian</t>
  </si>
  <si>
    <t>PI3K/mTOR</t>
  </si>
  <si>
    <t>SAR292833/GRC15300</t>
  </si>
  <si>
    <t>Pain</t>
  </si>
  <si>
    <t>TRPV3 antagonist</t>
  </si>
  <si>
    <t>SAR153192</t>
  </si>
  <si>
    <t>DLL4 antibody</t>
  </si>
  <si>
    <t>SAR405838/MI-773</t>
  </si>
  <si>
    <t>HDM2/p53 antagonist</t>
  </si>
  <si>
    <t>Blood Cancer</t>
  </si>
  <si>
    <t>CD38 antibody</t>
  </si>
  <si>
    <t>SAR566658</t>
  </si>
  <si>
    <t>CA6mab</t>
  </si>
  <si>
    <t>SAR125844</t>
  </si>
  <si>
    <t>Oral?</t>
  </si>
  <si>
    <t>C-MET inhibitor</t>
  </si>
  <si>
    <t>SAR307746</t>
  </si>
  <si>
    <t>ANG2 antibody</t>
  </si>
  <si>
    <t>SAR260301</t>
  </si>
  <si>
    <t>PI3K Beta inhibitor</t>
  </si>
  <si>
    <t>SAR245408/XL147</t>
  </si>
  <si>
    <t>PI3K</t>
  </si>
  <si>
    <t>GZ404477</t>
  </si>
  <si>
    <t>Parkinson's</t>
  </si>
  <si>
    <t>AADC AAV</t>
  </si>
  <si>
    <t>Gene Therapy</t>
  </si>
  <si>
    <t>SAR391786</t>
  </si>
  <si>
    <t>Sarcopenia</t>
  </si>
  <si>
    <t>GDF8 antibody</t>
  </si>
  <si>
    <t>SAR228810</t>
  </si>
  <si>
    <t>AB mab</t>
  </si>
  <si>
    <t>SAR252067</t>
  </si>
  <si>
    <t>Crohn's</t>
  </si>
  <si>
    <t>LIGHT mab</t>
  </si>
  <si>
    <t>SAR113244</t>
  </si>
  <si>
    <t>SLE</t>
  </si>
  <si>
    <t>CXCRS mab</t>
  </si>
  <si>
    <t>Oxford</t>
  </si>
  <si>
    <t>RetinoStat</t>
  </si>
  <si>
    <t>StarGen</t>
  </si>
  <si>
    <t>GZ402663</t>
  </si>
  <si>
    <t>UshStat</t>
  </si>
  <si>
    <t>Usher Syndrome</t>
  </si>
  <si>
    <t>AMD</t>
  </si>
  <si>
    <t>Stargardt</t>
  </si>
  <si>
    <t>Wet AMD</t>
  </si>
  <si>
    <t>Topical</t>
  </si>
  <si>
    <t>GZ402671</t>
  </si>
  <si>
    <t>Fabry</t>
  </si>
  <si>
    <t>Fabry Disease</t>
  </si>
  <si>
    <t>GCS inhibitor</t>
  </si>
  <si>
    <t>GZ402666</t>
  </si>
  <si>
    <t>GAA</t>
  </si>
  <si>
    <t>U300</t>
  </si>
  <si>
    <t>Insulin Glargine</t>
  </si>
  <si>
    <t>SAR110894 H3 antagonist for AD</t>
  </si>
  <si>
    <t>Other Oncology</t>
  </si>
  <si>
    <t>Other Rare</t>
  </si>
  <si>
    <t>Q114</t>
  </si>
  <si>
    <t>Q214</t>
  </si>
  <si>
    <t>Q314</t>
  </si>
  <si>
    <t>Q414</t>
  </si>
  <si>
    <t>Lyxumia</t>
  </si>
  <si>
    <t>Lemtrada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</si>
  <si>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</si>
  <si>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</si>
  <si>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</si>
  <si>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</si>
  <si>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</si>
  <si>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</si>
  <si>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</si>
  <si>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</si>
  <si>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</si>
  <si>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</si>
  <si>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</si>
  <si>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</si>
  <si>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</si>
  <si>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</si>
  <si>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</si>
  <si>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</si>
  <si>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</si>
  <si>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</si>
  <si>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</si>
  <si>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</si>
  <si>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</si>
  <si>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</si>
  <si>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</si>
  <si>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</si>
  <si>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</si>
  <si>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</si>
  <si>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</si>
  <si>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</si>
  <si>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</si>
  <si>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</si>
  <si>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</si>
  <si>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</si>
  <si>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Dupixent</t>
  </si>
  <si>
    <t>Kevzara</t>
  </si>
  <si>
    <t>Nexviazyme</t>
  </si>
  <si>
    <t>Cerdelga</t>
  </si>
  <si>
    <t>Sarclisa</t>
  </si>
  <si>
    <t>Fasturtec</t>
  </si>
  <si>
    <t>Libtayo</t>
  </si>
  <si>
    <t>Eloctate</t>
  </si>
  <si>
    <t>Alprolix</t>
  </si>
  <si>
    <t>Cablivi</t>
  </si>
  <si>
    <t>Toujeo</t>
  </si>
  <si>
    <t>Soliqua</t>
  </si>
  <si>
    <t>Praluent</t>
  </si>
  <si>
    <t>Rezurock</t>
  </si>
  <si>
    <t>Others</t>
  </si>
  <si>
    <t>Meningitis Vaccines</t>
  </si>
  <si>
    <t>Booster Vaccines</t>
  </si>
  <si>
    <t>Travel Vaccines</t>
  </si>
  <si>
    <t>Flu Vaccines</t>
  </si>
  <si>
    <t>Other Vaccines</t>
  </si>
  <si>
    <t>1,020</t>
  </si>
  <si>
    <t>Industrials</t>
  </si>
  <si>
    <t>1,964</t>
  </si>
  <si>
    <t>Q123</t>
  </si>
  <si>
    <t>Q223</t>
  </si>
  <si>
    <t>Q323</t>
  </si>
  <si>
    <t>Q423</t>
  </si>
  <si>
    <t>1,178</t>
  </si>
  <si>
    <t>2,422</t>
  </si>
  <si>
    <t>1,022</t>
  </si>
  <si>
    <t>Dupixent (dupilumab)</t>
  </si>
  <si>
    <t>IL-4 mab</t>
  </si>
  <si>
    <t>Kevzara (sarilumab)</t>
  </si>
  <si>
    <t>Dupixent y/y</t>
  </si>
  <si>
    <t>915</t>
  </si>
  <si>
    <t>2,060</t>
  </si>
  <si>
    <t>6794410 MOU patent for MS expires 2026, 8802735 formulation patent expires 2030</t>
  </si>
  <si>
    <t>2,077</t>
  </si>
  <si>
    <t>927</t>
  </si>
  <si>
    <t>909</t>
  </si>
  <si>
    <t>Q124</t>
  </si>
  <si>
    <t>Q224</t>
  </si>
  <si>
    <t>Q324</t>
  </si>
  <si>
    <t>Q424</t>
  </si>
  <si>
    <t>Q125</t>
  </si>
  <si>
    <t>Q225</t>
  </si>
  <si>
    <t>Q325</t>
  </si>
  <si>
    <t>Q425</t>
  </si>
  <si>
    <t>CEO: Paul Hudson</t>
  </si>
  <si>
    <t>Altuviiio</t>
  </si>
  <si>
    <t>Hemophilia A</t>
  </si>
  <si>
    <t>rF8</t>
  </si>
  <si>
    <t>Enjaymo</t>
  </si>
  <si>
    <t>Tzield</t>
  </si>
  <si>
    <t>Altuviiio (efanesoctocog alfa)</t>
  </si>
  <si>
    <t>thrombin RNAi</t>
  </si>
  <si>
    <t>RSV</t>
  </si>
  <si>
    <t>Brand</t>
  </si>
  <si>
    <t>Generic</t>
  </si>
  <si>
    <t>dupilumab</t>
  </si>
  <si>
    <t>Indications</t>
  </si>
  <si>
    <t>Patients</t>
  </si>
  <si>
    <t>&gt;1m as of Q324</t>
  </si>
  <si>
    <t>Regulatory</t>
  </si>
  <si>
    <t>COPD FDA approval Q324</t>
  </si>
  <si>
    <t>Praluent (alirocumab)</t>
  </si>
  <si>
    <t>Xenpozyme (olipudase alfa) fka GZ402665</t>
  </si>
  <si>
    <t>licensed out to Aloplexx</t>
  </si>
  <si>
    <t>tolebrutinib</t>
  </si>
  <si>
    <t>SPMS</t>
  </si>
  <si>
    <t>CRwNP FDA approval Q219</t>
  </si>
  <si>
    <t>oditrasertib</t>
  </si>
  <si>
    <t>RIPK1 inhibitor</t>
  </si>
  <si>
    <t>NCT05630547 failed</t>
  </si>
  <si>
    <t>Admelog</t>
  </si>
  <si>
    <t>COPD launch initiated Q424</t>
  </si>
  <si>
    <t>Phase III "EoE KIDS" - NCT04394351</t>
  </si>
  <si>
    <t>Phase III "STYLE1" lichen simplex chronicus - NCT06687967</t>
  </si>
  <si>
    <t>Phase III "STYLE2" lichen simplex chronicus - NCT06687980</t>
  </si>
  <si>
    <t>initiated Q424</t>
  </si>
  <si>
    <t>CSU - sBLA resubmitted Q424, 4/18/25 PDUFA</t>
  </si>
  <si>
    <t>1/30/25: Q424 results</t>
  </si>
  <si>
    <t>Xenpozyme</t>
  </si>
  <si>
    <t>Niemann-Pick/ASMD</t>
  </si>
  <si>
    <t>Cablivi (caplacizumab)</t>
  </si>
  <si>
    <t>vwF mab</t>
  </si>
  <si>
    <t>Qfitlia (fitusiran)</t>
  </si>
  <si>
    <t>EVP, Specialty: Brian Foard</t>
  </si>
  <si>
    <t>ALNY</t>
  </si>
  <si>
    <t>acquired TTP</t>
  </si>
  <si>
    <t>SOBI</t>
  </si>
  <si>
    <t>11/29/24: sold Enjaymo for CAD to 11/29/2024</t>
  </si>
  <si>
    <t>1,215</t>
  </si>
  <si>
    <t>Q126</t>
  </si>
  <si>
    <t>Q226</t>
  </si>
  <si>
    <t>Q326</t>
  </si>
  <si>
    <t>Q426</t>
  </si>
  <si>
    <t>Ayvakit</t>
  </si>
  <si>
    <t>Wayrilz</t>
  </si>
  <si>
    <t>Qfitlia</t>
  </si>
  <si>
    <t>Myqorzo</t>
  </si>
  <si>
    <t>Asthma, Atopic Dermatitis, CRwNP, Eosinophilic Esophagitis, PN, COPD, BP, CSU, AFRS</t>
  </si>
  <si>
    <t>Polio/Petrussis Vaccines</t>
  </si>
  <si>
    <t>2/10/26: acquires Dynavax for $2.2B.</t>
  </si>
  <si>
    <t>lunsekimig</t>
  </si>
  <si>
    <t>venglustat</t>
  </si>
  <si>
    <t>GD3</t>
  </si>
  <si>
    <t>Hemophilia</t>
  </si>
  <si>
    <t>OH Cardiomyopathy</t>
  </si>
  <si>
    <t>T1D</t>
  </si>
  <si>
    <t>Mastocytosis</t>
  </si>
  <si>
    <t>ITP, wAIHA, IgG4-RD</t>
  </si>
  <si>
    <t>frexalimab</t>
  </si>
  <si>
    <t>Kidney Transplant</t>
  </si>
  <si>
    <t>Rezurock (belumosudil)</t>
  </si>
  <si>
    <t>GvHD</t>
  </si>
  <si>
    <t>Tzield (teplizumab)</t>
  </si>
  <si>
    <t>amlitelimab</t>
  </si>
  <si>
    <t>OX40L</t>
  </si>
  <si>
    <t>AD</t>
  </si>
  <si>
    <t>Filing</t>
  </si>
  <si>
    <t>duvakitug</t>
  </si>
  <si>
    <t>TL1A mab</t>
  </si>
  <si>
    <t>Wayrilz (rilzabrutinib)</t>
  </si>
  <si>
    <t>Sarclisa (isatuximab, SAR650984)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</si>
</sst>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.0000"/>
    <numFmt numFmtId="165" formatCode="m/d/yy;@"/>
    <numFmt numFmtId="166" formatCode="0.0%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8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3" fillId="2" borderId="4" xfId="1" applyFill="1" applyBorder="1" applyAlignment="1" applyProtection="1"/>
    <xf numFmtId="0" fontId="3" fillId="2" borderId="0" xfId="1" applyFill="1" applyAlignment="1" applyProtection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37" fontId="0" fillId="2" borderId="0" xfId="0" applyNumberFormat="1" applyFill="1" applyAlignment="1">
      <alignment horizontal="right"/>
    </xf>
    <xf numFmtId="3" fontId="0" fillId="2" borderId="0" xfId="0" applyNumberFormat="1" applyFill="1" applyAlignment="1">
      <alignment horizontal="center"/>
    </xf>
    <xf numFmtId="2" fontId="5" fillId="2" borderId="0" xfId="0" applyNumberFormat="1" applyFont="1" applyFill="1"/>
    <xf numFmtId="0" fontId="7" fillId="2" borderId="0" xfId="0" applyFont="1" applyFill="1" applyAlignment="1">
      <alignment horizontal="center"/>
    </xf>
    <xf numFmtId="9" fontId="7" fillId="2" borderId="0" xfId="0" applyNumberFormat="1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/>
    <xf numFmtId="0" fontId="0" fillId="2" borderId="0" xfId="0" applyFill="1" applyAlignment="1">
      <alignment horizontal="right"/>
    </xf>
    <xf numFmtId="4" fontId="0" fillId="2" borderId="0" xfId="0" applyNumberFormat="1" applyFill="1"/>
    <xf numFmtId="4" fontId="0" fillId="2" borderId="0" xfId="0" applyNumberFormat="1" applyFill="1" applyAlignment="1">
      <alignment horizontal="right"/>
    </xf>
    <xf numFmtId="3" fontId="0" fillId="2" borderId="0" xfId="0" applyNumberForma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9" fontId="0" fillId="2" borderId="0" xfId="0" applyNumberFormat="1" applyFill="1"/>
    <xf numFmtId="0" fontId="0" fillId="3" borderId="0" xfId="0" applyFill="1"/>
    <xf numFmtId="3" fontId="0" fillId="2" borderId="0" xfId="0" applyNumberFormat="1" applyFill="1"/>
    <xf numFmtId="0" fontId="3" fillId="0" borderId="0" xfId="1" applyAlignment="1" applyProtection="1"/>
    <xf numFmtId="0" fontId="7" fillId="0" borderId="0" xfId="0" applyFont="1"/>
    <xf numFmtId="0" fontId="4" fillId="0" borderId="0" xfId="0" applyFont="1"/>
    <xf numFmtId="0" fontId="7" fillId="4" borderId="0" xfId="0" applyFont="1" applyFill="1"/>
    <xf numFmtId="3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4" xfId="0" applyFont="1" applyFill="1" applyBorder="1"/>
    <xf numFmtId="0" fontId="7" fillId="2" borderId="2" xfId="0" applyFont="1" applyFill="1" applyBorder="1" applyAlignment="1">
      <alignment horizontal="center"/>
    </xf>
    <xf numFmtId="0" fontId="3" fillId="4" borderId="0" xfId="1" applyFill="1" applyAlignment="1" applyProtection="1"/>
    <xf numFmtId="0" fontId="0" fillId="4" borderId="0" xfId="0" applyFill="1"/>
    <xf numFmtId="0" fontId="4" fillId="4" borderId="0" xfId="0" applyFont="1" applyFill="1"/>
    <xf numFmtId="3" fontId="5" fillId="2" borderId="0" xfId="0" applyNumberFormat="1" applyFont="1" applyFill="1" applyAlignment="1">
      <alignment horizontal="right"/>
    </xf>
    <xf numFmtId="4" fontId="5" fillId="2" borderId="0" xfId="0" applyNumberFormat="1" applyFont="1" applyFill="1" applyAlignment="1">
      <alignment horizontal="right"/>
    </xf>
    <xf numFmtId="9" fontId="0" fillId="2" borderId="0" xfId="0" applyNumberFormat="1" applyFill="1" applyAlignment="1">
      <alignment horizontal="right"/>
    </xf>
    <xf numFmtId="9" fontId="5" fillId="2" borderId="0" xfId="0" applyNumberFormat="1" applyFont="1" applyFill="1" applyAlignment="1">
      <alignment horizontal="right"/>
    </xf>
    <xf numFmtId="9" fontId="7" fillId="2" borderId="0" xfId="0" applyNumberFormat="1" applyFont="1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5" fillId="2" borderId="0" xfId="0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166" fontId="0" fillId="2" borderId="0" xfId="0" applyNumberFormat="1" applyFill="1"/>
    <xf numFmtId="3" fontId="7" fillId="2" borderId="0" xfId="0" applyNumberFormat="1" applyFont="1" applyFill="1"/>
    <xf numFmtId="0" fontId="7" fillId="2" borderId="6" xfId="0" applyFont="1" applyFill="1" applyBorder="1"/>
    <xf numFmtId="0" fontId="7" fillId="2" borderId="7" xfId="0" applyFont="1" applyFill="1" applyBorder="1" applyAlignment="1">
      <alignment horizontal="center"/>
    </xf>
    <xf numFmtId="9" fontId="7" fillId="2" borderId="7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7" fillId="4" borderId="0" xfId="0" applyFont="1" applyFill="1" applyAlignment="1">
      <alignment horizontal="right"/>
    </xf>
    <xf numFmtId="3" fontId="0" fillId="4" borderId="0" xfId="0" applyNumberFormat="1" applyFill="1" applyAlignment="1">
      <alignment horizontal="right"/>
    </xf>
    <xf numFmtId="3" fontId="7" fillId="4" borderId="0" xfId="0" applyNumberFormat="1" applyFont="1" applyFill="1" applyAlignment="1">
      <alignment horizontal="right"/>
    </xf>
    <xf numFmtId="3" fontId="7" fillId="4" borderId="0" xfId="0" applyNumberFormat="1" applyFont="1" applyFill="1"/>
    <xf numFmtId="0" fontId="7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7" fillId="0" borderId="0" xfId="0" quotePrefix="1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5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3" fontId="0" fillId="0" borderId="0" xfId="0" quotePrefix="1" applyNumberFormat="1" applyAlignment="1">
      <alignment horizontal="right"/>
    </xf>
    <xf numFmtId="9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7" fontId="0" fillId="2" borderId="0" xfId="0" applyNumberFormat="1" applyFill="1"/>
    <xf numFmtId="17" fontId="7" fillId="2" borderId="0" xfId="0" applyNumberFormat="1" applyFont="1" applyFill="1" applyAlignment="1">
      <alignment horizontal="center"/>
    </xf>
    <xf numFmtId="9" fontId="7" fillId="2" borderId="0" xfId="0" applyNumberFormat="1" applyFont="1" applyFill="1"/>
    <xf numFmtId="3" fontId="0" fillId="5" borderId="0" xfId="0" applyNumberFormat="1" applyFill="1" applyAlignment="1">
      <alignment horizontal="right"/>
    </xf>
    <xf numFmtId="165" fontId="7" fillId="2" borderId="0" xfId="0" applyNumberFormat="1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3" fontId="5" fillId="2" borderId="0" xfId="0" applyNumberFormat="1" applyFont="1" applyFill="1"/>
    <xf numFmtId="166" fontId="5" fillId="2" borderId="0" xfId="0" applyNumberFormat="1" applyFont="1" applyFill="1"/>
    <xf numFmtId="0" fontId="7" fillId="2" borderId="0" xfId="0" quotePrefix="1" applyFont="1" applyFill="1"/>
    <xf numFmtId="0" fontId="7" fillId="2" borderId="0" xfId="0" applyFont="1" applyFill="1" applyBorder="1"/>
    <xf numFmtId="0" fontId="7" fillId="2" borderId="0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1" defaultTableStyle="TableStyleMedium9" defaultPivotStyle="PivotStyleLight16">
    <tableStyle name="Invisible" pivot="0" table="0" count="0" xr9:uid="{64A57F13-6342-4746-8B66-C427CD581F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4042</xdr:colOff>
      <xdr:row>0</xdr:row>
      <xdr:rowOff>0</xdr:rowOff>
    </xdr:from>
    <xdr:to>
      <xdr:col>87</xdr:col>
      <xdr:colOff>4042</xdr:colOff>
      <xdr:row>124</xdr:row>
      <xdr:rowOff>104775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SpPr>
          <a:spLocks noChangeShapeType="1"/>
        </xdr:cNvSpPr>
      </xdr:nvSpPr>
      <xdr:spPr bwMode="auto">
        <a:xfrm>
          <a:off x="38583576" y="0"/>
          <a:ext cx="0" cy="1981167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117</xdr:col>
      <xdr:colOff>52551</xdr:colOff>
      <xdr:row>0</xdr:row>
      <xdr:rowOff>0</xdr:rowOff>
    </xdr:from>
    <xdr:to>
      <xdr:col>117</xdr:col>
      <xdr:colOff>52551</xdr:colOff>
      <xdr:row>134</xdr:row>
      <xdr:rowOff>95250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>
          <a:off x="51960517" y="0"/>
          <a:ext cx="0" cy="2144438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318CC6C7-4C79-4B81-8AA8-0F5CDEEED97F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G3" dT="2024-11-23T16:12:57.03" personId="{318CC6C7-4C79-4B81-8AA8-0F5CDEEED97F}" id="{E33F5FBE-A351-43AB-BB26-9BE2FEDE5329}">
    <text>+26% CER</text>
  </threadedComment>
  <threadedComment ref="CH3" dT="2024-11-23T22:17:15.82" personId="{318CC6C7-4C79-4B81-8AA8-0F5CDEEED97F}" id="{14193EBD-CFEE-4BE7-8A7E-3BC4D57390F5}">
    <text>Q324: 13B guidance
16% CER
US 2.551B EUR</text>
  </threadedComment>
  <threadedComment ref="CM3" dT="2026-07-21T09:49:12.79" personId="{318CC6C7-4C79-4B81-8AA8-0F5CDEEED97F}" id="{0B16F1D4-179F-407C-B5AE-AB999DB6F2A3}">
    <text>+31% CER</text>
  </threadedComment>
  <threadedComment ref="DM3" dT="2025-03-31T00:00:38.98" personId="{318CC6C7-4C79-4B81-8AA8-0F5CDEEED97F}" id="{D5DD676B-0E5E-4508-8BC7-B0A73A9A23F5}">
    <text>+23.1% CER</text>
  </threadedComment>
  <threadedComment ref="DS3" dT="2025-04-01T01:30:21.24" personId="{318CC6C7-4C79-4B81-8AA8-0F5CDEEED97F}" id="{3C5A1471-DCCA-4393-8919-4C76421719EE}">
    <text>Q424: 22B EUR guidance</text>
  </threadedComment>
  <threadedComment ref="CM4" dT="2026-07-21T09:59:56.43" personId="{318CC6C7-4C79-4B81-8AA8-0F5CDEEED97F}" id="{34F3C6B5-B16A-42A0-B3CE-E3EC5300FB08}">
    <text>-1% CER</text>
  </threadedComment>
  <threadedComment ref="CH8" dT="2025-04-01T02:15:11.38" personId="{318CC6C7-4C79-4B81-8AA8-0F5CDEEED97F}" id="{33D8977C-9DE1-4C75-9837-4AE138309EE3}">
    <text>Patient switches</text>
  </threadedComment>
  <threadedComment ref="CM9" dT="2026-07-21T10:18:09.97" personId="{318CC6C7-4C79-4B81-8AA8-0F5CDEEED97F}" id="{32830F3D-2A32-4D82-A13A-FBAABE56DD80}">
    <text>+11% CER</text>
  </threadedComment>
  <threadedComment ref="CH10" dT="2025-04-01T02:21:17.81" personId="{318CC6C7-4C79-4B81-8AA8-0F5CDEEED97F}" id="{DBDCA234-B388-462B-A15C-B39E337DF9FD}">
    <text>11/29/24 sold asset to Recordati</text>
  </threadedComment>
  <threadedComment ref="CM13" dT="2026-07-21T10:20:27.89" personId="{318CC6C7-4C79-4B81-8AA8-0F5CDEEED97F}" id="{7C44D660-A32A-4533-B79F-0EF2AB3E4C22}">
    <text>-3% CER</text>
  </threadedComment>
  <threadedComment ref="CH36" dT="2025-04-01T02:05:03.83" personId="{318CC6C7-4C79-4B81-8AA8-0F5CDEEED97F}" id="{369A9D9C-E8DB-4875-A620-36A7DE3DC2E0}">
    <text>Europe 8m, ROW 5m</text>
  </threadedComment>
  <threadedComment ref="CH39" dT="2025-04-01T02:20:49.38" personId="{318CC6C7-4C79-4B81-8AA8-0F5CDEEED97F}" id="{3A866901-E658-44E9-B783-7AF3287D819A}">
    <text>Most patients have switched in the US from Myozyme/Lumizyme</text>
  </threadedComment>
  <threadedComment ref="CG65" dT="2024-11-23T22:17:42.49" personId="{318CC6C7-4C79-4B81-8AA8-0F5CDEEED97F}" id="{F9AC6D8E-D4E8-48E6-87BF-AFF3BAEAF239}">
    <text>Qunol acquisition</text>
  </threadedComment>
  <threadedComment ref="BZ80" dT="2023-03-01T21:09:31.45" personId="{318CC6C7-4C79-4B81-8AA8-0F5CDEEED97F}" id="{F7588713-7B33-4A55-9D7A-5A4110D76910}">
    <text>10725m reported</text>
  </threadedComment>
  <threadedComment ref="CD80" dT="2025-04-01T03:02:57.27" personId="{318CC6C7-4C79-4B81-8AA8-0F5CDEEED97F}" id="{BD0047EE-85B6-4B61-A969-431013501C3B}">
    <text>9687 prior period recast (Q424)</text>
  </threadedComment>
  <threadedComment ref="DO80" dT="2026-07-21T10:45:21.24" personId="{318CC6C7-4C79-4B81-8AA8-0F5CDEEED97F}" id="{72BD4F50-2261-4075-AF16-39247C996EB7}">
    <text>Q425: HSD CER
Q126: HSD CER</text>
  </threadedComment>
  <threadedComment ref="CI81" dT="2026-07-21T10:27:30.46" personId="{318CC6C7-4C79-4B81-8AA8-0F5CDEEED97F}" id="{CA4E5E6C-37EE-411F-8975-5167617C6C26}">
    <text>Was 2826 COGS, 617 other revenue, recast</text>
  </threadedComment>
  <threadedComment ref="CI84" dT="2026-07-21T10:28:48.61" personId="{318CC6C7-4C79-4B81-8AA8-0F5CDEEED97F}" id="{ABF320A3-69A6-421F-A688-B262FCFA851F}">
    <text>Was 2200</text>
  </threadedComment>
  <threadedComment ref="CG93" dT="2024-11-23T22:33:35.82" personId="{318CC6C7-4C79-4B81-8AA8-0F5CDEEED97F}" id="{C332E2A7-7FFB-4B2F-83D9-CD4DD37631A5}">
    <text>Business NI 3585m</text>
  </threadedComment>
  <threadedComment ref="CI93" dT="2026-07-21T10:31:23.97" personId="{318CC6C7-4C79-4B81-8AA8-0F5CDEEED97F}" id="{49CC6791-3256-41EA-8E5C-93AA4F992D10}">
    <text>Reported 2212</text>
  </threadedComment>
  <threadedComment ref="CM93" dT="2026-07-21T10:31:12.03" personId="{318CC6C7-4C79-4B81-8AA8-0F5CDEEED97F}" id="{59AA2E17-0081-4B0A-8941-5DBC6E5716EF}">
    <text>Reported 2264</text>
  </threadedComment>
  <threadedComment ref="CG94" dT="2024-11-23T22:32:08.55" personId="{318CC6C7-4C79-4B81-8AA8-0F5CDEEED97F}" id="{65F7C13C-73F7-432E-96BC-9619FA75CE2E}">
    <text>Business EPS 2.86
IFRS EPS 2.25</text>
  </threadedComment>
  <threadedComment ref="CH94" dT="2025-04-01T01:28:08.46" personId="{318CC6C7-4C79-4B81-8AA8-0F5CDEEED97F}" id="{474CDD52-F71C-4FA1-A7E2-59168AC71305}">
    <text>Business EPS of EUR1.31
-11% CER</text>
  </threadedComment>
  <threadedComment ref="CI94" dT="2026-07-21T10:26:53.63" personId="{318CC6C7-4C79-4B81-8AA8-0F5CDEEED97F}" id="{63FCEAEB-D131-4204-9A1E-5AC70DE4D13B}">
    <text>Reported business EPS 1.79</text>
  </threadedComment>
  <threadedComment ref="CM94" dT="2026-07-21T10:26:37.02" personId="{318CC6C7-4C79-4B81-8AA8-0F5CDEEED97F}" id="{69867039-2BC2-4030-8C8C-22D8871FE89F}">
    <text>Reported business EPS 1.88</text>
  </threadedComment>
  <threadedComment ref="DM94" dT="2024-11-23T22:33:25.07" personId="{318CC6C7-4C79-4B81-8AA8-0F5CDEEED97F}" id="{70D2DB62-68E2-4B0A-A405-84EE5DA5D593}">
    <text>10/21/24/Q324: +LSD CER excluding Opella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EE94-C62D-43B2-80FF-D20154FC24BF}">
  <dimension ref="A1:K43"/>
  <sheetViews>
    <sheetView zoomScale="130" zoomScaleNormal="130" workbookViewId="0">
      <selection activeCell="A19" sqref="A19:XFD19"/>
    </sheetView>
  </sheetViews>
  <sheetFormatPr defaultColWidth="8.81640625" defaultRowHeight="12.5" x14ac:dyDescent="0.25"/>
  <cols>
    <col min="1" max="1" width="5" bestFit="1" customWidth="1"/>
    <col min="2" max="2" width="14" customWidth="1"/>
    <col min="3" max="3" width="15.81640625" bestFit="1" customWidth="1"/>
    <col min="6" max="6" width="15" bestFit="1" customWidth="1"/>
    <col min="8" max="8" width="12.54296875" customWidth="1"/>
  </cols>
  <sheetData>
    <row r="1" spans="1:11" x14ac:dyDescent="0.25">
      <c r="A1" s="28" t="s">
        <v>65</v>
      </c>
    </row>
    <row r="2" spans="1:11" x14ac:dyDescent="0.25">
      <c r="B2" s="34" t="s">
        <v>362</v>
      </c>
      <c r="C2" s="16" t="s">
        <v>329</v>
      </c>
      <c r="D2" s="17" t="s">
        <v>330</v>
      </c>
      <c r="E2" s="16"/>
      <c r="F2" s="6"/>
      <c r="G2" s="16"/>
      <c r="H2" s="16"/>
      <c r="I2" s="7"/>
    </row>
    <row r="3" spans="1:11" x14ac:dyDescent="0.25">
      <c r="B3" s="34" t="s">
        <v>233</v>
      </c>
      <c r="C3" s="16" t="s">
        <v>231</v>
      </c>
      <c r="D3" s="17" t="s">
        <v>235</v>
      </c>
      <c r="E3" s="6">
        <v>2003</v>
      </c>
      <c r="F3" s="16" t="s">
        <v>234</v>
      </c>
      <c r="G3" s="16" t="s">
        <v>236</v>
      </c>
      <c r="H3" s="16" t="s">
        <v>232</v>
      </c>
      <c r="I3" s="18" t="s">
        <v>109</v>
      </c>
    </row>
    <row r="4" spans="1:11" x14ac:dyDescent="0.25">
      <c r="B4" s="34" t="s">
        <v>226</v>
      </c>
      <c r="C4" s="16" t="s">
        <v>151</v>
      </c>
      <c r="D4" s="17" t="s">
        <v>279</v>
      </c>
      <c r="E4" s="70">
        <v>33266</v>
      </c>
      <c r="F4" s="16" t="s">
        <v>227</v>
      </c>
      <c r="G4" s="16" t="s">
        <v>278</v>
      </c>
      <c r="H4" s="16" t="s">
        <v>277</v>
      </c>
      <c r="I4" s="18" t="s">
        <v>109</v>
      </c>
    </row>
    <row r="5" spans="1:11" x14ac:dyDescent="0.25">
      <c r="B5" s="5" t="s">
        <v>63</v>
      </c>
      <c r="C5" s="6" t="s">
        <v>257</v>
      </c>
      <c r="D5" s="68" t="s">
        <v>258</v>
      </c>
      <c r="E5" s="6"/>
      <c r="F5" s="6" t="s">
        <v>245</v>
      </c>
      <c r="G5" s="6" t="s">
        <v>259</v>
      </c>
      <c r="H5" s="16" t="s">
        <v>264</v>
      </c>
      <c r="I5" s="7" t="s">
        <v>110</v>
      </c>
    </row>
    <row r="6" spans="1:11" x14ac:dyDescent="0.25">
      <c r="B6" s="34" t="s">
        <v>238</v>
      </c>
      <c r="C6" s="16" t="s">
        <v>96</v>
      </c>
      <c r="D6" s="68"/>
      <c r="E6" s="6"/>
      <c r="F6" s="16" t="s">
        <v>239</v>
      </c>
      <c r="G6" s="16" t="s">
        <v>240</v>
      </c>
      <c r="H6" s="16"/>
      <c r="I6" s="18" t="s">
        <v>241</v>
      </c>
    </row>
    <row r="7" spans="1:11" s="1" customFormat="1" x14ac:dyDescent="0.25">
      <c r="B7" s="5" t="s">
        <v>50</v>
      </c>
      <c r="C7" s="6" t="s">
        <v>32</v>
      </c>
      <c r="D7" s="68">
        <v>1</v>
      </c>
      <c r="E7" s="6"/>
      <c r="F7" s="6" t="s">
        <v>59</v>
      </c>
      <c r="G7" s="16" t="s">
        <v>265</v>
      </c>
      <c r="H7" s="7" t="s">
        <v>109</v>
      </c>
      <c r="K7" s="13"/>
    </row>
    <row r="11" spans="1:11" x14ac:dyDescent="0.25">
      <c r="B11" s="34" t="s">
        <v>468</v>
      </c>
      <c r="C11" s="16" t="s">
        <v>475</v>
      </c>
      <c r="D11" s="17" t="s">
        <v>467</v>
      </c>
      <c r="E11" s="16" t="s">
        <v>213</v>
      </c>
      <c r="F11" s="16" t="s">
        <v>455</v>
      </c>
      <c r="G11" s="16" t="s">
        <v>410</v>
      </c>
      <c r="H11" s="16" t="s">
        <v>455</v>
      </c>
      <c r="I11" s="18" t="s">
        <v>476</v>
      </c>
    </row>
    <row r="12" spans="1:11" x14ac:dyDescent="0.25">
      <c r="B12" s="34" t="s">
        <v>469</v>
      </c>
      <c r="C12" s="16" t="s">
        <v>474</v>
      </c>
      <c r="D12" s="17" t="s">
        <v>467</v>
      </c>
      <c r="E12" s="16" t="s">
        <v>213</v>
      </c>
      <c r="F12" s="16" t="s">
        <v>455</v>
      </c>
      <c r="G12" s="16" t="s">
        <v>410</v>
      </c>
      <c r="H12" s="16" t="s">
        <v>455</v>
      </c>
      <c r="I12" s="18" t="s">
        <v>476</v>
      </c>
    </row>
    <row r="13" spans="1:11" x14ac:dyDescent="0.25">
      <c r="B13" s="34" t="s">
        <v>470</v>
      </c>
      <c r="C13" s="16" t="s">
        <v>473</v>
      </c>
      <c r="D13" s="17">
        <v>1</v>
      </c>
      <c r="E13" s="16" t="s">
        <v>213</v>
      </c>
      <c r="F13" s="16" t="s">
        <v>455</v>
      </c>
      <c r="G13" s="16" t="s">
        <v>410</v>
      </c>
      <c r="H13" s="16" t="s">
        <v>455</v>
      </c>
      <c r="I13" s="18" t="s">
        <v>476</v>
      </c>
    </row>
    <row r="14" spans="1:11" x14ac:dyDescent="0.25">
      <c r="B14" s="34" t="s">
        <v>471</v>
      </c>
      <c r="C14" s="16" t="s">
        <v>472</v>
      </c>
      <c r="D14" s="17" t="s">
        <v>467</v>
      </c>
      <c r="E14" s="16" t="s">
        <v>213</v>
      </c>
      <c r="F14" s="16" t="s">
        <v>455</v>
      </c>
      <c r="G14" s="16" t="s">
        <v>410</v>
      </c>
      <c r="H14" s="16" t="s">
        <v>455</v>
      </c>
      <c r="I14" s="18" t="s">
        <v>476</v>
      </c>
    </row>
    <row r="15" spans="1:11" x14ac:dyDescent="0.25">
      <c r="B15" s="34" t="s">
        <v>459</v>
      </c>
      <c r="C15" s="16" t="s">
        <v>158</v>
      </c>
      <c r="D15" s="17">
        <v>1</v>
      </c>
      <c r="E15" s="16" t="s">
        <v>213</v>
      </c>
      <c r="F15" s="16" t="s">
        <v>460</v>
      </c>
      <c r="G15" s="16" t="s">
        <v>410</v>
      </c>
      <c r="H15" s="16" t="s">
        <v>370</v>
      </c>
      <c r="I15" s="18" t="s">
        <v>414</v>
      </c>
    </row>
    <row r="16" spans="1:11" s="1" customFormat="1" x14ac:dyDescent="0.25">
      <c r="B16" s="34" t="s">
        <v>419</v>
      </c>
      <c r="C16" s="16" t="s">
        <v>420</v>
      </c>
      <c r="D16" s="17" t="s">
        <v>410</v>
      </c>
      <c r="E16" s="16" t="s">
        <v>154</v>
      </c>
      <c r="F16" s="16" t="s">
        <v>421</v>
      </c>
      <c r="G16" s="16" t="s">
        <v>370</v>
      </c>
      <c r="H16" s="18" t="s">
        <v>410</v>
      </c>
      <c r="J16" s="19" t="s">
        <v>593</v>
      </c>
      <c r="K16" s="13"/>
    </row>
    <row r="17" spans="2:11" x14ac:dyDescent="0.25">
      <c r="B17" s="19" t="s">
        <v>597</v>
      </c>
      <c r="C17" s="16" t="s">
        <v>257</v>
      </c>
      <c r="D17" s="17"/>
      <c r="E17" s="16" t="s">
        <v>154</v>
      </c>
      <c r="F17" s="16" t="s">
        <v>598</v>
      </c>
      <c r="G17" s="16"/>
      <c r="H17" s="16"/>
      <c r="I17" s="16"/>
      <c r="J17" s="29" t="s">
        <v>599</v>
      </c>
    </row>
    <row r="18" spans="2:11" x14ac:dyDescent="0.25">
      <c r="B18" s="19"/>
      <c r="C18" s="16" t="s">
        <v>382</v>
      </c>
      <c r="D18" s="17"/>
      <c r="E18" s="16"/>
      <c r="F18" s="16"/>
      <c r="G18" s="16"/>
      <c r="H18" s="16"/>
      <c r="I18" s="16"/>
    </row>
    <row r="19" spans="2:11" s="1" customFormat="1" x14ac:dyDescent="0.25">
      <c r="B19" s="34" t="s">
        <v>383</v>
      </c>
      <c r="C19" s="16" t="s">
        <v>384</v>
      </c>
      <c r="D19" s="17">
        <v>1</v>
      </c>
      <c r="E19" s="16" t="s">
        <v>153</v>
      </c>
      <c r="F19" s="16" t="s">
        <v>266</v>
      </c>
      <c r="G19" s="16" t="s">
        <v>266</v>
      </c>
      <c r="H19" s="18" t="s">
        <v>385</v>
      </c>
      <c r="K19" s="13"/>
    </row>
    <row r="20" spans="2:11" x14ac:dyDescent="0.25">
      <c r="B20" s="19"/>
      <c r="C20" s="16"/>
      <c r="D20" s="17"/>
      <c r="E20" s="16"/>
      <c r="F20" s="16"/>
      <c r="G20" s="16"/>
      <c r="H20" s="16"/>
      <c r="I20" s="16"/>
    </row>
    <row r="21" spans="2:11" x14ac:dyDescent="0.25">
      <c r="B21" s="19"/>
      <c r="C21" s="16"/>
      <c r="D21" s="17"/>
      <c r="E21" s="16"/>
      <c r="F21" s="16"/>
      <c r="G21" s="16"/>
      <c r="H21" s="16"/>
      <c r="I21" s="16"/>
    </row>
    <row r="22" spans="2:11" x14ac:dyDescent="0.25">
      <c r="B22" s="19"/>
      <c r="C22" s="16"/>
      <c r="D22" s="17"/>
      <c r="E22" s="16"/>
      <c r="F22" s="16"/>
      <c r="G22" s="16"/>
      <c r="H22" s="16"/>
      <c r="I22" s="16"/>
    </row>
    <row r="23" spans="2:11" x14ac:dyDescent="0.25">
      <c r="B23" s="19"/>
      <c r="C23" s="16"/>
      <c r="D23" s="17"/>
      <c r="E23" s="16"/>
      <c r="F23" s="16"/>
      <c r="G23" s="16"/>
      <c r="H23" s="16"/>
      <c r="I23" s="16"/>
    </row>
    <row r="24" spans="2:11" ht="13" x14ac:dyDescent="0.3">
      <c r="B24" s="10" t="s">
        <v>314</v>
      </c>
    </row>
    <row r="25" spans="2:11" x14ac:dyDescent="0.25">
      <c r="B25" s="19" t="s">
        <v>374</v>
      </c>
    </row>
    <row r="26" spans="2:11" x14ac:dyDescent="0.25">
      <c r="B26" s="19" t="s">
        <v>335</v>
      </c>
    </row>
    <row r="27" spans="2:11" x14ac:dyDescent="0.25">
      <c r="B27" s="19" t="s">
        <v>336</v>
      </c>
    </row>
    <row r="28" spans="2:11" x14ac:dyDescent="0.25">
      <c r="B28" s="19" t="s">
        <v>378</v>
      </c>
    </row>
    <row r="29" spans="2:11" x14ac:dyDescent="0.25">
      <c r="B29" s="19" t="s">
        <v>156</v>
      </c>
    </row>
    <row r="30" spans="2:11" x14ac:dyDescent="0.25">
      <c r="B30" s="19" t="s">
        <v>379</v>
      </c>
    </row>
    <row r="31" spans="2:11" x14ac:dyDescent="0.25">
      <c r="B31" s="19" t="s">
        <v>87</v>
      </c>
    </row>
    <row r="32" spans="2:11" x14ac:dyDescent="0.25">
      <c r="B32" s="19" t="s">
        <v>380</v>
      </c>
    </row>
    <row r="33" spans="2:2" x14ac:dyDescent="0.25">
      <c r="B33" s="19" t="s">
        <v>355</v>
      </c>
    </row>
    <row r="34" spans="2:2" x14ac:dyDescent="0.25">
      <c r="B34" s="19" t="s">
        <v>381</v>
      </c>
    </row>
    <row r="35" spans="2:2" x14ac:dyDescent="0.25">
      <c r="B35" s="19" t="s">
        <v>388</v>
      </c>
    </row>
    <row r="36" spans="2:2" x14ac:dyDescent="0.25">
      <c r="B36" s="19" t="s">
        <v>389</v>
      </c>
    </row>
    <row r="37" spans="2:2" x14ac:dyDescent="0.25">
      <c r="B37" s="19" t="s">
        <v>390</v>
      </c>
    </row>
    <row r="38" spans="2:2" x14ac:dyDescent="0.25">
      <c r="B38" s="19" t="s">
        <v>394</v>
      </c>
    </row>
    <row r="39" spans="2:2" x14ac:dyDescent="0.25">
      <c r="B39" s="19" t="s">
        <v>395</v>
      </c>
    </row>
    <row r="40" spans="2:2" x14ac:dyDescent="0.25">
      <c r="B40" s="19" t="s">
        <v>396</v>
      </c>
    </row>
    <row r="41" spans="2:2" x14ac:dyDescent="0.25">
      <c r="B41" s="19" t="s">
        <v>397</v>
      </c>
    </row>
    <row r="42" spans="2:2" x14ac:dyDescent="0.25">
      <c r="B42" s="19" t="s">
        <v>398</v>
      </c>
    </row>
    <row r="43" spans="2:2" x14ac:dyDescent="0.25">
      <c r="B43" s="19" t="s">
        <v>485</v>
      </c>
    </row>
  </sheetData>
  <hyperlinks>
    <hyperlink ref="A1" location="Main!A1" display="Main" xr:uid="{459E37B1-FEB6-4AA8-BA81-BC8ADB054C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76"/>
  <sheetViews>
    <sheetView tabSelected="1" topLeftCell="A18" zoomScale="85" zoomScaleNormal="85" workbookViewId="0">
      <selection activeCell="B41" sqref="B41"/>
    </sheetView>
  </sheetViews>
  <sheetFormatPr defaultColWidth="9.1796875" defaultRowHeight="12.5" x14ac:dyDescent="0.25"/>
  <cols>
    <col min="1" max="1" width="2.453125" style="1" customWidth="1"/>
    <col min="2" max="2" width="22.453125" style="1" customWidth="1"/>
    <col min="3" max="3" width="31" style="1" customWidth="1"/>
    <col min="4" max="4" width="17.453125" style="1" customWidth="1"/>
    <col min="5" max="5" width="9.26953125" style="1" customWidth="1"/>
    <col min="6" max="6" width="23.453125" style="1" customWidth="1"/>
    <col min="7" max="7" width="13" style="1" customWidth="1"/>
    <col min="8" max="8" width="9" style="1" customWidth="1"/>
    <col min="9" max="9" width="2.81640625" style="1" customWidth="1"/>
    <col min="10" max="10" width="11.81640625" style="1" bestFit="1" customWidth="1"/>
    <col min="11" max="11" width="8.1796875" style="13" bestFit="1" customWidth="1"/>
    <col min="12" max="12" width="7.453125" style="1" customWidth="1"/>
    <col min="13" max="16384" width="9.1796875" style="1"/>
  </cols>
  <sheetData>
    <row r="1" spans="1:13" x14ac:dyDescent="0.25">
      <c r="A1" s="19"/>
    </row>
    <row r="2" spans="1:13" x14ac:dyDescent="0.25">
      <c r="B2" s="2" t="s">
        <v>12</v>
      </c>
      <c r="C2" s="3" t="s">
        <v>13</v>
      </c>
      <c r="D2" s="3" t="s">
        <v>14</v>
      </c>
      <c r="E2" s="3" t="s">
        <v>108</v>
      </c>
      <c r="F2" s="35" t="s">
        <v>70</v>
      </c>
      <c r="G2" s="35" t="s">
        <v>70</v>
      </c>
      <c r="H2" s="4" t="s">
        <v>94</v>
      </c>
      <c r="J2" s="1" t="s">
        <v>102</v>
      </c>
      <c r="K2" s="22">
        <v>76.900000000000006</v>
      </c>
    </row>
    <row r="3" spans="1:13" x14ac:dyDescent="0.25">
      <c r="B3" s="8" t="s">
        <v>223</v>
      </c>
      <c r="C3" s="6" t="s">
        <v>83</v>
      </c>
      <c r="D3" s="68">
        <v>1</v>
      </c>
      <c r="E3" s="69">
        <v>36636</v>
      </c>
      <c r="F3" s="16" t="s">
        <v>222</v>
      </c>
      <c r="G3" s="16" t="s">
        <v>222</v>
      </c>
      <c r="H3" s="7" t="s">
        <v>110</v>
      </c>
      <c r="J3" s="1" t="s">
        <v>11</v>
      </c>
      <c r="K3" s="23">
        <v>1204.2</v>
      </c>
      <c r="L3" s="33" t="s">
        <v>619</v>
      </c>
    </row>
    <row r="4" spans="1:13" x14ac:dyDescent="0.25">
      <c r="B4" s="8" t="s">
        <v>107</v>
      </c>
      <c r="C4" s="6" t="s">
        <v>40</v>
      </c>
      <c r="D4" s="68" t="s">
        <v>41</v>
      </c>
      <c r="E4" s="70">
        <v>35751</v>
      </c>
      <c r="F4" s="71" t="s">
        <v>196</v>
      </c>
      <c r="G4" s="72" t="s">
        <v>186</v>
      </c>
      <c r="H4" s="7" t="s">
        <v>109</v>
      </c>
      <c r="J4" s="1" t="s">
        <v>105</v>
      </c>
      <c r="K4" s="23">
        <f>K2*K3</f>
        <v>92602.98000000001</v>
      </c>
      <c r="L4" s="20"/>
    </row>
    <row r="5" spans="1:13" x14ac:dyDescent="0.25">
      <c r="B5" s="8" t="s">
        <v>64</v>
      </c>
      <c r="C5" s="6" t="s">
        <v>40</v>
      </c>
      <c r="D5" s="68">
        <v>1</v>
      </c>
      <c r="E5" s="70">
        <v>34057</v>
      </c>
      <c r="F5" s="16" t="s">
        <v>289</v>
      </c>
      <c r="G5" s="16" t="s">
        <v>260</v>
      </c>
      <c r="H5" s="7" t="s">
        <v>134</v>
      </c>
      <c r="J5" s="1" t="s">
        <v>103</v>
      </c>
      <c r="K5" s="32">
        <v>5544</v>
      </c>
      <c r="L5" s="33" t="s">
        <v>619</v>
      </c>
      <c r="M5" s="27"/>
    </row>
    <row r="6" spans="1:13" x14ac:dyDescent="0.25">
      <c r="B6" s="8" t="s">
        <v>556</v>
      </c>
      <c r="C6" s="16" t="s">
        <v>399</v>
      </c>
      <c r="D6" s="17" t="s">
        <v>81</v>
      </c>
      <c r="E6" s="75">
        <v>42822</v>
      </c>
      <c r="F6" s="16" t="s">
        <v>557</v>
      </c>
      <c r="G6" s="16" t="s">
        <v>370</v>
      </c>
      <c r="H6" s="18" t="s">
        <v>400</v>
      </c>
      <c r="J6" s="1" t="s">
        <v>104</v>
      </c>
      <c r="K6" s="23">
        <f>+K5+12900</f>
        <v>18444</v>
      </c>
      <c r="L6" s="33" t="s">
        <v>619</v>
      </c>
    </row>
    <row r="7" spans="1:13" x14ac:dyDescent="0.25">
      <c r="B7" s="34" t="s">
        <v>269</v>
      </c>
      <c r="C7" s="16" t="s">
        <v>286</v>
      </c>
      <c r="D7" s="68">
        <v>1</v>
      </c>
      <c r="E7" s="70">
        <v>35199</v>
      </c>
      <c r="F7" s="16" t="s">
        <v>270</v>
      </c>
      <c r="G7" s="16" t="s">
        <v>86</v>
      </c>
      <c r="H7" s="7" t="s">
        <v>135</v>
      </c>
      <c r="J7" s="1" t="s">
        <v>106</v>
      </c>
      <c r="K7" s="23">
        <f>K4-K5+K6</f>
        <v>105502.98000000001</v>
      </c>
    </row>
    <row r="8" spans="1:13" x14ac:dyDescent="0.25">
      <c r="B8" s="34" t="s">
        <v>267</v>
      </c>
      <c r="C8" s="6" t="s">
        <v>96</v>
      </c>
      <c r="D8" s="17" t="s">
        <v>268</v>
      </c>
      <c r="E8" s="70">
        <v>35271</v>
      </c>
      <c r="F8" s="16" t="s">
        <v>288</v>
      </c>
      <c r="G8" s="16" t="s">
        <v>261</v>
      </c>
      <c r="H8" s="7" t="s">
        <v>109</v>
      </c>
    </row>
    <row r="9" spans="1:13" x14ac:dyDescent="0.25">
      <c r="B9" s="8" t="s">
        <v>373</v>
      </c>
      <c r="C9" s="16" t="s">
        <v>257</v>
      </c>
      <c r="D9" s="68">
        <v>1</v>
      </c>
      <c r="E9" s="69">
        <v>41164</v>
      </c>
      <c r="F9" s="6"/>
      <c r="G9" s="16" t="s">
        <v>199</v>
      </c>
      <c r="H9" s="7" t="s">
        <v>109</v>
      </c>
      <c r="J9" s="19" t="s">
        <v>574</v>
      </c>
    </row>
    <row r="10" spans="1:13" ht="13" x14ac:dyDescent="0.3">
      <c r="B10" s="34" t="s">
        <v>275</v>
      </c>
      <c r="C10" s="6" t="s">
        <v>80</v>
      </c>
      <c r="D10" s="68" t="s">
        <v>157</v>
      </c>
      <c r="E10" s="70">
        <v>37477</v>
      </c>
      <c r="F10" s="16" t="s">
        <v>276</v>
      </c>
      <c r="G10" s="16" t="s">
        <v>262</v>
      </c>
      <c r="H10" s="7" t="s">
        <v>135</v>
      </c>
      <c r="J10" s="19" t="s">
        <v>613</v>
      </c>
      <c r="K10" s="24"/>
    </row>
    <row r="11" spans="1:13" x14ac:dyDescent="0.25">
      <c r="B11" s="5" t="s">
        <v>150</v>
      </c>
      <c r="C11" s="6" t="s">
        <v>151</v>
      </c>
      <c r="D11" s="17" t="s">
        <v>287</v>
      </c>
      <c r="E11" s="6"/>
      <c r="F11" s="6"/>
      <c r="G11" s="16" t="s">
        <v>263</v>
      </c>
      <c r="H11" s="7" t="s">
        <v>109</v>
      </c>
      <c r="K11" s="23"/>
    </row>
    <row r="12" spans="1:13" x14ac:dyDescent="0.25">
      <c r="B12" s="34" t="s">
        <v>228</v>
      </c>
      <c r="C12" s="16" t="s">
        <v>83</v>
      </c>
      <c r="D12" s="68"/>
      <c r="E12" s="6"/>
      <c r="F12" s="16" t="s">
        <v>230</v>
      </c>
      <c r="G12" s="16" t="s">
        <v>229</v>
      </c>
      <c r="H12" s="18" t="s">
        <v>109</v>
      </c>
    </row>
    <row r="13" spans="1:13" x14ac:dyDescent="0.25">
      <c r="B13" s="5" t="s">
        <v>47</v>
      </c>
      <c r="C13" s="16" t="s">
        <v>304</v>
      </c>
      <c r="D13" s="17" t="s">
        <v>305</v>
      </c>
      <c r="E13" s="6"/>
      <c r="F13" s="6"/>
      <c r="G13" s="16" t="s">
        <v>306</v>
      </c>
      <c r="H13" s="18" t="s">
        <v>109</v>
      </c>
      <c r="J13" s="1" t="s">
        <v>255</v>
      </c>
    </row>
    <row r="14" spans="1:13" x14ac:dyDescent="0.25">
      <c r="B14" s="5" t="s">
        <v>119</v>
      </c>
      <c r="C14" s="6" t="s">
        <v>96</v>
      </c>
      <c r="D14" s="68" t="s">
        <v>120</v>
      </c>
      <c r="E14" s="6">
        <v>2007</v>
      </c>
      <c r="F14" s="6"/>
      <c r="G14" s="6"/>
      <c r="H14" s="7"/>
      <c r="J14" s="1" t="s">
        <v>256</v>
      </c>
    </row>
    <row r="15" spans="1:13" x14ac:dyDescent="0.25">
      <c r="B15" s="5" t="s">
        <v>136</v>
      </c>
      <c r="C15" s="6" t="s">
        <v>137</v>
      </c>
      <c r="D15" s="68">
        <v>1</v>
      </c>
      <c r="E15" s="6"/>
      <c r="F15" s="6"/>
      <c r="G15" s="16" t="s">
        <v>266</v>
      </c>
      <c r="H15" s="7"/>
      <c r="J15" s="19" t="s">
        <v>281</v>
      </c>
    </row>
    <row r="16" spans="1:13" x14ac:dyDescent="0.25">
      <c r="B16" s="8" t="s">
        <v>188</v>
      </c>
      <c r="C16" s="16" t="s">
        <v>152</v>
      </c>
      <c r="D16" s="17">
        <v>1</v>
      </c>
      <c r="E16" s="72">
        <v>39995</v>
      </c>
      <c r="F16" s="16" t="s">
        <v>301</v>
      </c>
      <c r="G16" s="16"/>
      <c r="H16" s="18" t="s">
        <v>109</v>
      </c>
    </row>
    <row r="17" spans="2:8" x14ac:dyDescent="0.25">
      <c r="B17" s="34" t="s">
        <v>323</v>
      </c>
      <c r="C17" s="6" t="s">
        <v>85</v>
      </c>
      <c r="D17" s="68">
        <v>1</v>
      </c>
      <c r="E17" s="6">
        <v>2010</v>
      </c>
      <c r="F17" s="6" t="s">
        <v>86</v>
      </c>
      <c r="G17" s="6"/>
      <c r="H17" s="7"/>
    </row>
    <row r="18" spans="2:8" x14ac:dyDescent="0.25">
      <c r="B18" s="34" t="s">
        <v>320</v>
      </c>
      <c r="C18" s="19" t="s">
        <v>321</v>
      </c>
      <c r="D18" s="68">
        <v>1</v>
      </c>
      <c r="E18" s="6">
        <v>1997</v>
      </c>
      <c r="F18" s="16" t="s">
        <v>266</v>
      </c>
      <c r="G18" s="6"/>
      <c r="H18" s="7"/>
    </row>
    <row r="19" spans="2:8" x14ac:dyDescent="0.25">
      <c r="B19" s="34" t="s">
        <v>324</v>
      </c>
      <c r="C19" s="16" t="s">
        <v>331</v>
      </c>
      <c r="D19" s="68">
        <v>1</v>
      </c>
      <c r="E19" s="69">
        <v>34477</v>
      </c>
      <c r="F19" s="16"/>
      <c r="G19" s="6"/>
      <c r="H19" s="7"/>
    </row>
    <row r="20" spans="2:8" x14ac:dyDescent="0.25">
      <c r="B20" s="34" t="s">
        <v>640</v>
      </c>
      <c r="C20" s="16" t="s">
        <v>641</v>
      </c>
      <c r="D20" s="68"/>
      <c r="E20" s="69"/>
      <c r="F20" s="16"/>
      <c r="G20" s="6"/>
      <c r="H20" s="7"/>
    </row>
    <row r="21" spans="2:8" x14ac:dyDescent="0.25">
      <c r="B21" s="34" t="s">
        <v>325</v>
      </c>
      <c r="C21" s="16" t="s">
        <v>327</v>
      </c>
      <c r="D21" s="68">
        <v>1</v>
      </c>
      <c r="E21" s="69">
        <v>38835</v>
      </c>
      <c r="F21" s="16"/>
      <c r="G21" s="6"/>
      <c r="H21" s="7"/>
    </row>
    <row r="22" spans="2:8" x14ac:dyDescent="0.25">
      <c r="B22" s="34" t="s">
        <v>361</v>
      </c>
      <c r="C22" s="16" t="s">
        <v>334</v>
      </c>
      <c r="D22" s="68" t="s">
        <v>81</v>
      </c>
      <c r="E22" s="69">
        <v>41124</v>
      </c>
      <c r="F22" s="6" t="s">
        <v>155</v>
      </c>
      <c r="G22" s="16" t="s">
        <v>245</v>
      </c>
      <c r="H22" s="7" t="s">
        <v>135</v>
      </c>
    </row>
    <row r="23" spans="2:8" x14ac:dyDescent="0.25">
      <c r="B23" s="34" t="s">
        <v>610</v>
      </c>
      <c r="C23" s="16" t="s">
        <v>615</v>
      </c>
      <c r="D23" s="68"/>
      <c r="E23" s="69">
        <v>43502</v>
      </c>
      <c r="F23" s="16" t="s">
        <v>611</v>
      </c>
      <c r="G23" s="16"/>
      <c r="H23" s="7"/>
    </row>
    <row r="24" spans="2:8" x14ac:dyDescent="0.25">
      <c r="B24" s="34" t="s">
        <v>363</v>
      </c>
      <c r="C24" s="16" t="s">
        <v>331</v>
      </c>
      <c r="D24" s="17">
        <v>1</v>
      </c>
      <c r="E24" s="76">
        <v>41870</v>
      </c>
      <c r="F24" s="16" t="s">
        <v>368</v>
      </c>
      <c r="G24" s="16" t="s">
        <v>371</v>
      </c>
      <c r="H24" s="7"/>
    </row>
    <row r="25" spans="2:8" x14ac:dyDescent="0.25">
      <c r="B25" s="34" t="s">
        <v>592</v>
      </c>
      <c r="C25" s="16" t="s">
        <v>609</v>
      </c>
      <c r="D25" s="68">
        <v>1</v>
      </c>
      <c r="E25" s="76">
        <v>44804</v>
      </c>
      <c r="F25" s="16" t="s">
        <v>391</v>
      </c>
      <c r="G25" s="16" t="s">
        <v>245</v>
      </c>
      <c r="H25" s="18" t="s">
        <v>392</v>
      </c>
    </row>
    <row r="26" spans="2:8" x14ac:dyDescent="0.25">
      <c r="B26" s="34" t="s">
        <v>326</v>
      </c>
      <c r="C26" s="16" t="s">
        <v>479</v>
      </c>
      <c r="D26" s="68">
        <v>1</v>
      </c>
      <c r="E26" s="69">
        <v>37735</v>
      </c>
      <c r="F26" s="16"/>
      <c r="G26" s="6"/>
      <c r="H26" s="7"/>
    </row>
    <row r="27" spans="2:8" x14ac:dyDescent="0.25">
      <c r="B27" s="34" t="s">
        <v>580</v>
      </c>
      <c r="C27" s="16" t="s">
        <v>576</v>
      </c>
      <c r="D27" s="17" t="s">
        <v>616</v>
      </c>
      <c r="E27" s="6"/>
      <c r="F27" s="16"/>
      <c r="G27" s="16" t="s">
        <v>577</v>
      </c>
      <c r="H27" s="7"/>
    </row>
    <row r="28" spans="2:8" x14ac:dyDescent="0.25">
      <c r="B28" s="34" t="s">
        <v>533</v>
      </c>
      <c r="C28" s="16" t="s">
        <v>576</v>
      </c>
      <c r="D28" s="17"/>
      <c r="E28" s="6"/>
      <c r="F28" s="16"/>
      <c r="G28" s="16"/>
      <c r="H28" s="7"/>
    </row>
    <row r="29" spans="2:8" x14ac:dyDescent="0.25">
      <c r="B29" s="34" t="s">
        <v>558</v>
      </c>
      <c r="C29" s="16" t="s">
        <v>386</v>
      </c>
      <c r="D29" s="17" t="s">
        <v>81</v>
      </c>
      <c r="E29" s="76">
        <v>42877</v>
      </c>
      <c r="F29" s="16" t="s">
        <v>387</v>
      </c>
      <c r="G29" s="16" t="s">
        <v>370</v>
      </c>
      <c r="H29" s="18" t="s">
        <v>369</v>
      </c>
    </row>
    <row r="30" spans="2:8" x14ac:dyDescent="0.25">
      <c r="B30" s="34" t="s">
        <v>623</v>
      </c>
      <c r="C30" s="16" t="s">
        <v>636</v>
      </c>
      <c r="D30" s="17"/>
      <c r="E30" s="76"/>
      <c r="F30" s="16"/>
      <c r="G30" s="16"/>
      <c r="H30" s="18"/>
    </row>
    <row r="31" spans="2:8" x14ac:dyDescent="0.25">
      <c r="B31" s="34" t="s">
        <v>591</v>
      </c>
      <c r="C31" s="16" t="s">
        <v>364</v>
      </c>
      <c r="D31" s="17" t="s">
        <v>81</v>
      </c>
      <c r="E31" s="76">
        <v>42209</v>
      </c>
      <c r="F31" s="16" t="s">
        <v>365</v>
      </c>
      <c r="G31" s="16" t="s">
        <v>370</v>
      </c>
      <c r="H31" s="18" t="s">
        <v>369</v>
      </c>
    </row>
    <row r="32" spans="2:8" x14ac:dyDescent="0.25">
      <c r="B32" s="34" t="s">
        <v>650</v>
      </c>
      <c r="C32" s="16" t="s">
        <v>439</v>
      </c>
      <c r="D32" s="17">
        <v>1</v>
      </c>
      <c r="E32" s="76">
        <v>43892</v>
      </c>
      <c r="F32" s="16" t="s">
        <v>440</v>
      </c>
      <c r="G32" s="16" t="s">
        <v>370</v>
      </c>
      <c r="H32" s="18" t="s">
        <v>414</v>
      </c>
    </row>
    <row r="33" spans="2:10" x14ac:dyDescent="0.25">
      <c r="B33" s="34" t="s">
        <v>612</v>
      </c>
      <c r="C33" s="16" t="s">
        <v>633</v>
      </c>
      <c r="D33" s="17" t="s">
        <v>614</v>
      </c>
      <c r="E33" s="76">
        <v>45744</v>
      </c>
      <c r="F33" s="16" t="s">
        <v>581</v>
      </c>
      <c r="G33" s="16"/>
      <c r="H33" s="18"/>
    </row>
    <row r="34" spans="2:10" x14ac:dyDescent="0.25">
      <c r="B34" s="34" t="s">
        <v>626</v>
      </c>
      <c r="C34" s="16" t="s">
        <v>634</v>
      </c>
      <c r="D34" s="17"/>
      <c r="E34" s="76"/>
      <c r="F34" s="16"/>
      <c r="G34" s="16"/>
      <c r="H34" s="18"/>
    </row>
    <row r="35" spans="2:10" x14ac:dyDescent="0.25">
      <c r="B35" s="34" t="s">
        <v>642</v>
      </c>
      <c r="C35" s="16" t="s">
        <v>635</v>
      </c>
      <c r="D35" s="17"/>
      <c r="E35" s="76"/>
      <c r="F35" s="16"/>
      <c r="G35" s="16"/>
      <c r="H35" s="18"/>
    </row>
    <row r="36" spans="2:10" x14ac:dyDescent="0.25">
      <c r="B36" s="34" t="s">
        <v>649</v>
      </c>
      <c r="C36" s="16" t="s">
        <v>637</v>
      </c>
      <c r="D36" s="17"/>
      <c r="E36" s="76"/>
      <c r="F36" s="16"/>
      <c r="G36" s="16"/>
      <c r="H36" s="18"/>
    </row>
    <row r="37" spans="2:10" x14ac:dyDescent="0.25">
      <c r="B37" s="34" t="s">
        <v>322</v>
      </c>
      <c r="C37" s="16" t="s">
        <v>137</v>
      </c>
      <c r="D37" s="68">
        <v>1</v>
      </c>
      <c r="E37" s="6"/>
      <c r="F37" s="16" t="s">
        <v>266</v>
      </c>
      <c r="G37" s="6"/>
      <c r="H37" s="7"/>
      <c r="J37" s="19"/>
    </row>
    <row r="38" spans="2:10" x14ac:dyDescent="0.25">
      <c r="B38" s="34" t="s">
        <v>366</v>
      </c>
      <c r="C38" s="16" t="s">
        <v>257</v>
      </c>
      <c r="D38" s="17" t="s">
        <v>328</v>
      </c>
      <c r="E38" s="76">
        <v>37018</v>
      </c>
      <c r="F38" s="16" t="s">
        <v>367</v>
      </c>
      <c r="G38" s="16" t="s">
        <v>370</v>
      </c>
      <c r="H38" s="18" t="s">
        <v>135</v>
      </c>
    </row>
    <row r="39" spans="2:10" x14ac:dyDescent="0.25">
      <c r="B39" s="2"/>
      <c r="C39" s="3"/>
      <c r="D39" s="3"/>
      <c r="E39" s="3" t="s">
        <v>17</v>
      </c>
      <c r="F39" s="3"/>
      <c r="G39" s="35" t="s">
        <v>15</v>
      </c>
      <c r="H39" s="4"/>
    </row>
    <row r="40" spans="2:10" x14ac:dyDescent="0.25">
      <c r="B40" s="34" t="s">
        <v>643</v>
      </c>
      <c r="C40" s="16" t="s">
        <v>645</v>
      </c>
      <c r="D40" s="17"/>
      <c r="E40" s="16" t="s">
        <v>646</v>
      </c>
      <c r="F40" s="16" t="s">
        <v>644</v>
      </c>
      <c r="G40" s="16"/>
      <c r="H40" s="18"/>
    </row>
    <row r="41" spans="2:10" x14ac:dyDescent="0.25">
      <c r="B41" s="34" t="s">
        <v>647</v>
      </c>
      <c r="C41" s="16" t="s">
        <v>648</v>
      </c>
      <c r="D41" s="17"/>
      <c r="E41" s="16"/>
      <c r="F41" s="16"/>
      <c r="G41" s="16"/>
      <c r="H41" s="18"/>
    </row>
    <row r="42" spans="2:10" x14ac:dyDescent="0.25">
      <c r="B42" s="34" t="s">
        <v>483</v>
      </c>
      <c r="C42" s="16" t="s">
        <v>83</v>
      </c>
      <c r="D42" s="17">
        <v>1</v>
      </c>
      <c r="E42" s="16" t="s">
        <v>153</v>
      </c>
      <c r="F42" s="16" t="s">
        <v>484</v>
      </c>
      <c r="G42" s="16" t="s">
        <v>245</v>
      </c>
      <c r="H42" s="18" t="s">
        <v>369</v>
      </c>
    </row>
    <row r="43" spans="2:10" x14ac:dyDescent="0.25">
      <c r="B43" s="34" t="s">
        <v>332</v>
      </c>
      <c r="C43" s="16" t="s">
        <v>333</v>
      </c>
      <c r="D43" s="17">
        <v>1</v>
      </c>
      <c r="E43" s="16" t="s">
        <v>153</v>
      </c>
      <c r="F43" s="6"/>
      <c r="G43" s="16" t="s">
        <v>266</v>
      </c>
      <c r="H43" s="7"/>
    </row>
    <row r="44" spans="2:10" x14ac:dyDescent="0.25">
      <c r="B44" s="34" t="s">
        <v>375</v>
      </c>
      <c r="C44" s="16" t="s">
        <v>83</v>
      </c>
      <c r="D44" s="17" t="s">
        <v>393</v>
      </c>
      <c r="E44" s="16" t="s">
        <v>153</v>
      </c>
      <c r="F44" s="16" t="s">
        <v>84</v>
      </c>
      <c r="G44" s="16" t="s">
        <v>376</v>
      </c>
      <c r="H44" s="18" t="s">
        <v>377</v>
      </c>
    </row>
    <row r="45" spans="2:10" x14ac:dyDescent="0.25">
      <c r="B45" s="80" t="s">
        <v>631</v>
      </c>
      <c r="C45" s="16" t="s">
        <v>632</v>
      </c>
      <c r="D45" s="17"/>
      <c r="E45" s="16" t="s">
        <v>153</v>
      </c>
      <c r="F45" s="16"/>
      <c r="G45" s="16"/>
      <c r="H45" s="81"/>
    </row>
    <row r="46" spans="2:10" x14ac:dyDescent="0.25">
      <c r="B46" s="19" t="s">
        <v>594</v>
      </c>
      <c r="C46" s="16" t="s">
        <v>595</v>
      </c>
    </row>
    <row r="47" spans="2:10" x14ac:dyDescent="0.25">
      <c r="B47" s="79" t="s">
        <v>630</v>
      </c>
      <c r="C47" s="16" t="s">
        <v>399</v>
      </c>
      <c r="E47" s="16" t="s">
        <v>154</v>
      </c>
    </row>
    <row r="48" spans="2:10" x14ac:dyDescent="0.25">
      <c r="B48" s="34" t="s">
        <v>422</v>
      </c>
      <c r="C48" s="16" t="s">
        <v>423</v>
      </c>
      <c r="D48" s="17" t="s">
        <v>424</v>
      </c>
      <c r="E48" s="16" t="s">
        <v>154</v>
      </c>
      <c r="F48" s="16" t="s">
        <v>425</v>
      </c>
      <c r="G48" s="16" t="s">
        <v>370</v>
      </c>
      <c r="H48" s="18" t="s">
        <v>410</v>
      </c>
    </row>
    <row r="49" spans="2:8" x14ac:dyDescent="0.25">
      <c r="B49" s="34" t="s">
        <v>426</v>
      </c>
      <c r="C49" s="16" t="s">
        <v>427</v>
      </c>
      <c r="D49" s="17" t="s">
        <v>307</v>
      </c>
      <c r="E49" s="16" t="s">
        <v>154</v>
      </c>
      <c r="F49" s="16" t="s">
        <v>428</v>
      </c>
      <c r="G49" s="16" t="s">
        <v>370</v>
      </c>
      <c r="H49" s="18" t="s">
        <v>410</v>
      </c>
    </row>
    <row r="50" spans="2:8" x14ac:dyDescent="0.25">
      <c r="B50" s="34" t="s">
        <v>638</v>
      </c>
      <c r="C50" s="16" t="s">
        <v>639</v>
      </c>
      <c r="D50" s="17"/>
      <c r="E50" s="16"/>
      <c r="F50" s="16"/>
      <c r="G50" s="16"/>
      <c r="H50" s="18"/>
    </row>
    <row r="51" spans="2:8" x14ac:dyDescent="0.25">
      <c r="B51" s="34" t="s">
        <v>429</v>
      </c>
      <c r="C51" s="16" t="s">
        <v>430</v>
      </c>
      <c r="D51" s="17" t="s">
        <v>243</v>
      </c>
      <c r="E51" s="16" t="s">
        <v>154</v>
      </c>
      <c r="F51" s="16" t="s">
        <v>431</v>
      </c>
      <c r="G51" s="16" t="s">
        <v>371</v>
      </c>
      <c r="H51" s="18" t="s">
        <v>109</v>
      </c>
    </row>
    <row r="52" spans="2:8" x14ac:dyDescent="0.25">
      <c r="B52" s="34" t="s">
        <v>432</v>
      </c>
      <c r="C52" s="16" t="s">
        <v>433</v>
      </c>
      <c r="D52" s="17" t="s">
        <v>307</v>
      </c>
      <c r="E52" s="16" t="s">
        <v>154</v>
      </c>
      <c r="F52" s="16" t="s">
        <v>434</v>
      </c>
      <c r="G52" s="16" t="s">
        <v>410</v>
      </c>
      <c r="H52" s="18" t="s">
        <v>410</v>
      </c>
    </row>
    <row r="53" spans="2:8" x14ac:dyDescent="0.25">
      <c r="B53" s="34" t="s">
        <v>415</v>
      </c>
      <c r="C53" s="16" t="s">
        <v>416</v>
      </c>
      <c r="D53" s="17" t="s">
        <v>417</v>
      </c>
      <c r="E53" s="16" t="s">
        <v>154</v>
      </c>
      <c r="F53" s="16" t="s">
        <v>418</v>
      </c>
      <c r="G53" s="16" t="s">
        <v>410</v>
      </c>
      <c r="H53" s="18" t="s">
        <v>410</v>
      </c>
    </row>
    <row r="54" spans="2:8" x14ac:dyDescent="0.25">
      <c r="B54" s="34" t="s">
        <v>411</v>
      </c>
      <c r="C54" s="16" t="s">
        <v>412</v>
      </c>
      <c r="D54" s="68">
        <v>1</v>
      </c>
      <c r="E54" s="16" t="s">
        <v>154</v>
      </c>
      <c r="F54" s="16" t="s">
        <v>413</v>
      </c>
      <c r="G54" s="16" t="s">
        <v>370</v>
      </c>
      <c r="H54" s="18" t="s">
        <v>414</v>
      </c>
    </row>
    <row r="55" spans="2:8" x14ac:dyDescent="0.25">
      <c r="B55" s="34" t="s">
        <v>407</v>
      </c>
      <c r="C55" s="16" t="s">
        <v>408</v>
      </c>
      <c r="D55" s="68">
        <v>1</v>
      </c>
      <c r="E55" s="16" t="s">
        <v>154</v>
      </c>
      <c r="F55" s="16" t="s">
        <v>409</v>
      </c>
      <c r="G55" s="16" t="s">
        <v>410</v>
      </c>
      <c r="H55" s="18" t="s">
        <v>410</v>
      </c>
    </row>
    <row r="56" spans="2:8" x14ac:dyDescent="0.25">
      <c r="B56" s="34" t="s">
        <v>404</v>
      </c>
      <c r="C56" s="16" t="s">
        <v>405</v>
      </c>
      <c r="D56" s="68">
        <v>1</v>
      </c>
      <c r="E56" s="16" t="s">
        <v>154</v>
      </c>
      <c r="F56" s="16" t="s">
        <v>406</v>
      </c>
      <c r="G56" s="16" t="s">
        <v>370</v>
      </c>
      <c r="H56" s="18" t="s">
        <v>400</v>
      </c>
    </row>
    <row r="57" spans="2:8" x14ac:dyDescent="0.25">
      <c r="B57" s="34" t="s">
        <v>452</v>
      </c>
      <c r="C57" s="16" t="s">
        <v>453</v>
      </c>
      <c r="D57" s="68">
        <v>1</v>
      </c>
      <c r="E57" s="16" t="s">
        <v>213</v>
      </c>
      <c r="F57" s="16" t="s">
        <v>454</v>
      </c>
      <c r="G57" s="16" t="s">
        <v>455</v>
      </c>
      <c r="H57" s="18" t="s">
        <v>414</v>
      </c>
    </row>
    <row r="58" spans="2:8" x14ac:dyDescent="0.25">
      <c r="B58" s="34" t="s">
        <v>401</v>
      </c>
      <c r="C58" s="16" t="s">
        <v>402</v>
      </c>
      <c r="D58" s="68">
        <v>1</v>
      </c>
      <c r="E58" s="16" t="s">
        <v>154</v>
      </c>
      <c r="F58" s="16" t="s">
        <v>403</v>
      </c>
      <c r="G58" s="16" t="s">
        <v>370</v>
      </c>
      <c r="H58" s="18" t="s">
        <v>400</v>
      </c>
    </row>
    <row r="59" spans="2:8" x14ac:dyDescent="0.25">
      <c r="B59" s="34" t="s">
        <v>435</v>
      </c>
      <c r="C59" s="16" t="s">
        <v>242</v>
      </c>
      <c r="D59" s="68">
        <v>1</v>
      </c>
      <c r="E59" s="16" t="s">
        <v>213</v>
      </c>
      <c r="F59" s="16" t="s">
        <v>436</v>
      </c>
      <c r="G59" s="16" t="s">
        <v>370</v>
      </c>
      <c r="H59" s="18"/>
    </row>
    <row r="60" spans="2:8" x14ac:dyDescent="0.25">
      <c r="B60" s="34" t="s">
        <v>437</v>
      </c>
      <c r="C60" s="16" t="s">
        <v>242</v>
      </c>
      <c r="D60" s="17" t="s">
        <v>410</v>
      </c>
      <c r="E60" s="16" t="s">
        <v>213</v>
      </c>
      <c r="F60" s="16" t="s">
        <v>438</v>
      </c>
      <c r="G60" s="16" t="s">
        <v>410</v>
      </c>
      <c r="H60" s="18" t="s">
        <v>410</v>
      </c>
    </row>
    <row r="61" spans="2:8" x14ac:dyDescent="0.25">
      <c r="B61" s="34" t="s">
        <v>456</v>
      </c>
      <c r="C61" s="16" t="s">
        <v>457</v>
      </c>
      <c r="D61" s="17">
        <v>1</v>
      </c>
      <c r="E61" s="16" t="s">
        <v>213</v>
      </c>
      <c r="F61" s="16" t="s">
        <v>458</v>
      </c>
      <c r="G61" s="16" t="s">
        <v>370</v>
      </c>
      <c r="H61" s="18" t="s">
        <v>410</v>
      </c>
    </row>
    <row r="62" spans="2:8" x14ac:dyDescent="0.25">
      <c r="B62" s="34" t="s">
        <v>461</v>
      </c>
      <c r="C62" s="16" t="s">
        <v>462</v>
      </c>
      <c r="D62" s="17">
        <v>1</v>
      </c>
      <c r="E62" s="16" t="s">
        <v>213</v>
      </c>
      <c r="F62" s="16" t="s">
        <v>463</v>
      </c>
      <c r="G62" s="16" t="s">
        <v>370</v>
      </c>
      <c r="H62" s="18" t="s">
        <v>410</v>
      </c>
    </row>
    <row r="63" spans="2:8" x14ac:dyDescent="0.25">
      <c r="B63" s="34" t="s">
        <v>464</v>
      </c>
      <c r="C63" s="16" t="s">
        <v>465</v>
      </c>
      <c r="D63" s="17">
        <v>1</v>
      </c>
      <c r="E63" s="16" t="s">
        <v>213</v>
      </c>
      <c r="F63" s="16" t="s">
        <v>466</v>
      </c>
      <c r="G63" s="16" t="s">
        <v>370</v>
      </c>
      <c r="H63" s="18" t="s">
        <v>410</v>
      </c>
    </row>
    <row r="64" spans="2:8" x14ac:dyDescent="0.25">
      <c r="B64" s="34" t="s">
        <v>481</v>
      </c>
      <c r="C64" s="16" t="s">
        <v>327</v>
      </c>
      <c r="D64" s="17">
        <v>1</v>
      </c>
      <c r="E64" s="16" t="s">
        <v>213</v>
      </c>
      <c r="F64" s="16" t="s">
        <v>482</v>
      </c>
      <c r="G64" s="16" t="s">
        <v>245</v>
      </c>
      <c r="H64" s="18" t="s">
        <v>135</v>
      </c>
    </row>
    <row r="65" spans="2:8" x14ac:dyDescent="0.25">
      <c r="B65" s="34" t="s">
        <v>477</v>
      </c>
      <c r="C65" s="16" t="s">
        <v>478</v>
      </c>
      <c r="D65" s="17">
        <v>1</v>
      </c>
      <c r="E65" s="16" t="s">
        <v>213</v>
      </c>
      <c r="F65" s="16" t="s">
        <v>480</v>
      </c>
      <c r="G65" s="16" t="s">
        <v>371</v>
      </c>
      <c r="H65" s="18" t="s">
        <v>109</v>
      </c>
    </row>
    <row r="66" spans="2:8" x14ac:dyDescent="0.25">
      <c r="B66" s="34" t="s">
        <v>443</v>
      </c>
      <c r="C66" s="16" t="s">
        <v>242</v>
      </c>
      <c r="D66" s="17">
        <v>1</v>
      </c>
      <c r="E66" s="16" t="s">
        <v>213</v>
      </c>
      <c r="F66" s="16" t="s">
        <v>445</v>
      </c>
      <c r="G66" s="16" t="s">
        <v>410</v>
      </c>
      <c r="H66" s="18" t="s">
        <v>444</v>
      </c>
    </row>
    <row r="67" spans="2:8" x14ac:dyDescent="0.25">
      <c r="B67" s="34" t="s">
        <v>450</v>
      </c>
      <c r="C67" s="16" t="s">
        <v>242</v>
      </c>
      <c r="D67" s="17" t="s">
        <v>243</v>
      </c>
      <c r="E67" s="16" t="s">
        <v>213</v>
      </c>
      <c r="F67" s="16" t="s">
        <v>451</v>
      </c>
      <c r="G67" s="16" t="s">
        <v>371</v>
      </c>
      <c r="H67" s="18" t="s">
        <v>109</v>
      </c>
    </row>
    <row r="68" spans="2:8" x14ac:dyDescent="0.25">
      <c r="B68" s="34" t="s">
        <v>446</v>
      </c>
      <c r="C68" s="16" t="s">
        <v>242</v>
      </c>
      <c r="D68" s="17">
        <v>1</v>
      </c>
      <c r="E68" s="16" t="s">
        <v>213</v>
      </c>
      <c r="F68" s="16" t="s">
        <v>447</v>
      </c>
      <c r="G68" s="16" t="s">
        <v>370</v>
      </c>
      <c r="H68" s="18" t="s">
        <v>414</v>
      </c>
    </row>
    <row r="69" spans="2:8" x14ac:dyDescent="0.25">
      <c r="B69" s="34" t="s">
        <v>448</v>
      </c>
      <c r="C69" s="16" t="s">
        <v>242</v>
      </c>
      <c r="D69" s="17">
        <v>1</v>
      </c>
      <c r="E69" s="16" t="s">
        <v>213</v>
      </c>
      <c r="F69" s="16" t="s">
        <v>449</v>
      </c>
      <c r="G69" s="16" t="s">
        <v>371</v>
      </c>
      <c r="H69" s="18" t="s">
        <v>109</v>
      </c>
    </row>
    <row r="70" spans="2:8" x14ac:dyDescent="0.25">
      <c r="B70" s="49" t="s">
        <v>441</v>
      </c>
      <c r="C70" s="50" t="s">
        <v>242</v>
      </c>
      <c r="D70" s="51" t="s">
        <v>424</v>
      </c>
      <c r="E70" s="50" t="s">
        <v>213</v>
      </c>
      <c r="F70" s="50" t="s">
        <v>442</v>
      </c>
      <c r="G70" s="50" t="s">
        <v>370</v>
      </c>
      <c r="H70" s="52" t="s">
        <v>414</v>
      </c>
    </row>
    <row r="72" spans="2:8" x14ac:dyDescent="0.25">
      <c r="F72" s="19" t="s">
        <v>251</v>
      </c>
    </row>
    <row r="73" spans="2:8" ht="13" x14ac:dyDescent="0.3">
      <c r="E73" s="12"/>
      <c r="F73" s="19" t="s">
        <v>372</v>
      </c>
    </row>
    <row r="74" spans="2:8" ht="13" x14ac:dyDescent="0.3">
      <c r="E74" s="12"/>
      <c r="F74" s="19" t="s">
        <v>617</v>
      </c>
    </row>
    <row r="75" spans="2:8" x14ac:dyDescent="0.25">
      <c r="F75" s="19" t="s">
        <v>607</v>
      </c>
    </row>
    <row r="76" spans="2:8" x14ac:dyDescent="0.25">
      <c r="F76" s="19" t="s">
        <v>629</v>
      </c>
    </row>
  </sheetData>
  <dataConsolidate/>
  <phoneticPr fontId="2" type="noConversion"/>
  <hyperlinks>
    <hyperlink ref="B4" location="Plavix!A1" display="Plavix" xr:uid="{00000000-0004-0000-0200-000000000000}"/>
    <hyperlink ref="B5" location="Lovenox!A1" display="Lovenox (enoxaparin)" xr:uid="{00000000-0004-0000-0200-000001000000}"/>
    <hyperlink ref="B16" location="Multaq!A1" display="Multaq (dronedarone)" xr:uid="{00000000-0004-0000-0200-000002000000}"/>
    <hyperlink ref="B9" location="Aubagio!A1" display="Aubagio (teriflunomide)" xr:uid="{00000000-0004-0000-0200-000003000000}"/>
    <hyperlink ref="B3" location="Lantus!A1" display="Lantus" xr:uid="{00000000-0004-0000-0200-000004000000}"/>
    <hyperlink ref="B6" location="Dupixent!A1" display="Dupixent (dupilumab)" xr:uid="{D7FF847E-6883-4439-8433-B6ADCEF36C71}"/>
  </hyperlinks>
  <pageMargins left="0.75" right="0.75" top="1" bottom="1" header="0.5" footer="0.5"/>
  <pageSetup scale="80" orientation="landscape" vertic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Q128"/>
  <sheetViews>
    <sheetView zoomScale="145" zoomScaleNormal="145" workbookViewId="0">
      <pane xSplit="2" ySplit="2" topLeftCell="DL69" activePane="bottomRight" state="frozen"/>
      <selection pane="topRight" activeCell="C1" sqref="C1"/>
      <selection pane="bottomLeft" activeCell="A3" sqref="A3"/>
      <selection pane="bottomRight" activeCell="DO80" sqref="DO80"/>
    </sheetView>
  </sheetViews>
  <sheetFormatPr defaultColWidth="9.1796875" defaultRowHeight="12.5" x14ac:dyDescent="0.25"/>
  <cols>
    <col min="1" max="1" width="5" style="1" bestFit="1" customWidth="1"/>
    <col min="2" max="2" width="17.453125" style="1" bestFit="1" customWidth="1"/>
    <col min="3" max="17" width="6.453125" style="23" customWidth="1"/>
    <col min="18" max="62" width="6.453125" style="20" customWidth="1"/>
    <col min="63" max="67" width="6.453125" style="53" customWidth="1"/>
    <col min="68" max="94" width="7" style="53" customWidth="1"/>
    <col min="95" max="95" width="6.453125" style="20" customWidth="1"/>
    <col min="96" max="96" width="9.1796875" style="20"/>
    <col min="97" max="109" width="7.26953125" style="20" customWidth="1"/>
    <col min="110" max="110" width="6.81640625" style="20" customWidth="1"/>
    <col min="111" max="112" width="6.81640625" style="1" customWidth="1"/>
    <col min="113" max="123" width="8.1796875" style="1" customWidth="1"/>
    <col min="124" max="16384" width="9.1796875" style="1"/>
  </cols>
  <sheetData>
    <row r="1" spans="1:128" x14ac:dyDescent="0.25">
      <c r="A1" s="9" t="s">
        <v>65</v>
      </c>
      <c r="AO1" s="53"/>
    </row>
    <row r="2" spans="1:128" x14ac:dyDescent="0.25">
      <c r="B2" s="1" t="s">
        <v>121</v>
      </c>
      <c r="C2" s="23" t="s">
        <v>144</v>
      </c>
      <c r="D2" s="23" t="s">
        <v>143</v>
      </c>
      <c r="E2" s="23" t="s">
        <v>142</v>
      </c>
      <c r="F2" s="23" t="s">
        <v>141</v>
      </c>
      <c r="G2" s="23" t="s">
        <v>140</v>
      </c>
      <c r="H2" s="23" t="s">
        <v>139</v>
      </c>
      <c r="I2" s="23" t="s">
        <v>122</v>
      </c>
      <c r="J2" s="23" t="s">
        <v>123</v>
      </c>
      <c r="K2" s="23" t="s">
        <v>124</v>
      </c>
      <c r="L2" s="23" t="s">
        <v>125</v>
      </c>
      <c r="M2" s="23" t="s">
        <v>126</v>
      </c>
      <c r="N2" s="23" t="s">
        <v>127</v>
      </c>
      <c r="O2" s="23" t="s">
        <v>128</v>
      </c>
      <c r="P2" s="23" t="s">
        <v>129</v>
      </c>
      <c r="Q2" s="23" t="s">
        <v>130</v>
      </c>
      <c r="R2" s="20" t="s">
        <v>131</v>
      </c>
      <c r="S2" s="20" t="s">
        <v>177</v>
      </c>
      <c r="T2" s="20" t="s">
        <v>178</v>
      </c>
      <c r="U2" s="20" t="s">
        <v>179</v>
      </c>
      <c r="V2" s="20" t="s">
        <v>180</v>
      </c>
      <c r="W2" s="20" t="s">
        <v>209</v>
      </c>
      <c r="X2" s="20" t="s">
        <v>215</v>
      </c>
      <c r="Y2" s="20" t="s">
        <v>216</v>
      </c>
      <c r="Z2" s="20" t="s">
        <v>217</v>
      </c>
      <c r="AA2" s="33" t="s">
        <v>271</v>
      </c>
      <c r="AB2" s="33" t="s">
        <v>272</v>
      </c>
      <c r="AC2" s="33" t="s">
        <v>273</v>
      </c>
      <c r="AD2" s="33" t="s">
        <v>274</v>
      </c>
      <c r="AE2" s="33" t="s">
        <v>315</v>
      </c>
      <c r="AF2" s="33" t="s">
        <v>316</v>
      </c>
      <c r="AG2" s="33" t="s">
        <v>318</v>
      </c>
      <c r="AH2" s="33" t="s">
        <v>317</v>
      </c>
      <c r="AI2" s="33" t="s">
        <v>341</v>
      </c>
      <c r="AJ2" s="33" t="s">
        <v>342</v>
      </c>
      <c r="AK2" s="33" t="s">
        <v>343</v>
      </c>
      <c r="AL2" s="33" t="s">
        <v>344</v>
      </c>
      <c r="AM2" s="33" t="s">
        <v>345</v>
      </c>
      <c r="AN2" s="33" t="s">
        <v>346</v>
      </c>
      <c r="AO2" s="55" t="s">
        <v>347</v>
      </c>
      <c r="AP2" s="33" t="s">
        <v>348</v>
      </c>
      <c r="AQ2" s="33" t="s">
        <v>488</v>
      </c>
      <c r="AR2" s="55" t="s">
        <v>489</v>
      </c>
      <c r="AS2" s="33" t="s">
        <v>490</v>
      </c>
      <c r="AT2" s="33" t="s">
        <v>491</v>
      </c>
      <c r="AU2" s="33" t="s">
        <v>494</v>
      </c>
      <c r="AV2" s="33" t="s">
        <v>495</v>
      </c>
      <c r="AW2" s="33" t="s">
        <v>496</v>
      </c>
      <c r="AX2" s="33" t="s">
        <v>497</v>
      </c>
      <c r="AY2" s="33" t="s">
        <v>498</v>
      </c>
      <c r="AZ2" s="33" t="s">
        <v>499</v>
      </c>
      <c r="BA2" s="33" t="s">
        <v>500</v>
      </c>
      <c r="BB2" s="33" t="s">
        <v>501</v>
      </c>
      <c r="BC2" s="33" t="s">
        <v>502</v>
      </c>
      <c r="BD2" s="33" t="s">
        <v>503</v>
      </c>
      <c r="BE2" s="33" t="s">
        <v>504</v>
      </c>
      <c r="BF2" s="33" t="s">
        <v>505</v>
      </c>
      <c r="BG2" s="33" t="s">
        <v>506</v>
      </c>
      <c r="BH2" s="33" t="s">
        <v>507</v>
      </c>
      <c r="BI2" s="33" t="s">
        <v>508</v>
      </c>
      <c r="BJ2" s="33" t="s">
        <v>509</v>
      </c>
      <c r="BK2" s="59" t="s">
        <v>510</v>
      </c>
      <c r="BL2" s="59" t="s">
        <v>511</v>
      </c>
      <c r="BM2" s="59" t="s">
        <v>512</v>
      </c>
      <c r="BN2" s="59" t="s">
        <v>513</v>
      </c>
      <c r="BO2" s="59" t="s">
        <v>514</v>
      </c>
      <c r="BP2" s="59" t="s">
        <v>515</v>
      </c>
      <c r="BQ2" s="59" t="s">
        <v>516</v>
      </c>
      <c r="BR2" s="59" t="s">
        <v>517</v>
      </c>
      <c r="BS2" s="59" t="s">
        <v>518</v>
      </c>
      <c r="BT2" s="59" t="s">
        <v>519</v>
      </c>
      <c r="BU2" s="59" t="s">
        <v>520</v>
      </c>
      <c r="BV2" s="59" t="s">
        <v>521</v>
      </c>
      <c r="BW2" s="59" t="s">
        <v>522</v>
      </c>
      <c r="BX2" s="59" t="s">
        <v>523</v>
      </c>
      <c r="BY2" s="59" t="s">
        <v>524</v>
      </c>
      <c r="BZ2" s="59" t="s">
        <v>525</v>
      </c>
      <c r="CA2" s="59" t="s">
        <v>549</v>
      </c>
      <c r="CB2" s="59" t="s">
        <v>550</v>
      </c>
      <c r="CC2" s="59" t="s">
        <v>551</v>
      </c>
      <c r="CD2" s="59" t="s">
        <v>552</v>
      </c>
      <c r="CE2" s="59" t="s">
        <v>566</v>
      </c>
      <c r="CF2" s="59" t="s">
        <v>567</v>
      </c>
      <c r="CG2" s="59" t="s">
        <v>568</v>
      </c>
      <c r="CH2" s="59" t="s">
        <v>569</v>
      </c>
      <c r="CI2" s="59" t="s">
        <v>570</v>
      </c>
      <c r="CJ2" s="59" t="s">
        <v>571</v>
      </c>
      <c r="CK2" s="59" t="s">
        <v>572</v>
      </c>
      <c r="CL2" s="59" t="s">
        <v>573</v>
      </c>
      <c r="CM2" s="59" t="s">
        <v>619</v>
      </c>
      <c r="CN2" s="59" t="s">
        <v>620</v>
      </c>
      <c r="CO2" s="59" t="s">
        <v>621</v>
      </c>
      <c r="CP2" s="59" t="s">
        <v>622</v>
      </c>
      <c r="CQ2" s="33"/>
      <c r="CS2" s="20">
        <v>2004</v>
      </c>
      <c r="CT2" s="20">
        <v>2005</v>
      </c>
      <c r="CU2" s="20">
        <v>2006</v>
      </c>
      <c r="CV2" s="20">
        <v>2007</v>
      </c>
      <c r="CW2" s="20">
        <v>2008</v>
      </c>
      <c r="CX2" s="20">
        <v>2009</v>
      </c>
      <c r="CY2" s="20">
        <f t="shared" ref="CY2:DF2" si="0">CX2+1</f>
        <v>2010</v>
      </c>
      <c r="CZ2" s="20">
        <f t="shared" si="0"/>
        <v>2011</v>
      </c>
      <c r="DA2" s="20">
        <f t="shared" si="0"/>
        <v>2012</v>
      </c>
      <c r="DB2" s="20">
        <f t="shared" si="0"/>
        <v>2013</v>
      </c>
      <c r="DC2" s="20">
        <f t="shared" si="0"/>
        <v>2014</v>
      </c>
      <c r="DD2" s="20">
        <f t="shared" si="0"/>
        <v>2015</v>
      </c>
      <c r="DE2" s="20">
        <f t="shared" si="0"/>
        <v>2016</v>
      </c>
      <c r="DF2" s="20">
        <f t="shared" si="0"/>
        <v>2017</v>
      </c>
      <c r="DG2" s="20">
        <f t="shared" ref="DG2" si="1">DF2+1</f>
        <v>2018</v>
      </c>
      <c r="DH2" s="20">
        <f t="shared" ref="DH2" si="2">DG2+1</f>
        <v>2019</v>
      </c>
      <c r="DI2" s="20">
        <f t="shared" ref="DI2" si="3">DH2+1</f>
        <v>2020</v>
      </c>
      <c r="DJ2" s="20">
        <f t="shared" ref="DJ2" si="4">DI2+1</f>
        <v>2021</v>
      </c>
      <c r="DK2" s="20">
        <f t="shared" ref="DK2" si="5">DJ2+1</f>
        <v>2022</v>
      </c>
      <c r="DL2" s="20">
        <f t="shared" ref="DL2" si="6">DK2+1</f>
        <v>2023</v>
      </c>
      <c r="DM2" s="20">
        <f t="shared" ref="DM2" si="7">DL2+1</f>
        <v>2024</v>
      </c>
      <c r="DN2" s="20">
        <f t="shared" ref="DN2" si="8">DM2+1</f>
        <v>2025</v>
      </c>
      <c r="DO2" s="20">
        <f t="shared" ref="DO2" si="9">DN2+1</f>
        <v>2026</v>
      </c>
      <c r="DP2" s="20">
        <f t="shared" ref="DP2" si="10">DO2+1</f>
        <v>2027</v>
      </c>
      <c r="DQ2" s="20">
        <f t="shared" ref="DQ2" si="11">DP2+1</f>
        <v>2028</v>
      </c>
      <c r="DR2" s="20">
        <f t="shared" ref="DR2" si="12">DQ2+1</f>
        <v>2029</v>
      </c>
      <c r="DS2" s="20">
        <f t="shared" ref="DS2" si="13">DR2+1</f>
        <v>2030</v>
      </c>
      <c r="DT2" s="20">
        <f t="shared" ref="DT2" si="14">DS2+1</f>
        <v>2031</v>
      </c>
      <c r="DU2" s="20">
        <f t="shared" ref="DU2" si="15">DT2+1</f>
        <v>2032</v>
      </c>
      <c r="DV2" s="20">
        <f t="shared" ref="DV2" si="16">DU2+1</f>
        <v>2033</v>
      </c>
      <c r="DW2" s="20">
        <f t="shared" ref="DW2" si="17">DV2+1</f>
        <v>2034</v>
      </c>
      <c r="DX2" s="20">
        <f t="shared" ref="DX2" si="18">DW2+1</f>
        <v>2035</v>
      </c>
    </row>
    <row r="3" spans="1:128" s="27" customFormat="1" x14ac:dyDescent="0.25">
      <c r="B3" s="48" t="s">
        <v>526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57"/>
      <c r="AP3" s="32"/>
      <c r="AQ3" s="32"/>
      <c r="AR3" s="57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60">
        <v>329</v>
      </c>
      <c r="BL3" s="60"/>
      <c r="BM3" s="60"/>
      <c r="BN3" s="60"/>
      <c r="BO3" s="60">
        <v>776</v>
      </c>
      <c r="BP3" s="60">
        <v>858</v>
      </c>
      <c r="BQ3" s="60">
        <v>918</v>
      </c>
      <c r="BR3" s="60">
        <v>982</v>
      </c>
      <c r="BS3" s="60">
        <v>1047</v>
      </c>
      <c r="BT3" s="60">
        <v>1243</v>
      </c>
      <c r="BU3" s="60">
        <v>1410</v>
      </c>
      <c r="BV3" s="60">
        <v>1549</v>
      </c>
      <c r="BW3" s="60">
        <v>1614</v>
      </c>
      <c r="BX3" s="60">
        <v>1963</v>
      </c>
      <c r="BY3" s="60">
        <v>2314</v>
      </c>
      <c r="BZ3" s="60">
        <v>2402</v>
      </c>
      <c r="CA3" s="60">
        <v>2316</v>
      </c>
      <c r="CB3" s="60">
        <v>2562</v>
      </c>
      <c r="CC3" s="60">
        <v>2847</v>
      </c>
      <c r="CD3" s="60">
        <v>2990</v>
      </c>
      <c r="CE3" s="60">
        <v>2835</v>
      </c>
      <c r="CF3" s="60">
        <v>3303</v>
      </c>
      <c r="CG3" s="60">
        <v>3476</v>
      </c>
      <c r="CH3" s="60">
        <v>3458</v>
      </c>
      <c r="CI3" s="60">
        <v>3480</v>
      </c>
      <c r="CJ3" s="60">
        <f>+CF3*1.2</f>
        <v>3963.6</v>
      </c>
      <c r="CK3" s="60">
        <f>+CG3*1.2</f>
        <v>4171.2</v>
      </c>
      <c r="CL3" s="60">
        <f>+CH3*1.2</f>
        <v>4149.5999999999995</v>
      </c>
      <c r="CM3" s="60">
        <v>4170</v>
      </c>
      <c r="CN3" s="60"/>
      <c r="CO3" s="60"/>
      <c r="CP3" s="60"/>
      <c r="CQ3" s="32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H3" s="48"/>
      <c r="DI3" s="27">
        <f>SUM(BO3:BR3)</f>
        <v>3534</v>
      </c>
      <c r="DJ3" s="27">
        <f>SUM(BS3:BV3)</f>
        <v>5249</v>
      </c>
      <c r="DK3" s="27">
        <f>SUM(BW3:BZ3)</f>
        <v>8293</v>
      </c>
      <c r="DL3" s="27">
        <f>SUM(CA3:CD3)</f>
        <v>10715</v>
      </c>
      <c r="DM3" s="27">
        <f t="shared" ref="DM3:DM36" si="19">SUM(CE3:CH3)</f>
        <v>13072</v>
      </c>
      <c r="DN3" s="27">
        <f>SUM(CI3:CL3)</f>
        <v>15764.399999999998</v>
      </c>
      <c r="DO3" s="27">
        <f>+DN3*1.1</f>
        <v>17340.84</v>
      </c>
      <c r="DP3" s="27">
        <f>+DO3*1.07</f>
        <v>18554.698800000002</v>
      </c>
      <c r="DQ3" s="27">
        <f>+DP3*1.05</f>
        <v>19482.433740000004</v>
      </c>
      <c r="DR3" s="27">
        <f>+DQ3*1.05</f>
        <v>20456.555427000007</v>
      </c>
      <c r="DS3" s="27">
        <f>+DR3*1.05</f>
        <v>21479.383198350009</v>
      </c>
    </row>
    <row r="4" spans="1:128" s="27" customFormat="1" x14ac:dyDescent="0.25">
      <c r="B4" s="48" t="s">
        <v>299</v>
      </c>
      <c r="C4" s="23"/>
      <c r="D4" s="23"/>
      <c r="E4" s="23"/>
      <c r="F4" s="23"/>
      <c r="G4" s="23"/>
      <c r="H4" s="23"/>
      <c r="I4" s="23"/>
      <c r="J4" s="23"/>
      <c r="K4" s="23">
        <v>382</v>
      </c>
      <c r="L4" s="23">
        <v>421</v>
      </c>
      <c r="M4" s="23">
        <v>412</v>
      </c>
      <c r="N4" s="23">
        <v>451</v>
      </c>
      <c r="O4" s="23">
        <f>961-P4</f>
        <v>458</v>
      </c>
      <c r="P4" s="23">
        <v>503</v>
      </c>
      <c r="Q4" s="23">
        <v>518</v>
      </c>
      <c r="R4" s="23">
        <v>552</v>
      </c>
      <c r="S4" s="23">
        <v>557</v>
      </c>
      <c r="T4" s="23">
        <v>576</v>
      </c>
      <c r="U4" s="23">
        <v>612</v>
      </c>
      <c r="V4" s="23">
        <v>705</v>
      </c>
      <c r="W4" s="23">
        <v>747</v>
      </c>
      <c r="X4" s="23">
        <f>1539-W4</f>
        <v>792</v>
      </c>
      <c r="Y4" s="23">
        <f>478+189+111</f>
        <v>778</v>
      </c>
      <c r="Z4" s="23">
        <v>763</v>
      </c>
      <c r="AA4" s="23">
        <f>205+475+110</f>
        <v>790</v>
      </c>
      <c r="AB4" s="23">
        <v>926</v>
      </c>
      <c r="AC4" s="23">
        <v>900</v>
      </c>
      <c r="AD4" s="23">
        <v>894</v>
      </c>
      <c r="AE4" s="23">
        <v>925</v>
      </c>
      <c r="AF4" s="23">
        <v>969</v>
      </c>
      <c r="AG4" s="23">
        <f t="shared" ref="AG4:AH4" si="20">+AC4*1.1</f>
        <v>990.00000000000011</v>
      </c>
      <c r="AH4" s="23">
        <f t="shared" si="20"/>
        <v>983.40000000000009</v>
      </c>
      <c r="AI4" s="23"/>
      <c r="AJ4" s="23"/>
      <c r="AK4" s="23"/>
      <c r="AL4" s="23"/>
      <c r="AM4" s="23"/>
      <c r="AN4" s="23">
        <v>1409</v>
      </c>
      <c r="AO4" s="56">
        <v>1456</v>
      </c>
      <c r="AP4" s="23"/>
      <c r="AQ4" s="23"/>
      <c r="AR4" s="56">
        <v>1557</v>
      </c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54">
        <v>774</v>
      </c>
      <c r="BL4" s="54"/>
      <c r="BM4" s="54"/>
      <c r="BN4" s="54"/>
      <c r="BO4" s="54">
        <v>724</v>
      </c>
      <c r="BP4" s="54">
        <v>693</v>
      </c>
      <c r="BQ4" s="54">
        <v>657</v>
      </c>
      <c r="BR4" s="54">
        <v>587</v>
      </c>
      <c r="BS4" s="54">
        <v>652</v>
      </c>
      <c r="BT4" s="54">
        <v>637</v>
      </c>
      <c r="BU4" s="54">
        <v>622</v>
      </c>
      <c r="BV4" s="54">
        <v>583</v>
      </c>
      <c r="BW4" s="54">
        <v>671</v>
      </c>
      <c r="BX4" s="54">
        <v>600</v>
      </c>
      <c r="BY4" s="54">
        <v>559</v>
      </c>
      <c r="BZ4" s="54">
        <v>429</v>
      </c>
      <c r="CA4" s="54">
        <v>447</v>
      </c>
      <c r="CB4" s="54">
        <v>353</v>
      </c>
      <c r="CC4" s="54">
        <v>343</v>
      </c>
      <c r="CD4" s="54">
        <v>277</v>
      </c>
      <c r="CE4" s="54">
        <v>360</v>
      </c>
      <c r="CF4" s="54">
        <v>398</v>
      </c>
      <c r="CG4" s="54">
        <v>431</v>
      </c>
      <c r="CH4" s="54">
        <v>439</v>
      </c>
      <c r="CI4" s="54">
        <v>450</v>
      </c>
      <c r="CJ4" s="54">
        <f t="shared" ref="CJ4:CL4" si="21">+CF4*0.9</f>
        <v>358.2</v>
      </c>
      <c r="CK4" s="54">
        <f t="shared" si="21"/>
        <v>387.90000000000003</v>
      </c>
      <c r="CL4" s="54">
        <f t="shared" si="21"/>
        <v>395.1</v>
      </c>
      <c r="CM4" s="54">
        <v>419</v>
      </c>
      <c r="CN4" s="54"/>
      <c r="CO4" s="54"/>
      <c r="CP4" s="54"/>
      <c r="CQ4" s="23"/>
      <c r="CR4" s="23"/>
      <c r="CS4" s="23"/>
      <c r="CT4" s="23"/>
      <c r="CU4" s="23">
        <f>SUM(K4:N4)</f>
        <v>1666</v>
      </c>
      <c r="CV4" s="23">
        <f>SUM(O4:R4)</f>
        <v>2031</v>
      </c>
      <c r="CW4" s="23">
        <f>SUM(S4:V4)</f>
        <v>2450</v>
      </c>
      <c r="CX4" s="23">
        <f>SUM(W4:Z4)</f>
        <v>3080</v>
      </c>
      <c r="CY4" s="23">
        <f>SUM(AA4:AD4)</f>
        <v>3510</v>
      </c>
      <c r="CZ4" s="23">
        <f>SUM(AE4:AH4)</f>
        <v>3867.4</v>
      </c>
      <c r="DA4" s="23">
        <f>CZ4*1.01</f>
        <v>3906.0740000000001</v>
      </c>
      <c r="DB4" s="23">
        <f>DA4*0.99</f>
        <v>3867.0132600000002</v>
      </c>
      <c r="DC4" s="23">
        <f t="shared" ref="DC4:DF4" si="22">DB4*0.99</f>
        <v>3828.3431274</v>
      </c>
      <c r="DD4" s="23">
        <f t="shared" si="22"/>
        <v>3790.0596961259998</v>
      </c>
      <c r="DE4" s="23">
        <f t="shared" si="22"/>
        <v>3752.1590991647399</v>
      </c>
      <c r="DF4" s="23">
        <f t="shared" si="22"/>
        <v>3714.6375081730926</v>
      </c>
      <c r="DH4" s="48"/>
      <c r="DM4" s="27">
        <f t="shared" si="19"/>
        <v>1628</v>
      </c>
    </row>
    <row r="5" spans="1:128" s="27" customFormat="1" x14ac:dyDescent="0.25">
      <c r="B5" s="48" t="s">
        <v>350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>
        <v>33</v>
      </c>
      <c r="AO5" s="56">
        <v>44</v>
      </c>
      <c r="AP5" s="23"/>
      <c r="AQ5" s="23"/>
      <c r="AR5" s="56">
        <v>97</v>
      </c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54">
        <v>437</v>
      </c>
      <c r="BL5" s="54"/>
      <c r="BM5" s="54"/>
      <c r="BN5" s="54"/>
      <c r="BO5" s="54">
        <v>541</v>
      </c>
      <c r="BP5" s="54">
        <v>527</v>
      </c>
      <c r="BQ5" s="54">
        <v>505</v>
      </c>
      <c r="BR5" s="54">
        <v>472</v>
      </c>
      <c r="BS5" s="54">
        <v>500</v>
      </c>
      <c r="BT5" s="54">
        <v>494</v>
      </c>
      <c r="BU5" s="54">
        <v>483</v>
      </c>
      <c r="BV5" s="54">
        <v>478</v>
      </c>
      <c r="BW5" s="54">
        <v>491</v>
      </c>
      <c r="BX5" s="54">
        <v>526</v>
      </c>
      <c r="BY5" s="54">
        <v>521</v>
      </c>
      <c r="BZ5" s="54">
        <v>493</v>
      </c>
      <c r="CA5" s="54">
        <v>419</v>
      </c>
      <c r="CB5" s="54">
        <v>216</v>
      </c>
      <c r="CC5" s="54">
        <v>199</v>
      </c>
      <c r="CD5" s="54">
        <v>121</v>
      </c>
      <c r="CE5" s="54">
        <v>102</v>
      </c>
      <c r="CF5" s="54">
        <v>107</v>
      </c>
      <c r="CG5" s="54">
        <v>92</v>
      </c>
      <c r="CH5" s="54">
        <v>78</v>
      </c>
      <c r="CI5" s="54">
        <v>65</v>
      </c>
      <c r="CJ5" s="54">
        <f t="shared" ref="CJ5:CL5" si="23">+CI5-5</f>
        <v>60</v>
      </c>
      <c r="CK5" s="54">
        <f t="shared" si="23"/>
        <v>55</v>
      </c>
      <c r="CL5" s="54">
        <f t="shared" si="23"/>
        <v>50</v>
      </c>
      <c r="CM5" s="54"/>
      <c r="CN5" s="54"/>
      <c r="CO5" s="54"/>
      <c r="CP5" s="54"/>
      <c r="CQ5" s="23"/>
      <c r="CR5" s="23"/>
      <c r="CS5" s="23"/>
      <c r="CT5" s="23"/>
      <c r="CU5" s="23"/>
      <c r="CV5" s="23"/>
      <c r="CW5" s="23"/>
      <c r="CX5" s="32"/>
      <c r="CY5" s="32"/>
      <c r="CZ5" s="23"/>
      <c r="DA5" s="23"/>
      <c r="DB5" s="23"/>
      <c r="DC5" s="23"/>
      <c r="DD5" s="23"/>
      <c r="DE5" s="23"/>
      <c r="DF5" s="23"/>
      <c r="DM5" s="27">
        <f t="shared" si="19"/>
        <v>379</v>
      </c>
    </row>
    <row r="6" spans="1:128" s="27" customFormat="1" x14ac:dyDescent="0.25">
      <c r="B6" s="48" t="s">
        <v>300</v>
      </c>
      <c r="C6" s="23"/>
      <c r="D6" s="23"/>
      <c r="E6" s="23"/>
      <c r="F6" s="23"/>
      <c r="G6" s="23"/>
      <c r="H6" s="23"/>
      <c r="I6" s="23"/>
      <c r="J6" s="23"/>
      <c r="K6" s="23">
        <v>624</v>
      </c>
      <c r="L6" s="23">
        <v>614</v>
      </c>
      <c r="M6" s="23">
        <v>583</v>
      </c>
      <c r="N6" s="23">
        <v>614</v>
      </c>
      <c r="O6" s="23">
        <f>1305-P6</f>
        <v>634</v>
      </c>
      <c r="P6" s="23">
        <v>671</v>
      </c>
      <c r="Q6" s="23">
        <v>633</v>
      </c>
      <c r="R6" s="23">
        <v>674</v>
      </c>
      <c r="S6" s="23">
        <v>717</v>
      </c>
      <c r="T6" s="23">
        <v>637</v>
      </c>
      <c r="U6" s="23">
        <v>635</v>
      </c>
      <c r="V6" s="23">
        <v>749</v>
      </c>
      <c r="W6" s="23">
        <v>762</v>
      </c>
      <c r="X6" s="23">
        <f>1542-W6</f>
        <v>780</v>
      </c>
      <c r="Y6" s="23">
        <v>747</v>
      </c>
      <c r="Z6" s="23">
        <v>754</v>
      </c>
      <c r="AA6" s="23">
        <f>252+435+82</f>
        <v>769</v>
      </c>
      <c r="AB6" s="23">
        <v>866</v>
      </c>
      <c r="AC6" s="23">
        <v>589</v>
      </c>
      <c r="AD6" s="23">
        <v>582</v>
      </c>
      <c r="AE6" s="23">
        <v>583</v>
      </c>
      <c r="AF6" s="23">
        <v>536</v>
      </c>
      <c r="AG6" s="23">
        <f>+AF6</f>
        <v>536</v>
      </c>
      <c r="AH6" s="23">
        <f>+AG6</f>
        <v>536</v>
      </c>
      <c r="AI6" s="23"/>
      <c r="AJ6" s="23"/>
      <c r="AK6" s="23"/>
      <c r="AL6" s="23"/>
      <c r="AM6" s="23"/>
      <c r="AN6" s="23">
        <v>436</v>
      </c>
      <c r="AO6" s="56">
        <v>401</v>
      </c>
      <c r="AP6" s="23"/>
      <c r="AQ6" s="23"/>
      <c r="AR6" s="56">
        <v>421</v>
      </c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54">
        <v>343</v>
      </c>
      <c r="BL6" s="54"/>
      <c r="BM6" s="54"/>
      <c r="BN6" s="54"/>
      <c r="BO6" s="54">
        <v>329</v>
      </c>
      <c r="BP6" s="54">
        <v>301</v>
      </c>
      <c r="BQ6" s="54">
        <v>365</v>
      </c>
      <c r="BR6" s="54">
        <v>356</v>
      </c>
      <c r="BS6" s="54">
        <v>401</v>
      </c>
      <c r="BT6" s="54">
        <v>367</v>
      </c>
      <c r="BU6" s="54">
        <v>383</v>
      </c>
      <c r="BV6" s="54">
        <v>335</v>
      </c>
      <c r="BW6" s="54">
        <v>377</v>
      </c>
      <c r="BX6" s="54">
        <v>337</v>
      </c>
      <c r="BY6" s="54">
        <v>307</v>
      </c>
      <c r="BZ6" s="54">
        <v>289</v>
      </c>
      <c r="CA6" s="54">
        <v>323</v>
      </c>
      <c r="CB6" s="54">
        <v>284</v>
      </c>
      <c r="CC6" s="54">
        <v>255</v>
      </c>
      <c r="CD6" s="54">
        <v>263</v>
      </c>
      <c r="CE6" s="54">
        <v>262</v>
      </c>
      <c r="CF6" s="54">
        <v>256</v>
      </c>
      <c r="CG6" s="54">
        <v>233</v>
      </c>
      <c r="CH6" s="54">
        <v>231</v>
      </c>
      <c r="CI6" s="54">
        <v>238</v>
      </c>
      <c r="CJ6" s="54">
        <f t="shared" ref="CJ6:CL7" si="24">+CF6</f>
        <v>256</v>
      </c>
      <c r="CK6" s="54">
        <f t="shared" si="24"/>
        <v>233</v>
      </c>
      <c r="CL6" s="54">
        <f t="shared" si="24"/>
        <v>231</v>
      </c>
      <c r="CM6" s="54">
        <v>184</v>
      </c>
      <c r="CN6" s="54"/>
      <c r="CO6" s="54"/>
      <c r="CP6" s="54"/>
      <c r="CQ6" s="23"/>
      <c r="CR6" s="23"/>
      <c r="CS6" s="23"/>
      <c r="CT6" s="23"/>
      <c r="CU6" s="23">
        <f>SUM(K6:N6)</f>
        <v>2435</v>
      </c>
      <c r="CV6" s="23">
        <f>SUM(O6:R6)</f>
        <v>2612</v>
      </c>
      <c r="CW6" s="23">
        <f>SUM(S6:V6)</f>
        <v>2738</v>
      </c>
      <c r="CX6" s="23">
        <f t="shared" ref="CX6:CX52" si="25">SUM(W6:Z6)</f>
        <v>3043</v>
      </c>
      <c r="CY6" s="23">
        <f t="shared" ref="CY6:CY54" si="26">SUM(AA6:AD6)</f>
        <v>2806</v>
      </c>
      <c r="CZ6" s="23">
        <f>CY6*0.8</f>
        <v>2244.8000000000002</v>
      </c>
      <c r="DA6" s="23">
        <f>CZ6*0.8</f>
        <v>1795.8400000000001</v>
      </c>
      <c r="DB6" s="23">
        <f>DA6*0.9</f>
        <v>1616.2560000000001</v>
      </c>
      <c r="DC6" s="23">
        <f>DB6*0.9</f>
        <v>1454.6304</v>
      </c>
      <c r="DD6" s="23">
        <f>DC6*0.9</f>
        <v>1309.1673600000001</v>
      </c>
      <c r="DE6" s="23">
        <f>+DD6*0.3</f>
        <v>392.75020800000004</v>
      </c>
      <c r="DF6" s="23">
        <f>+DE6*0.3</f>
        <v>117.82506240000001</v>
      </c>
      <c r="DH6" s="48"/>
      <c r="DM6" s="27">
        <f t="shared" si="19"/>
        <v>982</v>
      </c>
    </row>
    <row r="7" spans="1:128" s="27" customFormat="1" x14ac:dyDescent="0.25">
      <c r="B7" s="48" t="s">
        <v>540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56"/>
      <c r="AP7" s="23"/>
      <c r="AQ7" s="23"/>
      <c r="AR7" s="56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54">
        <f>1294-BK4-BK9-89-90-66</f>
        <v>64</v>
      </c>
      <c r="BL7" s="54"/>
      <c r="BM7" s="54"/>
      <c r="BN7" s="54"/>
      <c r="BO7" s="54">
        <f>1282-724-257-89-37</f>
        <v>175</v>
      </c>
      <c r="BP7" s="54">
        <f>1194-38-84-239-693</f>
        <v>140</v>
      </c>
      <c r="BQ7" s="54">
        <f>1146-657-216-79-40</f>
        <v>154</v>
      </c>
      <c r="BR7" s="54">
        <v>153</v>
      </c>
      <c r="BS7" s="54">
        <v>226</v>
      </c>
      <c r="BT7" s="54">
        <v>216</v>
      </c>
      <c r="BU7" s="54">
        <v>211</v>
      </c>
      <c r="BV7" s="54">
        <v>224</v>
      </c>
      <c r="BW7" s="54">
        <v>277</v>
      </c>
      <c r="BX7" s="54">
        <v>266</v>
      </c>
      <c r="BY7" s="54">
        <f>261+1094</f>
        <v>1355</v>
      </c>
      <c r="BZ7" s="54">
        <f>1071+287+11</f>
        <v>1369</v>
      </c>
      <c r="CA7" s="54">
        <f>31+281+963</f>
        <v>1275</v>
      </c>
      <c r="CB7" s="54">
        <f>31+259+947</f>
        <v>1237</v>
      </c>
      <c r="CC7" s="54">
        <f>29+259+908</f>
        <v>1196</v>
      </c>
      <c r="CD7" s="54">
        <f>284+28+869</f>
        <v>1181</v>
      </c>
      <c r="CE7" s="54">
        <v>1140</v>
      </c>
      <c r="CF7" s="54">
        <v>1080</v>
      </c>
      <c r="CG7" s="54">
        <v>1055</v>
      </c>
      <c r="CH7" s="54">
        <v>1010</v>
      </c>
      <c r="CI7" s="54">
        <v>1040</v>
      </c>
      <c r="CJ7" s="54">
        <f t="shared" si="24"/>
        <v>1080</v>
      </c>
      <c r="CK7" s="54">
        <f t="shared" si="24"/>
        <v>1055</v>
      </c>
      <c r="CL7" s="54">
        <f t="shared" si="24"/>
        <v>1010</v>
      </c>
      <c r="CM7" s="54">
        <v>865</v>
      </c>
      <c r="CN7" s="54"/>
      <c r="CO7" s="54"/>
      <c r="CP7" s="54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H7" s="48"/>
      <c r="DM7" s="27">
        <f t="shared" si="19"/>
        <v>4285</v>
      </c>
    </row>
    <row r="8" spans="1:128" s="27" customFormat="1" x14ac:dyDescent="0.25">
      <c r="B8" s="48" t="s">
        <v>575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56"/>
      <c r="AP8" s="23"/>
      <c r="AQ8" s="23"/>
      <c r="AR8" s="56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54">
        <v>18</v>
      </c>
      <c r="CC8" s="54">
        <v>46</v>
      </c>
      <c r="CD8" s="54">
        <v>94</v>
      </c>
      <c r="CE8" s="54">
        <v>122</v>
      </c>
      <c r="CF8" s="54">
        <v>158</v>
      </c>
      <c r="CG8" s="54">
        <v>172</v>
      </c>
      <c r="CH8" s="54">
        <v>230</v>
      </c>
      <c r="CI8" s="54">
        <v>251</v>
      </c>
      <c r="CJ8" s="54">
        <f t="shared" ref="CJ8:CL8" si="27">+CI8+10</f>
        <v>261</v>
      </c>
      <c r="CK8" s="54">
        <f t="shared" si="27"/>
        <v>271</v>
      </c>
      <c r="CL8" s="54">
        <f t="shared" si="27"/>
        <v>281</v>
      </c>
      <c r="CM8" s="54">
        <v>325</v>
      </c>
      <c r="CN8" s="54"/>
      <c r="CO8" s="54"/>
      <c r="CP8" s="54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H8" s="48"/>
      <c r="DM8" s="27">
        <f t="shared" si="19"/>
        <v>682</v>
      </c>
    </row>
    <row r="9" spans="1:128" s="27" customFormat="1" x14ac:dyDescent="0.25">
      <c r="B9" s="48" t="s">
        <v>536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56"/>
      <c r="AP9" s="23"/>
      <c r="AQ9" s="23"/>
      <c r="AR9" s="56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54">
        <v>211</v>
      </c>
      <c r="BL9" s="54"/>
      <c r="BM9" s="54"/>
      <c r="BN9" s="54"/>
      <c r="BO9" s="54">
        <v>257</v>
      </c>
      <c r="BP9" s="54">
        <v>239</v>
      </c>
      <c r="BQ9" s="54">
        <v>216</v>
      </c>
      <c r="BR9" s="54">
        <v>221</v>
      </c>
      <c r="BS9" s="54">
        <v>253</v>
      </c>
      <c r="BT9" s="54">
        <v>247</v>
      </c>
      <c r="BU9" s="54">
        <v>239</v>
      </c>
      <c r="BV9" s="54">
        <v>230</v>
      </c>
      <c r="BW9" s="54">
        <v>274</v>
      </c>
      <c r="BX9" s="54">
        <v>267</v>
      </c>
      <c r="BY9" s="54">
        <v>304</v>
      </c>
      <c r="BZ9" s="54">
        <v>272</v>
      </c>
      <c r="CA9" s="54">
        <v>289</v>
      </c>
      <c r="CB9" s="54">
        <v>291</v>
      </c>
      <c r="CC9" s="54">
        <v>265</v>
      </c>
      <c r="CD9" s="54">
        <v>278</v>
      </c>
      <c r="CE9" s="54">
        <v>321</v>
      </c>
      <c r="CF9" s="54">
        <v>313</v>
      </c>
      <c r="CG9" s="54">
        <v>303</v>
      </c>
      <c r="CH9" s="54">
        <v>290</v>
      </c>
      <c r="CI9" s="54">
        <v>354</v>
      </c>
      <c r="CJ9" s="54">
        <f t="shared" ref="CJ9:CL9" si="28">+CF9*0.9</f>
        <v>281.7</v>
      </c>
      <c r="CK9" s="54">
        <f t="shared" si="28"/>
        <v>272.7</v>
      </c>
      <c r="CL9" s="54">
        <f t="shared" si="28"/>
        <v>261</v>
      </c>
      <c r="CM9" s="54">
        <v>375</v>
      </c>
      <c r="CN9" s="54"/>
      <c r="CO9" s="54"/>
      <c r="CP9" s="54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H9" s="48"/>
      <c r="DM9" s="27">
        <f t="shared" si="19"/>
        <v>1227</v>
      </c>
    </row>
    <row r="10" spans="1:128" s="27" customFormat="1" x14ac:dyDescent="0.25">
      <c r="B10" s="48" t="s">
        <v>578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56"/>
      <c r="AP10" s="23"/>
      <c r="AQ10" s="23"/>
      <c r="AR10" s="56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54">
        <v>16</v>
      </c>
      <c r="CB10" s="54">
        <v>17</v>
      </c>
      <c r="CC10" s="54">
        <v>16</v>
      </c>
      <c r="CD10" s="54">
        <v>23</v>
      </c>
      <c r="CE10" s="54">
        <v>29</v>
      </c>
      <c r="CF10" s="54">
        <v>26</v>
      </c>
      <c r="CG10" s="54">
        <v>28</v>
      </c>
      <c r="CH10" s="54">
        <v>22</v>
      </c>
      <c r="CI10" s="54"/>
      <c r="CJ10" s="54"/>
      <c r="CK10" s="54"/>
      <c r="CL10" s="54"/>
      <c r="CM10" s="54"/>
      <c r="CN10" s="54"/>
      <c r="CO10" s="54"/>
      <c r="CP10" s="54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H10" s="48"/>
      <c r="DM10" s="27">
        <f t="shared" si="19"/>
        <v>105</v>
      </c>
    </row>
    <row r="11" spans="1:128" s="27" customFormat="1" x14ac:dyDescent="0.25">
      <c r="B11" s="48" t="s">
        <v>623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56"/>
      <c r="AP11" s="23"/>
      <c r="AQ11" s="23"/>
      <c r="AR11" s="56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>
        <v>177</v>
      </c>
      <c r="CN11" s="54"/>
      <c r="CO11" s="54"/>
      <c r="CP11" s="54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H11" s="48"/>
    </row>
    <row r="12" spans="1:128" s="27" customFormat="1" x14ac:dyDescent="0.25">
      <c r="B12" s="48" t="s">
        <v>579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56"/>
      <c r="AP12" s="23"/>
      <c r="AQ12" s="23"/>
      <c r="AR12" s="56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54">
        <v>0</v>
      </c>
      <c r="CB12" s="54">
        <v>0</v>
      </c>
      <c r="CC12" s="54">
        <v>0</v>
      </c>
      <c r="CD12" s="54">
        <v>0</v>
      </c>
      <c r="CE12" s="54">
        <v>10</v>
      </c>
      <c r="CF12" s="54">
        <v>11</v>
      </c>
      <c r="CG12" s="54">
        <v>15</v>
      </c>
      <c r="CH12" s="54">
        <v>18</v>
      </c>
      <c r="CI12" s="54">
        <v>11</v>
      </c>
      <c r="CJ12" s="54">
        <f t="shared" ref="CJ12:CL12" si="29">+CI12+5</f>
        <v>16</v>
      </c>
      <c r="CK12" s="54">
        <f t="shared" si="29"/>
        <v>21</v>
      </c>
      <c r="CL12" s="54">
        <f t="shared" si="29"/>
        <v>26</v>
      </c>
      <c r="CM12" s="54">
        <v>14</v>
      </c>
      <c r="CN12" s="54"/>
      <c r="CO12" s="54"/>
      <c r="CP12" s="54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H12" s="48"/>
      <c r="DM12" s="27">
        <f t="shared" si="19"/>
        <v>54</v>
      </c>
    </row>
    <row r="13" spans="1:128" s="27" customFormat="1" x14ac:dyDescent="0.25">
      <c r="B13" s="27" t="s">
        <v>39</v>
      </c>
      <c r="C13" s="23"/>
      <c r="D13" s="23"/>
      <c r="E13" s="23"/>
      <c r="F13" s="23"/>
      <c r="G13" s="23"/>
      <c r="H13" s="23"/>
      <c r="I13" s="23"/>
      <c r="J13" s="23"/>
      <c r="K13" s="23">
        <v>580</v>
      </c>
      <c r="L13" s="23">
        <v>565</v>
      </c>
      <c r="M13" s="23">
        <v>543</v>
      </c>
      <c r="N13" s="23">
        <v>541</v>
      </c>
      <c r="O13" s="23">
        <f>1201-P13</f>
        <v>569</v>
      </c>
      <c r="P13" s="23">
        <v>632</v>
      </c>
      <c r="Q13" s="23">
        <v>614</v>
      </c>
      <c r="R13" s="23">
        <v>609</v>
      </c>
      <c r="S13" s="23">
        <v>662</v>
      </c>
      <c r="T13" s="23">
        <v>664</v>
      </c>
      <c r="U13" s="23">
        <v>630</v>
      </c>
      <c r="V13" s="23">
        <v>660</v>
      </c>
      <c r="W13" s="23">
        <v>685</v>
      </c>
      <c r="X13" s="23">
        <f>1389-W13</f>
        <v>704</v>
      </c>
      <c r="Y13" s="23">
        <v>664</v>
      </c>
      <c r="Z13" s="23">
        <v>570</v>
      </c>
      <c r="AA13" s="23">
        <v>535</v>
      </c>
      <c r="AB13" s="23">
        <v>538</v>
      </c>
      <c r="AC13" s="23">
        <v>505</v>
      </c>
      <c r="AD13" s="23">
        <v>505</v>
      </c>
      <c r="AE13" s="23">
        <v>484</v>
      </c>
      <c r="AF13" s="23">
        <v>510</v>
      </c>
      <c r="AG13" s="23">
        <f t="shared" ref="AG13:AH13" si="30">+AF13-10</f>
        <v>500</v>
      </c>
      <c r="AH13" s="23">
        <f t="shared" si="30"/>
        <v>490</v>
      </c>
      <c r="AI13" s="23"/>
      <c r="AJ13" s="23"/>
      <c r="AK13" s="23"/>
      <c r="AL13" s="23"/>
      <c r="AM13" s="23"/>
      <c r="AN13" s="23">
        <v>493</v>
      </c>
      <c r="AO13" s="56">
        <v>423</v>
      </c>
      <c r="AP13" s="23"/>
      <c r="AQ13" s="23"/>
      <c r="AR13" s="56">
        <v>425</v>
      </c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54">
        <v>404</v>
      </c>
      <c r="BL13" s="54"/>
      <c r="BM13" s="54"/>
      <c r="BN13" s="54"/>
      <c r="BO13" s="54">
        <v>273</v>
      </c>
      <c r="BP13" s="54">
        <v>236</v>
      </c>
      <c r="BQ13" s="54">
        <v>205</v>
      </c>
      <c r="BR13" s="54">
        <v>202</v>
      </c>
      <c r="BS13" s="54">
        <v>251</v>
      </c>
      <c r="BT13" s="54">
        <v>234</v>
      </c>
      <c r="BU13" s="54">
        <v>222</v>
      </c>
      <c r="BV13" s="54">
        <v>222</v>
      </c>
      <c r="BW13" s="54">
        <v>261</v>
      </c>
      <c r="BX13" s="54">
        <v>247</v>
      </c>
      <c r="BY13" s="54">
        <v>230</v>
      </c>
      <c r="BZ13" s="54">
        <v>245</v>
      </c>
      <c r="CA13" s="54">
        <v>236</v>
      </c>
      <c r="CB13" s="54">
        <v>240</v>
      </c>
      <c r="CC13" s="54">
        <v>218</v>
      </c>
      <c r="CD13" s="54">
        <v>254</v>
      </c>
      <c r="CE13" s="54">
        <v>238</v>
      </c>
      <c r="CF13" s="54">
        <v>235</v>
      </c>
      <c r="CG13" s="54">
        <v>230</v>
      </c>
      <c r="CH13" s="54">
        <v>211</v>
      </c>
      <c r="CI13" s="54">
        <v>244</v>
      </c>
      <c r="CJ13" s="54">
        <f t="shared" ref="CJ13:CL13" si="31">+CE13</f>
        <v>238</v>
      </c>
      <c r="CK13" s="54">
        <f t="shared" si="31"/>
        <v>235</v>
      </c>
      <c r="CL13" s="54">
        <f t="shared" si="31"/>
        <v>230</v>
      </c>
      <c r="CM13" s="54">
        <v>224</v>
      </c>
      <c r="CN13" s="54"/>
      <c r="CO13" s="54"/>
      <c r="CP13" s="54"/>
      <c r="CQ13" s="23"/>
      <c r="CR13" s="23"/>
      <c r="CS13" s="23"/>
      <c r="CT13" s="23"/>
      <c r="CU13" s="23">
        <f t="shared" ref="CU13:CU69" si="32">SUM(K13:N13)</f>
        <v>2229</v>
      </c>
      <c r="CV13" s="23">
        <f>SUM(O13:R13)</f>
        <v>2424</v>
      </c>
      <c r="CW13" s="23">
        <f t="shared" ref="CW13:CW19" si="33">SUM(S13:V13)</f>
        <v>2616</v>
      </c>
      <c r="CX13" s="23">
        <f t="shared" si="25"/>
        <v>2623</v>
      </c>
      <c r="CY13" s="23">
        <f t="shared" si="26"/>
        <v>2083</v>
      </c>
      <c r="CZ13" s="23">
        <f>CY13*1.05</f>
        <v>2187.15</v>
      </c>
      <c r="DA13" s="23">
        <f>CZ13*1.03</f>
        <v>2252.7645000000002</v>
      </c>
      <c r="DB13" s="23">
        <f>DA13*0.4</f>
        <v>901.10580000000016</v>
      </c>
      <c r="DC13" s="23">
        <f>DB13*0.8</f>
        <v>720.88464000000022</v>
      </c>
      <c r="DD13" s="23">
        <f t="shared" ref="DD13:DE13" si="34">DC13*0.8</f>
        <v>576.70771200000024</v>
      </c>
      <c r="DE13" s="23">
        <f t="shared" si="34"/>
        <v>461.36616960000021</v>
      </c>
      <c r="DF13" s="23">
        <f>+DE13*0.1</f>
        <v>46.136616960000026</v>
      </c>
      <c r="DM13" s="27">
        <f t="shared" si="19"/>
        <v>914</v>
      </c>
    </row>
    <row r="14" spans="1:128" s="27" customFormat="1" x14ac:dyDescent="0.25">
      <c r="B14" s="48" t="s">
        <v>624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56"/>
      <c r="AP14" s="23"/>
      <c r="AQ14" s="23"/>
      <c r="AR14" s="56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>
        <v>10</v>
      </c>
      <c r="CN14" s="54"/>
      <c r="CO14" s="54"/>
      <c r="CP14" s="54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</row>
    <row r="15" spans="1:128" s="27" customFormat="1" x14ac:dyDescent="0.25">
      <c r="B15" s="48" t="s">
        <v>625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56"/>
      <c r="AP15" s="23"/>
      <c r="AQ15" s="23"/>
      <c r="AR15" s="56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>
        <v>5</v>
      </c>
      <c r="CN15" s="54"/>
      <c r="CO15" s="54"/>
      <c r="CP15" s="54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</row>
    <row r="16" spans="1:128" s="27" customFormat="1" x14ac:dyDescent="0.25">
      <c r="B16" s="48" t="s">
        <v>626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56"/>
      <c r="AP16" s="23"/>
      <c r="AQ16" s="23"/>
      <c r="AR16" s="56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>
        <v>1</v>
      </c>
      <c r="CN16" s="54"/>
      <c r="CO16" s="54"/>
      <c r="CP16" s="54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</row>
    <row r="17" spans="2:117" s="27" customFormat="1" x14ac:dyDescent="0.25">
      <c r="B17" s="48" t="s">
        <v>325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>
        <v>99</v>
      </c>
      <c r="AG17" s="23"/>
      <c r="AH17" s="23"/>
      <c r="AI17" s="23"/>
      <c r="AJ17" s="23"/>
      <c r="AK17" s="23"/>
      <c r="AL17" s="23"/>
      <c r="AM17" s="23"/>
      <c r="AN17" s="23">
        <v>126</v>
      </c>
      <c r="AO17" s="56">
        <v>127</v>
      </c>
      <c r="AP17" s="23"/>
      <c r="AQ17" s="23"/>
      <c r="AR17" s="56">
        <v>133</v>
      </c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54">
        <v>220</v>
      </c>
      <c r="BL17" s="54"/>
      <c r="BM17" s="54"/>
      <c r="BN17" s="54"/>
      <c r="BO17" s="54">
        <v>246</v>
      </c>
      <c r="BP17" s="54">
        <v>226</v>
      </c>
      <c r="BQ17" s="54">
        <v>241</v>
      </c>
      <c r="BR17" s="54">
        <v>235</v>
      </c>
      <c r="BS17" s="54">
        <v>235</v>
      </c>
      <c r="BT17" s="54">
        <v>248</v>
      </c>
      <c r="BU17" s="54">
        <v>266</v>
      </c>
      <c r="BV17" s="54">
        <v>254</v>
      </c>
      <c r="BW17" s="54">
        <v>235</v>
      </c>
      <c r="BX17" s="54">
        <v>252</v>
      </c>
      <c r="BY17" s="54">
        <v>255</v>
      </c>
      <c r="BZ17" s="54">
        <v>216</v>
      </c>
      <c r="CA17" s="54">
        <v>228</v>
      </c>
      <c r="CB17" s="54">
        <v>208</v>
      </c>
      <c r="CC17" s="54">
        <v>187</v>
      </c>
      <c r="CD17" s="54">
        <v>160</v>
      </c>
      <c r="CE17" s="54">
        <v>191</v>
      </c>
      <c r="CF17" s="54">
        <v>180</v>
      </c>
      <c r="CG17" s="54">
        <v>168</v>
      </c>
      <c r="CH17" s="54">
        <v>132</v>
      </c>
      <c r="CI17" s="54">
        <v>135</v>
      </c>
      <c r="CJ17" s="54">
        <f t="shared" ref="CJ17:CL17" si="35">+CI17-5</f>
        <v>130</v>
      </c>
      <c r="CK17" s="54">
        <f t="shared" si="35"/>
        <v>125</v>
      </c>
      <c r="CL17" s="54">
        <f t="shared" si="35"/>
        <v>120</v>
      </c>
      <c r="CM17" s="54">
        <v>112</v>
      </c>
      <c r="CN17" s="54"/>
      <c r="CO17" s="54"/>
      <c r="CP17" s="54"/>
      <c r="CQ17" s="23"/>
      <c r="CR17" s="23"/>
      <c r="CS17" s="23"/>
      <c r="CT17" s="23"/>
      <c r="CU17" s="23"/>
      <c r="CV17" s="23"/>
      <c r="CW17" s="23"/>
      <c r="CX17" s="32"/>
      <c r="CY17" s="32"/>
      <c r="CZ17" s="23"/>
      <c r="DA17" s="23"/>
      <c r="DB17" s="23"/>
      <c r="DC17" s="23"/>
      <c r="DD17" s="23"/>
      <c r="DE17" s="23"/>
      <c r="DF17" s="23"/>
      <c r="DM17" s="27">
        <f t="shared" si="19"/>
        <v>671</v>
      </c>
    </row>
    <row r="18" spans="2:117" s="27" customFormat="1" x14ac:dyDescent="0.25">
      <c r="B18" s="48" t="s">
        <v>326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>
        <v>91</v>
      </c>
      <c r="AO18" s="56">
        <v>96</v>
      </c>
      <c r="AP18" s="23"/>
      <c r="AQ18" s="23"/>
      <c r="AR18" s="56">
        <v>123</v>
      </c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54">
        <v>185</v>
      </c>
      <c r="BL18" s="54"/>
      <c r="BM18" s="54"/>
      <c r="BN18" s="54"/>
      <c r="BO18" s="54">
        <v>214</v>
      </c>
      <c r="BP18" s="54">
        <v>199</v>
      </c>
      <c r="BQ18" s="54">
        <v>204</v>
      </c>
      <c r="BR18" s="54">
        <v>200</v>
      </c>
      <c r="BS18" s="54">
        <v>208</v>
      </c>
      <c r="BT18" s="54">
        <v>204</v>
      </c>
      <c r="BU18" s="54">
        <v>209</v>
      </c>
      <c r="BV18" s="54">
        <v>223</v>
      </c>
      <c r="BW18" s="54">
        <v>220</v>
      </c>
      <c r="BX18" s="54">
        <v>238</v>
      </c>
      <c r="BY18" s="54">
        <v>240</v>
      </c>
      <c r="BZ18" s="54">
        <v>240</v>
      </c>
      <c r="CA18" s="54">
        <v>246</v>
      </c>
      <c r="CB18" s="54">
        <v>250</v>
      </c>
      <c r="CC18" s="54">
        <v>253</v>
      </c>
      <c r="CD18" s="54">
        <v>242</v>
      </c>
      <c r="CE18" s="54">
        <v>253</v>
      </c>
      <c r="CF18" s="54">
        <v>273</v>
      </c>
      <c r="CG18" s="54">
        <v>253</v>
      </c>
      <c r="CH18" s="54">
        <v>269</v>
      </c>
      <c r="CI18" s="54">
        <v>262</v>
      </c>
      <c r="CJ18" s="54">
        <f t="shared" ref="CJ18:CL18" si="36">+CF18*1.01</f>
        <v>275.73</v>
      </c>
      <c r="CK18" s="54">
        <f t="shared" si="36"/>
        <v>255.53</v>
      </c>
      <c r="CL18" s="54">
        <f t="shared" si="36"/>
        <v>271.69</v>
      </c>
      <c r="CM18" s="54">
        <v>265</v>
      </c>
      <c r="CN18" s="54"/>
      <c r="CO18" s="54"/>
      <c r="CP18" s="54"/>
      <c r="CQ18" s="23"/>
      <c r="CR18" s="23"/>
      <c r="CS18" s="23"/>
      <c r="CT18" s="23"/>
      <c r="CU18" s="23"/>
      <c r="CV18" s="23"/>
      <c r="CW18" s="23"/>
      <c r="CX18" s="32"/>
      <c r="CY18" s="32"/>
      <c r="CZ18" s="23"/>
      <c r="DA18" s="23"/>
      <c r="DB18" s="23"/>
      <c r="DC18" s="23"/>
      <c r="DD18" s="23"/>
      <c r="DE18" s="23"/>
      <c r="DF18" s="23"/>
      <c r="DM18" s="27">
        <f t="shared" si="19"/>
        <v>1048</v>
      </c>
    </row>
    <row r="19" spans="2:117" s="27" customFormat="1" x14ac:dyDescent="0.25">
      <c r="B19" s="27" t="s">
        <v>182</v>
      </c>
      <c r="C19" s="23"/>
      <c r="D19" s="23"/>
      <c r="E19" s="23"/>
      <c r="F19" s="23"/>
      <c r="G19" s="23"/>
      <c r="H19" s="23"/>
      <c r="I19" s="23"/>
      <c r="J19" s="23"/>
      <c r="K19" s="23">
        <v>248</v>
      </c>
      <c r="L19" s="23">
        <v>250</v>
      </c>
      <c r="M19" s="23">
        <v>252</v>
      </c>
      <c r="N19" s="23">
        <v>265</v>
      </c>
      <c r="O19" s="23">
        <f>536-P19</f>
        <v>264</v>
      </c>
      <c r="P19" s="23">
        <v>272</v>
      </c>
      <c r="Q19" s="23">
        <v>267</v>
      </c>
      <c r="R19" s="23">
        <v>277</v>
      </c>
      <c r="S19" s="23">
        <v>289</v>
      </c>
      <c r="T19" s="23">
        <v>311</v>
      </c>
      <c r="U19" s="23">
        <v>298</v>
      </c>
      <c r="V19" s="23">
        <v>304</v>
      </c>
      <c r="W19" s="23">
        <v>314</v>
      </c>
      <c r="X19" s="23">
        <f>620-W19</f>
        <v>306</v>
      </c>
      <c r="Y19" s="23">
        <v>299</v>
      </c>
      <c r="Z19" s="23">
        <v>317</v>
      </c>
      <c r="AA19" s="23">
        <v>327</v>
      </c>
      <c r="AB19" s="23">
        <v>338</v>
      </c>
      <c r="AC19" s="23">
        <v>337</v>
      </c>
      <c r="AD19" s="23">
        <v>325</v>
      </c>
      <c r="AE19" s="23">
        <v>320</v>
      </c>
      <c r="AF19" s="23">
        <v>343</v>
      </c>
      <c r="AG19" s="23">
        <f t="shared" ref="AG19:AH19" si="37">+AF19</f>
        <v>343</v>
      </c>
      <c r="AH19" s="23">
        <f t="shared" si="37"/>
        <v>343</v>
      </c>
      <c r="AI19" s="23"/>
      <c r="AJ19" s="23"/>
      <c r="AK19" s="23"/>
      <c r="AL19" s="23"/>
      <c r="AM19" s="23"/>
      <c r="AN19" s="23">
        <v>238</v>
      </c>
      <c r="AO19" s="56">
        <v>210</v>
      </c>
      <c r="AP19" s="23"/>
      <c r="AQ19" s="23"/>
      <c r="AR19" s="56">
        <v>193</v>
      </c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54">
        <v>201</v>
      </c>
      <c r="BL19" s="54"/>
      <c r="BM19" s="54"/>
      <c r="BN19" s="54"/>
      <c r="BO19" s="54">
        <v>174</v>
      </c>
      <c r="BP19" s="54">
        <v>132</v>
      </c>
      <c r="BQ19" s="54">
        <v>133</v>
      </c>
      <c r="BR19" s="54">
        <v>115</v>
      </c>
      <c r="BS19" s="54">
        <v>101</v>
      </c>
      <c r="BT19" s="54">
        <v>99</v>
      </c>
      <c r="BU19" s="54">
        <v>107</v>
      </c>
      <c r="BV19" s="54">
        <v>112</v>
      </c>
      <c r="BW19" s="54">
        <v>125</v>
      </c>
      <c r="BX19" s="54">
        <v>120</v>
      </c>
      <c r="BY19" s="54">
        <v>129</v>
      </c>
      <c r="BZ19" s="54">
        <v>104</v>
      </c>
      <c r="CA19" s="54">
        <v>110</v>
      </c>
      <c r="CB19" s="54">
        <v>104</v>
      </c>
      <c r="CC19" s="54">
        <v>97</v>
      </c>
      <c r="CD19" s="54">
        <v>106</v>
      </c>
      <c r="CE19" s="54">
        <v>105</v>
      </c>
      <c r="CF19" s="54">
        <v>108</v>
      </c>
      <c r="CG19" s="54">
        <v>98</v>
      </c>
      <c r="CH19" s="54">
        <v>105</v>
      </c>
      <c r="CI19" s="54">
        <v>110</v>
      </c>
      <c r="CJ19" s="54">
        <f t="shared" ref="CJ19:CL19" si="38">+CF19*0.9</f>
        <v>97.2</v>
      </c>
      <c r="CK19" s="54">
        <f t="shared" si="38"/>
        <v>88.2</v>
      </c>
      <c r="CL19" s="54">
        <f t="shared" si="38"/>
        <v>94.5</v>
      </c>
      <c r="CM19" s="54">
        <v>104</v>
      </c>
      <c r="CN19" s="54"/>
      <c r="CO19" s="54"/>
      <c r="CP19" s="54"/>
      <c r="CQ19" s="23"/>
      <c r="CR19" s="23"/>
      <c r="CS19" s="23"/>
      <c r="CT19" s="23"/>
      <c r="CU19" s="23">
        <f t="shared" si="32"/>
        <v>1015</v>
      </c>
      <c r="CV19" s="23">
        <f t="shared" ref="CV19:CV52" si="39">SUM(O19:R19)</f>
        <v>1080</v>
      </c>
      <c r="CW19" s="23">
        <f t="shared" si="33"/>
        <v>1202</v>
      </c>
      <c r="CX19" s="23">
        <f t="shared" si="25"/>
        <v>1236</v>
      </c>
      <c r="CY19" s="23">
        <f t="shared" si="26"/>
        <v>1327</v>
      </c>
      <c r="CZ19" s="23">
        <f>CY19*0.5</f>
        <v>663.5</v>
      </c>
      <c r="DA19" s="23">
        <f>CZ19*0.8</f>
        <v>530.80000000000007</v>
      </c>
      <c r="DB19" s="23">
        <f t="shared" ref="DB19:DF19" si="40">DA19*0.8</f>
        <v>424.6400000000001</v>
      </c>
      <c r="DC19" s="23">
        <f t="shared" si="40"/>
        <v>339.7120000000001</v>
      </c>
      <c r="DD19" s="23">
        <f t="shared" si="40"/>
        <v>271.76960000000008</v>
      </c>
      <c r="DE19" s="23">
        <f t="shared" si="40"/>
        <v>217.41568000000007</v>
      </c>
      <c r="DF19" s="23">
        <f t="shared" si="40"/>
        <v>173.93254400000006</v>
      </c>
      <c r="DM19" s="27">
        <f t="shared" si="19"/>
        <v>416</v>
      </c>
    </row>
    <row r="20" spans="2:117" s="27" customFormat="1" x14ac:dyDescent="0.25">
      <c r="B20" s="48" t="s">
        <v>324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>
        <v>166</v>
      </c>
      <c r="AG20" s="23"/>
      <c r="AH20" s="23"/>
      <c r="AI20" s="23"/>
      <c r="AJ20" s="23"/>
      <c r="AK20" s="23"/>
      <c r="AL20" s="23"/>
      <c r="AM20" s="23"/>
      <c r="AN20" s="23">
        <v>171</v>
      </c>
      <c r="AO20" s="56">
        <v>165</v>
      </c>
      <c r="AP20" s="23"/>
      <c r="AQ20" s="23"/>
      <c r="AR20" s="56">
        <v>175</v>
      </c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54">
        <v>176</v>
      </c>
      <c r="BL20" s="54"/>
      <c r="BM20" s="54"/>
      <c r="BN20" s="54"/>
      <c r="BO20" s="54">
        <v>189</v>
      </c>
      <c r="BP20" s="54">
        <v>179</v>
      </c>
      <c r="BQ20" s="54">
        <v>162</v>
      </c>
      <c r="BR20" s="54">
        <v>160</v>
      </c>
      <c r="BS20" s="54">
        <v>178</v>
      </c>
      <c r="BT20" s="54">
        <v>165</v>
      </c>
      <c r="BU20" s="54">
        <v>159</v>
      </c>
      <c r="BV20" s="54">
        <v>181</v>
      </c>
      <c r="BW20" s="54">
        <v>165</v>
      </c>
      <c r="BX20" s="54">
        <v>202</v>
      </c>
      <c r="BY20" s="54">
        <v>181</v>
      </c>
      <c r="BZ20" s="54">
        <v>159</v>
      </c>
      <c r="CA20" s="54">
        <v>196</v>
      </c>
      <c r="CB20" s="54">
        <v>181</v>
      </c>
      <c r="CC20" s="54">
        <v>176</v>
      </c>
      <c r="CD20" s="54">
        <v>134</v>
      </c>
      <c r="CE20" s="54">
        <v>214</v>
      </c>
      <c r="CF20" s="54">
        <v>193</v>
      </c>
      <c r="CG20" s="54">
        <v>164</v>
      </c>
      <c r="CH20" s="54">
        <v>171</v>
      </c>
      <c r="CI20" s="54">
        <v>190</v>
      </c>
      <c r="CJ20" s="54">
        <f t="shared" ref="CJ20:CL20" si="41">+CF20</f>
        <v>193</v>
      </c>
      <c r="CK20" s="54">
        <f t="shared" si="41"/>
        <v>164</v>
      </c>
      <c r="CL20" s="54">
        <f t="shared" si="41"/>
        <v>171</v>
      </c>
      <c r="CM20" s="54">
        <v>186</v>
      </c>
      <c r="CN20" s="54"/>
      <c r="CO20" s="54"/>
      <c r="CP20" s="54"/>
      <c r="CQ20" s="23"/>
      <c r="CR20" s="23"/>
      <c r="CS20" s="23"/>
      <c r="CT20" s="23"/>
      <c r="CU20" s="23"/>
      <c r="CV20" s="23"/>
      <c r="CW20" s="23"/>
      <c r="CX20" s="32"/>
      <c r="CY20" s="32"/>
      <c r="CZ20" s="23"/>
      <c r="DA20" s="23"/>
      <c r="DB20" s="23"/>
      <c r="DC20" s="23"/>
      <c r="DD20" s="23"/>
      <c r="DE20" s="23"/>
      <c r="DF20" s="23"/>
      <c r="DM20" s="27">
        <f t="shared" si="19"/>
        <v>742</v>
      </c>
    </row>
    <row r="21" spans="2:117" s="27" customFormat="1" x14ac:dyDescent="0.25">
      <c r="B21" s="48" t="s">
        <v>533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56"/>
      <c r="AP21" s="23"/>
      <c r="AQ21" s="23"/>
      <c r="AR21" s="56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54">
        <v>174</v>
      </c>
      <c r="BL21" s="54"/>
      <c r="BM21" s="54"/>
      <c r="BN21" s="54"/>
      <c r="BO21" s="54">
        <v>161</v>
      </c>
      <c r="BP21" s="54">
        <v>169</v>
      </c>
      <c r="BQ21" s="54">
        <v>152</v>
      </c>
      <c r="BR21" s="54">
        <v>156</v>
      </c>
      <c r="BS21" s="54">
        <v>134</v>
      </c>
      <c r="BT21" s="54">
        <v>144</v>
      </c>
      <c r="BU21" s="54">
        <v>144</v>
      </c>
      <c r="BV21" s="54">
        <v>141</v>
      </c>
      <c r="BW21" s="54">
        <v>138</v>
      </c>
      <c r="BX21" s="54">
        <v>153</v>
      </c>
      <c r="BY21" s="54">
        <v>151</v>
      </c>
      <c r="BZ21" s="54">
        <v>138</v>
      </c>
      <c r="CA21" s="54">
        <v>118</v>
      </c>
      <c r="CB21" s="54">
        <v>130</v>
      </c>
      <c r="CC21" s="54">
        <v>120</v>
      </c>
      <c r="CD21" s="54">
        <v>103</v>
      </c>
      <c r="CE21" s="54">
        <v>86</v>
      </c>
      <c r="CF21" s="54">
        <v>105</v>
      </c>
      <c r="CG21" s="54">
        <v>96</v>
      </c>
      <c r="CH21" s="54">
        <v>81</v>
      </c>
      <c r="CI21" s="54">
        <v>70</v>
      </c>
      <c r="CJ21" s="54">
        <f t="shared" ref="CJ21:CL21" si="42">+CI21</f>
        <v>70</v>
      </c>
      <c r="CK21" s="54">
        <f t="shared" si="42"/>
        <v>70</v>
      </c>
      <c r="CL21" s="54">
        <f t="shared" si="42"/>
        <v>70</v>
      </c>
      <c r="CM21" s="54">
        <v>58</v>
      </c>
      <c r="CN21" s="54"/>
      <c r="CO21" s="54"/>
      <c r="CP21" s="54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M21" s="27">
        <f t="shared" si="19"/>
        <v>368</v>
      </c>
    </row>
    <row r="22" spans="2:117" s="27" customFormat="1" x14ac:dyDescent="0.25">
      <c r="B22" s="48" t="s">
        <v>534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56"/>
      <c r="AP22" s="23"/>
      <c r="AQ22" s="23"/>
      <c r="AR22" s="56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54">
        <v>95</v>
      </c>
      <c r="BL22" s="54"/>
      <c r="BM22" s="54"/>
      <c r="BN22" s="54"/>
      <c r="BO22" s="54">
        <v>109</v>
      </c>
      <c r="BP22" s="54">
        <v>117</v>
      </c>
      <c r="BQ22" s="54">
        <v>109</v>
      </c>
      <c r="BR22" s="54">
        <v>131</v>
      </c>
      <c r="BS22" s="54">
        <v>100</v>
      </c>
      <c r="BT22" s="54">
        <v>100</v>
      </c>
      <c r="BU22" s="54">
        <v>101</v>
      </c>
      <c r="BV22" s="54">
        <v>113</v>
      </c>
      <c r="BW22" s="54">
        <v>108</v>
      </c>
      <c r="BX22" s="54">
        <v>129</v>
      </c>
      <c r="BY22" s="54">
        <v>126</v>
      </c>
      <c r="BZ22" s="54">
        <v>141</v>
      </c>
      <c r="CA22" s="54">
        <v>125</v>
      </c>
      <c r="CB22" s="54">
        <v>135</v>
      </c>
      <c r="CC22" s="54">
        <v>138</v>
      </c>
      <c r="CD22" s="54">
        <v>142</v>
      </c>
      <c r="CE22" s="54">
        <v>130</v>
      </c>
      <c r="CF22" s="54">
        <v>141</v>
      </c>
      <c r="CG22" s="54">
        <v>148</v>
      </c>
      <c r="CH22" s="54">
        <v>169</v>
      </c>
      <c r="CI22" s="54">
        <v>160</v>
      </c>
      <c r="CJ22" s="54">
        <f t="shared" ref="CJ22:CL22" si="43">+CI22</f>
        <v>160</v>
      </c>
      <c r="CK22" s="54">
        <f t="shared" si="43"/>
        <v>160</v>
      </c>
      <c r="CL22" s="54">
        <f t="shared" si="43"/>
        <v>160</v>
      </c>
      <c r="CM22" s="54">
        <v>119</v>
      </c>
      <c r="CN22" s="54"/>
      <c r="CO22" s="54"/>
      <c r="CP22" s="54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M22" s="27">
        <f t="shared" si="19"/>
        <v>588</v>
      </c>
    </row>
    <row r="23" spans="2:117" s="27" customFormat="1" x14ac:dyDescent="0.25">
      <c r="B23" s="48" t="s">
        <v>298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>
        <v>41</v>
      </c>
      <c r="AD23" s="23">
        <v>41</v>
      </c>
      <c r="AE23" s="23">
        <v>48</v>
      </c>
      <c r="AF23" s="23">
        <v>48</v>
      </c>
      <c r="AG23" s="23">
        <f>+AF23+5</f>
        <v>53</v>
      </c>
      <c r="AH23" s="23">
        <f>+AG23+5</f>
        <v>58</v>
      </c>
      <c r="AI23" s="23">
        <v>54</v>
      </c>
      <c r="AJ23" s="23"/>
      <c r="AK23" s="23"/>
      <c r="AL23" s="23"/>
      <c r="AM23" s="23"/>
      <c r="AN23" s="23">
        <v>54</v>
      </c>
      <c r="AO23" s="56">
        <v>59</v>
      </c>
      <c r="AP23" s="23"/>
      <c r="AQ23" s="23"/>
      <c r="AR23" s="56">
        <v>66</v>
      </c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54">
        <v>111</v>
      </c>
      <c r="BL23" s="54"/>
      <c r="BM23" s="54"/>
      <c r="BN23" s="54"/>
      <c r="BO23" s="54">
        <v>138</v>
      </c>
      <c r="BP23" s="54">
        <v>133</v>
      </c>
      <c r="BQ23" s="54">
        <v>134</v>
      </c>
      <c r="BR23" s="54">
        <v>131</v>
      </c>
      <c r="BS23" s="54">
        <v>126</v>
      </c>
      <c r="BT23" s="54">
        <v>114</v>
      </c>
      <c r="BU23" s="54">
        <v>105</v>
      </c>
      <c r="BV23" s="54">
        <v>110</v>
      </c>
      <c r="BW23" s="54">
        <v>98</v>
      </c>
      <c r="BX23" s="54">
        <v>105</v>
      </c>
      <c r="BY23" s="54">
        <v>101</v>
      </c>
      <c r="BZ23" s="54">
        <v>87</v>
      </c>
      <c r="CA23" s="54">
        <v>79</v>
      </c>
      <c r="CB23" s="54">
        <v>97</v>
      </c>
      <c r="CC23" s="54">
        <v>67</v>
      </c>
      <c r="CD23" s="54">
        <v>77</v>
      </c>
      <c r="CE23" s="54">
        <v>68</v>
      </c>
      <c r="CF23" s="54">
        <v>73</v>
      </c>
      <c r="CG23" s="54">
        <v>72</v>
      </c>
      <c r="CH23" s="54">
        <v>77</v>
      </c>
      <c r="CI23" s="54">
        <v>75</v>
      </c>
      <c r="CJ23" s="54">
        <f t="shared" ref="CJ23:CL23" si="44">+CI23</f>
        <v>75</v>
      </c>
      <c r="CK23" s="54">
        <f t="shared" si="44"/>
        <v>75</v>
      </c>
      <c r="CL23" s="54">
        <f t="shared" si="44"/>
        <v>75</v>
      </c>
      <c r="CM23" s="54">
        <v>66</v>
      </c>
      <c r="CN23" s="54"/>
      <c r="CO23" s="54"/>
      <c r="CP23" s="54"/>
      <c r="CQ23" s="23"/>
      <c r="CR23" s="23"/>
      <c r="CS23" s="23"/>
      <c r="CT23" s="23"/>
      <c r="CU23" s="23"/>
      <c r="CV23" s="23"/>
      <c r="CW23" s="23"/>
      <c r="CX23" s="32"/>
      <c r="CY23" s="23">
        <f>SUM(AA23:AD23)</f>
        <v>82</v>
      </c>
      <c r="CZ23" s="23">
        <f>SUM(AE23:AH23)</f>
        <v>207</v>
      </c>
      <c r="DA23" s="23">
        <v>300</v>
      </c>
      <c r="DB23" s="23">
        <v>350</v>
      </c>
      <c r="DC23" s="23">
        <v>400</v>
      </c>
      <c r="DD23" s="23">
        <v>450</v>
      </c>
      <c r="DE23" s="23">
        <v>400</v>
      </c>
      <c r="DF23" s="23">
        <f>+DE23*0.1</f>
        <v>40</v>
      </c>
      <c r="DM23" s="27">
        <f t="shared" si="19"/>
        <v>290</v>
      </c>
    </row>
    <row r="24" spans="2:117" x14ac:dyDescent="0.25">
      <c r="B24" s="19" t="s">
        <v>356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>
        <v>52</v>
      </c>
      <c r="AO24" s="56">
        <v>52</v>
      </c>
      <c r="AP24" s="23"/>
      <c r="AQ24" s="23"/>
      <c r="AR24" s="56">
        <v>54</v>
      </c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54">
        <v>81</v>
      </c>
      <c r="BL24" s="54"/>
      <c r="BM24" s="54"/>
      <c r="BN24" s="54"/>
      <c r="BO24" s="54">
        <v>85</v>
      </c>
      <c r="BP24" s="54">
        <v>64</v>
      </c>
      <c r="BQ24" s="54">
        <v>87</v>
      </c>
      <c r="BR24" s="54">
        <v>80</v>
      </c>
      <c r="BS24" s="54">
        <v>80</v>
      </c>
      <c r="BT24" s="54">
        <v>92</v>
      </c>
      <c r="BU24" s="54">
        <v>91</v>
      </c>
      <c r="BV24" s="54">
        <v>87</v>
      </c>
      <c r="BW24" s="54">
        <v>97</v>
      </c>
      <c r="BX24" s="54">
        <v>113</v>
      </c>
      <c r="BY24" s="54">
        <v>118</v>
      </c>
      <c r="BZ24" s="54">
        <v>118</v>
      </c>
      <c r="CA24" s="54">
        <v>109</v>
      </c>
      <c r="CB24" s="54">
        <v>134</v>
      </c>
      <c r="CC24" s="54">
        <v>123</v>
      </c>
      <c r="CD24" s="54">
        <v>112</v>
      </c>
      <c r="CE24" s="54">
        <v>117</v>
      </c>
      <c r="CF24" s="54">
        <v>129</v>
      </c>
      <c r="CG24" s="54">
        <v>121</v>
      </c>
      <c r="CH24" s="54">
        <v>125</v>
      </c>
      <c r="CI24" s="54">
        <v>122</v>
      </c>
      <c r="CJ24" s="54">
        <f t="shared" ref="CJ24:CL24" si="45">+CI24</f>
        <v>122</v>
      </c>
      <c r="CK24" s="54">
        <f t="shared" si="45"/>
        <v>122</v>
      </c>
      <c r="CL24" s="54">
        <f t="shared" si="45"/>
        <v>122</v>
      </c>
      <c r="CM24" s="54">
        <v>120</v>
      </c>
      <c r="CN24" s="54"/>
      <c r="CO24" s="54"/>
      <c r="CP24" s="54"/>
      <c r="CQ24" s="23"/>
      <c r="CS24" s="23"/>
      <c r="CT24" s="23"/>
      <c r="CU24" s="23"/>
      <c r="CV24" s="23"/>
      <c r="CW24" s="23"/>
      <c r="CX24" s="32"/>
      <c r="CY24" s="32"/>
      <c r="CZ24" s="23"/>
      <c r="DA24" s="23"/>
      <c r="DB24" s="23"/>
      <c r="DC24" s="23"/>
      <c r="DD24" s="23"/>
      <c r="DE24" s="23"/>
      <c r="DF24" s="23"/>
      <c r="DM24" s="27">
        <f t="shared" si="19"/>
        <v>492</v>
      </c>
    </row>
    <row r="25" spans="2:117" s="27" customFormat="1" x14ac:dyDescent="0.25">
      <c r="B25" s="48" t="s">
        <v>527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56"/>
      <c r="AP25" s="23"/>
      <c r="AQ25" s="23"/>
      <c r="AR25" s="56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54">
        <v>30</v>
      </c>
      <c r="BL25" s="54"/>
      <c r="BM25" s="54"/>
      <c r="BN25" s="54"/>
      <c r="BO25" s="54">
        <v>55</v>
      </c>
      <c r="BP25" s="54">
        <v>62</v>
      </c>
      <c r="BQ25" s="54">
        <v>59</v>
      </c>
      <c r="BR25" s="54">
        <v>60</v>
      </c>
      <c r="BS25" s="54">
        <v>57</v>
      </c>
      <c r="BT25" s="54">
        <v>56</v>
      </c>
      <c r="BU25" s="54">
        <v>83</v>
      </c>
      <c r="BV25" s="54">
        <v>91</v>
      </c>
      <c r="BW25" s="54">
        <v>95</v>
      </c>
      <c r="BX25" s="54">
        <v>77</v>
      </c>
      <c r="BY25" s="54">
        <v>88</v>
      </c>
      <c r="BZ25" s="54">
        <v>79</v>
      </c>
      <c r="CA25" s="54">
        <v>73</v>
      </c>
      <c r="CB25" s="54">
        <v>92</v>
      </c>
      <c r="CC25" s="54">
        <v>87</v>
      </c>
      <c r="CD25" s="54">
        <v>105</v>
      </c>
      <c r="CE25" s="54">
        <v>87</v>
      </c>
      <c r="CF25" s="54">
        <v>102</v>
      </c>
      <c r="CG25" s="54">
        <v>109</v>
      </c>
      <c r="CH25" s="54">
        <v>126</v>
      </c>
      <c r="CI25" s="54">
        <v>111</v>
      </c>
      <c r="CJ25" s="54">
        <f t="shared" ref="CJ25:CL25" si="46">+CI25</f>
        <v>111</v>
      </c>
      <c r="CK25" s="54">
        <f t="shared" si="46"/>
        <v>111</v>
      </c>
      <c r="CL25" s="54">
        <f t="shared" si="46"/>
        <v>111</v>
      </c>
      <c r="CM25" s="54">
        <v>124</v>
      </c>
      <c r="CN25" s="54"/>
      <c r="CO25" s="54"/>
      <c r="CP25" s="54"/>
      <c r="CQ25" s="23"/>
      <c r="CR25" s="23"/>
      <c r="CS25" s="23"/>
      <c r="CT25" s="23"/>
      <c r="CU25" s="23"/>
      <c r="CV25" s="23"/>
      <c r="CW25" s="23"/>
      <c r="CX25" s="32"/>
      <c r="CY25" s="32"/>
      <c r="CZ25" s="23"/>
      <c r="DA25" s="23"/>
      <c r="DB25" s="23"/>
      <c r="DC25" s="23"/>
      <c r="DD25" s="23"/>
      <c r="DE25" s="23"/>
      <c r="DF25" s="23"/>
      <c r="DM25" s="27">
        <f t="shared" si="19"/>
        <v>424</v>
      </c>
    </row>
    <row r="26" spans="2:117" x14ac:dyDescent="0.25">
      <c r="B26" s="19" t="s">
        <v>302</v>
      </c>
      <c r="R26" s="23"/>
      <c r="S26" s="23"/>
      <c r="T26" s="23"/>
      <c r="U26" s="23"/>
      <c r="V26" s="23"/>
      <c r="W26" s="23"/>
      <c r="X26" s="23"/>
      <c r="Y26" s="23">
        <v>13</v>
      </c>
      <c r="Z26" s="23">
        <v>12</v>
      </c>
      <c r="AA26" s="23">
        <v>24</v>
      </c>
      <c r="AB26" s="23">
        <v>39</v>
      </c>
      <c r="AC26" s="23">
        <v>46</v>
      </c>
      <c r="AD26" s="23">
        <v>63</v>
      </c>
      <c r="AE26" s="23">
        <v>63</v>
      </c>
      <c r="AF26" s="23">
        <v>68</v>
      </c>
      <c r="AG26" s="23">
        <f t="shared" ref="AG26" si="47">+AF26</f>
        <v>68</v>
      </c>
      <c r="AH26" s="23">
        <f>+AG26</f>
        <v>68</v>
      </c>
      <c r="AI26" s="23"/>
      <c r="AJ26" s="23"/>
      <c r="AK26" s="23"/>
      <c r="AL26" s="23"/>
      <c r="AM26" s="23"/>
      <c r="AN26" s="23">
        <v>69</v>
      </c>
      <c r="AO26" s="56">
        <v>67</v>
      </c>
      <c r="AP26" s="23"/>
      <c r="AQ26" s="23"/>
      <c r="AR26" s="56">
        <v>66</v>
      </c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54">
        <v>79</v>
      </c>
      <c r="BL26" s="54"/>
      <c r="BM26" s="54"/>
      <c r="BN26" s="54"/>
      <c r="BO26" s="54">
        <v>81</v>
      </c>
      <c r="BP26" s="54">
        <v>73</v>
      </c>
      <c r="BQ26" s="54">
        <v>79</v>
      </c>
      <c r="BR26" s="54">
        <v>79</v>
      </c>
      <c r="BS26" s="54">
        <v>72</v>
      </c>
      <c r="BT26" s="54">
        <v>79</v>
      </c>
      <c r="BU26" s="54">
        <v>79</v>
      </c>
      <c r="BV26" s="54">
        <v>99</v>
      </c>
      <c r="BW26" s="54">
        <v>87</v>
      </c>
      <c r="BX26" s="54">
        <v>91</v>
      </c>
      <c r="BY26" s="54">
        <v>101</v>
      </c>
      <c r="BZ26" s="54">
        <v>104</v>
      </c>
      <c r="CA26" s="54">
        <v>84</v>
      </c>
      <c r="CB26" s="54">
        <v>80</v>
      </c>
      <c r="CC26" s="54">
        <v>93</v>
      </c>
      <c r="CD26" s="54">
        <v>87</v>
      </c>
      <c r="CE26" s="54">
        <v>78</v>
      </c>
      <c r="CF26" s="54">
        <v>84</v>
      </c>
      <c r="CG26" s="54">
        <v>72</v>
      </c>
      <c r="CH26" s="54">
        <v>77</v>
      </c>
      <c r="CI26" s="54">
        <v>81</v>
      </c>
      <c r="CJ26" s="54">
        <f t="shared" ref="CJ26:CL26" si="48">+CI26</f>
        <v>81</v>
      </c>
      <c r="CK26" s="54">
        <f t="shared" si="48"/>
        <v>81</v>
      </c>
      <c r="CL26" s="54">
        <f t="shared" si="48"/>
        <v>81</v>
      </c>
      <c r="CM26" s="54">
        <v>80</v>
      </c>
      <c r="CN26" s="54"/>
      <c r="CO26" s="54"/>
      <c r="CP26" s="54"/>
      <c r="CQ26" s="23"/>
      <c r="CS26" s="23"/>
      <c r="CT26" s="23"/>
      <c r="CU26" s="23"/>
      <c r="CV26" s="23"/>
      <c r="CW26" s="23"/>
      <c r="CX26" s="23">
        <f>SUM(W26:Z26)</f>
        <v>25</v>
      </c>
      <c r="CY26" s="23">
        <f>SUM(AA26:AD26)</f>
        <v>172</v>
      </c>
      <c r="CZ26" s="23">
        <v>600</v>
      </c>
      <c r="DA26" s="23">
        <v>800</v>
      </c>
      <c r="DB26" s="23">
        <v>1000</v>
      </c>
      <c r="DC26" s="23">
        <f>DB26*1.1</f>
        <v>1100</v>
      </c>
      <c r="DD26" s="23">
        <f>DC26*1.05</f>
        <v>1155</v>
      </c>
      <c r="DE26" s="23">
        <f>DD26*1.05</f>
        <v>1212.75</v>
      </c>
      <c r="DF26" s="23">
        <f>+DE26*0.1</f>
        <v>121.27500000000001</v>
      </c>
      <c r="DH26" s="19"/>
      <c r="DM26" s="27">
        <f t="shared" si="19"/>
        <v>311</v>
      </c>
    </row>
    <row r="27" spans="2:117" s="27" customFormat="1" x14ac:dyDescent="0.25">
      <c r="B27" s="48" t="s">
        <v>349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>
        <v>41</v>
      </c>
      <c r="AO27" s="56">
        <v>38</v>
      </c>
      <c r="AP27" s="23"/>
      <c r="AQ27" s="23"/>
      <c r="AR27" s="56">
        <v>45</v>
      </c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54">
        <v>67</v>
      </c>
      <c r="BL27" s="54"/>
      <c r="BM27" s="54"/>
      <c r="BN27" s="54"/>
      <c r="BO27" s="54">
        <v>67</v>
      </c>
      <c r="BP27" s="54">
        <v>55</v>
      </c>
      <c r="BQ27" s="54">
        <v>55</v>
      </c>
      <c r="BR27" s="54">
        <v>57</v>
      </c>
      <c r="BS27" s="54">
        <v>66</v>
      </c>
      <c r="BT27" s="54">
        <v>57</v>
      </c>
      <c r="BU27" s="54">
        <v>57</v>
      </c>
      <c r="BV27" s="54">
        <v>63</v>
      </c>
      <c r="BW27" s="54">
        <v>69</v>
      </c>
      <c r="BX27" s="54">
        <v>64</v>
      </c>
      <c r="BY27" s="54">
        <v>69</v>
      </c>
      <c r="BZ27" s="54">
        <v>65</v>
      </c>
      <c r="CA27" s="54">
        <v>78</v>
      </c>
      <c r="CB27" s="54">
        <v>72</v>
      </c>
      <c r="CC27" s="54">
        <v>67</v>
      </c>
      <c r="CD27" s="54">
        <v>62</v>
      </c>
      <c r="CE27" s="54">
        <v>83</v>
      </c>
      <c r="CF27" s="54">
        <v>78</v>
      </c>
      <c r="CG27" s="54">
        <v>67</v>
      </c>
      <c r="CH27" s="54">
        <v>69</v>
      </c>
      <c r="CI27" s="54">
        <v>94</v>
      </c>
      <c r="CJ27" s="54">
        <f t="shared" ref="CJ27:CL27" si="49">+CI27</f>
        <v>94</v>
      </c>
      <c r="CK27" s="54">
        <f t="shared" si="49"/>
        <v>94</v>
      </c>
      <c r="CL27" s="54">
        <f t="shared" si="49"/>
        <v>94</v>
      </c>
      <c r="CM27" s="54">
        <v>67</v>
      </c>
      <c r="CN27" s="54"/>
      <c r="CO27" s="54"/>
      <c r="CP27" s="54"/>
      <c r="CQ27" s="23"/>
      <c r="CR27" s="23"/>
      <c r="CS27" s="23"/>
      <c r="CT27" s="23"/>
      <c r="CU27" s="23"/>
      <c r="CV27" s="23"/>
      <c r="CW27" s="23"/>
      <c r="CX27" s="32"/>
      <c r="CY27" s="32"/>
      <c r="CZ27" s="23"/>
      <c r="DA27" s="23"/>
      <c r="DB27" s="23"/>
      <c r="DC27" s="23"/>
      <c r="DD27" s="23"/>
      <c r="DE27" s="23"/>
      <c r="DF27" s="23"/>
      <c r="DM27" s="27">
        <f t="shared" si="19"/>
        <v>297</v>
      </c>
    </row>
    <row r="28" spans="2:117" s="27" customFormat="1" x14ac:dyDescent="0.25">
      <c r="B28" s="48" t="s">
        <v>538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56"/>
      <c r="AP28" s="23"/>
      <c r="AQ28" s="23"/>
      <c r="AR28" s="56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54">
        <v>56</v>
      </c>
      <c r="BL28" s="54"/>
      <c r="BM28" s="54"/>
      <c r="BN28" s="54"/>
      <c r="BO28" s="54">
        <v>73</v>
      </c>
      <c r="BP28" s="54">
        <v>73</v>
      </c>
      <c r="BQ28" s="54">
        <v>50</v>
      </c>
      <c r="BR28" s="54">
        <v>65</v>
      </c>
      <c r="BS28" s="54">
        <v>56</v>
      </c>
      <c r="BT28" s="54">
        <v>48</v>
      </c>
      <c r="BU28" s="54">
        <v>59</v>
      </c>
      <c r="BV28" s="54">
        <v>55</v>
      </c>
      <c r="BW28" s="54">
        <v>69</v>
      </c>
      <c r="BX28" s="60">
        <v>128</v>
      </c>
      <c r="BY28" s="54">
        <v>83</v>
      </c>
      <c r="BZ28" s="54">
        <v>96</v>
      </c>
      <c r="CA28" s="54">
        <v>98</v>
      </c>
      <c r="CB28" s="54">
        <v>91</v>
      </c>
      <c r="CC28" s="54">
        <v>115</v>
      </c>
      <c r="CD28" s="54">
        <v>118</v>
      </c>
      <c r="CE28" s="54">
        <v>121</v>
      </c>
      <c r="CF28" s="54">
        <v>126</v>
      </c>
      <c r="CG28" s="54">
        <v>126</v>
      </c>
      <c r="CH28" s="54">
        <v>110</v>
      </c>
      <c r="CI28" s="54">
        <v>130</v>
      </c>
      <c r="CJ28" s="54">
        <f t="shared" ref="CJ28:CL28" si="50">+CI28</f>
        <v>130</v>
      </c>
      <c r="CK28" s="54">
        <f t="shared" si="50"/>
        <v>130</v>
      </c>
      <c r="CL28" s="54">
        <f t="shared" si="50"/>
        <v>130</v>
      </c>
      <c r="CM28" s="54">
        <v>153</v>
      </c>
      <c r="CN28" s="54"/>
      <c r="CO28" s="54"/>
      <c r="CP28" s="54"/>
      <c r="CQ28" s="23"/>
      <c r="CR28" s="23"/>
      <c r="CS28" s="23"/>
      <c r="CT28" s="23"/>
      <c r="CU28" s="23"/>
      <c r="CV28" s="23"/>
      <c r="CW28" s="23"/>
      <c r="CX28" s="32"/>
      <c r="CY28" s="32"/>
      <c r="CZ28" s="23"/>
      <c r="DA28" s="23"/>
      <c r="DB28" s="23"/>
      <c r="DC28" s="23"/>
      <c r="DD28" s="23"/>
      <c r="DE28" s="23"/>
      <c r="DF28" s="23"/>
      <c r="DM28" s="27">
        <f t="shared" si="19"/>
        <v>483</v>
      </c>
    </row>
    <row r="29" spans="2:117" s="27" customFormat="1" x14ac:dyDescent="0.25">
      <c r="B29" s="48" t="s">
        <v>529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56"/>
      <c r="AP29" s="23"/>
      <c r="AQ29" s="23"/>
      <c r="AR29" s="56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54">
        <v>48</v>
      </c>
      <c r="BL29" s="54"/>
      <c r="BM29" s="54"/>
      <c r="BN29" s="54"/>
      <c r="BO29" s="54">
        <v>58</v>
      </c>
      <c r="BP29" s="54">
        <v>57</v>
      </c>
      <c r="BQ29" s="54">
        <v>60</v>
      </c>
      <c r="BR29" s="54">
        <v>59</v>
      </c>
      <c r="BS29" s="54">
        <v>62</v>
      </c>
      <c r="BT29" s="54">
        <v>61</v>
      </c>
      <c r="BU29" s="54">
        <v>64</v>
      </c>
      <c r="BV29" s="54">
        <v>67</v>
      </c>
      <c r="BW29" s="54">
        <v>67</v>
      </c>
      <c r="BX29" s="54">
        <v>72</v>
      </c>
      <c r="BY29" s="54">
        <v>78</v>
      </c>
      <c r="BZ29" s="54">
        <v>71</v>
      </c>
      <c r="CA29" s="54">
        <v>73</v>
      </c>
      <c r="CB29" s="54">
        <v>77</v>
      </c>
      <c r="CC29" s="54">
        <v>73</v>
      </c>
      <c r="CD29" s="54">
        <v>75</v>
      </c>
      <c r="CE29" s="54">
        <v>83</v>
      </c>
      <c r="CF29" s="54">
        <v>82</v>
      </c>
      <c r="CG29" s="54">
        <v>81</v>
      </c>
      <c r="CH29" s="54">
        <v>87</v>
      </c>
      <c r="CI29" s="54">
        <v>86</v>
      </c>
      <c r="CJ29" s="54">
        <f t="shared" ref="CJ29:CL29" si="51">+CI29</f>
        <v>86</v>
      </c>
      <c r="CK29" s="54">
        <f t="shared" si="51"/>
        <v>86</v>
      </c>
      <c r="CL29" s="54">
        <f t="shared" si="51"/>
        <v>86</v>
      </c>
      <c r="CM29" s="54">
        <v>89</v>
      </c>
      <c r="CN29" s="54"/>
      <c r="CO29" s="54"/>
      <c r="CP29" s="54"/>
      <c r="CQ29" s="23"/>
      <c r="CR29" s="23"/>
      <c r="CS29" s="23"/>
      <c r="CT29" s="23"/>
      <c r="CU29" s="23"/>
      <c r="CV29" s="23"/>
      <c r="CW29" s="23"/>
      <c r="CX29" s="32"/>
      <c r="CY29" s="32"/>
      <c r="CZ29" s="23"/>
      <c r="DA29" s="23"/>
      <c r="DB29" s="23"/>
      <c r="DC29" s="23"/>
      <c r="DD29" s="23"/>
      <c r="DE29" s="23"/>
      <c r="DF29" s="23"/>
      <c r="DM29" s="27">
        <f t="shared" si="19"/>
        <v>333</v>
      </c>
    </row>
    <row r="30" spans="2:117" s="27" customFormat="1" x14ac:dyDescent="0.25">
      <c r="B30" s="48" t="s">
        <v>530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56"/>
      <c r="AP30" s="23"/>
      <c r="AQ30" s="23"/>
      <c r="AR30" s="56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74"/>
      <c r="BL30" s="54"/>
      <c r="BM30" s="54"/>
      <c r="BN30" s="54"/>
      <c r="BO30" s="54">
        <v>1</v>
      </c>
      <c r="BP30" s="54">
        <v>4</v>
      </c>
      <c r="BQ30" s="54">
        <v>13</v>
      </c>
      <c r="BR30" s="54">
        <v>25</v>
      </c>
      <c r="BS30" s="54">
        <v>34</v>
      </c>
      <c r="BT30" s="54">
        <v>40</v>
      </c>
      <c r="BU30" s="54">
        <v>48</v>
      </c>
      <c r="BV30" s="54">
        <v>54</v>
      </c>
      <c r="BW30" s="54">
        <v>65</v>
      </c>
      <c r="BX30" s="54">
        <v>64</v>
      </c>
      <c r="BY30" s="54">
        <v>79</v>
      </c>
      <c r="BZ30" s="54">
        <v>86</v>
      </c>
      <c r="CA30" s="54">
        <v>87</v>
      </c>
      <c r="CB30" s="54">
        <v>94</v>
      </c>
      <c r="CC30" s="54">
        <v>97</v>
      </c>
      <c r="CD30" s="54">
        <v>103</v>
      </c>
      <c r="CE30" s="54">
        <v>106</v>
      </c>
      <c r="CF30" s="54">
        <v>121</v>
      </c>
      <c r="CG30" s="54">
        <v>114</v>
      </c>
      <c r="CH30" s="54">
        <v>130</v>
      </c>
      <c r="CI30" s="54">
        <v>136</v>
      </c>
      <c r="CJ30" s="54">
        <f t="shared" ref="CJ30:CL30" si="52">+CI30</f>
        <v>136</v>
      </c>
      <c r="CK30" s="54">
        <f t="shared" si="52"/>
        <v>136</v>
      </c>
      <c r="CL30" s="54">
        <f t="shared" si="52"/>
        <v>136</v>
      </c>
      <c r="CM30" s="54">
        <v>167</v>
      </c>
      <c r="CN30" s="54"/>
      <c r="CO30" s="54"/>
      <c r="CP30" s="54"/>
      <c r="CQ30" s="23"/>
      <c r="CR30" s="23"/>
      <c r="CS30" s="23"/>
      <c r="CT30" s="23"/>
      <c r="CU30" s="23"/>
      <c r="CV30" s="23"/>
      <c r="CW30" s="23"/>
      <c r="CX30" s="32"/>
      <c r="CY30" s="23"/>
      <c r="CZ30" s="23"/>
      <c r="DA30" s="23"/>
      <c r="DB30" s="23"/>
      <c r="DC30" s="23"/>
      <c r="DD30" s="23"/>
      <c r="DE30" s="23"/>
      <c r="DF30" s="23"/>
      <c r="DM30" s="27">
        <f t="shared" si="19"/>
        <v>471</v>
      </c>
    </row>
    <row r="31" spans="2:117" x14ac:dyDescent="0.25">
      <c r="B31" s="19" t="s">
        <v>351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>
        <v>25</v>
      </c>
      <c r="AO31" s="56">
        <v>25</v>
      </c>
      <c r="AP31" s="23"/>
      <c r="AQ31" s="23"/>
      <c r="AR31" s="56">
        <v>26</v>
      </c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54">
        <v>44</v>
      </c>
      <c r="BL31" s="54"/>
      <c r="BM31" s="54"/>
      <c r="BN31" s="54"/>
      <c r="BO31" s="54">
        <v>54</v>
      </c>
      <c r="BP31" s="54">
        <v>45</v>
      </c>
      <c r="BQ31" s="54">
        <v>56</v>
      </c>
      <c r="BR31" s="54">
        <v>59</v>
      </c>
      <c r="BS31" s="54">
        <v>52</v>
      </c>
      <c r="BT31" s="54">
        <v>58</v>
      </c>
      <c r="BU31" s="54">
        <v>60</v>
      </c>
      <c r="BV31" s="54">
        <v>63</v>
      </c>
      <c r="BW31" s="54">
        <v>58</v>
      </c>
      <c r="BX31" s="54">
        <v>66</v>
      </c>
      <c r="BY31" s="54">
        <v>68</v>
      </c>
      <c r="BZ31" s="54">
        <v>69</v>
      </c>
      <c r="CA31" s="54">
        <v>67</v>
      </c>
      <c r="CB31" s="54">
        <v>69</v>
      </c>
      <c r="CC31" s="54">
        <v>51</v>
      </c>
      <c r="CD31" s="54">
        <v>33</v>
      </c>
      <c r="CE31" s="54">
        <v>25</v>
      </c>
      <c r="CF31" s="54">
        <v>21</v>
      </c>
      <c r="CG31" s="54">
        <v>16</v>
      </c>
      <c r="CH31" s="54">
        <v>12</v>
      </c>
      <c r="CI31" s="54">
        <v>8</v>
      </c>
      <c r="CJ31" s="54">
        <f t="shared" ref="CJ31:CL31" si="53">+CI31</f>
        <v>8</v>
      </c>
      <c r="CK31" s="54">
        <f t="shared" si="53"/>
        <v>8</v>
      </c>
      <c r="CL31" s="54">
        <f t="shared" si="53"/>
        <v>8</v>
      </c>
      <c r="CM31" s="54"/>
      <c r="CN31" s="54"/>
      <c r="CO31" s="54"/>
      <c r="CP31" s="54"/>
      <c r="CQ31" s="23"/>
      <c r="CS31" s="23"/>
      <c r="CT31" s="23"/>
      <c r="CU31" s="23"/>
      <c r="CV31" s="23"/>
      <c r="CW31" s="23"/>
      <c r="CX31" s="32"/>
      <c r="CY31" s="32"/>
      <c r="CZ31" s="23"/>
      <c r="DA31" s="23"/>
      <c r="DB31" s="23"/>
      <c r="DC31" s="23"/>
      <c r="DD31" s="23"/>
      <c r="DE31" s="23"/>
      <c r="DF31" s="23"/>
      <c r="DM31" s="27">
        <f t="shared" si="19"/>
        <v>74</v>
      </c>
    </row>
    <row r="32" spans="2:117" s="27" customFormat="1" x14ac:dyDescent="0.25">
      <c r="B32" s="48" t="s">
        <v>537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56"/>
      <c r="AP32" s="23"/>
      <c r="AQ32" s="23"/>
      <c r="AR32" s="56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54"/>
      <c r="BL32" s="54"/>
      <c r="BM32" s="54"/>
      <c r="BN32" s="54"/>
      <c r="BO32" s="54">
        <v>37</v>
      </c>
      <c r="BP32" s="54">
        <v>38</v>
      </c>
      <c r="BQ32" s="54">
        <v>40</v>
      </c>
      <c r="BR32" s="54">
        <v>46</v>
      </c>
      <c r="BS32" s="54">
        <v>44</v>
      </c>
      <c r="BT32" s="54">
        <v>46</v>
      </c>
      <c r="BU32" s="54">
        <v>51</v>
      </c>
      <c r="BV32" s="54">
        <v>54</v>
      </c>
      <c r="BW32" s="54">
        <v>53</v>
      </c>
      <c r="BX32" s="54">
        <v>53</v>
      </c>
      <c r="BY32" s="54">
        <v>54</v>
      </c>
      <c r="BZ32" s="54">
        <v>55</v>
      </c>
      <c r="CA32" s="54">
        <v>63</v>
      </c>
      <c r="CB32" s="54">
        <v>43</v>
      </c>
      <c r="CC32" s="54">
        <v>50</v>
      </c>
      <c r="CD32" s="54">
        <v>61</v>
      </c>
      <c r="CE32" s="54">
        <v>58</v>
      </c>
      <c r="CF32" s="54">
        <v>56</v>
      </c>
      <c r="CG32" s="54">
        <v>55</v>
      </c>
      <c r="CH32" s="54">
        <v>58</v>
      </c>
      <c r="CI32" s="54">
        <v>70</v>
      </c>
      <c r="CJ32" s="54">
        <f t="shared" ref="CJ32:CL32" si="54">+CI32</f>
        <v>70</v>
      </c>
      <c r="CK32" s="54">
        <f t="shared" si="54"/>
        <v>70</v>
      </c>
      <c r="CL32" s="54">
        <f t="shared" si="54"/>
        <v>70</v>
      </c>
      <c r="CM32" s="54">
        <v>79</v>
      </c>
      <c r="CN32" s="54"/>
      <c r="CO32" s="54"/>
      <c r="CP32" s="54"/>
      <c r="CQ32" s="23"/>
      <c r="CR32" s="23"/>
      <c r="CS32" s="23"/>
      <c r="CT32" s="23"/>
      <c r="CU32" s="23"/>
      <c r="CV32" s="23"/>
      <c r="CW32" s="23"/>
      <c r="CX32" s="32"/>
      <c r="CY32" s="32"/>
      <c r="CZ32" s="23"/>
      <c r="DA32" s="23"/>
      <c r="DB32" s="23"/>
      <c r="DC32" s="23"/>
      <c r="DD32" s="23"/>
      <c r="DE32" s="23"/>
      <c r="DF32" s="23"/>
      <c r="DM32" s="27">
        <f t="shared" si="19"/>
        <v>227</v>
      </c>
    </row>
    <row r="33" spans="2:117" s="27" customFormat="1" x14ac:dyDescent="0.25">
      <c r="B33" s="48" t="s">
        <v>535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56"/>
      <c r="AP33" s="23"/>
      <c r="AQ33" s="23"/>
      <c r="AR33" s="56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54">
        <v>5</v>
      </c>
      <c r="BL33" s="54"/>
      <c r="BM33" s="54"/>
      <c r="BN33" s="54"/>
      <c r="BO33" s="54">
        <v>24</v>
      </c>
      <c r="BP33" s="54">
        <v>28</v>
      </c>
      <c r="BQ33" s="54">
        <v>31</v>
      </c>
      <c r="BR33" s="54">
        <v>30</v>
      </c>
      <c r="BS33" s="54">
        <v>38</v>
      </c>
      <c r="BT33" s="54">
        <v>46</v>
      </c>
      <c r="BU33" s="54">
        <v>42</v>
      </c>
      <c r="BV33" s="54">
        <v>38</v>
      </c>
      <c r="BW33" s="54">
        <v>46</v>
      </c>
      <c r="BX33" s="54">
        <v>51</v>
      </c>
      <c r="BY33" s="54">
        <v>52</v>
      </c>
      <c r="BZ33" s="54">
        <v>62</v>
      </c>
      <c r="CA33" s="54">
        <v>58</v>
      </c>
      <c r="CB33" s="54">
        <v>55</v>
      </c>
      <c r="CC33" s="54">
        <v>56</v>
      </c>
      <c r="CD33" s="54">
        <v>58</v>
      </c>
      <c r="CE33" s="54">
        <v>59</v>
      </c>
      <c r="CF33" s="54">
        <v>54</v>
      </c>
      <c r="CG33" s="54">
        <v>63</v>
      </c>
      <c r="CH33" s="54">
        <v>73</v>
      </c>
      <c r="CI33" s="54">
        <v>67</v>
      </c>
      <c r="CJ33" s="54">
        <f t="shared" ref="CJ33:CL33" si="55">+CI33</f>
        <v>67</v>
      </c>
      <c r="CK33" s="54">
        <f t="shared" si="55"/>
        <v>67</v>
      </c>
      <c r="CL33" s="54">
        <f t="shared" si="55"/>
        <v>67</v>
      </c>
      <c r="CM33" s="54">
        <v>68</v>
      </c>
      <c r="CN33" s="54"/>
      <c r="CO33" s="54"/>
      <c r="CP33" s="54"/>
      <c r="CQ33" s="23"/>
      <c r="CR33" s="23"/>
      <c r="CS33" s="23"/>
      <c r="CT33" s="23"/>
      <c r="CU33" s="23"/>
      <c r="CV33" s="23"/>
      <c r="CW33" s="23"/>
      <c r="CX33" s="32"/>
      <c r="CY33" s="23"/>
      <c r="CZ33" s="23"/>
      <c r="DA33" s="23"/>
      <c r="DB33" s="23"/>
      <c r="DC33" s="23"/>
      <c r="DD33" s="23"/>
      <c r="DE33" s="23"/>
      <c r="DF33" s="23"/>
      <c r="DM33" s="27">
        <f t="shared" si="19"/>
        <v>249</v>
      </c>
    </row>
    <row r="34" spans="2:117" s="27" customFormat="1" x14ac:dyDescent="0.25">
      <c r="B34" s="48" t="s">
        <v>608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56"/>
      <c r="AP34" s="23"/>
      <c r="AQ34" s="23"/>
      <c r="AR34" s="56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54"/>
      <c r="BV34" s="54"/>
      <c r="BW34" s="54"/>
      <c r="BX34" s="54"/>
      <c r="BY34" s="54"/>
      <c r="BZ34" s="54"/>
      <c r="CA34" s="54">
        <v>18</v>
      </c>
      <c r="CB34" s="54">
        <v>20</v>
      </c>
      <c r="CC34" s="54">
        <v>27</v>
      </c>
      <c r="CD34" s="54">
        <v>26</v>
      </c>
      <c r="CE34" s="54">
        <v>35</v>
      </c>
      <c r="CF34" s="54">
        <v>37</v>
      </c>
      <c r="CG34" s="54">
        <v>41</v>
      </c>
      <c r="CH34" s="54">
        <v>38</v>
      </c>
      <c r="CI34" s="54">
        <v>56</v>
      </c>
      <c r="CJ34" s="54">
        <f t="shared" ref="CJ34:CL34" si="56">+CI34</f>
        <v>56</v>
      </c>
      <c r="CK34" s="54">
        <f t="shared" si="56"/>
        <v>56</v>
      </c>
      <c r="CL34" s="54">
        <f t="shared" si="56"/>
        <v>56</v>
      </c>
      <c r="CM34" s="54">
        <v>63</v>
      </c>
      <c r="CN34" s="54"/>
      <c r="CO34" s="54"/>
      <c r="CP34" s="54"/>
      <c r="CQ34" s="23"/>
      <c r="CR34" s="23"/>
      <c r="CS34" s="23"/>
      <c r="CT34" s="23"/>
      <c r="CU34" s="23"/>
      <c r="CV34" s="23"/>
      <c r="CW34" s="23"/>
      <c r="CX34" s="32"/>
      <c r="CY34" s="23"/>
      <c r="CZ34" s="23"/>
      <c r="DA34" s="23"/>
      <c r="DB34" s="23"/>
      <c r="DC34" s="23"/>
      <c r="DD34" s="23"/>
      <c r="DE34" s="23"/>
      <c r="DF34" s="23"/>
      <c r="DM34" s="27">
        <f t="shared" si="19"/>
        <v>151</v>
      </c>
    </row>
    <row r="35" spans="2:117" s="27" customFormat="1" x14ac:dyDescent="0.25">
      <c r="B35" s="48" t="s">
        <v>531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56"/>
      <c r="AP35" s="23"/>
      <c r="AQ35" s="23"/>
      <c r="AR35" s="56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54"/>
      <c r="BL35" s="54"/>
      <c r="BM35" s="54"/>
      <c r="BN35" s="54"/>
      <c r="BO35" s="54">
        <v>35</v>
      </c>
      <c r="BP35" s="54">
        <v>37</v>
      </c>
      <c r="BQ35" s="54">
        <v>42</v>
      </c>
      <c r="BR35" s="54">
        <v>38</v>
      </c>
      <c r="BS35" s="54">
        <v>35</v>
      </c>
      <c r="BT35" s="54">
        <v>39</v>
      </c>
      <c r="BU35" s="54">
        <v>37</v>
      </c>
      <c r="BV35" s="54">
        <v>41</v>
      </c>
      <c r="BW35" s="54">
        <v>40</v>
      </c>
      <c r="BX35" s="54">
        <v>46</v>
      </c>
      <c r="BY35" s="54">
        <v>44</v>
      </c>
      <c r="BZ35" s="54">
        <v>47</v>
      </c>
      <c r="CA35" s="54">
        <v>45</v>
      </c>
      <c r="CB35" s="54">
        <v>45</v>
      </c>
      <c r="CC35" s="54">
        <v>40</v>
      </c>
      <c r="CD35" s="54">
        <v>40</v>
      </c>
      <c r="CE35" s="54">
        <v>42</v>
      </c>
      <c r="CF35" s="54">
        <v>44</v>
      </c>
      <c r="CG35" s="54">
        <v>46</v>
      </c>
      <c r="CH35" s="54">
        <v>51</v>
      </c>
      <c r="CI35" s="54">
        <v>44</v>
      </c>
      <c r="CJ35" s="54">
        <f t="shared" ref="CJ35:CL35" si="57">+CI35</f>
        <v>44</v>
      </c>
      <c r="CK35" s="54">
        <f t="shared" si="57"/>
        <v>44</v>
      </c>
      <c r="CL35" s="54">
        <f t="shared" si="57"/>
        <v>44</v>
      </c>
      <c r="CM35" s="54"/>
      <c r="CN35" s="54"/>
      <c r="CO35" s="54"/>
      <c r="CP35" s="54"/>
      <c r="CQ35" s="23"/>
      <c r="CR35" s="23"/>
      <c r="CS35" s="23"/>
      <c r="CT35" s="23"/>
      <c r="CU35" s="23"/>
      <c r="CV35" s="23"/>
      <c r="CW35" s="23"/>
      <c r="CX35" s="32"/>
      <c r="CY35" s="23"/>
      <c r="CZ35" s="23"/>
      <c r="DA35" s="23"/>
      <c r="DB35" s="23"/>
      <c r="DC35" s="23"/>
      <c r="DD35" s="23"/>
      <c r="DE35" s="23"/>
      <c r="DF35" s="23"/>
      <c r="DM35" s="27">
        <f t="shared" si="19"/>
        <v>183</v>
      </c>
    </row>
    <row r="36" spans="2:117" s="27" customFormat="1" x14ac:dyDescent="0.25">
      <c r="B36" s="48" t="s">
        <v>539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56"/>
      <c r="AP36" s="23"/>
      <c r="AQ36" s="23"/>
      <c r="AR36" s="56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54">
        <v>0</v>
      </c>
      <c r="BV36" s="54">
        <v>20</v>
      </c>
      <c r="BW36" s="54">
        <v>41</v>
      </c>
      <c r="BX36" s="54">
        <v>43</v>
      </c>
      <c r="BY36" s="54">
        <v>60</v>
      </c>
      <c r="BZ36" s="54">
        <v>63</v>
      </c>
      <c r="CA36" s="54">
        <v>67</v>
      </c>
      <c r="CB36" s="54">
        <v>74</v>
      </c>
      <c r="CC36" s="54">
        <v>83</v>
      </c>
      <c r="CD36" s="54">
        <v>86</v>
      </c>
      <c r="CE36" s="54">
        <v>93</v>
      </c>
      <c r="CF36" s="54">
        <v>114</v>
      </c>
      <c r="CG36" s="54">
        <v>131</v>
      </c>
      <c r="CH36" s="54">
        <v>132</v>
      </c>
      <c r="CI36" s="54">
        <v>131</v>
      </c>
      <c r="CJ36" s="54">
        <f t="shared" ref="CJ36:CL36" si="58">+CI36</f>
        <v>131</v>
      </c>
      <c r="CK36" s="54">
        <f t="shared" si="58"/>
        <v>131</v>
      </c>
      <c r="CL36" s="54">
        <f t="shared" si="58"/>
        <v>131</v>
      </c>
      <c r="CM36" s="54">
        <v>133</v>
      </c>
      <c r="CN36" s="54"/>
      <c r="CO36" s="54"/>
      <c r="CP36" s="54"/>
      <c r="CQ36" s="23"/>
      <c r="CR36" s="23"/>
      <c r="CS36" s="23"/>
      <c r="CT36" s="23"/>
      <c r="CU36" s="23"/>
      <c r="CV36" s="23"/>
      <c r="CW36" s="23"/>
      <c r="CX36" s="32"/>
      <c r="CY36" s="23"/>
      <c r="CZ36" s="23"/>
      <c r="DA36" s="23"/>
      <c r="DB36" s="23"/>
      <c r="DC36" s="23"/>
      <c r="DD36" s="23"/>
      <c r="DE36" s="23"/>
      <c r="DF36" s="23"/>
      <c r="DM36" s="27">
        <f t="shared" si="19"/>
        <v>470</v>
      </c>
    </row>
    <row r="37" spans="2:117" s="27" customFormat="1" x14ac:dyDescent="0.25">
      <c r="B37" s="48" t="s">
        <v>532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56"/>
      <c r="AP37" s="23"/>
      <c r="AQ37" s="23"/>
      <c r="AR37" s="56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54"/>
      <c r="BL37" s="54"/>
      <c r="BM37" s="54"/>
      <c r="BN37" s="54"/>
      <c r="BO37" s="54">
        <v>12</v>
      </c>
      <c r="BP37" s="54">
        <v>15</v>
      </c>
      <c r="BQ37" s="54">
        <v>21</v>
      </c>
      <c r="BR37" s="54">
        <v>19</v>
      </c>
      <c r="BS37" s="54">
        <v>26</v>
      </c>
      <c r="BT37" s="54">
        <v>33</v>
      </c>
      <c r="BU37" s="54">
        <v>35</v>
      </c>
      <c r="BV37" s="54">
        <v>35</v>
      </c>
      <c r="BW37" s="54">
        <v>41</v>
      </c>
      <c r="BX37" s="54">
        <v>47</v>
      </c>
      <c r="BY37" s="54"/>
      <c r="BZ37" s="54">
        <v>0</v>
      </c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23"/>
      <c r="CR37" s="23"/>
      <c r="CS37" s="23"/>
      <c r="CT37" s="23"/>
      <c r="CU37" s="23"/>
      <c r="CV37" s="23"/>
      <c r="CW37" s="23"/>
      <c r="CX37" s="32"/>
      <c r="CY37" s="23"/>
      <c r="CZ37" s="23"/>
      <c r="DA37" s="23"/>
      <c r="DB37" s="23"/>
      <c r="DC37" s="23"/>
      <c r="DD37" s="23"/>
      <c r="DE37" s="23"/>
      <c r="DF37" s="23"/>
    </row>
    <row r="38" spans="2:117" s="27" customFormat="1" x14ac:dyDescent="0.25">
      <c r="B38" s="48" t="s">
        <v>600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56"/>
      <c r="AP38" s="23"/>
      <c r="AQ38" s="23"/>
      <c r="AR38" s="56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54">
        <v>66</v>
      </c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23"/>
      <c r="CR38" s="23"/>
      <c r="CS38" s="23"/>
      <c r="CT38" s="23"/>
      <c r="CU38" s="23"/>
      <c r="CV38" s="23"/>
      <c r="CW38" s="23"/>
      <c r="CX38" s="32"/>
      <c r="CY38" s="23"/>
      <c r="CZ38" s="23"/>
      <c r="DA38" s="23"/>
      <c r="DB38" s="23"/>
      <c r="DC38" s="23"/>
      <c r="DD38" s="23"/>
      <c r="DE38" s="23"/>
      <c r="DF38" s="23"/>
    </row>
    <row r="39" spans="2:117" s="27" customFormat="1" x14ac:dyDescent="0.25">
      <c r="B39" s="48" t="s">
        <v>528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56"/>
      <c r="AP39" s="23"/>
      <c r="AQ39" s="23"/>
      <c r="AR39" s="56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54">
        <v>0</v>
      </c>
      <c r="BV39" s="54">
        <v>15</v>
      </c>
      <c r="BW39" s="54">
        <v>30</v>
      </c>
      <c r="BX39" s="54">
        <v>43</v>
      </c>
      <c r="BY39" s="54">
        <v>58</v>
      </c>
      <c r="BZ39" s="54">
        <v>65</v>
      </c>
      <c r="CA39" s="54">
        <v>81</v>
      </c>
      <c r="CB39" s="54">
        <v>103</v>
      </c>
      <c r="CC39" s="54">
        <v>110</v>
      </c>
      <c r="CD39" s="54">
        <v>131</v>
      </c>
      <c r="CE39" s="54">
        <v>152</v>
      </c>
      <c r="CF39" s="54">
        <v>168</v>
      </c>
      <c r="CG39" s="54">
        <v>163</v>
      </c>
      <c r="CH39" s="54">
        <v>184</v>
      </c>
      <c r="CI39" s="54">
        <v>195</v>
      </c>
      <c r="CJ39" s="54">
        <f>+CI39+10</f>
        <v>205</v>
      </c>
      <c r="CK39" s="54">
        <f>+CJ39+10</f>
        <v>215</v>
      </c>
      <c r="CL39" s="54">
        <f>+CK39+10</f>
        <v>225</v>
      </c>
      <c r="CM39" s="54">
        <v>208</v>
      </c>
      <c r="CN39" s="54"/>
      <c r="CO39" s="54"/>
      <c r="CP39" s="54"/>
      <c r="CQ39" s="23"/>
      <c r="CR39" s="23"/>
      <c r="CS39" s="23"/>
      <c r="CT39" s="23"/>
      <c r="CU39" s="23"/>
      <c r="CV39" s="23"/>
      <c r="CW39" s="23"/>
      <c r="CX39" s="32"/>
      <c r="CY39" s="32"/>
      <c r="CZ39" s="23"/>
      <c r="DA39" s="23"/>
      <c r="DB39" s="23"/>
      <c r="DC39" s="23"/>
      <c r="DD39" s="23"/>
      <c r="DE39" s="23"/>
      <c r="DF39" s="23"/>
      <c r="DM39" s="27">
        <f>SUM(CE39:CH39)</f>
        <v>667</v>
      </c>
    </row>
    <row r="40" spans="2:117" s="27" customFormat="1" x14ac:dyDescent="0.25">
      <c r="B40" s="48" t="s">
        <v>493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56"/>
      <c r="AP40" s="23"/>
      <c r="AQ40" s="23"/>
      <c r="AR40" s="56">
        <v>6</v>
      </c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54">
        <v>92</v>
      </c>
      <c r="BL40" s="54"/>
      <c r="BM40" s="54"/>
      <c r="BN40" s="54"/>
      <c r="BO40" s="54">
        <v>49</v>
      </c>
      <c r="BP40" s="54">
        <v>19</v>
      </c>
      <c r="BQ40" s="54">
        <v>24</v>
      </c>
      <c r="BR40" s="54">
        <v>21</v>
      </c>
      <c r="BS40" s="54">
        <v>24</v>
      </c>
      <c r="BT40" s="54">
        <v>19</v>
      </c>
      <c r="BU40" s="54">
        <v>20</v>
      </c>
      <c r="BV40" s="54">
        <v>19</v>
      </c>
      <c r="BW40" s="54">
        <v>25</v>
      </c>
      <c r="BX40" s="54">
        <v>20</v>
      </c>
      <c r="BY40" s="54">
        <v>18</v>
      </c>
      <c r="BZ40" s="54">
        <v>17</v>
      </c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23"/>
      <c r="CR40" s="23"/>
      <c r="CS40" s="23"/>
      <c r="CT40" s="23"/>
      <c r="CU40" s="23"/>
      <c r="CV40" s="23"/>
      <c r="CW40" s="23"/>
      <c r="CX40" s="32"/>
      <c r="CY40" s="32"/>
      <c r="CZ40" s="23"/>
      <c r="DA40" s="23"/>
      <c r="DB40" s="23"/>
      <c r="DC40" s="23"/>
      <c r="DD40" s="23"/>
      <c r="DE40" s="23"/>
      <c r="DF40" s="23"/>
    </row>
    <row r="41" spans="2:117" s="27" customFormat="1" x14ac:dyDescent="0.25">
      <c r="B41" s="48" t="s">
        <v>487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>
        <v>63</v>
      </c>
      <c r="AO41" s="56">
        <v>59</v>
      </c>
      <c r="AP41" s="23"/>
      <c r="AQ41" s="23"/>
      <c r="AR41" s="56">
        <v>64</v>
      </c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54">
        <f>766-176-48-220-185-67</f>
        <v>70</v>
      </c>
      <c r="BL41" s="54"/>
      <c r="BM41" s="54"/>
      <c r="BN41" s="54"/>
      <c r="BO41" s="54">
        <f>794-67-214-246-58-189</f>
        <v>20</v>
      </c>
      <c r="BP41" s="54">
        <f>738-55-199-226-57-179</f>
        <v>22</v>
      </c>
      <c r="BQ41" s="54">
        <f>745-55-204-241-60-162</f>
        <v>23</v>
      </c>
      <c r="BR41" s="54">
        <v>23</v>
      </c>
      <c r="BS41" s="54">
        <v>21</v>
      </c>
      <c r="BT41" s="54">
        <v>24</v>
      </c>
      <c r="BU41" s="54">
        <v>24</v>
      </c>
      <c r="BV41" s="54">
        <v>15</v>
      </c>
      <c r="BW41" s="54">
        <v>18</v>
      </c>
      <c r="BX41" s="54">
        <f>3+20</f>
        <v>23</v>
      </c>
      <c r="BY41" s="54">
        <f>336-52-151-126+900-69-240-58-255-78-181</f>
        <v>26</v>
      </c>
      <c r="BZ41" s="54">
        <f>850-BZ39-BZ27-BZ20-BZ29-BZ17-BZ18</f>
        <v>34</v>
      </c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23"/>
      <c r="CR41" s="23"/>
      <c r="CS41" s="23"/>
      <c r="CT41" s="23"/>
      <c r="CU41" s="23"/>
      <c r="CV41" s="23"/>
      <c r="CW41" s="23"/>
      <c r="CX41" s="32"/>
      <c r="CY41" s="32"/>
      <c r="CZ41" s="23"/>
      <c r="DA41" s="23"/>
      <c r="DB41" s="23"/>
      <c r="DC41" s="23"/>
      <c r="DD41" s="23"/>
      <c r="DE41" s="23"/>
      <c r="DF41" s="23"/>
    </row>
    <row r="42" spans="2:117" s="27" customFormat="1" x14ac:dyDescent="0.25">
      <c r="B42" s="58" t="s">
        <v>228</v>
      </c>
      <c r="C42" s="23"/>
      <c r="D42" s="23"/>
      <c r="E42" s="23"/>
      <c r="F42" s="23"/>
      <c r="G42" s="23"/>
      <c r="H42" s="23"/>
      <c r="I42" s="23"/>
      <c r="J42" s="23"/>
      <c r="K42" s="23">
        <v>121</v>
      </c>
      <c r="L42" s="23">
        <v>119</v>
      </c>
      <c r="M42" s="23">
        <v>106</v>
      </c>
      <c r="N42" s="23">
        <v>105</v>
      </c>
      <c r="O42" s="23">
        <f>197-P42</f>
        <v>94</v>
      </c>
      <c r="P42" s="23">
        <v>103</v>
      </c>
      <c r="Q42" s="23">
        <v>94</v>
      </c>
      <c r="R42" s="23">
        <v>101</v>
      </c>
      <c r="S42" s="23">
        <v>92</v>
      </c>
      <c r="T42" s="23">
        <v>95</v>
      </c>
      <c r="U42" s="23">
        <v>94</v>
      </c>
      <c r="V42" s="23">
        <v>106</v>
      </c>
      <c r="W42" s="23">
        <v>100</v>
      </c>
      <c r="X42" s="23">
        <f>207-W42</f>
        <v>107</v>
      </c>
      <c r="Y42" s="23">
        <v>103</v>
      </c>
      <c r="Z42" s="23">
        <v>106</v>
      </c>
      <c r="AA42" s="23">
        <v>108</v>
      </c>
      <c r="AB42" s="23">
        <v>126</v>
      </c>
      <c r="AC42" s="23">
        <v>121</v>
      </c>
      <c r="AD42" s="23">
        <v>123</v>
      </c>
      <c r="AE42" s="23">
        <v>108</v>
      </c>
      <c r="AF42" s="23">
        <v>109</v>
      </c>
      <c r="AG42" s="23">
        <f>+AF42-5</f>
        <v>104</v>
      </c>
      <c r="AH42" s="23">
        <f>+AG42-5</f>
        <v>99</v>
      </c>
      <c r="AI42" s="23"/>
      <c r="AJ42" s="23"/>
      <c r="AK42" s="23"/>
      <c r="AL42" s="23"/>
      <c r="AM42" s="23"/>
      <c r="AN42" s="23">
        <v>99</v>
      </c>
      <c r="AO42" s="56">
        <v>91</v>
      </c>
      <c r="AP42" s="23"/>
      <c r="AQ42" s="23"/>
      <c r="AR42" s="56">
        <v>96</v>
      </c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54">
        <v>90</v>
      </c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23"/>
      <c r="CR42" s="23"/>
      <c r="CS42" s="23"/>
      <c r="CT42" s="23"/>
      <c r="CU42" s="23">
        <f>SUM(K42:N42)</f>
        <v>451</v>
      </c>
      <c r="CV42" s="23">
        <f>SUM(O42:R42)</f>
        <v>392</v>
      </c>
      <c r="CW42" s="23">
        <f>SUM(S42:V42)</f>
        <v>387</v>
      </c>
      <c r="CX42" s="23">
        <f>SUM(W42:Z42)</f>
        <v>416</v>
      </c>
      <c r="CY42" s="23">
        <f>SUM(AA42:AD42)</f>
        <v>478</v>
      </c>
      <c r="CZ42" s="23">
        <f t="shared" ref="CZ42:DF42" si="59">CY42*0.9</f>
        <v>430.2</v>
      </c>
      <c r="DA42" s="23">
        <f t="shared" si="59"/>
        <v>387.18</v>
      </c>
      <c r="DB42" s="23">
        <f t="shared" si="59"/>
        <v>348.46199999999999</v>
      </c>
      <c r="DC42" s="23">
        <f t="shared" si="59"/>
        <v>313.61579999999998</v>
      </c>
      <c r="DD42" s="23">
        <f t="shared" si="59"/>
        <v>282.25421999999998</v>
      </c>
      <c r="DE42" s="23">
        <f t="shared" si="59"/>
        <v>254.02879799999999</v>
      </c>
      <c r="DF42" s="23">
        <f t="shared" si="59"/>
        <v>228.6259182</v>
      </c>
    </row>
    <row r="43" spans="2:117" s="27" customFormat="1" x14ac:dyDescent="0.25">
      <c r="B43" s="48" t="s">
        <v>340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>
        <v>89</v>
      </c>
      <c r="AG43" s="23"/>
      <c r="AH43" s="23"/>
      <c r="AI43" s="23"/>
      <c r="AJ43" s="23"/>
      <c r="AK43" s="23"/>
      <c r="AL43" s="23"/>
      <c r="AM43" s="23"/>
      <c r="AN43" s="23">
        <v>105</v>
      </c>
      <c r="AO43" s="56">
        <v>90</v>
      </c>
      <c r="AP43" s="23"/>
      <c r="AQ43" s="23"/>
      <c r="AR43" s="56">
        <v>93</v>
      </c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54">
        <v>68</v>
      </c>
      <c r="BL43" s="54"/>
      <c r="BM43" s="54"/>
      <c r="BN43" s="54"/>
      <c r="BO43" s="54">
        <v>58</v>
      </c>
      <c r="BP43" s="54">
        <v>38</v>
      </c>
      <c r="BQ43" s="54">
        <v>56</v>
      </c>
      <c r="BR43" s="54">
        <v>40</v>
      </c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23"/>
      <c r="CR43" s="23"/>
      <c r="CS43" s="23"/>
      <c r="CT43" s="23"/>
      <c r="CU43" s="23"/>
      <c r="CV43" s="23"/>
      <c r="CW43" s="23"/>
      <c r="CX43" s="32"/>
      <c r="CY43" s="32"/>
      <c r="CZ43" s="23"/>
      <c r="DA43" s="23"/>
      <c r="DB43" s="23"/>
      <c r="DC43" s="23"/>
      <c r="DD43" s="23"/>
      <c r="DE43" s="23"/>
      <c r="DF43" s="23"/>
    </row>
    <row r="44" spans="2:117" s="27" customFormat="1" x14ac:dyDescent="0.25">
      <c r="B44" s="27" t="s">
        <v>214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>
        <v>31</v>
      </c>
      <c r="X44" s="23">
        <f>66-W44</f>
        <v>35</v>
      </c>
      <c r="Y44" s="23">
        <v>34</v>
      </c>
      <c r="Z44" s="23">
        <v>37</v>
      </c>
      <c r="AA44" s="23">
        <v>39</v>
      </c>
      <c r="AB44" s="23">
        <v>44</v>
      </c>
      <c r="AC44" s="23">
        <v>45</v>
      </c>
      <c r="AD44" s="23">
        <v>49</v>
      </c>
      <c r="AE44" s="23">
        <v>49</v>
      </c>
      <c r="AF44" s="23">
        <v>53</v>
      </c>
      <c r="AG44" s="23">
        <f>+AF44</f>
        <v>53</v>
      </c>
      <c r="AH44" s="23">
        <f>+AG44</f>
        <v>53</v>
      </c>
      <c r="AI44" s="23"/>
      <c r="AJ44" s="23"/>
      <c r="AK44" s="23"/>
      <c r="AL44" s="23"/>
      <c r="AM44" s="23"/>
      <c r="AN44" s="23">
        <v>68</v>
      </c>
      <c r="AO44" s="56">
        <v>73</v>
      </c>
      <c r="AP44" s="23"/>
      <c r="AQ44" s="23"/>
      <c r="AR44" s="56">
        <v>77</v>
      </c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54">
        <v>89</v>
      </c>
      <c r="BL44" s="54"/>
      <c r="BM44" s="54"/>
      <c r="BN44" s="54"/>
      <c r="BO44" s="54">
        <v>89</v>
      </c>
      <c r="BP44" s="54">
        <v>84</v>
      </c>
      <c r="BQ44" s="54">
        <v>79</v>
      </c>
      <c r="BR44" s="54">
        <v>80</v>
      </c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23"/>
      <c r="CR44" s="23"/>
      <c r="CS44" s="23"/>
      <c r="CT44" s="23"/>
      <c r="CU44" s="23"/>
      <c r="CV44" s="23"/>
      <c r="CW44" s="23"/>
      <c r="CX44" s="23">
        <f>SUM(W44:Z44)</f>
        <v>137</v>
      </c>
      <c r="CY44" s="23">
        <f>SUM(AA44:AD44)</f>
        <v>177</v>
      </c>
      <c r="CZ44" s="23">
        <f t="shared" ref="CZ44:DE44" si="60">CY44*1.02</f>
        <v>180.54</v>
      </c>
      <c r="DA44" s="23">
        <f t="shared" si="60"/>
        <v>184.1508</v>
      </c>
      <c r="DB44" s="23">
        <f t="shared" si="60"/>
        <v>187.83381600000001</v>
      </c>
      <c r="DC44" s="23">
        <f t="shared" si="60"/>
        <v>191.59049232000001</v>
      </c>
      <c r="DD44" s="23">
        <f t="shared" si="60"/>
        <v>195.42230216640002</v>
      </c>
      <c r="DE44" s="23">
        <f t="shared" si="60"/>
        <v>199.33074820972803</v>
      </c>
      <c r="DF44" s="23">
        <f t="shared" ref="DF44" si="61">DE44*1.02</f>
        <v>203.31736317392259</v>
      </c>
    </row>
    <row r="45" spans="2:117" x14ac:dyDescent="0.25">
      <c r="B45" s="1" t="s">
        <v>61</v>
      </c>
      <c r="K45" s="23">
        <v>429</v>
      </c>
      <c r="L45" s="23">
        <v>445</v>
      </c>
      <c r="M45" s="23">
        <v>417</v>
      </c>
      <c r="N45" s="23">
        <v>402</v>
      </c>
      <c r="O45" s="23">
        <f>773-P45</f>
        <v>393</v>
      </c>
      <c r="P45" s="23">
        <v>380</v>
      </c>
      <c r="Q45" s="23">
        <v>383</v>
      </c>
      <c r="R45" s="23">
        <v>365</v>
      </c>
      <c r="S45" s="23">
        <v>342</v>
      </c>
      <c r="T45" s="23">
        <v>326</v>
      </c>
      <c r="U45" s="23">
        <v>325</v>
      </c>
      <c r="V45" s="23">
        <v>355</v>
      </c>
      <c r="W45" s="23">
        <v>344</v>
      </c>
      <c r="X45" s="23">
        <f>697-W45</f>
        <v>353</v>
      </c>
      <c r="Y45" s="23">
        <v>193</v>
      </c>
      <c r="Z45" s="23">
        <v>67</v>
      </c>
      <c r="AA45" s="23">
        <v>66</v>
      </c>
      <c r="AB45" s="23">
        <v>94</v>
      </c>
      <c r="AC45" s="23">
        <v>120</v>
      </c>
      <c r="AD45" s="23">
        <v>147</v>
      </c>
      <c r="AE45" s="23">
        <v>188</v>
      </c>
      <c r="AF45" s="23">
        <v>248</v>
      </c>
      <c r="AG45" s="23">
        <f t="shared" ref="AG45:AH45" si="62">+AF45</f>
        <v>248</v>
      </c>
      <c r="AH45" s="23">
        <f t="shared" si="62"/>
        <v>248</v>
      </c>
      <c r="AI45" s="23"/>
      <c r="AJ45" s="23"/>
      <c r="AK45" s="23"/>
      <c r="AL45" s="23"/>
      <c r="AM45" s="23"/>
      <c r="AN45" s="23">
        <v>60</v>
      </c>
      <c r="AO45" s="56">
        <v>50</v>
      </c>
      <c r="AP45" s="23"/>
      <c r="AQ45" s="23"/>
      <c r="AR45" s="56">
        <v>47</v>
      </c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54">
        <v>54</v>
      </c>
      <c r="BL45" s="54"/>
      <c r="BM45" s="54"/>
      <c r="BN45" s="54"/>
      <c r="BO45" s="54">
        <v>47</v>
      </c>
      <c r="BP45" s="54">
        <v>47</v>
      </c>
      <c r="BQ45" s="54">
        <v>52</v>
      </c>
      <c r="BR45" s="54">
        <v>52</v>
      </c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23"/>
      <c r="CS45" s="23"/>
      <c r="CT45" s="23"/>
      <c r="CU45" s="23">
        <f>SUM(K45:N45)</f>
        <v>1693</v>
      </c>
      <c r="CV45" s="23">
        <f>SUM(O45:R45)</f>
        <v>1521</v>
      </c>
      <c r="CW45" s="23">
        <f t="shared" ref="CW45:CW52" si="63">SUM(S45:V45)</f>
        <v>1348</v>
      </c>
      <c r="CX45" s="23">
        <f>SUM(W45:Z45)</f>
        <v>957</v>
      </c>
      <c r="CY45" s="23">
        <f>SUM(AA45:AD45)</f>
        <v>427</v>
      </c>
      <c r="CZ45" s="23">
        <f>CY45*0.85</f>
        <v>362.95</v>
      </c>
      <c r="DA45" s="23">
        <f t="shared" ref="DA45:DF45" si="64">CZ45*0.85</f>
        <v>308.50749999999999</v>
      </c>
      <c r="DB45" s="23">
        <f t="shared" si="64"/>
        <v>262.23137500000001</v>
      </c>
      <c r="DC45" s="23">
        <f t="shared" si="64"/>
        <v>222.89666875</v>
      </c>
      <c r="DD45" s="23">
        <f t="shared" si="64"/>
        <v>189.4621684375</v>
      </c>
      <c r="DE45" s="23">
        <f t="shared" si="64"/>
        <v>161.04284317187501</v>
      </c>
      <c r="DF45" s="23">
        <f t="shared" si="64"/>
        <v>136.88641669609376</v>
      </c>
      <c r="DM45" s="27"/>
    </row>
    <row r="46" spans="2:117" x14ac:dyDescent="0.25">
      <c r="B46" s="1" t="s">
        <v>132</v>
      </c>
      <c r="K46" s="23">
        <v>441</v>
      </c>
      <c r="L46" s="23">
        <v>467</v>
      </c>
      <c r="M46" s="23">
        <v>538</v>
      </c>
      <c r="N46" s="23">
        <v>580</v>
      </c>
      <c r="O46" s="23">
        <f>858-P46</f>
        <v>606</v>
      </c>
      <c r="P46" s="23">
        <v>252</v>
      </c>
      <c r="Q46" s="23">
        <v>207</v>
      </c>
      <c r="R46" s="23">
        <v>185</v>
      </c>
      <c r="S46" s="23">
        <v>210</v>
      </c>
      <c r="T46" s="23">
        <v>191</v>
      </c>
      <c r="U46" s="23">
        <v>201</v>
      </c>
      <c r="V46" s="23">
        <v>227</v>
      </c>
      <c r="W46" s="23">
        <v>220</v>
      </c>
      <c r="X46" s="23">
        <f>447-W46</f>
        <v>227</v>
      </c>
      <c r="Y46" s="23">
        <v>213</v>
      </c>
      <c r="Z46" s="23">
        <v>213</v>
      </c>
      <c r="AA46" s="23">
        <f>142+62+17</f>
        <v>221</v>
      </c>
      <c r="AB46" s="23">
        <v>220</v>
      </c>
      <c r="AC46" s="23">
        <v>218</v>
      </c>
      <c r="AD46" s="23">
        <v>160</v>
      </c>
      <c r="AE46" s="23">
        <v>116</v>
      </c>
      <c r="AF46" s="23">
        <v>116</v>
      </c>
      <c r="AG46" s="23">
        <f>+AF46-5</f>
        <v>111</v>
      </c>
      <c r="AH46" s="23">
        <f>+AG46-5</f>
        <v>106</v>
      </c>
      <c r="AI46" s="23"/>
      <c r="AJ46" s="23"/>
      <c r="AK46" s="23"/>
      <c r="AL46" s="23"/>
      <c r="AM46" s="23"/>
      <c r="AN46" s="23">
        <v>92</v>
      </c>
      <c r="AO46" s="56">
        <v>94</v>
      </c>
      <c r="AP46" s="23"/>
      <c r="AQ46" s="23"/>
      <c r="AR46" s="56">
        <v>73</v>
      </c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54">
        <v>52</v>
      </c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23"/>
      <c r="CS46" s="23"/>
      <c r="CT46" s="23"/>
      <c r="CU46" s="23">
        <f>SUM(K46:N46)</f>
        <v>2026</v>
      </c>
      <c r="CV46" s="23">
        <f>SUM(O46:R46)</f>
        <v>1250</v>
      </c>
      <c r="CW46" s="23">
        <f t="shared" si="63"/>
        <v>829</v>
      </c>
      <c r="CX46" s="23">
        <f>SUM(W46:Z46)</f>
        <v>873</v>
      </c>
      <c r="CY46" s="23">
        <f>SUM(AA46:AD46)</f>
        <v>819</v>
      </c>
      <c r="CZ46" s="23">
        <f>CY46*0.2</f>
        <v>163.80000000000001</v>
      </c>
      <c r="DA46" s="23">
        <f>CZ46*0.2</f>
        <v>32.760000000000005</v>
      </c>
      <c r="DB46" s="23">
        <f>DA46*0.2</f>
        <v>6.5520000000000014</v>
      </c>
      <c r="DC46" s="23">
        <f t="shared" ref="DC46:DE46" si="65">DB46*0.5</f>
        <v>3.2760000000000007</v>
      </c>
      <c r="DD46" s="23">
        <f t="shared" si="65"/>
        <v>1.6380000000000003</v>
      </c>
      <c r="DE46" s="23">
        <f t="shared" si="65"/>
        <v>0.81900000000000017</v>
      </c>
      <c r="DF46" s="23">
        <f t="shared" ref="DF46" si="66">DE46*0.5</f>
        <v>0.40950000000000009</v>
      </c>
      <c r="DM46" s="27"/>
    </row>
    <row r="47" spans="2:117" x14ac:dyDescent="0.25">
      <c r="B47" s="1" t="s">
        <v>48</v>
      </c>
      <c r="K47" s="23">
        <v>180</v>
      </c>
      <c r="L47" s="23">
        <v>189</v>
      </c>
      <c r="M47" s="23">
        <v>156</v>
      </c>
      <c r="N47" s="23">
        <v>163</v>
      </c>
      <c r="O47" s="23">
        <f>399-P47</f>
        <v>201</v>
      </c>
      <c r="P47" s="23">
        <v>198</v>
      </c>
      <c r="Q47" s="23">
        <v>159</v>
      </c>
      <c r="R47" s="23">
        <v>148</v>
      </c>
      <c r="S47" s="23">
        <v>204</v>
      </c>
      <c r="T47" s="23">
        <v>171</v>
      </c>
      <c r="U47" s="23">
        <v>139</v>
      </c>
      <c r="V47" s="23">
        <v>174</v>
      </c>
      <c r="W47" s="23">
        <v>251</v>
      </c>
      <c r="X47" s="23">
        <v>191</v>
      </c>
      <c r="Y47" s="23">
        <v>153</v>
      </c>
      <c r="Z47" s="23">
        <v>140</v>
      </c>
      <c r="AA47" s="23">
        <v>171</v>
      </c>
      <c r="AB47" s="23">
        <v>148</v>
      </c>
      <c r="AC47" s="23">
        <v>136</v>
      </c>
      <c r="AD47" s="23">
        <v>152</v>
      </c>
      <c r="AE47" s="23">
        <v>216</v>
      </c>
      <c r="AF47" s="23">
        <v>119</v>
      </c>
      <c r="AG47" s="23">
        <f>+AF47-5</f>
        <v>114</v>
      </c>
      <c r="AH47" s="23">
        <f>+AG47+10</f>
        <v>124</v>
      </c>
      <c r="AI47" s="23"/>
      <c r="AJ47" s="23"/>
      <c r="AK47" s="23"/>
      <c r="AL47" s="23"/>
      <c r="AM47" s="23"/>
      <c r="AN47" s="23">
        <v>79</v>
      </c>
      <c r="AO47" s="56">
        <v>71</v>
      </c>
      <c r="AP47" s="23"/>
      <c r="AQ47" s="23"/>
      <c r="AR47" s="56">
        <v>39</v>
      </c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54">
        <v>56</v>
      </c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23"/>
      <c r="CS47" s="23"/>
      <c r="CT47" s="23"/>
      <c r="CU47" s="23">
        <f>SUM(K47:N47)</f>
        <v>688</v>
      </c>
      <c r="CV47" s="23">
        <f>SUM(O47:R47)</f>
        <v>706</v>
      </c>
      <c r="CW47" s="23">
        <f t="shared" si="63"/>
        <v>688</v>
      </c>
      <c r="CX47" s="23">
        <f t="shared" si="25"/>
        <v>735</v>
      </c>
      <c r="CY47" s="23">
        <f t="shared" si="26"/>
        <v>607</v>
      </c>
      <c r="CZ47" s="23">
        <f t="shared" ref="CZ47:DF47" si="67">CY47*0.8</f>
        <v>485.6</v>
      </c>
      <c r="DA47" s="23">
        <f t="shared" si="67"/>
        <v>388.48</v>
      </c>
      <c r="DB47" s="23">
        <f t="shared" si="67"/>
        <v>310.78400000000005</v>
      </c>
      <c r="DC47" s="23">
        <f t="shared" si="67"/>
        <v>248.62720000000004</v>
      </c>
      <c r="DD47" s="23">
        <f t="shared" si="67"/>
        <v>198.90176000000005</v>
      </c>
      <c r="DE47" s="23">
        <f t="shared" si="67"/>
        <v>159.12140800000006</v>
      </c>
      <c r="DF47" s="23">
        <f t="shared" si="67"/>
        <v>127.29712640000005</v>
      </c>
      <c r="DM47" s="27"/>
    </row>
    <row r="48" spans="2:117" x14ac:dyDescent="0.25">
      <c r="B48" s="31" t="s">
        <v>226</v>
      </c>
      <c r="K48" s="23">
        <v>235</v>
      </c>
      <c r="L48" s="23">
        <v>248</v>
      </c>
      <c r="M48" s="23">
        <v>223</v>
      </c>
      <c r="N48" s="23">
        <v>271</v>
      </c>
      <c r="O48" s="23">
        <f>378-P48</f>
        <v>211</v>
      </c>
      <c r="P48" s="23">
        <v>167</v>
      </c>
      <c r="Q48" s="23">
        <v>168</v>
      </c>
      <c r="R48" s="23">
        <v>195</v>
      </c>
      <c r="S48" s="23">
        <v>138</v>
      </c>
      <c r="T48" s="23">
        <v>137</v>
      </c>
      <c r="U48" s="23">
        <v>122</v>
      </c>
      <c r="V48" s="23">
        <v>116</v>
      </c>
      <c r="W48" s="23">
        <v>110</v>
      </c>
      <c r="X48" s="23">
        <f>221-W48</f>
        <v>111</v>
      </c>
      <c r="Y48" s="23">
        <v>107</v>
      </c>
      <c r="Z48" s="23">
        <v>101</v>
      </c>
      <c r="AA48" s="23">
        <v>105</v>
      </c>
      <c r="AB48" s="23">
        <v>106</v>
      </c>
      <c r="AC48" s="23">
        <v>103</v>
      </c>
      <c r="AD48" s="23">
        <v>96</v>
      </c>
      <c r="AE48" s="23">
        <v>99</v>
      </c>
      <c r="AF48" s="23"/>
      <c r="AG48" s="23"/>
      <c r="AH48" s="23"/>
      <c r="AI48" s="23"/>
      <c r="AJ48" s="23"/>
      <c r="AK48" s="23"/>
      <c r="AL48" s="23"/>
      <c r="AM48" s="23"/>
      <c r="AN48" s="23">
        <v>80</v>
      </c>
      <c r="AO48" s="56">
        <v>75</v>
      </c>
      <c r="AP48" s="23"/>
      <c r="AQ48" s="23"/>
      <c r="AR48" s="56">
        <v>75</v>
      </c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54">
        <v>53</v>
      </c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23"/>
      <c r="CS48" s="23"/>
      <c r="CT48" s="23"/>
      <c r="CU48" s="23">
        <f t="shared" si="32"/>
        <v>977</v>
      </c>
      <c r="CV48" s="23">
        <f t="shared" si="39"/>
        <v>741</v>
      </c>
      <c r="CW48" s="23">
        <f t="shared" si="63"/>
        <v>513</v>
      </c>
      <c r="CX48" s="23">
        <f t="shared" si="25"/>
        <v>429</v>
      </c>
      <c r="CY48" s="23">
        <f t="shared" si="26"/>
        <v>410</v>
      </c>
      <c r="CZ48" s="23">
        <f t="shared" ref="CZ48:DF52" si="68">CY48*0.9</f>
        <v>369</v>
      </c>
      <c r="DA48" s="23">
        <f t="shared" si="68"/>
        <v>332.1</v>
      </c>
      <c r="DB48" s="23">
        <f t="shared" si="68"/>
        <v>298.89000000000004</v>
      </c>
      <c r="DC48" s="23">
        <f>+DB48*0.4</f>
        <v>119.55600000000003</v>
      </c>
      <c r="DD48" s="23">
        <f t="shared" ref="DD48:DF48" si="69">+DC48*0.4</f>
        <v>47.822400000000016</v>
      </c>
      <c r="DE48" s="23">
        <f t="shared" si="69"/>
        <v>19.128960000000006</v>
      </c>
      <c r="DF48" s="23">
        <f t="shared" si="69"/>
        <v>7.6515840000000033</v>
      </c>
      <c r="DM48" s="27"/>
    </row>
    <row r="49" spans="2:117" x14ac:dyDescent="0.25">
      <c r="B49" s="31" t="s">
        <v>237</v>
      </c>
      <c r="K49" s="23">
        <v>94</v>
      </c>
      <c r="L49" s="23">
        <v>92</v>
      </c>
      <c r="M49" s="23">
        <v>83</v>
      </c>
      <c r="N49" s="23">
        <v>84</v>
      </c>
      <c r="O49" s="23">
        <f>167-P49</f>
        <v>82</v>
      </c>
      <c r="P49" s="23">
        <v>85</v>
      </c>
      <c r="Q49" s="23">
        <v>82</v>
      </c>
      <c r="R49" s="23">
        <v>84</v>
      </c>
      <c r="S49" s="23">
        <v>83</v>
      </c>
      <c r="T49" s="23">
        <v>85</v>
      </c>
      <c r="U49" s="23">
        <v>79</v>
      </c>
      <c r="V49" s="23">
        <v>84</v>
      </c>
      <c r="W49" s="23">
        <v>75</v>
      </c>
      <c r="X49" s="23">
        <f>153-W49</f>
        <v>78</v>
      </c>
      <c r="Y49" s="23">
        <v>72</v>
      </c>
      <c r="Z49" s="23">
        <v>71</v>
      </c>
      <c r="AA49" s="23">
        <v>76</v>
      </c>
      <c r="AB49" s="23">
        <v>77</v>
      </c>
      <c r="AC49" s="23">
        <v>72</v>
      </c>
      <c r="AD49" s="23">
        <v>71</v>
      </c>
      <c r="AE49" s="23">
        <v>65</v>
      </c>
      <c r="AF49" s="23"/>
      <c r="AG49" s="23"/>
      <c r="AH49" s="23"/>
      <c r="AI49" s="23"/>
      <c r="AJ49" s="23"/>
      <c r="AK49" s="23"/>
      <c r="AL49" s="23"/>
      <c r="AM49" s="23"/>
      <c r="AN49" s="23">
        <v>25</v>
      </c>
      <c r="AO49" s="56">
        <v>26</v>
      </c>
      <c r="AP49" s="23"/>
      <c r="AQ49" s="23"/>
      <c r="AR49" s="56">
        <v>23</v>
      </c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23"/>
      <c r="CS49" s="23"/>
      <c r="CT49" s="23"/>
      <c r="CU49" s="23">
        <f>SUM(K49:N49)</f>
        <v>353</v>
      </c>
      <c r="CV49" s="23">
        <f>SUM(O49:R49)</f>
        <v>333</v>
      </c>
      <c r="CW49" s="23">
        <f t="shared" si="63"/>
        <v>331</v>
      </c>
      <c r="CX49" s="23">
        <f t="shared" si="25"/>
        <v>296</v>
      </c>
      <c r="CY49" s="23">
        <f t="shared" si="26"/>
        <v>296</v>
      </c>
      <c r="CZ49" s="23">
        <f t="shared" si="68"/>
        <v>266.40000000000003</v>
      </c>
      <c r="DA49" s="23">
        <f t="shared" si="68"/>
        <v>239.76000000000005</v>
      </c>
      <c r="DB49" s="23">
        <f t="shared" si="68"/>
        <v>215.78400000000005</v>
      </c>
      <c r="DC49" s="23">
        <f t="shared" si="68"/>
        <v>194.20560000000006</v>
      </c>
      <c r="DD49" s="23">
        <f t="shared" si="68"/>
        <v>174.78504000000007</v>
      </c>
      <c r="DE49" s="23">
        <f t="shared" si="68"/>
        <v>157.30653600000005</v>
      </c>
      <c r="DF49" s="23">
        <f t="shared" si="68"/>
        <v>141.57588240000004</v>
      </c>
      <c r="DM49" s="27"/>
    </row>
    <row r="50" spans="2:117" x14ac:dyDescent="0.25">
      <c r="B50" s="19" t="s">
        <v>354</v>
      </c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>
        <v>137</v>
      </c>
      <c r="AG50" s="23"/>
      <c r="AH50" s="23"/>
      <c r="AI50" s="23"/>
      <c r="AJ50" s="23"/>
      <c r="AK50" s="23"/>
      <c r="AL50" s="23"/>
      <c r="AM50" s="23"/>
      <c r="AN50" s="23">
        <v>175</v>
      </c>
      <c r="AO50" s="56">
        <v>187</v>
      </c>
      <c r="AP50" s="23"/>
      <c r="AQ50" s="23"/>
      <c r="AR50" s="56">
        <v>137</v>
      </c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54">
        <v>79</v>
      </c>
      <c r="BL50" s="54"/>
      <c r="BM50" s="54"/>
      <c r="BN50" s="54"/>
      <c r="BO50" s="54">
        <v>71</v>
      </c>
      <c r="BP50" s="54">
        <v>60</v>
      </c>
      <c r="BQ50" s="54">
        <v>63</v>
      </c>
      <c r="BR50" s="54">
        <v>44</v>
      </c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23"/>
      <c r="CS50" s="23"/>
      <c r="CT50" s="23"/>
      <c r="CU50" s="23"/>
      <c r="CV50" s="23"/>
      <c r="CW50" s="23"/>
      <c r="CX50" s="32"/>
      <c r="CY50" s="32"/>
      <c r="CZ50" s="23"/>
      <c r="DA50" s="23"/>
      <c r="DB50" s="23"/>
      <c r="DC50" s="23"/>
      <c r="DD50" s="23"/>
      <c r="DE50" s="23"/>
      <c r="DF50" s="23"/>
      <c r="DM50" s="27"/>
    </row>
    <row r="51" spans="2:117" x14ac:dyDescent="0.25">
      <c r="B51" s="26" t="s">
        <v>133</v>
      </c>
      <c r="K51" s="23">
        <v>78</v>
      </c>
      <c r="L51" s="23">
        <v>76</v>
      </c>
      <c r="M51" s="23">
        <v>73</v>
      </c>
      <c r="N51" s="23">
        <v>74</v>
      </c>
      <c r="O51" s="23">
        <f>157-P51</f>
        <v>76</v>
      </c>
      <c r="P51" s="23">
        <v>81</v>
      </c>
      <c r="Q51" s="23">
        <v>79</v>
      </c>
      <c r="R51" s="23">
        <v>80</v>
      </c>
      <c r="S51" s="23">
        <v>82</v>
      </c>
      <c r="T51" s="23">
        <v>81</v>
      </c>
      <c r="U51" s="23">
        <v>81</v>
      </c>
      <c r="V51" s="23">
        <v>85</v>
      </c>
      <c r="W51" s="23">
        <v>80</v>
      </c>
      <c r="X51" s="23">
        <f>165-W51</f>
        <v>85</v>
      </c>
      <c r="Y51" s="23">
        <v>80</v>
      </c>
      <c r="Z51" s="23">
        <v>84</v>
      </c>
      <c r="AA51" s="23">
        <v>88</v>
      </c>
      <c r="AB51" s="23">
        <v>96</v>
      </c>
      <c r="AC51" s="23">
        <v>93</v>
      </c>
      <c r="AD51" s="23">
        <v>95</v>
      </c>
      <c r="AE51" s="23">
        <v>96</v>
      </c>
      <c r="AF51" s="23"/>
      <c r="AG51" s="23"/>
      <c r="AH51" s="23"/>
      <c r="AI51" s="23"/>
      <c r="AJ51" s="23"/>
      <c r="AK51" s="23"/>
      <c r="AL51" s="23"/>
      <c r="AM51" s="23"/>
      <c r="AN51" s="23">
        <v>103</v>
      </c>
      <c r="AO51" s="56">
        <v>102</v>
      </c>
      <c r="AP51" s="23"/>
      <c r="AQ51" s="23"/>
      <c r="AR51" s="56">
        <v>99</v>
      </c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54">
        <v>120</v>
      </c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23"/>
      <c r="CS51" s="23"/>
      <c r="CT51" s="23"/>
      <c r="CU51" s="23">
        <f>SUM(K51:N51)</f>
        <v>301</v>
      </c>
      <c r="CV51" s="23">
        <f>SUM(O51:R51)</f>
        <v>316</v>
      </c>
      <c r="CW51" s="23">
        <f t="shared" ref="CW51" si="70">SUM(S51:V51)</f>
        <v>329</v>
      </c>
      <c r="CX51" s="23">
        <f>SUM(W51:Z51)</f>
        <v>329</v>
      </c>
      <c r="CY51" s="23">
        <f>SUM(AA51:AD51)</f>
        <v>372</v>
      </c>
      <c r="CZ51" s="23">
        <f t="shared" ref="CZ51:DB51" si="71">CY51</f>
        <v>372</v>
      </c>
      <c r="DA51" s="23">
        <f t="shared" si="71"/>
        <v>372</v>
      </c>
      <c r="DB51" s="23">
        <f t="shared" si="71"/>
        <v>372</v>
      </c>
      <c r="DC51" s="23"/>
      <c r="DD51" s="23"/>
      <c r="DE51" s="23"/>
      <c r="DF51" s="23"/>
      <c r="DM51" s="27"/>
    </row>
    <row r="52" spans="2:117" x14ac:dyDescent="0.25">
      <c r="B52" s="31" t="s">
        <v>238</v>
      </c>
      <c r="K52" s="23">
        <v>71</v>
      </c>
      <c r="L52" s="23">
        <v>78</v>
      </c>
      <c r="M52" s="23">
        <v>60</v>
      </c>
      <c r="N52" s="23">
        <v>74</v>
      </c>
      <c r="O52" s="23">
        <f>166-P52</f>
        <v>79</v>
      </c>
      <c r="P52" s="23">
        <v>87</v>
      </c>
      <c r="Q52" s="23">
        <v>61</v>
      </c>
      <c r="R52" s="23">
        <v>67</v>
      </c>
      <c r="S52" s="23">
        <v>70</v>
      </c>
      <c r="T52" s="23">
        <v>60</v>
      </c>
      <c r="U52" s="23">
        <v>51</v>
      </c>
      <c r="V52" s="23">
        <v>60</v>
      </c>
      <c r="W52" s="23">
        <v>59</v>
      </c>
      <c r="X52" s="23">
        <f>120-W52</f>
        <v>61</v>
      </c>
      <c r="Y52" s="23">
        <v>48</v>
      </c>
      <c r="Z52" s="23">
        <v>52</v>
      </c>
      <c r="AA52" s="23">
        <v>48</v>
      </c>
      <c r="AB52" s="23">
        <v>56</v>
      </c>
      <c r="AC52" s="23">
        <v>42</v>
      </c>
      <c r="AD52" s="23">
        <v>43</v>
      </c>
      <c r="AE52" s="23">
        <v>43</v>
      </c>
      <c r="AF52" s="23"/>
      <c r="AG52" s="23"/>
      <c r="AH52" s="23"/>
      <c r="AI52" s="23"/>
      <c r="AJ52" s="23"/>
      <c r="AK52" s="23"/>
      <c r="AL52" s="23"/>
      <c r="AM52" s="23"/>
      <c r="AN52" s="23">
        <v>0</v>
      </c>
      <c r="AO52" s="56">
        <v>0</v>
      </c>
      <c r="AP52" s="23"/>
      <c r="AQ52" s="23"/>
      <c r="AR52" s="56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23"/>
      <c r="CS52" s="23"/>
      <c r="CT52" s="23"/>
      <c r="CU52" s="23">
        <f t="shared" si="32"/>
        <v>283</v>
      </c>
      <c r="CV52" s="23">
        <f t="shared" si="39"/>
        <v>294</v>
      </c>
      <c r="CW52" s="23">
        <f t="shared" si="63"/>
        <v>241</v>
      </c>
      <c r="CX52" s="23">
        <f t="shared" si="25"/>
        <v>220</v>
      </c>
      <c r="CY52" s="23">
        <f t="shared" si="26"/>
        <v>189</v>
      </c>
      <c r="CZ52" s="23">
        <f t="shared" si="68"/>
        <v>170.1</v>
      </c>
      <c r="DA52" s="23">
        <f>CZ52*0.4</f>
        <v>68.040000000000006</v>
      </c>
      <c r="DB52" s="23">
        <f t="shared" si="68"/>
        <v>61.236000000000004</v>
      </c>
      <c r="DC52" s="23">
        <f t="shared" si="68"/>
        <v>55.112400000000008</v>
      </c>
      <c r="DD52" s="23">
        <f t="shared" si="68"/>
        <v>49.601160000000007</v>
      </c>
      <c r="DE52" s="23">
        <f t="shared" si="68"/>
        <v>44.641044000000008</v>
      </c>
      <c r="DF52" s="23">
        <f t="shared" si="68"/>
        <v>40.176939600000011</v>
      </c>
      <c r="DM52" s="27"/>
    </row>
    <row r="53" spans="2:117" x14ac:dyDescent="0.25">
      <c r="B53" s="31" t="s">
        <v>295</v>
      </c>
      <c r="R53" s="23"/>
      <c r="S53" s="23"/>
      <c r="T53" s="23"/>
      <c r="U53" s="23"/>
      <c r="V53" s="23"/>
      <c r="W53" s="23"/>
      <c r="X53" s="23"/>
      <c r="Y53" s="23"/>
      <c r="Z53" s="23"/>
      <c r="AA53" s="23">
        <v>34</v>
      </c>
      <c r="AB53" s="23">
        <v>33</v>
      </c>
      <c r="AC53" s="23">
        <v>31</v>
      </c>
      <c r="AD53" s="23">
        <v>35</v>
      </c>
      <c r="AE53" s="23">
        <v>31</v>
      </c>
      <c r="AF53" s="23"/>
      <c r="AG53" s="23"/>
      <c r="AH53" s="23"/>
      <c r="AI53" s="23"/>
      <c r="AJ53" s="23"/>
      <c r="AK53" s="23"/>
      <c r="AL53" s="23"/>
      <c r="AM53" s="23"/>
      <c r="AN53" s="23">
        <v>32</v>
      </c>
      <c r="AO53" s="56">
        <v>34</v>
      </c>
      <c r="AP53" s="23"/>
      <c r="AQ53" s="23"/>
      <c r="AR53" s="56">
        <v>33</v>
      </c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23"/>
      <c r="CS53" s="23"/>
      <c r="CT53" s="23"/>
      <c r="CU53" s="23"/>
      <c r="CV53" s="23"/>
      <c r="CW53" s="23"/>
      <c r="CX53" s="23"/>
      <c r="CY53" s="23">
        <f>SUM(AA53:AE53)</f>
        <v>164</v>
      </c>
      <c r="CZ53" s="23"/>
      <c r="DA53" s="23"/>
      <c r="DB53" s="23"/>
      <c r="DC53" s="23"/>
      <c r="DD53" s="23"/>
      <c r="DE53" s="23"/>
      <c r="DF53" s="23"/>
      <c r="DM53" s="27"/>
    </row>
    <row r="54" spans="2:117" x14ac:dyDescent="0.25">
      <c r="B54" s="31" t="s">
        <v>303</v>
      </c>
      <c r="K54" s="23">
        <v>89</v>
      </c>
      <c r="L54" s="23">
        <v>91</v>
      </c>
      <c r="M54" s="23">
        <v>84</v>
      </c>
      <c r="N54" s="23">
        <v>87</v>
      </c>
      <c r="O54" s="23">
        <f>160-P54</f>
        <v>78</v>
      </c>
      <c r="P54" s="23">
        <v>82</v>
      </c>
      <c r="Q54" s="23">
        <v>79</v>
      </c>
      <c r="R54" s="23">
        <v>81</v>
      </c>
      <c r="S54" s="23">
        <v>75</v>
      </c>
      <c r="T54" s="23">
        <v>87</v>
      </c>
      <c r="U54" s="23">
        <v>85</v>
      </c>
      <c r="V54" s="23">
        <v>83</v>
      </c>
      <c r="W54" s="23">
        <v>68</v>
      </c>
      <c r="X54" s="23">
        <f>137-W54</f>
        <v>69</v>
      </c>
      <c r="Y54" s="23">
        <v>62</v>
      </c>
      <c r="Z54" s="23">
        <v>65</v>
      </c>
      <c r="AA54" s="23">
        <v>60</v>
      </c>
      <c r="AB54" s="23">
        <v>64</v>
      </c>
      <c r="AC54" s="23">
        <v>58</v>
      </c>
      <c r="AD54" s="23">
        <v>56</v>
      </c>
      <c r="AE54" s="23">
        <v>48</v>
      </c>
      <c r="AF54" s="23"/>
      <c r="AG54" s="23"/>
      <c r="AH54" s="23"/>
      <c r="AI54" s="23"/>
      <c r="AJ54" s="23"/>
      <c r="AK54" s="23"/>
      <c r="AL54" s="23"/>
      <c r="AM54" s="23"/>
      <c r="AN54" s="23">
        <v>24</v>
      </c>
      <c r="AO54" s="56">
        <v>23</v>
      </c>
      <c r="AP54" s="23"/>
      <c r="AQ54" s="23"/>
      <c r="AR54" s="56">
        <v>20</v>
      </c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23"/>
      <c r="CS54" s="23"/>
      <c r="CT54" s="23"/>
      <c r="CU54" s="23">
        <f>SUM(K54:N54)</f>
        <v>351</v>
      </c>
      <c r="CV54" s="23">
        <f>SUM(O54:R54)</f>
        <v>320</v>
      </c>
      <c r="CW54" s="23">
        <f>SUM(S54:V54)</f>
        <v>330</v>
      </c>
      <c r="CX54" s="23">
        <f>SUM(W54:Z54)</f>
        <v>264</v>
      </c>
      <c r="CY54" s="23">
        <f t="shared" si="26"/>
        <v>238</v>
      </c>
      <c r="CZ54" s="23">
        <f>+CY54*0.9</f>
        <v>214.20000000000002</v>
      </c>
      <c r="DA54" s="23">
        <f t="shared" ref="DA54:DF54" si="72">+CZ54*0.9</f>
        <v>192.78000000000003</v>
      </c>
      <c r="DB54" s="23">
        <f t="shared" si="72"/>
        <v>173.50200000000004</v>
      </c>
      <c r="DC54" s="23">
        <f t="shared" si="72"/>
        <v>156.15180000000004</v>
      </c>
      <c r="DD54" s="23">
        <f t="shared" si="72"/>
        <v>140.53662000000003</v>
      </c>
      <c r="DE54" s="23">
        <f t="shared" si="72"/>
        <v>126.48295800000002</v>
      </c>
      <c r="DF54" s="23">
        <f t="shared" si="72"/>
        <v>113.83466220000003</v>
      </c>
      <c r="DH54" s="19"/>
      <c r="DM54" s="27"/>
    </row>
    <row r="55" spans="2:117" x14ac:dyDescent="0.25">
      <c r="B55" s="19" t="s">
        <v>352</v>
      </c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>
        <v>14</v>
      </c>
      <c r="AO55" s="56">
        <v>13</v>
      </c>
      <c r="AP55" s="23"/>
      <c r="AQ55" s="23"/>
      <c r="AR55" s="56">
        <v>15</v>
      </c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23"/>
      <c r="CS55" s="23"/>
      <c r="CT55" s="23"/>
      <c r="CU55" s="23" t="s">
        <v>253</v>
      </c>
      <c r="CV55" s="23" t="s">
        <v>253</v>
      </c>
      <c r="CW55" s="23" t="s">
        <v>254</v>
      </c>
      <c r="CX55" s="32" t="s">
        <v>254</v>
      </c>
      <c r="CY55" s="32" t="s">
        <v>254</v>
      </c>
      <c r="CZ55" s="23">
        <v>50</v>
      </c>
      <c r="DA55" s="23">
        <v>100</v>
      </c>
      <c r="DB55" s="23">
        <v>200</v>
      </c>
      <c r="DC55" s="23">
        <v>300</v>
      </c>
      <c r="DD55" s="23">
        <v>400</v>
      </c>
      <c r="DE55" s="32">
        <v>500</v>
      </c>
      <c r="DF55" s="32">
        <v>500</v>
      </c>
      <c r="DM55" s="27"/>
    </row>
    <row r="56" spans="2:117" x14ac:dyDescent="0.25">
      <c r="B56" s="1" t="s">
        <v>60</v>
      </c>
      <c r="K56" s="23">
        <v>430</v>
      </c>
      <c r="L56" s="23">
        <v>456</v>
      </c>
      <c r="M56" s="23">
        <v>429</v>
      </c>
      <c r="N56" s="23">
        <v>437</v>
      </c>
      <c r="O56" s="23">
        <f>923-P56</f>
        <v>449</v>
      </c>
      <c r="P56" s="23">
        <v>474</v>
      </c>
      <c r="Q56" s="23">
        <v>475</v>
      </c>
      <c r="R56" s="23">
        <v>476</v>
      </c>
      <c r="S56" s="23">
        <v>484</v>
      </c>
      <c r="T56" s="23">
        <v>503</v>
      </c>
      <c r="U56" s="23">
        <v>505</v>
      </c>
      <c r="V56" s="23">
        <v>541</v>
      </c>
      <c r="W56" s="23">
        <v>534</v>
      </c>
      <c r="X56" s="23">
        <f>1118-W56</f>
        <v>584</v>
      </c>
      <c r="Y56" s="23">
        <v>526</v>
      </c>
      <c r="Z56" s="23">
        <v>533</v>
      </c>
      <c r="AA56" s="23">
        <v>531</v>
      </c>
      <c r="AB56" s="23">
        <v>598</v>
      </c>
      <c r="AC56" s="23">
        <v>537</v>
      </c>
      <c r="AD56" s="23">
        <v>456</v>
      </c>
      <c r="AE56" s="23">
        <v>382</v>
      </c>
      <c r="AF56" s="23">
        <v>204</v>
      </c>
      <c r="AG56" s="23">
        <f t="shared" ref="AG56:AH56" si="73">+AF56-10</f>
        <v>194</v>
      </c>
      <c r="AH56" s="23">
        <f t="shared" si="73"/>
        <v>184</v>
      </c>
      <c r="AI56" s="23"/>
      <c r="AJ56" s="23"/>
      <c r="AK56" s="23"/>
      <c r="AL56" s="23"/>
      <c r="AM56" s="23"/>
      <c r="AN56" s="23">
        <v>114</v>
      </c>
      <c r="AO56" s="56">
        <v>84</v>
      </c>
      <c r="AP56" s="23"/>
      <c r="AQ56" s="23"/>
      <c r="AR56" s="56">
        <v>67</v>
      </c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54">
        <v>47</v>
      </c>
      <c r="BL56" s="54"/>
      <c r="BM56" s="54"/>
      <c r="BN56" s="54"/>
      <c r="BO56" s="54">
        <v>39</v>
      </c>
      <c r="BP56" s="54">
        <v>39</v>
      </c>
      <c r="BQ56" s="54">
        <v>41</v>
      </c>
      <c r="BR56" s="54">
        <v>41</v>
      </c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23"/>
      <c r="CS56" s="23"/>
      <c r="CT56" s="23"/>
      <c r="CU56" s="23">
        <f>SUM(K56:N56)</f>
        <v>1752</v>
      </c>
      <c r="CV56" s="23">
        <f>SUM(O56:R56)</f>
        <v>1874</v>
      </c>
      <c r="CW56" s="23">
        <f>SUM(S56:V56)</f>
        <v>2033</v>
      </c>
      <c r="CX56" s="23">
        <f>SUM(W56:Z56)</f>
        <v>2177</v>
      </c>
      <c r="CY56" s="23">
        <f>SUM(AA56:AD56)</f>
        <v>2122</v>
      </c>
      <c r="CZ56" s="23">
        <f>CY56*0.4</f>
        <v>848.80000000000007</v>
      </c>
      <c r="DA56" s="23">
        <f>CZ56*0.5</f>
        <v>424.40000000000003</v>
      </c>
      <c r="DB56" s="23">
        <f>DA56*0.75</f>
        <v>318.3</v>
      </c>
      <c r="DC56" s="23">
        <f t="shared" ref="DC56:DE56" si="74">DB56*0.75</f>
        <v>238.72500000000002</v>
      </c>
      <c r="DD56" s="23">
        <f t="shared" si="74"/>
        <v>179.04375000000002</v>
      </c>
      <c r="DE56" s="23">
        <f t="shared" si="74"/>
        <v>134.28281250000001</v>
      </c>
      <c r="DF56" s="23">
        <f t="shared" ref="DF56" si="75">DE56*0.75</f>
        <v>100.71210937500001</v>
      </c>
      <c r="DM56" s="27"/>
    </row>
    <row r="57" spans="2:117" x14ac:dyDescent="0.25">
      <c r="B57" s="19" t="s">
        <v>353</v>
      </c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>
        <v>0</v>
      </c>
      <c r="AO57" s="56">
        <v>27</v>
      </c>
      <c r="AP57" s="23"/>
      <c r="AQ57" s="23"/>
      <c r="AR57" s="56">
        <v>16</v>
      </c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23"/>
      <c r="CS57" s="23"/>
      <c r="CT57" s="23"/>
      <c r="CU57" s="23"/>
      <c r="CV57" s="23"/>
      <c r="CW57" s="23"/>
      <c r="CX57" s="32"/>
      <c r="CY57" s="32"/>
      <c r="CZ57" s="23"/>
      <c r="DA57" s="23"/>
      <c r="DB57" s="23"/>
      <c r="DC57" s="23"/>
      <c r="DD57" s="23"/>
      <c r="DE57" s="32"/>
      <c r="DF57" s="32"/>
      <c r="DM57" s="27"/>
    </row>
    <row r="58" spans="2:117" x14ac:dyDescent="0.25">
      <c r="B58" s="19" t="s">
        <v>357</v>
      </c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>
        <v>43</v>
      </c>
      <c r="AO58" s="56">
        <v>43</v>
      </c>
      <c r="AP58" s="23"/>
      <c r="AQ58" s="23"/>
      <c r="AR58" s="56">
        <v>45</v>
      </c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23"/>
      <c r="CS58" s="23"/>
      <c r="CT58" s="23"/>
      <c r="CU58" s="23"/>
      <c r="CV58" s="23"/>
      <c r="CW58" s="23"/>
      <c r="CX58" s="32"/>
      <c r="CY58" s="32"/>
      <c r="CZ58" s="23"/>
      <c r="DA58" s="23"/>
      <c r="DB58" s="23"/>
      <c r="DC58" s="23"/>
      <c r="DD58" s="23"/>
      <c r="DE58" s="23"/>
      <c r="DF58" s="23"/>
      <c r="DM58" s="27"/>
    </row>
    <row r="59" spans="2:117" x14ac:dyDescent="0.25">
      <c r="B59" s="19" t="s">
        <v>358</v>
      </c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>
        <v>45</v>
      </c>
      <c r="AO59" s="56">
        <v>37</v>
      </c>
      <c r="AP59" s="23"/>
      <c r="AQ59" s="23"/>
      <c r="AR59" s="56">
        <v>38</v>
      </c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23"/>
      <c r="CS59" s="23"/>
      <c r="CT59" s="23"/>
      <c r="CU59" s="23"/>
      <c r="CV59" s="23"/>
      <c r="CW59" s="23"/>
      <c r="CX59" s="32"/>
      <c r="CY59" s="32"/>
      <c r="CZ59" s="23"/>
      <c r="DA59" s="23"/>
      <c r="DB59" s="23"/>
      <c r="DC59" s="23"/>
      <c r="DD59" s="23"/>
      <c r="DE59" s="23"/>
      <c r="DF59" s="23"/>
      <c r="DM59" s="27"/>
    </row>
    <row r="60" spans="2:117" x14ac:dyDescent="0.25">
      <c r="B60" s="19" t="s">
        <v>359</v>
      </c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>
        <v>38</v>
      </c>
      <c r="AO60" s="56">
        <v>36</v>
      </c>
      <c r="AP60" s="23"/>
      <c r="AQ60" s="23"/>
      <c r="AR60" s="56">
        <v>48</v>
      </c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23"/>
      <c r="CS60" s="23"/>
      <c r="CT60" s="23"/>
      <c r="CU60" s="23"/>
      <c r="CV60" s="23"/>
      <c r="CW60" s="23"/>
      <c r="CX60" s="32"/>
      <c r="CY60" s="32"/>
      <c r="CZ60" s="23"/>
      <c r="DA60" s="23"/>
      <c r="DB60" s="23"/>
      <c r="DC60" s="23"/>
      <c r="DD60" s="23"/>
      <c r="DE60" s="23"/>
      <c r="DF60" s="23"/>
      <c r="DM60" s="27"/>
    </row>
    <row r="61" spans="2:117" x14ac:dyDescent="0.25">
      <c r="B61" s="19" t="s">
        <v>360</v>
      </c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>
        <v>37</v>
      </c>
      <c r="AO61" s="56">
        <v>33</v>
      </c>
      <c r="AP61" s="23"/>
      <c r="AQ61" s="23"/>
      <c r="AR61" s="56">
        <v>33</v>
      </c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23"/>
      <c r="CS61" s="23"/>
      <c r="CT61" s="23"/>
      <c r="CU61" s="23"/>
      <c r="CV61" s="23"/>
      <c r="CW61" s="23"/>
      <c r="CX61" s="32"/>
      <c r="CY61" s="32"/>
      <c r="CZ61" s="23"/>
      <c r="DA61" s="23"/>
      <c r="DB61" s="23"/>
      <c r="DC61" s="23"/>
      <c r="DD61" s="23"/>
      <c r="DE61" s="23"/>
      <c r="DF61" s="23"/>
      <c r="DM61" s="27"/>
    </row>
    <row r="62" spans="2:117" x14ac:dyDescent="0.25">
      <c r="B62" s="19" t="s">
        <v>486</v>
      </c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>
        <v>64</v>
      </c>
      <c r="AO62" s="56">
        <v>64</v>
      </c>
      <c r="AP62" s="23"/>
      <c r="AQ62" s="23"/>
      <c r="AR62" s="56">
        <v>61</v>
      </c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54">
        <f>399-54-47-81-44-111</f>
        <v>62</v>
      </c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>
        <v>1</v>
      </c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23"/>
      <c r="CS62" s="23"/>
      <c r="CT62" s="23"/>
      <c r="CU62" s="23"/>
      <c r="CV62" s="23"/>
      <c r="CW62" s="23"/>
      <c r="CX62" s="32"/>
      <c r="CY62" s="32"/>
      <c r="CZ62" s="23"/>
      <c r="DA62" s="23"/>
      <c r="DB62" s="23"/>
      <c r="DC62" s="23"/>
      <c r="DD62" s="23"/>
      <c r="DE62" s="23"/>
      <c r="DF62" s="23"/>
      <c r="DM62" s="27"/>
    </row>
    <row r="63" spans="2:117" x14ac:dyDescent="0.25">
      <c r="B63" s="19" t="s">
        <v>492</v>
      </c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56"/>
      <c r="AP63" s="23"/>
      <c r="AQ63" s="23"/>
      <c r="AR63" s="56">
        <v>6</v>
      </c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23"/>
      <c r="CS63" s="23"/>
      <c r="CT63" s="23"/>
      <c r="CU63" s="23"/>
      <c r="CV63" s="23"/>
      <c r="CW63" s="23"/>
      <c r="CX63" s="32"/>
      <c r="CY63" s="32"/>
      <c r="CZ63" s="23"/>
      <c r="DA63" s="23"/>
      <c r="DB63" s="23"/>
      <c r="DC63" s="23"/>
      <c r="DD63" s="23"/>
      <c r="DE63" s="23"/>
      <c r="DF63" s="23"/>
      <c r="DM63" s="27"/>
    </row>
    <row r="64" spans="2:117" x14ac:dyDescent="0.25">
      <c r="B64" s="1" t="s">
        <v>63</v>
      </c>
      <c r="K64" s="23">
        <v>263</v>
      </c>
      <c r="L64" s="23">
        <v>271</v>
      </c>
      <c r="M64" s="23">
        <v>262</v>
      </c>
      <c r="N64" s="23">
        <v>273</v>
      </c>
      <c r="O64" s="23">
        <f>596-P64</f>
        <v>289</v>
      </c>
      <c r="P64" s="23">
        <v>307</v>
      </c>
      <c r="Q64" s="23">
        <v>301</v>
      </c>
      <c r="R64" s="23">
        <v>280</v>
      </c>
      <c r="S64" s="23">
        <v>317</v>
      </c>
      <c r="T64" s="23">
        <v>103</v>
      </c>
      <c r="U64" s="23">
        <v>100</v>
      </c>
      <c r="V64" s="23">
        <v>102</v>
      </c>
      <c r="W64" s="23">
        <v>113</v>
      </c>
      <c r="X64" s="23">
        <f>231-W64</f>
        <v>118</v>
      </c>
      <c r="Y64" s="23">
        <v>118</v>
      </c>
      <c r="Z64" s="23">
        <v>118</v>
      </c>
      <c r="AA64" s="23">
        <v>131</v>
      </c>
      <c r="AB64" s="23">
        <v>131</v>
      </c>
      <c r="AC64" s="23">
        <v>125</v>
      </c>
      <c r="AD64" s="23">
        <v>126</v>
      </c>
      <c r="AE64" s="23">
        <v>114</v>
      </c>
      <c r="AF64" s="23">
        <f>+AE64</f>
        <v>114</v>
      </c>
      <c r="AG64" s="23">
        <f>+AF64</f>
        <v>114</v>
      </c>
      <c r="AH64" s="23">
        <f>+AG64</f>
        <v>114</v>
      </c>
      <c r="AI64" s="23"/>
      <c r="AJ64" s="23"/>
      <c r="AK64" s="23"/>
      <c r="AL64" s="23"/>
      <c r="AM64" s="23"/>
      <c r="AN64" s="23">
        <v>0</v>
      </c>
      <c r="AO64" s="56">
        <v>0</v>
      </c>
      <c r="AP64" s="23"/>
      <c r="AQ64" s="23"/>
      <c r="AR64" s="56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23"/>
      <c r="CS64" s="23"/>
      <c r="CT64" s="23"/>
      <c r="CU64" s="23">
        <f>SUM(K64:N64)</f>
        <v>1069</v>
      </c>
      <c r="CV64" s="23">
        <f>SUM(O64:R64)</f>
        <v>1177</v>
      </c>
      <c r="CW64" s="23">
        <f>SUM(S64:V64)</f>
        <v>622</v>
      </c>
      <c r="CX64" s="23">
        <f>SUM(W64:Z64)</f>
        <v>467</v>
      </c>
      <c r="CY64" s="23">
        <f>SUM(AA64:AD64)</f>
        <v>513</v>
      </c>
      <c r="CZ64" s="23">
        <f>CY64*1.05</f>
        <v>538.65</v>
      </c>
      <c r="DA64" s="23">
        <f>CZ64*1.05</f>
        <v>565.58249999999998</v>
      </c>
      <c r="DB64" s="23">
        <f>DA64*1.05</f>
        <v>593.861625</v>
      </c>
      <c r="DC64" s="23">
        <f>DB64*0.5</f>
        <v>296.9308125</v>
      </c>
      <c r="DD64" s="23">
        <f>DC64*0.5</f>
        <v>148.46540625</v>
      </c>
      <c r="DE64" s="23">
        <f>DD64*0.5</f>
        <v>74.232703125</v>
      </c>
      <c r="DF64" s="23">
        <f>DE64*0.5</f>
        <v>37.1163515625</v>
      </c>
      <c r="DM64" s="27"/>
    </row>
    <row r="65" spans="2:119" x14ac:dyDescent="0.25">
      <c r="B65" s="19" t="s">
        <v>282</v>
      </c>
      <c r="R65" s="23"/>
      <c r="S65" s="23"/>
      <c r="T65" s="23"/>
      <c r="U65" s="23"/>
      <c r="V65" s="23"/>
      <c r="W65" s="23">
        <v>329</v>
      </c>
      <c r="X65" s="23">
        <v>311</v>
      </c>
      <c r="Y65" s="23">
        <v>356</v>
      </c>
      <c r="Z65" s="23">
        <v>405</v>
      </c>
      <c r="AA65" s="23">
        <f>292+52+147</f>
        <v>491</v>
      </c>
      <c r="AB65" s="23">
        <v>578</v>
      </c>
      <c r="AC65" s="23">
        <v>576</v>
      </c>
      <c r="AD65" s="23">
        <v>572</v>
      </c>
      <c r="AE65" s="23">
        <v>712</v>
      </c>
      <c r="AF65" s="23">
        <f t="shared" ref="AF65:AH68" si="76">+AE65</f>
        <v>712</v>
      </c>
      <c r="AG65" s="23">
        <f t="shared" si="76"/>
        <v>712</v>
      </c>
      <c r="AH65" s="23">
        <f t="shared" si="76"/>
        <v>712</v>
      </c>
      <c r="AI65" s="23"/>
      <c r="AJ65" s="23"/>
      <c r="AK65" s="23"/>
      <c r="AL65" s="23"/>
      <c r="AM65" s="23"/>
      <c r="AN65" s="23">
        <v>729</v>
      </c>
      <c r="AO65" s="56">
        <v>742</v>
      </c>
      <c r="AP65" s="23"/>
      <c r="AQ65" s="23"/>
      <c r="AR65" s="56">
        <v>816</v>
      </c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54">
        <v>1256</v>
      </c>
      <c r="BL65" s="54"/>
      <c r="BM65" s="54"/>
      <c r="BN65" s="54"/>
      <c r="BO65" s="54">
        <v>1300</v>
      </c>
      <c r="BP65" s="54">
        <v>1024</v>
      </c>
      <c r="BQ65" s="54">
        <v>1041</v>
      </c>
      <c r="BR65" s="54">
        <v>1029</v>
      </c>
      <c r="BS65" s="54">
        <v>1113</v>
      </c>
      <c r="BT65" s="54">
        <v>1089</v>
      </c>
      <c r="BU65" s="54">
        <v>1155</v>
      </c>
      <c r="BV65" s="54">
        <v>1111</v>
      </c>
      <c r="BW65" s="54">
        <v>1328</v>
      </c>
      <c r="BX65" s="54">
        <v>1265</v>
      </c>
      <c r="BY65" s="54">
        <v>1271</v>
      </c>
      <c r="BZ65" s="54">
        <v>1216</v>
      </c>
      <c r="CA65" s="54">
        <v>1495</v>
      </c>
      <c r="CB65" s="54">
        <v>1225</v>
      </c>
      <c r="CC65" s="54">
        <v>1245</v>
      </c>
      <c r="CD65" s="61" t="s">
        <v>618</v>
      </c>
      <c r="CE65" s="54">
        <v>1525</v>
      </c>
      <c r="CF65" s="54">
        <v>1306</v>
      </c>
      <c r="CG65" s="54">
        <v>1271</v>
      </c>
      <c r="CH65" s="54"/>
      <c r="CI65" s="54"/>
      <c r="CJ65" s="54">
        <f t="shared" ref="CJ65:CL65" si="77">+CI65</f>
        <v>0</v>
      </c>
      <c r="CK65" s="54">
        <f t="shared" si="77"/>
        <v>0</v>
      </c>
      <c r="CL65" s="54">
        <f t="shared" si="77"/>
        <v>0</v>
      </c>
      <c r="CM65" s="54"/>
      <c r="CN65" s="54"/>
      <c r="CO65" s="54"/>
      <c r="CP65" s="54"/>
      <c r="CQ65" s="23"/>
      <c r="CS65" s="23"/>
      <c r="CT65" s="23"/>
      <c r="CU65" s="23"/>
      <c r="CV65" s="23"/>
      <c r="CW65" s="23"/>
      <c r="CX65" s="23">
        <f>SUM(W65:Z65)</f>
        <v>1401</v>
      </c>
      <c r="CY65" s="23">
        <f>SUM(AA65:AD65)</f>
        <v>2217</v>
      </c>
      <c r="CZ65" s="23">
        <f t="shared" ref="CZ65:DF65" si="78">CY65*1.02</f>
        <v>2261.34</v>
      </c>
      <c r="DA65" s="23">
        <f t="shared" si="78"/>
        <v>2306.5668000000001</v>
      </c>
      <c r="DB65" s="23">
        <f t="shared" si="78"/>
        <v>2352.698136</v>
      </c>
      <c r="DC65" s="23">
        <f t="shared" si="78"/>
        <v>2399.75209872</v>
      </c>
      <c r="DD65" s="23">
        <f t="shared" si="78"/>
        <v>2447.7471406944001</v>
      </c>
      <c r="DE65" s="23">
        <f t="shared" si="78"/>
        <v>2496.7020835082881</v>
      </c>
      <c r="DF65" s="23">
        <f t="shared" si="78"/>
        <v>2546.6361251784538</v>
      </c>
      <c r="DM65" s="27"/>
    </row>
    <row r="66" spans="2:119" x14ac:dyDescent="0.25">
      <c r="B66" s="19" t="s">
        <v>547</v>
      </c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56"/>
      <c r="AP66" s="23"/>
      <c r="AQ66" s="23"/>
      <c r="AR66" s="56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54"/>
      <c r="BL66" s="54"/>
      <c r="BM66" s="54"/>
      <c r="BN66" s="54"/>
      <c r="BO66" s="54"/>
      <c r="BP66" s="54"/>
      <c r="BQ66" s="54"/>
      <c r="BR66" s="54"/>
      <c r="BS66" s="54">
        <v>188</v>
      </c>
      <c r="BT66" s="54">
        <v>192</v>
      </c>
      <c r="BU66" s="54">
        <v>208</v>
      </c>
      <c r="BV66" s="54">
        <v>220</v>
      </c>
      <c r="BW66" s="54">
        <v>183</v>
      </c>
      <c r="BX66" s="54">
        <v>133</v>
      </c>
      <c r="BY66" s="54">
        <v>127</v>
      </c>
      <c r="BZ66" s="54">
        <v>177</v>
      </c>
      <c r="CA66" s="54">
        <v>135</v>
      </c>
      <c r="CB66" s="54">
        <v>145</v>
      </c>
      <c r="CC66" s="54">
        <v>126</v>
      </c>
      <c r="CD66" s="54">
        <v>176</v>
      </c>
      <c r="CE66" s="54">
        <v>157</v>
      </c>
      <c r="CF66" s="54">
        <v>121</v>
      </c>
      <c r="CG66" s="54">
        <v>126</v>
      </c>
      <c r="CH66" s="54">
        <v>124</v>
      </c>
      <c r="CI66" s="54">
        <v>103</v>
      </c>
      <c r="CJ66" s="54">
        <f t="shared" ref="CJ66:CL66" si="79">+CI66</f>
        <v>103</v>
      </c>
      <c r="CK66" s="54">
        <f t="shared" si="79"/>
        <v>103</v>
      </c>
      <c r="CL66" s="54">
        <f t="shared" si="79"/>
        <v>103</v>
      </c>
      <c r="CM66" s="54"/>
      <c r="CN66" s="54"/>
      <c r="CO66" s="54"/>
      <c r="CP66" s="54"/>
      <c r="CQ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M66" s="27">
        <f t="shared" ref="DM66" si="80">SUM(CE66:CH66)</f>
        <v>528</v>
      </c>
    </row>
    <row r="67" spans="2:119" x14ac:dyDescent="0.25">
      <c r="B67" s="19" t="s">
        <v>278</v>
      </c>
      <c r="R67" s="23"/>
      <c r="S67" s="23"/>
      <c r="T67" s="23"/>
      <c r="U67" s="23"/>
      <c r="V67" s="23"/>
      <c r="W67" s="23">
        <f>377-X67</f>
        <v>93</v>
      </c>
      <c r="X67" s="23">
        <v>284</v>
      </c>
      <c r="Y67" s="23">
        <v>302</v>
      </c>
      <c r="Z67" s="23">
        <v>333</v>
      </c>
      <c r="AA67" s="23">
        <f>254+20+69</f>
        <v>343</v>
      </c>
      <c r="AB67" s="23">
        <v>381</v>
      </c>
      <c r="AC67" s="23">
        <v>390</v>
      </c>
      <c r="AD67" s="23">
        <v>420</v>
      </c>
      <c r="AE67" s="23">
        <v>414</v>
      </c>
      <c r="AF67" s="23">
        <f t="shared" si="76"/>
        <v>414</v>
      </c>
      <c r="AG67" s="23">
        <f t="shared" si="76"/>
        <v>414</v>
      </c>
      <c r="AH67" s="23">
        <f t="shared" si="76"/>
        <v>414</v>
      </c>
      <c r="AI67" s="23"/>
      <c r="AJ67" s="23"/>
      <c r="AK67" s="23"/>
      <c r="AL67" s="23"/>
      <c r="AM67" s="23"/>
      <c r="AN67" s="23">
        <v>300</v>
      </c>
      <c r="AO67" s="56">
        <v>424</v>
      </c>
      <c r="AP67" s="23"/>
      <c r="AQ67" s="23"/>
      <c r="AR67" s="56">
        <v>466</v>
      </c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54">
        <v>282</v>
      </c>
      <c r="BL67" s="54"/>
      <c r="BM67" s="54"/>
      <c r="BN67" s="54"/>
      <c r="BO67" s="54">
        <v>270</v>
      </c>
      <c r="BP67" s="54">
        <v>224</v>
      </c>
      <c r="BQ67" s="54">
        <v>219</v>
      </c>
      <c r="BR67" s="54">
        <v>219</v>
      </c>
      <c r="BS67" s="54">
        <v>206</v>
      </c>
      <c r="BT67" s="54">
        <v>188</v>
      </c>
      <c r="BU67" s="54">
        <v>172</v>
      </c>
      <c r="BV67" s="54">
        <v>133</v>
      </c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23"/>
      <c r="CS67" s="23"/>
      <c r="CT67" s="23"/>
      <c r="CU67" s="23"/>
      <c r="CV67" s="23"/>
      <c r="CW67" s="23"/>
      <c r="CX67" s="23">
        <f>SUM(W67:Z67)</f>
        <v>1012</v>
      </c>
      <c r="CY67" s="23">
        <f>SUM(AA67:AD67)</f>
        <v>1534</v>
      </c>
      <c r="CZ67" s="23">
        <f t="shared" ref="CZ67:DF67" si="81">CY67*1.02</f>
        <v>1564.68</v>
      </c>
      <c r="DA67" s="23">
        <f t="shared" si="81"/>
        <v>1595.9736</v>
      </c>
      <c r="DB67" s="23">
        <f t="shared" si="81"/>
        <v>1627.8930720000001</v>
      </c>
      <c r="DC67" s="23">
        <f t="shared" si="81"/>
        <v>1660.4509334400002</v>
      </c>
      <c r="DD67" s="23">
        <f t="shared" si="81"/>
        <v>1693.6599521088003</v>
      </c>
      <c r="DE67" s="23">
        <f t="shared" si="81"/>
        <v>1727.5331511509764</v>
      </c>
      <c r="DF67" s="23">
        <f t="shared" si="81"/>
        <v>1762.083814173996</v>
      </c>
      <c r="DM67" s="27"/>
    </row>
    <row r="68" spans="2:119" x14ac:dyDescent="0.25">
      <c r="B68" s="1" t="s">
        <v>138</v>
      </c>
      <c r="K68" s="23">
        <v>2258</v>
      </c>
      <c r="L68" s="23">
        <v>2131</v>
      </c>
      <c r="M68" s="23">
        <v>2033</v>
      </c>
      <c r="N68" s="23">
        <v>2129</v>
      </c>
      <c r="O68" s="23">
        <v>2127</v>
      </c>
      <c r="P68" s="23">
        <v>2026</v>
      </c>
      <c r="Q68" s="23">
        <v>1962</v>
      </c>
      <c r="R68" s="23">
        <v>2088</v>
      </c>
      <c r="S68" s="23">
        <f>2067-22-18+22</f>
        <v>2049</v>
      </c>
      <c r="T68" s="23">
        <v>2005</v>
      </c>
      <c r="U68" s="23">
        <v>1949</v>
      </c>
      <c r="V68" s="23">
        <v>2029</v>
      </c>
      <c r="W68" s="23">
        <f>1516+378+93-W65-W67</f>
        <v>1565</v>
      </c>
      <c r="X68" s="23">
        <f>3099+640+377-W68-X65-X67-W65-W67</f>
        <v>1534</v>
      </c>
      <c r="Y68" s="23">
        <v>1486</v>
      </c>
      <c r="Z68" s="23">
        <v>1522</v>
      </c>
      <c r="AA68" s="23">
        <v>1484</v>
      </c>
      <c r="AB68" s="23">
        <v>1576</v>
      </c>
      <c r="AC68" s="23">
        <v>1510</v>
      </c>
      <c r="AD68" s="23">
        <v>1494</v>
      </c>
      <c r="AE68" s="23">
        <v>1479</v>
      </c>
      <c r="AF68" s="23">
        <f t="shared" si="76"/>
        <v>1479</v>
      </c>
      <c r="AG68" s="23">
        <f t="shared" si="76"/>
        <v>1479</v>
      </c>
      <c r="AH68" s="23">
        <f t="shared" si="76"/>
        <v>1479</v>
      </c>
      <c r="AI68" s="23"/>
      <c r="AJ68" s="23"/>
      <c r="AK68" s="23"/>
      <c r="AL68" s="23"/>
      <c r="AM68" s="23"/>
      <c r="AN68" s="23">
        <v>1074</v>
      </c>
      <c r="AO68" s="56">
        <f>1044-AO57</f>
        <v>1017</v>
      </c>
      <c r="AP68" s="23"/>
      <c r="AQ68" s="23"/>
      <c r="AR68" s="56">
        <f>927+19</f>
        <v>946</v>
      </c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54">
        <v>848</v>
      </c>
      <c r="BL68" s="54"/>
      <c r="BM68" s="54"/>
      <c r="BN68" s="54"/>
      <c r="BO68" s="54">
        <v>1233</v>
      </c>
      <c r="BP68" s="54">
        <v>1023</v>
      </c>
      <c r="BQ68" s="54">
        <v>1056</v>
      </c>
      <c r="BR68" s="54">
        <v>1055</v>
      </c>
      <c r="BS68" s="54">
        <v>1090</v>
      </c>
      <c r="BT68" s="54">
        <v>1043</v>
      </c>
      <c r="BU68" s="54">
        <v>1064</v>
      </c>
      <c r="BV68" s="54">
        <f>1015-BV36</f>
        <v>995</v>
      </c>
      <c r="BW68" s="54">
        <v>1187</v>
      </c>
      <c r="BX68" s="54">
        <v>1133</v>
      </c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23"/>
      <c r="CS68" s="23"/>
      <c r="CT68" s="23"/>
      <c r="CU68" s="23">
        <f>SUM(K68:N68)</f>
        <v>8551</v>
      </c>
      <c r="CV68" s="23">
        <f>SUM(O68:R68)</f>
        <v>8203</v>
      </c>
      <c r="CW68" s="23">
        <f>SUM(S68:V68)</f>
        <v>8032</v>
      </c>
      <c r="CX68" s="23">
        <f>SUM(W68:Z68)</f>
        <v>6107</v>
      </c>
      <c r="CY68" s="23">
        <f>SUM(AA68:AD68)</f>
        <v>6064</v>
      </c>
      <c r="CZ68" s="44">
        <f>CY68*0.95</f>
        <v>5760.8</v>
      </c>
      <c r="DA68" s="44">
        <f t="shared" ref="DA68:DD68" si="82">CZ68*0.95</f>
        <v>5472.76</v>
      </c>
      <c r="DB68" s="44">
        <f t="shared" si="82"/>
        <v>5199.1220000000003</v>
      </c>
      <c r="DC68" s="44">
        <f t="shared" si="82"/>
        <v>4939.1659</v>
      </c>
      <c r="DD68" s="44">
        <f t="shared" si="82"/>
        <v>4692.2076049999996</v>
      </c>
      <c r="DE68" s="44">
        <f>DD68*0.95</f>
        <v>4457.5972247499994</v>
      </c>
      <c r="DF68" s="44">
        <f>DE68*0.95</f>
        <v>4234.7173635124991</v>
      </c>
      <c r="DM68" s="27"/>
    </row>
    <row r="69" spans="2:119" x14ac:dyDescent="0.25">
      <c r="B69" s="1" t="s">
        <v>145</v>
      </c>
      <c r="K69" s="23">
        <v>512</v>
      </c>
      <c r="L69" s="23">
        <v>568</v>
      </c>
      <c r="M69" s="23">
        <v>647</v>
      </c>
      <c r="N69" s="23">
        <v>806</v>
      </c>
      <c r="O69" s="23">
        <v>567</v>
      </c>
      <c r="P69" s="23">
        <v>619</v>
      </c>
      <c r="Q69" s="23">
        <v>943</v>
      </c>
      <c r="R69" s="23">
        <v>649</v>
      </c>
      <c r="S69" s="23">
        <v>548</v>
      </c>
      <c r="T69" s="23">
        <v>657</v>
      </c>
      <c r="U69" s="23">
        <v>947</v>
      </c>
      <c r="V69" s="20">
        <v>709</v>
      </c>
      <c r="W69" s="23">
        <v>627</v>
      </c>
      <c r="X69" s="23">
        <f>1339-W69</f>
        <v>712</v>
      </c>
      <c r="Y69" s="23">
        <v>1046</v>
      </c>
      <c r="Z69" s="23">
        <v>1098</v>
      </c>
      <c r="AA69" s="23">
        <v>944</v>
      </c>
      <c r="AB69" s="23">
        <v>748</v>
      </c>
      <c r="AC69" s="23">
        <v>1226</v>
      </c>
      <c r="AD69" s="23">
        <v>890</v>
      </c>
      <c r="AE69" s="23">
        <v>602</v>
      </c>
      <c r="AF69" s="23">
        <f>+AB69</f>
        <v>748</v>
      </c>
      <c r="AG69" s="23">
        <f t="shared" ref="AG69:AH69" si="83">+AC69</f>
        <v>1226</v>
      </c>
      <c r="AH69" s="23">
        <f t="shared" si="83"/>
        <v>890</v>
      </c>
      <c r="AI69" s="23"/>
      <c r="AJ69" s="23"/>
      <c r="AK69" s="23"/>
      <c r="AL69" s="23"/>
      <c r="AM69" s="23"/>
      <c r="AN69" s="23">
        <v>760</v>
      </c>
      <c r="AO69" s="56">
        <v>1300</v>
      </c>
      <c r="AP69" s="23"/>
      <c r="AQ69" s="23"/>
      <c r="AR69" s="56">
        <v>718</v>
      </c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54">
        <v>873</v>
      </c>
      <c r="BL69" s="54"/>
      <c r="BM69" s="54"/>
      <c r="BN69" s="54"/>
      <c r="BO69" s="61" t="s">
        <v>565</v>
      </c>
      <c r="BP69" s="61" t="s">
        <v>564</v>
      </c>
      <c r="BQ69" s="61" t="s">
        <v>563</v>
      </c>
      <c r="BR69" s="61" t="s">
        <v>561</v>
      </c>
      <c r="BS69" s="61" t="s">
        <v>560</v>
      </c>
      <c r="BT69" s="61" t="s">
        <v>555</v>
      </c>
      <c r="BU69" s="61" t="s">
        <v>554</v>
      </c>
      <c r="BV69" s="67" t="s">
        <v>548</v>
      </c>
      <c r="BW69" s="61" t="s">
        <v>546</v>
      </c>
      <c r="BX69" s="61" t="s">
        <v>553</v>
      </c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23"/>
      <c r="CS69" s="23"/>
      <c r="CT69" s="23"/>
      <c r="CU69" s="23">
        <f t="shared" si="32"/>
        <v>2533</v>
      </c>
      <c r="CV69" s="23">
        <f t="shared" ref="CV69" si="84">SUM(O69:R69)</f>
        <v>2778</v>
      </c>
      <c r="CW69" s="23">
        <f>SUM(S69:V69)</f>
        <v>2861</v>
      </c>
      <c r="CX69" s="23">
        <f>SUM(W69:Z69)</f>
        <v>3483</v>
      </c>
      <c r="CY69" s="23">
        <f>SUM(AA69:AD69)</f>
        <v>3808</v>
      </c>
      <c r="CZ69" s="23">
        <f>CY69*1.04</f>
        <v>3960.32</v>
      </c>
      <c r="DA69" s="23">
        <f>CZ69*1.03</f>
        <v>4079.1296000000002</v>
      </c>
      <c r="DB69" s="23">
        <f t="shared" ref="DB69:DF69" si="85">DA69*1.03</f>
        <v>4201.5034880000003</v>
      </c>
      <c r="DC69" s="23">
        <f t="shared" si="85"/>
        <v>4327.5485926400006</v>
      </c>
      <c r="DD69" s="23">
        <f t="shared" si="85"/>
        <v>4457.3750504192003</v>
      </c>
      <c r="DE69" s="23">
        <f t="shared" si="85"/>
        <v>4591.096301931776</v>
      </c>
      <c r="DF69" s="23">
        <f t="shared" si="85"/>
        <v>4728.8291909897298</v>
      </c>
      <c r="DM69" s="27"/>
    </row>
    <row r="70" spans="2:119" x14ac:dyDescent="0.25">
      <c r="B70" s="19" t="s">
        <v>628</v>
      </c>
      <c r="R70" s="23"/>
      <c r="S70" s="23"/>
      <c r="T70" s="23"/>
      <c r="U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56"/>
      <c r="AP70" s="23"/>
      <c r="AQ70" s="23"/>
      <c r="AR70" s="56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54"/>
      <c r="BL70" s="54"/>
      <c r="BM70" s="54"/>
      <c r="BN70" s="54"/>
      <c r="BO70" s="54">
        <v>484</v>
      </c>
      <c r="BP70" s="54">
        <v>575</v>
      </c>
      <c r="BQ70" s="54">
        <v>553</v>
      </c>
      <c r="BR70" s="54">
        <v>494</v>
      </c>
      <c r="BS70" s="54">
        <v>533</v>
      </c>
      <c r="BT70" s="54">
        <v>520</v>
      </c>
      <c r="BU70" s="54">
        <v>563</v>
      </c>
      <c r="BV70" s="54">
        <v>543</v>
      </c>
      <c r="BW70" s="54">
        <v>613</v>
      </c>
      <c r="BX70" s="54">
        <v>589</v>
      </c>
      <c r="BY70" s="54">
        <v>640</v>
      </c>
      <c r="BZ70" s="54">
        <v>443</v>
      </c>
      <c r="CA70" s="54">
        <v>537</v>
      </c>
      <c r="CB70" s="54">
        <v>617</v>
      </c>
      <c r="CC70" s="54">
        <v>577</v>
      </c>
      <c r="CD70" s="54">
        <v>434</v>
      </c>
      <c r="CE70" s="54">
        <v>636</v>
      </c>
      <c r="CF70" s="54">
        <v>712</v>
      </c>
      <c r="CG70" s="54">
        <v>760</v>
      </c>
      <c r="CH70" s="54">
        <v>632</v>
      </c>
      <c r="CI70" s="54">
        <v>668</v>
      </c>
      <c r="CJ70" s="54">
        <f t="shared" ref="CJ70:CL70" si="86">+CI70</f>
        <v>668</v>
      </c>
      <c r="CK70" s="54">
        <f t="shared" si="86"/>
        <v>668</v>
      </c>
      <c r="CL70" s="54">
        <f t="shared" si="86"/>
        <v>668</v>
      </c>
      <c r="CM70" s="54">
        <v>664</v>
      </c>
      <c r="CN70" s="54"/>
      <c r="CO70" s="54"/>
      <c r="CP70" s="54"/>
      <c r="CQ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M70" s="27">
        <f t="shared" ref="DM70:DM75" si="87">SUM(CE70:CH70)</f>
        <v>2740</v>
      </c>
    </row>
    <row r="71" spans="2:119" x14ac:dyDescent="0.25">
      <c r="B71" s="19" t="s">
        <v>582</v>
      </c>
      <c r="R71" s="23"/>
      <c r="S71" s="23"/>
      <c r="T71" s="23"/>
      <c r="U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56"/>
      <c r="AP71" s="23"/>
      <c r="AQ71" s="23"/>
      <c r="AR71" s="56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>
        <v>0</v>
      </c>
      <c r="BZ71" s="54">
        <v>0</v>
      </c>
      <c r="CA71" s="54">
        <v>0</v>
      </c>
      <c r="CB71" s="54">
        <v>0</v>
      </c>
      <c r="CC71" s="54">
        <v>137</v>
      </c>
      <c r="CD71" s="54">
        <v>410</v>
      </c>
      <c r="CE71" s="54">
        <v>182</v>
      </c>
      <c r="CF71" s="54">
        <v>18</v>
      </c>
      <c r="CG71" s="54">
        <v>645</v>
      </c>
      <c r="CH71" s="54">
        <v>841</v>
      </c>
      <c r="CI71" s="54">
        <v>284</v>
      </c>
      <c r="CJ71" s="54">
        <f t="shared" ref="CJ71:CL71" si="88">+CI71</f>
        <v>284</v>
      </c>
      <c r="CK71" s="54">
        <f t="shared" si="88"/>
        <v>284</v>
      </c>
      <c r="CL71" s="54">
        <f t="shared" si="88"/>
        <v>284</v>
      </c>
      <c r="CM71" s="54">
        <v>284</v>
      </c>
      <c r="CN71" s="54"/>
      <c r="CO71" s="54"/>
      <c r="CP71" s="54"/>
      <c r="CQ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M71" s="27">
        <f t="shared" si="87"/>
        <v>1686</v>
      </c>
    </row>
    <row r="72" spans="2:119" x14ac:dyDescent="0.25">
      <c r="B72" s="19" t="s">
        <v>541</v>
      </c>
      <c r="R72" s="23"/>
      <c r="S72" s="23"/>
      <c r="T72" s="23"/>
      <c r="U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56"/>
      <c r="AP72" s="23"/>
      <c r="AQ72" s="23"/>
      <c r="AR72" s="56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54"/>
      <c r="BL72" s="54"/>
      <c r="BM72" s="54"/>
      <c r="BN72" s="54"/>
      <c r="BO72" s="54">
        <v>131</v>
      </c>
      <c r="BP72" s="54">
        <v>89</v>
      </c>
      <c r="BQ72" s="54">
        <v>214</v>
      </c>
      <c r="BR72" s="54">
        <v>125</v>
      </c>
      <c r="BS72" s="54">
        <v>128</v>
      </c>
      <c r="BT72" s="54">
        <v>186</v>
      </c>
      <c r="BU72" s="54">
        <v>158</v>
      </c>
      <c r="BV72" s="54">
        <v>91</v>
      </c>
      <c r="BW72" s="54">
        <v>112</v>
      </c>
      <c r="BX72" s="54">
        <v>153</v>
      </c>
      <c r="BY72" s="54">
        <v>328</v>
      </c>
      <c r="BZ72" s="54">
        <v>110</v>
      </c>
      <c r="CA72" s="54">
        <v>249</v>
      </c>
      <c r="CB72" s="54">
        <v>270</v>
      </c>
      <c r="CC72" s="54">
        <v>409</v>
      </c>
      <c r="CD72" s="54">
        <v>242</v>
      </c>
      <c r="CE72" s="54">
        <v>286</v>
      </c>
      <c r="CF72" s="54">
        <v>296</v>
      </c>
      <c r="CG72" s="54">
        <v>485</v>
      </c>
      <c r="CH72" s="54">
        <v>249</v>
      </c>
      <c r="CI72" s="54">
        <v>302</v>
      </c>
      <c r="CJ72" s="54">
        <f t="shared" ref="CJ72:CL72" si="89">+CI72</f>
        <v>302</v>
      </c>
      <c r="CK72" s="54">
        <f t="shared" si="89"/>
        <v>302</v>
      </c>
      <c r="CL72" s="54">
        <f t="shared" si="89"/>
        <v>302</v>
      </c>
      <c r="CM72" s="54">
        <v>278</v>
      </c>
      <c r="CN72" s="54"/>
      <c r="CO72" s="54"/>
      <c r="CP72" s="54"/>
      <c r="CQ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M72" s="27">
        <f t="shared" si="87"/>
        <v>1316</v>
      </c>
    </row>
    <row r="73" spans="2:119" x14ac:dyDescent="0.25">
      <c r="B73" s="19" t="s">
        <v>542</v>
      </c>
      <c r="R73" s="23"/>
      <c r="S73" s="23"/>
      <c r="T73" s="23"/>
      <c r="U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56"/>
      <c r="AP73" s="23"/>
      <c r="AQ73" s="23"/>
      <c r="AR73" s="56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54"/>
      <c r="BL73" s="54"/>
      <c r="BM73" s="54"/>
      <c r="BN73" s="54"/>
      <c r="BO73" s="54">
        <v>115</v>
      </c>
      <c r="BP73" s="54">
        <v>78</v>
      </c>
      <c r="BQ73" s="54">
        <v>151</v>
      </c>
      <c r="BR73" s="54">
        <v>123</v>
      </c>
      <c r="BS73" s="54">
        <v>100</v>
      </c>
      <c r="BT73" s="54">
        <v>106</v>
      </c>
      <c r="BU73" s="54">
        <v>253</v>
      </c>
      <c r="BV73" s="54">
        <v>124</v>
      </c>
      <c r="BW73" s="54">
        <v>109</v>
      </c>
      <c r="BX73" s="54">
        <v>152</v>
      </c>
      <c r="BY73" s="54">
        <v>178</v>
      </c>
      <c r="BZ73" s="54">
        <v>148</v>
      </c>
      <c r="CA73" s="54">
        <v>124</v>
      </c>
      <c r="CB73" s="54">
        <v>150</v>
      </c>
      <c r="CC73" s="54">
        <v>185</v>
      </c>
      <c r="CD73" s="54">
        <v>139</v>
      </c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M73" s="27">
        <f t="shared" si="87"/>
        <v>0</v>
      </c>
    </row>
    <row r="74" spans="2:119" x14ac:dyDescent="0.25">
      <c r="B74" s="19" t="s">
        <v>543</v>
      </c>
      <c r="R74" s="23"/>
      <c r="S74" s="23"/>
      <c r="T74" s="23"/>
      <c r="U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56"/>
      <c r="AP74" s="23"/>
      <c r="AQ74" s="23"/>
      <c r="AR74" s="56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54"/>
      <c r="BL74" s="54"/>
      <c r="BM74" s="54"/>
      <c r="BN74" s="54"/>
      <c r="BO74" s="54">
        <v>99</v>
      </c>
      <c r="BP74" s="54">
        <v>55</v>
      </c>
      <c r="BQ74" s="54">
        <v>71</v>
      </c>
      <c r="BR74" s="54">
        <v>76</v>
      </c>
      <c r="BS74" s="54">
        <v>59</v>
      </c>
      <c r="BT74" s="54">
        <v>74</v>
      </c>
      <c r="BU74" s="54">
        <v>82</v>
      </c>
      <c r="BV74" s="54">
        <v>91</v>
      </c>
      <c r="BW74" s="54">
        <v>98</v>
      </c>
      <c r="BX74" s="54">
        <v>145</v>
      </c>
      <c r="BY74" s="54">
        <v>146</v>
      </c>
      <c r="BZ74" s="54">
        <v>121</v>
      </c>
      <c r="CA74" s="54">
        <f>1167-CA75-CA73-CA72-CA70</f>
        <v>194</v>
      </c>
      <c r="CB74" s="54">
        <f>1223-CB75-CB73-CB72-CB70</f>
        <v>87</v>
      </c>
      <c r="CC74" s="54">
        <f>3098-CC73-CC72-CC71-CC70-CC75</f>
        <v>24</v>
      </c>
      <c r="CD74" s="54">
        <f>1986-CD75-CD73-CD72-CD71-CD70</f>
        <v>20</v>
      </c>
      <c r="CE74" s="54"/>
      <c r="CF74" s="54">
        <f>1142-CF75-CF72-CF71-CF70</f>
        <v>1</v>
      </c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M74" s="27">
        <f t="shared" si="87"/>
        <v>1</v>
      </c>
    </row>
    <row r="75" spans="2:119" x14ac:dyDescent="0.25">
      <c r="B75" s="19" t="s">
        <v>544</v>
      </c>
      <c r="R75" s="23"/>
      <c r="S75" s="23"/>
      <c r="T75" s="23"/>
      <c r="U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56"/>
      <c r="AP75" s="23"/>
      <c r="AQ75" s="23"/>
      <c r="AR75" s="56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54"/>
      <c r="BL75" s="54"/>
      <c r="BM75" s="54"/>
      <c r="BN75" s="54"/>
      <c r="BO75" s="54">
        <v>63</v>
      </c>
      <c r="BP75" s="54">
        <v>116</v>
      </c>
      <c r="BQ75" s="54">
        <v>1065</v>
      </c>
      <c r="BR75" s="54">
        <v>1228</v>
      </c>
      <c r="BS75" s="54">
        <v>77</v>
      </c>
      <c r="BT75" s="54">
        <v>119</v>
      </c>
      <c r="BU75" s="54">
        <v>1339</v>
      </c>
      <c r="BV75" s="54">
        <v>1093</v>
      </c>
      <c r="BW75" s="54">
        <v>66</v>
      </c>
      <c r="BX75" s="54">
        <v>115</v>
      </c>
      <c r="BY75" s="54">
        <v>1994</v>
      </c>
      <c r="BZ75" s="54">
        <v>802</v>
      </c>
      <c r="CA75" s="54">
        <v>63</v>
      </c>
      <c r="CB75" s="54">
        <v>99</v>
      </c>
      <c r="CC75" s="54">
        <v>1766</v>
      </c>
      <c r="CD75" s="54">
        <v>741</v>
      </c>
      <c r="CE75" s="54">
        <v>73</v>
      </c>
      <c r="CF75" s="54">
        <v>115</v>
      </c>
      <c r="CG75" s="54">
        <v>1913</v>
      </c>
      <c r="CH75" s="54">
        <v>454</v>
      </c>
      <c r="CI75" s="54">
        <v>73</v>
      </c>
      <c r="CJ75" s="54">
        <f>+CF75</f>
        <v>115</v>
      </c>
      <c r="CK75" s="54">
        <f>+CG75</f>
        <v>1913</v>
      </c>
      <c r="CL75" s="54">
        <f>+CH75</f>
        <v>454</v>
      </c>
      <c r="CM75" s="54">
        <v>67</v>
      </c>
      <c r="CN75" s="54"/>
      <c r="CO75" s="54"/>
      <c r="CP75" s="54"/>
      <c r="CQ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M75" s="27">
        <f t="shared" si="87"/>
        <v>2555</v>
      </c>
    </row>
    <row r="76" spans="2:119" x14ac:dyDescent="0.25">
      <c r="B76" s="19" t="s">
        <v>545</v>
      </c>
      <c r="R76" s="23"/>
      <c r="S76" s="23"/>
      <c r="T76" s="23"/>
      <c r="U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56"/>
      <c r="AP76" s="23"/>
      <c r="AQ76" s="23"/>
      <c r="AR76" s="56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54"/>
      <c r="BL76" s="54"/>
      <c r="BM76" s="54"/>
      <c r="BN76" s="54"/>
      <c r="BO76" s="54">
        <f>909-BO75-BO74-BO73-BO72-BO70</f>
        <v>17</v>
      </c>
      <c r="BP76" s="54">
        <f>927-BP75-BP74-BP73-BP72-BP70</f>
        <v>14</v>
      </c>
      <c r="BQ76" s="54">
        <f>2077-BQ75-BQ74-BQ73-BQ72-BQ70</f>
        <v>23</v>
      </c>
      <c r="BR76" s="54">
        <f>2060-BR75-BR74-BR73-BR72-BR70</f>
        <v>14</v>
      </c>
      <c r="BS76" s="54">
        <f>915-BS70-BS72-BS73-BS74-BS75</f>
        <v>18</v>
      </c>
      <c r="BT76" s="54">
        <f>1022-SUM(BT70:BT75)</f>
        <v>17</v>
      </c>
      <c r="BU76" s="54">
        <f>2422-SUM(BU70:BU75)</f>
        <v>27</v>
      </c>
      <c r="BV76" s="54">
        <v>22</v>
      </c>
      <c r="BW76" s="54">
        <v>22</v>
      </c>
      <c r="BX76" s="54">
        <f>1178-SUM(BX70:BX75)</f>
        <v>24</v>
      </c>
      <c r="BY76" s="54">
        <f>3315-BY75-BY74-BY73-BY72-BY70</f>
        <v>29</v>
      </c>
      <c r="BZ76" s="54">
        <v>92</v>
      </c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</row>
    <row r="77" spans="2:119" x14ac:dyDescent="0.25">
      <c r="B77" s="19" t="s">
        <v>319</v>
      </c>
      <c r="AA77" s="20">
        <v>513</v>
      </c>
      <c r="AB77" s="23"/>
      <c r="AC77" s="23"/>
      <c r="AD77" s="23"/>
      <c r="AE77" s="23">
        <v>594</v>
      </c>
      <c r="AF77" s="23">
        <f>+AE77</f>
        <v>594</v>
      </c>
      <c r="AG77" s="23">
        <f t="shared" ref="AG77:AH78" si="90">+AF77</f>
        <v>594</v>
      </c>
      <c r="AH77" s="23">
        <f t="shared" si="90"/>
        <v>594</v>
      </c>
      <c r="AI77" s="23"/>
      <c r="AJ77" s="23"/>
      <c r="AK77" s="23"/>
      <c r="AL77" s="23"/>
      <c r="AM77" s="23"/>
      <c r="AN77" s="23">
        <v>529</v>
      </c>
      <c r="AO77" s="56">
        <v>458</v>
      </c>
      <c r="AP77" s="23"/>
      <c r="AQ77" s="23"/>
      <c r="AR77" s="23">
        <v>537</v>
      </c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23"/>
      <c r="CS77" s="23"/>
      <c r="CT77" s="23"/>
      <c r="CU77" s="23"/>
      <c r="CV77" s="23"/>
      <c r="CW77" s="23"/>
      <c r="CX77" s="23"/>
      <c r="CY77" s="23"/>
      <c r="CZ77" s="23">
        <f>SUM(AE77:AH77)</f>
        <v>2376</v>
      </c>
      <c r="DA77" s="23">
        <f>CZ77*1.05</f>
        <v>2494.8000000000002</v>
      </c>
      <c r="DB77" s="23">
        <f t="shared" ref="DB77:DF77" si="91">DA77*1.05</f>
        <v>2619.5400000000004</v>
      </c>
      <c r="DC77" s="23">
        <f t="shared" si="91"/>
        <v>2750.5170000000007</v>
      </c>
      <c r="DD77" s="23">
        <f t="shared" si="91"/>
        <v>2888.0428500000007</v>
      </c>
      <c r="DE77" s="23">
        <f t="shared" si="91"/>
        <v>3032.4449925000008</v>
      </c>
      <c r="DF77" s="23">
        <f t="shared" si="91"/>
        <v>3184.067242125001</v>
      </c>
    </row>
    <row r="78" spans="2:119" x14ac:dyDescent="0.25">
      <c r="B78" s="1" t="s">
        <v>1</v>
      </c>
      <c r="C78" s="23">
        <f>507-D78</f>
        <v>221</v>
      </c>
      <c r="D78" s="23">
        <v>286</v>
      </c>
      <c r="G78" s="23">
        <f>548-H78</f>
        <v>243</v>
      </c>
      <c r="H78" s="23">
        <v>305</v>
      </c>
      <c r="M78" s="23">
        <v>241</v>
      </c>
      <c r="N78" s="23">
        <v>228</v>
      </c>
      <c r="O78" s="23">
        <v>256</v>
      </c>
      <c r="P78" s="23">
        <v>291</v>
      </c>
      <c r="Q78" s="23">
        <v>298</v>
      </c>
      <c r="R78" s="20">
        <v>310</v>
      </c>
      <c r="S78" s="20">
        <v>284</v>
      </c>
      <c r="T78" s="20">
        <v>286</v>
      </c>
      <c r="U78" s="20">
        <v>312</v>
      </c>
      <c r="V78" s="20">
        <v>367</v>
      </c>
      <c r="W78" s="20">
        <v>344</v>
      </c>
      <c r="X78" s="20">
        <f>703-W78</f>
        <v>359</v>
      </c>
      <c r="Y78" s="20">
        <v>372</v>
      </c>
      <c r="Z78" s="20">
        <v>368</v>
      </c>
      <c r="AA78" s="20">
        <v>390</v>
      </c>
      <c r="AB78" s="23">
        <v>408</v>
      </c>
      <c r="AC78" s="23">
        <v>438</v>
      </c>
      <c r="AD78" s="23">
        <v>415</v>
      </c>
      <c r="AE78" s="23">
        <v>413</v>
      </c>
      <c r="AF78" s="23">
        <f>+AE78</f>
        <v>413</v>
      </c>
      <c r="AG78" s="23">
        <f t="shared" si="90"/>
        <v>413</v>
      </c>
      <c r="AH78" s="23">
        <f t="shared" si="90"/>
        <v>413</v>
      </c>
      <c r="AI78" s="23"/>
      <c r="AJ78" s="23"/>
      <c r="AK78" s="23"/>
      <c r="AL78" s="23"/>
      <c r="AM78" s="23"/>
      <c r="AN78" s="23">
        <v>83</v>
      </c>
      <c r="AO78" s="54">
        <v>86</v>
      </c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23"/>
      <c r="CS78" s="23"/>
      <c r="CT78" s="23"/>
      <c r="CU78" s="23"/>
      <c r="CV78" s="23"/>
      <c r="CW78" s="23"/>
      <c r="CX78" s="23">
        <f>SUM(W78:Z78)</f>
        <v>1443</v>
      </c>
      <c r="CY78" s="23"/>
      <c r="CZ78" s="23"/>
      <c r="DA78" s="23"/>
      <c r="DB78" s="23"/>
      <c r="DC78" s="23"/>
      <c r="DD78" s="23"/>
      <c r="DE78" s="23"/>
      <c r="DF78" s="23"/>
    </row>
    <row r="79" spans="2:119" x14ac:dyDescent="0.25">
      <c r="C79" s="23">
        <f>12196-D79</f>
        <v>5919</v>
      </c>
      <c r="D79" s="23">
        <v>6277</v>
      </c>
      <c r="G79" s="23">
        <f>13104-H79</f>
        <v>6417</v>
      </c>
      <c r="H79" s="23">
        <v>6687</v>
      </c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</row>
    <row r="80" spans="2:119" s="11" customFormat="1" ht="13" x14ac:dyDescent="0.3">
      <c r="B80" s="11" t="s">
        <v>181</v>
      </c>
      <c r="C80" s="39">
        <f>C78+C79</f>
        <v>6140</v>
      </c>
      <c r="D80" s="39">
        <f>D78+D79</f>
        <v>6563</v>
      </c>
      <c r="E80" s="39"/>
      <c r="F80" s="39"/>
      <c r="G80" s="39">
        <f>G78+G79</f>
        <v>6660</v>
      </c>
      <c r="H80" s="39">
        <f>H78+H79</f>
        <v>6992</v>
      </c>
      <c r="I80" s="39"/>
      <c r="J80" s="39"/>
      <c r="K80" s="39">
        <f t="shared" ref="K80:Z80" si="92">SUM(K4:K69)</f>
        <v>7035</v>
      </c>
      <c r="L80" s="39">
        <f t="shared" si="92"/>
        <v>7081</v>
      </c>
      <c r="M80" s="39">
        <f t="shared" si="92"/>
        <v>6901</v>
      </c>
      <c r="N80" s="39">
        <f t="shared" si="92"/>
        <v>7356</v>
      </c>
      <c r="O80" s="39">
        <f t="shared" si="92"/>
        <v>7177</v>
      </c>
      <c r="P80" s="39">
        <f t="shared" si="92"/>
        <v>6939</v>
      </c>
      <c r="Q80" s="39">
        <f t="shared" si="92"/>
        <v>7025</v>
      </c>
      <c r="R80" s="39">
        <f t="shared" si="92"/>
        <v>6911</v>
      </c>
      <c r="S80" s="39">
        <f t="shared" si="92"/>
        <v>6919</v>
      </c>
      <c r="T80" s="39">
        <f t="shared" si="92"/>
        <v>6689</v>
      </c>
      <c r="U80" s="39">
        <f t="shared" si="92"/>
        <v>6853</v>
      </c>
      <c r="V80" s="39">
        <f t="shared" si="92"/>
        <v>7089</v>
      </c>
      <c r="W80" s="39">
        <f t="shared" si="92"/>
        <v>7107</v>
      </c>
      <c r="X80" s="39">
        <f t="shared" si="92"/>
        <v>7442</v>
      </c>
      <c r="Y80" s="39">
        <f t="shared" si="92"/>
        <v>7400</v>
      </c>
      <c r="Z80" s="39">
        <f t="shared" si="92"/>
        <v>7361</v>
      </c>
      <c r="AA80" s="39">
        <f>SUM(AA4:AA77)</f>
        <v>7898</v>
      </c>
      <c r="AB80" s="39">
        <f>SUM(AB4:AB69)</f>
        <v>7783</v>
      </c>
      <c r="AC80" s="39">
        <f>SUM(AC4:AC69)</f>
        <v>7821</v>
      </c>
      <c r="AD80" s="39">
        <f>SUM(AD4:AD69)</f>
        <v>7395</v>
      </c>
      <c r="AE80" s="39">
        <f t="shared" ref="AE80:AM80" si="93">SUM(AE4:AE77)</f>
        <v>7779</v>
      </c>
      <c r="AF80" s="39">
        <f t="shared" si="93"/>
        <v>7875</v>
      </c>
      <c r="AG80" s="39">
        <f t="shared" si="93"/>
        <v>7853</v>
      </c>
      <c r="AH80" s="39">
        <f t="shared" si="93"/>
        <v>7495.4</v>
      </c>
      <c r="AI80" s="39">
        <f t="shared" si="93"/>
        <v>54</v>
      </c>
      <c r="AJ80" s="39">
        <f t="shared" si="93"/>
        <v>0</v>
      </c>
      <c r="AK80" s="39">
        <f t="shared" si="93"/>
        <v>0</v>
      </c>
      <c r="AL80" s="39">
        <f t="shared" si="93"/>
        <v>0</v>
      </c>
      <c r="AM80" s="39">
        <f t="shared" si="93"/>
        <v>0</v>
      </c>
      <c r="AN80" s="39">
        <f>SUM(AN4:AN78)</f>
        <v>8073</v>
      </c>
      <c r="AO80" s="39">
        <f>SUM(AO4:AO78)</f>
        <v>8502</v>
      </c>
      <c r="AP80" s="39"/>
      <c r="AQ80" s="39"/>
      <c r="AR80" s="39">
        <f>SUM(AR4:AR78)</f>
        <v>8075</v>
      </c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62">
        <f>SUM(BK3:BK79)</f>
        <v>8391</v>
      </c>
      <c r="BL80" s="62">
        <f>SUM(BL3:BL79)</f>
        <v>0</v>
      </c>
      <c r="BM80" s="62">
        <f>SUM(BM3:BM79)</f>
        <v>0</v>
      </c>
      <c r="BN80" s="62">
        <f>SUM(BN3:BN79)</f>
        <v>0</v>
      </c>
      <c r="BO80" s="62">
        <f t="shared" ref="BO80:BX80" si="94">SUM(BO3:BO79)</f>
        <v>8973</v>
      </c>
      <c r="BP80" s="62">
        <f t="shared" si="94"/>
        <v>8207</v>
      </c>
      <c r="BQ80" s="62">
        <f t="shared" si="94"/>
        <v>9479</v>
      </c>
      <c r="BR80" s="62">
        <f t="shared" si="94"/>
        <v>9382</v>
      </c>
      <c r="BS80" s="62">
        <f t="shared" si="94"/>
        <v>8591</v>
      </c>
      <c r="BT80" s="62">
        <f t="shared" si="94"/>
        <v>8744</v>
      </c>
      <c r="BU80" s="62">
        <f t="shared" si="94"/>
        <v>10432</v>
      </c>
      <c r="BV80" s="62">
        <f t="shared" si="94"/>
        <v>9994</v>
      </c>
      <c r="BW80" s="62">
        <f t="shared" si="94"/>
        <v>9673</v>
      </c>
      <c r="BX80" s="62">
        <f t="shared" si="94"/>
        <v>10116</v>
      </c>
      <c r="BY80" s="62">
        <f t="shared" ref="BY80:CM80" si="95">SUM(BY3:BY79)</f>
        <v>12482</v>
      </c>
      <c r="BZ80" s="62">
        <f>SUM(BZ3:BZ79)</f>
        <v>10724</v>
      </c>
      <c r="CA80" s="62">
        <f t="shared" si="95"/>
        <v>10221</v>
      </c>
      <c r="CB80" s="62">
        <f t="shared" si="95"/>
        <v>9965</v>
      </c>
      <c r="CC80" s="62">
        <f t="shared" si="95"/>
        <v>11964</v>
      </c>
      <c r="CD80" s="62">
        <f>SUM(CD3:CD79)</f>
        <v>9704</v>
      </c>
      <c r="CE80" s="62">
        <f>SUM(CE3:CE79)</f>
        <v>10464</v>
      </c>
      <c r="CF80" s="62">
        <f t="shared" si="95"/>
        <v>10745</v>
      </c>
      <c r="CG80" s="62">
        <f t="shared" si="95"/>
        <v>13439</v>
      </c>
      <c r="CH80" s="62">
        <f>SUM(CH3:CH79)</f>
        <v>10563</v>
      </c>
      <c r="CI80" s="62">
        <f t="shared" si="95"/>
        <v>9896</v>
      </c>
      <c r="CJ80" s="62">
        <f t="shared" si="95"/>
        <v>10328.43</v>
      </c>
      <c r="CK80" s="62">
        <f t="shared" si="95"/>
        <v>12260.529999999999</v>
      </c>
      <c r="CL80" s="62">
        <f t="shared" si="95"/>
        <v>10767.89</v>
      </c>
      <c r="CM80" s="62">
        <f t="shared" si="95"/>
        <v>10323</v>
      </c>
      <c r="CN80" s="62"/>
      <c r="CO80" s="62"/>
      <c r="CP80" s="62"/>
      <c r="CQ80" s="39"/>
      <c r="CR80" s="45"/>
      <c r="CS80" s="45"/>
      <c r="CT80" s="45"/>
      <c r="CU80" s="39">
        <f>SUM(CU4:CU69)</f>
        <v>28373</v>
      </c>
      <c r="CV80" s="39">
        <f>SUM(CV4:CV69)</f>
        <v>28052</v>
      </c>
      <c r="CW80" s="39">
        <f>SUM(CW4:CW69)</f>
        <v>27550</v>
      </c>
      <c r="CX80" s="39">
        <f>SUM(CX4:CX69)</f>
        <v>29310</v>
      </c>
      <c r="CY80" s="39">
        <f>SUM(CY4:CY69)</f>
        <v>30415</v>
      </c>
      <c r="CZ80" s="39">
        <f t="shared" ref="CZ80:DF80" si="96">SUM(CZ4:CZ77)</f>
        <v>30145.23</v>
      </c>
      <c r="DA80" s="39">
        <f t="shared" si="96"/>
        <v>29130.449300000004</v>
      </c>
      <c r="DB80" s="39">
        <f t="shared" si="96"/>
        <v>27509.208572000003</v>
      </c>
      <c r="DC80" s="39">
        <f t="shared" si="96"/>
        <v>26261.69246577</v>
      </c>
      <c r="DD80" s="39">
        <f t="shared" si="96"/>
        <v>25739.669793202305</v>
      </c>
      <c r="DE80" s="39">
        <f t="shared" si="96"/>
        <v>24572.232721612385</v>
      </c>
      <c r="DF80" s="39">
        <f t="shared" si="96"/>
        <v>22307.744321120292</v>
      </c>
      <c r="DM80" s="77">
        <f>SUM(DM3:DM78)</f>
        <v>41109</v>
      </c>
      <c r="DN80" s="77">
        <f>SUM(DN3:DN78)</f>
        <v>15764.399999999998</v>
      </c>
      <c r="DO80" s="77">
        <f>SUM(DO3:DO78)</f>
        <v>17340.84</v>
      </c>
    </row>
    <row r="81" spans="2:173" x14ac:dyDescent="0.25">
      <c r="B81" s="1" t="s">
        <v>2</v>
      </c>
      <c r="C81" s="23">
        <f>3379-D81</f>
        <v>1625</v>
      </c>
      <c r="D81" s="23">
        <v>1754</v>
      </c>
      <c r="G81" s="23">
        <f>3418-H81</f>
        <v>1697</v>
      </c>
      <c r="H81" s="23">
        <v>1721</v>
      </c>
      <c r="M81" s="23">
        <v>1840</v>
      </c>
      <c r="N81" s="23">
        <v>1957</v>
      </c>
      <c r="O81" s="23">
        <v>1864</v>
      </c>
      <c r="P81" s="23">
        <v>1840</v>
      </c>
      <c r="Q81" s="23">
        <v>1903</v>
      </c>
      <c r="R81" s="23">
        <v>1964</v>
      </c>
      <c r="S81" s="23">
        <v>1889</v>
      </c>
      <c r="T81" s="23">
        <v>1726</v>
      </c>
      <c r="U81" s="23">
        <v>1793</v>
      </c>
      <c r="V81" s="23">
        <v>1927</v>
      </c>
      <c r="W81" s="23">
        <v>1767</v>
      </c>
      <c r="X81" s="23">
        <f>3600-W81</f>
        <v>1833</v>
      </c>
      <c r="Y81" s="23">
        <v>2028</v>
      </c>
      <c r="Z81" s="23">
        <v>2225</v>
      </c>
      <c r="AA81" s="23">
        <f>2025</f>
        <v>2025</v>
      </c>
      <c r="AB81" s="23">
        <v>2058</v>
      </c>
      <c r="AC81" s="23">
        <v>2296</v>
      </c>
      <c r="AD81" s="23">
        <v>2310</v>
      </c>
      <c r="AE81" s="23">
        <v>2362</v>
      </c>
      <c r="AF81" s="23">
        <f>+AF80-AF82</f>
        <v>1890</v>
      </c>
      <c r="AG81" s="23">
        <f t="shared" ref="AG81:AH81" si="97">+AG80-AG82</f>
        <v>1884.7200000000003</v>
      </c>
      <c r="AH81" s="23">
        <f t="shared" si="97"/>
        <v>1798.8959999999997</v>
      </c>
      <c r="AI81" s="23"/>
      <c r="AJ81" s="23"/>
      <c r="AK81" s="23"/>
      <c r="AL81" s="23"/>
      <c r="AM81" s="23"/>
      <c r="AN81" s="23">
        <v>2672</v>
      </c>
      <c r="AO81" s="23">
        <v>2873</v>
      </c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54"/>
      <c r="BL81" s="54"/>
      <c r="BM81" s="54"/>
      <c r="BN81" s="54"/>
      <c r="BO81" s="54">
        <f>2847-343</f>
        <v>2504</v>
      </c>
      <c r="BP81" s="54">
        <f>2660-231</f>
        <v>2429</v>
      </c>
      <c r="BQ81" s="54">
        <f>3159-400</f>
        <v>2759</v>
      </c>
      <c r="BR81" s="54">
        <f>3439-354</f>
        <v>3085</v>
      </c>
      <c r="BS81" s="54">
        <f>2684-295</f>
        <v>2389</v>
      </c>
      <c r="BT81" s="54">
        <f>2858-301</f>
        <v>2557</v>
      </c>
      <c r="BU81" s="54">
        <f>3238-397</f>
        <v>2841</v>
      </c>
      <c r="BV81" s="54">
        <f>3471-421</f>
        <v>3050</v>
      </c>
      <c r="BW81" s="54">
        <f>2878-379</f>
        <v>2499</v>
      </c>
      <c r="BX81" s="54">
        <f>3249-626</f>
        <v>2623</v>
      </c>
      <c r="BY81" s="54">
        <f>3831-656</f>
        <v>3175</v>
      </c>
      <c r="BZ81" s="54">
        <f>3734-731</f>
        <v>3003</v>
      </c>
      <c r="CA81" s="54">
        <f>3079-641</f>
        <v>2438</v>
      </c>
      <c r="CB81" s="54">
        <f>3263-717</f>
        <v>2546</v>
      </c>
      <c r="CC81" s="54">
        <f>3840-734</f>
        <v>3106</v>
      </c>
      <c r="CD81" s="54">
        <f>4034-1282</f>
        <v>2752</v>
      </c>
      <c r="CE81" s="54">
        <f>3424-654</f>
        <v>2770</v>
      </c>
      <c r="CF81" s="54">
        <f>3406-635</f>
        <v>2771</v>
      </c>
      <c r="CG81" s="54">
        <f>4085-719</f>
        <v>3366</v>
      </c>
      <c r="CH81" s="54">
        <f>3576-856</f>
        <v>2720</v>
      </c>
      <c r="CI81" s="54">
        <f>2888-711</f>
        <v>2177</v>
      </c>
      <c r="CJ81" s="54"/>
      <c r="CK81" s="54"/>
      <c r="CL81" s="54"/>
      <c r="CM81" s="54">
        <f>3056-735</f>
        <v>2321</v>
      </c>
      <c r="CN81" s="54"/>
      <c r="CO81" s="54"/>
      <c r="CP81" s="54"/>
      <c r="CQ81" s="23"/>
      <c r="CU81" s="23"/>
      <c r="CV81" s="23"/>
      <c r="CW81" s="23">
        <f t="shared" ref="CW81:DE81" si="98">CW80-CW82</f>
        <v>6086</v>
      </c>
      <c r="CX81" s="23">
        <f>CX80-CX82</f>
        <v>6410</v>
      </c>
      <c r="CY81" s="23">
        <f>CY80-CY82</f>
        <v>6995.4500000000007</v>
      </c>
      <c r="CZ81" s="23">
        <f>CZ80-CZ82</f>
        <v>7234.8551999999981</v>
      </c>
      <c r="DA81" s="23">
        <f t="shared" si="98"/>
        <v>6991.3078320000022</v>
      </c>
      <c r="DB81" s="23">
        <f t="shared" si="98"/>
        <v>6877.3021430000008</v>
      </c>
      <c r="DC81" s="23">
        <f t="shared" si="98"/>
        <v>6565.4231164425</v>
      </c>
      <c r="DD81" s="23">
        <f t="shared" si="98"/>
        <v>6434.9174483005772</v>
      </c>
      <c r="DE81" s="23">
        <f t="shared" si="98"/>
        <v>6143.0581804030953</v>
      </c>
      <c r="DF81" s="23">
        <f t="shared" ref="DF81" si="99">DF80-DF82</f>
        <v>5576.9360802800729</v>
      </c>
    </row>
    <row r="82" spans="2:173" x14ac:dyDescent="0.25">
      <c r="B82" s="1" t="s">
        <v>168</v>
      </c>
      <c r="C82" s="23">
        <f>C80-C81</f>
        <v>4515</v>
      </c>
      <c r="D82" s="23">
        <f>D80-D81</f>
        <v>4809</v>
      </c>
      <c r="G82" s="23">
        <f>G80-G81</f>
        <v>4963</v>
      </c>
      <c r="H82" s="23">
        <f>H80-H81</f>
        <v>5271</v>
      </c>
      <c r="M82" s="23">
        <f t="shared" ref="M82:AE82" si="100">M80-M81+M78</f>
        <v>5302</v>
      </c>
      <c r="N82" s="23">
        <f t="shared" si="100"/>
        <v>5627</v>
      </c>
      <c r="O82" s="23">
        <f t="shared" si="100"/>
        <v>5569</v>
      </c>
      <c r="P82" s="23">
        <f t="shared" si="100"/>
        <v>5390</v>
      </c>
      <c r="Q82" s="23">
        <f t="shared" si="100"/>
        <v>5420</v>
      </c>
      <c r="R82" s="23">
        <f t="shared" si="100"/>
        <v>5257</v>
      </c>
      <c r="S82" s="23">
        <f t="shared" si="100"/>
        <v>5314</v>
      </c>
      <c r="T82" s="23">
        <f t="shared" si="100"/>
        <v>5249</v>
      </c>
      <c r="U82" s="23">
        <f t="shared" si="100"/>
        <v>5372</v>
      </c>
      <c r="V82" s="23">
        <f t="shared" si="100"/>
        <v>5529</v>
      </c>
      <c r="W82" s="23">
        <f t="shared" si="100"/>
        <v>5684</v>
      </c>
      <c r="X82" s="23">
        <f t="shared" si="100"/>
        <v>5968</v>
      </c>
      <c r="Y82" s="23">
        <f t="shared" si="100"/>
        <v>5744</v>
      </c>
      <c r="Z82" s="23">
        <f t="shared" si="100"/>
        <v>5504</v>
      </c>
      <c r="AA82" s="23">
        <f t="shared" si="100"/>
        <v>6263</v>
      </c>
      <c r="AB82" s="23">
        <f t="shared" si="100"/>
        <v>6133</v>
      </c>
      <c r="AC82" s="23">
        <f t="shared" si="100"/>
        <v>5963</v>
      </c>
      <c r="AD82" s="23">
        <f t="shared" si="100"/>
        <v>5500</v>
      </c>
      <c r="AE82" s="23">
        <f t="shared" si="100"/>
        <v>5830</v>
      </c>
      <c r="AF82" s="23">
        <f>+AF80*AF97</f>
        <v>5985</v>
      </c>
      <c r="AG82" s="23">
        <f t="shared" ref="AG82:AH82" si="101">+AG80*AG97</f>
        <v>5968.28</v>
      </c>
      <c r="AH82" s="23">
        <f t="shared" si="101"/>
        <v>5696.5039999999999</v>
      </c>
      <c r="AI82" s="23"/>
      <c r="AJ82" s="23"/>
      <c r="AK82" s="23"/>
      <c r="AL82" s="23"/>
      <c r="AM82" s="23"/>
      <c r="AN82" s="23">
        <f t="shared" ref="AN82" si="102">+AN80-AN81</f>
        <v>5401</v>
      </c>
      <c r="AO82" s="23">
        <f>+AO80-AO81</f>
        <v>5629</v>
      </c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54"/>
      <c r="BL82" s="54"/>
      <c r="BM82" s="54"/>
      <c r="BN82" s="54"/>
      <c r="BO82" s="54">
        <f t="shared" ref="BO82" si="103">BO80-BO81</f>
        <v>6469</v>
      </c>
      <c r="BP82" s="54">
        <f t="shared" ref="BP82" si="104">BP80-BP81</f>
        <v>5778</v>
      </c>
      <c r="BQ82" s="54">
        <f t="shared" ref="BQ82:BR82" si="105">BQ80-BQ81</f>
        <v>6720</v>
      </c>
      <c r="BR82" s="54">
        <f t="shared" si="105"/>
        <v>6297</v>
      </c>
      <c r="BS82" s="54">
        <f t="shared" ref="BS82:BX82" si="106">BS80-BS81</f>
        <v>6202</v>
      </c>
      <c r="BT82" s="54">
        <f t="shared" si="106"/>
        <v>6187</v>
      </c>
      <c r="BU82" s="54">
        <f t="shared" si="106"/>
        <v>7591</v>
      </c>
      <c r="BV82" s="54">
        <f t="shared" si="106"/>
        <v>6944</v>
      </c>
      <c r="BW82" s="54">
        <f t="shared" si="106"/>
        <v>7174</v>
      </c>
      <c r="BX82" s="54">
        <f t="shared" si="106"/>
        <v>7493</v>
      </c>
      <c r="BY82" s="54">
        <f t="shared" ref="BY82:CE82" si="107">+BY80-BY81</f>
        <v>9307</v>
      </c>
      <c r="BZ82" s="54">
        <f t="shared" si="107"/>
        <v>7721</v>
      </c>
      <c r="CA82" s="54">
        <f t="shared" si="107"/>
        <v>7783</v>
      </c>
      <c r="CB82" s="54">
        <f t="shared" si="107"/>
        <v>7419</v>
      </c>
      <c r="CC82" s="54">
        <f t="shared" si="107"/>
        <v>8858</v>
      </c>
      <c r="CD82" s="54">
        <f t="shared" si="107"/>
        <v>6952</v>
      </c>
      <c r="CE82" s="54">
        <f t="shared" si="107"/>
        <v>7694</v>
      </c>
      <c r="CF82" s="54">
        <f>CF80-CF81</f>
        <v>7974</v>
      </c>
      <c r="CG82" s="54">
        <f>CG80-CG81</f>
        <v>10073</v>
      </c>
      <c r="CH82" s="54">
        <f>+CH80-CH81</f>
        <v>7843</v>
      </c>
      <c r="CI82" s="54">
        <f>+CI80-CI81</f>
        <v>7719</v>
      </c>
      <c r="CJ82" s="54"/>
      <c r="CK82" s="54"/>
      <c r="CL82" s="54"/>
      <c r="CM82" s="54">
        <f>+CM80-CM81</f>
        <v>8002</v>
      </c>
      <c r="CN82" s="54"/>
      <c r="CO82" s="54"/>
      <c r="CP82" s="54"/>
      <c r="CQ82" s="23"/>
      <c r="CU82" s="23"/>
      <c r="CV82" s="23"/>
      <c r="CW82" s="23">
        <f>SUM(S82:V82)</f>
        <v>21464</v>
      </c>
      <c r="CX82" s="23">
        <f>SUM(W82:Z82)</f>
        <v>22900</v>
      </c>
      <c r="CY82" s="23">
        <f>CY80*CY97</f>
        <v>23419.55</v>
      </c>
      <c r="CZ82" s="23">
        <f>CZ80*CZ97</f>
        <v>22910.374800000001</v>
      </c>
      <c r="DA82" s="23">
        <f t="shared" ref="DA82:DB82" si="108">DA80*DA97</f>
        <v>22139.141468000002</v>
      </c>
      <c r="DB82" s="23">
        <f t="shared" si="108"/>
        <v>20631.906429000002</v>
      </c>
      <c r="DC82" s="23">
        <f>DC80*DC97</f>
        <v>19696.2693493275</v>
      </c>
      <c r="DD82" s="23">
        <f>DD80*DD97</f>
        <v>19304.752344901728</v>
      </c>
      <c r="DE82" s="23">
        <f>DE80*DE97</f>
        <v>18429.17454120929</v>
      </c>
      <c r="DF82" s="23">
        <f>DF80*DF97</f>
        <v>16730.808240840219</v>
      </c>
    </row>
    <row r="83" spans="2:173" x14ac:dyDescent="0.25">
      <c r="B83" s="1" t="s">
        <v>3</v>
      </c>
      <c r="C83" s="23">
        <f>1909-D83</f>
        <v>920</v>
      </c>
      <c r="D83" s="23">
        <v>989</v>
      </c>
      <c r="G83" s="23">
        <f>1902-H83</f>
        <v>923</v>
      </c>
      <c r="H83" s="23">
        <v>979</v>
      </c>
      <c r="M83" s="23">
        <v>1075</v>
      </c>
      <c r="N83" s="23">
        <v>1211</v>
      </c>
      <c r="O83" s="23">
        <v>1081</v>
      </c>
      <c r="P83" s="23">
        <v>1101</v>
      </c>
      <c r="Q83" s="23">
        <v>1084</v>
      </c>
      <c r="R83" s="23">
        <v>1271</v>
      </c>
      <c r="S83" s="23">
        <v>1089</v>
      </c>
      <c r="T83" s="23">
        <v>1091</v>
      </c>
      <c r="U83" s="23">
        <v>1089</v>
      </c>
      <c r="V83" s="23">
        <v>1306</v>
      </c>
      <c r="W83" s="23">
        <v>1152</v>
      </c>
      <c r="X83" s="23">
        <f>2260-W83</f>
        <v>1108</v>
      </c>
      <c r="Y83" s="23">
        <v>1109</v>
      </c>
      <c r="Z83" s="23">
        <v>1214</v>
      </c>
      <c r="AA83" s="23">
        <v>1110</v>
      </c>
      <c r="AB83" s="23">
        <v>1080</v>
      </c>
      <c r="AC83" s="23">
        <v>1085</v>
      </c>
      <c r="AD83" s="23">
        <v>1126</v>
      </c>
      <c r="AE83" s="23">
        <v>1100</v>
      </c>
      <c r="AF83" s="23"/>
      <c r="AG83" s="23"/>
      <c r="AH83" s="23"/>
      <c r="AI83" s="23"/>
      <c r="AJ83" s="23"/>
      <c r="AK83" s="23"/>
      <c r="AL83" s="23"/>
      <c r="AM83" s="23"/>
      <c r="AN83" s="23">
        <v>1186</v>
      </c>
      <c r="AO83" s="23">
        <v>1183</v>
      </c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54"/>
      <c r="BL83" s="54"/>
      <c r="BM83" s="54"/>
      <c r="BN83" s="54"/>
      <c r="BO83" s="54">
        <v>1340</v>
      </c>
      <c r="BP83" s="54">
        <v>1352</v>
      </c>
      <c r="BQ83" s="54">
        <v>1321</v>
      </c>
      <c r="BR83" s="54">
        <v>1516</v>
      </c>
      <c r="BS83" s="54">
        <v>1267</v>
      </c>
      <c r="BT83" s="54">
        <v>1396</v>
      </c>
      <c r="BU83" s="54">
        <v>1443</v>
      </c>
      <c r="BV83" s="54">
        <v>1585</v>
      </c>
      <c r="BW83" s="54">
        <v>1489</v>
      </c>
      <c r="BX83" s="54">
        <v>1658</v>
      </c>
      <c r="BY83" s="54">
        <v>1736</v>
      </c>
      <c r="BZ83" s="54">
        <v>1823</v>
      </c>
      <c r="CA83" s="54">
        <v>1563</v>
      </c>
      <c r="CB83" s="54">
        <v>1630</v>
      </c>
      <c r="CC83" s="54">
        <v>1663</v>
      </c>
      <c r="CD83" s="54">
        <v>1872</v>
      </c>
      <c r="CE83" s="54">
        <v>1719</v>
      </c>
      <c r="CF83" s="54">
        <v>1704</v>
      </c>
      <c r="CG83" s="54">
        <v>1852</v>
      </c>
      <c r="CH83" s="54">
        <v>2257</v>
      </c>
      <c r="CI83" s="54">
        <v>1808</v>
      </c>
      <c r="CJ83" s="54"/>
      <c r="CK83" s="54"/>
      <c r="CL83" s="54"/>
      <c r="CM83" s="54">
        <v>1747</v>
      </c>
      <c r="CN83" s="54"/>
      <c r="CO83" s="54"/>
      <c r="CP83" s="54"/>
      <c r="CQ83" s="23"/>
      <c r="CU83" s="23"/>
      <c r="CV83" s="23">
        <f>SUM(O83:R83)</f>
        <v>4537</v>
      </c>
      <c r="CW83" s="23">
        <f>SUM(S83:V83)</f>
        <v>4575</v>
      </c>
      <c r="CX83" s="23">
        <f>SUM(W83:Z83)</f>
        <v>4583</v>
      </c>
      <c r="CY83" s="23">
        <f>SUM(AA83:AD83)</f>
        <v>4401</v>
      </c>
      <c r="CZ83" s="23">
        <f>SUM(AE83:AH83)</f>
        <v>1100</v>
      </c>
      <c r="DA83" s="23"/>
      <c r="DB83" s="23"/>
      <c r="DC83" s="23"/>
      <c r="DD83" s="23"/>
      <c r="DE83" s="23"/>
      <c r="DF83" s="23"/>
    </row>
    <row r="84" spans="2:173" x14ac:dyDescent="0.25">
      <c r="B84" s="1" t="s">
        <v>4</v>
      </c>
      <c r="C84" s="23">
        <f>3911-D84</f>
        <v>1906</v>
      </c>
      <c r="D84" s="23">
        <v>2005</v>
      </c>
      <c r="G84" s="23">
        <f>3949-H84</f>
        <v>1920</v>
      </c>
      <c r="H84" s="23">
        <v>2029</v>
      </c>
      <c r="M84" s="23">
        <v>1806</v>
      </c>
      <c r="N84" s="23">
        <v>2153</v>
      </c>
      <c r="O84" s="23">
        <v>1873</v>
      </c>
      <c r="P84" s="23">
        <v>1931</v>
      </c>
      <c r="Q84" s="23">
        <v>1754</v>
      </c>
      <c r="R84" s="23">
        <v>1996</v>
      </c>
      <c r="S84" s="23">
        <v>1783</v>
      </c>
      <c r="T84" s="23">
        <v>1789</v>
      </c>
      <c r="U84" s="23">
        <v>1651</v>
      </c>
      <c r="V84" s="23">
        <v>1945</v>
      </c>
      <c r="W84" s="23">
        <v>1732</v>
      </c>
      <c r="X84" s="23">
        <f>3627-W84</f>
        <v>1895</v>
      </c>
      <c r="Y84" s="23">
        <v>1707</v>
      </c>
      <c r="Z84" s="23">
        <v>1991</v>
      </c>
      <c r="AA84" s="23">
        <v>1701</v>
      </c>
      <c r="AB84" s="23">
        <v>1958</v>
      </c>
      <c r="AC84" s="23">
        <v>1851</v>
      </c>
      <c r="AD84" s="23">
        <v>2057</v>
      </c>
      <c r="AE84" s="23">
        <v>1933</v>
      </c>
      <c r="AF84" s="23"/>
      <c r="AG84" s="23"/>
      <c r="AH84" s="23"/>
      <c r="AI84" s="23"/>
      <c r="AJ84" s="23"/>
      <c r="AK84" s="23"/>
      <c r="AL84" s="23"/>
      <c r="AM84" s="23"/>
      <c r="AN84" s="23">
        <v>2309</v>
      </c>
      <c r="AO84" s="23">
        <v>2016</v>
      </c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54"/>
      <c r="BL84" s="54"/>
      <c r="BM84" s="54"/>
      <c r="BN84" s="54"/>
      <c r="BO84" s="54">
        <v>2342</v>
      </c>
      <c r="BP84" s="54">
        <v>2265</v>
      </c>
      <c r="BQ84" s="54">
        <v>2182</v>
      </c>
      <c r="BR84" s="54">
        <v>2602</v>
      </c>
      <c r="BS84" s="54">
        <v>2194</v>
      </c>
      <c r="BT84" s="54">
        <v>2337</v>
      </c>
      <c r="BU84" s="54">
        <v>2267</v>
      </c>
      <c r="BV84" s="54">
        <v>2758</v>
      </c>
      <c r="BW84" s="54">
        <v>2379</v>
      </c>
      <c r="BX84" s="54">
        <v>2574</v>
      </c>
      <c r="BY84" s="54">
        <v>2644</v>
      </c>
      <c r="BZ84" s="54">
        <v>2895</v>
      </c>
      <c r="CA84" s="54">
        <v>2607</v>
      </c>
      <c r="CB84" s="54">
        <v>2575</v>
      </c>
      <c r="CC84" s="54">
        <v>2579</v>
      </c>
      <c r="CD84" s="54">
        <v>2931</v>
      </c>
      <c r="CE84" s="54">
        <v>2605</v>
      </c>
      <c r="CF84" s="54">
        <v>2655</v>
      </c>
      <c r="CG84" s="54">
        <v>2681</v>
      </c>
      <c r="CH84" s="54">
        <v>2648</v>
      </c>
      <c r="CI84" s="54">
        <v>2222</v>
      </c>
      <c r="CJ84" s="54"/>
      <c r="CK84" s="54"/>
      <c r="CL84" s="54"/>
      <c r="CM84" s="54">
        <v>2327</v>
      </c>
      <c r="CN84" s="54"/>
      <c r="CO84" s="54"/>
      <c r="CP84" s="54"/>
      <c r="CQ84" s="23"/>
      <c r="CU84" s="23"/>
      <c r="CV84" s="23">
        <f>SUM(O84:R84)</f>
        <v>7554</v>
      </c>
      <c r="CW84" s="23">
        <f>SUM(S84:V84)</f>
        <v>7168</v>
      </c>
      <c r="CX84" s="23">
        <f>SUM(W84:Z84)</f>
        <v>7325</v>
      </c>
      <c r="CY84" s="23">
        <f>SUM(AA84:AD84)</f>
        <v>7567</v>
      </c>
      <c r="CZ84" s="23">
        <f>SUM(AE84:AH84)</f>
        <v>1933</v>
      </c>
      <c r="DA84" s="23">
        <f t="shared" ref="DA84:DB84" si="109">CZ84</f>
        <v>1933</v>
      </c>
      <c r="DB84" s="23">
        <f t="shared" si="109"/>
        <v>1933</v>
      </c>
      <c r="DC84" s="23">
        <f>DB84</f>
        <v>1933</v>
      </c>
      <c r="DD84" s="23">
        <f>DC84</f>
        <v>1933</v>
      </c>
      <c r="DE84" s="23">
        <f>DD84</f>
        <v>1933</v>
      </c>
      <c r="DF84" s="23">
        <f>DE84</f>
        <v>1933</v>
      </c>
    </row>
    <row r="85" spans="2:173" x14ac:dyDescent="0.25">
      <c r="B85" s="1" t="s">
        <v>164</v>
      </c>
      <c r="C85" s="23">
        <f>(-89+48-194)-D85</f>
        <v>-151</v>
      </c>
      <c r="D85" s="23">
        <f>-48+21-57</f>
        <v>-84</v>
      </c>
      <c r="G85" s="23">
        <f>-76-H85</f>
        <v>-67</v>
      </c>
      <c r="H85" s="23">
        <f>-56+37+10</f>
        <v>-9</v>
      </c>
      <c r="M85" s="23">
        <f t="shared" ref="M85:W85" si="110">M84+M83</f>
        <v>2881</v>
      </c>
      <c r="N85" s="23">
        <f t="shared" si="110"/>
        <v>3364</v>
      </c>
      <c r="O85" s="23">
        <f t="shared" si="110"/>
        <v>2954</v>
      </c>
      <c r="P85" s="23">
        <f t="shared" si="110"/>
        <v>3032</v>
      </c>
      <c r="Q85" s="23">
        <f t="shared" si="110"/>
        <v>2838</v>
      </c>
      <c r="R85" s="23">
        <f t="shared" si="110"/>
        <v>3267</v>
      </c>
      <c r="S85" s="23">
        <f t="shared" si="110"/>
        <v>2872</v>
      </c>
      <c r="T85" s="23">
        <f t="shared" si="110"/>
        <v>2880</v>
      </c>
      <c r="U85" s="23">
        <f>U84+U83</f>
        <v>2740</v>
      </c>
      <c r="V85" s="23">
        <f t="shared" si="110"/>
        <v>3251</v>
      </c>
      <c r="W85" s="23">
        <f t="shared" si="110"/>
        <v>2884</v>
      </c>
      <c r="X85" s="23">
        <f t="shared" ref="X85:Y85" si="111">X84+X83</f>
        <v>3003</v>
      </c>
      <c r="Y85" s="23">
        <f t="shared" si="111"/>
        <v>2816</v>
      </c>
      <c r="Z85" s="23">
        <f t="shared" ref="Z85:AA85" si="112">Z84+Z83</f>
        <v>3205</v>
      </c>
      <c r="AA85" s="23">
        <f t="shared" si="112"/>
        <v>2811</v>
      </c>
      <c r="AB85" s="23">
        <f t="shared" ref="AB85:AC85" si="113">AB84+AB83</f>
        <v>3038</v>
      </c>
      <c r="AC85" s="23">
        <f t="shared" si="113"/>
        <v>2936</v>
      </c>
      <c r="AD85" s="23">
        <f>AD84+AD83</f>
        <v>3183</v>
      </c>
      <c r="AE85" s="23">
        <f t="shared" ref="AE85:AF85" si="114">AE84+AE83</f>
        <v>3033</v>
      </c>
      <c r="AF85" s="23">
        <f t="shared" si="114"/>
        <v>0</v>
      </c>
      <c r="AG85" s="23">
        <f t="shared" ref="AG85:AH85" si="115">AG84+AG83</f>
        <v>0</v>
      </c>
      <c r="AH85" s="23">
        <f t="shared" si="115"/>
        <v>0</v>
      </c>
      <c r="AI85" s="23">
        <f t="shared" ref="AI85:AO85" si="116">AI84+AI83</f>
        <v>0</v>
      </c>
      <c r="AJ85" s="23">
        <f t="shared" si="116"/>
        <v>0</v>
      </c>
      <c r="AK85" s="23">
        <f t="shared" si="116"/>
        <v>0</v>
      </c>
      <c r="AL85" s="23">
        <f t="shared" si="116"/>
        <v>0</v>
      </c>
      <c r="AM85" s="23">
        <f t="shared" si="116"/>
        <v>0</v>
      </c>
      <c r="AN85" s="23">
        <f t="shared" si="116"/>
        <v>3495</v>
      </c>
      <c r="AO85" s="23">
        <f t="shared" si="116"/>
        <v>3199</v>
      </c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54"/>
      <c r="BL85" s="54"/>
      <c r="BM85" s="54"/>
      <c r="BN85" s="54"/>
      <c r="BO85" s="54">
        <f t="shared" ref="BO85" si="117">BO83+BO84</f>
        <v>3682</v>
      </c>
      <c r="BP85" s="54">
        <f t="shared" ref="BP85:BQ85" si="118">BP83+BP84</f>
        <v>3617</v>
      </c>
      <c r="BQ85" s="54">
        <f t="shared" si="118"/>
        <v>3503</v>
      </c>
      <c r="BR85" s="54">
        <f t="shared" ref="BR85:BV85" si="119">BR83+BR84</f>
        <v>4118</v>
      </c>
      <c r="BS85" s="54">
        <f t="shared" si="119"/>
        <v>3461</v>
      </c>
      <c r="BT85" s="54">
        <f t="shared" si="119"/>
        <v>3733</v>
      </c>
      <c r="BU85" s="54">
        <f t="shared" si="119"/>
        <v>3710</v>
      </c>
      <c r="BV85" s="54">
        <f t="shared" si="119"/>
        <v>4343</v>
      </c>
      <c r="BW85" s="54">
        <f>BW83+BW84</f>
        <v>3868</v>
      </c>
      <c r="BX85" s="54">
        <f>BX83+BX84</f>
        <v>4232</v>
      </c>
      <c r="BY85" s="54">
        <f t="shared" ref="BY85:CE85" si="120">BY84+BY83</f>
        <v>4380</v>
      </c>
      <c r="BZ85" s="54">
        <f t="shared" si="120"/>
        <v>4718</v>
      </c>
      <c r="CA85" s="54">
        <f t="shared" si="120"/>
        <v>4170</v>
      </c>
      <c r="CB85" s="54">
        <f t="shared" si="120"/>
        <v>4205</v>
      </c>
      <c r="CC85" s="54">
        <f t="shared" si="120"/>
        <v>4242</v>
      </c>
      <c r="CD85" s="54">
        <f t="shared" si="120"/>
        <v>4803</v>
      </c>
      <c r="CE85" s="54">
        <f t="shared" si="120"/>
        <v>4324</v>
      </c>
      <c r="CF85" s="54">
        <f>CF84+CF83</f>
        <v>4359</v>
      </c>
      <c r="CG85" s="54">
        <f>CG84+CG83</f>
        <v>4533</v>
      </c>
      <c r="CH85" s="54">
        <f t="shared" ref="CH85:CI85" si="121">CH84+CH83</f>
        <v>4905</v>
      </c>
      <c r="CI85" s="54">
        <f t="shared" si="121"/>
        <v>4030</v>
      </c>
      <c r="CJ85" s="54">
        <f t="shared" ref="CJ85:CM85" si="122">CJ84+CJ83</f>
        <v>0</v>
      </c>
      <c r="CK85" s="54">
        <f t="shared" si="122"/>
        <v>0</v>
      </c>
      <c r="CL85" s="54">
        <f t="shared" si="122"/>
        <v>0</v>
      </c>
      <c r="CM85" s="54">
        <f t="shared" si="122"/>
        <v>4074</v>
      </c>
      <c r="CN85" s="54"/>
      <c r="CO85" s="54"/>
      <c r="CP85" s="54"/>
      <c r="CQ85" s="23"/>
      <c r="CU85" s="23"/>
      <c r="CV85" s="23"/>
      <c r="CW85" s="23">
        <f t="shared" ref="CW85:DB85" si="123">CW83+CW84</f>
        <v>11743</v>
      </c>
      <c r="CX85" s="23">
        <f>CX83+CX84</f>
        <v>11908</v>
      </c>
      <c r="CY85" s="23">
        <f>CY83+CY84</f>
        <v>11968</v>
      </c>
      <c r="CZ85" s="23">
        <f>CZ83+CZ84</f>
        <v>3033</v>
      </c>
      <c r="DA85" s="23">
        <f t="shared" si="123"/>
        <v>1933</v>
      </c>
      <c r="DB85" s="23">
        <f t="shared" si="123"/>
        <v>1933</v>
      </c>
      <c r="DC85" s="23">
        <f>DC83+DC84</f>
        <v>1933</v>
      </c>
      <c r="DD85" s="23">
        <f>DD83+DD84</f>
        <v>1933</v>
      </c>
      <c r="DE85" s="23">
        <f>DE83+DE84</f>
        <v>1933</v>
      </c>
      <c r="DF85" s="23">
        <f>DF83+DF84</f>
        <v>1933</v>
      </c>
    </row>
    <row r="86" spans="2:173" x14ac:dyDescent="0.25">
      <c r="B86" s="1" t="s">
        <v>167</v>
      </c>
      <c r="C86" s="23">
        <f>C82-C83-C84-C85</f>
        <v>1840</v>
      </c>
      <c r="D86" s="23">
        <f>D82-D83-D84-D85</f>
        <v>1899</v>
      </c>
      <c r="G86" s="23">
        <f>G82-G83-G84-G85</f>
        <v>2187</v>
      </c>
      <c r="H86" s="23">
        <f>H82-H83-H84-H85</f>
        <v>2272</v>
      </c>
      <c r="M86" s="23">
        <f t="shared" ref="M86:W86" si="124">M82-M85</f>
        <v>2421</v>
      </c>
      <c r="N86" s="23">
        <f t="shared" si="124"/>
        <v>2263</v>
      </c>
      <c r="O86" s="23">
        <f t="shared" si="124"/>
        <v>2615</v>
      </c>
      <c r="P86" s="23">
        <f t="shared" si="124"/>
        <v>2358</v>
      </c>
      <c r="Q86" s="23">
        <f t="shared" si="124"/>
        <v>2582</v>
      </c>
      <c r="R86" s="23">
        <f t="shared" si="124"/>
        <v>1990</v>
      </c>
      <c r="S86" s="23">
        <f t="shared" si="124"/>
        <v>2442</v>
      </c>
      <c r="T86" s="23">
        <f t="shared" si="124"/>
        <v>2369</v>
      </c>
      <c r="U86" s="23">
        <f>U82-U85</f>
        <v>2632</v>
      </c>
      <c r="V86" s="23">
        <f t="shared" si="124"/>
        <v>2278</v>
      </c>
      <c r="W86" s="23">
        <f t="shared" si="124"/>
        <v>2800</v>
      </c>
      <c r="X86" s="23">
        <f>X82-X85</f>
        <v>2965</v>
      </c>
      <c r="Y86" s="23">
        <f>Y82-Y85</f>
        <v>2928</v>
      </c>
      <c r="Z86" s="23">
        <f>Z82-Z85</f>
        <v>2299</v>
      </c>
      <c r="AA86" s="23">
        <f>AA82-AA85</f>
        <v>3452</v>
      </c>
      <c r="AB86" s="23">
        <f t="shared" ref="AB86:AC86" si="125">AB82-AB85</f>
        <v>3095</v>
      </c>
      <c r="AC86" s="23">
        <f t="shared" si="125"/>
        <v>3027</v>
      </c>
      <c r="AD86" s="23">
        <f>AD82-AD85</f>
        <v>2317</v>
      </c>
      <c r="AE86" s="23">
        <f>AE82-AE85</f>
        <v>2797</v>
      </c>
      <c r="AF86" s="23">
        <f>AF82-AF85</f>
        <v>5985</v>
      </c>
      <c r="AG86" s="23">
        <f>AG82-AG85</f>
        <v>5968.28</v>
      </c>
      <c r="AH86" s="23">
        <f>AH82-AH85</f>
        <v>5696.5039999999999</v>
      </c>
      <c r="AI86" s="23">
        <f t="shared" ref="AI86:AO86" si="126">AI82-AI85</f>
        <v>0</v>
      </c>
      <c r="AJ86" s="23">
        <f t="shared" si="126"/>
        <v>0</v>
      </c>
      <c r="AK86" s="23">
        <f t="shared" si="126"/>
        <v>0</v>
      </c>
      <c r="AL86" s="23">
        <f t="shared" si="126"/>
        <v>0</v>
      </c>
      <c r="AM86" s="23">
        <f t="shared" si="126"/>
        <v>0</v>
      </c>
      <c r="AN86" s="23">
        <f t="shared" si="126"/>
        <v>1906</v>
      </c>
      <c r="AO86" s="23">
        <f t="shared" si="126"/>
        <v>2430</v>
      </c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54"/>
      <c r="BL86" s="54"/>
      <c r="BM86" s="54"/>
      <c r="BN86" s="54"/>
      <c r="BO86" s="54">
        <f t="shared" ref="BO86" si="127">BO82-BO85</f>
        <v>2787</v>
      </c>
      <c r="BP86" s="54">
        <f t="shared" ref="BP86:BQ86" si="128">BP82-BP85</f>
        <v>2161</v>
      </c>
      <c r="BQ86" s="54">
        <f t="shared" si="128"/>
        <v>3217</v>
      </c>
      <c r="BR86" s="54">
        <f t="shared" ref="BR86:BV86" si="129">BR82-BR85</f>
        <v>2179</v>
      </c>
      <c r="BS86" s="54">
        <f t="shared" si="129"/>
        <v>2741</v>
      </c>
      <c r="BT86" s="54">
        <f t="shared" si="129"/>
        <v>2454</v>
      </c>
      <c r="BU86" s="54">
        <f t="shared" si="129"/>
        <v>3881</v>
      </c>
      <c r="BV86" s="54">
        <f t="shared" si="129"/>
        <v>2601</v>
      </c>
      <c r="BW86" s="54">
        <f>BW82-BW85</f>
        <v>3306</v>
      </c>
      <c r="BX86" s="54">
        <f>BX82-BX85</f>
        <v>3261</v>
      </c>
      <c r="BY86" s="54">
        <f t="shared" ref="BY86:CE86" si="130">BY82-BY85</f>
        <v>4927</v>
      </c>
      <c r="BZ86" s="54">
        <f t="shared" si="130"/>
        <v>3003</v>
      </c>
      <c r="CA86" s="54">
        <f t="shared" si="130"/>
        <v>3613</v>
      </c>
      <c r="CB86" s="54">
        <f t="shared" si="130"/>
        <v>3214</v>
      </c>
      <c r="CC86" s="54">
        <f t="shared" si="130"/>
        <v>4616</v>
      </c>
      <c r="CD86" s="54">
        <f t="shared" si="130"/>
        <v>2149</v>
      </c>
      <c r="CE86" s="54">
        <f t="shared" si="130"/>
        <v>3370</v>
      </c>
      <c r="CF86" s="54">
        <f>CF82-CF85</f>
        <v>3615</v>
      </c>
      <c r="CG86" s="54">
        <f>CG82-CG85</f>
        <v>5540</v>
      </c>
      <c r="CH86" s="54">
        <f t="shared" ref="CH86:CI86" si="131">CH82-CH85</f>
        <v>2938</v>
      </c>
      <c r="CI86" s="54">
        <f t="shared" si="131"/>
        <v>3689</v>
      </c>
      <c r="CJ86" s="54">
        <f t="shared" ref="CJ86:CM86" si="132">CJ82-CJ85</f>
        <v>0</v>
      </c>
      <c r="CK86" s="54">
        <f t="shared" si="132"/>
        <v>0</v>
      </c>
      <c r="CL86" s="54">
        <f t="shared" si="132"/>
        <v>0</v>
      </c>
      <c r="CM86" s="54">
        <f t="shared" si="132"/>
        <v>3928</v>
      </c>
      <c r="CN86" s="54"/>
      <c r="CO86" s="54"/>
      <c r="CP86" s="54"/>
      <c r="CQ86" s="23"/>
      <c r="CU86" s="23"/>
      <c r="CV86" s="23"/>
      <c r="CW86" s="23">
        <f t="shared" ref="CW86:DB86" si="133">CW82-CW85</f>
        <v>9721</v>
      </c>
      <c r="CX86" s="23">
        <f>CX82-CX85</f>
        <v>10992</v>
      </c>
      <c r="CY86" s="23">
        <f>CY82-CY85</f>
        <v>11451.55</v>
      </c>
      <c r="CZ86" s="23">
        <f>CZ82-CZ85</f>
        <v>19877.374800000001</v>
      </c>
      <c r="DA86" s="23">
        <f t="shared" si="133"/>
        <v>20206.141468000002</v>
      </c>
      <c r="DB86" s="23">
        <f t="shared" si="133"/>
        <v>18698.906429000002</v>
      </c>
      <c r="DC86" s="23">
        <f>DC82-DC85</f>
        <v>17763.2693493275</v>
      </c>
      <c r="DD86" s="23">
        <f>DD82-DD85</f>
        <v>17371.752344901728</v>
      </c>
      <c r="DE86" s="23">
        <f>DE82-DE85</f>
        <v>16496.17454120929</v>
      </c>
      <c r="DF86" s="23">
        <f>DF82-DF85</f>
        <v>14797.808240840219</v>
      </c>
    </row>
    <row r="87" spans="2:173" x14ac:dyDescent="0.25">
      <c r="B87" s="1" t="s">
        <v>6</v>
      </c>
      <c r="C87" s="23">
        <f>492-99-D87</f>
        <v>210</v>
      </c>
      <c r="D87" s="23">
        <f>264-81</f>
        <v>183</v>
      </c>
      <c r="G87" s="23">
        <f>305-100</f>
        <v>205</v>
      </c>
      <c r="H87" s="23">
        <f>143-44</f>
        <v>99</v>
      </c>
      <c r="M87" s="23">
        <f>122-26-119+66</f>
        <v>43</v>
      </c>
      <c r="N87" s="23">
        <f>69-30+16-56+122</f>
        <v>121</v>
      </c>
      <c r="O87" s="23">
        <f>191-54-83+51</f>
        <v>105</v>
      </c>
      <c r="P87" s="23">
        <f>5-87+48</f>
        <v>-34</v>
      </c>
      <c r="Q87" s="23">
        <f>110-52-86+46</f>
        <v>18</v>
      </c>
      <c r="R87" s="20">
        <f>15-73+45</f>
        <v>-13</v>
      </c>
      <c r="S87" s="20">
        <f>104-78+61</f>
        <v>87</v>
      </c>
      <c r="T87" s="20">
        <f>74-82+49</f>
        <v>41</v>
      </c>
      <c r="U87" s="20">
        <f>49+29-89</f>
        <v>-11</v>
      </c>
      <c r="V87" s="20">
        <f>-24-86-36</f>
        <v>-146</v>
      </c>
      <c r="W87" s="20">
        <f>148-65+21</f>
        <v>104</v>
      </c>
      <c r="X87" s="20">
        <f>-114-W87</f>
        <v>-218</v>
      </c>
      <c r="Y87" s="20">
        <f>86-74+5</f>
        <v>17</v>
      </c>
      <c r="Z87" s="20">
        <v>19</v>
      </c>
      <c r="AA87" s="20">
        <f>70+243+128-78</f>
        <v>363</v>
      </c>
      <c r="AB87" s="20">
        <f>26+248-70+122</f>
        <v>326</v>
      </c>
      <c r="AC87" s="20">
        <f>39-115-12</f>
        <v>-88</v>
      </c>
      <c r="AD87" s="20">
        <v>-95</v>
      </c>
      <c r="AE87" s="20">
        <v>-78</v>
      </c>
      <c r="AF87" s="20">
        <v>-200</v>
      </c>
      <c r="AG87" s="20">
        <v>-200</v>
      </c>
      <c r="AH87" s="20">
        <v>-200</v>
      </c>
      <c r="AN87" s="20">
        <f>140+3-45-137</f>
        <v>-39</v>
      </c>
      <c r="AO87" s="20">
        <f>28+38-36-123</f>
        <v>-93</v>
      </c>
      <c r="BO87" s="53">
        <f>-247+131-12</f>
        <v>-128</v>
      </c>
      <c r="BP87" s="53">
        <f>-91+7-5-96</f>
        <v>-185</v>
      </c>
      <c r="BQ87" s="53">
        <f>-182+1-9-76</f>
        <v>-266</v>
      </c>
      <c r="BR87" s="53">
        <f>-123+4-8-93</f>
        <v>-220</v>
      </c>
      <c r="BS87" s="53">
        <f>-101+9-12-84</f>
        <v>-188</v>
      </c>
      <c r="BT87" s="53">
        <f>-198+17-8-76</f>
        <v>-265</v>
      </c>
      <c r="BU87" s="53">
        <f>-289-5-29-85</f>
        <v>-408</v>
      </c>
      <c r="BV87" s="53">
        <f>-356+18-7-83</f>
        <v>-428</v>
      </c>
      <c r="BW87" s="53">
        <f>-265+30-7-78</f>
        <v>-320</v>
      </c>
      <c r="BX87" s="53">
        <f>-523+25-10-77</f>
        <v>-585</v>
      </c>
      <c r="BY87" s="53">
        <f>-450+27-6-51</f>
        <v>-480</v>
      </c>
      <c r="BZ87" s="53">
        <f>-276+6-10-28</f>
        <v>-308</v>
      </c>
      <c r="CA87" s="53">
        <f>-304+33-10-7</f>
        <v>-288</v>
      </c>
      <c r="CB87" s="53">
        <f>-501+22-9-42</f>
        <v>-530</v>
      </c>
      <c r="CC87" s="53">
        <f>-598+20-10-83</f>
        <v>-671</v>
      </c>
      <c r="CD87" s="53">
        <f>-821+47-7-49</f>
        <v>-830</v>
      </c>
      <c r="CE87" s="53">
        <f>-562+44-9-43</f>
        <v>-570</v>
      </c>
      <c r="CF87" s="53">
        <f>-831+31-2-86</f>
        <v>-888</v>
      </c>
      <c r="CG87" s="54">
        <f>187-1158-265+133</f>
        <v>-1103</v>
      </c>
      <c r="CH87" s="53">
        <f>-886+32-7-62</f>
        <v>-923</v>
      </c>
      <c r="CI87" s="53">
        <f>-826+48-7</f>
        <v>-785</v>
      </c>
      <c r="CM87" s="54">
        <f>-1190+47-4</f>
        <v>-1147</v>
      </c>
      <c r="CU87" s="23"/>
      <c r="CV87" s="23"/>
      <c r="CW87" s="23">
        <v>0</v>
      </c>
      <c r="CX87" s="23">
        <f>SUM(W87:Z87)</f>
        <v>-78</v>
      </c>
      <c r="CY87" s="23">
        <f>SUM(AA87:AD87)</f>
        <v>506</v>
      </c>
      <c r="CZ87" s="23">
        <f t="shared" ref="CZ87:DF87" si="134">CY110*$DR$96</f>
        <v>-663.26133120000009</v>
      </c>
      <c r="DA87" s="23">
        <f t="shared" si="134"/>
        <v>201.37377489600001</v>
      </c>
      <c r="DB87" s="23">
        <f t="shared" si="134"/>
        <v>1119.7119608263201</v>
      </c>
      <c r="DC87" s="23">
        <f t="shared" si="134"/>
        <v>2011.5497883685046</v>
      </c>
      <c r="DD87" s="23">
        <f t="shared" si="134"/>
        <v>2901.4166495648246</v>
      </c>
      <c r="DE87" s="23">
        <f t="shared" si="134"/>
        <v>3813.7092543158196</v>
      </c>
      <c r="DF87" s="23">
        <f t="shared" si="134"/>
        <v>4727.6540251144497</v>
      </c>
    </row>
    <row r="88" spans="2:173" x14ac:dyDescent="0.25">
      <c r="B88" s="1" t="s">
        <v>7</v>
      </c>
      <c r="C88" s="23">
        <f>C86-C87</f>
        <v>1630</v>
      </c>
      <c r="D88" s="23">
        <f>D86-D87</f>
        <v>1716</v>
      </c>
      <c r="G88" s="23">
        <f>G86-G87</f>
        <v>1982</v>
      </c>
      <c r="H88" s="23">
        <f>H86-H87</f>
        <v>2173</v>
      </c>
      <c r="M88" s="23">
        <f>M87+M86</f>
        <v>2464</v>
      </c>
      <c r="N88" s="23">
        <f>N87+N86</f>
        <v>2384</v>
      </c>
      <c r="O88" s="23">
        <f t="shared" ref="O88:AH88" si="135">O86+O87</f>
        <v>2720</v>
      </c>
      <c r="P88" s="23">
        <f t="shared" si="135"/>
        <v>2324</v>
      </c>
      <c r="Q88" s="23">
        <f t="shared" si="135"/>
        <v>2600</v>
      </c>
      <c r="R88" s="23">
        <f t="shared" si="135"/>
        <v>1977</v>
      </c>
      <c r="S88" s="23">
        <f t="shared" si="135"/>
        <v>2529</v>
      </c>
      <c r="T88" s="23">
        <f t="shared" si="135"/>
        <v>2410</v>
      </c>
      <c r="U88" s="23">
        <f t="shared" si="135"/>
        <v>2621</v>
      </c>
      <c r="V88" s="23">
        <f t="shared" si="135"/>
        <v>2132</v>
      </c>
      <c r="W88" s="23">
        <f t="shared" si="135"/>
        <v>2904</v>
      </c>
      <c r="X88" s="23">
        <f t="shared" si="135"/>
        <v>2747</v>
      </c>
      <c r="Y88" s="23">
        <f t="shared" si="135"/>
        <v>2945</v>
      </c>
      <c r="Z88" s="23">
        <f t="shared" si="135"/>
        <v>2318</v>
      </c>
      <c r="AA88" s="23">
        <f t="shared" si="135"/>
        <v>3815</v>
      </c>
      <c r="AB88" s="23">
        <f>AB86+AB87</f>
        <v>3421</v>
      </c>
      <c r="AC88" s="23">
        <f t="shared" si="135"/>
        <v>2939</v>
      </c>
      <c r="AD88" s="23">
        <f>AD86+AD87</f>
        <v>2222</v>
      </c>
      <c r="AE88" s="23">
        <f t="shared" si="135"/>
        <v>2719</v>
      </c>
      <c r="AF88" s="23">
        <f t="shared" si="135"/>
        <v>5785</v>
      </c>
      <c r="AG88" s="23">
        <f t="shared" si="135"/>
        <v>5768.28</v>
      </c>
      <c r="AH88" s="23">
        <f t="shared" si="135"/>
        <v>5496.5039999999999</v>
      </c>
      <c r="AI88" s="23"/>
      <c r="AJ88" s="23"/>
      <c r="AK88" s="23"/>
      <c r="AL88" s="23"/>
      <c r="AM88" s="23"/>
      <c r="AN88" s="23">
        <f t="shared" ref="AN88:AO88" si="136">AN86+AN87</f>
        <v>1867</v>
      </c>
      <c r="AO88" s="23">
        <f t="shared" si="136"/>
        <v>2337</v>
      </c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54"/>
      <c r="BL88" s="54"/>
      <c r="BM88" s="54"/>
      <c r="BN88" s="54"/>
      <c r="BO88" s="54">
        <f t="shared" ref="BO88" si="137">BO86+BO87</f>
        <v>2659</v>
      </c>
      <c r="BP88" s="54">
        <f>BP86+BP87</f>
        <v>1976</v>
      </c>
      <c r="BQ88" s="54">
        <f t="shared" ref="BQ88" si="138">BQ86+BQ87</f>
        <v>2951</v>
      </c>
      <c r="BR88" s="54">
        <f t="shared" ref="BR88:BV88" si="139">BR86+BR87</f>
        <v>1959</v>
      </c>
      <c r="BS88" s="54">
        <f t="shared" si="139"/>
        <v>2553</v>
      </c>
      <c r="BT88" s="54">
        <f t="shared" si="139"/>
        <v>2189</v>
      </c>
      <c r="BU88" s="54">
        <f t="shared" si="139"/>
        <v>3473</v>
      </c>
      <c r="BV88" s="54">
        <f t="shared" si="139"/>
        <v>2173</v>
      </c>
      <c r="BW88" s="54">
        <f>BW86+BW87</f>
        <v>2986</v>
      </c>
      <c r="BX88" s="54">
        <f>BX86+BX87</f>
        <v>2676</v>
      </c>
      <c r="BY88" s="54">
        <f t="shared" ref="BY88:CE88" si="140">BY86+BY87</f>
        <v>4447</v>
      </c>
      <c r="BZ88" s="54">
        <f t="shared" si="140"/>
        <v>2695</v>
      </c>
      <c r="CA88" s="54">
        <f t="shared" si="140"/>
        <v>3325</v>
      </c>
      <c r="CB88" s="54">
        <f t="shared" si="140"/>
        <v>2684</v>
      </c>
      <c r="CC88" s="54">
        <f t="shared" si="140"/>
        <v>3945</v>
      </c>
      <c r="CD88" s="54">
        <f t="shared" si="140"/>
        <v>1319</v>
      </c>
      <c r="CE88" s="54">
        <f t="shared" si="140"/>
        <v>2800</v>
      </c>
      <c r="CF88" s="54">
        <f>CF86+CF87</f>
        <v>2727</v>
      </c>
      <c r="CG88" s="54">
        <f>CG86+CG87</f>
        <v>4437</v>
      </c>
      <c r="CH88" s="54">
        <f>CH86+CH87</f>
        <v>2015</v>
      </c>
      <c r="CI88" s="54">
        <f>CI86+CI87</f>
        <v>2904</v>
      </c>
      <c r="CJ88" s="54">
        <f t="shared" ref="CJ88:CM88" si="141">CJ86+CJ87</f>
        <v>0</v>
      </c>
      <c r="CK88" s="54">
        <f t="shared" si="141"/>
        <v>0</v>
      </c>
      <c r="CL88" s="54">
        <f t="shared" si="141"/>
        <v>0</v>
      </c>
      <c r="CM88" s="54">
        <f t="shared" si="141"/>
        <v>2781</v>
      </c>
      <c r="CN88" s="54"/>
      <c r="CO88" s="54"/>
      <c r="CP88" s="54"/>
      <c r="CQ88" s="23"/>
      <c r="CU88" s="23"/>
      <c r="CV88" s="23"/>
      <c r="CW88" s="23">
        <f t="shared" ref="CW88" si="142">CW86+CW87</f>
        <v>9721</v>
      </c>
      <c r="CX88" s="23">
        <f t="shared" ref="CX88:DF88" si="143">CX86+CX87</f>
        <v>10914</v>
      </c>
      <c r="CY88" s="23">
        <f t="shared" si="143"/>
        <v>11957.55</v>
      </c>
      <c r="CZ88" s="23">
        <f t="shared" si="143"/>
        <v>19214.113468800002</v>
      </c>
      <c r="DA88" s="23">
        <f t="shared" si="143"/>
        <v>20407.515242896003</v>
      </c>
      <c r="DB88" s="23">
        <f t="shared" si="143"/>
        <v>19818.618389826323</v>
      </c>
      <c r="DC88" s="23">
        <f t="shared" si="143"/>
        <v>19774.819137696006</v>
      </c>
      <c r="DD88" s="23">
        <f t="shared" si="143"/>
        <v>20273.168994466552</v>
      </c>
      <c r="DE88" s="23">
        <f t="shared" si="143"/>
        <v>20309.883795525107</v>
      </c>
      <c r="DF88" s="23">
        <f t="shared" si="143"/>
        <v>19525.462265954669</v>
      </c>
    </row>
    <row r="89" spans="2:173" x14ac:dyDescent="0.25">
      <c r="B89" s="1" t="s">
        <v>5</v>
      </c>
      <c r="C89" s="23">
        <f>947-D89</f>
        <v>472</v>
      </c>
      <c r="D89" s="23">
        <v>475</v>
      </c>
      <c r="G89" s="23">
        <f>1302-H89</f>
        <v>650</v>
      </c>
      <c r="H89" s="23">
        <v>652</v>
      </c>
      <c r="M89" s="23">
        <v>743</v>
      </c>
      <c r="N89" s="23">
        <v>534</v>
      </c>
      <c r="O89" s="23">
        <v>268</v>
      </c>
      <c r="P89" s="23">
        <v>695</v>
      </c>
      <c r="Q89" s="23">
        <v>818</v>
      </c>
      <c r="R89" s="23">
        <v>464</v>
      </c>
      <c r="S89" s="20">
        <v>733</v>
      </c>
      <c r="T89" s="20">
        <v>628</v>
      </c>
      <c r="U89" s="23">
        <v>749</v>
      </c>
      <c r="V89" s="23">
        <v>559</v>
      </c>
      <c r="W89" s="23">
        <v>828</v>
      </c>
      <c r="X89" s="23">
        <f>1718-W89</f>
        <v>890</v>
      </c>
      <c r="Y89" s="23">
        <v>837</v>
      </c>
      <c r="Z89" s="23">
        <v>509</v>
      </c>
      <c r="AA89" s="23">
        <f>45+830</f>
        <v>875</v>
      </c>
      <c r="AB89" s="23">
        <f>95+848</f>
        <v>943</v>
      </c>
      <c r="AC89" s="23">
        <v>364</v>
      </c>
      <c r="AD89" s="23">
        <v>582</v>
      </c>
      <c r="AE89" s="23">
        <v>779</v>
      </c>
      <c r="AF89" s="23">
        <f>+AF88*AF98</f>
        <v>1619.8000000000002</v>
      </c>
      <c r="AG89" s="23">
        <f t="shared" ref="AG89:AH89" si="144">+AG88*AG98</f>
        <v>1615.1184000000001</v>
      </c>
      <c r="AH89" s="23">
        <f t="shared" si="144"/>
        <v>1539.0211200000001</v>
      </c>
      <c r="AI89" s="23"/>
      <c r="AJ89" s="23"/>
      <c r="AK89" s="23"/>
      <c r="AL89" s="23"/>
      <c r="AM89" s="23"/>
      <c r="AN89" s="23">
        <v>405</v>
      </c>
      <c r="AO89" s="23">
        <v>563</v>
      </c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54"/>
      <c r="BL89" s="54"/>
      <c r="BM89" s="54"/>
      <c r="BN89" s="54"/>
      <c r="BO89" s="54">
        <v>542</v>
      </c>
      <c r="BP89" s="54">
        <v>436</v>
      </c>
      <c r="BQ89" s="54">
        <v>652</v>
      </c>
      <c r="BR89" s="54">
        <v>432</v>
      </c>
      <c r="BS89" s="54">
        <v>537</v>
      </c>
      <c r="BT89" s="54">
        <v>458</v>
      </c>
      <c r="BU89" s="54">
        <v>737</v>
      </c>
      <c r="BV89" s="54">
        <v>443</v>
      </c>
      <c r="BW89" s="54">
        <v>563</v>
      </c>
      <c r="BX89" s="54">
        <v>506</v>
      </c>
      <c r="BY89" s="54">
        <v>841</v>
      </c>
      <c r="BZ89" s="54">
        <v>555</v>
      </c>
      <c r="CA89" s="54">
        <v>627</v>
      </c>
      <c r="CB89" s="54">
        <v>507</v>
      </c>
      <c r="CC89" s="54">
        <v>749</v>
      </c>
      <c r="CD89" s="54">
        <v>451</v>
      </c>
      <c r="CE89" s="54">
        <v>581</v>
      </c>
      <c r="CF89" s="54">
        <v>566</v>
      </c>
      <c r="CG89" s="54">
        <v>737</v>
      </c>
      <c r="CH89" s="54">
        <v>374</v>
      </c>
      <c r="CI89" s="54">
        <v>622</v>
      </c>
      <c r="CJ89" s="54"/>
      <c r="CK89" s="54"/>
      <c r="CL89" s="54"/>
      <c r="CM89" s="54">
        <v>625</v>
      </c>
      <c r="CN89" s="54"/>
      <c r="CO89" s="54"/>
      <c r="CP89" s="54"/>
      <c r="CQ89" s="23"/>
      <c r="CU89" s="23"/>
      <c r="CV89" s="23"/>
      <c r="CW89" s="23">
        <f>SUM(S89:V89)</f>
        <v>2669</v>
      </c>
      <c r="CX89" s="23">
        <f>SUM(W89:Z89)</f>
        <v>3064</v>
      </c>
      <c r="CY89" s="23">
        <f>SUM(AA89:AD89)</f>
        <v>2764</v>
      </c>
      <c r="CZ89" s="23">
        <f t="shared" ref="CZ89:DF89" si="145">CZ88*CZ98</f>
        <v>4803.5283672000005</v>
      </c>
      <c r="DA89" s="23">
        <f t="shared" si="145"/>
        <v>5101.8788107240007</v>
      </c>
      <c r="DB89" s="23">
        <f t="shared" si="145"/>
        <v>4954.6545974565806</v>
      </c>
      <c r="DC89" s="23">
        <f t="shared" si="145"/>
        <v>4943.7047844240014</v>
      </c>
      <c r="DD89" s="23">
        <f t="shared" si="145"/>
        <v>5068.2922486166381</v>
      </c>
      <c r="DE89" s="23">
        <f t="shared" si="145"/>
        <v>5077.4709488812769</v>
      </c>
      <c r="DF89" s="23">
        <f t="shared" si="145"/>
        <v>4881.3655664886674</v>
      </c>
    </row>
    <row r="90" spans="2:173" x14ac:dyDescent="0.25">
      <c r="B90" s="1" t="s">
        <v>8</v>
      </c>
      <c r="C90" s="23">
        <f>233-D90</f>
        <v>93</v>
      </c>
      <c r="D90" s="23">
        <v>140</v>
      </c>
      <c r="G90" s="23">
        <f>269-H90</f>
        <v>107</v>
      </c>
      <c r="H90" s="23">
        <v>162</v>
      </c>
      <c r="M90" s="23">
        <v>116</v>
      </c>
      <c r="N90" s="23">
        <v>50</v>
      </c>
      <c r="O90" s="23">
        <v>138</v>
      </c>
      <c r="P90" s="23">
        <v>210</v>
      </c>
      <c r="Q90" s="23">
        <v>213</v>
      </c>
      <c r="R90" s="23">
        <v>178</v>
      </c>
      <c r="S90" s="23">
        <v>234</v>
      </c>
      <c r="T90" s="23">
        <v>217</v>
      </c>
      <c r="U90" s="23">
        <v>219</v>
      </c>
      <c r="V90" s="23">
        <v>220</v>
      </c>
      <c r="W90" s="23">
        <f>273-121</f>
        <v>152</v>
      </c>
      <c r="X90" s="23">
        <f>539-W90</f>
        <v>387</v>
      </c>
      <c r="Y90" s="23">
        <f>235+59</f>
        <v>294</v>
      </c>
      <c r="Z90" s="23">
        <f>197+52</f>
        <v>249</v>
      </c>
      <c r="AA90" s="23"/>
      <c r="AB90" s="23"/>
      <c r="AC90" s="23">
        <v>285</v>
      </c>
      <c r="AD90" s="23">
        <f>-52+253+52-55</f>
        <v>198</v>
      </c>
      <c r="AE90" s="23">
        <f>16+292-78</f>
        <v>230</v>
      </c>
      <c r="AF90" s="23">
        <f>+AE90</f>
        <v>230</v>
      </c>
      <c r="AG90" s="23">
        <f>+AF90</f>
        <v>230</v>
      </c>
      <c r="AH90" s="23">
        <f>+AG90</f>
        <v>230</v>
      </c>
      <c r="AI90" s="23"/>
      <c r="AJ90" s="23"/>
      <c r="AK90" s="23"/>
      <c r="AL90" s="23"/>
      <c r="AM90" s="23"/>
      <c r="AN90" s="23">
        <v>0</v>
      </c>
      <c r="AO90" s="23">
        <v>0</v>
      </c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54"/>
      <c r="BL90" s="54"/>
      <c r="BM90" s="54"/>
      <c r="BN90" s="54"/>
      <c r="BO90" s="54">
        <v>75</v>
      </c>
      <c r="BP90" s="54">
        <v>0</v>
      </c>
      <c r="BQ90" s="54">
        <v>0</v>
      </c>
      <c r="BR90" s="54">
        <v>0</v>
      </c>
      <c r="BS90" s="54">
        <v>0</v>
      </c>
      <c r="BT90" s="54">
        <v>0</v>
      </c>
      <c r="BU90" s="54">
        <v>0</v>
      </c>
      <c r="BV90" s="54">
        <v>0</v>
      </c>
      <c r="BW90" s="54">
        <v>0</v>
      </c>
      <c r="BX90" s="54">
        <v>0</v>
      </c>
      <c r="BY90" s="54">
        <v>0</v>
      </c>
      <c r="BZ90" s="54">
        <v>0</v>
      </c>
      <c r="CA90" s="54">
        <v>0</v>
      </c>
      <c r="CB90" s="54">
        <v>0</v>
      </c>
      <c r="CC90" s="54">
        <v>0</v>
      </c>
      <c r="CD90" s="54">
        <v>0</v>
      </c>
      <c r="CE90" s="54">
        <v>0</v>
      </c>
      <c r="CF90" s="54">
        <v>0</v>
      </c>
      <c r="CG90" s="54">
        <v>-78</v>
      </c>
      <c r="CH90" s="54">
        <v>0</v>
      </c>
      <c r="CI90" s="54">
        <v>0</v>
      </c>
      <c r="CJ90" s="54"/>
      <c r="CK90" s="54"/>
      <c r="CL90" s="54"/>
      <c r="CM90" s="54">
        <v>0</v>
      </c>
      <c r="CN90" s="54"/>
      <c r="CO90" s="54"/>
      <c r="CP90" s="54"/>
      <c r="CQ90" s="23"/>
      <c r="CU90" s="23"/>
      <c r="CV90" s="23">
        <f>SUM(O90:R90)</f>
        <v>739</v>
      </c>
      <c r="CW90" s="23">
        <f>SUM(S90:V90)</f>
        <v>890</v>
      </c>
      <c r="CX90" s="23">
        <f>SUM(W90:Z90)</f>
        <v>1082</v>
      </c>
      <c r="CY90" s="23"/>
      <c r="CZ90" s="23"/>
      <c r="DA90" s="23"/>
      <c r="DB90" s="23"/>
      <c r="DC90" s="23"/>
      <c r="DD90" s="23"/>
      <c r="DE90" s="23"/>
      <c r="DF90" s="23"/>
    </row>
    <row r="91" spans="2:173" x14ac:dyDescent="0.25">
      <c r="B91" s="1" t="s">
        <v>9</v>
      </c>
      <c r="C91" s="23">
        <f>C88-C89+C90</f>
        <v>1251</v>
      </c>
      <c r="D91" s="23">
        <f>D88-D89+D90</f>
        <v>1381</v>
      </c>
      <c r="G91" s="23">
        <f>G88-G89+G90</f>
        <v>1439</v>
      </c>
      <c r="H91" s="23">
        <f>H88-H89+H90</f>
        <v>1683</v>
      </c>
      <c r="M91" s="23">
        <f t="shared" ref="M91:R91" si="146">M88-M89+M90</f>
        <v>1837</v>
      </c>
      <c r="N91" s="23">
        <f t="shared" si="146"/>
        <v>1900</v>
      </c>
      <c r="O91" s="23">
        <f t="shared" si="146"/>
        <v>2590</v>
      </c>
      <c r="P91" s="23">
        <f t="shared" si="146"/>
        <v>1839</v>
      </c>
      <c r="Q91" s="23">
        <f t="shared" si="146"/>
        <v>1995</v>
      </c>
      <c r="R91" s="23">
        <f t="shared" si="146"/>
        <v>1691</v>
      </c>
      <c r="S91" s="23">
        <f>S88-S89+S90</f>
        <v>2030</v>
      </c>
      <c r="T91" s="23">
        <f>T88-T89+T90</f>
        <v>1999</v>
      </c>
      <c r="U91" s="23">
        <f>U88-U89+U90</f>
        <v>2091</v>
      </c>
      <c r="V91" s="23">
        <f>V88-V89+V90</f>
        <v>1793</v>
      </c>
      <c r="W91" s="23">
        <f t="shared" ref="W91:AC91" si="147">W88-W89+W90</f>
        <v>2228</v>
      </c>
      <c r="X91" s="23">
        <f t="shared" si="147"/>
        <v>2244</v>
      </c>
      <c r="Y91" s="23">
        <f t="shared" si="147"/>
        <v>2402</v>
      </c>
      <c r="Z91" s="23">
        <f t="shared" si="147"/>
        <v>2058</v>
      </c>
      <c r="AA91" s="23">
        <f t="shared" si="147"/>
        <v>2940</v>
      </c>
      <c r="AB91" s="23">
        <f t="shared" si="147"/>
        <v>2478</v>
      </c>
      <c r="AC91" s="23">
        <f t="shared" si="147"/>
        <v>2860</v>
      </c>
      <c r="AD91" s="23">
        <f>AD88-AD89+AD90</f>
        <v>1838</v>
      </c>
      <c r="AE91" s="23">
        <f>AE88-AE89+AE90</f>
        <v>2170</v>
      </c>
      <c r="AF91" s="23">
        <f t="shared" ref="AF91:AH91" si="148">AF88-AF89+AF90</f>
        <v>4395.2</v>
      </c>
      <c r="AG91" s="23">
        <f t="shared" si="148"/>
        <v>4383.1615999999995</v>
      </c>
      <c r="AH91" s="23">
        <f t="shared" si="148"/>
        <v>4187.4828799999996</v>
      </c>
      <c r="AI91" s="23"/>
      <c r="AJ91" s="23"/>
      <c r="AK91" s="23"/>
      <c r="AL91" s="23"/>
      <c r="AM91" s="23"/>
      <c r="AN91" s="23">
        <f t="shared" ref="AN91:AO91" si="149">AN88-AN89+AN90</f>
        <v>1462</v>
      </c>
      <c r="AO91" s="23">
        <f t="shared" si="149"/>
        <v>1774</v>
      </c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54"/>
      <c r="BL91" s="54"/>
      <c r="BM91" s="54"/>
      <c r="BN91" s="54"/>
      <c r="BO91" s="54">
        <f t="shared" ref="BO91" si="150">BO88-BO89-BO90</f>
        <v>2042</v>
      </c>
      <c r="BP91" s="54">
        <f t="shared" ref="BP91" si="151">BP88-BP89-BP90</f>
        <v>1540</v>
      </c>
      <c r="BQ91" s="54">
        <f t="shared" ref="BQ91:BR91" si="152">BQ88-BQ89-BQ90</f>
        <v>2299</v>
      </c>
      <c r="BR91" s="54">
        <f t="shared" si="152"/>
        <v>1527</v>
      </c>
      <c r="BS91" s="54">
        <f t="shared" ref="BS91:BV91" si="153">BS88-BS89-BS90</f>
        <v>2016</v>
      </c>
      <c r="BT91" s="54">
        <f t="shared" si="153"/>
        <v>1731</v>
      </c>
      <c r="BU91" s="54">
        <f t="shared" si="153"/>
        <v>2736</v>
      </c>
      <c r="BV91" s="54">
        <f t="shared" si="153"/>
        <v>1730</v>
      </c>
      <c r="BW91" s="54">
        <f>BW88-BW89-BW90</f>
        <v>2423</v>
      </c>
      <c r="BX91" s="54">
        <f>BX88-BX89-BX90</f>
        <v>2170</v>
      </c>
      <c r="BY91" s="54">
        <f t="shared" ref="BY91:CE91" si="154">BY88-BY89-BY90</f>
        <v>3606</v>
      </c>
      <c r="BZ91" s="54">
        <f t="shared" si="154"/>
        <v>2140</v>
      </c>
      <c r="CA91" s="54">
        <f t="shared" si="154"/>
        <v>2698</v>
      </c>
      <c r="CB91" s="54">
        <f t="shared" si="154"/>
        <v>2177</v>
      </c>
      <c r="CC91" s="54">
        <f t="shared" si="154"/>
        <v>3196</v>
      </c>
      <c r="CD91" s="54">
        <f t="shared" si="154"/>
        <v>868</v>
      </c>
      <c r="CE91" s="54">
        <f t="shared" si="154"/>
        <v>2219</v>
      </c>
      <c r="CF91" s="54">
        <f>CF88-CF89-CF90</f>
        <v>2161</v>
      </c>
      <c r="CG91" s="54">
        <f>CG88-CG89-CG90</f>
        <v>3778</v>
      </c>
      <c r="CH91" s="54">
        <f>CH88-CH89-CH90</f>
        <v>1641</v>
      </c>
      <c r="CI91" s="54">
        <f>CI88-CI89-CI90</f>
        <v>2282</v>
      </c>
      <c r="CJ91" s="54">
        <f t="shared" ref="CJ91:CM91" si="155">CJ88-CJ89-CJ90</f>
        <v>0</v>
      </c>
      <c r="CK91" s="54">
        <f t="shared" si="155"/>
        <v>0</v>
      </c>
      <c r="CL91" s="54">
        <f t="shared" si="155"/>
        <v>0</v>
      </c>
      <c r="CM91" s="54">
        <f t="shared" si="155"/>
        <v>2156</v>
      </c>
      <c r="CN91" s="54"/>
      <c r="CO91" s="54"/>
      <c r="CP91" s="54"/>
      <c r="CQ91" s="23"/>
      <c r="CU91" s="23"/>
      <c r="CV91" s="23">
        <f t="shared" ref="CV91:CW91" si="156">CV88-CV89+CV90</f>
        <v>739</v>
      </c>
      <c r="CW91" s="23">
        <f t="shared" si="156"/>
        <v>7942</v>
      </c>
      <c r="CX91" s="23">
        <f t="shared" ref="CX91:DF91" si="157">CX88-CX89+CX90</f>
        <v>8932</v>
      </c>
      <c r="CY91" s="23">
        <f t="shared" si="157"/>
        <v>9193.5499999999993</v>
      </c>
      <c r="CZ91" s="23">
        <f t="shared" si="157"/>
        <v>14410.585101600002</v>
      </c>
      <c r="DA91" s="23">
        <f t="shared" si="157"/>
        <v>15305.636432172003</v>
      </c>
      <c r="DB91" s="23">
        <f t="shared" si="157"/>
        <v>14863.963792369741</v>
      </c>
      <c r="DC91" s="23">
        <f t="shared" si="157"/>
        <v>14831.114353272005</v>
      </c>
      <c r="DD91" s="23">
        <f t="shared" si="157"/>
        <v>15204.876745849913</v>
      </c>
      <c r="DE91" s="23">
        <f t="shared" si="157"/>
        <v>15232.412846643831</v>
      </c>
      <c r="DF91" s="23">
        <f t="shared" si="157"/>
        <v>14644.096699466001</v>
      </c>
    </row>
    <row r="92" spans="2:173" x14ac:dyDescent="0.25">
      <c r="B92" s="1" t="s">
        <v>173</v>
      </c>
      <c r="C92" s="23">
        <f>-141-D92</f>
        <v>-67</v>
      </c>
      <c r="D92" s="23">
        <v>-74</v>
      </c>
      <c r="G92" s="23">
        <v>-170</v>
      </c>
      <c r="H92" s="23">
        <v>-87</v>
      </c>
      <c r="M92" s="23">
        <v>-100</v>
      </c>
      <c r="N92" s="23">
        <v>-103</v>
      </c>
      <c r="O92" s="23">
        <v>-112</v>
      </c>
      <c r="P92" s="23">
        <v>-99</v>
      </c>
      <c r="Q92" s="23">
        <v>-111</v>
      </c>
      <c r="R92" s="20">
        <v>-97</v>
      </c>
      <c r="S92" s="20">
        <v>-115</v>
      </c>
      <c r="T92" s="20">
        <v>-105</v>
      </c>
      <c r="U92" s="23">
        <v>-111</v>
      </c>
      <c r="V92" s="23">
        <v>-110</v>
      </c>
      <c r="W92" s="23">
        <v>-121</v>
      </c>
      <c r="X92" s="23">
        <f>-232-W92</f>
        <v>-111</v>
      </c>
      <c r="Y92" s="23">
        <v>-114</v>
      </c>
      <c r="Z92" s="23">
        <v>-81</v>
      </c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54"/>
      <c r="BL92" s="54"/>
      <c r="BM92" s="54"/>
      <c r="BN92" s="54"/>
      <c r="BO92" s="54">
        <v>0</v>
      </c>
      <c r="BP92" s="54">
        <v>0</v>
      </c>
      <c r="BQ92" s="54">
        <v>0</v>
      </c>
      <c r="BR92" s="54">
        <v>0</v>
      </c>
      <c r="BS92" s="54">
        <v>0</v>
      </c>
      <c r="BT92" s="54">
        <v>0</v>
      </c>
      <c r="BU92" s="54">
        <v>0</v>
      </c>
      <c r="BV92" s="54">
        <v>0</v>
      </c>
      <c r="BW92" s="54">
        <v>0</v>
      </c>
      <c r="BX92" s="54">
        <v>0</v>
      </c>
      <c r="BY92" s="54">
        <v>0</v>
      </c>
      <c r="BZ92" s="54">
        <v>0</v>
      </c>
      <c r="CA92" s="54">
        <v>0</v>
      </c>
      <c r="CB92" s="54">
        <v>0</v>
      </c>
      <c r="CC92" s="54">
        <v>0</v>
      </c>
      <c r="CD92" s="54">
        <v>0</v>
      </c>
      <c r="CE92" s="54">
        <v>0</v>
      </c>
      <c r="CF92" s="54">
        <v>0</v>
      </c>
      <c r="CG92" s="54">
        <v>29</v>
      </c>
      <c r="CH92" s="54">
        <v>0</v>
      </c>
      <c r="CI92" s="54">
        <v>0</v>
      </c>
      <c r="CJ92" s="54"/>
      <c r="CK92" s="54"/>
      <c r="CL92" s="54"/>
      <c r="CM92" s="54">
        <v>0</v>
      </c>
      <c r="CN92" s="54"/>
      <c r="CO92" s="54"/>
      <c r="CP92" s="54"/>
      <c r="CQ92" s="23"/>
      <c r="CU92" s="23"/>
      <c r="CV92" s="23"/>
      <c r="CW92" s="23">
        <f>SUM(O92:R92)</f>
        <v>-419</v>
      </c>
      <c r="CX92" s="23">
        <f>CW92</f>
        <v>-419</v>
      </c>
      <c r="CY92" s="23"/>
      <c r="CZ92" s="23"/>
      <c r="DA92" s="23"/>
      <c r="DB92" s="23"/>
      <c r="DC92" s="23"/>
      <c r="DD92" s="23"/>
      <c r="DE92" s="23"/>
      <c r="DF92" s="23"/>
    </row>
    <row r="93" spans="2:173" x14ac:dyDescent="0.25">
      <c r="B93" s="1" t="s">
        <v>172</v>
      </c>
      <c r="C93" s="23">
        <f>C91+C92</f>
        <v>1184</v>
      </c>
      <c r="D93" s="23">
        <f>D91+D92</f>
        <v>1307</v>
      </c>
      <c r="G93" s="23">
        <f>G91+G92</f>
        <v>1269</v>
      </c>
      <c r="H93" s="23">
        <f>H91+H92</f>
        <v>1596</v>
      </c>
      <c r="M93" s="23">
        <f t="shared" ref="M93:W93" si="158">M91+M92</f>
        <v>1737</v>
      </c>
      <c r="N93" s="23">
        <f t="shared" si="158"/>
        <v>1797</v>
      </c>
      <c r="O93" s="23">
        <f t="shared" si="158"/>
        <v>2478</v>
      </c>
      <c r="P93" s="23">
        <f t="shared" si="158"/>
        <v>1740</v>
      </c>
      <c r="Q93" s="23">
        <f t="shared" si="158"/>
        <v>1884</v>
      </c>
      <c r="R93" s="23">
        <f t="shared" si="158"/>
        <v>1594</v>
      </c>
      <c r="S93" s="23">
        <f t="shared" si="158"/>
        <v>1915</v>
      </c>
      <c r="T93" s="23">
        <f t="shared" si="158"/>
        <v>1894</v>
      </c>
      <c r="U93" s="23">
        <f>U91+U92</f>
        <v>1980</v>
      </c>
      <c r="V93" s="23">
        <f t="shared" si="158"/>
        <v>1683</v>
      </c>
      <c r="W93" s="23">
        <f t="shared" si="158"/>
        <v>2107</v>
      </c>
      <c r="X93" s="23">
        <f t="shared" ref="X93:AC93" si="159">X91+X92</f>
        <v>2133</v>
      </c>
      <c r="Y93" s="23">
        <f t="shared" si="159"/>
        <v>2288</v>
      </c>
      <c r="Z93" s="23">
        <f t="shared" si="159"/>
        <v>1977</v>
      </c>
      <c r="AA93" s="23">
        <f t="shared" si="159"/>
        <v>2940</v>
      </c>
      <c r="AB93" s="23">
        <f t="shared" si="159"/>
        <v>2478</v>
      </c>
      <c r="AC93" s="23">
        <f t="shared" si="159"/>
        <v>2860</v>
      </c>
      <c r="AD93" s="23">
        <f>AD91+AD92</f>
        <v>1838</v>
      </c>
      <c r="AE93" s="23">
        <f>AE91+AE92</f>
        <v>2170</v>
      </c>
      <c r="AF93" s="23">
        <f t="shared" ref="AF93:AH93" si="160">AF91+AF92</f>
        <v>4395.2</v>
      </c>
      <c r="AG93" s="23">
        <f t="shared" si="160"/>
        <v>4383.1615999999995</v>
      </c>
      <c r="AH93" s="23">
        <f t="shared" si="160"/>
        <v>4187.4828799999996</v>
      </c>
      <c r="AI93" s="23"/>
      <c r="AJ93" s="23"/>
      <c r="AK93" s="23"/>
      <c r="AL93" s="23"/>
      <c r="AM93" s="23"/>
      <c r="AN93" s="23">
        <f t="shared" ref="AN93:AO93" si="161">AN91+AN92</f>
        <v>1462</v>
      </c>
      <c r="AO93" s="23">
        <f t="shared" si="161"/>
        <v>1774</v>
      </c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54"/>
      <c r="BL93" s="54"/>
      <c r="BM93" s="54"/>
      <c r="BN93" s="54"/>
      <c r="BO93" s="54">
        <f t="shared" ref="BO93" si="162">BO91-BO92</f>
        <v>2042</v>
      </c>
      <c r="BP93" s="54">
        <f t="shared" ref="BP93:BQ93" si="163">BP91-BP92</f>
        <v>1540</v>
      </c>
      <c r="BQ93" s="54">
        <f t="shared" si="163"/>
        <v>2299</v>
      </c>
      <c r="BR93" s="54">
        <f t="shared" ref="BR93:BX93" si="164">BR91-BR92</f>
        <v>1527</v>
      </c>
      <c r="BS93" s="54">
        <f t="shared" si="164"/>
        <v>2016</v>
      </c>
      <c r="BT93" s="54">
        <f t="shared" si="164"/>
        <v>1731</v>
      </c>
      <c r="BU93" s="54">
        <f t="shared" si="164"/>
        <v>2736</v>
      </c>
      <c r="BV93" s="54">
        <f t="shared" si="164"/>
        <v>1730</v>
      </c>
      <c r="BW93" s="54">
        <f t="shared" si="164"/>
        <v>2423</v>
      </c>
      <c r="BX93" s="54">
        <f t="shared" si="164"/>
        <v>2170</v>
      </c>
      <c r="BY93" s="54">
        <f t="shared" ref="BY93:CB93" si="165">BY91-BY92</f>
        <v>3606</v>
      </c>
      <c r="BZ93" s="54">
        <f t="shared" si="165"/>
        <v>2140</v>
      </c>
      <c r="CA93" s="54">
        <f t="shared" si="165"/>
        <v>2698</v>
      </c>
      <c r="CB93" s="54">
        <f t="shared" si="165"/>
        <v>2177</v>
      </c>
      <c r="CC93" s="54">
        <f t="shared" ref="CC93:CD93" si="166">CC91-CC92</f>
        <v>3196</v>
      </c>
      <c r="CD93" s="54">
        <f t="shared" si="166"/>
        <v>868</v>
      </c>
      <c r="CE93" s="54">
        <f t="shared" ref="CE93:CM93" si="167">CE91-CE92</f>
        <v>2219</v>
      </c>
      <c r="CF93" s="54">
        <f t="shared" si="167"/>
        <v>2161</v>
      </c>
      <c r="CG93" s="54">
        <f t="shared" si="167"/>
        <v>3749</v>
      </c>
      <c r="CH93" s="54">
        <f t="shared" si="167"/>
        <v>1641</v>
      </c>
      <c r="CI93" s="54">
        <f t="shared" si="167"/>
        <v>2282</v>
      </c>
      <c r="CJ93" s="54">
        <f t="shared" si="167"/>
        <v>0</v>
      </c>
      <c r="CK93" s="54">
        <f t="shared" si="167"/>
        <v>0</v>
      </c>
      <c r="CL93" s="54">
        <f t="shared" si="167"/>
        <v>0</v>
      </c>
      <c r="CM93" s="54">
        <f t="shared" si="167"/>
        <v>2156</v>
      </c>
      <c r="CN93" s="54"/>
      <c r="CO93" s="54"/>
      <c r="CP93" s="54"/>
      <c r="CQ93" s="23"/>
      <c r="CU93" s="23"/>
      <c r="CV93" s="23"/>
      <c r="CW93" s="23">
        <f t="shared" ref="CW93" si="168">CW91+CW92</f>
        <v>7523</v>
      </c>
      <c r="CX93" s="23">
        <f t="shared" ref="CX93:DF93" si="169">CX91+CX92</f>
        <v>8513</v>
      </c>
      <c r="CY93" s="23">
        <f t="shared" si="169"/>
        <v>9193.5499999999993</v>
      </c>
      <c r="CZ93" s="23">
        <f t="shared" si="169"/>
        <v>14410.585101600002</v>
      </c>
      <c r="DA93" s="23">
        <f t="shared" si="169"/>
        <v>15305.636432172003</v>
      </c>
      <c r="DB93" s="23">
        <f t="shared" si="169"/>
        <v>14863.963792369741</v>
      </c>
      <c r="DC93" s="23">
        <f t="shared" si="169"/>
        <v>14831.114353272005</v>
      </c>
      <c r="DD93" s="23">
        <f t="shared" si="169"/>
        <v>15204.876745849913</v>
      </c>
      <c r="DE93" s="23">
        <f t="shared" si="169"/>
        <v>15232.412846643831</v>
      </c>
      <c r="DF93" s="23">
        <f t="shared" si="169"/>
        <v>14644.096699466001</v>
      </c>
      <c r="DG93" s="14">
        <f t="shared" ref="DG93:EL93" si="170">DF93*(1+$DR$97)</f>
        <v>14497.655732471341</v>
      </c>
      <c r="DH93" s="14">
        <f t="shared" si="170"/>
        <v>14352.679175146628</v>
      </c>
      <c r="DI93" s="14">
        <f t="shared" si="170"/>
        <v>14209.152383395161</v>
      </c>
      <c r="DJ93" s="14">
        <f t="shared" si="170"/>
        <v>14067.06085956121</v>
      </c>
      <c r="DK93" s="14">
        <f t="shared" si="170"/>
        <v>13926.390250965598</v>
      </c>
      <c r="DL93" s="14">
        <f t="shared" si="170"/>
        <v>13787.126348455942</v>
      </c>
      <c r="DM93" s="14">
        <f t="shared" si="170"/>
        <v>13649.255084971383</v>
      </c>
      <c r="DN93" s="14">
        <f t="shared" si="170"/>
        <v>13512.762534121668</v>
      </c>
      <c r="DO93" s="14">
        <f t="shared" si="170"/>
        <v>13377.634908780452</v>
      </c>
      <c r="DP93" s="14">
        <f t="shared" si="170"/>
        <v>13243.858559692648</v>
      </c>
      <c r="DQ93" s="14">
        <f t="shared" si="170"/>
        <v>13111.419974095721</v>
      </c>
      <c r="DR93" s="14">
        <f t="shared" si="170"/>
        <v>12980.305774354763</v>
      </c>
      <c r="DS93" s="14">
        <f t="shared" si="170"/>
        <v>12850.502716611216</v>
      </c>
      <c r="DT93" s="14">
        <f t="shared" si="170"/>
        <v>12721.997689445103</v>
      </c>
      <c r="DU93" s="14">
        <f t="shared" si="170"/>
        <v>12594.777712550651</v>
      </c>
      <c r="DV93" s="14">
        <f t="shared" si="170"/>
        <v>12468.829935425145</v>
      </c>
      <c r="DW93" s="14">
        <f t="shared" si="170"/>
        <v>12344.141636070894</v>
      </c>
      <c r="DX93" s="14">
        <f t="shared" si="170"/>
        <v>12220.700219710185</v>
      </c>
      <c r="DY93" s="14">
        <f t="shared" si="170"/>
        <v>12098.493217513083</v>
      </c>
      <c r="DZ93" s="14">
        <f t="shared" si="170"/>
        <v>11977.508285337952</v>
      </c>
      <c r="EA93" s="14">
        <f t="shared" si="170"/>
        <v>11857.733202484573</v>
      </c>
      <c r="EB93" s="14">
        <f t="shared" si="170"/>
        <v>11739.155870459726</v>
      </c>
      <c r="EC93" s="14">
        <f t="shared" si="170"/>
        <v>11621.764311755129</v>
      </c>
      <c r="ED93" s="14">
        <f t="shared" si="170"/>
        <v>11505.546668637577</v>
      </c>
      <c r="EE93" s="14">
        <f t="shared" si="170"/>
        <v>11390.491201951201</v>
      </c>
      <c r="EF93" s="14">
        <f t="shared" si="170"/>
        <v>11276.586289931689</v>
      </c>
      <c r="EG93" s="14">
        <f t="shared" si="170"/>
        <v>11163.820427032371</v>
      </c>
      <c r="EH93" s="14">
        <f t="shared" si="170"/>
        <v>11052.182222762047</v>
      </c>
      <c r="EI93" s="14">
        <f t="shared" si="170"/>
        <v>10941.660400534427</v>
      </c>
      <c r="EJ93" s="14">
        <f t="shared" si="170"/>
        <v>10832.243796529083</v>
      </c>
      <c r="EK93" s="14">
        <f t="shared" si="170"/>
        <v>10723.921358563792</v>
      </c>
      <c r="EL93" s="14">
        <f t="shared" si="170"/>
        <v>10616.682144978155</v>
      </c>
      <c r="EM93" s="14">
        <f t="shared" ref="EM93:FQ93" si="171">EL93*(1+$DR$97)</f>
        <v>10510.515323528372</v>
      </c>
      <c r="EN93" s="14">
        <f t="shared" si="171"/>
        <v>10405.410170293089</v>
      </c>
      <c r="EO93" s="14">
        <f t="shared" si="171"/>
        <v>10301.356068590158</v>
      </c>
      <c r="EP93" s="14">
        <f t="shared" si="171"/>
        <v>10198.342507904255</v>
      </c>
      <c r="EQ93" s="14">
        <f t="shared" si="171"/>
        <v>10096.359082825213</v>
      </c>
      <c r="ER93" s="14">
        <f t="shared" si="171"/>
        <v>9995.3954919969601</v>
      </c>
      <c r="ES93" s="14">
        <f t="shared" si="171"/>
        <v>9895.4415370769912</v>
      </c>
      <c r="ET93" s="14">
        <f t="shared" si="171"/>
        <v>9796.4871217062209</v>
      </c>
      <c r="EU93" s="14">
        <f t="shared" si="171"/>
        <v>9698.522250489159</v>
      </c>
      <c r="EV93" s="14">
        <f t="shared" si="171"/>
        <v>9601.5370279842682</v>
      </c>
      <c r="EW93" s="14">
        <f t="shared" si="171"/>
        <v>9505.5216577044248</v>
      </c>
      <c r="EX93" s="14">
        <f t="shared" si="171"/>
        <v>9410.4664411273807</v>
      </c>
      <c r="EY93" s="14">
        <f t="shared" si="171"/>
        <v>9316.3617767161068</v>
      </c>
      <c r="EZ93" s="14">
        <f t="shared" si="171"/>
        <v>9223.198158948946</v>
      </c>
      <c r="FA93" s="14">
        <f t="shared" si="171"/>
        <v>9130.9661773594562</v>
      </c>
      <c r="FB93" s="14">
        <f t="shared" si="171"/>
        <v>9039.6565155858607</v>
      </c>
      <c r="FC93" s="14">
        <f t="shared" si="171"/>
        <v>8949.2599504300015</v>
      </c>
      <c r="FD93" s="14">
        <f t="shared" si="171"/>
        <v>8859.767350925702</v>
      </c>
      <c r="FE93" s="14">
        <f t="shared" si="171"/>
        <v>8771.1696774164448</v>
      </c>
      <c r="FF93" s="14">
        <f t="shared" si="171"/>
        <v>8683.4579806422807</v>
      </c>
      <c r="FG93" s="14">
        <f t="shared" si="171"/>
        <v>8596.623400835857</v>
      </c>
      <c r="FH93" s="14">
        <f t="shared" si="171"/>
        <v>8510.6571668274992</v>
      </c>
      <c r="FI93" s="14">
        <f t="shared" si="171"/>
        <v>8425.550595159224</v>
      </c>
      <c r="FJ93" s="14">
        <f t="shared" si="171"/>
        <v>8341.2950892076315</v>
      </c>
      <c r="FK93" s="14">
        <f t="shared" si="171"/>
        <v>8257.8821383155555</v>
      </c>
      <c r="FL93" s="14">
        <f t="shared" si="171"/>
        <v>8175.3033169323999</v>
      </c>
      <c r="FM93" s="14">
        <f t="shared" si="171"/>
        <v>8093.5502837630756</v>
      </c>
      <c r="FN93" s="14">
        <f t="shared" si="171"/>
        <v>8012.6147809254444</v>
      </c>
      <c r="FO93" s="14">
        <f t="shared" si="171"/>
        <v>7932.4886331161897</v>
      </c>
      <c r="FP93" s="14">
        <f t="shared" si="171"/>
        <v>7853.1637467850278</v>
      </c>
      <c r="FQ93" s="14">
        <f t="shared" si="171"/>
        <v>7774.6321093171773</v>
      </c>
    </row>
    <row r="94" spans="2:173" s="15" customFormat="1" ht="13" x14ac:dyDescent="0.3">
      <c r="B94" s="15" t="s">
        <v>10</v>
      </c>
      <c r="C94" s="40">
        <f>C93/C95</f>
        <v>0.89327480514322943</v>
      </c>
      <c r="D94" s="40">
        <f>D93/D95</f>
        <v>0.9857784830591656</v>
      </c>
      <c r="E94" s="40"/>
      <c r="F94" s="40"/>
      <c r="G94" s="40">
        <f>G93/G95</f>
        <v>0.95046141194076128</v>
      </c>
      <c r="H94" s="40">
        <f>H93/H95</f>
        <v>1.1948209730300241</v>
      </c>
      <c r="I94" s="40"/>
      <c r="J94" s="40"/>
      <c r="K94" s="40"/>
      <c r="L94" s="40"/>
      <c r="M94" s="40">
        <f t="shared" ref="M94:W94" si="172">M93/M95</f>
        <v>1.2885756676557865</v>
      </c>
      <c r="N94" s="40">
        <f t="shared" si="172"/>
        <v>1.3322953736654806</v>
      </c>
      <c r="O94" s="40">
        <f t="shared" si="172"/>
        <v>1.8340611353711791</v>
      </c>
      <c r="P94" s="40">
        <f t="shared" si="172"/>
        <v>1.2870774465566979</v>
      </c>
      <c r="Q94" s="40">
        <f t="shared" si="172"/>
        <v>1.3962795523604832</v>
      </c>
      <c r="R94" s="40">
        <f t="shared" si="172"/>
        <v>1.1937392346289224</v>
      </c>
      <c r="S94" s="40">
        <f t="shared" si="172"/>
        <v>1.4498788612961842</v>
      </c>
      <c r="T94" s="40">
        <f t="shared" si="172"/>
        <v>1.4502297090352221</v>
      </c>
      <c r="U94" s="40">
        <f t="shared" si="172"/>
        <v>1.5174739423666463</v>
      </c>
      <c r="V94" s="40">
        <f t="shared" si="172"/>
        <v>1.289556355834802</v>
      </c>
      <c r="W94" s="40">
        <f t="shared" si="172"/>
        <v>1.613941018766756</v>
      </c>
      <c r="X94" s="40">
        <f t="shared" ref="X94:Y94" si="173">X93/X95</f>
        <v>1.6338567598621219</v>
      </c>
      <c r="Y94" s="40">
        <f t="shared" si="173"/>
        <v>1.7523167649536646</v>
      </c>
      <c r="Z94" s="40">
        <f t="shared" ref="Z94:AH94" si="174">Z93/Z95</f>
        <v>1.5126243305279266</v>
      </c>
      <c r="AA94" s="40">
        <f t="shared" si="174"/>
        <v>2.2489099671077795</v>
      </c>
      <c r="AB94" s="40">
        <f t="shared" si="174"/>
        <v>1.8998696618876025</v>
      </c>
      <c r="AC94" s="40">
        <f t="shared" si="174"/>
        <v>2.1919068056407114</v>
      </c>
      <c r="AD94" s="40"/>
      <c r="AE94" s="40">
        <f t="shared" si="174"/>
        <v>1.6625804474410051</v>
      </c>
      <c r="AF94" s="40">
        <f t="shared" si="174"/>
        <v>3.3674532638676062</v>
      </c>
      <c r="AG94" s="40">
        <f t="shared" si="174"/>
        <v>3.3582298498314431</v>
      </c>
      <c r="AH94" s="40">
        <f t="shared" si="174"/>
        <v>3.2083074471345383</v>
      </c>
      <c r="AI94" s="40"/>
      <c r="AJ94" s="40"/>
      <c r="AK94" s="40"/>
      <c r="AL94" s="40"/>
      <c r="AM94" s="40"/>
      <c r="AN94" s="40">
        <f t="shared" ref="AN94:AO94" si="175">AN93/AN95</f>
        <v>1.1028136079052575</v>
      </c>
      <c r="AO94" s="40">
        <f t="shared" si="175"/>
        <v>1.3403853418964866</v>
      </c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63"/>
      <c r="BL94" s="63"/>
      <c r="BM94" s="63"/>
      <c r="BN94" s="63"/>
      <c r="BO94" s="63">
        <f t="shared" ref="BO94" si="176">BO93/BO95</f>
        <v>1.6319028210660913</v>
      </c>
      <c r="BP94" s="63">
        <f t="shared" ref="BP94:BQ94" si="177">BP93/BP95</f>
        <v>1.2298354895384123</v>
      </c>
      <c r="BQ94" s="63">
        <f t="shared" si="177"/>
        <v>1.8308513179899657</v>
      </c>
      <c r="BR94" s="63">
        <f t="shared" ref="BR94:BX94" si="178">BR93/BR95</f>
        <v>1.2166361246115849</v>
      </c>
      <c r="BS94" s="63">
        <f t="shared" si="178"/>
        <v>1.6137036740574722</v>
      </c>
      <c r="BT94" s="63">
        <f t="shared" si="178"/>
        <v>1.3833613042435866</v>
      </c>
      <c r="BU94" s="63">
        <f t="shared" si="178"/>
        <v>2.1809485850936627</v>
      </c>
      <c r="BV94" s="63">
        <f t="shared" si="178"/>
        <v>1.3785959040561</v>
      </c>
      <c r="BW94" s="63">
        <f t="shared" si="178"/>
        <v>1.9396413704771054</v>
      </c>
      <c r="BX94" s="63">
        <f t="shared" si="178"/>
        <v>1.7348896706108092</v>
      </c>
      <c r="BY94" s="63">
        <f t="shared" ref="BY94:CE94" si="179">BY93/BY95</f>
        <v>2.8767451136816913</v>
      </c>
      <c r="BZ94" s="63">
        <f t="shared" si="179"/>
        <v>1.7065390749601277</v>
      </c>
      <c r="CA94" s="63">
        <f t="shared" si="179"/>
        <v>2.1596093812535022</v>
      </c>
      <c r="CB94" s="63">
        <f t="shared" si="179"/>
        <v>1.7407644330721255</v>
      </c>
      <c r="CC94" s="63">
        <f t="shared" si="179"/>
        <v>2.5502713054580273</v>
      </c>
      <c r="CD94" s="63">
        <f t="shared" si="179"/>
        <v>0.69240587109125717</v>
      </c>
      <c r="CE94" s="63">
        <f t="shared" si="179"/>
        <v>1.7769058295964126</v>
      </c>
      <c r="CF94" s="63">
        <f>CF93/CF95</f>
        <v>1.7286617070634351</v>
      </c>
      <c r="CG94" s="63">
        <f>CG93/CG95</f>
        <v>2.9920191540303271</v>
      </c>
      <c r="CH94" s="63">
        <f>+CH93/CH95</f>
        <v>1.3090299936183791</v>
      </c>
      <c r="CI94" s="63">
        <f>+CI93/CI95</f>
        <v>1.8494205365102518</v>
      </c>
      <c r="CJ94" s="63" t="e">
        <f t="shared" ref="CJ94:CM94" si="180">+CJ93/CJ95</f>
        <v>#DIV/0!</v>
      </c>
      <c r="CK94" s="63" t="e">
        <f t="shared" si="180"/>
        <v>#DIV/0!</v>
      </c>
      <c r="CL94" s="63" t="e">
        <f t="shared" si="180"/>
        <v>#DIV/0!</v>
      </c>
      <c r="CM94" s="63" t="e">
        <f t="shared" si="180"/>
        <v>#DIV/0!</v>
      </c>
      <c r="CN94" s="63"/>
      <c r="CO94" s="63"/>
      <c r="CP94" s="63"/>
      <c r="CQ94" s="40"/>
      <c r="CR94" s="46"/>
      <c r="CS94" s="46"/>
      <c r="CT94" s="46"/>
      <c r="CU94" s="46"/>
      <c r="CV94" s="46">
        <f>SUM(O94:R94)</f>
        <v>5.7111573689172825</v>
      </c>
      <c r="CW94" s="46">
        <f t="shared" ref="CW94:DB94" si="181">CW93/CW95</f>
        <v>5.7463669868428582</v>
      </c>
      <c r="CX94" s="46">
        <f>CX93/CX95</f>
        <v>6.5187510768229417</v>
      </c>
      <c r="CY94" s="46">
        <f>CY93/CY95</f>
        <v>7.0423475640894706</v>
      </c>
      <c r="CZ94" s="46">
        <f t="shared" si="181"/>
        <v>11.038646538862222</v>
      </c>
      <c r="DA94" s="46">
        <f t="shared" si="181"/>
        <v>11.724264451158211</v>
      </c>
      <c r="DB94" s="46">
        <f t="shared" si="181"/>
        <v>11.385938968723631</v>
      </c>
      <c r="DC94" s="46">
        <f>DC93/DC95</f>
        <v>11.360775982998678</v>
      </c>
      <c r="DD94" s="46">
        <f>DD93/DD95</f>
        <v>11.647081564076638</v>
      </c>
      <c r="DE94" s="46">
        <f>DE93/DE95</f>
        <v>11.668174481649347</v>
      </c>
      <c r="DF94" s="46">
        <f>DF93/DF95</f>
        <v>11.217518664691555</v>
      </c>
    </row>
    <row r="95" spans="2:173" x14ac:dyDescent="0.25">
      <c r="B95" s="1" t="s">
        <v>11</v>
      </c>
      <c r="C95" s="23">
        <v>1325.4599740000001</v>
      </c>
      <c r="D95" s="23">
        <v>1325.855679</v>
      </c>
      <c r="G95" s="23">
        <v>1335.1410000000001</v>
      </c>
      <c r="H95" s="23">
        <v>1335.7649690000001</v>
      </c>
      <c r="M95" s="23">
        <v>1348</v>
      </c>
      <c r="N95" s="23">
        <v>1348.8</v>
      </c>
      <c r="O95" s="23">
        <v>1351.1</v>
      </c>
      <c r="P95" s="23">
        <v>1351.9</v>
      </c>
      <c r="Q95" s="23">
        <v>1349.3</v>
      </c>
      <c r="R95" s="23">
        <v>1335.3</v>
      </c>
      <c r="S95" s="23">
        <v>1320.8</v>
      </c>
      <c r="T95" s="23">
        <v>1306</v>
      </c>
      <c r="U95" s="23">
        <v>1304.8</v>
      </c>
      <c r="V95" s="23">
        <v>1305.0999999999999</v>
      </c>
      <c r="W95" s="23">
        <v>1305.5</v>
      </c>
      <c r="X95" s="23">
        <v>1305.5</v>
      </c>
      <c r="Y95" s="23">
        <v>1305.7</v>
      </c>
      <c r="Z95" s="23">
        <v>1307</v>
      </c>
      <c r="AA95" s="23">
        <v>1307.3</v>
      </c>
      <c r="AB95" s="23">
        <v>1304.3</v>
      </c>
      <c r="AC95" s="23">
        <v>1304.8</v>
      </c>
      <c r="AD95" s="23"/>
      <c r="AE95" s="23">
        <v>1305.2</v>
      </c>
      <c r="AF95" s="23">
        <f>+AE95</f>
        <v>1305.2</v>
      </c>
      <c r="AG95" s="23">
        <f>+AF95</f>
        <v>1305.2</v>
      </c>
      <c r="AH95" s="23">
        <f>+AG95</f>
        <v>1305.2</v>
      </c>
      <c r="AI95" s="23"/>
      <c r="AJ95" s="23"/>
      <c r="AK95" s="23"/>
      <c r="AL95" s="23"/>
      <c r="AM95" s="23"/>
      <c r="AN95" s="23">
        <v>1325.7</v>
      </c>
      <c r="AO95" s="23">
        <v>1323.5</v>
      </c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54"/>
      <c r="BL95" s="54"/>
      <c r="BM95" s="54"/>
      <c r="BN95" s="54"/>
      <c r="BO95" s="54">
        <v>1251.3</v>
      </c>
      <c r="BP95" s="54">
        <v>1252.2</v>
      </c>
      <c r="BQ95" s="54">
        <v>1255.7</v>
      </c>
      <c r="BR95" s="54">
        <v>1255.0999999999999</v>
      </c>
      <c r="BS95" s="54">
        <v>1249.3</v>
      </c>
      <c r="BT95" s="54">
        <v>1251.3</v>
      </c>
      <c r="BU95" s="54">
        <v>1254.5</v>
      </c>
      <c r="BV95" s="54">
        <v>1254.9000000000001</v>
      </c>
      <c r="BW95" s="54">
        <v>1249.2</v>
      </c>
      <c r="BX95" s="54">
        <v>1250.8</v>
      </c>
      <c r="BY95" s="54">
        <v>1253.5</v>
      </c>
      <c r="BZ95" s="54">
        <v>1254</v>
      </c>
      <c r="CA95" s="54">
        <v>1249.3</v>
      </c>
      <c r="CB95" s="54">
        <v>1250.5999999999999</v>
      </c>
      <c r="CC95" s="54">
        <v>1253.2</v>
      </c>
      <c r="CD95" s="54">
        <v>1253.5999999999999</v>
      </c>
      <c r="CE95" s="54">
        <v>1248.8</v>
      </c>
      <c r="CF95" s="54">
        <v>1250.0999999999999</v>
      </c>
      <c r="CG95" s="54">
        <v>1253</v>
      </c>
      <c r="CH95" s="54">
        <v>1253.5999999999999</v>
      </c>
      <c r="CI95" s="54">
        <v>1233.9000000000001</v>
      </c>
      <c r="CJ95" s="54"/>
      <c r="CK95" s="54"/>
      <c r="CL95" s="54"/>
      <c r="CM95" s="54"/>
      <c r="CN95" s="54"/>
      <c r="CO95" s="54"/>
      <c r="CP95" s="54"/>
      <c r="CQ95" s="23"/>
      <c r="CV95" s="23">
        <f>AVERAGE(O95:R95)</f>
        <v>1346.9</v>
      </c>
      <c r="CW95" s="23">
        <f>AVERAGE(S95:V95)</f>
        <v>1309.1750000000002</v>
      </c>
      <c r="CX95" s="23">
        <f>AVERAGE(W95:Z95)</f>
        <v>1305.925</v>
      </c>
      <c r="CY95" s="23">
        <f>AVERAGE(AA95:AD95)</f>
        <v>1305.4666666666665</v>
      </c>
      <c r="CZ95" s="23">
        <f t="shared" ref="CZ95:DD95" si="182">CY95</f>
        <v>1305.4666666666665</v>
      </c>
      <c r="DA95" s="23">
        <f t="shared" si="182"/>
        <v>1305.4666666666665</v>
      </c>
      <c r="DB95" s="23">
        <f t="shared" si="182"/>
        <v>1305.4666666666665</v>
      </c>
      <c r="DC95" s="23">
        <f t="shared" si="182"/>
        <v>1305.4666666666665</v>
      </c>
      <c r="DD95" s="23">
        <f t="shared" si="182"/>
        <v>1305.4666666666665</v>
      </c>
      <c r="DE95" s="23">
        <f>DD95</f>
        <v>1305.4666666666665</v>
      </c>
      <c r="DF95" s="23">
        <f>DE95</f>
        <v>1305.4666666666665</v>
      </c>
    </row>
    <row r="96" spans="2:173" x14ac:dyDescent="0.25">
      <c r="DQ96" s="19" t="s">
        <v>296</v>
      </c>
      <c r="DR96" s="25">
        <v>0.06</v>
      </c>
    </row>
    <row r="97" spans="2:123" x14ac:dyDescent="0.25">
      <c r="B97" s="1" t="s">
        <v>169</v>
      </c>
      <c r="M97" s="41">
        <f t="shared" ref="M97:W97" si="183">M82/M80</f>
        <v>0.76829445007969854</v>
      </c>
      <c r="N97" s="41">
        <f t="shared" si="183"/>
        <v>0.76495377922784125</v>
      </c>
      <c r="O97" s="41">
        <f t="shared" si="183"/>
        <v>0.77595095443778739</v>
      </c>
      <c r="P97" s="41">
        <f t="shared" si="183"/>
        <v>0.77676898688571838</v>
      </c>
      <c r="Q97" s="41">
        <f t="shared" si="183"/>
        <v>0.77153024911032031</v>
      </c>
      <c r="R97" s="41">
        <f t="shared" si="183"/>
        <v>0.76067139343076251</v>
      </c>
      <c r="S97" s="41">
        <f t="shared" si="183"/>
        <v>0.76803006214770919</v>
      </c>
      <c r="T97" s="41">
        <f t="shared" si="183"/>
        <v>0.78472118403348778</v>
      </c>
      <c r="U97" s="41">
        <f t="shared" si="183"/>
        <v>0.78389026703633446</v>
      </c>
      <c r="V97" s="41">
        <f t="shared" si="183"/>
        <v>0.77994075327972912</v>
      </c>
      <c r="W97" s="41">
        <f t="shared" si="183"/>
        <v>0.79977486984663004</v>
      </c>
      <c r="X97" s="41">
        <f t="shared" ref="X97:Y97" si="184">X82/X80</f>
        <v>0.80193496371943029</v>
      </c>
      <c r="Y97" s="41">
        <f t="shared" si="184"/>
        <v>0.77621621621621617</v>
      </c>
      <c r="Z97" s="41">
        <f t="shared" ref="Z97:AE97" si="185">Z82/Z80</f>
        <v>0.7477244939546257</v>
      </c>
      <c r="AA97" s="41">
        <f t="shared" si="185"/>
        <v>0.7929855659660674</v>
      </c>
      <c r="AB97" s="41">
        <f t="shared" si="185"/>
        <v>0.7879994860593601</v>
      </c>
      <c r="AC97" s="41">
        <f t="shared" si="185"/>
        <v>0.76243447129523079</v>
      </c>
      <c r="AD97" s="41">
        <f t="shared" si="185"/>
        <v>0.74374577417173771</v>
      </c>
      <c r="AE97" s="41">
        <f t="shared" si="185"/>
        <v>0.74945365728242708</v>
      </c>
      <c r="AF97" s="41">
        <v>0.76</v>
      </c>
      <c r="AG97" s="41">
        <v>0.76</v>
      </c>
      <c r="AH97" s="41">
        <v>0.76</v>
      </c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64"/>
      <c r="BL97" s="64"/>
      <c r="BM97" s="64"/>
      <c r="BN97" s="64"/>
      <c r="BO97" s="64">
        <f t="shared" ref="BO97" si="186">+BO82/BO80</f>
        <v>0.72094059957650725</v>
      </c>
      <c r="BP97" s="64">
        <f t="shared" ref="BP97" si="187">+BP82/BP80</f>
        <v>0.70403314243938098</v>
      </c>
      <c r="BQ97" s="64">
        <f t="shared" ref="BQ97:BR97" si="188">+BQ82/BQ80</f>
        <v>0.70893554172381057</v>
      </c>
      <c r="BR97" s="64">
        <f t="shared" si="188"/>
        <v>0.67117885312300152</v>
      </c>
      <c r="BS97" s="64">
        <f t="shared" ref="BS97" si="189">+BS82/BS80</f>
        <v>0.72191828657897805</v>
      </c>
      <c r="BT97" s="64">
        <f t="shared" ref="BT97:BU97" si="190">+BT82/BT80</f>
        <v>0.70757090576395243</v>
      </c>
      <c r="BU97" s="64">
        <f t="shared" si="190"/>
        <v>0.72766487730061347</v>
      </c>
      <c r="BV97" s="64">
        <f t="shared" ref="BV97:BW97" si="191">+BV82/BV80</f>
        <v>0.69481689013408043</v>
      </c>
      <c r="BW97" s="64">
        <f t="shared" si="191"/>
        <v>0.74165202108963091</v>
      </c>
      <c r="BX97" s="64">
        <f t="shared" ref="BX97:CF97" si="192">+BX82/BX80</f>
        <v>0.74070778964017403</v>
      </c>
      <c r="BY97" s="64">
        <f t="shared" si="192"/>
        <v>0.74563371254606636</v>
      </c>
      <c r="BZ97" s="64">
        <f t="shared" si="192"/>
        <v>0.7199738903394256</v>
      </c>
      <c r="CA97" s="64">
        <f t="shared" si="192"/>
        <v>0.76147148028568634</v>
      </c>
      <c r="CB97" s="64">
        <f t="shared" si="192"/>
        <v>0.74450577019568487</v>
      </c>
      <c r="CC97" s="64">
        <f t="shared" si="192"/>
        <v>0.74038783015713805</v>
      </c>
      <c r="CD97" s="64">
        <f t="shared" si="192"/>
        <v>0.71640560593569658</v>
      </c>
      <c r="CE97" s="64">
        <f t="shared" si="192"/>
        <v>0.735282874617737</v>
      </c>
      <c r="CF97" s="64">
        <f t="shared" si="192"/>
        <v>0.74211261051651933</v>
      </c>
      <c r="CG97" s="64">
        <f t="shared" ref="CG97:CI97" si="193">+CG82/CG80</f>
        <v>0.74953493563509188</v>
      </c>
      <c r="CH97" s="64">
        <f t="shared" si="193"/>
        <v>0.74249739657294334</v>
      </c>
      <c r="CI97" s="64">
        <f t="shared" si="193"/>
        <v>0.78001212611156023</v>
      </c>
      <c r="CJ97" s="64"/>
      <c r="CK97" s="64"/>
      <c r="CL97" s="64"/>
      <c r="CM97" s="64"/>
      <c r="CN97" s="64"/>
      <c r="CO97" s="64"/>
      <c r="CP97" s="64"/>
      <c r="CQ97" s="41"/>
      <c r="CV97" s="41">
        <f t="shared" ref="CV97:CX97" si="194">CV82/CV80</f>
        <v>0</v>
      </c>
      <c r="CW97" s="41">
        <f t="shared" si="194"/>
        <v>0.77909255898366603</v>
      </c>
      <c r="CX97" s="41">
        <f t="shared" si="194"/>
        <v>0.78130330945069937</v>
      </c>
      <c r="CY97" s="41">
        <v>0.77</v>
      </c>
      <c r="CZ97" s="41">
        <v>0.76</v>
      </c>
      <c r="DA97" s="41">
        <v>0.76</v>
      </c>
      <c r="DB97" s="41">
        <v>0.75</v>
      </c>
      <c r="DC97" s="41">
        <v>0.75</v>
      </c>
      <c r="DD97" s="41">
        <v>0.75</v>
      </c>
      <c r="DE97" s="41">
        <v>0.75</v>
      </c>
      <c r="DF97" s="41">
        <v>0.75</v>
      </c>
      <c r="DQ97" s="1" t="s">
        <v>205</v>
      </c>
      <c r="DR97" s="25">
        <v>-0.01</v>
      </c>
    </row>
    <row r="98" spans="2:123" x14ac:dyDescent="0.25">
      <c r="B98" s="1" t="s">
        <v>171</v>
      </c>
      <c r="M98" s="41">
        <f t="shared" ref="M98:W98" si="195">M89/M88</f>
        <v>0.30154220779220781</v>
      </c>
      <c r="N98" s="41">
        <f t="shared" si="195"/>
        <v>0.22399328859060402</v>
      </c>
      <c r="O98" s="41">
        <f t="shared" si="195"/>
        <v>9.8529411764705879E-2</v>
      </c>
      <c r="P98" s="41">
        <f t="shared" si="195"/>
        <v>0.29905335628227192</v>
      </c>
      <c r="Q98" s="41">
        <f t="shared" si="195"/>
        <v>0.31461538461538463</v>
      </c>
      <c r="R98" s="41">
        <f t="shared" si="195"/>
        <v>0.23469903894790087</v>
      </c>
      <c r="S98" s="41">
        <f t="shared" si="195"/>
        <v>0.28983788058521154</v>
      </c>
      <c r="T98" s="41">
        <f t="shared" si="195"/>
        <v>0.26058091286307056</v>
      </c>
      <c r="U98" s="41">
        <f t="shared" si="195"/>
        <v>0.28576879053796261</v>
      </c>
      <c r="V98" s="41">
        <f t="shared" si="195"/>
        <v>0.26219512195121952</v>
      </c>
      <c r="W98" s="41">
        <f t="shared" si="195"/>
        <v>0.28512396694214875</v>
      </c>
      <c r="X98" s="41">
        <f t="shared" ref="X98:Z98" si="196">X89/X88</f>
        <v>0.32398980706224972</v>
      </c>
      <c r="Y98" s="41">
        <f>Y89/Y88</f>
        <v>0.28421052631578947</v>
      </c>
      <c r="Z98" s="41">
        <f t="shared" si="196"/>
        <v>0.21958584987057808</v>
      </c>
      <c r="AA98" s="41">
        <f t="shared" ref="AA98:AC98" si="197">AA89/AA88</f>
        <v>0.22935779816513763</v>
      </c>
      <c r="AB98" s="41">
        <f t="shared" si="197"/>
        <v>0.27565039462145574</v>
      </c>
      <c r="AC98" s="41">
        <f t="shared" si="197"/>
        <v>0.12385165022116366</v>
      </c>
      <c r="AD98" s="41">
        <f>AD89/AD88</f>
        <v>0.26192619261926192</v>
      </c>
      <c r="AE98" s="41">
        <f>AE89/AE88</f>
        <v>0.28650239058477384</v>
      </c>
      <c r="AF98" s="41">
        <v>0.28000000000000003</v>
      </c>
      <c r="AG98" s="41">
        <v>0.28000000000000003</v>
      </c>
      <c r="AH98" s="41">
        <v>0.28000000000000003</v>
      </c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64"/>
      <c r="BL98" s="64"/>
      <c r="BM98" s="64"/>
      <c r="BN98" s="64"/>
      <c r="BO98" s="64">
        <f t="shared" ref="BO98" si="198">+BO89/BO88</f>
        <v>0.20383602858217376</v>
      </c>
      <c r="BP98" s="64">
        <f t="shared" ref="BP98" si="199">+BP89/BP88</f>
        <v>0.22064777327935223</v>
      </c>
      <c r="BQ98" s="64">
        <f t="shared" ref="BQ98:BR98" si="200">+BQ89/BQ88</f>
        <v>0.2209420535411725</v>
      </c>
      <c r="BR98" s="64">
        <f t="shared" si="200"/>
        <v>0.22052067381316998</v>
      </c>
      <c r="BS98" s="64">
        <f t="shared" ref="BS98" si="201">+BS89/BS88</f>
        <v>0.21034077555816685</v>
      </c>
      <c r="BT98" s="64">
        <f t="shared" ref="BT98:BU98" si="202">+BT89/BT88</f>
        <v>0.20922795797167656</v>
      </c>
      <c r="BU98" s="64">
        <f t="shared" si="202"/>
        <v>0.21220846530377196</v>
      </c>
      <c r="BV98" s="64">
        <f t="shared" ref="BV98:BW98" si="203">+BV89/BV88</f>
        <v>0.203865623561896</v>
      </c>
      <c r="BW98" s="64">
        <f t="shared" si="203"/>
        <v>0.18854655056932351</v>
      </c>
      <c r="BX98" s="64">
        <f t="shared" ref="BX98:CF98" si="204">+BX89/BX88</f>
        <v>0.1890881913303438</v>
      </c>
      <c r="BY98" s="64">
        <f t="shared" si="204"/>
        <v>0.18911625815156285</v>
      </c>
      <c r="BZ98" s="64">
        <f t="shared" si="204"/>
        <v>0.20593692022263452</v>
      </c>
      <c r="CA98" s="64">
        <f t="shared" si="204"/>
        <v>0.18857142857142858</v>
      </c>
      <c r="CB98" s="64">
        <f t="shared" si="204"/>
        <v>0.18889716840536513</v>
      </c>
      <c r="CC98" s="64">
        <f t="shared" si="204"/>
        <v>0.18986058301647654</v>
      </c>
      <c r="CD98" s="64">
        <f t="shared" si="204"/>
        <v>0.34192570128885519</v>
      </c>
      <c r="CE98" s="64">
        <f t="shared" si="204"/>
        <v>0.20749999999999999</v>
      </c>
      <c r="CF98" s="64">
        <f t="shared" si="204"/>
        <v>0.20755408874220754</v>
      </c>
      <c r="CG98" s="64">
        <f t="shared" ref="CG98:CI98" si="205">+CG89/CG88</f>
        <v>0.16610322289835475</v>
      </c>
      <c r="CH98" s="64">
        <f t="shared" si="205"/>
        <v>0.18560794044665013</v>
      </c>
      <c r="CI98" s="64">
        <f t="shared" si="205"/>
        <v>0.21418732782369146</v>
      </c>
      <c r="CJ98" s="64"/>
      <c r="CK98" s="64"/>
      <c r="CL98" s="64"/>
      <c r="CM98" s="64"/>
      <c r="CN98" s="64"/>
      <c r="CO98" s="64"/>
      <c r="CP98" s="64"/>
      <c r="CQ98" s="41"/>
      <c r="CW98" s="41">
        <f>CW89/CW88</f>
        <v>0.27456023042896821</v>
      </c>
      <c r="CX98" s="41">
        <f>CX89/CX88</f>
        <v>0.28074033351658423</v>
      </c>
      <c r="CY98" s="41">
        <v>0.25</v>
      </c>
      <c r="CZ98" s="41">
        <v>0.25</v>
      </c>
      <c r="DA98" s="41">
        <v>0.25</v>
      </c>
      <c r="DB98" s="41">
        <v>0.25</v>
      </c>
      <c r="DC98" s="41">
        <v>0.25</v>
      </c>
      <c r="DD98" s="41">
        <v>0.25</v>
      </c>
      <c r="DE98" s="41">
        <v>0.25</v>
      </c>
      <c r="DF98" s="41">
        <v>0.25</v>
      </c>
      <c r="DQ98" s="1" t="s">
        <v>206</v>
      </c>
      <c r="DR98" s="47">
        <v>0.12</v>
      </c>
      <c r="DS98" s="1" t="s">
        <v>313</v>
      </c>
    </row>
    <row r="99" spans="2:123" x14ac:dyDescent="0.25"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Q99" s="1" t="s">
        <v>207</v>
      </c>
      <c r="DR99" s="27">
        <f>NPV($DR$98,DA93:FS93)+Main!K5-Main!K6+CZ93</f>
        <v>119783.62986976348</v>
      </c>
      <c r="DS99" s="1" t="s">
        <v>208</v>
      </c>
    </row>
    <row r="100" spans="2:123" s="11" customFormat="1" ht="13" x14ac:dyDescent="0.3">
      <c r="B100" s="11" t="s">
        <v>170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42">
        <f t="shared" ref="O100:V100" si="206">O80/K80-1</f>
        <v>2.0184790334043967E-2</v>
      </c>
      <c r="P100" s="42">
        <f t="shared" si="206"/>
        <v>-2.005366473661907E-2</v>
      </c>
      <c r="Q100" s="42">
        <f t="shared" si="206"/>
        <v>1.7968410375307942E-2</v>
      </c>
      <c r="R100" s="42">
        <f t="shared" si="206"/>
        <v>-6.0494834148994037E-2</v>
      </c>
      <c r="S100" s="42">
        <f t="shared" si="206"/>
        <v>-3.5948167758116156E-2</v>
      </c>
      <c r="T100" s="42">
        <f t="shared" si="206"/>
        <v>-3.6028246144977683E-2</v>
      </c>
      <c r="U100" s="42">
        <f>U80/Q80-1</f>
        <v>-2.4483985765124561E-2</v>
      </c>
      <c r="V100" s="42">
        <f t="shared" si="206"/>
        <v>2.5756041093908166E-2</v>
      </c>
      <c r="W100" s="42">
        <f t="shared" ref="W100:X100" si="207">W80/S80-1</f>
        <v>2.7171556583321266E-2</v>
      </c>
      <c r="X100" s="42">
        <f t="shared" si="207"/>
        <v>0.11257288084915529</v>
      </c>
      <c r="Y100" s="42">
        <f t="shared" ref="Y100:AE100" si="208">Y80/U80-1</f>
        <v>7.9819057347147337E-2</v>
      </c>
      <c r="Z100" s="42">
        <f t="shared" si="208"/>
        <v>3.83693045563549E-2</v>
      </c>
      <c r="AA100" s="42">
        <f t="shared" si="208"/>
        <v>0.11129871957225279</v>
      </c>
      <c r="AB100" s="42">
        <f t="shared" si="208"/>
        <v>4.5821015855952663E-2</v>
      </c>
      <c r="AC100" s="42">
        <f t="shared" si="208"/>
        <v>5.6891891891891921E-2</v>
      </c>
      <c r="AD100" s="42">
        <f t="shared" si="208"/>
        <v>4.6189376443417363E-3</v>
      </c>
      <c r="AE100" s="42">
        <f t="shared" si="208"/>
        <v>-1.5067105596353492E-2</v>
      </c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65"/>
      <c r="BL100" s="65"/>
      <c r="BM100" s="65"/>
      <c r="BN100" s="65"/>
      <c r="BO100" s="65"/>
      <c r="BP100" s="65"/>
      <c r="BQ100" s="65"/>
      <c r="BR100" s="65"/>
      <c r="BS100" s="65">
        <f>+BS80/BO80-1</f>
        <v>-4.2572160927226155E-2</v>
      </c>
      <c r="BT100" s="65">
        <f>+BT80/BP80-1</f>
        <v>6.5431948336785561E-2</v>
      </c>
      <c r="BU100" s="65">
        <f>+BU80/BQ80-1</f>
        <v>0.1005380314379154</v>
      </c>
      <c r="BV100" s="65">
        <f>+BV80/BR80-1</f>
        <v>6.5231293967171089E-2</v>
      </c>
      <c r="BW100" s="65">
        <f t="shared" ref="BW100" si="209">+BW80/BS80-1</f>
        <v>0.12594575718775469</v>
      </c>
      <c r="BX100" s="65">
        <f>+BX80/BT80-1</f>
        <v>0.15690759377859109</v>
      </c>
      <c r="BY100" s="65">
        <f t="shared" ref="BY100:CH100" si="210">+BY80/BU80-1</f>
        <v>0.19651073619631898</v>
      </c>
      <c r="BZ100" s="65">
        <f t="shared" si="210"/>
        <v>7.3043826295777547E-2</v>
      </c>
      <c r="CA100" s="65">
        <f t="shared" si="210"/>
        <v>5.6652537992349927E-2</v>
      </c>
      <c r="CB100" s="65">
        <f t="shared" si="210"/>
        <v>-1.4926848556741756E-2</v>
      </c>
      <c r="CC100" s="65">
        <f t="shared" si="210"/>
        <v>-4.1499759653901624E-2</v>
      </c>
      <c r="CD100" s="65">
        <f t="shared" si="210"/>
        <v>-9.5113763521074257E-2</v>
      </c>
      <c r="CE100" s="65">
        <f>+CE80/CA80-1</f>
        <v>2.3774581743469358E-2</v>
      </c>
      <c r="CF100" s="65">
        <f t="shared" si="210"/>
        <v>7.8273958855995973E-2</v>
      </c>
      <c r="CG100" s="65">
        <f t="shared" si="210"/>
        <v>0.12328652624540282</v>
      </c>
      <c r="CH100" s="65">
        <f t="shared" si="210"/>
        <v>8.8520197856553962E-2</v>
      </c>
      <c r="CI100" s="65">
        <f t="shared" ref="CI100" si="211">+CI80/CE80-1</f>
        <v>-5.4281345565749262E-2</v>
      </c>
      <c r="CJ100" s="65">
        <f t="shared" ref="CJ100" si="212">+CJ80/CF80-1</f>
        <v>-3.8768729641693755E-2</v>
      </c>
      <c r="CK100" s="65">
        <f t="shared" ref="CK100" si="213">+CK80/CG80-1</f>
        <v>-8.7690304338120528E-2</v>
      </c>
      <c r="CL100" s="65">
        <f t="shared" ref="CL100:CM100" si="214">+CL80/CH80-1</f>
        <v>1.9396951623591674E-2</v>
      </c>
      <c r="CM100" s="65">
        <f t="shared" si="214"/>
        <v>4.3148746968472151E-2</v>
      </c>
      <c r="CN100" s="65"/>
      <c r="CO100" s="65"/>
      <c r="CP100" s="65"/>
      <c r="CQ100" s="42"/>
      <c r="CR100" s="45"/>
      <c r="CS100" s="45"/>
      <c r="CT100" s="45"/>
      <c r="CU100" s="45"/>
      <c r="CV100" s="42">
        <f>CV80/CU80-1</f>
        <v>-1.1313572762837953E-2</v>
      </c>
      <c r="CW100" s="42">
        <f t="shared" ref="CW100:DB100" si="215">CW80/CV80-1</f>
        <v>-1.7895337230857011E-2</v>
      </c>
      <c r="CX100" s="42">
        <f t="shared" si="215"/>
        <v>6.3883847549909278E-2</v>
      </c>
      <c r="CY100" s="42">
        <f t="shared" si="215"/>
        <v>3.7700443534629757E-2</v>
      </c>
      <c r="CZ100" s="42">
        <f t="shared" si="215"/>
        <v>-8.8696366924214676E-3</v>
      </c>
      <c r="DA100" s="42">
        <f t="shared" si="215"/>
        <v>-3.3663060457657656E-2</v>
      </c>
      <c r="DB100" s="42">
        <f t="shared" si="215"/>
        <v>-5.5654504717852049E-2</v>
      </c>
      <c r="DC100" s="42">
        <f>DC80/DB80-1</f>
        <v>-4.5349036594959591E-2</v>
      </c>
      <c r="DD100" s="42">
        <f>DD80/DC80-1</f>
        <v>-1.9877723922329449E-2</v>
      </c>
      <c r="DE100" s="42">
        <f>DE80/DD80-1</f>
        <v>-4.5355557432140592E-2</v>
      </c>
      <c r="DF100" s="42">
        <f>DF80/DE80-1</f>
        <v>-9.2156395641669664E-2</v>
      </c>
      <c r="DQ100" s="19" t="s">
        <v>338</v>
      </c>
      <c r="DR100" s="21">
        <f>DR99/Main!K3</f>
        <v>99.471541164062018</v>
      </c>
      <c r="DS100" s="1"/>
    </row>
    <row r="101" spans="2:123" s="11" customFormat="1" ht="13" x14ac:dyDescent="0.3">
      <c r="B101" s="11" t="s">
        <v>308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>
        <v>-1.2E-2</v>
      </c>
      <c r="AC101" s="42"/>
      <c r="AD101" s="42"/>
      <c r="AE101" s="42">
        <v>-5.1999999999999998E-2</v>
      </c>
      <c r="AF101" s="42"/>
      <c r="AG101" s="42"/>
      <c r="AH101" s="42"/>
      <c r="AI101" s="42"/>
      <c r="AJ101" s="42"/>
      <c r="AK101" s="42"/>
      <c r="AL101" s="42"/>
      <c r="AM101" s="42"/>
      <c r="AN101" s="42"/>
      <c r="AO101" s="42">
        <v>6.0000000000000001E-3</v>
      </c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>
        <v>8.1000000000000003E-2</v>
      </c>
      <c r="BY101" s="65">
        <v>0.09</v>
      </c>
      <c r="BZ101" s="65">
        <v>2.5999999999999999E-2</v>
      </c>
      <c r="CA101" s="65">
        <v>5.5E-2</v>
      </c>
      <c r="CB101" s="65">
        <v>4.3999999999999997E-2</v>
      </c>
      <c r="CC101" s="65">
        <v>3.2000000000000001E-2</v>
      </c>
      <c r="CD101" s="65">
        <v>9.2999999999999999E-2</v>
      </c>
      <c r="CE101" s="65">
        <v>6.7000000000000004E-2</v>
      </c>
      <c r="CF101" s="65">
        <v>0.10199999999999999</v>
      </c>
      <c r="CG101" s="65">
        <v>0.157</v>
      </c>
      <c r="CH101" s="65">
        <v>0.10299999999999999</v>
      </c>
      <c r="CI101" s="65">
        <v>9.7000000000000003E-2</v>
      </c>
      <c r="CJ101" s="65"/>
      <c r="CK101" s="65"/>
      <c r="CL101" s="65"/>
      <c r="CM101" s="65">
        <v>0.13600000000000001</v>
      </c>
      <c r="CN101" s="65"/>
      <c r="CO101" s="65"/>
      <c r="CP101" s="65"/>
      <c r="CQ101" s="42"/>
      <c r="CR101" s="45"/>
      <c r="CS101" s="45"/>
      <c r="CT101" s="45"/>
      <c r="CU101" s="45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M101" s="78">
        <v>0.113</v>
      </c>
      <c r="DQ101" s="19" t="s">
        <v>339</v>
      </c>
      <c r="DR101" s="25">
        <f>DR100/Main!K2-1</f>
        <v>0.29351809055997413</v>
      </c>
      <c r="DS101" s="1"/>
    </row>
    <row r="102" spans="2:123" s="19" customFormat="1" x14ac:dyDescent="0.25">
      <c r="B102" s="19" t="s">
        <v>559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66"/>
      <c r="BL102" s="66"/>
      <c r="BM102" s="66"/>
      <c r="BN102" s="66"/>
      <c r="BO102" s="66"/>
      <c r="BP102" s="66"/>
      <c r="BQ102" s="66"/>
      <c r="BR102" s="66"/>
      <c r="BS102" s="66">
        <f t="shared" ref="BS102:CA102" si="216">+BS3/BO3-1</f>
        <v>0.34922680412371143</v>
      </c>
      <c r="BT102" s="66">
        <f t="shared" si="216"/>
        <v>0.44871794871794868</v>
      </c>
      <c r="BU102" s="66">
        <f t="shared" si="216"/>
        <v>0.53594771241830075</v>
      </c>
      <c r="BV102" s="66">
        <f t="shared" si="216"/>
        <v>0.57739307535641538</v>
      </c>
      <c r="BW102" s="66">
        <f t="shared" si="216"/>
        <v>0.54154727793696278</v>
      </c>
      <c r="BX102" s="66">
        <f t="shared" si="216"/>
        <v>0.57924376508447306</v>
      </c>
      <c r="BY102" s="66">
        <f t="shared" si="216"/>
        <v>0.64113475177304968</v>
      </c>
      <c r="BZ102" s="66">
        <f t="shared" si="216"/>
        <v>0.55067785668173008</v>
      </c>
      <c r="CA102" s="66">
        <f t="shared" si="216"/>
        <v>0.43494423791821557</v>
      </c>
      <c r="CB102" s="66">
        <f t="shared" ref="CB102:CG102" si="217">+CB3/BX3-1</f>
        <v>0.30514518593988793</v>
      </c>
      <c r="CC102" s="66">
        <f t="shared" si="217"/>
        <v>0.2303370786516854</v>
      </c>
      <c r="CD102" s="66">
        <f t="shared" si="217"/>
        <v>0.24479600333055784</v>
      </c>
      <c r="CE102" s="66">
        <f t="shared" si="217"/>
        <v>0.22409326424870457</v>
      </c>
      <c r="CF102" s="66">
        <f t="shared" si="217"/>
        <v>0.28922716627634659</v>
      </c>
      <c r="CG102" s="66">
        <f t="shared" si="217"/>
        <v>0.22093431682472775</v>
      </c>
      <c r="CH102" s="66">
        <f>+CH3/CD3-1</f>
        <v>0.15652173913043477</v>
      </c>
      <c r="CI102" s="66">
        <f>+CI3/CE3-1</f>
        <v>0.22751322751322745</v>
      </c>
      <c r="CJ102" s="66">
        <f>+CJ3/CF3-1</f>
        <v>0.19999999999999996</v>
      </c>
      <c r="CK102" s="66">
        <f>+CK3/CG3-1</f>
        <v>0.19999999999999996</v>
      </c>
      <c r="CL102" s="66">
        <f>+CL3/CH3-1</f>
        <v>0.19999999999999973</v>
      </c>
      <c r="CM102" s="66">
        <f>+CM3/CI3-1</f>
        <v>0.19827586206896552</v>
      </c>
      <c r="CN102" s="66">
        <f t="shared" ref="CN102:CP102" si="218">+CN3/CJ3-1</f>
        <v>-1</v>
      </c>
      <c r="CO102" s="66">
        <f t="shared" si="218"/>
        <v>-1</v>
      </c>
      <c r="CP102" s="66">
        <f t="shared" si="218"/>
        <v>-1</v>
      </c>
      <c r="CQ102" s="43"/>
      <c r="CR102" s="33"/>
      <c r="CS102" s="33"/>
      <c r="CT102" s="33"/>
      <c r="CU102" s="3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R102" s="73"/>
    </row>
    <row r="103" spans="2:123" s="19" customFormat="1" x14ac:dyDescent="0.25">
      <c r="B103" s="19" t="s">
        <v>283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43"/>
      <c r="M103" s="43"/>
      <c r="N103" s="43"/>
      <c r="O103" s="43">
        <f t="shared" ref="O103:AE103" si="219">O4/K4-1</f>
        <v>0.19895287958115193</v>
      </c>
      <c r="P103" s="43">
        <f t="shared" si="219"/>
        <v>0.19477434679334915</v>
      </c>
      <c r="Q103" s="43">
        <f t="shared" si="219"/>
        <v>0.25728155339805836</v>
      </c>
      <c r="R103" s="43">
        <f t="shared" si="219"/>
        <v>0.22394678492239461</v>
      </c>
      <c r="S103" s="43">
        <f t="shared" si="219"/>
        <v>0.21615720524017457</v>
      </c>
      <c r="T103" s="43">
        <f t="shared" si="219"/>
        <v>0.14512922465208744</v>
      </c>
      <c r="U103" s="43">
        <f t="shared" si="219"/>
        <v>0.18146718146718155</v>
      </c>
      <c r="V103" s="43">
        <f t="shared" si="219"/>
        <v>0.27717391304347827</v>
      </c>
      <c r="W103" s="43">
        <f t="shared" si="219"/>
        <v>0.34111310592459598</v>
      </c>
      <c r="X103" s="43">
        <f t="shared" si="219"/>
        <v>0.375</v>
      </c>
      <c r="Y103" s="43">
        <f t="shared" si="219"/>
        <v>0.2712418300653594</v>
      </c>
      <c r="Z103" s="43">
        <f t="shared" si="219"/>
        <v>8.2269503546099187E-2</v>
      </c>
      <c r="AA103" s="43">
        <f t="shared" si="219"/>
        <v>5.7563587684069661E-2</v>
      </c>
      <c r="AB103" s="43">
        <f t="shared" si="219"/>
        <v>0.16919191919191912</v>
      </c>
      <c r="AC103" s="43">
        <f t="shared" si="219"/>
        <v>0.15681233933161964</v>
      </c>
      <c r="AD103" s="43">
        <f t="shared" si="219"/>
        <v>0.17169069462647446</v>
      </c>
      <c r="AE103" s="43">
        <f t="shared" si="219"/>
        <v>0.17088607594936711</v>
      </c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66"/>
      <c r="BL103" s="66"/>
      <c r="BM103" s="66"/>
      <c r="BN103" s="66"/>
      <c r="BO103" s="66"/>
      <c r="BP103" s="66"/>
      <c r="BQ103" s="66"/>
      <c r="BR103" s="66"/>
      <c r="BS103" s="66">
        <f>+BS4/BO4-1</f>
        <v>-9.9447513812154664E-2</v>
      </c>
      <c r="BT103" s="66">
        <f t="shared" ref="BT103:CD103" si="220">+BT4/BP4-1</f>
        <v>-8.0808080808080773E-2</v>
      </c>
      <c r="BU103" s="66">
        <f t="shared" si="220"/>
        <v>-5.3272450532724558E-2</v>
      </c>
      <c r="BV103" s="66">
        <f t="shared" si="220"/>
        <v>-6.8143100511073307E-3</v>
      </c>
      <c r="BW103" s="66">
        <f t="shared" si="220"/>
        <v>2.914110429447847E-2</v>
      </c>
      <c r="BX103" s="66">
        <f t="shared" si="220"/>
        <v>-5.8084772370486704E-2</v>
      </c>
      <c r="BY103" s="66">
        <f t="shared" si="220"/>
        <v>-0.1012861736334405</v>
      </c>
      <c r="BZ103" s="66">
        <f t="shared" si="220"/>
        <v>-0.26415094339622647</v>
      </c>
      <c r="CA103" s="66">
        <f t="shared" si="220"/>
        <v>-0.33383010432190763</v>
      </c>
      <c r="CB103" s="66">
        <f t="shared" si="220"/>
        <v>-0.41166666666666663</v>
      </c>
      <c r="CC103" s="66">
        <f t="shared" si="220"/>
        <v>-0.38640429338103754</v>
      </c>
      <c r="CD103" s="66">
        <f t="shared" si="220"/>
        <v>-0.35431235431235431</v>
      </c>
      <c r="CE103" s="66">
        <f>+CE4/CA4-1</f>
        <v>-0.19463087248322153</v>
      </c>
      <c r="CF103" s="66">
        <f>+CF4/CB4-1</f>
        <v>0.12747875354107641</v>
      </c>
      <c r="CG103" s="66">
        <f>+CG4/CC4-1</f>
        <v>0.2565597667638484</v>
      </c>
      <c r="CH103" s="66">
        <f>+CH4/CD4-1</f>
        <v>0.58483754512635389</v>
      </c>
      <c r="CI103" s="66">
        <f>+CI4/CE4-1</f>
        <v>0.25</v>
      </c>
      <c r="CJ103" s="66">
        <f>+CJ4/CF4-1</f>
        <v>-9.9999999999999978E-2</v>
      </c>
      <c r="CK103" s="66">
        <f>+CK4/CG4-1</f>
        <v>-9.9999999999999867E-2</v>
      </c>
      <c r="CL103" s="66">
        <f>+CL4/CH4-1</f>
        <v>-9.9999999999999978E-2</v>
      </c>
      <c r="CM103" s="66">
        <f>+CM4/CI4-1</f>
        <v>-6.8888888888888888E-2</v>
      </c>
      <c r="CN103" s="66">
        <f t="shared" ref="CN103:CP103" si="221">+CN4/CJ4-1</f>
        <v>-1</v>
      </c>
      <c r="CO103" s="66">
        <f t="shared" si="221"/>
        <v>-1</v>
      </c>
      <c r="CP103" s="66">
        <f t="shared" si="221"/>
        <v>-1</v>
      </c>
      <c r="CQ103" s="43"/>
      <c r="CR103" s="33"/>
      <c r="CS103" s="33"/>
      <c r="CT103" s="33"/>
      <c r="CU103" s="3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I103" s="73"/>
    </row>
    <row r="104" spans="2:123" s="19" customFormat="1" x14ac:dyDescent="0.25">
      <c r="B104" s="19" t="s">
        <v>297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>
        <f t="shared" ref="V104:AE104" si="222">V6/R6-1</f>
        <v>0.11127596439169141</v>
      </c>
      <c r="W104" s="43">
        <f t="shared" si="222"/>
        <v>6.2761506276150625E-2</v>
      </c>
      <c r="X104" s="43">
        <f t="shared" si="222"/>
        <v>0.22448979591836737</v>
      </c>
      <c r="Y104" s="43">
        <f t="shared" si="222"/>
        <v>0.17637795275590551</v>
      </c>
      <c r="Z104" s="43">
        <f t="shared" si="222"/>
        <v>6.6755674232310547E-3</v>
      </c>
      <c r="AA104" s="43">
        <f t="shared" si="222"/>
        <v>9.1863517060366551E-3</v>
      </c>
      <c r="AB104" s="43">
        <f t="shared" si="222"/>
        <v>0.11025641025641031</v>
      </c>
      <c r="AC104" s="43">
        <f t="shared" si="222"/>
        <v>-0.21151271753681389</v>
      </c>
      <c r="AD104" s="43">
        <f t="shared" si="222"/>
        <v>-0.22811671087533159</v>
      </c>
      <c r="AE104" s="43">
        <f t="shared" si="222"/>
        <v>-0.24187256176853056</v>
      </c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43"/>
      <c r="CR104" s="33"/>
      <c r="CS104" s="33"/>
      <c r="CT104" s="33"/>
      <c r="CU104" s="3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</row>
    <row r="105" spans="2:123" s="19" customFormat="1" ht="13" x14ac:dyDescent="0.3">
      <c r="B105" s="19" t="s">
        <v>176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43"/>
      <c r="P105" s="43"/>
      <c r="Q105" s="43">
        <f t="shared" ref="Q105:V105" si="223">Q94/M94-1</f>
        <v>8.3583671031624229E-2</v>
      </c>
      <c r="R105" s="43">
        <f t="shared" si="223"/>
        <v>-0.10399806362410113</v>
      </c>
      <c r="S105" s="43">
        <f t="shared" si="223"/>
        <v>-0.20947081134089007</v>
      </c>
      <c r="T105" s="43">
        <f t="shared" si="223"/>
        <v>0.12676180669236614</v>
      </c>
      <c r="U105" s="43">
        <f t="shared" si="223"/>
        <v>8.6798084095178307E-2</v>
      </c>
      <c r="V105" s="43">
        <f t="shared" si="223"/>
        <v>8.0266375123093425E-2</v>
      </c>
      <c r="W105" s="43">
        <f t="shared" ref="W105:X105" si="224">W94/S94-1</f>
        <v>0.11315576897500335</v>
      </c>
      <c r="X105" s="43">
        <f t="shared" si="224"/>
        <v>0.1266192863674398</v>
      </c>
      <c r="Y105" s="43">
        <f>Y94/U94-1</f>
        <v>0.15475904793512196</v>
      </c>
      <c r="Z105" s="43">
        <f>Z94/V94-1</f>
        <v>0.17298040033986739</v>
      </c>
      <c r="AA105" s="43">
        <f>AA94/W94-1</f>
        <v>0.39342760420465406</v>
      </c>
      <c r="AB105" s="43">
        <f>AB94/X94-1</f>
        <v>0.16281286619515467</v>
      </c>
      <c r="AC105" s="43">
        <f>AC94/Y94-1</f>
        <v>0.25086220110361768</v>
      </c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43"/>
      <c r="CR105" s="33"/>
      <c r="CS105" s="33"/>
      <c r="CT105" s="33"/>
      <c r="CU105" s="33"/>
      <c r="CV105" s="43"/>
      <c r="CW105" s="43">
        <f t="shared" ref="CW105:DB105" si="225">CW94/CV94-1</f>
        <v>6.165058262481482E-3</v>
      </c>
      <c r="CX105" s="43">
        <f t="shared" si="225"/>
        <v>0.13441259351318302</v>
      </c>
      <c r="CY105" s="43">
        <f t="shared" si="225"/>
        <v>8.0321595516685163E-2</v>
      </c>
      <c r="CZ105" s="43">
        <f t="shared" si="225"/>
        <v>0.56746687640791649</v>
      </c>
      <c r="DA105" s="43">
        <f t="shared" si="225"/>
        <v>6.211068629493921E-2</v>
      </c>
      <c r="DB105" s="43">
        <f t="shared" si="225"/>
        <v>-2.8856862095187452E-2</v>
      </c>
      <c r="DC105" s="43">
        <f>DC94/DB94-1</f>
        <v>-2.2100053227118721E-3</v>
      </c>
      <c r="DD105" s="43">
        <f>DD94/DC94-1</f>
        <v>2.5201234625734426E-2</v>
      </c>
      <c r="DE105" s="43">
        <f>DE94/DD94-1</f>
        <v>1.8110045384902573E-3</v>
      </c>
      <c r="DF105" s="43">
        <f t="shared" ref="DF105" si="226">DF94/DE94-1</f>
        <v>-3.8622649812662835E-2</v>
      </c>
      <c r="DQ105" s="10"/>
    </row>
    <row r="106" spans="2:123" s="19" customFormat="1" x14ac:dyDescent="0.25"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43"/>
      <c r="CR106" s="33"/>
      <c r="CS106" s="33"/>
      <c r="CT106" s="33"/>
      <c r="CU106" s="3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</row>
    <row r="107" spans="2:123" x14ac:dyDescent="0.25">
      <c r="B107" s="1" t="s">
        <v>174</v>
      </c>
      <c r="Q107" s="23">
        <v>-4500</v>
      </c>
      <c r="R107" s="23">
        <f>Q107+R93</f>
        <v>-2906</v>
      </c>
      <c r="S107" s="23">
        <v>-4000</v>
      </c>
      <c r="T107" s="23">
        <v>-5593</v>
      </c>
      <c r="U107" s="23">
        <v>-3700</v>
      </c>
      <c r="V107" s="23">
        <f>U107+V93</f>
        <v>-2017</v>
      </c>
      <c r="W107" s="23">
        <v>-1236</v>
      </c>
      <c r="X107" s="23"/>
      <c r="Y107" s="23">
        <v>-5050</v>
      </c>
      <c r="Z107" s="23">
        <v>-4135</v>
      </c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4"/>
      <c r="CP107" s="54"/>
      <c r="CQ107" s="23"/>
      <c r="CV107" s="23"/>
      <c r="CW107" s="23"/>
      <c r="CX107" s="23"/>
    </row>
    <row r="108" spans="2:123" x14ac:dyDescent="0.25">
      <c r="B108" s="1" t="s">
        <v>175</v>
      </c>
      <c r="CW108" s="23">
        <f t="shared" ref="CW108:DB108" si="227">CW93</f>
        <v>7523</v>
      </c>
      <c r="CX108" s="23">
        <f>CX93</f>
        <v>8513</v>
      </c>
      <c r="CY108" s="23">
        <f t="shared" si="227"/>
        <v>9193.5499999999993</v>
      </c>
      <c r="CZ108" s="23">
        <f t="shared" si="227"/>
        <v>14410.585101600002</v>
      </c>
      <c r="DA108" s="23">
        <f t="shared" si="227"/>
        <v>15305.636432172003</v>
      </c>
      <c r="DB108" s="23">
        <f t="shared" si="227"/>
        <v>14863.963792369741</v>
      </c>
      <c r="DC108" s="23">
        <f>DC93</f>
        <v>14831.114353272005</v>
      </c>
      <c r="DD108" s="23">
        <f>DD93</f>
        <v>15204.876745849913</v>
      </c>
      <c r="DE108" s="23">
        <f>DE93</f>
        <v>15232.412846643831</v>
      </c>
      <c r="DF108" s="23"/>
    </row>
    <row r="110" spans="2:123" s="27" customFormat="1" x14ac:dyDescent="0.25">
      <c r="B110" s="48" t="s">
        <v>337</v>
      </c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>
        <f>3221+181+1256</f>
        <v>4658</v>
      </c>
      <c r="AC110" s="23"/>
      <c r="AD110" s="23"/>
      <c r="AE110" s="23">
        <f>19199-19183</f>
        <v>16</v>
      </c>
      <c r="AF110" s="23">
        <f>+AE110-19641</f>
        <v>-19625</v>
      </c>
      <c r="AG110" s="23">
        <f>+AF110+AG93</f>
        <v>-15241.838400000001</v>
      </c>
      <c r="AH110" s="23">
        <f t="shared" ref="AH110" si="228">+AG110+AH93</f>
        <v>-11054.355520000001</v>
      </c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23"/>
      <c r="CR110" s="23"/>
      <c r="CS110" s="23"/>
      <c r="CT110" s="23"/>
      <c r="CU110" s="23"/>
      <c r="CV110" s="23"/>
      <c r="CW110" s="23"/>
      <c r="CX110" s="23"/>
      <c r="CY110" s="23">
        <f>+AH110</f>
        <v>-11054.355520000001</v>
      </c>
      <c r="CZ110" s="23">
        <f t="shared" ref="CZ110:DF110" si="229">CZ108+CY110</f>
        <v>3356.2295816000005</v>
      </c>
      <c r="DA110" s="23">
        <f t="shared" si="229"/>
        <v>18661.866013772003</v>
      </c>
      <c r="DB110" s="23">
        <f t="shared" si="229"/>
        <v>33525.829806141744</v>
      </c>
      <c r="DC110" s="23">
        <f t="shared" si="229"/>
        <v>48356.944159413746</v>
      </c>
      <c r="DD110" s="23">
        <f t="shared" si="229"/>
        <v>63561.820905263659</v>
      </c>
      <c r="DE110" s="23">
        <f t="shared" si="229"/>
        <v>78794.233751907494</v>
      </c>
      <c r="DF110" s="23">
        <f t="shared" si="229"/>
        <v>78794.233751907494</v>
      </c>
    </row>
    <row r="111" spans="2:123" s="27" customFormat="1" x14ac:dyDescent="0.25">
      <c r="B111" s="48" t="s">
        <v>309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4"/>
      <c r="CP111" s="54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</row>
    <row r="112" spans="2:123" s="27" customFormat="1" ht="13" x14ac:dyDescent="0.3">
      <c r="B112" s="48" t="s">
        <v>310</v>
      </c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23"/>
      <c r="CR112" s="23"/>
      <c r="CS112" s="23"/>
      <c r="CT112" s="23"/>
      <c r="CU112" s="23"/>
      <c r="CV112" s="23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</row>
    <row r="113" spans="2:110" s="27" customFormat="1" ht="13" x14ac:dyDescent="0.3">
      <c r="B113" s="48" t="s">
        <v>311</v>
      </c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23"/>
      <c r="CR113" s="23"/>
      <c r="CS113" s="23"/>
      <c r="CT113" s="23"/>
      <c r="CU113" s="23"/>
      <c r="CV113" s="23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</row>
    <row r="114" spans="2:110" s="27" customFormat="1" x14ac:dyDescent="0.25">
      <c r="B114" s="48" t="s">
        <v>312</v>
      </c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</row>
    <row r="115" spans="2:110" s="27" customFormat="1" x14ac:dyDescent="0.25"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4"/>
      <c r="CP115" s="54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</row>
    <row r="116" spans="2:110" s="27" customFormat="1" x14ac:dyDescent="0.25"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</row>
    <row r="117" spans="2:110" s="27" customFormat="1" x14ac:dyDescent="0.25"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</row>
    <row r="118" spans="2:110" s="27" customFormat="1" x14ac:dyDescent="0.25"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</row>
    <row r="119" spans="2:110" s="27" customFormat="1" x14ac:dyDescent="0.25"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4"/>
      <c r="CP119" s="54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</row>
    <row r="120" spans="2:110" s="27" customFormat="1" x14ac:dyDescent="0.25"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</row>
    <row r="121" spans="2:110" s="27" customFormat="1" x14ac:dyDescent="0.25"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</row>
    <row r="122" spans="2:110" s="27" customFormat="1" x14ac:dyDescent="0.25"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</row>
    <row r="123" spans="2:110" s="27" customFormat="1" x14ac:dyDescent="0.25"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</row>
    <row r="124" spans="2:110" s="27" customFormat="1" x14ac:dyDescent="0.25"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</row>
    <row r="125" spans="2:110" s="27" customFormat="1" x14ac:dyDescent="0.25"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</row>
    <row r="126" spans="2:110" s="27" customFormat="1" x14ac:dyDescent="0.25"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</row>
    <row r="127" spans="2:110" s="27" customFormat="1" x14ac:dyDescent="0.25"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</row>
    <row r="128" spans="2:110" s="27" customFormat="1" x14ac:dyDescent="0.25"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</row>
  </sheetData>
  <phoneticPr fontId="2" type="noConversion"/>
  <hyperlinks>
    <hyperlink ref="A1" location="Main!A1" display="Main" xr:uid="{00000000-0004-0000-0300-000000000000}"/>
  </hyperlinks>
  <pageMargins left="0.17" right="0.02" top="0.42" bottom="1" header="0.5" footer="0.5"/>
  <pageSetup scale="16" orientation="landscape" horizontalDpi="4294967293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D0FC-BE9A-4804-A1F8-5730C974DDE3}">
  <dimension ref="A1:C26"/>
  <sheetViews>
    <sheetView zoomScale="175" zoomScaleNormal="175" workbookViewId="0">
      <selection activeCell="C5" sqref="C5"/>
    </sheetView>
  </sheetViews>
  <sheetFormatPr defaultRowHeight="12.5" x14ac:dyDescent="0.25"/>
  <cols>
    <col min="1" max="1" width="5" bestFit="1" customWidth="1"/>
    <col min="2" max="2" width="9.81640625" bestFit="1" customWidth="1"/>
  </cols>
  <sheetData>
    <row r="1" spans="1:3" x14ac:dyDescent="0.25">
      <c r="A1" s="28" t="s">
        <v>65</v>
      </c>
    </row>
    <row r="2" spans="1:3" x14ac:dyDescent="0.25">
      <c r="B2" s="29" t="s">
        <v>583</v>
      </c>
      <c r="C2" s="29" t="s">
        <v>526</v>
      </c>
    </row>
    <row r="3" spans="1:3" x14ac:dyDescent="0.25">
      <c r="B3" s="29" t="s">
        <v>584</v>
      </c>
      <c r="C3" s="29" t="s">
        <v>585</v>
      </c>
    </row>
    <row r="4" spans="1:3" x14ac:dyDescent="0.25">
      <c r="B4" s="29" t="s">
        <v>586</v>
      </c>
      <c r="C4" s="29" t="s">
        <v>627</v>
      </c>
    </row>
    <row r="5" spans="1:3" x14ac:dyDescent="0.25">
      <c r="B5" s="29"/>
      <c r="C5" s="29" t="s">
        <v>601</v>
      </c>
    </row>
    <row r="6" spans="1:3" x14ac:dyDescent="0.25">
      <c r="B6" s="29"/>
      <c r="C6" s="29" t="s">
        <v>606</v>
      </c>
    </row>
    <row r="7" spans="1:3" x14ac:dyDescent="0.25">
      <c r="B7" s="29" t="s">
        <v>587</v>
      </c>
      <c r="C7" s="29" t="s">
        <v>588</v>
      </c>
    </row>
    <row r="8" spans="1:3" x14ac:dyDescent="0.25">
      <c r="B8" s="29" t="s">
        <v>589</v>
      </c>
      <c r="C8" s="29" t="s">
        <v>590</v>
      </c>
    </row>
    <row r="9" spans="1:3" x14ac:dyDescent="0.25">
      <c r="C9" s="29" t="s">
        <v>596</v>
      </c>
    </row>
    <row r="18" spans="3:3" ht="13" x14ac:dyDescent="0.3">
      <c r="C18" s="30" t="s">
        <v>602</v>
      </c>
    </row>
    <row r="22" spans="3:3" ht="13" x14ac:dyDescent="0.3">
      <c r="C22" s="30" t="s">
        <v>603</v>
      </c>
    </row>
    <row r="23" spans="3:3" x14ac:dyDescent="0.25">
      <c r="C23" s="29" t="s">
        <v>605</v>
      </c>
    </row>
    <row r="25" spans="3:3" ht="13" x14ac:dyDescent="0.3">
      <c r="C25" s="30" t="s">
        <v>604</v>
      </c>
    </row>
    <row r="26" spans="3:3" x14ac:dyDescent="0.25">
      <c r="C26" s="29" t="s">
        <v>605</v>
      </c>
    </row>
  </sheetData>
  <hyperlinks>
    <hyperlink ref="A1" location="Main!A1" display="Main" xr:uid="{CC029C72-D8AD-46DE-B91C-F1BE7254C24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C8" sqref="C8"/>
    </sheetView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9" t="s">
        <v>65</v>
      </c>
    </row>
    <row r="2" spans="1:3" x14ac:dyDescent="0.25">
      <c r="B2" s="1" t="s">
        <v>66</v>
      </c>
      <c r="C2" s="1" t="s">
        <v>49</v>
      </c>
    </row>
    <row r="3" spans="1:3" x14ac:dyDescent="0.25">
      <c r="B3" s="1" t="s">
        <v>67</v>
      </c>
      <c r="C3" s="1" t="s">
        <v>68</v>
      </c>
    </row>
    <row r="4" spans="1:3" x14ac:dyDescent="0.25">
      <c r="B4" s="1" t="s">
        <v>16</v>
      </c>
      <c r="C4" s="1" t="s">
        <v>166</v>
      </c>
    </row>
    <row r="5" spans="1:3" x14ac:dyDescent="0.25">
      <c r="B5" s="1" t="s">
        <v>13</v>
      </c>
      <c r="C5" s="1" t="s">
        <v>69</v>
      </c>
    </row>
    <row r="6" spans="1:3" x14ac:dyDescent="0.25">
      <c r="B6" s="1" t="s">
        <v>15</v>
      </c>
      <c r="C6" s="1" t="s">
        <v>187</v>
      </c>
    </row>
    <row r="7" spans="1:3" x14ac:dyDescent="0.25">
      <c r="C7" s="19" t="s">
        <v>290</v>
      </c>
    </row>
    <row r="8" spans="1:3" x14ac:dyDescent="0.25">
      <c r="B8" s="1" t="s">
        <v>70</v>
      </c>
      <c r="C8" s="1" t="s">
        <v>165</v>
      </c>
    </row>
    <row r="9" spans="1:3" x14ac:dyDescent="0.25">
      <c r="B9" s="1" t="s">
        <v>74</v>
      </c>
    </row>
    <row r="12" spans="1:3" ht="13" x14ac:dyDescent="0.3">
      <c r="C12" s="10" t="s">
        <v>148</v>
      </c>
    </row>
    <row r="13" spans="1:3" x14ac:dyDescent="0.25">
      <c r="C13" s="1" t="s">
        <v>146</v>
      </c>
    </row>
    <row r="17" spans="3:3" ht="13" x14ac:dyDescent="0.3">
      <c r="C17" s="10" t="s">
        <v>147</v>
      </c>
    </row>
    <row r="18" spans="3:3" x14ac:dyDescent="0.25">
      <c r="C18" s="1" t="s">
        <v>149</v>
      </c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8" t="s">
        <v>65</v>
      </c>
    </row>
    <row r="2" spans="1:3" x14ac:dyDescent="0.25">
      <c r="B2" s="29" t="s">
        <v>66</v>
      </c>
      <c r="C2" s="29" t="s">
        <v>62</v>
      </c>
    </row>
    <row r="3" spans="1:3" x14ac:dyDescent="0.25">
      <c r="B3" s="29" t="s">
        <v>67</v>
      </c>
      <c r="C3" s="29" t="s">
        <v>218</v>
      </c>
    </row>
    <row r="4" spans="1:3" x14ac:dyDescent="0.25">
      <c r="B4" s="29" t="s">
        <v>74</v>
      </c>
    </row>
    <row r="5" spans="1:3" ht="13" x14ac:dyDescent="0.3">
      <c r="C5" s="30" t="s">
        <v>219</v>
      </c>
    </row>
    <row r="6" spans="1:3" x14ac:dyDescent="0.25">
      <c r="C6" s="29" t="s">
        <v>220</v>
      </c>
    </row>
    <row r="7" spans="1:3" x14ac:dyDescent="0.25">
      <c r="C7" s="29" t="s">
        <v>221</v>
      </c>
    </row>
    <row r="9" spans="1:3" ht="13" x14ac:dyDescent="0.3">
      <c r="C9" s="30" t="s">
        <v>224</v>
      </c>
    </row>
    <row r="10" spans="1:3" x14ac:dyDescent="0.25">
      <c r="C10" s="29" t="s">
        <v>225</v>
      </c>
    </row>
  </sheetData>
  <hyperlinks>
    <hyperlink ref="A1" location="Main!A1" display="Main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9"/>
  <sheetViews>
    <sheetView zoomScale="145" zoomScaleNormal="145" workbookViewId="0">
      <selection activeCell="C6" sqref="C6"/>
    </sheetView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9" t="s">
        <v>65</v>
      </c>
    </row>
    <row r="2" spans="1:3" x14ac:dyDescent="0.25">
      <c r="B2" s="1" t="s">
        <v>66</v>
      </c>
      <c r="C2" s="19" t="s">
        <v>350</v>
      </c>
    </row>
    <row r="3" spans="1:3" x14ac:dyDescent="0.25">
      <c r="B3" s="1" t="s">
        <v>67</v>
      </c>
      <c r="C3" s="1" t="s">
        <v>200</v>
      </c>
    </row>
    <row r="4" spans="1:3" x14ac:dyDescent="0.25">
      <c r="B4" s="1" t="s">
        <v>70</v>
      </c>
      <c r="C4" s="1" t="s">
        <v>201</v>
      </c>
    </row>
    <row r="5" spans="1:3" x14ac:dyDescent="0.25">
      <c r="B5" s="19" t="s">
        <v>15</v>
      </c>
      <c r="C5" s="19" t="s">
        <v>562</v>
      </c>
    </row>
    <row r="6" spans="1:3" x14ac:dyDescent="0.25">
      <c r="B6" s="1" t="s">
        <v>74</v>
      </c>
    </row>
    <row r="7" spans="1:3" ht="13" x14ac:dyDescent="0.3">
      <c r="C7" s="10" t="s">
        <v>202</v>
      </c>
    </row>
    <row r="8" spans="1:3" x14ac:dyDescent="0.25">
      <c r="C8" s="1" t="s">
        <v>203</v>
      </c>
    </row>
    <row r="9" spans="1:3" x14ac:dyDescent="0.25">
      <c r="C9" s="1" t="s">
        <v>204</v>
      </c>
    </row>
  </sheetData>
  <phoneticPr fontId="2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zoomScale="120" workbookViewId="0">
      <selection activeCell="C6" sqref="C6"/>
    </sheetView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9" t="s">
        <v>65</v>
      </c>
    </row>
    <row r="2" spans="1:3" x14ac:dyDescent="0.25">
      <c r="B2" s="1" t="s">
        <v>66</v>
      </c>
      <c r="C2" s="1" t="s">
        <v>39</v>
      </c>
    </row>
    <row r="3" spans="1:3" x14ac:dyDescent="0.25">
      <c r="B3" s="1" t="s">
        <v>67</v>
      </c>
      <c r="C3" s="1" t="s">
        <v>42</v>
      </c>
    </row>
    <row r="4" spans="1:3" x14ac:dyDescent="0.25">
      <c r="B4" s="1" t="s">
        <v>13</v>
      </c>
      <c r="C4" s="1" t="s">
        <v>195</v>
      </c>
    </row>
    <row r="5" spans="1:3" x14ac:dyDescent="0.25">
      <c r="B5" s="1" t="s">
        <v>14</v>
      </c>
      <c r="C5" s="19" t="s">
        <v>280</v>
      </c>
    </row>
    <row r="6" spans="1:3" x14ac:dyDescent="0.25">
      <c r="B6" s="1" t="s">
        <v>15</v>
      </c>
      <c r="C6" s="1" t="s">
        <v>117</v>
      </c>
    </row>
    <row r="7" spans="1:3" x14ac:dyDescent="0.25">
      <c r="C7" s="1" t="s">
        <v>194</v>
      </c>
    </row>
    <row r="8" spans="1:3" x14ac:dyDescent="0.25">
      <c r="C8" s="1" t="s">
        <v>197</v>
      </c>
    </row>
    <row r="9" spans="1:3" x14ac:dyDescent="0.25">
      <c r="C9" s="1" t="s">
        <v>198</v>
      </c>
    </row>
    <row r="10" spans="1:3" x14ac:dyDescent="0.25">
      <c r="B10" s="1" t="s">
        <v>74</v>
      </c>
    </row>
    <row r="11" spans="1:3" x14ac:dyDescent="0.25">
      <c r="C11" s="1" t="s">
        <v>43</v>
      </c>
    </row>
    <row r="14" spans="1:3" ht="13" x14ac:dyDescent="0.3">
      <c r="C14" s="10" t="s">
        <v>115</v>
      </c>
    </row>
    <row r="15" spans="1:3" x14ac:dyDescent="0.25">
      <c r="C15" s="1" t="s">
        <v>116</v>
      </c>
    </row>
    <row r="18" spans="3:3" ht="13" x14ac:dyDescent="0.3">
      <c r="C18" s="10" t="s">
        <v>111</v>
      </c>
    </row>
    <row r="22" spans="3:3" ht="13" x14ac:dyDescent="0.3">
      <c r="C22" s="10" t="s">
        <v>114</v>
      </c>
    </row>
    <row r="25" spans="3:3" ht="13" x14ac:dyDescent="0.3">
      <c r="C25" s="10" t="s">
        <v>112</v>
      </c>
    </row>
    <row r="26" spans="3:3" x14ac:dyDescent="0.25">
      <c r="C26" s="1" t="s">
        <v>113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1.26953125" style="1" bestFit="1" customWidth="1"/>
    <col min="3" max="16384" width="9.1796875" style="1"/>
  </cols>
  <sheetData>
    <row r="1" spans="1:3" x14ac:dyDescent="0.25">
      <c r="A1" s="9" t="s">
        <v>65</v>
      </c>
    </row>
    <row r="2" spans="1:3" x14ac:dyDescent="0.25">
      <c r="B2" s="1" t="s">
        <v>66</v>
      </c>
      <c r="C2" s="1" t="s">
        <v>189</v>
      </c>
    </row>
    <row r="3" spans="1:3" x14ac:dyDescent="0.25">
      <c r="B3" s="1" t="s">
        <v>13</v>
      </c>
      <c r="C3" s="1" t="s">
        <v>152</v>
      </c>
    </row>
    <row r="4" spans="1:3" x14ac:dyDescent="0.25">
      <c r="B4" s="1" t="s">
        <v>57</v>
      </c>
      <c r="C4" s="1" t="s">
        <v>252</v>
      </c>
    </row>
    <row r="5" spans="1:3" x14ac:dyDescent="0.25">
      <c r="B5" s="1" t="s">
        <v>190</v>
      </c>
    </row>
    <row r="6" spans="1:3" ht="13" x14ac:dyDescent="0.3">
      <c r="C6" s="10" t="s">
        <v>191</v>
      </c>
    </row>
    <row r="7" spans="1:3" x14ac:dyDescent="0.25">
      <c r="C7" s="1" t="s">
        <v>192</v>
      </c>
    </row>
    <row r="8" spans="1:3" x14ac:dyDescent="0.25">
      <c r="C8" s="1" t="s">
        <v>193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9" t="s">
        <v>65</v>
      </c>
    </row>
    <row r="2" spans="1:3" x14ac:dyDescent="0.25">
      <c r="B2" s="1" t="s">
        <v>67</v>
      </c>
      <c r="C2" s="1" t="s">
        <v>87</v>
      </c>
    </row>
    <row r="3" spans="1:3" x14ac:dyDescent="0.25">
      <c r="B3" s="1" t="s">
        <v>70</v>
      </c>
      <c r="C3" s="1" t="s">
        <v>161</v>
      </c>
    </row>
    <row r="4" spans="1:3" x14ac:dyDescent="0.25">
      <c r="B4" s="1" t="s">
        <v>13</v>
      </c>
      <c r="C4" s="1" t="s">
        <v>93</v>
      </c>
    </row>
    <row r="5" spans="1:3" x14ac:dyDescent="0.25">
      <c r="B5" s="1" t="s">
        <v>159</v>
      </c>
      <c r="C5" s="1" t="s">
        <v>160</v>
      </c>
    </row>
    <row r="6" spans="1:3" x14ac:dyDescent="0.25">
      <c r="B6" s="1" t="s">
        <v>74</v>
      </c>
    </row>
    <row r="7" spans="1:3" ht="13" x14ac:dyDescent="0.3">
      <c r="C7" s="10" t="s">
        <v>162</v>
      </c>
    </row>
    <row r="8" spans="1:3" x14ac:dyDescent="0.25">
      <c r="C8" s="1" t="s">
        <v>90</v>
      </c>
    </row>
    <row r="9" spans="1:3" x14ac:dyDescent="0.25">
      <c r="C9" s="1" t="s">
        <v>163</v>
      </c>
    </row>
    <row r="11" spans="1:3" ht="13" x14ac:dyDescent="0.3">
      <c r="C11" s="10" t="s">
        <v>88</v>
      </c>
    </row>
    <row r="12" spans="1:3" x14ac:dyDescent="0.25">
      <c r="C12" s="1" t="s">
        <v>91</v>
      </c>
    </row>
    <row r="14" spans="1:3" ht="13" x14ac:dyDescent="0.3">
      <c r="C14" s="10" t="s">
        <v>89</v>
      </c>
    </row>
    <row r="15" spans="1:3" x14ac:dyDescent="0.25">
      <c r="C15" s="1" t="s">
        <v>92</v>
      </c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8"/>
  <sheetViews>
    <sheetView workbookViewId="0"/>
  </sheetViews>
  <sheetFormatPr defaultColWidth="8.81640625" defaultRowHeight="12.5" x14ac:dyDescent="0.25"/>
  <sheetData>
    <row r="2" spans="2:8" x14ac:dyDescent="0.25">
      <c r="B2" t="s">
        <v>20</v>
      </c>
      <c r="C2" t="s">
        <v>17</v>
      </c>
      <c r="D2" t="s">
        <v>21</v>
      </c>
      <c r="E2" t="s">
        <v>23</v>
      </c>
      <c r="F2" t="s">
        <v>24</v>
      </c>
      <c r="G2" t="s">
        <v>25</v>
      </c>
      <c r="H2" t="s">
        <v>29</v>
      </c>
    </row>
    <row r="3" spans="2:8" x14ac:dyDescent="0.25">
      <c r="B3" t="s">
        <v>19</v>
      </c>
      <c r="C3">
        <v>3</v>
      </c>
      <c r="D3" t="s">
        <v>22</v>
      </c>
      <c r="E3">
        <v>280</v>
      </c>
      <c r="F3" t="s">
        <v>18</v>
      </c>
      <c r="G3" t="s">
        <v>26</v>
      </c>
      <c r="H3" t="s">
        <v>30</v>
      </c>
    </row>
    <row r="4" spans="2:8" x14ac:dyDescent="0.25">
      <c r="B4" t="s">
        <v>27</v>
      </c>
      <c r="C4">
        <v>3</v>
      </c>
      <c r="D4" t="s">
        <v>28</v>
      </c>
      <c r="H4" t="s">
        <v>31</v>
      </c>
    </row>
    <row r="8" spans="2:8" x14ac:dyDescent="0.25">
      <c r="B8" t="s">
        <v>51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zoomScale="115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9" t="s">
        <v>65</v>
      </c>
    </row>
    <row r="2" spans="1:3" x14ac:dyDescent="0.25">
      <c r="B2" s="1" t="s">
        <v>66</v>
      </c>
      <c r="C2" s="1" t="s">
        <v>294</v>
      </c>
    </row>
    <row r="3" spans="1:3" x14ac:dyDescent="0.25">
      <c r="B3" s="1" t="s">
        <v>67</v>
      </c>
      <c r="C3" s="1" t="s">
        <v>291</v>
      </c>
    </row>
    <row r="4" spans="1:3" x14ac:dyDescent="0.25">
      <c r="B4" s="1" t="s">
        <v>70</v>
      </c>
      <c r="C4" s="1" t="s">
        <v>95</v>
      </c>
    </row>
    <row r="5" spans="1:3" x14ac:dyDescent="0.25">
      <c r="B5" s="1" t="s">
        <v>292</v>
      </c>
      <c r="C5" s="1" t="s">
        <v>293</v>
      </c>
    </row>
    <row r="6" spans="1:3" x14ac:dyDescent="0.25">
      <c r="B6" s="1" t="s">
        <v>74</v>
      </c>
      <c r="C6" s="1" t="s">
        <v>33</v>
      </c>
    </row>
    <row r="8" spans="1:3" ht="13" x14ac:dyDescent="0.3">
      <c r="C8" s="10" t="s">
        <v>183</v>
      </c>
    </row>
    <row r="10" spans="1:3" ht="13" x14ac:dyDescent="0.3">
      <c r="C10" s="10" t="s">
        <v>184</v>
      </c>
    </row>
    <row r="12" spans="1:3" ht="13" x14ac:dyDescent="0.3">
      <c r="C12" s="10" t="s">
        <v>185</v>
      </c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4"/>
  <sheetViews>
    <sheetView workbookViewId="0">
      <selection activeCell="B5" sqref="B5"/>
    </sheetView>
  </sheetViews>
  <sheetFormatPr defaultColWidth="8.81640625" defaultRowHeight="12.5" x14ac:dyDescent="0.25"/>
  <sheetData>
    <row r="2" spans="2:2" x14ac:dyDescent="0.25">
      <c r="B2" t="s">
        <v>34</v>
      </c>
    </row>
    <row r="4" spans="2:2" x14ac:dyDescent="0.25">
      <c r="B4" t="s">
        <v>52</v>
      </c>
    </row>
  </sheetData>
  <phoneticPr fontId="2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9" t="s">
        <v>65</v>
      </c>
    </row>
    <row r="2" spans="1:3" x14ac:dyDescent="0.25">
      <c r="B2" s="1" t="s">
        <v>66</v>
      </c>
      <c r="C2" s="1" t="s">
        <v>97</v>
      </c>
    </row>
    <row r="3" spans="1:3" x14ac:dyDescent="0.25">
      <c r="B3" s="1" t="s">
        <v>67</v>
      </c>
      <c r="C3" s="1" t="s">
        <v>98</v>
      </c>
    </row>
    <row r="4" spans="1:3" x14ac:dyDescent="0.25">
      <c r="B4" s="1" t="s">
        <v>70</v>
      </c>
      <c r="C4" s="1" t="s">
        <v>99</v>
      </c>
    </row>
    <row r="5" spans="1:3" x14ac:dyDescent="0.25">
      <c r="B5" s="1" t="s">
        <v>13</v>
      </c>
      <c r="C5" s="1" t="s">
        <v>100</v>
      </c>
    </row>
    <row r="6" spans="1:3" x14ac:dyDescent="0.25">
      <c r="B6" s="1" t="s">
        <v>74</v>
      </c>
    </row>
    <row r="7" spans="1:3" x14ac:dyDescent="0.25">
      <c r="C7" s="1" t="s">
        <v>35</v>
      </c>
    </row>
    <row r="8" spans="1:3" x14ac:dyDescent="0.25">
      <c r="C8" s="19" t="s">
        <v>244</v>
      </c>
    </row>
  </sheetData>
  <phoneticPr fontId="2" type="noConversion"/>
  <hyperlinks>
    <hyperlink ref="A1" location="Main!A1" display="Main" xr:uid="{00000000-0004-0000-0C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B4"/>
  <sheetViews>
    <sheetView workbookViewId="0">
      <selection activeCell="B5" sqref="B5"/>
    </sheetView>
  </sheetViews>
  <sheetFormatPr defaultColWidth="8.81640625" defaultRowHeight="12.5" x14ac:dyDescent="0.25"/>
  <sheetData>
    <row r="2" spans="2:2" x14ac:dyDescent="0.25">
      <c r="B2" t="s">
        <v>36</v>
      </c>
    </row>
    <row r="4" spans="2:2" x14ac:dyDescent="0.25">
      <c r="B4" t="s">
        <v>46</v>
      </c>
    </row>
  </sheetData>
  <phoneticPr fontId="2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="145" workbookViewId="0"/>
  </sheetViews>
  <sheetFormatPr defaultColWidth="9.1796875" defaultRowHeight="12.5" x14ac:dyDescent="0.25"/>
  <cols>
    <col min="1" max="1" width="5" style="1" bestFit="1" customWidth="1"/>
    <col min="2" max="16384" width="9.1796875" style="1"/>
  </cols>
  <sheetData>
    <row r="1" spans="1:2" x14ac:dyDescent="0.25">
      <c r="A1" s="9" t="s">
        <v>65</v>
      </c>
    </row>
    <row r="2" spans="1:2" x14ac:dyDescent="0.25">
      <c r="B2" s="1" t="s">
        <v>37</v>
      </c>
    </row>
    <row r="3" spans="1:2" x14ac:dyDescent="0.25">
      <c r="B3" s="1" t="s">
        <v>38</v>
      </c>
    </row>
    <row r="6" spans="1:2" x14ac:dyDescent="0.25">
      <c r="B6" s="1" t="s">
        <v>53</v>
      </c>
    </row>
  </sheetData>
  <phoneticPr fontId="2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"/>
  <sheetViews>
    <sheetView workbookViewId="0"/>
  </sheetViews>
  <sheetFormatPr defaultColWidth="9.1796875" defaultRowHeight="12.5" x14ac:dyDescent="0.25"/>
  <cols>
    <col min="1" max="1" width="5" style="37" bestFit="1" customWidth="1"/>
    <col min="2" max="2" width="11.26953125" style="37" bestFit="1" customWidth="1"/>
    <col min="3" max="16384" width="9.1796875" style="37"/>
  </cols>
  <sheetData>
    <row r="1" spans="1:3" x14ac:dyDescent="0.25">
      <c r="A1" s="36" t="s">
        <v>65</v>
      </c>
    </row>
    <row r="2" spans="1:3" x14ac:dyDescent="0.25">
      <c r="B2" s="37" t="s">
        <v>66</v>
      </c>
      <c r="C2" s="31" t="s">
        <v>212</v>
      </c>
    </row>
    <row r="3" spans="1:3" x14ac:dyDescent="0.25">
      <c r="B3" s="37" t="s">
        <v>13</v>
      </c>
      <c r="C3" s="31" t="s">
        <v>242</v>
      </c>
    </row>
    <row r="4" spans="1:3" x14ac:dyDescent="0.25">
      <c r="B4" s="31" t="s">
        <v>70</v>
      </c>
      <c r="C4" s="31" t="s">
        <v>285</v>
      </c>
    </row>
    <row r="5" spans="1:3" x14ac:dyDescent="0.25">
      <c r="B5" s="37" t="s">
        <v>190</v>
      </c>
    </row>
    <row r="6" spans="1:3" ht="13" x14ac:dyDescent="0.3">
      <c r="C6" s="38" t="s">
        <v>246</v>
      </c>
    </row>
    <row r="7" spans="1:3" x14ac:dyDescent="0.25">
      <c r="C7" s="31" t="s">
        <v>247</v>
      </c>
    </row>
    <row r="10" spans="1:3" ht="13" x14ac:dyDescent="0.3">
      <c r="C10" s="38" t="s">
        <v>248</v>
      </c>
    </row>
    <row r="11" spans="1:3" x14ac:dyDescent="0.25">
      <c r="C11" s="31" t="s">
        <v>250</v>
      </c>
    </row>
    <row r="12" spans="1:3" x14ac:dyDescent="0.25">
      <c r="C12" s="31" t="s">
        <v>249</v>
      </c>
    </row>
    <row r="13" spans="1:3" x14ac:dyDescent="0.25">
      <c r="C13" s="31" t="s">
        <v>284</v>
      </c>
    </row>
  </sheetData>
  <hyperlinks>
    <hyperlink ref="A1" location="Main!A1" display="Main" xr:uid="{00000000-0004-0000-0F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4.1796875" style="1" bestFit="1" customWidth="1"/>
    <col min="3" max="16384" width="9.1796875" style="1"/>
  </cols>
  <sheetData>
    <row r="1" spans="1:3" x14ac:dyDescent="0.25">
      <c r="A1" s="9" t="s">
        <v>65</v>
      </c>
    </row>
    <row r="2" spans="1:3" x14ac:dyDescent="0.25">
      <c r="B2" s="1" t="s">
        <v>66</v>
      </c>
      <c r="C2" s="1" t="s">
        <v>101</v>
      </c>
    </row>
    <row r="3" spans="1:3" x14ac:dyDescent="0.25">
      <c r="B3" s="1" t="s">
        <v>67</v>
      </c>
    </row>
    <row r="4" spans="1:3" x14ac:dyDescent="0.25">
      <c r="B4" s="1" t="s">
        <v>57</v>
      </c>
      <c r="C4" s="1" t="s">
        <v>58</v>
      </c>
    </row>
    <row r="5" spans="1:3" x14ac:dyDescent="0.25">
      <c r="B5" s="1" t="s">
        <v>13</v>
      </c>
      <c r="C5" s="1" t="s">
        <v>71</v>
      </c>
    </row>
    <row r="6" spans="1:3" x14ac:dyDescent="0.25">
      <c r="C6" s="1" t="s">
        <v>55</v>
      </c>
    </row>
    <row r="7" spans="1:3" x14ac:dyDescent="0.25">
      <c r="B7" s="1" t="s">
        <v>72</v>
      </c>
      <c r="C7" s="1" t="s">
        <v>54</v>
      </c>
    </row>
    <row r="8" spans="1:3" x14ac:dyDescent="0.25">
      <c r="B8" s="1" t="s">
        <v>16</v>
      </c>
      <c r="C8" s="1" t="s">
        <v>73</v>
      </c>
    </row>
    <row r="9" spans="1:3" x14ac:dyDescent="0.25">
      <c r="B9" s="1" t="s">
        <v>75</v>
      </c>
      <c r="C9" s="1" t="s">
        <v>118</v>
      </c>
    </row>
    <row r="10" spans="1:3" x14ac:dyDescent="0.25">
      <c r="B10" s="1" t="s">
        <v>78</v>
      </c>
      <c r="C10" s="1" t="s">
        <v>79</v>
      </c>
    </row>
    <row r="11" spans="1:3" x14ac:dyDescent="0.25">
      <c r="B11" s="1" t="s">
        <v>74</v>
      </c>
    </row>
    <row r="12" spans="1:3" ht="13" x14ac:dyDescent="0.3">
      <c r="C12" s="10" t="s">
        <v>56</v>
      </c>
    </row>
    <row r="15" spans="1:3" ht="13" x14ac:dyDescent="0.3">
      <c r="C15" s="10" t="s">
        <v>76</v>
      </c>
    </row>
    <row r="16" spans="1:3" x14ac:dyDescent="0.25">
      <c r="C16" s="1" t="s">
        <v>77</v>
      </c>
    </row>
  </sheetData>
  <phoneticPr fontId="2" type="noConversion"/>
  <hyperlinks>
    <hyperlink ref="A1" location="Main!A1" display="Main" xr:uid="{00000000-0004-0000-1000-000000000000}"/>
  </hyperlinks>
  <pageMargins left="0.75" right="0.75" top="1" bottom="1" header="0.5" footer="0.5"/>
  <pageSetup orientation="portrait" verticalDpi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6"/>
  <sheetViews>
    <sheetView workbookViewId="0"/>
  </sheetViews>
  <sheetFormatPr defaultColWidth="8.81640625" defaultRowHeight="12.5" x14ac:dyDescent="0.25"/>
  <cols>
    <col min="1" max="1" width="5" bestFit="1" customWidth="1"/>
    <col min="2" max="2" width="22.1796875" bestFit="1" customWidth="1"/>
  </cols>
  <sheetData>
    <row r="1" spans="1:3" x14ac:dyDescent="0.25">
      <c r="A1" s="28" t="s">
        <v>65</v>
      </c>
    </row>
    <row r="3" spans="1:3" x14ac:dyDescent="0.25">
      <c r="B3" t="s">
        <v>44</v>
      </c>
      <c r="C3" t="s">
        <v>0</v>
      </c>
    </row>
    <row r="4" spans="1:3" x14ac:dyDescent="0.25">
      <c r="B4" t="s">
        <v>45</v>
      </c>
      <c r="C4" t="s">
        <v>0</v>
      </c>
    </row>
    <row r="5" spans="1:3" x14ac:dyDescent="0.25">
      <c r="B5" t="s">
        <v>82</v>
      </c>
      <c r="C5" t="s">
        <v>210</v>
      </c>
    </row>
    <row r="6" spans="1:3" x14ac:dyDescent="0.25">
      <c r="B6" t="s">
        <v>211</v>
      </c>
      <c r="C6" t="s">
        <v>210</v>
      </c>
    </row>
  </sheetData>
  <phoneticPr fontId="2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CFCAF3-5635-4E82-8C3B-EBE76824A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63F551-4DC3-4346-BFB2-E5655EE446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797E59-4DFD-499C-8A4E-CC49F873674A}">
  <ds:schemaRefs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Master</vt:lpstr>
      <vt:lpstr>Main</vt:lpstr>
      <vt:lpstr>Model</vt:lpstr>
      <vt:lpstr>Dupixent</vt:lpstr>
      <vt:lpstr>Lovenox</vt:lpstr>
      <vt:lpstr>Lantus</vt:lpstr>
      <vt:lpstr>Aubagio</vt:lpstr>
      <vt:lpstr>Plavix</vt:lpstr>
      <vt:lpstr>Multaq</vt:lpstr>
      <vt:lpstr>idraparinux</vt:lpstr>
      <vt:lpstr>SR 58611</vt:lpstr>
      <vt:lpstr>Eplivanserin</vt:lpstr>
      <vt:lpstr>SSR 591813</vt:lpstr>
      <vt:lpstr>Xaliproden</vt:lpstr>
      <vt:lpstr>Alvocidib</vt:lpstr>
      <vt:lpstr>SR 121463</vt:lpstr>
      <vt:lpstr>BSI-201</vt:lpstr>
      <vt:lpstr>Zimulti</vt:lpstr>
      <vt:lpstr>Failures</vt:lpstr>
    </vt:vector>
  </TitlesOfParts>
  <Company>Intrepid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mshkreli</dc:creator>
  <cp:lastModifiedBy>Martin Shkreli</cp:lastModifiedBy>
  <cp:lastPrinted>2009-08-12T21:35:29Z</cp:lastPrinted>
  <dcterms:created xsi:type="dcterms:W3CDTF">2005-08-31T13:03:15Z</dcterms:created>
  <dcterms:modified xsi:type="dcterms:W3CDTF">2026-07-21T11:09:31Z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