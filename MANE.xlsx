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A4AFC4A1-1B39-4C96-AFDC-67FD31603480}" xr6:coauthVersionLast="47" xr6:coauthVersionMax="47" xr10:uidLastSave="{00000000-0000-0000-0000-000000000000}"/>
  <bookViews>
    <workbookView xWindow="20930" yWindow="2860" windowWidth="17460" windowHeight="16580" xr2:uid="{E13C979E-54FB-4362-97A2-70FC6391E774}"/>
  </bookViews>
  <sheets>
    <sheet name="Main" sheetId="1" r:id="rId1"/>
    <sheet name="VDPHL0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1" l="1"/>
  <c r="J7" i="1" s="1"/>
  <c r="J5" i="1"/>
</calcChain>
</file>

<file path=xl/sharedStrings.xml><?xml version="1.0" encoding="utf-8"?>
<sst xmlns="http://schemas.openxmlformats.org/spreadsheetml/2006/main" count="21" uniqueCount="17">
  <si>
    <t>Price</t>
  </si>
  <si>
    <t>Shares</t>
  </si>
  <si>
    <t>MC</t>
  </si>
  <si>
    <t>Cash</t>
  </si>
  <si>
    <t>Debt</t>
  </si>
  <si>
    <t>EV</t>
  </si>
  <si>
    <t>Q126</t>
  </si>
  <si>
    <t>Name</t>
  </si>
  <si>
    <t>VDPHL01</t>
  </si>
  <si>
    <t>VDPHL01 (minoxidil ER)</t>
  </si>
  <si>
    <t>Indication</t>
  </si>
  <si>
    <t>Main</t>
  </si>
  <si>
    <t>Clinical Trials</t>
  </si>
  <si>
    <t>Phase II/III "302" mild-to-moderate PHL</t>
  </si>
  <si>
    <t>Dosing</t>
  </si>
  <si>
    <t xml:space="preserve">8.5mg </t>
  </si>
  <si>
    <t>79% vs. 36% for placebo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</si>
</sst>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3" fillId="0" borderId="0" xfId="1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D8E8-2CD4-49CD-8701-39071CD32E9A}">
  <dimension ref="B2:K7"/>
  <sheetViews>
    <sheetView tabSelected="1" zoomScale="175" zoomScaleNormal="175" workbookViewId="0">
      <selection activeCell="C3" sqref="C3"/>
    </sheetView>
  </sheetViews>
  <sheetFormatPr defaultRowHeight="12.5" x14ac:dyDescent="0.25"/>
  <cols>
    <col min="1" max="16384" width="8.7265625" style="1"/>
  </cols>
  <sheetData>
    <row r="2" spans="2:11" x14ac:dyDescent="0.25">
      <c r="B2" s="1" t="s">
        <v>7</v>
      </c>
      <c r="C2" s="1" t="s">
        <v>10</v>
      </c>
      <c r="I2" s="1" t="s">
        <v>0</v>
      </c>
      <c r="J2" s="2">
        <v>126.44</v>
      </c>
    </row>
    <row r="3" spans="2:11" x14ac:dyDescent="0.25">
      <c r="B3" s="1" t="s">
        <v>9</v>
      </c>
      <c r="I3" s="1" t="s">
        <v>1</v>
      </c>
      <c r="J3" s="3">
        <v>41.778686999999998</v>
      </c>
      <c r="K3" s="4" t="s">
        <v>6</v>
      </c>
    </row>
    <row r="4" spans="2:11" x14ac:dyDescent="0.25">
      <c r="I4" s="1" t="s">
        <v>2</v>
      </c>
      <c r="J4" s="3">
        <f>+J2*J3</f>
        <v>5282.4971842799996</v>
      </c>
    </row>
    <row r="5" spans="2:11" x14ac:dyDescent="0.25">
      <c r="I5" s="1" t="s">
        <v>3</v>
      </c>
      <c r="J5" s="3">
        <f>168.412+222.385</f>
        <v>390.79700000000003</v>
      </c>
      <c r="K5" s="4" t="s">
        <v>6</v>
      </c>
    </row>
    <row r="6" spans="2:11" x14ac:dyDescent="0.25">
      <c r="I6" s="1" t="s">
        <v>4</v>
      </c>
      <c r="J6" s="3">
        <v>0</v>
      </c>
      <c r="K6" s="4" t="s">
        <v>6</v>
      </c>
    </row>
    <row r="7" spans="2:11" x14ac:dyDescent="0.25">
      <c r="I7" s="1" t="s">
        <v>5</v>
      </c>
      <c r="J7" s="3">
        <f>+J4-J5+J6</f>
        <v>4891.70018428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CE20B-CEBD-465F-9C6C-31354401CB60}">
  <dimension ref="A1:C7"/>
  <sheetViews>
    <sheetView zoomScale="205" zoomScaleNormal="205" workbookViewId="0">
      <selection activeCell="C8" sqref="C8"/>
    </sheetView>
  </sheetViews>
  <sheetFormatPr defaultRowHeight="12.5" x14ac:dyDescent="0.25"/>
  <cols>
    <col min="1" max="1" width="4.6328125" style="1" bestFit="1" customWidth="1"/>
    <col min="2" max="2" width="11.54296875" style="1" bestFit="1" customWidth="1"/>
    <col min="3" max="16384" width="8.7265625" style="1"/>
  </cols>
  <sheetData>
    <row r="1" spans="1:3" x14ac:dyDescent="0.25">
      <c r="A1" s="5" t="s">
        <v>11</v>
      </c>
    </row>
    <row r="2" spans="1:3" x14ac:dyDescent="0.25">
      <c r="B2" s="1" t="s">
        <v>7</v>
      </c>
      <c r="C2" s="1" t="s">
        <v>8</v>
      </c>
    </row>
    <row r="3" spans="1:3" x14ac:dyDescent="0.25">
      <c r="B3" s="1" t="s">
        <v>10</v>
      </c>
    </row>
    <row r="4" spans="1:3" x14ac:dyDescent="0.25">
      <c r="B4" s="1" t="s">
        <v>14</v>
      </c>
      <c r="C4" s="1" t="s">
        <v>15</v>
      </c>
    </row>
    <row r="5" spans="1:3" x14ac:dyDescent="0.25">
      <c r="B5" s="1" t="s">
        <v>12</v>
      </c>
    </row>
    <row r="6" spans="1:3" ht="13" x14ac:dyDescent="0.3">
      <c r="C6" s="6" t="s">
        <v>13</v>
      </c>
    </row>
    <row r="7" spans="1:3" x14ac:dyDescent="0.25">
      <c r="C7" s="1" t="s">
        <v>16</v>
      </c>
    </row>
  </sheetData>
  <hyperlinks>
    <hyperlink ref="A1" location="Main!A1" display="Main" xr:uid="{ED0667E2-3FC6-4EA6-A3FF-8351DB2C0B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VDPHL01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2026-07-06T16:41:32Z</dcterms:created>
  <dcterms:modified xsi:type="dcterms:W3CDTF">2026-07-06T17:11:11Z</dcterms:modified>
</cp:coreProperties>
</file>