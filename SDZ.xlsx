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55147FEF-65E8-4010-B42B-9FEBF0306E5C}" xr6:coauthVersionLast="47" xr6:coauthVersionMax="47" xr10:uidLastSave="{00000000-0000-0000-0000-000000000000}"/>
  <bookViews>
    <workbookView xWindow="9320" yWindow="4780" windowWidth="15840" windowHeight="13820" activeTab="1" xr2:uid="{8B3160CF-BD95-4B8F-BC7C-AFC4404D331D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2" l="1"/>
  <c r="E9" i="2"/>
  <c r="J7" i="1"/>
  <c r="J4" i="1"/>
</calcChain>
</file>

<file path=xl/sharedStrings.xml><?xml version="1.0" encoding="utf-8"?>
<sst xmlns="http://schemas.openxmlformats.org/spreadsheetml/2006/main" count="21" uniqueCount="19">
  <si>
    <t>Price CHF</t>
  </si>
  <si>
    <t>Shares</t>
  </si>
  <si>
    <t>MC CHF</t>
  </si>
  <si>
    <t>EV CHF</t>
  </si>
  <si>
    <t>Cash USD</t>
  </si>
  <si>
    <t>Debt USD</t>
  </si>
  <si>
    <t>Q226</t>
  </si>
  <si>
    <t>Main</t>
  </si>
  <si>
    <t>1H25</t>
  </si>
  <si>
    <t>2H25</t>
  </si>
  <si>
    <t>1H26</t>
  </si>
  <si>
    <t>2H26</t>
  </si>
  <si>
    <t>EU Biosimilars</t>
  </si>
  <si>
    <t>EU Generics</t>
  </si>
  <si>
    <t>IN Biosimilars</t>
  </si>
  <si>
    <t>IN Generics</t>
  </si>
  <si>
    <t>NA Biosimilars</t>
  </si>
  <si>
    <t>NA Generics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</si>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</sst>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3" fillId="0" borderId="0" xfId="0" applyNumberFormat="1" applyFont="1"/>
    <xf numFmtId="3" fontId="3" fillId="0" borderId="0" xfId="0" applyNumberFormat="1" applyFont="1" applyAlignment="1">
      <alignment horizontal="right"/>
    </xf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FB71B-5A49-4EE8-BA7D-0756B6C6CA27}">
  <dimension ref="I2:K7"/>
  <sheetViews>
    <sheetView zoomScale="160" zoomScaleNormal="160" workbookViewId="0"/>
  </sheetViews>
  <sheetFormatPr defaultRowHeight="12.5" x14ac:dyDescent="0.25"/>
  <cols>
    <col min="1" max="8" width="8.7265625" style="1"/>
    <col min="9" max="9" width="9.26953125" style="1" bestFit="1" customWidth="1"/>
    <col min="10" max="16384" width="8.7265625" style="1"/>
  </cols>
  <sheetData>
    <row r="2" spans="9:11" x14ac:dyDescent="0.25">
      <c r="I2" s="1" t="s">
        <v>0</v>
      </c>
      <c r="J2" s="2">
        <v>72.12</v>
      </c>
    </row>
    <row r="3" spans="9:11" x14ac:dyDescent="0.25">
      <c r="I3" s="1" t="s">
        <v>1</v>
      </c>
      <c r="J3" s="3">
        <v>438.4</v>
      </c>
      <c r="K3" s="4" t="s">
        <v>6</v>
      </c>
    </row>
    <row r="4" spans="9:11" x14ac:dyDescent="0.25">
      <c r="I4" s="1" t="s">
        <v>2</v>
      </c>
      <c r="J4" s="3">
        <f>+J2*J3</f>
        <v>31617.407999999999</v>
      </c>
    </row>
    <row r="5" spans="9:11" x14ac:dyDescent="0.25">
      <c r="I5" s="1" t="s">
        <v>4</v>
      </c>
      <c r="J5" s="3">
        <v>0</v>
      </c>
      <c r="K5" s="4" t="s">
        <v>6</v>
      </c>
    </row>
    <row r="6" spans="9:11" x14ac:dyDescent="0.25">
      <c r="I6" s="1" t="s">
        <v>5</v>
      </c>
      <c r="J6" s="3">
        <v>3548</v>
      </c>
      <c r="K6" s="4" t="s">
        <v>6</v>
      </c>
    </row>
    <row r="7" spans="9:11" x14ac:dyDescent="0.25">
      <c r="I7" s="1" t="s">
        <v>3</v>
      </c>
      <c r="J7" s="3">
        <f>+J4-J5+J6</f>
        <v>35165.407999999996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F2F61-FB70-4E70-B108-204A13F599E8}">
  <dimension ref="A1:F9"/>
  <sheetViews>
    <sheetView tabSelected="1" zoomScale="130" zoomScaleNormal="13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5" sqref="H5"/>
    </sheetView>
  </sheetViews>
  <sheetFormatPr defaultRowHeight="12.5" x14ac:dyDescent="0.25"/>
  <cols>
    <col min="1" max="1" width="4.6328125" style="1" bestFit="1" customWidth="1"/>
    <col min="2" max="2" width="12.6328125" style="1" bestFit="1" customWidth="1"/>
    <col min="3" max="6" width="8.7265625" style="4"/>
    <col min="7" max="16384" width="8.7265625" style="1"/>
  </cols>
  <sheetData>
    <row r="1" spans="1:6" x14ac:dyDescent="0.25">
      <c r="A1" s="8" t="s">
        <v>7</v>
      </c>
    </row>
    <row r="2" spans="1:6" x14ac:dyDescent="0.25">
      <c r="C2" s="4" t="s">
        <v>8</v>
      </c>
      <c r="D2" s="4" t="s">
        <v>9</v>
      </c>
      <c r="E2" s="4" t="s">
        <v>10</v>
      </c>
      <c r="F2" s="4" t="s">
        <v>11</v>
      </c>
    </row>
    <row r="3" spans="1:6" s="3" customFormat="1" x14ac:dyDescent="0.25">
      <c r="B3" s="3" t="s">
        <v>12</v>
      </c>
      <c r="C3" s="5">
        <v>891</v>
      </c>
      <c r="D3" s="5"/>
      <c r="E3" s="5">
        <v>1049</v>
      </c>
      <c r="F3" s="5"/>
    </row>
    <row r="4" spans="1:6" s="3" customFormat="1" x14ac:dyDescent="0.25">
      <c r="B4" s="3" t="s">
        <v>13</v>
      </c>
      <c r="C4" s="5">
        <v>1941</v>
      </c>
      <c r="D4" s="5"/>
      <c r="E4" s="5">
        <v>2077</v>
      </c>
      <c r="F4" s="5"/>
    </row>
    <row r="5" spans="1:6" s="3" customFormat="1" x14ac:dyDescent="0.25">
      <c r="B5" s="3" t="s">
        <v>14</v>
      </c>
      <c r="C5" s="5">
        <v>265</v>
      </c>
      <c r="D5" s="5"/>
      <c r="E5" s="5">
        <v>324</v>
      </c>
      <c r="F5" s="5"/>
    </row>
    <row r="6" spans="1:6" s="3" customFormat="1" x14ac:dyDescent="0.25">
      <c r="B6" s="3" t="s">
        <v>15</v>
      </c>
      <c r="C6" s="5">
        <v>1019</v>
      </c>
      <c r="D6" s="5"/>
      <c r="E6" s="5">
        <v>1014</v>
      </c>
      <c r="F6" s="5"/>
    </row>
    <row r="7" spans="1:6" s="3" customFormat="1" x14ac:dyDescent="0.25">
      <c r="B7" s="3" t="s">
        <v>16</v>
      </c>
      <c r="C7" s="5">
        <v>340</v>
      </c>
      <c r="D7" s="5"/>
      <c r="E7" s="5">
        <v>502</v>
      </c>
      <c r="F7" s="5"/>
    </row>
    <row r="8" spans="1:6" s="3" customFormat="1" x14ac:dyDescent="0.25">
      <c r="B8" s="3" t="s">
        <v>17</v>
      </c>
      <c r="C8" s="5">
        <v>776</v>
      </c>
      <c r="D8" s="5"/>
      <c r="E8" s="5">
        <v>795</v>
      </c>
      <c r="F8" s="5"/>
    </row>
    <row r="9" spans="1:6" s="6" customFormat="1" ht="13" x14ac:dyDescent="0.3">
      <c r="B9" s="6" t="s">
        <v>18</v>
      </c>
      <c r="C9" s="7">
        <f>SUM(C3:C8)</f>
        <v>5232</v>
      </c>
      <c r="D9" s="7"/>
      <c r="E9" s="7">
        <f>SUM(E3:E8)</f>
        <v>5761</v>
      </c>
      <c r="F9" s="7"/>
    </row>
  </sheetData>
  <hyperlinks>
    <hyperlink ref="A1" location="Main!A1" display="Main" xr:uid="{646ABDF5-9DCF-45A6-88E7-0090D2C532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2026-08-10T15:16:27Z</dcterms:created>
  <dcterms:modified xsi:type="dcterms:W3CDTF">2026-08-10T15:28:43Z</dcterms:modified>
</cp:coreProperties>
</file>