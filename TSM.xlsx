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28BA36E8-0AE8-4D63-89A5-795773A04961}" xr6:coauthVersionLast="47" xr6:coauthVersionMax="47" xr10:uidLastSave="{00000000-0000-0000-0000-000000000000}"/>
  <bookViews>
    <workbookView xWindow="1140" yWindow="1140" windowWidth="22920" windowHeight="14490" activeTab="1" xr2:uid="{1FCDE9DA-E937-4AB9-B319-0E6E3C36BAB8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11" i="2" l="1"/>
  <c r="AP10" i="2"/>
  <c r="AP9" i="2"/>
  <c r="AP8" i="2"/>
  <c r="AP7" i="2"/>
  <c r="AP6" i="2"/>
  <c r="AP5" i="2"/>
  <c r="AP4" i="2"/>
  <c r="AT11" i="2"/>
  <c r="AT10" i="2"/>
  <c r="AT9" i="2"/>
  <c r="AT8" i="2"/>
  <c r="AT7" i="2"/>
  <c r="AT6" i="2"/>
  <c r="AT5" i="2"/>
  <c r="AT4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P18" i="2"/>
  <c r="AP17" i="2"/>
  <c r="AP16" i="2"/>
  <c r="AP15" i="2"/>
  <c r="AP14" i="2"/>
  <c r="AP13" i="2"/>
  <c r="AT19" i="2"/>
  <c r="AT18" i="2"/>
  <c r="AT17" i="2"/>
  <c r="AT16" i="2"/>
  <c r="AT15" i="2"/>
  <c r="AT14" i="2"/>
  <c r="AT13" i="2"/>
  <c r="AO11" i="2"/>
  <c r="AO8" i="2"/>
  <c r="AS11" i="2"/>
  <c r="AS8" i="2"/>
  <c r="AS19" i="2"/>
  <c r="AR19" i="2"/>
  <c r="AO19" i="2"/>
  <c r="AN19" i="2"/>
  <c r="AN11" i="2"/>
  <c r="AN8" i="2"/>
  <c r="AR11" i="2"/>
  <c r="AR8" i="2"/>
  <c r="AM11" i="2"/>
  <c r="AQ11" i="2"/>
  <c r="AM8" i="2"/>
  <c r="AQ8" i="2"/>
  <c r="AM19" i="2"/>
  <c r="AQ19" i="2"/>
  <c r="AW11" i="2"/>
  <c r="AX11" i="2" s="1"/>
  <c r="AW8" i="2"/>
  <c r="AX19" i="2"/>
  <c r="AX18" i="2"/>
  <c r="AX17" i="2"/>
  <c r="AX16" i="2"/>
  <c r="AX15" i="2"/>
  <c r="AX14" i="2"/>
  <c r="AX13" i="2"/>
  <c r="AW19" i="2"/>
  <c r="AX10" i="2"/>
  <c r="AX9" i="2"/>
  <c r="AX8" i="2"/>
  <c r="AX7" i="2"/>
  <c r="AX6" i="2"/>
  <c r="AX5" i="2"/>
  <c r="AX4" i="2"/>
  <c r="AY19" i="2"/>
  <c r="AU19" i="2"/>
  <c r="AU21" i="2" s="1"/>
  <c r="AU11" i="2"/>
  <c r="AU8" i="2"/>
  <c r="AY11" i="2"/>
  <c r="AY8" i="2"/>
  <c r="AV11" i="2"/>
  <c r="AZ11" i="2"/>
  <c r="AV8" i="2"/>
  <c r="AZ8" i="2"/>
  <c r="AV19" i="2"/>
  <c r="AZ19" i="2"/>
  <c r="J9" i="1" l="1"/>
  <c r="J7" i="1"/>
  <c r="AW49" i="2"/>
  <c r="J10" i="1" s="1"/>
  <c r="AW52" i="2"/>
  <c r="AV52" i="2"/>
  <c r="AU52" i="2"/>
  <c r="AT52" i="2"/>
  <c r="AW37" i="2"/>
  <c r="J8" i="1" s="1"/>
  <c r="AW43" i="2"/>
  <c r="AV43" i="2"/>
  <c r="AU43" i="2"/>
  <c r="AT43" i="2"/>
  <c r="AW36" i="2"/>
  <c r="AV36" i="2"/>
  <c r="AU36" i="2"/>
  <c r="AT36" i="2"/>
  <c r="AV21" i="2"/>
  <c r="AV34" i="2" s="1"/>
  <c r="AW24" i="2"/>
  <c r="AV24" i="2"/>
  <c r="AU24" i="2"/>
  <c r="AU25" i="2" s="1"/>
  <c r="AU27" i="2" s="1"/>
  <c r="AU29" i="2" s="1"/>
  <c r="AU30" i="2" s="1"/>
  <c r="AW21" i="2"/>
  <c r="AW34" i="2" s="1"/>
  <c r="AU34" i="2"/>
  <c r="AR56" i="2"/>
  <c r="AQ56" i="2"/>
  <c r="AS56" i="2"/>
  <c r="AS49" i="2"/>
  <c r="AS52" i="2" s="1"/>
  <c r="AS37" i="2"/>
  <c r="AS43" i="2" s="1"/>
  <c r="AS26" i="2"/>
  <c r="AS21" i="2"/>
  <c r="BF31" i="2"/>
  <c r="BE31" i="2"/>
  <c r="BD31" i="2"/>
  <c r="BF28" i="2"/>
  <c r="BE28" i="2"/>
  <c r="BD28" i="2"/>
  <c r="BF26" i="2"/>
  <c r="BD26" i="2"/>
  <c r="BF22" i="2"/>
  <c r="BE22" i="2"/>
  <c r="BD22" i="2"/>
  <c r="BF20" i="2"/>
  <c r="BE20" i="2"/>
  <c r="BD20" i="2"/>
  <c r="BF19" i="2"/>
  <c r="BE19" i="2"/>
  <c r="BD19" i="2"/>
  <c r="N33" i="2"/>
  <c r="M33" i="2"/>
  <c r="L33" i="2"/>
  <c r="K33" i="2"/>
  <c r="J33" i="2"/>
  <c r="I33" i="2"/>
  <c r="H33" i="2"/>
  <c r="G33" i="2"/>
  <c r="E23" i="2"/>
  <c r="E24" i="2" s="1"/>
  <c r="D23" i="2"/>
  <c r="D24" i="2" s="1"/>
  <c r="D21" i="2"/>
  <c r="E21" i="2"/>
  <c r="C23" i="2"/>
  <c r="C24" i="2" s="1"/>
  <c r="C21" i="2"/>
  <c r="C34" i="2" s="1"/>
  <c r="G23" i="2"/>
  <c r="G24" i="2" s="1"/>
  <c r="G21" i="2"/>
  <c r="G34" i="2" s="1"/>
  <c r="F23" i="2"/>
  <c r="F24" i="2" s="1"/>
  <c r="F21" i="2"/>
  <c r="F34" i="2" s="1"/>
  <c r="I23" i="2"/>
  <c r="I24" i="2" s="1"/>
  <c r="I21" i="2"/>
  <c r="I34" i="2" s="1"/>
  <c r="J23" i="2"/>
  <c r="J24" i="2" s="1"/>
  <c r="J21" i="2"/>
  <c r="J34" i="2" s="1"/>
  <c r="S33" i="2"/>
  <c r="R33" i="2"/>
  <c r="Q33" i="2"/>
  <c r="P33" i="2"/>
  <c r="O33" i="2"/>
  <c r="H26" i="2"/>
  <c r="BE26" i="2" s="1"/>
  <c r="H23" i="2"/>
  <c r="H24" i="2" s="1"/>
  <c r="H21" i="2"/>
  <c r="H34" i="2" s="1"/>
  <c r="L23" i="2"/>
  <c r="L24" i="2" s="1"/>
  <c r="L21" i="2"/>
  <c r="L34" i="2" s="1"/>
  <c r="J6" i="1"/>
  <c r="BM31" i="2"/>
  <c r="BL31" i="2"/>
  <c r="BK31" i="2"/>
  <c r="BJ31" i="2"/>
  <c r="BI31" i="2"/>
  <c r="BH31" i="2"/>
  <c r="BG31" i="2"/>
  <c r="BM28" i="2"/>
  <c r="BL28" i="2"/>
  <c r="BK28" i="2"/>
  <c r="BJ28" i="2"/>
  <c r="BI28" i="2"/>
  <c r="BH28" i="2"/>
  <c r="BG28" i="2"/>
  <c r="BM26" i="2"/>
  <c r="BL26" i="2"/>
  <c r="BK26" i="2"/>
  <c r="BJ26" i="2"/>
  <c r="BI26" i="2"/>
  <c r="BH26" i="2"/>
  <c r="BG26" i="2"/>
  <c r="AT23" i="2"/>
  <c r="AT22" i="2"/>
  <c r="AS24" i="2"/>
  <c r="BM23" i="2"/>
  <c r="BM22" i="2"/>
  <c r="BL22" i="2"/>
  <c r="BK22" i="2"/>
  <c r="BJ22" i="2"/>
  <c r="BI22" i="2"/>
  <c r="BH22" i="2"/>
  <c r="BG22" i="2"/>
  <c r="K23" i="2"/>
  <c r="K24" i="2"/>
  <c r="K21" i="2"/>
  <c r="K34" i="2" s="1"/>
  <c r="N23" i="2"/>
  <c r="N24" i="2" s="1"/>
  <c r="N21" i="2"/>
  <c r="N34" i="2" s="1"/>
  <c r="O23" i="2"/>
  <c r="O24" i="2" s="1"/>
  <c r="O21" i="2"/>
  <c r="O34" i="2" s="1"/>
  <c r="BH20" i="2"/>
  <c r="BG20" i="2"/>
  <c r="T33" i="2"/>
  <c r="U33" i="2"/>
  <c r="M23" i="2"/>
  <c r="M24" i="2" s="1"/>
  <c r="M21" i="2"/>
  <c r="M34" i="2" s="1"/>
  <c r="Q23" i="2"/>
  <c r="Q24" i="2" s="1"/>
  <c r="Q21" i="2"/>
  <c r="Q34" i="2" s="1"/>
  <c r="V33" i="2"/>
  <c r="W33" i="2"/>
  <c r="X33" i="2"/>
  <c r="P23" i="2"/>
  <c r="P24" i="2" s="1"/>
  <c r="P21" i="2"/>
  <c r="P34" i="2" s="1"/>
  <c r="S23" i="2"/>
  <c r="S24" i="2" s="1"/>
  <c r="S21" i="2"/>
  <c r="S34" i="2" s="1"/>
  <c r="T23" i="2"/>
  <c r="T24" i="2" s="1"/>
  <c r="T21" i="2"/>
  <c r="T34" i="2" s="1"/>
  <c r="BG19" i="2"/>
  <c r="BH19" i="2"/>
  <c r="BL19" i="2"/>
  <c r="BJ20" i="2"/>
  <c r="BK20" i="2"/>
  <c r="BL20" i="2"/>
  <c r="BM20" i="2"/>
  <c r="BM19" i="2"/>
  <c r="BI20" i="2"/>
  <c r="BI19" i="2"/>
  <c r="BJ19" i="2"/>
  <c r="Y33" i="2"/>
  <c r="Z33" i="2"/>
  <c r="AA33" i="2"/>
  <c r="AB33" i="2"/>
  <c r="AC33" i="2"/>
  <c r="AD33" i="2"/>
  <c r="AE33" i="2"/>
  <c r="AF33" i="2"/>
  <c r="AG33" i="2"/>
  <c r="AH33" i="2"/>
  <c r="R23" i="2"/>
  <c r="R24" i="2" s="1"/>
  <c r="R21" i="2"/>
  <c r="R34" i="2" s="1"/>
  <c r="V23" i="2"/>
  <c r="V24" i="2" s="1"/>
  <c r="V21" i="2"/>
  <c r="V34" i="2" s="1"/>
  <c r="U23" i="2"/>
  <c r="U24" i="2" s="1"/>
  <c r="U21" i="2"/>
  <c r="U34" i="2" s="1"/>
  <c r="X23" i="2"/>
  <c r="X24" i="2" s="1"/>
  <c r="X21" i="2"/>
  <c r="X34" i="2" s="1"/>
  <c r="Y23" i="2"/>
  <c r="Y24" i="2" s="1"/>
  <c r="Y21" i="2"/>
  <c r="Y34" i="2" s="1"/>
  <c r="W23" i="2"/>
  <c r="W24" i="2" s="1"/>
  <c r="W21" i="2"/>
  <c r="W34" i="2" s="1"/>
  <c r="AA23" i="2"/>
  <c r="AA24" i="2"/>
  <c r="AA21" i="2"/>
  <c r="AA34" i="2" s="1"/>
  <c r="BK19" i="2"/>
  <c r="Z23" i="2"/>
  <c r="Z24" i="2" s="1"/>
  <c r="Z21" i="2"/>
  <c r="Z34" i="2" s="1"/>
  <c r="AC23" i="2"/>
  <c r="AC24" i="2" s="1"/>
  <c r="AC21" i="2"/>
  <c r="AC34" i="2" s="1"/>
  <c r="AD23" i="2"/>
  <c r="AD24" i="2" s="1"/>
  <c r="AD21" i="2"/>
  <c r="AD34" i="2" s="1"/>
  <c r="AB23" i="2"/>
  <c r="AB24" i="2" s="1"/>
  <c r="AB21" i="2"/>
  <c r="AB34" i="2" s="1"/>
  <c r="AI33" i="2"/>
  <c r="AJ33" i="2"/>
  <c r="AF23" i="2"/>
  <c r="AF24" i="2" s="1"/>
  <c r="AF21" i="2"/>
  <c r="AF34" i="2" s="1"/>
  <c r="AK33" i="2"/>
  <c r="AL33" i="2"/>
  <c r="AE23" i="2"/>
  <c r="AE24" i="2" s="1"/>
  <c r="AE21" i="2"/>
  <c r="AE34" i="2" s="1"/>
  <c r="AH23" i="2"/>
  <c r="AH24" i="2" s="1"/>
  <c r="AH21" i="2"/>
  <c r="AH34" i="2" s="1"/>
  <c r="AI24" i="2"/>
  <c r="AI21" i="2"/>
  <c r="AI34" i="2" s="1"/>
  <c r="BK2" i="2"/>
  <c r="BL2" i="2" s="1"/>
  <c r="BM2" i="2" s="1"/>
  <c r="BN2" i="2" s="1"/>
  <c r="BO2" i="2" s="1"/>
  <c r="BP2" i="2" s="1"/>
  <c r="BQ2" i="2" s="1"/>
  <c r="BR2" i="2" s="1"/>
  <c r="BS2" i="2" s="1"/>
  <c r="BT2" i="2" s="1"/>
  <c r="AG23" i="2"/>
  <c r="AG24" i="2" s="1"/>
  <c r="AG21" i="2"/>
  <c r="AG34" i="2" s="1"/>
  <c r="AJ23" i="2"/>
  <c r="AJ24" i="2" s="1"/>
  <c r="AJ21" i="2"/>
  <c r="AJ34" i="2" s="1"/>
  <c r="AK23" i="2"/>
  <c r="AK24" i="2" s="1"/>
  <c r="AK21" i="2"/>
  <c r="AK34" i="2" s="1"/>
  <c r="AL24" i="2"/>
  <c r="AL21" i="2"/>
  <c r="AL34" i="2" s="1"/>
  <c r="AO24" i="2"/>
  <c r="AO21" i="2"/>
  <c r="AO34" i="2" s="1"/>
  <c r="AM24" i="2"/>
  <c r="AM21" i="2"/>
  <c r="AP24" i="2"/>
  <c r="AP21" i="2"/>
  <c r="AP34" i="2" s="1"/>
  <c r="AV25" i="2" l="1"/>
  <c r="AV27" i="2" s="1"/>
  <c r="AV29" i="2" s="1"/>
  <c r="AV30" i="2" s="1"/>
  <c r="AW25" i="2"/>
  <c r="AW27" i="2" s="1"/>
  <c r="AW29" i="2" s="1"/>
  <c r="AW30" i="2" s="1"/>
  <c r="J12" i="1"/>
  <c r="AS36" i="2"/>
  <c r="BF21" i="2"/>
  <c r="BF34" i="2" s="1"/>
  <c r="BG33" i="2"/>
  <c r="BE23" i="2"/>
  <c r="BE24" i="2" s="1"/>
  <c r="BE21" i="2"/>
  <c r="BE34" i="2" s="1"/>
  <c r="BD23" i="2"/>
  <c r="BD24" i="2" s="1"/>
  <c r="BL21" i="2"/>
  <c r="BL34" i="2" s="1"/>
  <c r="BF23" i="2"/>
  <c r="BF24" i="2" s="1"/>
  <c r="BE33" i="2"/>
  <c r="BD21" i="2"/>
  <c r="BD34" i="2" s="1"/>
  <c r="BI33" i="2"/>
  <c r="BF33" i="2"/>
  <c r="BJ23" i="2"/>
  <c r="BJ24" i="2" s="1"/>
  <c r="BN23" i="2"/>
  <c r="BO23" i="2" s="1"/>
  <c r="BP23" i="2" s="1"/>
  <c r="BQ23" i="2" s="1"/>
  <c r="BR23" i="2" s="1"/>
  <c r="BS23" i="2" s="1"/>
  <c r="BT23" i="2" s="1"/>
  <c r="BJ21" i="2"/>
  <c r="D25" i="2"/>
  <c r="D27" i="2" s="1"/>
  <c r="D29" i="2" s="1"/>
  <c r="D30" i="2" s="1"/>
  <c r="D34" i="2"/>
  <c r="E25" i="2"/>
  <c r="E27" i="2" s="1"/>
  <c r="E29" i="2" s="1"/>
  <c r="E30" i="2" s="1"/>
  <c r="E34" i="2"/>
  <c r="C25" i="2"/>
  <c r="C27" i="2" s="1"/>
  <c r="C29" i="2" s="1"/>
  <c r="C30" i="2" s="1"/>
  <c r="G25" i="2"/>
  <c r="G27" i="2" s="1"/>
  <c r="G29" i="2" s="1"/>
  <c r="G30" i="2" s="1"/>
  <c r="F25" i="2"/>
  <c r="F27" i="2" s="1"/>
  <c r="F29" i="2" s="1"/>
  <c r="F30" i="2" s="1"/>
  <c r="I25" i="2"/>
  <c r="I27" i="2" s="1"/>
  <c r="I29" i="2" s="1"/>
  <c r="I30" i="2" s="1"/>
  <c r="J25" i="2"/>
  <c r="J27" i="2" s="1"/>
  <c r="J29" i="2" s="1"/>
  <c r="J30" i="2" s="1"/>
  <c r="AT26" i="2"/>
  <c r="BN26" i="2" s="1"/>
  <c r="BO26" i="2" s="1"/>
  <c r="BP26" i="2" s="1"/>
  <c r="BQ26" i="2" s="1"/>
  <c r="BR26" i="2" s="1"/>
  <c r="BK33" i="2"/>
  <c r="BL23" i="2"/>
  <c r="BL24" i="2" s="1"/>
  <c r="BM24" i="2"/>
  <c r="BH21" i="2"/>
  <c r="BH34" i="2" s="1"/>
  <c r="H25" i="2"/>
  <c r="H27" i="2" s="1"/>
  <c r="H29" i="2" s="1"/>
  <c r="H30" i="2" s="1"/>
  <c r="L25" i="2"/>
  <c r="L27" i="2" s="1"/>
  <c r="L29" i="2" s="1"/>
  <c r="L30" i="2" s="1"/>
  <c r="BN22" i="2"/>
  <c r="AT24" i="2"/>
  <c r="BJ33" i="2"/>
  <c r="BK23" i="2"/>
  <c r="BK24" i="2" s="1"/>
  <c r="AT31" i="2"/>
  <c r="BN31" i="2" s="1"/>
  <c r="BO31" i="2" s="1"/>
  <c r="BP31" i="2" s="1"/>
  <c r="BQ31" i="2" s="1"/>
  <c r="BR31" i="2" s="1"/>
  <c r="BS31" i="2" s="1"/>
  <c r="BT31" i="2" s="1"/>
  <c r="BG23" i="2"/>
  <c r="BG24" i="2" s="1"/>
  <c r="BI21" i="2"/>
  <c r="BI34" i="2" s="1"/>
  <c r="BH23" i="2"/>
  <c r="BH24" i="2" s="1"/>
  <c r="BM21" i="2"/>
  <c r="BM34" i="2" s="1"/>
  <c r="BI23" i="2"/>
  <c r="BI24" i="2" s="1"/>
  <c r="K25" i="2"/>
  <c r="K27" i="2" s="1"/>
  <c r="K29" i="2" s="1"/>
  <c r="K30" i="2" s="1"/>
  <c r="N25" i="2"/>
  <c r="N27" i="2" s="1"/>
  <c r="N29" i="2" s="1"/>
  <c r="N30" i="2" s="1"/>
  <c r="BG21" i="2"/>
  <c r="BG34" i="2" s="1"/>
  <c r="O25" i="2"/>
  <c r="O27" i="2" s="1"/>
  <c r="O29" i="2" s="1"/>
  <c r="O30" i="2" s="1"/>
  <c r="BH33" i="2"/>
  <c r="M25" i="2"/>
  <c r="M27" i="2" s="1"/>
  <c r="M29" i="2" s="1"/>
  <c r="M30" i="2" s="1"/>
  <c r="Q25" i="2"/>
  <c r="Q27" i="2" s="1"/>
  <c r="Q29" i="2" s="1"/>
  <c r="Q30" i="2" s="1"/>
  <c r="AT21" i="2"/>
  <c r="BN19" i="2"/>
  <c r="BK21" i="2"/>
  <c r="BK34" i="2" s="1"/>
  <c r="AM25" i="2"/>
  <c r="AM27" i="2" s="1"/>
  <c r="AM29" i="2" s="1"/>
  <c r="AM30" i="2" s="1"/>
  <c r="P25" i="2"/>
  <c r="P27" i="2" s="1"/>
  <c r="P29" i="2" s="1"/>
  <c r="P30" i="2" s="1"/>
  <c r="T25" i="2"/>
  <c r="T27" i="2" s="1"/>
  <c r="T29" i="2" s="1"/>
  <c r="T30" i="2" s="1"/>
  <c r="S25" i="2"/>
  <c r="S27" i="2" s="1"/>
  <c r="S29" i="2" s="1"/>
  <c r="S30" i="2" s="1"/>
  <c r="R25" i="2"/>
  <c r="R27" i="2" s="1"/>
  <c r="R29" i="2" s="1"/>
  <c r="R30" i="2" s="1"/>
  <c r="BL33" i="2"/>
  <c r="BM33" i="2"/>
  <c r="V25" i="2"/>
  <c r="V27" i="2" s="1"/>
  <c r="V29" i="2" s="1"/>
  <c r="V30" i="2" s="1"/>
  <c r="U25" i="2"/>
  <c r="U27" i="2" s="1"/>
  <c r="U29" i="2" s="1"/>
  <c r="U30" i="2" s="1"/>
  <c r="X25" i="2"/>
  <c r="X27" i="2" s="1"/>
  <c r="X29" i="2" s="1"/>
  <c r="X30" i="2" s="1"/>
  <c r="Y25" i="2"/>
  <c r="Y27" i="2" s="1"/>
  <c r="Y29" i="2" s="1"/>
  <c r="Y30" i="2" s="1"/>
  <c r="W25" i="2"/>
  <c r="W27" i="2" s="1"/>
  <c r="W29" i="2" s="1"/>
  <c r="W30" i="2" s="1"/>
  <c r="AA25" i="2"/>
  <c r="AA27" i="2" s="1"/>
  <c r="AA29" i="2" s="1"/>
  <c r="AA30" i="2" s="1"/>
  <c r="Z25" i="2"/>
  <c r="Z27" i="2" s="1"/>
  <c r="Z29" i="2" s="1"/>
  <c r="Z30" i="2" s="1"/>
  <c r="AC25" i="2"/>
  <c r="AC27" i="2" s="1"/>
  <c r="AC29" i="2" s="1"/>
  <c r="AC30" i="2" s="1"/>
  <c r="AD25" i="2"/>
  <c r="AD27" i="2" s="1"/>
  <c r="AD29" i="2" s="1"/>
  <c r="AD30" i="2" s="1"/>
  <c r="AB25" i="2"/>
  <c r="AB27" i="2" s="1"/>
  <c r="AB29" i="2" s="1"/>
  <c r="AB30" i="2" s="1"/>
  <c r="AF25" i="2"/>
  <c r="AF27" i="2" s="1"/>
  <c r="AF29" i="2" s="1"/>
  <c r="AF30" i="2" s="1"/>
  <c r="AK25" i="2"/>
  <c r="AK27" i="2" s="1"/>
  <c r="AK29" i="2" s="1"/>
  <c r="AK30" i="2" s="1"/>
  <c r="AE25" i="2"/>
  <c r="AE27" i="2" s="1"/>
  <c r="AE29" i="2" s="1"/>
  <c r="AE30" i="2" s="1"/>
  <c r="AH25" i="2"/>
  <c r="AH27" i="2" s="1"/>
  <c r="AH29" i="2" s="1"/>
  <c r="AH30" i="2" s="1"/>
  <c r="AI25" i="2"/>
  <c r="AI27" i="2" s="1"/>
  <c r="AI29" i="2" s="1"/>
  <c r="AI30" i="2" s="1"/>
  <c r="AG25" i="2"/>
  <c r="AG27" i="2" s="1"/>
  <c r="AG29" i="2" s="1"/>
  <c r="AG30" i="2" s="1"/>
  <c r="AJ25" i="2"/>
  <c r="AJ27" i="2" s="1"/>
  <c r="AJ29" i="2" s="1"/>
  <c r="AJ30" i="2" s="1"/>
  <c r="AM34" i="2"/>
  <c r="AL25" i="2"/>
  <c r="AL27" i="2" s="1"/>
  <c r="AL29" i="2" s="1"/>
  <c r="AL30" i="2" s="1"/>
  <c r="AO25" i="2"/>
  <c r="AO27" i="2" s="1"/>
  <c r="AO29" i="2" s="1"/>
  <c r="AO30" i="2" s="1"/>
  <c r="AP25" i="2"/>
  <c r="AP27" i="2" s="1"/>
  <c r="AP29" i="2" s="1"/>
  <c r="AP30" i="2" s="1"/>
  <c r="BF25" i="2" l="1"/>
  <c r="BF27" i="2" s="1"/>
  <c r="BF29" i="2" s="1"/>
  <c r="BF30" i="2" s="1"/>
  <c r="BI25" i="2"/>
  <c r="BI27" i="2" s="1"/>
  <c r="BI29" i="2" s="1"/>
  <c r="BI30" i="2" s="1"/>
  <c r="BJ25" i="2"/>
  <c r="BJ27" i="2" s="1"/>
  <c r="BJ29" i="2" s="1"/>
  <c r="BJ30" i="2" s="1"/>
  <c r="BL25" i="2"/>
  <c r="BL27" i="2" s="1"/>
  <c r="BL29" i="2" s="1"/>
  <c r="BL30" i="2" s="1"/>
  <c r="BD25" i="2"/>
  <c r="BD27" i="2" s="1"/>
  <c r="BD29" i="2" s="1"/>
  <c r="BD30" i="2" s="1"/>
  <c r="BE25" i="2"/>
  <c r="BE27" i="2" s="1"/>
  <c r="BE29" i="2" s="1"/>
  <c r="BE30" i="2" s="1"/>
  <c r="BN33" i="2"/>
  <c r="BO19" i="2"/>
  <c r="BJ34" i="2"/>
  <c r="BK25" i="2"/>
  <c r="BK27" i="2" s="1"/>
  <c r="BK29" i="2" s="1"/>
  <c r="BK30" i="2" s="1"/>
  <c r="AT25" i="2"/>
  <c r="AT27" i="2" s="1"/>
  <c r="AT28" i="2" s="1"/>
  <c r="AT29" i="2" s="1"/>
  <c r="AT30" i="2" s="1"/>
  <c r="BN24" i="2"/>
  <c r="BO22" i="2"/>
  <c r="BS26" i="2"/>
  <c r="BH25" i="2"/>
  <c r="BH27" i="2" s="1"/>
  <c r="BH29" i="2" s="1"/>
  <c r="BH30" i="2" s="1"/>
  <c r="BG25" i="2"/>
  <c r="BG27" i="2" s="1"/>
  <c r="BG29" i="2" s="1"/>
  <c r="BG30" i="2" s="1"/>
  <c r="AS34" i="2"/>
  <c r="AS25" i="2"/>
  <c r="AS27" i="2" s="1"/>
  <c r="AT20" i="2"/>
  <c r="AT34" i="2"/>
  <c r="BM25" i="2"/>
  <c r="BM27" i="2" s="1"/>
  <c r="BM29" i="2" s="1"/>
  <c r="BM30" i="2" s="1"/>
  <c r="BP22" i="2" l="1"/>
  <c r="BO24" i="2"/>
  <c r="BP19" i="2"/>
  <c r="BO33" i="2"/>
  <c r="BO21" i="2"/>
  <c r="BT26" i="2"/>
  <c r="AS29" i="2"/>
  <c r="AS30" i="2" s="1"/>
  <c r="BN28" i="2"/>
  <c r="BN20" i="2"/>
  <c r="BN21" i="2" s="1"/>
  <c r="BO20" i="2" l="1"/>
  <c r="BO34" i="2"/>
  <c r="BQ19" i="2"/>
  <c r="BP21" i="2"/>
  <c r="BP34" i="2" s="1"/>
  <c r="BP33" i="2"/>
  <c r="BO25" i="2"/>
  <c r="BO27" i="2" s="1"/>
  <c r="BO28" i="2" s="1"/>
  <c r="BO29" i="2" s="1"/>
  <c r="BP24" i="2"/>
  <c r="BQ22" i="2"/>
  <c r="BN34" i="2"/>
  <c r="BN25" i="2"/>
  <c r="BN27" i="2" s="1"/>
  <c r="BN29" i="2" s="1"/>
  <c r="BN30" i="2" s="1"/>
  <c r="BP25" i="2" l="1"/>
  <c r="BP27" i="2" s="1"/>
  <c r="BP28" i="2" s="1"/>
  <c r="BP29" i="2" s="1"/>
  <c r="BP30" i="2" s="1"/>
  <c r="BQ24" i="2"/>
  <c r="BR22" i="2"/>
  <c r="BO30" i="2"/>
  <c r="BR19" i="2"/>
  <c r="BQ33" i="2"/>
  <c r="BQ21" i="2"/>
  <c r="BQ34" i="2" s="1"/>
  <c r="BP20" i="2"/>
  <c r="BQ20" i="2" l="1"/>
  <c r="BR33" i="2"/>
  <c r="BR21" i="2"/>
  <c r="BR34" i="2" s="1"/>
  <c r="BS19" i="2"/>
  <c r="BS22" i="2"/>
  <c r="BR24" i="2"/>
  <c r="BQ25" i="2"/>
  <c r="BQ27" i="2" s="1"/>
  <c r="AQ24" i="2"/>
  <c r="AQ21" i="2"/>
  <c r="AQ34" i="2" s="1"/>
  <c r="AN24" i="2"/>
  <c r="AN21" i="2"/>
  <c r="AN34" i="2" s="1"/>
  <c r="J5" i="1"/>
  <c r="J11" i="1" s="1"/>
  <c r="AR24" i="2"/>
  <c r="AR21" i="2"/>
  <c r="BQ28" i="2" l="1"/>
  <c r="BQ29" i="2" s="1"/>
  <c r="BR25" i="2"/>
  <c r="BR27" i="2" s="1"/>
  <c r="BR28" i="2" s="1"/>
  <c r="BR29" i="2" s="1"/>
  <c r="BR30" i="2" s="1"/>
  <c r="BS24" i="2"/>
  <c r="BT22" i="2"/>
  <c r="BT24" i="2" s="1"/>
  <c r="BS33" i="2"/>
  <c r="BT19" i="2"/>
  <c r="BS21" i="2"/>
  <c r="BS34" i="2" s="1"/>
  <c r="BR20" i="2"/>
  <c r="AR25" i="2"/>
  <c r="AR27" i="2" s="1"/>
  <c r="AR29" i="2" s="1"/>
  <c r="AR30" i="2" s="1"/>
  <c r="AR34" i="2"/>
  <c r="AQ25" i="2"/>
  <c r="AQ27" i="2" s="1"/>
  <c r="AQ29" i="2" s="1"/>
  <c r="AQ30" i="2" s="1"/>
  <c r="AN25" i="2"/>
  <c r="AN27" i="2" s="1"/>
  <c r="AN29" i="2" s="1"/>
  <c r="AN30" i="2" s="1"/>
  <c r="BT33" i="2" l="1"/>
  <c r="BT21" i="2"/>
  <c r="BT34" i="2" s="1"/>
  <c r="BS20" i="2"/>
  <c r="BS25" i="2"/>
  <c r="BS27" i="2" s="1"/>
  <c r="BQ30" i="2"/>
  <c r="BT25" i="2" l="1"/>
  <c r="BT27" i="2" s="1"/>
  <c r="BT28" i="2" s="1"/>
  <c r="BT29" i="2" s="1"/>
  <c r="BS28" i="2"/>
  <c r="BS29" i="2" s="1"/>
  <c r="BT30" i="2"/>
  <c r="BU29" i="2"/>
  <c r="BV29" i="2" s="1"/>
  <c r="BW29" i="2" s="1"/>
  <c r="BX29" i="2" s="1"/>
  <c r="BY29" i="2" s="1"/>
  <c r="BZ29" i="2" s="1"/>
  <c r="CA29" i="2" s="1"/>
  <c r="CB29" i="2" s="1"/>
  <c r="CC29" i="2" s="1"/>
  <c r="CD29" i="2" s="1"/>
  <c r="CE29" i="2" s="1"/>
  <c r="CF29" i="2" s="1"/>
  <c r="CG29" i="2" s="1"/>
  <c r="CH29" i="2" s="1"/>
  <c r="CI29" i="2" s="1"/>
  <c r="CJ29" i="2" s="1"/>
  <c r="CK29" i="2" s="1"/>
  <c r="CL29" i="2" s="1"/>
  <c r="CM29" i="2" s="1"/>
  <c r="CN29" i="2" s="1"/>
  <c r="CO29" i="2" s="1"/>
  <c r="CP29" i="2" s="1"/>
  <c r="CQ29" i="2" s="1"/>
  <c r="CR29" i="2" s="1"/>
  <c r="CS29" i="2" s="1"/>
  <c r="CT29" i="2" s="1"/>
  <c r="CU29" i="2" s="1"/>
  <c r="CV29" i="2" s="1"/>
  <c r="CW29" i="2" s="1"/>
  <c r="CX29" i="2" s="1"/>
  <c r="CY29" i="2" s="1"/>
  <c r="CZ29" i="2" s="1"/>
  <c r="DA29" i="2" s="1"/>
  <c r="DB29" i="2" s="1"/>
  <c r="DC29" i="2" s="1"/>
  <c r="DD29" i="2" s="1"/>
  <c r="DE29" i="2" s="1"/>
  <c r="DF29" i="2" s="1"/>
  <c r="DG29" i="2" s="1"/>
  <c r="DH29" i="2" s="1"/>
  <c r="DI29" i="2" s="1"/>
  <c r="DJ29" i="2" s="1"/>
  <c r="DK29" i="2" s="1"/>
  <c r="DL29" i="2" s="1"/>
  <c r="DM29" i="2" s="1"/>
  <c r="DN29" i="2" s="1"/>
  <c r="DO29" i="2" s="1"/>
  <c r="DP29" i="2" s="1"/>
  <c r="DQ29" i="2" s="1"/>
  <c r="DR29" i="2" s="1"/>
  <c r="DS29" i="2" s="1"/>
  <c r="DT29" i="2" s="1"/>
  <c r="DU29" i="2" s="1"/>
  <c r="DV29" i="2" s="1"/>
  <c r="DW29" i="2" s="1"/>
  <c r="DX29" i="2" s="1"/>
  <c r="DY29" i="2" s="1"/>
  <c r="DZ29" i="2" s="1"/>
  <c r="EA29" i="2" s="1"/>
  <c r="EB29" i="2" s="1"/>
  <c r="EC29" i="2" s="1"/>
  <c r="ED29" i="2" s="1"/>
  <c r="EE29" i="2" s="1"/>
  <c r="EF29" i="2" s="1"/>
  <c r="EG29" i="2" s="1"/>
  <c r="EH29" i="2" s="1"/>
  <c r="EI29" i="2" s="1"/>
  <c r="EJ29" i="2" s="1"/>
  <c r="EK29" i="2" s="1"/>
  <c r="EL29" i="2" s="1"/>
  <c r="EM29" i="2" s="1"/>
  <c r="EN29" i="2" s="1"/>
  <c r="EO29" i="2" s="1"/>
  <c r="EP29" i="2" s="1"/>
  <c r="EQ29" i="2" s="1"/>
  <c r="ER29" i="2" s="1"/>
  <c r="ES29" i="2" s="1"/>
  <c r="ET29" i="2" s="1"/>
  <c r="EU29" i="2" s="1"/>
  <c r="EV29" i="2" s="1"/>
  <c r="EW29" i="2" s="1"/>
  <c r="EX29" i="2" s="1"/>
  <c r="EY29" i="2" s="1"/>
  <c r="EZ29" i="2" s="1"/>
  <c r="FA29" i="2" s="1"/>
  <c r="FB29" i="2" s="1"/>
  <c r="FC29" i="2" s="1"/>
  <c r="FD29" i="2" s="1"/>
  <c r="FE29" i="2" s="1"/>
  <c r="FF29" i="2" s="1"/>
  <c r="FG29" i="2" s="1"/>
  <c r="FH29" i="2" s="1"/>
  <c r="FI29" i="2" s="1"/>
  <c r="FJ29" i="2" s="1"/>
  <c r="FK29" i="2" s="1"/>
  <c r="FL29" i="2" s="1"/>
  <c r="FM29" i="2" s="1"/>
  <c r="FN29" i="2" s="1"/>
  <c r="FO29" i="2" s="1"/>
  <c r="FP29" i="2" s="1"/>
  <c r="FQ29" i="2" s="1"/>
  <c r="FR29" i="2" s="1"/>
  <c r="FS29" i="2" s="1"/>
  <c r="FT29" i="2" s="1"/>
  <c r="FU29" i="2" s="1"/>
  <c r="FV29" i="2" s="1"/>
  <c r="FW29" i="2" s="1"/>
  <c r="FX29" i="2" s="1"/>
  <c r="FY29" i="2" s="1"/>
  <c r="FZ29" i="2" s="1"/>
  <c r="GA29" i="2" s="1"/>
  <c r="GB29" i="2" s="1"/>
  <c r="GC29" i="2" s="1"/>
  <c r="GD29" i="2" s="1"/>
  <c r="GE29" i="2" s="1"/>
  <c r="GF29" i="2" s="1"/>
  <c r="GG29" i="2" s="1"/>
  <c r="GH29" i="2" s="1"/>
  <c r="GI29" i="2" s="1"/>
  <c r="GJ29" i="2" s="1"/>
  <c r="GK29" i="2" s="1"/>
  <c r="GL29" i="2" s="1"/>
  <c r="GM29" i="2" s="1"/>
  <c r="GN29" i="2" s="1"/>
  <c r="GO29" i="2" s="1"/>
  <c r="GP29" i="2" s="1"/>
  <c r="GQ29" i="2" s="1"/>
  <c r="GR29" i="2" s="1"/>
  <c r="GS29" i="2" s="1"/>
  <c r="GT29" i="2" s="1"/>
  <c r="GU29" i="2" s="1"/>
  <c r="GV29" i="2" s="1"/>
  <c r="GW29" i="2" s="1"/>
  <c r="GX29" i="2" s="1"/>
  <c r="GY29" i="2" s="1"/>
  <c r="GZ29" i="2" s="1"/>
  <c r="HA29" i="2" s="1"/>
  <c r="HB29" i="2" s="1"/>
  <c r="HC29" i="2" s="1"/>
  <c r="HD29" i="2" s="1"/>
  <c r="HE29" i="2" s="1"/>
  <c r="HF29" i="2" s="1"/>
  <c r="HG29" i="2" s="1"/>
  <c r="HH29" i="2" s="1"/>
  <c r="HI29" i="2" s="1"/>
  <c r="HJ29" i="2" s="1"/>
  <c r="HK29" i="2" s="1"/>
  <c r="HL29" i="2" s="1"/>
  <c r="HM29" i="2" s="1"/>
  <c r="HN29" i="2" s="1"/>
  <c r="HO29" i="2" s="1"/>
  <c r="HP29" i="2" s="1"/>
  <c r="HQ29" i="2" s="1"/>
  <c r="HR29" i="2" s="1"/>
  <c r="HS29" i="2" s="1"/>
  <c r="HT29" i="2" s="1"/>
  <c r="HU29" i="2" s="1"/>
  <c r="HV29" i="2" s="1"/>
  <c r="HW29" i="2" s="1"/>
  <c r="HX29" i="2" s="1"/>
  <c r="HY29" i="2" s="1"/>
  <c r="HZ29" i="2" s="1"/>
  <c r="IA29" i="2" s="1"/>
  <c r="IB29" i="2" s="1"/>
  <c r="IC29" i="2" s="1"/>
  <c r="ID29" i="2" s="1"/>
  <c r="IE29" i="2" s="1"/>
  <c r="BT20" i="2"/>
  <c r="BS30" i="2" l="1"/>
  <c r="BW3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tc={2A8F886A-97AC-4514-9537-C2E320A92850}</author>
  </authors>
  <commentList>
    <comment ref="AT19" authorId="0" shapeId="0" xr:uid="{2A8F886A-97AC-4514-9537-C2E320A92850}">
      <text>
        <t>[Threaded comment]
Your version of Excel allows you to read this threaded comment; however, any edits to it will get removed if the file is opened in a newer version of Excel. Learn more: https://go.microsoft.com/fwlink/?linkid=870924
Comment:
    835-861B guidance</t>
      </text>
    </comment>
  </commentList>
</comments>
</file>

<file path=xl/sharedStrings.xml><?xml version="1.0" encoding="utf-8"?>
<sst xmlns="http://schemas.openxmlformats.org/spreadsheetml/2006/main" count="122" uniqueCount="116">
  <si>
    <t>Shares</t>
  </si>
  <si>
    <t>Main</t>
  </si>
  <si>
    <t>Revenue</t>
  </si>
  <si>
    <t>$M NTD</t>
  </si>
  <si>
    <t>Q123</t>
  </si>
  <si>
    <t>Q223</t>
  </si>
  <si>
    <t>Q323</t>
  </si>
  <si>
    <t>Q423</t>
  </si>
  <si>
    <t>Q124</t>
  </si>
  <si>
    <t>Q224</t>
  </si>
  <si>
    <t>Q324</t>
  </si>
  <si>
    <t>Q424</t>
  </si>
  <si>
    <t>MC NTD</t>
  </si>
  <si>
    <t>Price USD</t>
  </si>
  <si>
    <t>Price NTD</t>
  </si>
  <si>
    <t>Cash USD</t>
  </si>
  <si>
    <t>Debt USD</t>
  </si>
  <si>
    <t>MC USD</t>
  </si>
  <si>
    <t>Net Income</t>
  </si>
  <si>
    <t>Taxes</t>
  </si>
  <si>
    <t>Pretax Income</t>
  </si>
  <si>
    <t>Other Income</t>
  </si>
  <si>
    <t>Operating Income</t>
  </si>
  <si>
    <t>Operating Expenses</t>
  </si>
  <si>
    <t>COGS</t>
  </si>
  <si>
    <t>Gross Margin</t>
  </si>
  <si>
    <t>R&amp;D</t>
  </si>
  <si>
    <t>SG&amp;A</t>
  </si>
  <si>
    <t>S/O</t>
  </si>
  <si>
    <t>EPS</t>
  </si>
  <si>
    <t>GM %</t>
  </si>
  <si>
    <t>Revenue y/y</t>
  </si>
  <si>
    <t>Q122</t>
  </si>
  <si>
    <t>Q222</t>
  </si>
  <si>
    <t>Q322</t>
  </si>
  <si>
    <t>Q422</t>
  </si>
  <si>
    <t>Q121</t>
  </si>
  <si>
    <t>Q221</t>
  </si>
  <si>
    <t>Q321</t>
  </si>
  <si>
    <t>Q421</t>
  </si>
  <si>
    <t>Q120</t>
  </si>
  <si>
    <t>Q220</t>
  </si>
  <si>
    <t>Q320</t>
  </si>
  <si>
    <t>Q420</t>
  </si>
  <si>
    <t>Q119</t>
  </si>
  <si>
    <t>Q219</t>
  </si>
  <si>
    <t>Q319</t>
  </si>
  <si>
    <t>Q419</t>
  </si>
  <si>
    <t>Q118</t>
  </si>
  <si>
    <t>Q218</t>
  </si>
  <si>
    <t>Q318</t>
  </si>
  <si>
    <t>Q418</t>
  </si>
  <si>
    <t>Q117</t>
  </si>
  <si>
    <t>Q217</t>
  </si>
  <si>
    <t>Q317</t>
  </si>
  <si>
    <t>Q417</t>
  </si>
  <si>
    <t>Q116</t>
  </si>
  <si>
    <t>Q216</t>
  </si>
  <si>
    <t>Q316</t>
  </si>
  <si>
    <t>Q416</t>
  </si>
  <si>
    <t>Q115</t>
  </si>
  <si>
    <t>Q215</t>
  </si>
  <si>
    <t>Q315</t>
  </si>
  <si>
    <t>Q415</t>
  </si>
  <si>
    <t>Q114</t>
  </si>
  <si>
    <t>Q214</t>
  </si>
  <si>
    <t>Q314</t>
  </si>
  <si>
    <t>Q414</t>
  </si>
  <si>
    <t>Discount</t>
  </si>
  <si>
    <t>NPV</t>
  </si>
  <si>
    <t>Terminal</t>
  </si>
  <si>
    <t>Q125</t>
  </si>
  <si>
    <t>Q225</t>
  </si>
  <si>
    <t>Q325</t>
  </si>
  <si>
    <t>Q425</t>
  </si>
  <si>
    <t>Cash</t>
  </si>
  <si>
    <t>OCA</t>
  </si>
  <si>
    <t>Inventories</t>
  </si>
  <si>
    <t>AR</t>
  </si>
  <si>
    <t>ONCA</t>
  </si>
  <si>
    <t>PPE</t>
  </si>
  <si>
    <t>L+SE</t>
  </si>
  <si>
    <t>SE</t>
  </si>
  <si>
    <t>AP</t>
  </si>
  <si>
    <t>Contractors</t>
  </si>
  <si>
    <t>Dividends</t>
  </si>
  <si>
    <t>AE</t>
  </si>
  <si>
    <t>Debt</t>
  </si>
  <si>
    <t>ONCL</t>
  </si>
  <si>
    <t>Net Cash</t>
  </si>
  <si>
    <t>CFFO</t>
  </si>
  <si>
    <t>CapEx</t>
  </si>
  <si>
    <t>FCF</t>
  </si>
  <si>
    <t>3nm</t>
  </si>
  <si>
    <t>5nm</t>
  </si>
  <si>
    <t>16nm</t>
  </si>
  <si>
    <t>7nm</t>
  </si>
  <si>
    <t>HPC</t>
  </si>
  <si>
    <t>Smartphone</t>
  </si>
  <si>
    <t>Q126</t>
  </si>
  <si>
    <t>Q226</t>
  </si>
  <si>
    <t>Q326</t>
  </si>
  <si>
    <t>Q426</t>
  </si>
  <si>
    <t>Assets</t>
  </si>
  <si>
    <t>Cash NTD</t>
  </si>
  <si>
    <t>Debt NTD</t>
  </si>
  <si>
    <t>EV USD</t>
  </si>
  <si>
    <t>EV NTD</t>
  </si>
  <si>
    <t>2nm</t>
  </si>
  <si>
    <t>20/28nm</t>
  </si>
  <si>
    <t>40/45nm</t>
  </si>
  <si>
    <t>65nm</t>
  </si>
  <si>
    <t>90nm+</t>
  </si>
  <si>
    <t>IoT</t>
  </si>
  <si>
    <t>Auto</t>
  </si>
  <si>
    <t>Digital 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</si>
</sst>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  <xf numFmtId="3" fontId="1" fillId="0" borderId="0" xfId="0" applyNumberFormat="1" applyFont="1"/>
    <xf numFmtId="9" fontId="1" fillId="0" borderId="0" xfId="0" applyNumberFormat="1" applyFont="1"/>
    <xf numFmtId="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DD3949CC-EB62-4900-92C7-87E53D5620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65</xdr:col>
      <xdr:colOff>10026</xdr:colOff>
      <xdr:row>0</xdr:row>
      <xdr:rowOff>30079</xdr:rowOff>
    </xdr:from>
    <xdr:to>
      <xdr:col>65</xdr:col>
      <xdr:colOff>10026</xdr:colOff>
      <xdr:row>53</xdr:row>
      <xdr:rowOff>145381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4E796D6-1541-5E29-A4B0-15C5111971BE}"/>
            </a:ext>
          </a:extLst>
        </xdr:cNvPr>
        <xdr:cNvCxnSpPr/>
      </xdr:nvCxnSpPr>
      <xdr:spPr>
        <a:xfrm>
          <a:off x="35282605" y="30079"/>
          <a:ext cx="0" cy="589046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58464</xdr:colOff>
      <xdr:row>0</xdr:row>
      <xdr:rowOff>0</xdr:rowOff>
    </xdr:from>
    <xdr:to>
      <xdr:col>52</xdr:col>
      <xdr:colOff>58464</xdr:colOff>
      <xdr:row>61</xdr:row>
      <xdr:rowOff>59121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7AA4442-A8A2-2141-290B-33CB8BDECA99}"/>
            </a:ext>
          </a:extLst>
        </xdr:cNvPr>
        <xdr:cNvCxnSpPr/>
      </xdr:nvCxnSpPr>
      <xdr:spPr>
        <a:xfrm>
          <a:off x="34100814" y="0"/>
          <a:ext cx="0" cy="975557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A49975A6-93EC-4F57-B516-5EE95FD110AD}" userId="9ffda80931a5727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T19" dT="2024-12-25T22:42:37.30" personId="{A49975A6-93EC-4F57-B516-5EE95FD110AD}" id="{2A8F886A-97AC-4514-9537-C2E320A92850}">
    <text>835-861B guidance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F92D2-7D03-4DFA-BED7-661026E9434F}">
  <dimension ref="I2:K12"/>
  <sheetViews>
    <sheetView zoomScale="190" zoomScaleNormal="190" workbookViewId="0">
      <selection activeCell="J8" sqref="J8"/>
    </sheetView>
  </sheetViews>
  <sheetFormatPr defaultRowHeight="12.5" x14ac:dyDescent="0.25"/>
  <cols>
    <col min="9" max="9" width="10.453125" customWidth="1"/>
    <col min="10" max="10" width="10.1796875" bestFit="1" customWidth="1"/>
  </cols>
  <sheetData>
    <row r="2" spans="9:11" x14ac:dyDescent="0.25">
      <c r="I2" t="s">
        <v>13</v>
      </c>
      <c r="J2" s="1">
        <v>302</v>
      </c>
    </row>
    <row r="3" spans="9:11" x14ac:dyDescent="0.25">
      <c r="I3" t="s">
        <v>14</v>
      </c>
      <c r="J3" s="1">
        <v>1505</v>
      </c>
    </row>
    <row r="4" spans="9:11" x14ac:dyDescent="0.25">
      <c r="I4" t="s">
        <v>0</v>
      </c>
      <c r="J4" s="2">
        <v>25931</v>
      </c>
      <c r="K4" s="3" t="s">
        <v>73</v>
      </c>
    </row>
    <row r="5" spans="9:11" x14ac:dyDescent="0.25">
      <c r="I5" t="s">
        <v>17</v>
      </c>
      <c r="J5" s="2">
        <f>+J2*J4/5</f>
        <v>1566232.4</v>
      </c>
    </row>
    <row r="6" spans="9:11" x14ac:dyDescent="0.25">
      <c r="I6" t="s">
        <v>12</v>
      </c>
      <c r="J6" s="2">
        <f>+J3*J4</f>
        <v>39026155</v>
      </c>
    </row>
    <row r="7" spans="9:11" x14ac:dyDescent="0.25">
      <c r="I7" t="s">
        <v>15</v>
      </c>
      <c r="J7" s="2">
        <f>80926+9181+4879</f>
        <v>94986</v>
      </c>
      <c r="K7" s="3" t="s">
        <v>73</v>
      </c>
    </row>
    <row r="8" spans="9:11" x14ac:dyDescent="0.25">
      <c r="I8" t="s">
        <v>104</v>
      </c>
      <c r="J8" s="2">
        <f>+Model!AW37*1000</f>
        <v>2900034</v>
      </c>
      <c r="K8" s="3" t="s">
        <v>73</v>
      </c>
    </row>
    <row r="9" spans="9:11" x14ac:dyDescent="0.25">
      <c r="I9" t="s">
        <v>16</v>
      </c>
      <c r="J9" s="2">
        <f>2497+28838</f>
        <v>31335</v>
      </c>
      <c r="K9" s="3" t="s">
        <v>73</v>
      </c>
    </row>
    <row r="10" spans="9:11" x14ac:dyDescent="0.25">
      <c r="I10" t="s">
        <v>105</v>
      </c>
      <c r="J10" s="2">
        <f>+Model!AW49*1000</f>
        <v>956659</v>
      </c>
      <c r="K10" s="3" t="s">
        <v>73</v>
      </c>
    </row>
    <row r="11" spans="9:11" x14ac:dyDescent="0.25">
      <c r="I11" t="s">
        <v>106</v>
      </c>
      <c r="J11" s="2">
        <f>+J5-J7+J9</f>
        <v>1502581.4</v>
      </c>
    </row>
    <row r="12" spans="9:11" x14ac:dyDescent="0.25">
      <c r="I12" t="s">
        <v>107</v>
      </c>
      <c r="J12" s="2">
        <f>+J6-J8+J10</f>
        <v>37082780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27CB3-C001-4BFA-BC40-1969E46C671B}">
  <dimension ref="A1:IE56"/>
  <sheetViews>
    <sheetView tabSelected="1" zoomScaleNormal="100" workbookViewId="0">
      <pane xSplit="2" ySplit="2" topLeftCell="AL3" activePane="bottomRight" state="frozen"/>
      <selection pane="topRight" activeCell="C1" sqref="C1"/>
      <selection pane="bottomLeft" activeCell="A3" sqref="A3"/>
      <selection pane="bottomRight" activeCell="AY17" sqref="AY17"/>
    </sheetView>
  </sheetViews>
  <sheetFormatPr defaultRowHeight="12.5" x14ac:dyDescent="0.25"/>
  <cols>
    <col min="1" max="1" width="5" bestFit="1" customWidth="1"/>
    <col min="2" max="2" width="18.1796875" bestFit="1" customWidth="1"/>
    <col min="3" max="44" width="9.1796875" style="3"/>
    <col min="45" max="46" width="9.81640625" style="3" bestFit="1" customWidth="1"/>
    <col min="47" max="54" width="9.81640625" style="3" customWidth="1"/>
    <col min="75" max="75" width="14.7265625" bestFit="1" customWidth="1"/>
  </cols>
  <sheetData>
    <row r="1" spans="1:72" x14ac:dyDescent="0.25">
      <c r="A1" s="14" t="s">
        <v>1</v>
      </c>
    </row>
    <row r="2" spans="1:72" x14ac:dyDescent="0.25">
      <c r="B2" t="s">
        <v>3</v>
      </c>
      <c r="C2" s="3" t="s">
        <v>64</v>
      </c>
      <c r="D2" s="3" t="s">
        <v>65</v>
      </c>
      <c r="E2" s="3" t="s">
        <v>66</v>
      </c>
      <c r="F2" s="3" t="s">
        <v>67</v>
      </c>
      <c r="G2" s="3" t="s">
        <v>60</v>
      </c>
      <c r="H2" s="3" t="s">
        <v>61</v>
      </c>
      <c r="I2" s="3" t="s">
        <v>62</v>
      </c>
      <c r="J2" s="3" t="s">
        <v>63</v>
      </c>
      <c r="K2" s="3" t="s">
        <v>56</v>
      </c>
      <c r="L2" s="3" t="s">
        <v>57</v>
      </c>
      <c r="M2" s="3" t="s">
        <v>58</v>
      </c>
      <c r="N2" s="3" t="s">
        <v>59</v>
      </c>
      <c r="O2" s="3" t="s">
        <v>52</v>
      </c>
      <c r="P2" s="3" t="s">
        <v>53</v>
      </c>
      <c r="Q2" s="3" t="s">
        <v>54</v>
      </c>
      <c r="R2" s="3" t="s">
        <v>55</v>
      </c>
      <c r="S2" s="3" t="s">
        <v>48</v>
      </c>
      <c r="T2" s="3" t="s">
        <v>49</v>
      </c>
      <c r="U2" s="3" t="s">
        <v>50</v>
      </c>
      <c r="V2" s="3" t="s">
        <v>51</v>
      </c>
      <c r="W2" s="3" t="s">
        <v>44</v>
      </c>
      <c r="X2" s="3" t="s">
        <v>45</v>
      </c>
      <c r="Y2" s="3" t="s">
        <v>46</v>
      </c>
      <c r="Z2" s="3" t="s">
        <v>47</v>
      </c>
      <c r="AA2" s="3" t="s">
        <v>40</v>
      </c>
      <c r="AB2" s="3" t="s">
        <v>41</v>
      </c>
      <c r="AC2" s="3" t="s">
        <v>42</v>
      </c>
      <c r="AD2" s="3" t="s">
        <v>43</v>
      </c>
      <c r="AE2" s="3" t="s">
        <v>36</v>
      </c>
      <c r="AF2" s="3" t="s">
        <v>37</v>
      </c>
      <c r="AG2" s="3" t="s">
        <v>38</v>
      </c>
      <c r="AH2" s="3" t="s">
        <v>39</v>
      </c>
      <c r="AI2" s="3" t="s">
        <v>32</v>
      </c>
      <c r="AJ2" s="3" t="s">
        <v>33</v>
      </c>
      <c r="AK2" s="3" t="s">
        <v>34</v>
      </c>
      <c r="AL2" s="3" t="s">
        <v>35</v>
      </c>
      <c r="AM2" s="3" t="s">
        <v>4</v>
      </c>
      <c r="AN2" s="3" t="s">
        <v>5</v>
      </c>
      <c r="AO2" s="3" t="s">
        <v>6</v>
      </c>
      <c r="AP2" s="3" t="s">
        <v>7</v>
      </c>
      <c r="AQ2" s="3" t="s">
        <v>8</v>
      </c>
      <c r="AR2" s="3" t="s">
        <v>9</v>
      </c>
      <c r="AS2" s="3" t="s">
        <v>10</v>
      </c>
      <c r="AT2" s="3" t="s">
        <v>11</v>
      </c>
      <c r="AU2" s="3" t="s">
        <v>71</v>
      </c>
      <c r="AV2" s="3" t="s">
        <v>72</v>
      </c>
      <c r="AW2" s="3" t="s">
        <v>73</v>
      </c>
      <c r="AX2" s="3" t="s">
        <v>74</v>
      </c>
      <c r="AY2" s="3" t="s">
        <v>99</v>
      </c>
      <c r="AZ2" s="3" t="s">
        <v>100</v>
      </c>
      <c r="BA2" s="3" t="s">
        <v>101</v>
      </c>
      <c r="BB2" s="3" t="s">
        <v>102</v>
      </c>
      <c r="BD2">
        <v>2014</v>
      </c>
      <c r="BE2">
        <v>2015</v>
      </c>
      <c r="BF2">
        <v>2016</v>
      </c>
      <c r="BG2">
        <v>2017</v>
      </c>
      <c r="BH2">
        <v>2018</v>
      </c>
      <c r="BI2">
        <v>2019</v>
      </c>
      <c r="BJ2">
        <v>2020</v>
      </c>
      <c r="BK2">
        <f t="shared" ref="BK2:BQ2" si="0">+BJ2+1</f>
        <v>2021</v>
      </c>
      <c r="BL2">
        <f t="shared" si="0"/>
        <v>2022</v>
      </c>
      <c r="BM2">
        <f t="shared" si="0"/>
        <v>2023</v>
      </c>
      <c r="BN2">
        <f t="shared" si="0"/>
        <v>2024</v>
      </c>
      <c r="BO2">
        <f t="shared" si="0"/>
        <v>2025</v>
      </c>
      <c r="BP2">
        <f t="shared" si="0"/>
        <v>2026</v>
      </c>
      <c r="BQ2">
        <f t="shared" si="0"/>
        <v>2027</v>
      </c>
      <c r="BR2">
        <f t="shared" ref="BR2:BT2" si="1">+BQ2+1</f>
        <v>2028</v>
      </c>
      <c r="BS2">
        <f t="shared" si="1"/>
        <v>2029</v>
      </c>
      <c r="BT2">
        <f t="shared" si="1"/>
        <v>2030</v>
      </c>
    </row>
    <row r="3" spans="1:72" s="2" customFormat="1" x14ac:dyDescent="0.25">
      <c r="B3" s="2" t="s">
        <v>108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>
        <v>0</v>
      </c>
      <c r="AV3" s="4">
        <v>0</v>
      </c>
      <c r="AW3" s="4"/>
      <c r="AX3" s="4">
        <v>0</v>
      </c>
      <c r="AY3" s="4">
        <v>0</v>
      </c>
      <c r="AZ3" s="4">
        <v>31934.248</v>
      </c>
      <c r="BA3" s="4"/>
      <c r="BB3" s="4"/>
    </row>
    <row r="4" spans="1:72" s="2" customFormat="1" x14ac:dyDescent="0.25">
      <c r="B4" s="2" t="s">
        <v>93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>
        <v>0</v>
      </c>
      <c r="AN4" s="4">
        <v>483.71</v>
      </c>
      <c r="AO4" s="4">
        <v>28994.752</v>
      </c>
      <c r="AP4" s="4">
        <f>108045.275-AO4-AN4-AM4</f>
        <v>78566.81299999998</v>
      </c>
      <c r="AQ4" s="4">
        <v>45448.959999999999</v>
      </c>
      <c r="AR4" s="4">
        <v>90111.26</v>
      </c>
      <c r="AS4" s="4">
        <v>129922.709</v>
      </c>
      <c r="AT4" s="4">
        <f>459530.166-AS4-AR4-AQ4</f>
        <v>194047.23700000005</v>
      </c>
      <c r="AU4" s="4">
        <v>160180.18700000001</v>
      </c>
      <c r="AV4" s="4">
        <v>187252.10699999999</v>
      </c>
      <c r="AW4" s="4">
        <v>198608.32800000001</v>
      </c>
      <c r="AX4" s="4">
        <f>794341.375-AW4-AV4-AU4</f>
        <v>248300.75300000006</v>
      </c>
      <c r="AY4" s="4">
        <v>245950.12700000001</v>
      </c>
      <c r="AZ4" s="4">
        <v>320558.57400000002</v>
      </c>
      <c r="BA4" s="4"/>
      <c r="BB4" s="4"/>
    </row>
    <row r="5" spans="1:72" s="2" customFormat="1" x14ac:dyDescent="0.25">
      <c r="B5" s="2" t="s">
        <v>94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>
        <v>139295.47700000001</v>
      </c>
      <c r="AN5" s="4">
        <v>127824.564</v>
      </c>
      <c r="AO5" s="4">
        <v>173185.785</v>
      </c>
      <c r="AP5" s="4">
        <f>629300.387-AO5-AN5-AM5</f>
        <v>188994.56099999993</v>
      </c>
      <c r="AQ5" s="4">
        <v>190695.75399999999</v>
      </c>
      <c r="AR5" s="4">
        <v>209567.53099999999</v>
      </c>
      <c r="AS5" s="4">
        <v>205265.43900000001</v>
      </c>
      <c r="AT5" s="4">
        <f>861318.861-AS5-AR5-AQ5</f>
        <v>255790.13700000008</v>
      </c>
      <c r="AU5" s="4">
        <v>254408.255</v>
      </c>
      <c r="AV5" s="4">
        <v>289669.22100000002</v>
      </c>
      <c r="AW5" s="4">
        <v>323170.79100000003</v>
      </c>
      <c r="AX5" s="4">
        <f>1179907.181-AW5-AV5-AU5</f>
        <v>312658.91400000011</v>
      </c>
      <c r="AY5" s="4">
        <v>351196.799</v>
      </c>
      <c r="AZ5" s="4">
        <v>350112.50300000003</v>
      </c>
      <c r="BA5" s="4"/>
      <c r="BB5" s="4"/>
    </row>
    <row r="6" spans="1:72" s="2" customFormat="1" x14ac:dyDescent="0.25">
      <c r="B6" s="2" t="s">
        <v>96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>
        <v>88841.656000000003</v>
      </c>
      <c r="AN6" s="4">
        <v>97194.591</v>
      </c>
      <c r="AO6" s="4">
        <v>78280.622000000003</v>
      </c>
      <c r="AP6" s="4">
        <f>357270.697-AO6-AN6-AM6</f>
        <v>92953.827999999936</v>
      </c>
      <c r="AQ6" s="4">
        <v>100388.853</v>
      </c>
      <c r="AR6" s="4">
        <v>101106.641</v>
      </c>
      <c r="AS6" s="4">
        <v>110118.632</v>
      </c>
      <c r="AT6" s="4">
        <f>416790.303-AS6-AR6-AQ6</f>
        <v>105176.17700000003</v>
      </c>
      <c r="AU6" s="4">
        <v>108196.54700000001</v>
      </c>
      <c r="AV6" s="4">
        <v>109051.36199999999</v>
      </c>
      <c r="AW6" s="4">
        <v>117257.60400000001</v>
      </c>
      <c r="AX6" s="4">
        <f>459258.062-AW6-AV6-AU6</f>
        <v>124752.54899999998</v>
      </c>
      <c r="AY6" s="4">
        <v>128849.905</v>
      </c>
      <c r="AZ6" s="4">
        <v>121857.311</v>
      </c>
      <c r="BA6" s="4"/>
      <c r="BB6" s="4"/>
    </row>
    <row r="7" spans="1:72" s="2" customFormat="1" x14ac:dyDescent="0.25">
      <c r="B7" s="2" t="s">
        <v>95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>
        <v>57616.256000000001</v>
      </c>
      <c r="AN7" s="4">
        <v>44651.154000000002</v>
      </c>
      <c r="AO7" s="4">
        <v>44470.241999999998</v>
      </c>
      <c r="AP7" s="4">
        <f>191306.073-AO7-AN7-AM7</f>
        <v>44568.420999999995</v>
      </c>
      <c r="AQ7" s="4">
        <v>48472.211000000003</v>
      </c>
      <c r="AR7" s="4">
        <v>52681.063999999998</v>
      </c>
      <c r="AS7" s="4">
        <v>50836.959000000003</v>
      </c>
      <c r="AT7" s="4">
        <f>202383.718-AS7-AR7-AQ7</f>
        <v>50393.483999999989</v>
      </c>
      <c r="AU7" s="4">
        <v>47336.847000000002</v>
      </c>
      <c r="AV7" s="4">
        <v>56317.381000000001</v>
      </c>
      <c r="AW7" s="4">
        <v>57307.150999999998</v>
      </c>
      <c r="AX7" s="4">
        <f>215722.121-AW7-AV7-AU7</f>
        <v>54760.742000000035</v>
      </c>
      <c r="AY7" s="4">
        <v>64335.88</v>
      </c>
      <c r="AZ7" s="4">
        <v>68235.396999999997</v>
      </c>
      <c r="BA7" s="4"/>
      <c r="BB7" s="4"/>
    </row>
    <row r="8" spans="1:72" s="2" customFormat="1" x14ac:dyDescent="0.25">
      <c r="B8" s="2" t="s">
        <v>109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>
        <f>3121.459+52057.042</f>
        <v>55178.501000000004</v>
      </c>
      <c r="AN8" s="4">
        <f>2800.296+47590.123</f>
        <v>50390.419000000002</v>
      </c>
      <c r="AO8" s="4">
        <f>2788.643+47211.672</f>
        <v>50000.315000000002</v>
      </c>
      <c r="AP8" s="4">
        <f>10359.042+186924.916-AO8-AN8-AM8</f>
        <v>41714.722999999984</v>
      </c>
      <c r="AQ8" s="4">
        <f>1399.295+43019.318</f>
        <v>44418.612999999998</v>
      </c>
      <c r="AR8" s="4">
        <f>1077.092+50557.516</f>
        <v>51634.608</v>
      </c>
      <c r="AS8" s="4">
        <f>671.1+47499.161</f>
        <v>48170.260999999999</v>
      </c>
      <c r="AT8" s="4">
        <f>4077.241+188155.011-AS8-AR8-AQ8</f>
        <v>48008.770000000004</v>
      </c>
      <c r="AU8" s="4">
        <f>1182.574+52743.689</f>
        <v>53926.262999999999</v>
      </c>
      <c r="AV8" s="4">
        <f>633.072+54583.088</f>
        <v>55216.160000000003</v>
      </c>
      <c r="AW8" s="4">
        <f>1293.465+59227.14</f>
        <v>60520.604999999996</v>
      </c>
      <c r="AX8" s="4">
        <f>4304.867+225134.161-AW8-AV8-AU8</f>
        <v>59776.000000000007</v>
      </c>
      <c r="AY8" s="4">
        <f>1223.971+69438.615</f>
        <v>70662.58600000001</v>
      </c>
      <c r="AZ8" s="4">
        <f>965.254+67295.079</f>
        <v>68260.332999999999</v>
      </c>
      <c r="BA8" s="4"/>
      <c r="BB8" s="4"/>
    </row>
    <row r="9" spans="1:72" s="2" customFormat="1" x14ac:dyDescent="0.25">
      <c r="B9" s="2" t="s">
        <v>110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>
        <v>32631.097000000002</v>
      </c>
      <c r="AN9" s="4">
        <v>29537.532999999999</v>
      </c>
      <c r="AO9" s="4">
        <v>29417.131000000001</v>
      </c>
      <c r="AP9" s="4">
        <f>114667.36-AO9-AN9-AM9</f>
        <v>23081.598999999995</v>
      </c>
      <c r="AQ9" s="4">
        <v>27114.454000000002</v>
      </c>
      <c r="AR9" s="4">
        <v>27586.077000000001</v>
      </c>
      <c r="AS9" s="4">
        <v>29856.699000000001</v>
      </c>
      <c r="AT9" s="4">
        <f>108468.215-AS9-AR9-AQ9</f>
        <v>23910.984999999997</v>
      </c>
      <c r="AU9" s="4">
        <v>20331.363000000001</v>
      </c>
      <c r="AV9" s="4">
        <v>25199.803</v>
      </c>
      <c r="AW9" s="4">
        <v>26220.755000000001</v>
      </c>
      <c r="AX9" s="4">
        <f>95582.674-AW9-AV9-AU9</f>
        <v>23830.752999999993</v>
      </c>
      <c r="AY9" s="4">
        <v>24315.393</v>
      </c>
      <c r="AZ9" s="4">
        <v>26476.486000000001</v>
      </c>
      <c r="BA9" s="4"/>
      <c r="BB9" s="4"/>
    </row>
    <row r="10" spans="1:72" s="2" customFormat="1" x14ac:dyDescent="0.25">
      <c r="B10" s="2" t="s">
        <v>111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>
        <v>27430.079000000002</v>
      </c>
      <c r="AN10" s="4">
        <v>27994.41</v>
      </c>
      <c r="AO10" s="4">
        <v>26323.837</v>
      </c>
      <c r="AP10" s="4">
        <f>107425.4-AO10-AN10-AM10</f>
        <v>25677.07399999999</v>
      </c>
      <c r="AQ10" s="4">
        <v>21277.008999999998</v>
      </c>
      <c r="AR10" s="4">
        <v>20728.245999999999</v>
      </c>
      <c r="AS10" s="4">
        <v>24121.010999999999</v>
      </c>
      <c r="AT10" s="4">
        <f>93120.068-AS10-AR10-AQ10</f>
        <v>26993.802000000003</v>
      </c>
      <c r="AU10" s="4">
        <v>26550.957999999999</v>
      </c>
      <c r="AV10" s="4">
        <v>27827.832999999999</v>
      </c>
      <c r="AW10" s="4">
        <v>32568.409</v>
      </c>
      <c r="AX10" s="4">
        <f>120399.264-AW10-AV10-AU10</f>
        <v>33452.063999999998</v>
      </c>
      <c r="AY10" s="4">
        <v>38262.1</v>
      </c>
      <c r="AZ10" s="4">
        <v>38817.949000000001</v>
      </c>
      <c r="BA10" s="4"/>
      <c r="BB10" s="4"/>
    </row>
    <row r="11" spans="1:72" s="2" customFormat="1" x14ac:dyDescent="0.25">
      <c r="B11" s="2" t="s">
        <v>112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>
        <f>8150.951+10717.815+23463.905+5045.653</f>
        <v>47378.324000000001</v>
      </c>
      <c r="AN11" s="4">
        <f>7394.845+9799.907+20872.897+4893.349</f>
        <v>42960.998000000007</v>
      </c>
      <c r="AO11" s="4">
        <f>5044.479+13072.664+20137.375+4110.145</f>
        <v>42364.663</v>
      </c>
      <c r="AP11" s="4">
        <f>25642.01+47149.333+86614.213+17813.374-AO11-AN11-AM11</f>
        <v>44514.944999999985</v>
      </c>
      <c r="AQ11" s="4">
        <f>5514.291+12802.349+21924.461+3839.282</f>
        <v>44080.382999999994</v>
      </c>
      <c r="AR11" s="4">
        <f>5591.099+11893.739+21803.577+3536.778</f>
        <v>42825.192999999999</v>
      </c>
      <c r="AS11" s="4">
        <f>5217.346+13443.588+23941.303+4227.263</f>
        <v>46829.5</v>
      </c>
      <c r="AT11" s="4">
        <f>21509.306+52442.826+90796.791+15868.786-AS11-AR11-AQ11</f>
        <v>46882.633000000009</v>
      </c>
      <c r="AU11" s="4">
        <f>5137.987+12269.773+21220.625+4470.122</f>
        <v>43098.506999999998</v>
      </c>
      <c r="AV11" s="4">
        <f>17878.199+27021.982</f>
        <v>44900.180999999997</v>
      </c>
      <c r="AW11" s="4">
        <f>5554.045+12245.896+22707.019+4801.787</f>
        <v>45308.747000000003</v>
      </c>
      <c r="AX11" s="4">
        <f>21358.729+48846.156+88293.741+19405.139-AW11-AV11-AU11</f>
        <v>44596.329999999987</v>
      </c>
      <c r="AY11" s="4">
        <f>5560.407+11384.828+23031.617+4562.692</f>
        <v>44539.544000000002</v>
      </c>
      <c r="AZ11" s="4">
        <f>17692.493+29762.027</f>
        <v>47454.52</v>
      </c>
      <c r="BA11" s="4"/>
      <c r="BB11" s="4"/>
    </row>
    <row r="13" spans="1:72" x14ac:dyDescent="0.25">
      <c r="B13" t="s">
        <v>97</v>
      </c>
      <c r="AM13" s="4">
        <v>225532.03400000001</v>
      </c>
      <c r="AN13" s="4">
        <v>214359.34</v>
      </c>
      <c r="AO13" s="4">
        <v>227816.587</v>
      </c>
      <c r="AP13" s="4">
        <f>934768.625-AO13-AN13-AM13</f>
        <v>267060.66399999999</v>
      </c>
      <c r="AQ13" s="4">
        <v>274772.97399999999</v>
      </c>
      <c r="AR13" s="4">
        <v>351392.53</v>
      </c>
      <c r="AS13" s="4">
        <v>389309.40899999999</v>
      </c>
      <c r="AT13" s="4">
        <f>1476890.566-AS13-AR13-AQ13</f>
        <v>461415.65300000011</v>
      </c>
      <c r="AU13" s="4">
        <v>493223.14600000001</v>
      </c>
      <c r="AV13" s="4">
        <v>561155.353</v>
      </c>
      <c r="AW13" s="4">
        <v>558592.34600000002</v>
      </c>
      <c r="AX13" s="4">
        <f>2192931.014-AW13-AV13-AU13</f>
        <v>579960.16899999999</v>
      </c>
      <c r="AY13" s="4">
        <v>694743.78899999999</v>
      </c>
      <c r="AZ13" s="4">
        <v>830369.15899999999</v>
      </c>
    </row>
    <row r="14" spans="1:72" x14ac:dyDescent="0.25">
      <c r="B14" t="s">
        <v>98</v>
      </c>
      <c r="AM14" s="4">
        <v>174372.27499999999</v>
      </c>
      <c r="AN14" s="4">
        <v>159366.872</v>
      </c>
      <c r="AO14" s="4">
        <v>212001.177</v>
      </c>
      <c r="AP14" s="4">
        <f>814914.287-AO14-AN14-AM14</f>
        <v>269173.96299999999</v>
      </c>
      <c r="AQ14" s="4">
        <v>225032.139</v>
      </c>
      <c r="AR14" s="4">
        <v>222543.37</v>
      </c>
      <c r="AS14" s="4">
        <v>257495.611</v>
      </c>
      <c r="AT14" s="4">
        <f>1005130.484-AS14-AR14-AQ14</f>
        <v>300059.36400000006</v>
      </c>
      <c r="AU14" s="4">
        <v>233611.38800000001</v>
      </c>
      <c r="AV14" s="4">
        <v>249959.546</v>
      </c>
      <c r="AW14" s="4">
        <v>296745.65399999998</v>
      </c>
      <c r="AX14" s="4">
        <f>1110816.364-AW14-AV14-AU14</f>
        <v>330499.77600000007</v>
      </c>
      <c r="AY14" s="4">
        <v>294121.84399999998</v>
      </c>
      <c r="AZ14" s="4">
        <v>283278.967</v>
      </c>
    </row>
    <row r="15" spans="1:72" x14ac:dyDescent="0.25">
      <c r="B15" t="s">
        <v>113</v>
      </c>
      <c r="AM15" s="4">
        <v>42720.43</v>
      </c>
      <c r="AN15" s="4">
        <v>38168.913</v>
      </c>
      <c r="AO15" s="4">
        <v>47409.811000000002</v>
      </c>
      <c r="AP15" s="4">
        <f>161916.543-AO15-AN15-AM15</f>
        <v>33617.389000000003</v>
      </c>
      <c r="AQ15" s="4">
        <v>35320.949999999997</v>
      </c>
      <c r="AR15" s="4">
        <v>37346.267</v>
      </c>
      <c r="AS15" s="4">
        <v>50255.326999999997</v>
      </c>
      <c r="AT15" s="4">
        <f>165516.214-AS15-AR15-AQ15</f>
        <v>42593.670000000027</v>
      </c>
      <c r="AU15" s="4">
        <v>38723.19</v>
      </c>
      <c r="AV15" s="4">
        <v>44298.398000000001</v>
      </c>
      <c r="AW15" s="4">
        <v>53250.285000000003</v>
      </c>
      <c r="AX15" s="4">
        <f>191046.793-AW15-AV15-AU15</f>
        <v>54774.92</v>
      </c>
      <c r="AY15" s="4">
        <v>61590.502999999997</v>
      </c>
      <c r="AZ15" s="4">
        <v>64054.205000000002</v>
      </c>
    </row>
    <row r="16" spans="1:72" x14ac:dyDescent="0.25">
      <c r="B16" t="s">
        <v>114</v>
      </c>
      <c r="AM16" s="4">
        <v>36022.65</v>
      </c>
      <c r="AN16" s="4">
        <v>37275.506999999998</v>
      </c>
      <c r="AO16" s="4">
        <v>28338.187999999998</v>
      </c>
      <c r="AP16" s="4">
        <f>133654.276-AO16-AN16-AM16</f>
        <v>32017.931000000019</v>
      </c>
      <c r="AQ16" s="4">
        <v>32136.633000000002</v>
      </c>
      <c r="AR16" s="4">
        <v>33747.862999999998</v>
      </c>
      <c r="AS16" s="4">
        <v>35671.521999999997</v>
      </c>
      <c r="AT16" s="4">
        <f>139323.096-AS16-AR16-AQ16</f>
        <v>37767.077999999994</v>
      </c>
      <c r="AU16" s="4">
        <v>43028.245000000003</v>
      </c>
      <c r="AV16" s="4">
        <v>43029.218000000001</v>
      </c>
      <c r="AW16" s="4">
        <v>50586.156999999999</v>
      </c>
      <c r="AX16" s="4">
        <f>186666.99-AW16-AV16-AU16</f>
        <v>50023.369999999988</v>
      </c>
      <c r="AY16" s="4">
        <v>46587.612999999998</v>
      </c>
      <c r="AZ16" s="4">
        <v>53662.811999999998</v>
      </c>
    </row>
    <row r="17" spans="2:239" x14ac:dyDescent="0.25">
      <c r="B17" t="s">
        <v>115</v>
      </c>
      <c r="AM17" s="4">
        <v>10929.154</v>
      </c>
      <c r="AN17" s="4">
        <v>13657.808999999999</v>
      </c>
      <c r="AO17" s="4">
        <v>13570.337</v>
      </c>
      <c r="AP17" s="4">
        <f>46999.803-AO17-AN17-AM17</f>
        <v>8842.5029999999988</v>
      </c>
      <c r="AQ17" s="4">
        <v>11737.785</v>
      </c>
      <c r="AR17" s="4">
        <v>14119.376</v>
      </c>
      <c r="AS17" s="4">
        <v>11404.721</v>
      </c>
      <c r="AT17" s="4">
        <f>47960.415-AS17-AR17-AQ17</f>
        <v>10698.533000000003</v>
      </c>
      <c r="AU17" s="4">
        <v>11552.466</v>
      </c>
      <c r="AV17" s="4">
        <v>14997.583000000001</v>
      </c>
      <c r="AW17" s="4">
        <v>12023.941999999999</v>
      </c>
      <c r="AX17" s="4">
        <f>47996.476-AW17-AV17-AU17</f>
        <v>9422.4850000000006</v>
      </c>
      <c r="AY17" s="4">
        <v>12043.031000000001</v>
      </c>
      <c r="AZ17" s="4">
        <v>12655.44</v>
      </c>
    </row>
    <row r="18" spans="2:239" x14ac:dyDescent="0.25">
      <c r="B18" t="s">
        <v>21</v>
      </c>
      <c r="AM18" s="4">
        <v>19056.43</v>
      </c>
      <c r="AN18" s="4">
        <v>18012.812999999998</v>
      </c>
      <c r="AO18" s="4">
        <v>17596.657999999999</v>
      </c>
      <c r="AP18" s="4">
        <f>69482.307-AO18-AN18-AM18</f>
        <v>14816.40600000001</v>
      </c>
      <c r="AQ18" s="4">
        <v>13643.72</v>
      </c>
      <c r="AR18" s="4">
        <v>14360.771000000001</v>
      </c>
      <c r="AS18" s="4">
        <v>15555.553</v>
      </c>
      <c r="AT18" s="4">
        <f>59486.924-AS18-AR18-AQ18</f>
        <v>15926.88</v>
      </c>
      <c r="AU18" s="4">
        <v>19115.228999999999</v>
      </c>
      <c r="AV18" s="4">
        <v>20351.771000000001</v>
      </c>
      <c r="AW18" s="4">
        <v>18719.934000000001</v>
      </c>
      <c r="AX18" s="4">
        <f>79596.635-AW18-AV18-AU18</f>
        <v>21409.700999999994</v>
      </c>
      <c r="AY18" s="4">
        <v>25016.66</v>
      </c>
      <c r="AZ18" s="4">
        <v>26359.667000000001</v>
      </c>
    </row>
    <row r="19" spans="2:239" s="7" customFormat="1" ht="13" x14ac:dyDescent="0.3">
      <c r="B19" s="7" t="s">
        <v>2</v>
      </c>
      <c r="C19" s="9">
        <v>148215</v>
      </c>
      <c r="D19" s="9">
        <v>183021</v>
      </c>
      <c r="E19" s="9">
        <v>209049</v>
      </c>
      <c r="F19" s="9">
        <v>222521</v>
      </c>
      <c r="G19" s="9">
        <v>222034</v>
      </c>
      <c r="H19" s="9">
        <v>205440</v>
      </c>
      <c r="I19" s="9">
        <v>212505</v>
      </c>
      <c r="J19" s="9">
        <v>203518</v>
      </c>
      <c r="K19" s="9">
        <v>203495</v>
      </c>
      <c r="L19" s="9">
        <v>221810</v>
      </c>
      <c r="M19" s="9">
        <v>260406</v>
      </c>
      <c r="N19" s="9">
        <v>262227</v>
      </c>
      <c r="O19" s="9">
        <v>233914</v>
      </c>
      <c r="P19" s="9">
        <v>213856</v>
      </c>
      <c r="Q19" s="9">
        <v>252107</v>
      </c>
      <c r="R19" s="9">
        <v>277570</v>
      </c>
      <c r="S19" s="9">
        <v>248079</v>
      </c>
      <c r="T19" s="9">
        <v>233276</v>
      </c>
      <c r="U19" s="9">
        <v>260348</v>
      </c>
      <c r="V19" s="9">
        <v>289771</v>
      </c>
      <c r="W19" s="9">
        <v>218704</v>
      </c>
      <c r="X19" s="9">
        <v>240999</v>
      </c>
      <c r="Y19" s="9">
        <v>293045</v>
      </c>
      <c r="Z19" s="9">
        <v>317237</v>
      </c>
      <c r="AA19" s="9">
        <v>310597</v>
      </c>
      <c r="AB19" s="9">
        <v>310699</v>
      </c>
      <c r="AC19" s="9">
        <v>356426</v>
      </c>
      <c r="AD19" s="9">
        <v>361533</v>
      </c>
      <c r="AE19" s="9">
        <v>362410</v>
      </c>
      <c r="AF19" s="9">
        <v>372145</v>
      </c>
      <c r="AG19" s="9">
        <v>414671</v>
      </c>
      <c r="AH19" s="9">
        <v>438189</v>
      </c>
      <c r="AI19" s="9">
        <v>491076</v>
      </c>
      <c r="AJ19" s="9">
        <v>534141</v>
      </c>
      <c r="AK19" s="9">
        <v>613142</v>
      </c>
      <c r="AL19" s="9">
        <v>625532</v>
      </c>
      <c r="AM19" s="9">
        <f>SUM(AM13:AM18)</f>
        <v>508632.973</v>
      </c>
      <c r="AN19" s="9">
        <f>SUM(AN13:AN18)</f>
        <v>480841.25400000002</v>
      </c>
      <c r="AO19" s="9">
        <f>SUM(AO13:AO18)</f>
        <v>546732.75800000003</v>
      </c>
      <c r="AP19" s="9">
        <v>625529</v>
      </c>
      <c r="AQ19" s="9">
        <f>SUM(AQ13:AQ18)</f>
        <v>592644.201</v>
      </c>
      <c r="AR19" s="9">
        <f>SUM(AR13:AR18)</f>
        <v>673510.17700000003</v>
      </c>
      <c r="AS19" s="9">
        <f>SUM(AS13:AS18)</f>
        <v>759692.14300000004</v>
      </c>
      <c r="AT19" s="9">
        <f>SUM(AT13:AT18)</f>
        <v>868461.17800000031</v>
      </c>
      <c r="AU19" s="9">
        <f>SUM(AU13:AU18)</f>
        <v>839253.66399999999</v>
      </c>
      <c r="AV19" s="9">
        <f>SUM(AV13:AV18)</f>
        <v>933791.86899999995</v>
      </c>
      <c r="AW19" s="9">
        <f>SUM(AW13:AW18)</f>
        <v>989918.31800000009</v>
      </c>
      <c r="AX19" s="9">
        <f>SUM(AX13:AX18)</f>
        <v>1046090.4210000001</v>
      </c>
      <c r="AY19" s="9">
        <f>SUM(AY13:AY18)</f>
        <v>1134103.4399999997</v>
      </c>
      <c r="AZ19" s="9">
        <f>SUM(AZ13:AZ18)</f>
        <v>1270380.2499999998</v>
      </c>
      <c r="BA19" s="9"/>
      <c r="BB19" s="9"/>
      <c r="BD19" s="11">
        <f>SUM(C19:F19)</f>
        <v>762806</v>
      </c>
      <c r="BE19" s="11">
        <f>SUM(G19:J19)</f>
        <v>843497</v>
      </c>
      <c r="BF19" s="11">
        <f>SUM(K19:N19)</f>
        <v>947938</v>
      </c>
      <c r="BG19" s="11">
        <f>SUM(O19:R19)</f>
        <v>977447</v>
      </c>
      <c r="BH19" s="11">
        <f>SUM(S19:V19)</f>
        <v>1031474</v>
      </c>
      <c r="BI19" s="11">
        <f>SUM(W19:Z19)</f>
        <v>1069985</v>
      </c>
      <c r="BJ19" s="11">
        <f>SUM(AA19:AD19)</f>
        <v>1339255</v>
      </c>
      <c r="BK19" s="11">
        <f>SUM(AE19:AH19)</f>
        <v>1587415</v>
      </c>
      <c r="BL19" s="11">
        <f>SUM(AI19:AL19)</f>
        <v>2263891</v>
      </c>
      <c r="BM19" s="11">
        <f>SUM(AM19:AP19)</f>
        <v>2161735.9849999999</v>
      </c>
      <c r="BN19" s="11">
        <f>SUM(AQ19:AT19)</f>
        <v>2894307.6990000005</v>
      </c>
      <c r="BO19" s="11">
        <f t="shared" ref="BO19:BT19" si="2">+BN19*1.1</f>
        <v>3183738.4689000007</v>
      </c>
      <c r="BP19" s="11">
        <f t="shared" si="2"/>
        <v>3502112.3157900008</v>
      </c>
      <c r="BQ19" s="11">
        <f t="shared" si="2"/>
        <v>3852323.5473690014</v>
      </c>
      <c r="BR19" s="11">
        <f t="shared" si="2"/>
        <v>4237555.9021059023</v>
      </c>
      <c r="BS19" s="11">
        <f t="shared" si="2"/>
        <v>4661311.4923164928</v>
      </c>
      <c r="BT19" s="11">
        <f t="shared" si="2"/>
        <v>5127442.6415481428</v>
      </c>
    </row>
    <row r="20" spans="2:239" x14ac:dyDescent="0.25">
      <c r="B20" t="s">
        <v>24</v>
      </c>
      <c r="C20" s="4">
        <v>77818</v>
      </c>
      <c r="D20" s="4">
        <v>91828</v>
      </c>
      <c r="E20" s="4">
        <v>103471</v>
      </c>
      <c r="F20" s="4">
        <v>111961</v>
      </c>
      <c r="G20" s="4">
        <v>112605</v>
      </c>
      <c r="H20" s="4">
        <v>105735</v>
      </c>
      <c r="I20" s="4">
        <v>110169</v>
      </c>
      <c r="J20" s="4">
        <v>104593</v>
      </c>
      <c r="K20" s="4">
        <v>112157</v>
      </c>
      <c r="L20" s="4">
        <v>107476</v>
      </c>
      <c r="M20" s="4">
        <v>128355</v>
      </c>
      <c r="N20" s="4">
        <v>125118</v>
      </c>
      <c r="O20" s="4">
        <v>112424</v>
      </c>
      <c r="P20" s="4">
        <v>105148</v>
      </c>
      <c r="Q20" s="4">
        <v>126227</v>
      </c>
      <c r="R20" s="4">
        <v>138822</v>
      </c>
      <c r="S20" s="4">
        <v>123221</v>
      </c>
      <c r="T20" s="4">
        <v>121746</v>
      </c>
      <c r="U20" s="4">
        <v>136981</v>
      </c>
      <c r="V20" s="4">
        <v>151652</v>
      </c>
      <c r="W20" s="4">
        <v>128346</v>
      </c>
      <c r="X20" s="4">
        <v>137269</v>
      </c>
      <c r="Y20" s="4">
        <v>153633</v>
      </c>
      <c r="Z20" s="4">
        <v>158035</v>
      </c>
      <c r="AA20" s="4">
        <v>149820</v>
      </c>
      <c r="AB20" s="4">
        <v>146076</v>
      </c>
      <c r="AC20" s="4">
        <v>165932</v>
      </c>
      <c r="AD20" s="4">
        <v>166297</v>
      </c>
      <c r="AE20" s="4">
        <v>172571</v>
      </c>
      <c r="AF20" s="4">
        <v>185948</v>
      </c>
      <c r="AG20" s="4">
        <v>201925</v>
      </c>
      <c r="AH20" s="4">
        <v>207434</v>
      </c>
      <c r="AI20" s="4">
        <v>217873</v>
      </c>
      <c r="AJ20" s="4">
        <v>218673</v>
      </c>
      <c r="AK20" s="4">
        <v>242643</v>
      </c>
      <c r="AL20" s="4">
        <v>236347</v>
      </c>
      <c r="AM20" s="4">
        <v>222133</v>
      </c>
      <c r="AN20" s="4">
        <v>220641</v>
      </c>
      <c r="AO20" s="4">
        <v>250090</v>
      </c>
      <c r="AP20" s="4">
        <v>293761</v>
      </c>
      <c r="AQ20" s="4">
        <v>278139</v>
      </c>
      <c r="AR20" s="4">
        <v>315385</v>
      </c>
      <c r="AS20" s="4">
        <v>320347</v>
      </c>
      <c r="AT20" s="4">
        <f>+AT19-AT21</f>
        <v>408176.7536600001</v>
      </c>
      <c r="AU20" s="4">
        <v>345859</v>
      </c>
      <c r="AV20" s="4">
        <v>386423</v>
      </c>
      <c r="AW20" s="4">
        <v>401375</v>
      </c>
      <c r="AX20" s="4"/>
      <c r="AY20" s="4"/>
      <c r="AZ20" s="4"/>
      <c r="BA20" s="4"/>
      <c r="BB20" s="4"/>
      <c r="BD20" s="2">
        <f>SUM(C20:F20)</f>
        <v>385078</v>
      </c>
      <c r="BE20" s="2">
        <f>SUM(G20:J20)</f>
        <v>433102</v>
      </c>
      <c r="BF20" s="2">
        <f>SUM(K20:N20)</f>
        <v>473106</v>
      </c>
      <c r="BG20" s="2">
        <f>SUM(O20:R20)</f>
        <v>482621</v>
      </c>
      <c r="BH20" s="2">
        <f>SUM(S20:V20)</f>
        <v>533600</v>
      </c>
      <c r="BI20" s="2">
        <f>SUM(W20:Z20)</f>
        <v>577283</v>
      </c>
      <c r="BJ20" s="2">
        <f>SUM(AA20:AD20)</f>
        <v>628125</v>
      </c>
      <c r="BK20" s="2">
        <f>SUM(AE20:AH20)</f>
        <v>767878</v>
      </c>
      <c r="BL20" s="2">
        <f>SUM(AI20:AL20)</f>
        <v>915536</v>
      </c>
      <c r="BM20" s="2">
        <f>SUM(AM20:AP20)</f>
        <v>986625</v>
      </c>
      <c r="BN20" s="2">
        <f>SUM(AQ20:AT20)</f>
        <v>1322047.7536600002</v>
      </c>
      <c r="BO20" s="2">
        <f>+BO19-BO21</f>
        <v>1464519.6956940002</v>
      </c>
      <c r="BP20" s="2">
        <f t="shared" ref="BP20:BT20" si="3">+BP19-BP21</f>
        <v>1610971.6652634002</v>
      </c>
      <c r="BQ20" s="2">
        <f t="shared" si="3"/>
        <v>1772068.8317897406</v>
      </c>
      <c r="BR20" s="2">
        <f t="shared" si="3"/>
        <v>1949275.7149687149</v>
      </c>
      <c r="BS20" s="2">
        <f t="shared" si="3"/>
        <v>2144203.2864655866</v>
      </c>
      <c r="BT20" s="2">
        <f t="shared" si="3"/>
        <v>2358623.6151121454</v>
      </c>
    </row>
    <row r="21" spans="2:239" x14ac:dyDescent="0.25">
      <c r="B21" t="s">
        <v>25</v>
      </c>
      <c r="C21" s="4">
        <f t="shared" ref="C21:R21" si="4">+C19-C20</f>
        <v>70397</v>
      </c>
      <c r="D21" s="4">
        <f t="shared" si="4"/>
        <v>91193</v>
      </c>
      <c r="E21" s="4">
        <f t="shared" si="4"/>
        <v>105578</v>
      </c>
      <c r="F21" s="4">
        <f t="shared" si="4"/>
        <v>110560</v>
      </c>
      <c r="G21" s="4">
        <f t="shared" si="4"/>
        <v>109429</v>
      </c>
      <c r="H21" s="4">
        <f t="shared" si="4"/>
        <v>99705</v>
      </c>
      <c r="I21" s="4">
        <f t="shared" si="4"/>
        <v>102336</v>
      </c>
      <c r="J21" s="4">
        <f t="shared" si="4"/>
        <v>98925</v>
      </c>
      <c r="K21" s="4">
        <f t="shared" si="4"/>
        <v>91338</v>
      </c>
      <c r="L21" s="4">
        <f t="shared" si="4"/>
        <v>114334</v>
      </c>
      <c r="M21" s="4">
        <f t="shared" si="4"/>
        <v>132051</v>
      </c>
      <c r="N21" s="4">
        <f t="shared" si="4"/>
        <v>137109</v>
      </c>
      <c r="O21" s="4">
        <f t="shared" si="4"/>
        <v>121490</v>
      </c>
      <c r="P21" s="4">
        <f t="shared" si="4"/>
        <v>108708</v>
      </c>
      <c r="Q21" s="4">
        <f t="shared" si="4"/>
        <v>125880</v>
      </c>
      <c r="R21" s="4">
        <f t="shared" si="4"/>
        <v>138748</v>
      </c>
      <c r="S21" s="4">
        <f t="shared" ref="S21" si="5">+S19-S20</f>
        <v>124858</v>
      </c>
      <c r="T21" s="4">
        <f t="shared" ref="T21:AR21" si="6">+T19-T20</f>
        <v>111530</v>
      </c>
      <c r="U21" s="4">
        <f t="shared" si="6"/>
        <v>123367</v>
      </c>
      <c r="V21" s="4">
        <f t="shared" si="6"/>
        <v>138119</v>
      </c>
      <c r="W21" s="4">
        <f t="shared" si="6"/>
        <v>90358</v>
      </c>
      <c r="X21" s="4">
        <f t="shared" si="6"/>
        <v>103730</v>
      </c>
      <c r="Y21" s="4">
        <f t="shared" si="6"/>
        <v>139412</v>
      </c>
      <c r="Z21" s="4">
        <f t="shared" si="6"/>
        <v>159202</v>
      </c>
      <c r="AA21" s="4">
        <f t="shared" si="6"/>
        <v>160777</v>
      </c>
      <c r="AB21" s="4">
        <f t="shared" si="6"/>
        <v>164623</v>
      </c>
      <c r="AC21" s="4">
        <f t="shared" si="6"/>
        <v>190494</v>
      </c>
      <c r="AD21" s="4">
        <f t="shared" si="6"/>
        <v>195236</v>
      </c>
      <c r="AE21" s="4">
        <f t="shared" si="6"/>
        <v>189839</v>
      </c>
      <c r="AF21" s="4">
        <f t="shared" si="6"/>
        <v>186197</v>
      </c>
      <c r="AG21" s="4">
        <f t="shared" si="6"/>
        <v>212746</v>
      </c>
      <c r="AH21" s="4">
        <f t="shared" si="6"/>
        <v>230755</v>
      </c>
      <c r="AI21" s="4">
        <f t="shared" si="6"/>
        <v>273203</v>
      </c>
      <c r="AJ21" s="4">
        <f t="shared" si="6"/>
        <v>315468</v>
      </c>
      <c r="AK21" s="4">
        <f t="shared" si="6"/>
        <v>370499</v>
      </c>
      <c r="AL21" s="4">
        <f t="shared" si="6"/>
        <v>389185</v>
      </c>
      <c r="AM21" s="4">
        <f t="shared" si="6"/>
        <v>286499.973</v>
      </c>
      <c r="AN21" s="4">
        <f t="shared" si="6"/>
        <v>260200.25400000002</v>
      </c>
      <c r="AO21" s="4">
        <f t="shared" si="6"/>
        <v>296642.75800000003</v>
      </c>
      <c r="AP21" s="4">
        <f t="shared" si="6"/>
        <v>331768</v>
      </c>
      <c r="AQ21" s="4">
        <f t="shared" si="6"/>
        <v>314505.201</v>
      </c>
      <c r="AR21" s="4">
        <f t="shared" si="6"/>
        <v>358125.17700000003</v>
      </c>
      <c r="AS21" s="4">
        <f>+AS19-AS20</f>
        <v>439345.14300000004</v>
      </c>
      <c r="AT21" s="4">
        <f>+AT19*0.53</f>
        <v>460284.4243400002</v>
      </c>
      <c r="AU21" s="4">
        <f>+AU19-AU20</f>
        <v>493394.66399999999</v>
      </c>
      <c r="AV21" s="4">
        <f>+AV19-AV20</f>
        <v>547368.86899999995</v>
      </c>
      <c r="AW21" s="4">
        <f>+AW19-AW20</f>
        <v>588543.31800000009</v>
      </c>
      <c r="AX21" s="4"/>
      <c r="AY21" s="4"/>
      <c r="AZ21" s="4"/>
      <c r="BA21" s="4"/>
      <c r="BB21" s="4"/>
      <c r="BD21" s="2">
        <f t="shared" ref="BD21:BN21" si="7">+BD19-BD20</f>
        <v>377728</v>
      </c>
      <c r="BE21" s="2">
        <f t="shared" si="7"/>
        <v>410395</v>
      </c>
      <c r="BF21" s="2">
        <f t="shared" si="7"/>
        <v>474832</v>
      </c>
      <c r="BG21" s="2">
        <f t="shared" si="7"/>
        <v>494826</v>
      </c>
      <c r="BH21" s="2">
        <f t="shared" si="7"/>
        <v>497874</v>
      </c>
      <c r="BI21" s="2">
        <f t="shared" si="7"/>
        <v>492702</v>
      </c>
      <c r="BJ21" s="2">
        <f t="shared" si="7"/>
        <v>711130</v>
      </c>
      <c r="BK21" s="2">
        <f t="shared" si="7"/>
        <v>819537</v>
      </c>
      <c r="BL21" s="2">
        <f t="shared" si="7"/>
        <v>1348355</v>
      </c>
      <c r="BM21" s="2">
        <f t="shared" si="7"/>
        <v>1175110.9849999999</v>
      </c>
      <c r="BN21" s="2">
        <f t="shared" si="7"/>
        <v>1572259.9453400003</v>
      </c>
      <c r="BO21" s="2">
        <f t="shared" ref="BO21:BT21" si="8">+BO19*0.54</f>
        <v>1719218.7732060004</v>
      </c>
      <c r="BP21" s="2">
        <f t="shared" si="8"/>
        <v>1891140.6505266007</v>
      </c>
      <c r="BQ21" s="2">
        <f t="shared" si="8"/>
        <v>2080254.7155792608</v>
      </c>
      <c r="BR21" s="2">
        <f t="shared" si="8"/>
        <v>2288280.1871371875</v>
      </c>
      <c r="BS21" s="2">
        <f t="shared" si="8"/>
        <v>2517108.2058509062</v>
      </c>
      <c r="BT21" s="2">
        <f t="shared" si="8"/>
        <v>2768819.0264359973</v>
      </c>
    </row>
    <row r="22" spans="2:239" x14ac:dyDescent="0.25">
      <c r="B22" t="s">
        <v>26</v>
      </c>
      <c r="C22" s="4">
        <v>12068</v>
      </c>
      <c r="D22" s="4">
        <v>13609</v>
      </c>
      <c r="E22" s="4">
        <v>15206</v>
      </c>
      <c r="F22" s="4">
        <v>15943</v>
      </c>
      <c r="G22" s="4">
        <v>16782</v>
      </c>
      <c r="H22" s="4">
        <v>16612</v>
      </c>
      <c r="I22" s="4">
        <v>16486</v>
      </c>
      <c r="J22" s="4">
        <v>15665</v>
      </c>
      <c r="K22" s="4">
        <v>15619</v>
      </c>
      <c r="L22" s="4">
        <v>16904</v>
      </c>
      <c r="M22" s="4">
        <v>18724</v>
      </c>
      <c r="N22" s="4">
        <v>19961</v>
      </c>
      <c r="O22" s="4">
        <v>19413</v>
      </c>
      <c r="P22" s="4">
        <v>19057</v>
      </c>
      <c r="Q22" s="4">
        <v>21045</v>
      </c>
      <c r="R22" s="4">
        <v>21218</v>
      </c>
      <c r="S22" s="4">
        <v>20429</v>
      </c>
      <c r="T22" s="4">
        <v>19891</v>
      </c>
      <c r="U22" s="4">
        <v>21886</v>
      </c>
      <c r="V22" s="4">
        <v>23689</v>
      </c>
      <c r="W22" s="4">
        <v>20417</v>
      </c>
      <c r="X22" s="4">
        <v>21394</v>
      </c>
      <c r="Y22" s="4">
        <v>23972</v>
      </c>
      <c r="Z22" s="4">
        <v>25636</v>
      </c>
      <c r="AA22" s="4">
        <v>24969</v>
      </c>
      <c r="AB22" s="4">
        <v>24893</v>
      </c>
      <c r="AC22" s="4">
        <v>29684</v>
      </c>
      <c r="AD22" s="4">
        <v>29940</v>
      </c>
      <c r="AE22" s="4">
        <v>30756</v>
      </c>
      <c r="AF22" s="4">
        <v>30874</v>
      </c>
      <c r="AG22" s="4">
        <v>30866</v>
      </c>
      <c r="AH22" s="4">
        <v>32239</v>
      </c>
      <c r="AI22" s="4">
        <v>36048</v>
      </c>
      <c r="AJ22" s="4">
        <v>39650</v>
      </c>
      <c r="AK22" s="4">
        <v>42977</v>
      </c>
      <c r="AL22" s="4">
        <v>44587</v>
      </c>
      <c r="AM22" s="4">
        <v>39157</v>
      </c>
      <c r="AN22" s="4">
        <v>41665</v>
      </c>
      <c r="AO22" s="4">
        <v>51138</v>
      </c>
      <c r="AP22" s="4">
        <v>50410</v>
      </c>
      <c r="AQ22" s="4">
        <v>46109</v>
      </c>
      <c r="AR22" s="4">
        <v>48058</v>
      </c>
      <c r="AS22" s="4">
        <v>52783</v>
      </c>
      <c r="AT22" s="4">
        <f>+AP22*1.1</f>
        <v>55451.000000000007</v>
      </c>
      <c r="AU22" s="4">
        <v>56547</v>
      </c>
      <c r="AV22" s="4">
        <v>61280</v>
      </c>
      <c r="AW22" s="4">
        <v>63743</v>
      </c>
      <c r="AX22" s="4"/>
      <c r="AY22" s="4"/>
      <c r="AZ22" s="4"/>
      <c r="BA22" s="4"/>
      <c r="BB22" s="4"/>
      <c r="BD22" s="2">
        <f>SUM(C22:F22)</f>
        <v>56826</v>
      </c>
      <c r="BE22" s="2">
        <f>SUM(G22:J22)</f>
        <v>65545</v>
      </c>
      <c r="BF22" s="2">
        <f>SUM(K22:N22)</f>
        <v>71208</v>
      </c>
      <c r="BG22" s="2">
        <f>SUM(O22:R22)</f>
        <v>80733</v>
      </c>
      <c r="BH22" s="2">
        <f>SUM(S22:V22)</f>
        <v>85895</v>
      </c>
      <c r="BI22" s="2">
        <f>SUM(W22:Z22)</f>
        <v>91419</v>
      </c>
      <c r="BJ22" s="2">
        <f>SUM(AA22:AD22)</f>
        <v>109486</v>
      </c>
      <c r="BK22" s="2">
        <f>SUM(AE22:AH22)</f>
        <v>124735</v>
      </c>
      <c r="BL22" s="2">
        <f>SUM(AI22:AL22)</f>
        <v>163262</v>
      </c>
      <c r="BM22" s="2">
        <f>SUM(AM22:AP22)</f>
        <v>182370</v>
      </c>
      <c r="BN22" s="2">
        <f>SUM(AQ22:AT22)</f>
        <v>202401</v>
      </c>
      <c r="BO22" s="2">
        <f t="shared" ref="BO22:BT22" si="9">+BN22*1.05</f>
        <v>212521.05000000002</v>
      </c>
      <c r="BP22" s="2">
        <f t="shared" si="9"/>
        <v>223147.10250000004</v>
      </c>
      <c r="BQ22" s="2">
        <f t="shared" si="9"/>
        <v>234304.45762500004</v>
      </c>
      <c r="BR22" s="2">
        <f t="shared" si="9"/>
        <v>246019.68050625006</v>
      </c>
      <c r="BS22" s="2">
        <f t="shared" si="9"/>
        <v>258320.66453156256</v>
      </c>
      <c r="BT22" s="2">
        <f t="shared" si="9"/>
        <v>271236.69775814068</v>
      </c>
    </row>
    <row r="23" spans="2:239" x14ac:dyDescent="0.25">
      <c r="B23" t="s">
        <v>27</v>
      </c>
      <c r="C23" s="4">
        <f>5809+3</f>
        <v>5812</v>
      </c>
      <c r="D23" s="4">
        <f>6643+227</f>
        <v>6870</v>
      </c>
      <c r="E23" s="4">
        <f>5935+5</f>
        <v>5940</v>
      </c>
      <c r="F23" s="4">
        <f>5634+767</f>
        <v>6401</v>
      </c>
      <c r="G23" s="4">
        <f>5757+264</f>
        <v>6021</v>
      </c>
      <c r="H23" s="4">
        <f>5943+81</f>
        <v>6024</v>
      </c>
      <c r="I23" s="4">
        <f>5674+1787</f>
        <v>7461</v>
      </c>
      <c r="J23" s="4">
        <f>5548-252</f>
        <v>5296</v>
      </c>
      <c r="K23" s="4">
        <f>5260-8</f>
        <v>5252</v>
      </c>
      <c r="L23" s="4">
        <f>6104+5</f>
        <v>6109</v>
      </c>
      <c r="M23" s="4">
        <f>7116-52</f>
        <v>7064</v>
      </c>
      <c r="N23" s="4">
        <f>7216+25</f>
        <v>7241</v>
      </c>
      <c r="O23" s="4">
        <f>6744-19</f>
        <v>6725</v>
      </c>
      <c r="P23" s="4">
        <f>6309+86</f>
        <v>6395</v>
      </c>
      <c r="Q23" s="4">
        <f>6492+287</f>
        <v>6779</v>
      </c>
      <c r="R23" s="4">
        <f>7624+1011</f>
        <v>8635</v>
      </c>
      <c r="S23" s="4">
        <f>6300+1302</f>
        <v>7602</v>
      </c>
      <c r="T23" s="4">
        <f>6548+663</f>
        <v>7211</v>
      </c>
      <c r="U23" s="4">
        <f>6243-7</f>
        <v>6236</v>
      </c>
      <c r="V23" s="4">
        <f>7163+143</f>
        <v>7306</v>
      </c>
      <c r="W23" s="4">
        <f>5601+74</f>
        <v>5675</v>
      </c>
      <c r="X23" s="4">
        <f>5771+261</f>
        <v>6032</v>
      </c>
      <c r="Y23" s="4">
        <f>7407+146</f>
        <v>7553</v>
      </c>
      <c r="Z23" s="4">
        <f>9307+15</f>
        <v>9322</v>
      </c>
      <c r="AA23" s="4">
        <f>7354-68</f>
        <v>7286</v>
      </c>
      <c r="AB23" s="4">
        <f>8628+8</f>
        <v>8636</v>
      </c>
      <c r="AC23" s="4">
        <f>11207-445</f>
        <v>10762</v>
      </c>
      <c r="AD23" s="4">
        <f>8381-205</f>
        <v>8176</v>
      </c>
      <c r="AE23" s="4">
        <f>8356+189</f>
        <v>8545</v>
      </c>
      <c r="AF23" s="4">
        <f>9709-53</f>
        <v>9656</v>
      </c>
      <c r="AG23" s="4">
        <f>10784+92</f>
        <v>10876</v>
      </c>
      <c r="AH23" s="4">
        <f>15639+105</f>
        <v>15744</v>
      </c>
      <c r="AI23" s="4">
        <v>12563</v>
      </c>
      <c r="AJ23" s="4">
        <f>13725-31</f>
        <v>13694</v>
      </c>
      <c r="AK23" s="4">
        <f>17209-11</f>
        <v>17198</v>
      </c>
      <c r="AL23" s="4">
        <v>19949</v>
      </c>
      <c r="AM23" s="4">
        <v>16152</v>
      </c>
      <c r="AN23" s="4">
        <v>16530</v>
      </c>
      <c r="AO23" s="4">
        <v>17571</v>
      </c>
      <c r="AP23" s="4">
        <v>21211</v>
      </c>
      <c r="AQ23" s="4">
        <v>19248</v>
      </c>
      <c r="AR23" s="4">
        <v>22238</v>
      </c>
      <c r="AS23" s="4">
        <v>26295</v>
      </c>
      <c r="AT23" s="4">
        <f t="shared" ref="AT23" si="10">+AP23*1.1</f>
        <v>23332.100000000002</v>
      </c>
      <c r="AU23" s="4">
        <v>28639</v>
      </c>
      <c r="AV23" s="4">
        <v>23228</v>
      </c>
      <c r="AW23" s="4">
        <v>24022</v>
      </c>
      <c r="AX23" s="4"/>
      <c r="AY23" s="4"/>
      <c r="AZ23" s="4"/>
      <c r="BA23" s="4"/>
      <c r="BB23" s="4"/>
      <c r="BD23" s="2">
        <f>SUM(C23:F23)</f>
        <v>25023</v>
      </c>
      <c r="BE23" s="2">
        <f>SUM(G23:J23)</f>
        <v>24802</v>
      </c>
      <c r="BF23" s="2">
        <f>SUM(K23:N23)</f>
        <v>25666</v>
      </c>
      <c r="BG23" s="2">
        <f>SUM(O23:R23)</f>
        <v>28534</v>
      </c>
      <c r="BH23" s="2">
        <f>SUM(S23:V23)</f>
        <v>28355</v>
      </c>
      <c r="BI23" s="2">
        <f>SUM(W23:Z23)</f>
        <v>28582</v>
      </c>
      <c r="BJ23" s="2">
        <f>SUM(AA23:AD23)</f>
        <v>34860</v>
      </c>
      <c r="BK23" s="2">
        <f>SUM(AE23:AH23)</f>
        <v>44821</v>
      </c>
      <c r="BL23" s="2">
        <f>SUM(AI23:AL23)</f>
        <v>63404</v>
      </c>
      <c r="BM23" s="2">
        <f>SUM(AM23:AP23)</f>
        <v>71464</v>
      </c>
      <c r="BN23" s="2">
        <f>SUM(AQ23:AT23)</f>
        <v>91113.1</v>
      </c>
      <c r="BO23" s="2">
        <f>+BN23*1.05</f>
        <v>95668.755000000005</v>
      </c>
      <c r="BP23" s="2">
        <f t="shared" ref="BP23:BT23" si="11">+BO23*1.05</f>
        <v>100452.19275</v>
      </c>
      <c r="BQ23" s="2">
        <f t="shared" si="11"/>
        <v>105474.80238750001</v>
      </c>
      <c r="BR23" s="2">
        <f t="shared" si="11"/>
        <v>110748.54250687502</v>
      </c>
      <c r="BS23" s="2">
        <f t="shared" si="11"/>
        <v>116285.96963221878</v>
      </c>
      <c r="BT23" s="2">
        <f t="shared" si="11"/>
        <v>122100.26811382972</v>
      </c>
    </row>
    <row r="24" spans="2:239" x14ac:dyDescent="0.25">
      <c r="B24" t="s">
        <v>23</v>
      </c>
      <c r="C24" s="4">
        <f t="shared" ref="C24:R24" si="12">+C22+C23</f>
        <v>17880</v>
      </c>
      <c r="D24" s="4">
        <f t="shared" si="12"/>
        <v>20479</v>
      </c>
      <c r="E24" s="4">
        <f t="shared" si="12"/>
        <v>21146</v>
      </c>
      <c r="F24" s="4">
        <f t="shared" si="12"/>
        <v>22344</v>
      </c>
      <c r="G24" s="4">
        <f t="shared" si="12"/>
        <v>22803</v>
      </c>
      <c r="H24" s="4">
        <f t="shared" si="12"/>
        <v>22636</v>
      </c>
      <c r="I24" s="4">
        <f t="shared" si="12"/>
        <v>23947</v>
      </c>
      <c r="J24" s="4">
        <f t="shared" si="12"/>
        <v>20961</v>
      </c>
      <c r="K24" s="4">
        <f t="shared" si="12"/>
        <v>20871</v>
      </c>
      <c r="L24" s="4">
        <f t="shared" si="12"/>
        <v>23013</v>
      </c>
      <c r="M24" s="4">
        <f t="shared" si="12"/>
        <v>25788</v>
      </c>
      <c r="N24" s="4">
        <f t="shared" si="12"/>
        <v>27202</v>
      </c>
      <c r="O24" s="4">
        <f t="shared" si="12"/>
        <v>26138</v>
      </c>
      <c r="P24" s="4">
        <f t="shared" si="12"/>
        <v>25452</v>
      </c>
      <c r="Q24" s="4">
        <f t="shared" si="12"/>
        <v>27824</v>
      </c>
      <c r="R24" s="4">
        <f t="shared" si="12"/>
        <v>29853</v>
      </c>
      <c r="S24" s="4">
        <f t="shared" ref="S24" si="13">+S22+S23</f>
        <v>28031</v>
      </c>
      <c r="T24" s="4">
        <f t="shared" ref="T24:AR24" si="14">+T22+T23</f>
        <v>27102</v>
      </c>
      <c r="U24" s="4">
        <f t="shared" si="14"/>
        <v>28122</v>
      </c>
      <c r="V24" s="4">
        <f t="shared" si="14"/>
        <v>30995</v>
      </c>
      <c r="W24" s="4">
        <f t="shared" si="14"/>
        <v>26092</v>
      </c>
      <c r="X24" s="4">
        <f t="shared" si="14"/>
        <v>27426</v>
      </c>
      <c r="Y24" s="4">
        <f t="shared" si="14"/>
        <v>31525</v>
      </c>
      <c r="Z24" s="4">
        <f t="shared" si="14"/>
        <v>34958</v>
      </c>
      <c r="AA24" s="4">
        <f t="shared" si="14"/>
        <v>32255</v>
      </c>
      <c r="AB24" s="4">
        <f t="shared" si="14"/>
        <v>33529</v>
      </c>
      <c r="AC24" s="4">
        <f t="shared" si="14"/>
        <v>40446</v>
      </c>
      <c r="AD24" s="4">
        <f t="shared" si="14"/>
        <v>38116</v>
      </c>
      <c r="AE24" s="4">
        <f t="shared" si="14"/>
        <v>39301</v>
      </c>
      <c r="AF24" s="4">
        <f t="shared" si="14"/>
        <v>40530</v>
      </c>
      <c r="AG24" s="4">
        <f t="shared" si="14"/>
        <v>41742</v>
      </c>
      <c r="AH24" s="4">
        <f t="shared" si="14"/>
        <v>47983</v>
      </c>
      <c r="AI24" s="4">
        <f t="shared" si="14"/>
        <v>48611</v>
      </c>
      <c r="AJ24" s="4">
        <f t="shared" si="14"/>
        <v>53344</v>
      </c>
      <c r="AK24" s="4">
        <f t="shared" si="14"/>
        <v>60175</v>
      </c>
      <c r="AL24" s="4">
        <f t="shared" si="14"/>
        <v>64536</v>
      </c>
      <c r="AM24" s="4">
        <f t="shared" si="14"/>
        <v>55309</v>
      </c>
      <c r="AN24" s="4">
        <f t="shared" si="14"/>
        <v>58195</v>
      </c>
      <c r="AO24" s="4">
        <f t="shared" si="14"/>
        <v>68709</v>
      </c>
      <c r="AP24" s="4">
        <f t="shared" si="14"/>
        <v>71621</v>
      </c>
      <c r="AQ24" s="4">
        <f t="shared" si="14"/>
        <v>65357</v>
      </c>
      <c r="AR24" s="4">
        <f t="shared" si="14"/>
        <v>70296</v>
      </c>
      <c r="AS24" s="4">
        <f t="shared" ref="AS24:BF24" si="15">+AS22+AS23</f>
        <v>79078</v>
      </c>
      <c r="AT24" s="4">
        <f t="shared" si="15"/>
        <v>78783.100000000006</v>
      </c>
      <c r="AU24" s="4">
        <f t="shared" ref="AU24:AW24" si="16">+AU22+AU23</f>
        <v>85186</v>
      </c>
      <c r="AV24" s="4">
        <f t="shared" si="16"/>
        <v>84508</v>
      </c>
      <c r="AW24" s="4">
        <f t="shared" si="16"/>
        <v>87765</v>
      </c>
      <c r="AX24" s="4"/>
      <c r="AY24" s="4"/>
      <c r="AZ24" s="4"/>
      <c r="BA24" s="4"/>
      <c r="BB24" s="4"/>
      <c r="BD24" s="4">
        <f t="shared" si="15"/>
        <v>81849</v>
      </c>
      <c r="BE24" s="4">
        <f t="shared" si="15"/>
        <v>90347</v>
      </c>
      <c r="BF24" s="4">
        <f t="shared" si="15"/>
        <v>96874</v>
      </c>
      <c r="BG24" s="4">
        <f>+BG22+BG23</f>
        <v>109267</v>
      </c>
      <c r="BH24" s="4">
        <f t="shared" ref="BH24:BN24" si="17">+BH22+BH23</f>
        <v>114250</v>
      </c>
      <c r="BI24" s="4">
        <f t="shared" si="17"/>
        <v>120001</v>
      </c>
      <c r="BJ24" s="4">
        <f t="shared" si="17"/>
        <v>144346</v>
      </c>
      <c r="BK24" s="4">
        <f t="shared" si="17"/>
        <v>169556</v>
      </c>
      <c r="BL24" s="4">
        <f t="shared" si="17"/>
        <v>226666</v>
      </c>
      <c r="BM24" s="4">
        <f t="shared" si="17"/>
        <v>253834</v>
      </c>
      <c r="BN24" s="4">
        <f t="shared" si="17"/>
        <v>293514.09999999998</v>
      </c>
      <c r="BO24" s="4">
        <f t="shared" ref="BO24" si="18">+BO22+BO23</f>
        <v>308189.80500000005</v>
      </c>
      <c r="BP24" s="4">
        <f t="shared" ref="BP24" si="19">+BP22+BP23</f>
        <v>323599.29525000002</v>
      </c>
      <c r="BQ24" s="4">
        <f t="shared" ref="BQ24" si="20">+BQ22+BQ23</f>
        <v>339779.26001250005</v>
      </c>
      <c r="BR24" s="4">
        <f t="shared" ref="BR24" si="21">+BR22+BR23</f>
        <v>356768.22301312507</v>
      </c>
      <c r="BS24" s="4">
        <f t="shared" ref="BS24" si="22">+BS22+BS23</f>
        <v>374606.63416378136</v>
      </c>
      <c r="BT24" s="4">
        <f t="shared" ref="BT24" si="23">+BT22+BT23</f>
        <v>393336.9658719704</v>
      </c>
    </row>
    <row r="25" spans="2:239" x14ac:dyDescent="0.25">
      <c r="B25" t="s">
        <v>22</v>
      </c>
      <c r="C25" s="4">
        <f t="shared" ref="C25:R25" si="24">+C21-C24</f>
        <v>52517</v>
      </c>
      <c r="D25" s="4">
        <f t="shared" si="24"/>
        <v>70714</v>
      </c>
      <c r="E25" s="4">
        <f t="shared" si="24"/>
        <v>84432</v>
      </c>
      <c r="F25" s="4">
        <f t="shared" si="24"/>
        <v>88216</v>
      </c>
      <c r="G25" s="4">
        <f t="shared" si="24"/>
        <v>86626</v>
      </c>
      <c r="H25" s="4">
        <f t="shared" si="24"/>
        <v>77069</v>
      </c>
      <c r="I25" s="4">
        <f t="shared" si="24"/>
        <v>78389</v>
      </c>
      <c r="J25" s="4">
        <f t="shared" si="24"/>
        <v>77964</v>
      </c>
      <c r="K25" s="4">
        <f t="shared" si="24"/>
        <v>70467</v>
      </c>
      <c r="L25" s="4">
        <f t="shared" si="24"/>
        <v>91321</v>
      </c>
      <c r="M25" s="4">
        <f t="shared" si="24"/>
        <v>106263</v>
      </c>
      <c r="N25" s="4">
        <f t="shared" si="24"/>
        <v>109907</v>
      </c>
      <c r="O25" s="4">
        <f t="shared" si="24"/>
        <v>95352</v>
      </c>
      <c r="P25" s="4">
        <f t="shared" si="24"/>
        <v>83256</v>
      </c>
      <c r="Q25" s="4">
        <f t="shared" si="24"/>
        <v>98056</v>
      </c>
      <c r="R25" s="4">
        <f t="shared" si="24"/>
        <v>108895</v>
      </c>
      <c r="S25" s="4">
        <f t="shared" ref="S25" si="25">+S21-S24</f>
        <v>96827</v>
      </c>
      <c r="T25" s="4">
        <f t="shared" ref="T25:AR25" si="26">+T21-T24</f>
        <v>84428</v>
      </c>
      <c r="U25" s="4">
        <f t="shared" si="26"/>
        <v>95245</v>
      </c>
      <c r="V25" s="4">
        <f t="shared" si="26"/>
        <v>107124</v>
      </c>
      <c r="W25" s="4">
        <f t="shared" si="26"/>
        <v>64266</v>
      </c>
      <c r="X25" s="4">
        <f t="shared" si="26"/>
        <v>76304</v>
      </c>
      <c r="Y25" s="4">
        <f t="shared" si="26"/>
        <v>107887</v>
      </c>
      <c r="Z25" s="4">
        <f t="shared" si="26"/>
        <v>124244</v>
      </c>
      <c r="AA25" s="4">
        <f t="shared" si="26"/>
        <v>128522</v>
      </c>
      <c r="AB25" s="4">
        <f t="shared" si="26"/>
        <v>131094</v>
      </c>
      <c r="AC25" s="4">
        <f t="shared" si="26"/>
        <v>150048</v>
      </c>
      <c r="AD25" s="4">
        <f t="shared" si="26"/>
        <v>157120</v>
      </c>
      <c r="AE25" s="4">
        <f t="shared" si="26"/>
        <v>150538</v>
      </c>
      <c r="AF25" s="4">
        <f t="shared" si="26"/>
        <v>145667</v>
      </c>
      <c r="AG25" s="4">
        <f t="shared" si="26"/>
        <v>171004</v>
      </c>
      <c r="AH25" s="4">
        <f t="shared" si="26"/>
        <v>182772</v>
      </c>
      <c r="AI25" s="4">
        <f t="shared" si="26"/>
        <v>224592</v>
      </c>
      <c r="AJ25" s="4">
        <f t="shared" si="26"/>
        <v>262124</v>
      </c>
      <c r="AK25" s="4">
        <f t="shared" si="26"/>
        <v>310324</v>
      </c>
      <c r="AL25" s="4">
        <f t="shared" si="26"/>
        <v>324649</v>
      </c>
      <c r="AM25" s="4">
        <f t="shared" si="26"/>
        <v>231190.973</v>
      </c>
      <c r="AN25" s="4">
        <f t="shared" si="26"/>
        <v>202005.25400000002</v>
      </c>
      <c r="AO25" s="4">
        <f t="shared" si="26"/>
        <v>227933.75800000003</v>
      </c>
      <c r="AP25" s="4">
        <f t="shared" si="26"/>
        <v>260147</v>
      </c>
      <c r="AQ25" s="4">
        <f t="shared" si="26"/>
        <v>249148.201</v>
      </c>
      <c r="AR25" s="4">
        <f t="shared" si="26"/>
        <v>287829.17700000003</v>
      </c>
      <c r="AS25" s="4">
        <f t="shared" ref="AS25:BF25" si="27">+AS21-AS24</f>
        <v>360267.14300000004</v>
      </c>
      <c r="AT25" s="4">
        <f t="shared" si="27"/>
        <v>381501.32434000017</v>
      </c>
      <c r="AU25" s="4">
        <f t="shared" ref="AU25:AW25" si="28">+AU21-AU24</f>
        <v>408208.66399999999</v>
      </c>
      <c r="AV25" s="4">
        <f t="shared" si="28"/>
        <v>462860.86899999995</v>
      </c>
      <c r="AW25" s="4">
        <f t="shared" si="28"/>
        <v>500778.31800000009</v>
      </c>
      <c r="AX25" s="4"/>
      <c r="AY25" s="4"/>
      <c r="AZ25" s="4"/>
      <c r="BA25" s="4"/>
      <c r="BB25" s="4"/>
      <c r="BD25" s="4">
        <f t="shared" si="27"/>
        <v>295879</v>
      </c>
      <c r="BE25" s="4">
        <f t="shared" si="27"/>
        <v>320048</v>
      </c>
      <c r="BF25" s="4">
        <f t="shared" si="27"/>
        <v>377958</v>
      </c>
      <c r="BG25" s="4">
        <f>+BG21-BG24</f>
        <v>385559</v>
      </c>
      <c r="BH25" s="4">
        <f t="shared" ref="BH25:BN25" si="29">+BH21-BH24</f>
        <v>383624</v>
      </c>
      <c r="BI25" s="4">
        <f t="shared" si="29"/>
        <v>372701</v>
      </c>
      <c r="BJ25" s="4">
        <f t="shared" si="29"/>
        <v>566784</v>
      </c>
      <c r="BK25" s="4">
        <f t="shared" si="29"/>
        <v>649981</v>
      </c>
      <c r="BL25" s="4">
        <f t="shared" si="29"/>
        <v>1121689</v>
      </c>
      <c r="BM25" s="4">
        <f t="shared" si="29"/>
        <v>921276.98499999987</v>
      </c>
      <c r="BN25" s="4">
        <f t="shared" si="29"/>
        <v>1278745.8453400005</v>
      </c>
      <c r="BO25" s="4">
        <f t="shared" ref="BO25" si="30">+BO21-BO24</f>
        <v>1411028.9682060005</v>
      </c>
      <c r="BP25" s="4">
        <f t="shared" ref="BP25" si="31">+BP21-BP24</f>
        <v>1567541.3552766007</v>
      </c>
      <c r="BQ25" s="4">
        <f t="shared" ref="BQ25" si="32">+BQ21-BQ24</f>
        <v>1740475.4555667609</v>
      </c>
      <c r="BR25" s="4">
        <f t="shared" ref="BR25" si="33">+BR21-BR24</f>
        <v>1931511.9641240623</v>
      </c>
      <c r="BS25" s="4">
        <f t="shared" ref="BS25" si="34">+BS21-BS24</f>
        <v>2142501.5716871247</v>
      </c>
      <c r="BT25" s="4">
        <f t="shared" ref="BT25" si="35">+BT21-BT24</f>
        <v>2375482.0605640272</v>
      </c>
    </row>
    <row r="26" spans="2:239" x14ac:dyDescent="0.25">
      <c r="B26" t="s">
        <v>21</v>
      </c>
      <c r="C26" s="4">
        <v>780</v>
      </c>
      <c r="D26" s="4">
        <v>3384</v>
      </c>
      <c r="E26" s="4">
        <v>949</v>
      </c>
      <c r="F26" s="4">
        <v>1096</v>
      </c>
      <c r="G26" s="4">
        <v>1633</v>
      </c>
      <c r="H26" s="4">
        <f>815-783</f>
        <v>32</v>
      </c>
      <c r="I26" s="4">
        <v>5005</v>
      </c>
      <c r="J26" s="4">
        <v>2680</v>
      </c>
      <c r="K26" s="4">
        <v>1789</v>
      </c>
      <c r="L26" s="4">
        <v>2085</v>
      </c>
      <c r="M26" s="4">
        <v>1987</v>
      </c>
      <c r="N26" s="4">
        <v>2140</v>
      </c>
      <c r="O26" s="4">
        <v>2470</v>
      </c>
      <c r="P26" s="4">
        <v>2862</v>
      </c>
      <c r="Q26" s="4">
        <v>2462</v>
      </c>
      <c r="R26" s="4">
        <v>2780</v>
      </c>
      <c r="S26" s="4">
        <v>3117</v>
      </c>
      <c r="T26" s="4">
        <v>3159</v>
      </c>
      <c r="U26" s="4">
        <v>3652</v>
      </c>
      <c r="V26" s="4">
        <v>3958</v>
      </c>
      <c r="W26" s="4">
        <v>3916</v>
      </c>
      <c r="X26" s="4">
        <v>4241</v>
      </c>
      <c r="Y26" s="4">
        <v>4449</v>
      </c>
      <c r="Z26" s="4">
        <v>4538</v>
      </c>
      <c r="AA26" s="4">
        <v>3625</v>
      </c>
      <c r="AB26" s="4">
        <v>5305</v>
      </c>
      <c r="AC26" s="4">
        <v>5076</v>
      </c>
      <c r="AD26" s="4">
        <v>3987</v>
      </c>
      <c r="AE26" s="4">
        <v>4526</v>
      </c>
      <c r="AF26" s="4">
        <v>3724</v>
      </c>
      <c r="AG26" s="4">
        <v>2848</v>
      </c>
      <c r="AH26" s="4">
        <v>2047</v>
      </c>
      <c r="AI26" s="4">
        <v>3042</v>
      </c>
      <c r="AJ26" s="4">
        <v>3874</v>
      </c>
      <c r="AK26" s="4">
        <v>6367</v>
      </c>
      <c r="AL26" s="4">
        <v>9629</v>
      </c>
      <c r="AM26" s="4">
        <v>13037</v>
      </c>
      <c r="AN26" s="4">
        <v>12717</v>
      </c>
      <c r="AO26" s="4">
        <v>13875</v>
      </c>
      <c r="AP26" s="4">
        <v>18076</v>
      </c>
      <c r="AQ26" s="4">
        <v>17525</v>
      </c>
      <c r="AR26" s="4">
        <v>19755</v>
      </c>
      <c r="AS26" s="4">
        <f>499+23421</f>
        <v>23920</v>
      </c>
      <c r="AT26" s="4">
        <f>+AS26</f>
        <v>23920</v>
      </c>
      <c r="AU26" s="4">
        <v>23814</v>
      </c>
      <c r="AV26" s="4">
        <v>29613</v>
      </c>
      <c r="AW26" s="4">
        <v>24684</v>
      </c>
      <c r="AX26" s="4"/>
      <c r="AY26" s="4"/>
      <c r="AZ26" s="4"/>
      <c r="BA26" s="4"/>
      <c r="BB26" s="4"/>
      <c r="BD26" s="2">
        <f>SUM(C26:F26)</f>
        <v>6209</v>
      </c>
      <c r="BE26" s="2">
        <f>SUM(G26:J26)</f>
        <v>9350</v>
      </c>
      <c r="BF26" s="2">
        <f>SUM(K26:N26)</f>
        <v>8001</v>
      </c>
      <c r="BG26" s="2">
        <f>SUM(O26:R26)</f>
        <v>10574</v>
      </c>
      <c r="BH26" s="2">
        <f>SUM(S26:V26)</f>
        <v>13886</v>
      </c>
      <c r="BI26" s="2">
        <f>SUM(W26:Z26)</f>
        <v>17144</v>
      </c>
      <c r="BJ26" s="2">
        <f>SUM(AA26:AD26)</f>
        <v>17993</v>
      </c>
      <c r="BK26" s="2">
        <f>SUM(AE26:AH26)</f>
        <v>13145</v>
      </c>
      <c r="BL26" s="2">
        <f>SUM(AI26:AL26)</f>
        <v>22912</v>
      </c>
      <c r="BM26" s="2">
        <f>SUM(AM26:AP26)</f>
        <v>57705</v>
      </c>
      <c r="BN26" s="2">
        <f>SUM(AQ26:AT26)</f>
        <v>85120</v>
      </c>
      <c r="BO26" s="2">
        <f>+BN26*1.05</f>
        <v>89376</v>
      </c>
      <c r="BP26" s="2">
        <f t="shared" ref="BP26:BT26" si="36">+BO26*1.05</f>
        <v>93844.800000000003</v>
      </c>
      <c r="BQ26" s="2">
        <f t="shared" si="36"/>
        <v>98537.040000000008</v>
      </c>
      <c r="BR26" s="2">
        <f t="shared" si="36"/>
        <v>103463.89200000001</v>
      </c>
      <c r="BS26" s="2">
        <f t="shared" si="36"/>
        <v>108637.08660000001</v>
      </c>
      <c r="BT26" s="2">
        <f t="shared" si="36"/>
        <v>114068.94093000001</v>
      </c>
    </row>
    <row r="27" spans="2:239" x14ac:dyDescent="0.25">
      <c r="B27" t="s">
        <v>20</v>
      </c>
      <c r="C27" s="4">
        <f t="shared" ref="C27:R27" si="37">+C25+C26</f>
        <v>53297</v>
      </c>
      <c r="D27" s="4">
        <f t="shared" si="37"/>
        <v>74098</v>
      </c>
      <c r="E27" s="4">
        <f t="shared" si="37"/>
        <v>85381</v>
      </c>
      <c r="F27" s="4">
        <f t="shared" si="37"/>
        <v>89312</v>
      </c>
      <c r="G27" s="4">
        <f t="shared" si="37"/>
        <v>88259</v>
      </c>
      <c r="H27" s="4">
        <f t="shared" si="37"/>
        <v>77101</v>
      </c>
      <c r="I27" s="4">
        <f t="shared" si="37"/>
        <v>83394</v>
      </c>
      <c r="J27" s="4">
        <f t="shared" si="37"/>
        <v>80644</v>
      </c>
      <c r="K27" s="4">
        <f t="shared" si="37"/>
        <v>72256</v>
      </c>
      <c r="L27" s="4">
        <f t="shared" si="37"/>
        <v>93406</v>
      </c>
      <c r="M27" s="4">
        <f t="shared" si="37"/>
        <v>108250</v>
      </c>
      <c r="N27" s="4">
        <f t="shared" si="37"/>
        <v>112047</v>
      </c>
      <c r="O27" s="4">
        <f t="shared" si="37"/>
        <v>97822</v>
      </c>
      <c r="P27" s="4">
        <f t="shared" si="37"/>
        <v>86118</v>
      </c>
      <c r="Q27" s="4">
        <f t="shared" si="37"/>
        <v>100518</v>
      </c>
      <c r="R27" s="4">
        <f t="shared" si="37"/>
        <v>111675</v>
      </c>
      <c r="S27" s="4">
        <f t="shared" ref="S27" si="38">+S25+S26</f>
        <v>99944</v>
      </c>
      <c r="T27" s="4">
        <f t="shared" ref="T27:AR27" si="39">+T25+T26</f>
        <v>87587</v>
      </c>
      <c r="U27" s="4">
        <f t="shared" si="39"/>
        <v>98897</v>
      </c>
      <c r="V27" s="4">
        <f t="shared" si="39"/>
        <v>111082</v>
      </c>
      <c r="W27" s="4">
        <f t="shared" si="39"/>
        <v>68182</v>
      </c>
      <c r="X27" s="4">
        <f t="shared" si="39"/>
        <v>80545</v>
      </c>
      <c r="Y27" s="4">
        <f t="shared" si="39"/>
        <v>112336</v>
      </c>
      <c r="Z27" s="4">
        <f t="shared" si="39"/>
        <v>128782</v>
      </c>
      <c r="AA27" s="4">
        <f t="shared" si="39"/>
        <v>132147</v>
      </c>
      <c r="AB27" s="4">
        <f t="shared" si="39"/>
        <v>136399</v>
      </c>
      <c r="AC27" s="4">
        <f t="shared" si="39"/>
        <v>155124</v>
      </c>
      <c r="AD27" s="4">
        <f t="shared" si="39"/>
        <v>161107</v>
      </c>
      <c r="AE27" s="4">
        <f t="shared" si="39"/>
        <v>155064</v>
      </c>
      <c r="AF27" s="4">
        <f t="shared" si="39"/>
        <v>149391</v>
      </c>
      <c r="AG27" s="4">
        <f t="shared" si="39"/>
        <v>173852</v>
      </c>
      <c r="AH27" s="4">
        <f t="shared" si="39"/>
        <v>184819</v>
      </c>
      <c r="AI27" s="4">
        <f t="shared" si="39"/>
        <v>227634</v>
      </c>
      <c r="AJ27" s="4">
        <f t="shared" si="39"/>
        <v>265998</v>
      </c>
      <c r="AK27" s="4">
        <f t="shared" si="39"/>
        <v>316691</v>
      </c>
      <c r="AL27" s="4">
        <f t="shared" si="39"/>
        <v>334278</v>
      </c>
      <c r="AM27" s="4">
        <f t="shared" si="39"/>
        <v>244227.973</v>
      </c>
      <c r="AN27" s="4">
        <f t="shared" si="39"/>
        <v>214722.25400000002</v>
      </c>
      <c r="AO27" s="4">
        <f t="shared" si="39"/>
        <v>241808.75800000003</v>
      </c>
      <c r="AP27" s="4">
        <f t="shared" si="39"/>
        <v>278223</v>
      </c>
      <c r="AQ27" s="4">
        <f t="shared" si="39"/>
        <v>266673.201</v>
      </c>
      <c r="AR27" s="4">
        <f t="shared" si="39"/>
        <v>307584.17700000003</v>
      </c>
      <c r="AS27" s="4">
        <f t="shared" ref="AS27:BF27" si="40">+AS25+AS26</f>
        <v>384187.14300000004</v>
      </c>
      <c r="AT27" s="4">
        <f t="shared" si="40"/>
        <v>405421.32434000017</v>
      </c>
      <c r="AU27" s="4">
        <f t="shared" si="40"/>
        <v>432022.66399999999</v>
      </c>
      <c r="AV27" s="4">
        <f t="shared" si="40"/>
        <v>492473.86899999995</v>
      </c>
      <c r="AW27" s="4">
        <f t="shared" si="40"/>
        <v>525462.31800000009</v>
      </c>
      <c r="AX27" s="4"/>
      <c r="AY27" s="4"/>
      <c r="AZ27" s="4"/>
      <c r="BA27" s="4"/>
      <c r="BB27" s="4"/>
      <c r="BD27" s="4">
        <f t="shared" si="40"/>
        <v>302088</v>
      </c>
      <c r="BE27" s="4">
        <f t="shared" si="40"/>
        <v>329398</v>
      </c>
      <c r="BF27" s="4">
        <f t="shared" si="40"/>
        <v>385959</v>
      </c>
      <c r="BG27" s="4">
        <f t="shared" ref="BG27" si="41">+BG25+BG26</f>
        <v>396133</v>
      </c>
      <c r="BH27" s="4">
        <f t="shared" ref="BH27" si="42">+BH25+BH26</f>
        <v>397510</v>
      </c>
      <c r="BI27" s="4">
        <f t="shared" ref="BI27" si="43">+BI25+BI26</f>
        <v>389845</v>
      </c>
      <c r="BJ27" s="4">
        <f t="shared" ref="BJ27" si="44">+BJ25+BJ26</f>
        <v>584777</v>
      </c>
      <c r="BK27" s="4">
        <f t="shared" ref="BK27" si="45">+BK25+BK26</f>
        <v>663126</v>
      </c>
      <c r="BL27" s="4">
        <f t="shared" ref="BL27" si="46">+BL25+BL26</f>
        <v>1144601</v>
      </c>
      <c r="BM27" s="4">
        <f t="shared" ref="BM27" si="47">+BM25+BM26</f>
        <v>978981.98499999987</v>
      </c>
      <c r="BN27" s="4">
        <f t="shared" ref="BN27" si="48">+BN25+BN26</f>
        <v>1363865.8453400005</v>
      </c>
      <c r="BO27" s="4">
        <f t="shared" ref="BO27" si="49">+BO25+BO26</f>
        <v>1500404.9682060005</v>
      </c>
      <c r="BP27" s="4">
        <f t="shared" ref="BP27" si="50">+BP25+BP26</f>
        <v>1661386.1552766007</v>
      </c>
      <c r="BQ27" s="4">
        <f t="shared" ref="BQ27" si="51">+BQ25+BQ26</f>
        <v>1839012.4955667609</v>
      </c>
      <c r="BR27" s="4">
        <f t="shared" ref="BR27" si="52">+BR25+BR26</f>
        <v>2034975.8561240623</v>
      </c>
      <c r="BS27" s="4">
        <f t="shared" ref="BS27" si="53">+BS25+BS26</f>
        <v>2251138.6582871247</v>
      </c>
      <c r="BT27" s="4">
        <f t="shared" ref="BT27" si="54">+BT25+BT26</f>
        <v>2489551.0014940272</v>
      </c>
    </row>
    <row r="28" spans="2:239" x14ac:dyDescent="0.25">
      <c r="B28" t="s">
        <v>19</v>
      </c>
      <c r="C28" s="4">
        <v>5455</v>
      </c>
      <c r="D28" s="4">
        <v>14438</v>
      </c>
      <c r="E28" s="4">
        <v>9077</v>
      </c>
      <c r="F28" s="4">
        <v>9346</v>
      </c>
      <c r="G28" s="4">
        <v>9275</v>
      </c>
      <c r="H28" s="4">
        <v>18719</v>
      </c>
      <c r="I28" s="4">
        <v>8077</v>
      </c>
      <c r="J28" s="4">
        <v>7802</v>
      </c>
      <c r="K28" s="4">
        <v>7463</v>
      </c>
      <c r="L28" s="4">
        <v>20878</v>
      </c>
      <c r="M28" s="4">
        <v>11461</v>
      </c>
      <c r="N28" s="4">
        <v>11819</v>
      </c>
      <c r="O28" s="4">
        <v>10201</v>
      </c>
      <c r="P28" s="4">
        <v>19847</v>
      </c>
      <c r="Q28" s="4">
        <v>10569</v>
      </c>
      <c r="R28" s="4">
        <v>12369</v>
      </c>
      <c r="S28" s="4">
        <v>10156</v>
      </c>
      <c r="T28" s="4">
        <v>15294</v>
      </c>
      <c r="U28" s="4">
        <v>9799</v>
      </c>
      <c r="V28" s="4">
        <v>11077</v>
      </c>
      <c r="W28" s="4">
        <v>6795</v>
      </c>
      <c r="X28" s="4">
        <v>13769</v>
      </c>
      <c r="Y28" s="4">
        <v>11233</v>
      </c>
      <c r="Z28" s="4">
        <v>12704</v>
      </c>
      <c r="AA28" s="4">
        <v>15084</v>
      </c>
      <c r="AB28" s="4">
        <v>15507</v>
      </c>
      <c r="AC28" s="4">
        <v>17745</v>
      </c>
      <c r="AD28" s="4">
        <v>18283</v>
      </c>
      <c r="AE28" s="4">
        <v>15325</v>
      </c>
      <c r="AF28" s="4">
        <v>14910</v>
      </c>
      <c r="AG28" s="4">
        <v>17372</v>
      </c>
      <c r="AH28" s="4">
        <v>18446</v>
      </c>
      <c r="AI28" s="4">
        <v>23959</v>
      </c>
      <c r="AJ28" s="4">
        <v>28817</v>
      </c>
      <c r="AK28" s="4">
        <v>35723</v>
      </c>
      <c r="AL28" s="4">
        <v>38791</v>
      </c>
      <c r="AM28" s="4">
        <v>37326</v>
      </c>
      <c r="AN28" s="4">
        <v>32958</v>
      </c>
      <c r="AO28" s="4">
        <v>31145</v>
      </c>
      <c r="AP28" s="4">
        <v>39974</v>
      </c>
      <c r="AQ28" s="4">
        <v>41322</v>
      </c>
      <c r="AR28" s="4">
        <v>58649</v>
      </c>
      <c r="AS28" s="4">
        <v>59107</v>
      </c>
      <c r="AT28" s="4">
        <f>+AT27*0.15</f>
        <v>60813.198651000021</v>
      </c>
      <c r="AU28" s="4">
        <v>70162</v>
      </c>
      <c r="AV28" s="4">
        <v>95543</v>
      </c>
      <c r="AW28" s="4">
        <v>73614</v>
      </c>
      <c r="AX28" s="4"/>
      <c r="AY28" s="4"/>
      <c r="AZ28" s="4"/>
      <c r="BA28" s="4"/>
      <c r="BB28" s="4"/>
      <c r="BD28" s="2">
        <f>SUM(C28:F28)</f>
        <v>38316</v>
      </c>
      <c r="BE28" s="2">
        <f>SUM(G28:J28)</f>
        <v>43873</v>
      </c>
      <c r="BF28" s="2">
        <f>SUM(K28:N28)</f>
        <v>51621</v>
      </c>
      <c r="BG28" s="2">
        <f>SUM(O28:R28)</f>
        <v>52986</v>
      </c>
      <c r="BH28" s="2">
        <f>SUM(S28:V28)</f>
        <v>46326</v>
      </c>
      <c r="BI28" s="2">
        <f>SUM(W28:Z28)</f>
        <v>44501</v>
      </c>
      <c r="BJ28" s="2">
        <f>SUM(AA28:AD28)</f>
        <v>66619</v>
      </c>
      <c r="BK28" s="2">
        <f>SUM(AE28:AH28)</f>
        <v>66053</v>
      </c>
      <c r="BL28" s="2">
        <f>SUM(AI28:AL28)</f>
        <v>127290</v>
      </c>
      <c r="BM28" s="2">
        <f>SUM(AM28:AP28)</f>
        <v>141403</v>
      </c>
      <c r="BN28" s="2">
        <f>SUM(AQ28:AT28)</f>
        <v>219891.19865100001</v>
      </c>
      <c r="BO28" s="2">
        <f>+BO27*0.15</f>
        <v>225060.74523090007</v>
      </c>
      <c r="BP28" s="2">
        <f t="shared" ref="BP28:BT28" si="55">+BP27*0.15</f>
        <v>249207.92329149009</v>
      </c>
      <c r="BQ28" s="2">
        <f t="shared" si="55"/>
        <v>275851.87433501414</v>
      </c>
      <c r="BR28" s="2">
        <f t="shared" si="55"/>
        <v>305246.37841860933</v>
      </c>
      <c r="BS28" s="2">
        <f t="shared" si="55"/>
        <v>337670.79874306871</v>
      </c>
      <c r="BT28" s="2">
        <f t="shared" si="55"/>
        <v>373432.65022410406</v>
      </c>
    </row>
    <row r="29" spans="2:239" x14ac:dyDescent="0.25">
      <c r="B29" t="s">
        <v>18</v>
      </c>
      <c r="C29" s="4">
        <f t="shared" ref="C29:R29" si="56">+C27-C28</f>
        <v>47842</v>
      </c>
      <c r="D29" s="4">
        <f t="shared" si="56"/>
        <v>59660</v>
      </c>
      <c r="E29" s="4">
        <f t="shared" si="56"/>
        <v>76304</v>
      </c>
      <c r="F29" s="4">
        <f t="shared" si="56"/>
        <v>79966</v>
      </c>
      <c r="G29" s="4">
        <f t="shared" si="56"/>
        <v>78984</v>
      </c>
      <c r="H29" s="4">
        <f t="shared" si="56"/>
        <v>58382</v>
      </c>
      <c r="I29" s="4">
        <f t="shared" si="56"/>
        <v>75317</v>
      </c>
      <c r="J29" s="4">
        <f t="shared" si="56"/>
        <v>72842</v>
      </c>
      <c r="K29" s="4">
        <f t="shared" si="56"/>
        <v>64793</v>
      </c>
      <c r="L29" s="4">
        <f t="shared" si="56"/>
        <v>72528</v>
      </c>
      <c r="M29" s="4">
        <f t="shared" si="56"/>
        <v>96789</v>
      </c>
      <c r="N29" s="4">
        <f t="shared" si="56"/>
        <v>100228</v>
      </c>
      <c r="O29" s="4">
        <f t="shared" si="56"/>
        <v>87621</v>
      </c>
      <c r="P29" s="4">
        <f t="shared" si="56"/>
        <v>66271</v>
      </c>
      <c r="Q29" s="4">
        <f t="shared" si="56"/>
        <v>89949</v>
      </c>
      <c r="R29" s="4">
        <f t="shared" si="56"/>
        <v>99306</v>
      </c>
      <c r="S29" s="4">
        <f t="shared" ref="S29" si="57">+S27-S28</f>
        <v>89788</v>
      </c>
      <c r="T29" s="4">
        <f t="shared" ref="T29:AR29" si="58">+T27-T28</f>
        <v>72293</v>
      </c>
      <c r="U29" s="4">
        <f t="shared" si="58"/>
        <v>89098</v>
      </c>
      <c r="V29" s="4">
        <f t="shared" si="58"/>
        <v>100005</v>
      </c>
      <c r="W29" s="4">
        <f t="shared" si="58"/>
        <v>61387</v>
      </c>
      <c r="X29" s="4">
        <f t="shared" si="58"/>
        <v>66776</v>
      </c>
      <c r="Y29" s="4">
        <f t="shared" si="58"/>
        <v>101103</v>
      </c>
      <c r="Z29" s="4">
        <f t="shared" si="58"/>
        <v>116078</v>
      </c>
      <c r="AA29" s="4">
        <f t="shared" si="58"/>
        <v>117063</v>
      </c>
      <c r="AB29" s="4">
        <f t="shared" si="58"/>
        <v>120892</v>
      </c>
      <c r="AC29" s="4">
        <f t="shared" si="58"/>
        <v>137379</v>
      </c>
      <c r="AD29" s="4">
        <f t="shared" si="58"/>
        <v>142824</v>
      </c>
      <c r="AE29" s="4">
        <f t="shared" si="58"/>
        <v>139739</v>
      </c>
      <c r="AF29" s="4">
        <f t="shared" si="58"/>
        <v>134481</v>
      </c>
      <c r="AG29" s="4">
        <f t="shared" si="58"/>
        <v>156480</v>
      </c>
      <c r="AH29" s="4">
        <f t="shared" si="58"/>
        <v>166373</v>
      </c>
      <c r="AI29" s="4">
        <f t="shared" si="58"/>
        <v>203675</v>
      </c>
      <c r="AJ29" s="4">
        <f t="shared" si="58"/>
        <v>237181</v>
      </c>
      <c r="AK29" s="4">
        <f t="shared" si="58"/>
        <v>280968</v>
      </c>
      <c r="AL29" s="4">
        <f t="shared" si="58"/>
        <v>295487</v>
      </c>
      <c r="AM29" s="4">
        <f t="shared" si="58"/>
        <v>206901.973</v>
      </c>
      <c r="AN29" s="4">
        <f t="shared" si="58"/>
        <v>181764.25400000002</v>
      </c>
      <c r="AO29" s="4">
        <f t="shared" si="58"/>
        <v>210663.75800000003</v>
      </c>
      <c r="AP29" s="4">
        <f t="shared" si="58"/>
        <v>238249</v>
      </c>
      <c r="AQ29" s="4">
        <f t="shared" si="58"/>
        <v>225351.201</v>
      </c>
      <c r="AR29" s="4">
        <f t="shared" si="58"/>
        <v>248935.17700000003</v>
      </c>
      <c r="AS29" s="4">
        <f t="shared" ref="AS29:BF29" si="59">+AS27-AS28</f>
        <v>325080.14300000004</v>
      </c>
      <c r="AT29" s="4">
        <f t="shared" si="59"/>
        <v>344608.12568900012</v>
      </c>
      <c r="AU29" s="4">
        <f t="shared" si="59"/>
        <v>361860.66399999999</v>
      </c>
      <c r="AV29" s="4">
        <f t="shared" si="59"/>
        <v>396930.86899999995</v>
      </c>
      <c r="AW29" s="4">
        <f t="shared" si="59"/>
        <v>451848.31800000009</v>
      </c>
      <c r="AX29" s="4"/>
      <c r="AY29" s="4"/>
      <c r="AZ29" s="4"/>
      <c r="BA29" s="4"/>
      <c r="BB29" s="4"/>
      <c r="BD29" s="4">
        <f t="shared" si="59"/>
        <v>263772</v>
      </c>
      <c r="BE29" s="4">
        <f t="shared" si="59"/>
        <v>285525</v>
      </c>
      <c r="BF29" s="4">
        <f t="shared" si="59"/>
        <v>334338</v>
      </c>
      <c r="BG29" s="4">
        <f t="shared" ref="BG29" si="60">+BG27-BG28</f>
        <v>343147</v>
      </c>
      <c r="BH29" s="4">
        <f t="shared" ref="BH29" si="61">+BH27-BH28</f>
        <v>351184</v>
      </c>
      <c r="BI29" s="4">
        <f t="shared" ref="BI29" si="62">+BI27-BI28</f>
        <v>345344</v>
      </c>
      <c r="BJ29" s="4">
        <f t="shared" ref="BJ29" si="63">+BJ27-BJ28</f>
        <v>518158</v>
      </c>
      <c r="BK29" s="4">
        <f t="shared" ref="BK29" si="64">+BK27-BK28</f>
        <v>597073</v>
      </c>
      <c r="BL29" s="4">
        <f t="shared" ref="BL29" si="65">+BL27-BL28</f>
        <v>1017311</v>
      </c>
      <c r="BM29" s="4">
        <f t="shared" ref="BM29" si="66">+BM27-BM28</f>
        <v>837578.98499999987</v>
      </c>
      <c r="BN29" s="4">
        <f t="shared" ref="BN29" si="67">+BN27-BN28</f>
        <v>1143974.6466890005</v>
      </c>
      <c r="BO29" s="4">
        <f t="shared" ref="BO29" si="68">+BO27-BO28</f>
        <v>1275344.2229751004</v>
      </c>
      <c r="BP29" s="4">
        <f t="shared" ref="BP29" si="69">+BP27-BP28</f>
        <v>1412178.2319851106</v>
      </c>
      <c r="BQ29" s="4">
        <f t="shared" ref="BQ29" si="70">+BQ27-BQ28</f>
        <v>1563160.6212317469</v>
      </c>
      <c r="BR29" s="4">
        <f t="shared" ref="BR29" si="71">+BR27-BR28</f>
        <v>1729729.4777054531</v>
      </c>
      <c r="BS29" s="4">
        <f t="shared" ref="BS29" si="72">+BS27-BS28</f>
        <v>1913467.859544056</v>
      </c>
      <c r="BT29" s="4">
        <f t="shared" ref="BT29" si="73">+BT27-BT28</f>
        <v>2116118.3512699232</v>
      </c>
      <c r="BU29" s="4">
        <f>+BT29*(1+$BW$32)</f>
        <v>2137279.5347826225</v>
      </c>
      <c r="BV29" s="4">
        <f t="shared" ref="BV29:EG29" si="74">+BU29*(1+$BW$32)</f>
        <v>2158652.3301304486</v>
      </c>
      <c r="BW29" s="4">
        <f t="shared" si="74"/>
        <v>2180238.8534317529</v>
      </c>
      <c r="BX29" s="4">
        <f t="shared" si="74"/>
        <v>2202041.2419660706</v>
      </c>
      <c r="BY29" s="4">
        <f t="shared" si="74"/>
        <v>2224061.6543857316</v>
      </c>
      <c r="BZ29" s="4">
        <f t="shared" si="74"/>
        <v>2246302.2709295889</v>
      </c>
      <c r="CA29" s="4">
        <f t="shared" si="74"/>
        <v>2268765.293638885</v>
      </c>
      <c r="CB29" s="4">
        <f t="shared" si="74"/>
        <v>2291452.9465752738</v>
      </c>
      <c r="CC29" s="4">
        <f t="shared" si="74"/>
        <v>2314367.4760410264</v>
      </c>
      <c r="CD29" s="4">
        <f t="shared" si="74"/>
        <v>2337511.1508014365</v>
      </c>
      <c r="CE29" s="4">
        <f t="shared" si="74"/>
        <v>2360886.2623094511</v>
      </c>
      <c r="CF29" s="4">
        <f t="shared" si="74"/>
        <v>2384495.1249325457</v>
      </c>
      <c r="CG29" s="4">
        <f t="shared" si="74"/>
        <v>2408340.0761818714</v>
      </c>
      <c r="CH29" s="4">
        <f t="shared" si="74"/>
        <v>2432423.4769436899</v>
      </c>
      <c r="CI29" s="4">
        <f t="shared" si="74"/>
        <v>2456747.7117131269</v>
      </c>
      <c r="CJ29" s="4">
        <f t="shared" si="74"/>
        <v>2481315.1888302583</v>
      </c>
      <c r="CK29" s="4">
        <f t="shared" si="74"/>
        <v>2506128.3407185609</v>
      </c>
      <c r="CL29" s="4">
        <f t="shared" si="74"/>
        <v>2531189.6241257465</v>
      </c>
      <c r="CM29" s="4">
        <f t="shared" si="74"/>
        <v>2556501.520367004</v>
      </c>
      <c r="CN29" s="4">
        <f t="shared" si="74"/>
        <v>2582066.5355706741</v>
      </c>
      <c r="CO29" s="4">
        <f t="shared" si="74"/>
        <v>2607887.2009263807</v>
      </c>
      <c r="CP29" s="4">
        <f t="shared" si="74"/>
        <v>2633966.0729356445</v>
      </c>
      <c r="CQ29" s="4">
        <f t="shared" si="74"/>
        <v>2660305.7336650011</v>
      </c>
      <c r="CR29" s="4">
        <f t="shared" si="74"/>
        <v>2686908.791001651</v>
      </c>
      <c r="CS29" s="4">
        <f t="shared" si="74"/>
        <v>2713777.8789116675</v>
      </c>
      <c r="CT29" s="4">
        <f t="shared" si="74"/>
        <v>2740915.657700784</v>
      </c>
      <c r="CU29" s="4">
        <f t="shared" si="74"/>
        <v>2768324.8142777919</v>
      </c>
      <c r="CV29" s="4">
        <f t="shared" si="74"/>
        <v>2796008.0624205698</v>
      </c>
      <c r="CW29" s="4">
        <f t="shared" si="74"/>
        <v>2823968.1430447754</v>
      </c>
      <c r="CX29" s="4">
        <f t="shared" si="74"/>
        <v>2852207.8244752232</v>
      </c>
      <c r="CY29" s="4">
        <f t="shared" si="74"/>
        <v>2880729.9027199754</v>
      </c>
      <c r="CZ29" s="4">
        <f t="shared" si="74"/>
        <v>2909537.2017471753</v>
      </c>
      <c r="DA29" s="4">
        <f t="shared" si="74"/>
        <v>2938632.5737646469</v>
      </c>
      <c r="DB29" s="4">
        <f t="shared" si="74"/>
        <v>2968018.8995022932</v>
      </c>
      <c r="DC29" s="4">
        <f t="shared" si="74"/>
        <v>2997699.088497316</v>
      </c>
      <c r="DD29" s="4">
        <f t="shared" si="74"/>
        <v>3027676.0793822892</v>
      </c>
      <c r="DE29" s="4">
        <f t="shared" si="74"/>
        <v>3057952.840176112</v>
      </c>
      <c r="DF29" s="4">
        <f t="shared" si="74"/>
        <v>3088532.3685778733</v>
      </c>
      <c r="DG29" s="4">
        <f t="shared" si="74"/>
        <v>3119417.6922636521</v>
      </c>
      <c r="DH29" s="4">
        <f t="shared" si="74"/>
        <v>3150611.8691862887</v>
      </c>
      <c r="DI29" s="4">
        <f t="shared" si="74"/>
        <v>3182117.9878781517</v>
      </c>
      <c r="DJ29" s="4">
        <f t="shared" si="74"/>
        <v>3213939.1677569333</v>
      </c>
      <c r="DK29" s="4">
        <f t="shared" si="74"/>
        <v>3246078.5594345024</v>
      </c>
      <c r="DL29" s="4">
        <f t="shared" si="74"/>
        <v>3278539.3450288475</v>
      </c>
      <c r="DM29" s="4">
        <f t="shared" si="74"/>
        <v>3311324.738479136</v>
      </c>
      <c r="DN29" s="4">
        <f t="shared" si="74"/>
        <v>3344437.9858639273</v>
      </c>
      <c r="DO29" s="4">
        <f t="shared" si="74"/>
        <v>3377882.3657225664</v>
      </c>
      <c r="DP29" s="4">
        <f t="shared" si="74"/>
        <v>3411661.1893797922</v>
      </c>
      <c r="DQ29" s="4">
        <f t="shared" si="74"/>
        <v>3445777.80127359</v>
      </c>
      <c r="DR29" s="4">
        <f t="shared" si="74"/>
        <v>3480235.5792863257</v>
      </c>
      <c r="DS29" s="4">
        <f t="shared" si="74"/>
        <v>3515037.935079189</v>
      </c>
      <c r="DT29" s="4">
        <f t="shared" si="74"/>
        <v>3550188.3144299812</v>
      </c>
      <c r="DU29" s="4">
        <f t="shared" si="74"/>
        <v>3585690.1975742811</v>
      </c>
      <c r="DV29" s="4">
        <f t="shared" si="74"/>
        <v>3621547.0995500241</v>
      </c>
      <c r="DW29" s="4">
        <f t="shared" si="74"/>
        <v>3657762.5705455244</v>
      </c>
      <c r="DX29" s="4">
        <f t="shared" si="74"/>
        <v>3694340.1962509798</v>
      </c>
      <c r="DY29" s="4">
        <f t="shared" si="74"/>
        <v>3731283.5982134896</v>
      </c>
      <c r="DZ29" s="4">
        <f t="shared" si="74"/>
        <v>3768596.4341956247</v>
      </c>
      <c r="EA29" s="4">
        <f t="shared" si="74"/>
        <v>3806282.3985375809</v>
      </c>
      <c r="EB29" s="4">
        <f t="shared" si="74"/>
        <v>3844345.2225229568</v>
      </c>
      <c r="EC29" s="4">
        <f t="shared" si="74"/>
        <v>3882788.6747481865</v>
      </c>
      <c r="ED29" s="4">
        <f t="shared" si="74"/>
        <v>3921616.5614956683</v>
      </c>
      <c r="EE29" s="4">
        <f t="shared" si="74"/>
        <v>3960832.7271106248</v>
      </c>
      <c r="EF29" s="4">
        <f t="shared" si="74"/>
        <v>4000441.054381731</v>
      </c>
      <c r="EG29" s="4">
        <f t="shared" si="74"/>
        <v>4040445.4649255485</v>
      </c>
      <c r="EH29" s="4">
        <f t="shared" ref="EH29:GS29" si="75">+EG29*(1+$BW$32)</f>
        <v>4080849.9195748041</v>
      </c>
      <c r="EI29" s="4">
        <f t="shared" si="75"/>
        <v>4121658.4187705521</v>
      </c>
      <c r="EJ29" s="4">
        <f t="shared" si="75"/>
        <v>4162875.0029582577</v>
      </c>
      <c r="EK29" s="4">
        <f t="shared" si="75"/>
        <v>4204503.7529878402</v>
      </c>
      <c r="EL29" s="4">
        <f t="shared" si="75"/>
        <v>4246548.7905177185</v>
      </c>
      <c r="EM29" s="4">
        <f t="shared" si="75"/>
        <v>4289014.2784228958</v>
      </c>
      <c r="EN29" s="4">
        <f t="shared" si="75"/>
        <v>4331904.4212071244</v>
      </c>
      <c r="EO29" s="4">
        <f t="shared" si="75"/>
        <v>4375223.4654191956</v>
      </c>
      <c r="EP29" s="4">
        <f t="shared" si="75"/>
        <v>4418975.7000733875</v>
      </c>
      <c r="EQ29" s="4">
        <f t="shared" si="75"/>
        <v>4463165.4570741216</v>
      </c>
      <c r="ER29" s="4">
        <f t="shared" si="75"/>
        <v>4507797.1116448632</v>
      </c>
      <c r="ES29" s="4">
        <f t="shared" si="75"/>
        <v>4552875.0827613119</v>
      </c>
      <c r="ET29" s="4">
        <f t="shared" si="75"/>
        <v>4598403.8335889252</v>
      </c>
      <c r="EU29" s="4">
        <f t="shared" si="75"/>
        <v>4644387.8719248148</v>
      </c>
      <c r="EV29" s="4">
        <f t="shared" si="75"/>
        <v>4690831.7506440626</v>
      </c>
      <c r="EW29" s="4">
        <f t="shared" si="75"/>
        <v>4737740.0681505036</v>
      </c>
      <c r="EX29" s="4">
        <f t="shared" si="75"/>
        <v>4785117.4688320085</v>
      </c>
      <c r="EY29" s="4">
        <f t="shared" si="75"/>
        <v>4832968.6435203282</v>
      </c>
      <c r="EZ29" s="4">
        <f t="shared" si="75"/>
        <v>4881298.3299555313</v>
      </c>
      <c r="FA29" s="4">
        <f t="shared" si="75"/>
        <v>4930111.3132550865</v>
      </c>
      <c r="FB29" s="4">
        <f t="shared" si="75"/>
        <v>4979412.4263876379</v>
      </c>
      <c r="FC29" s="4">
        <f t="shared" si="75"/>
        <v>5029206.550651514</v>
      </c>
      <c r="FD29" s="4">
        <f t="shared" si="75"/>
        <v>5079498.6161580291</v>
      </c>
      <c r="FE29" s="4">
        <f t="shared" si="75"/>
        <v>5130293.6023196094</v>
      </c>
      <c r="FF29" s="4">
        <f t="shared" si="75"/>
        <v>5181596.5383428056</v>
      </c>
      <c r="FG29" s="4">
        <f t="shared" si="75"/>
        <v>5233412.5037262337</v>
      </c>
      <c r="FH29" s="4">
        <f t="shared" si="75"/>
        <v>5285746.6287634959</v>
      </c>
      <c r="FI29" s="4">
        <f t="shared" si="75"/>
        <v>5338604.0950511312</v>
      </c>
      <c r="FJ29" s="4">
        <f t="shared" si="75"/>
        <v>5391990.1360016428</v>
      </c>
      <c r="FK29" s="4">
        <f t="shared" si="75"/>
        <v>5445910.0373616591</v>
      </c>
      <c r="FL29" s="4">
        <f t="shared" si="75"/>
        <v>5500369.1377352756</v>
      </c>
      <c r="FM29" s="4">
        <f t="shared" si="75"/>
        <v>5555372.8291126285</v>
      </c>
      <c r="FN29" s="4">
        <f t="shared" si="75"/>
        <v>5610926.5574037544</v>
      </c>
      <c r="FO29" s="4">
        <f t="shared" si="75"/>
        <v>5667035.8229777925</v>
      </c>
      <c r="FP29" s="4">
        <f t="shared" si="75"/>
        <v>5723706.1812075702</v>
      </c>
      <c r="FQ29" s="4">
        <f t="shared" si="75"/>
        <v>5780943.243019646</v>
      </c>
      <c r="FR29" s="4">
        <f t="shared" si="75"/>
        <v>5838752.6754498426</v>
      </c>
      <c r="FS29" s="4">
        <f t="shared" si="75"/>
        <v>5897140.2022043411</v>
      </c>
      <c r="FT29" s="4">
        <f t="shared" si="75"/>
        <v>5956111.6042263843</v>
      </c>
      <c r="FU29" s="4">
        <f t="shared" si="75"/>
        <v>6015672.7202686481</v>
      </c>
      <c r="FV29" s="4">
        <f t="shared" si="75"/>
        <v>6075829.4474713346</v>
      </c>
      <c r="FW29" s="4">
        <f t="shared" si="75"/>
        <v>6136587.7419460481</v>
      </c>
      <c r="FX29" s="4">
        <f t="shared" si="75"/>
        <v>6197953.6193655087</v>
      </c>
      <c r="FY29" s="4">
        <f t="shared" si="75"/>
        <v>6259933.1555591635</v>
      </c>
      <c r="FZ29" s="4">
        <f t="shared" si="75"/>
        <v>6322532.4871147554</v>
      </c>
      <c r="GA29" s="4">
        <f t="shared" si="75"/>
        <v>6385757.8119859034</v>
      </c>
      <c r="GB29" s="4">
        <f t="shared" si="75"/>
        <v>6449615.3901057625</v>
      </c>
      <c r="GC29" s="4">
        <f t="shared" si="75"/>
        <v>6514111.5440068198</v>
      </c>
      <c r="GD29" s="4">
        <f t="shared" si="75"/>
        <v>6579252.6594468877</v>
      </c>
      <c r="GE29" s="4">
        <f t="shared" si="75"/>
        <v>6645045.186041357</v>
      </c>
      <c r="GF29" s="4">
        <f t="shared" si="75"/>
        <v>6711495.6379017709</v>
      </c>
      <c r="GG29" s="4">
        <f t="shared" si="75"/>
        <v>6778610.5942807887</v>
      </c>
      <c r="GH29" s="4">
        <f t="shared" si="75"/>
        <v>6846396.7002235968</v>
      </c>
      <c r="GI29" s="4">
        <f t="shared" si="75"/>
        <v>6914860.6672258331</v>
      </c>
      <c r="GJ29" s="4">
        <f t="shared" si="75"/>
        <v>6984009.2738980912</v>
      </c>
      <c r="GK29" s="4">
        <f t="shared" si="75"/>
        <v>7053849.3666370725</v>
      </c>
      <c r="GL29" s="4">
        <f t="shared" si="75"/>
        <v>7124387.8603034429</v>
      </c>
      <c r="GM29" s="4">
        <f t="shared" si="75"/>
        <v>7195631.7389064776</v>
      </c>
      <c r="GN29" s="4">
        <f t="shared" si="75"/>
        <v>7267588.056295542</v>
      </c>
      <c r="GO29" s="4">
        <f t="shared" si="75"/>
        <v>7340263.9368584976</v>
      </c>
      <c r="GP29" s="4">
        <f t="shared" si="75"/>
        <v>7413666.5762270829</v>
      </c>
      <c r="GQ29" s="4">
        <f t="shared" si="75"/>
        <v>7487803.2419893537</v>
      </c>
      <c r="GR29" s="4">
        <f t="shared" si="75"/>
        <v>7562681.2744092476</v>
      </c>
      <c r="GS29" s="4">
        <f t="shared" si="75"/>
        <v>7638308.0871533398</v>
      </c>
      <c r="GT29" s="4">
        <f t="shared" ref="GT29:IE29" si="76">+GS29*(1+$BW$32)</f>
        <v>7714691.1680248734</v>
      </c>
      <c r="GU29" s="4">
        <f t="shared" si="76"/>
        <v>7791838.0797051219</v>
      </c>
      <c r="GV29" s="4">
        <f t="shared" si="76"/>
        <v>7869756.4605021728</v>
      </c>
      <c r="GW29" s="4">
        <f t="shared" si="76"/>
        <v>7948454.0251071947</v>
      </c>
      <c r="GX29" s="4">
        <f t="shared" si="76"/>
        <v>8027938.5653582662</v>
      </c>
      <c r="GY29" s="4">
        <f t="shared" si="76"/>
        <v>8108217.9510118486</v>
      </c>
      <c r="GZ29" s="4">
        <f t="shared" si="76"/>
        <v>8189300.1305219671</v>
      </c>
      <c r="HA29" s="4">
        <f t="shared" si="76"/>
        <v>8271193.1318271868</v>
      </c>
      <c r="HB29" s="4">
        <f t="shared" si="76"/>
        <v>8353905.0631454587</v>
      </c>
      <c r="HC29" s="4">
        <f t="shared" si="76"/>
        <v>8437444.1137769129</v>
      </c>
      <c r="HD29" s="4">
        <f t="shared" si="76"/>
        <v>8521818.5549146812</v>
      </c>
      <c r="HE29" s="4">
        <f t="shared" si="76"/>
        <v>8607036.7404638287</v>
      </c>
      <c r="HF29" s="4">
        <f t="shared" si="76"/>
        <v>8693107.1078684665</v>
      </c>
      <c r="HG29" s="4">
        <f t="shared" si="76"/>
        <v>8780038.1789471507</v>
      </c>
      <c r="HH29" s="4">
        <f t="shared" si="76"/>
        <v>8867838.5607366227</v>
      </c>
      <c r="HI29" s="4">
        <f t="shared" si="76"/>
        <v>8956516.9463439882</v>
      </c>
      <c r="HJ29" s="4">
        <f t="shared" si="76"/>
        <v>9046082.115807429</v>
      </c>
      <c r="HK29" s="4">
        <f t="shared" si="76"/>
        <v>9136542.9369655028</v>
      </c>
      <c r="HL29" s="4">
        <f t="shared" si="76"/>
        <v>9227908.3663351573</v>
      </c>
      <c r="HM29" s="4">
        <f t="shared" si="76"/>
        <v>9320187.4499985091</v>
      </c>
      <c r="HN29" s="4">
        <f t="shared" si="76"/>
        <v>9413389.3244984951</v>
      </c>
      <c r="HO29" s="4">
        <f t="shared" si="76"/>
        <v>9507523.2177434806</v>
      </c>
      <c r="HP29" s="4">
        <f t="shared" si="76"/>
        <v>9602598.4499209151</v>
      </c>
      <c r="HQ29" s="4">
        <f t="shared" si="76"/>
        <v>9698624.4344201237</v>
      </c>
      <c r="HR29" s="4">
        <f t="shared" si="76"/>
        <v>9795610.6787643246</v>
      </c>
      <c r="HS29" s="4">
        <f t="shared" si="76"/>
        <v>9893566.7855519671</v>
      </c>
      <c r="HT29" s="4">
        <f t="shared" si="76"/>
        <v>9992502.4534074869</v>
      </c>
      <c r="HU29" s="4">
        <f t="shared" si="76"/>
        <v>10092427.477941561</v>
      </c>
      <c r="HV29" s="4">
        <f t="shared" si="76"/>
        <v>10193351.752720978</v>
      </c>
      <c r="HW29" s="4">
        <f t="shared" si="76"/>
        <v>10295285.270248188</v>
      </c>
      <c r="HX29" s="4">
        <f t="shared" si="76"/>
        <v>10398238.122950669</v>
      </c>
      <c r="HY29" s="4">
        <f t="shared" si="76"/>
        <v>10502220.504180176</v>
      </c>
      <c r="HZ29" s="4">
        <f t="shared" si="76"/>
        <v>10607242.709221978</v>
      </c>
      <c r="IA29" s="4">
        <f t="shared" si="76"/>
        <v>10713315.136314198</v>
      </c>
      <c r="IB29" s="4">
        <f t="shared" si="76"/>
        <v>10820448.28767734</v>
      </c>
      <c r="IC29" s="4">
        <f t="shared" si="76"/>
        <v>10928652.770554114</v>
      </c>
      <c r="ID29" s="4">
        <f t="shared" si="76"/>
        <v>11037939.298259655</v>
      </c>
      <c r="IE29" s="4">
        <f t="shared" si="76"/>
        <v>11148318.691242252</v>
      </c>
    </row>
    <row r="30" spans="2:239" x14ac:dyDescent="0.25">
      <c r="B30" t="s">
        <v>29</v>
      </c>
      <c r="C30" s="5">
        <f t="shared" ref="C30:R30" si="77">+C29/C31</f>
        <v>1.8450443501735441</v>
      </c>
      <c r="D30" s="5">
        <f t="shared" si="77"/>
        <v>2.3008098727342845</v>
      </c>
      <c r="E30" s="5">
        <f t="shared" si="77"/>
        <v>2.9426918627072887</v>
      </c>
      <c r="F30" s="5">
        <f t="shared" si="77"/>
        <v>3.0839182414192057</v>
      </c>
      <c r="G30" s="5">
        <f t="shared" si="77"/>
        <v>3.045929582353168</v>
      </c>
      <c r="H30" s="5">
        <f t="shared" si="77"/>
        <v>2.251523332047821</v>
      </c>
      <c r="I30" s="5">
        <f t="shared" si="77"/>
        <v>2.9046278441959119</v>
      </c>
      <c r="J30" s="5">
        <f t="shared" si="77"/>
        <v>2.8091785576552257</v>
      </c>
      <c r="K30" s="5">
        <f t="shared" si="77"/>
        <v>2.4987659082144233</v>
      </c>
      <c r="L30" s="5">
        <f t="shared" si="77"/>
        <v>2.7970690320092557</v>
      </c>
      <c r="M30" s="5">
        <f t="shared" si="77"/>
        <v>3.7327034323177788</v>
      </c>
      <c r="N30" s="5">
        <f t="shared" si="77"/>
        <v>3.865329733898959</v>
      </c>
      <c r="O30" s="5">
        <f t="shared" si="77"/>
        <v>3.3791361357500964</v>
      </c>
      <c r="P30" s="5">
        <f t="shared" si="77"/>
        <v>2.5557655225607405</v>
      </c>
      <c r="Q30" s="5">
        <f t="shared" si="77"/>
        <v>3.4689163131507907</v>
      </c>
      <c r="R30" s="5">
        <f t="shared" si="77"/>
        <v>3.8297724643270343</v>
      </c>
      <c r="S30" s="5">
        <f t="shared" ref="S30" si="78">+S29/S31</f>
        <v>3.4627072888546087</v>
      </c>
      <c r="T30" s="5">
        <f t="shared" ref="T30:AW30" si="79">+T29/T31</f>
        <v>2.7880061704589281</v>
      </c>
      <c r="U30" s="5">
        <f t="shared" si="79"/>
        <v>3.4360971847281143</v>
      </c>
      <c r="V30" s="5">
        <f t="shared" si="79"/>
        <v>3.8567296567682221</v>
      </c>
      <c r="W30" s="5">
        <f t="shared" si="79"/>
        <v>2.3674122637871191</v>
      </c>
      <c r="X30" s="5">
        <f t="shared" si="79"/>
        <v>2.5752410335518703</v>
      </c>
      <c r="Y30" s="5">
        <f t="shared" si="79"/>
        <v>3.8990744311608174</v>
      </c>
      <c r="Z30" s="5">
        <f t="shared" si="79"/>
        <v>4.4765908214423451</v>
      </c>
      <c r="AA30" s="5">
        <f t="shared" si="79"/>
        <v>4.5145777092171233</v>
      </c>
      <c r="AB30" s="5">
        <f t="shared" si="79"/>
        <v>4.6622445044350176</v>
      </c>
      <c r="AC30" s="5">
        <f t="shared" si="79"/>
        <v>5.2980717315850363</v>
      </c>
      <c r="AD30" s="5">
        <f t="shared" si="79"/>
        <v>5.5080601619745471</v>
      </c>
      <c r="AE30" s="5">
        <f t="shared" si="79"/>
        <v>5.3890860007713073</v>
      </c>
      <c r="AF30" s="5">
        <f t="shared" si="79"/>
        <v>5.1863092942537605</v>
      </c>
      <c r="AG30" s="5">
        <f t="shared" si="79"/>
        <v>6.0347088314693407</v>
      </c>
      <c r="AH30" s="5">
        <f t="shared" si="79"/>
        <v>6.4162360200539919</v>
      </c>
      <c r="AI30" s="5">
        <f t="shared" si="79"/>
        <v>7.854801388353259</v>
      </c>
      <c r="AJ30" s="5">
        <f t="shared" si="79"/>
        <v>9.1473253885610699</v>
      </c>
      <c r="AK30" s="5">
        <f t="shared" si="79"/>
        <v>10.836052296656254</v>
      </c>
      <c r="AL30" s="5">
        <f t="shared" si="79"/>
        <v>11.396004473755255</v>
      </c>
      <c r="AM30" s="5">
        <f t="shared" si="79"/>
        <v>7.9795585252034398</v>
      </c>
      <c r="AN30" s="5">
        <f t="shared" si="79"/>
        <v>7.0100757453044862</v>
      </c>
      <c r="AO30" s="5">
        <f t="shared" si="79"/>
        <v>8.1246387442631818</v>
      </c>
      <c r="AP30" s="5">
        <f t="shared" si="79"/>
        <v>9.1885147903891404</v>
      </c>
      <c r="AQ30" s="5">
        <f t="shared" si="79"/>
        <v>8.6907520632472046</v>
      </c>
      <c r="AR30" s="5">
        <f t="shared" si="79"/>
        <v>9.599906559716171</v>
      </c>
      <c r="AS30" s="5">
        <f t="shared" si="79"/>
        <v>12.537802491514967</v>
      </c>
      <c r="AT30" s="5">
        <f t="shared" si="79"/>
        <v>13.290964427992908</v>
      </c>
      <c r="AU30" s="5">
        <f t="shared" si="79"/>
        <v>13.955827991823826</v>
      </c>
      <c r="AV30" s="5">
        <f t="shared" si="79"/>
        <v>15.308375525473407</v>
      </c>
      <c r="AW30" s="5">
        <f t="shared" si="79"/>
        <v>17.425696799074434</v>
      </c>
      <c r="AX30" s="5"/>
      <c r="AY30" s="5"/>
      <c r="AZ30" s="5"/>
      <c r="BA30" s="5"/>
      <c r="BB30" s="5"/>
      <c r="BD30" s="5">
        <f t="shared" ref="BD30" si="80">+BD29/BD31</f>
        <v>10.172464327034323</v>
      </c>
      <c r="BE30" s="5">
        <f t="shared" ref="BE30" si="81">+BE29/BE31</f>
        <v>11.011270620221556</v>
      </c>
      <c r="BF30" s="5">
        <f t="shared" ref="BF30" si="82">+BF29/BF31</f>
        <v>12.893868106440417</v>
      </c>
      <c r="BG30" s="5">
        <f t="shared" ref="BG30:BN30" si="83">+BG29/BG31</f>
        <v>13.233590435788662</v>
      </c>
      <c r="BH30" s="5">
        <f t="shared" si="83"/>
        <v>13.543540300809873</v>
      </c>
      <c r="BI30" s="5">
        <f t="shared" si="83"/>
        <v>13.318318549942152</v>
      </c>
      <c r="BJ30" s="5">
        <f t="shared" si="83"/>
        <v>19.982954107211725</v>
      </c>
      <c r="BK30" s="5">
        <f t="shared" si="83"/>
        <v>23.026340146548399</v>
      </c>
      <c r="BL30" s="5">
        <f t="shared" si="83"/>
        <v>39.234108198270292</v>
      </c>
      <c r="BM30" s="5">
        <f t="shared" si="83"/>
        <v>32.302787805160243</v>
      </c>
      <c r="BN30" s="5">
        <f t="shared" si="83"/>
        <v>44.11907967600299</v>
      </c>
      <c r="BO30" s="5">
        <f t="shared" ref="BO30" si="84">+BO29/BO31</f>
        <v>49.185542311293247</v>
      </c>
      <c r="BP30" s="5">
        <f t="shared" ref="BP30" si="85">+BP29/BP31</f>
        <v>54.462748902691381</v>
      </c>
      <c r="BQ30" s="5">
        <f t="shared" ref="BQ30" si="86">+BQ29/BQ31</f>
        <v>60.285608771242778</v>
      </c>
      <c r="BR30" s="5">
        <f t="shared" ref="BR30" si="87">+BR29/BR31</f>
        <v>66.709583875563425</v>
      </c>
      <c r="BS30" s="5">
        <f t="shared" ref="BS30" si="88">+BS29/BS31</f>
        <v>73.795727201675945</v>
      </c>
      <c r="BT30" s="5">
        <f t="shared" ref="BT30" si="89">+BT29/BT31</f>
        <v>81.611244107327565</v>
      </c>
    </row>
    <row r="31" spans="2:239" x14ac:dyDescent="0.25">
      <c r="B31" t="s">
        <v>28</v>
      </c>
      <c r="C31" s="4">
        <v>25930</v>
      </c>
      <c r="D31" s="4">
        <v>25930</v>
      </c>
      <c r="E31" s="4">
        <v>25930</v>
      </c>
      <c r="F31" s="4">
        <v>25930</v>
      </c>
      <c r="G31" s="4">
        <v>25931</v>
      </c>
      <c r="H31" s="4">
        <v>25930</v>
      </c>
      <c r="I31" s="4">
        <v>25930</v>
      </c>
      <c r="J31" s="4">
        <v>25930</v>
      </c>
      <c r="K31" s="4">
        <v>25930</v>
      </c>
      <c r="L31" s="4">
        <v>25930</v>
      </c>
      <c r="M31" s="4">
        <v>25930</v>
      </c>
      <c r="N31" s="4">
        <v>25930</v>
      </c>
      <c r="O31" s="4">
        <v>25930</v>
      </c>
      <c r="P31" s="4">
        <v>25930</v>
      </c>
      <c r="Q31" s="4">
        <v>25930</v>
      </c>
      <c r="R31" s="4">
        <v>25930</v>
      </c>
      <c r="S31" s="4">
        <v>25930</v>
      </c>
      <c r="T31" s="4">
        <v>25930</v>
      </c>
      <c r="U31" s="4">
        <v>25930</v>
      </c>
      <c r="V31" s="4">
        <v>25930</v>
      </c>
      <c r="W31" s="4">
        <v>25930</v>
      </c>
      <c r="X31" s="4">
        <v>25930</v>
      </c>
      <c r="Y31" s="4">
        <v>25930</v>
      </c>
      <c r="Z31" s="4">
        <v>25930</v>
      </c>
      <c r="AA31" s="4">
        <v>25930</v>
      </c>
      <c r="AB31" s="4">
        <v>25930</v>
      </c>
      <c r="AC31" s="4">
        <v>25930</v>
      </c>
      <c r="AD31" s="4">
        <v>25930</v>
      </c>
      <c r="AE31" s="4">
        <v>25930</v>
      </c>
      <c r="AF31" s="4">
        <v>25930</v>
      </c>
      <c r="AG31" s="4">
        <v>25930</v>
      </c>
      <c r="AH31" s="4">
        <v>25930</v>
      </c>
      <c r="AI31" s="4">
        <v>25930</v>
      </c>
      <c r="AJ31" s="4">
        <v>25929</v>
      </c>
      <c r="AK31" s="4">
        <v>25929</v>
      </c>
      <c r="AL31" s="4">
        <v>25929</v>
      </c>
      <c r="AM31" s="4">
        <v>25929</v>
      </c>
      <c r="AN31" s="4">
        <v>25929</v>
      </c>
      <c r="AO31" s="4">
        <v>25929</v>
      </c>
      <c r="AP31" s="4">
        <v>25929</v>
      </c>
      <c r="AQ31" s="4">
        <v>25930</v>
      </c>
      <c r="AR31" s="4">
        <v>25931</v>
      </c>
      <c r="AS31" s="4">
        <v>25928</v>
      </c>
      <c r="AT31" s="4">
        <f>+AS31</f>
        <v>25928</v>
      </c>
      <c r="AU31" s="4">
        <v>25929</v>
      </c>
      <c r="AV31" s="4">
        <v>25929</v>
      </c>
      <c r="AW31" s="4">
        <v>25930</v>
      </c>
      <c r="AX31" s="4"/>
      <c r="AY31" s="4"/>
      <c r="AZ31" s="4"/>
      <c r="BA31" s="4"/>
      <c r="BB31" s="4"/>
      <c r="BD31" s="2">
        <f>AVERAGE(C31:F31)</f>
        <v>25930</v>
      </c>
      <c r="BE31" s="2">
        <f>AVERAGE(G31:J31)</f>
        <v>25930.25</v>
      </c>
      <c r="BF31" s="2">
        <f>AVERAGE(K31:N31)</f>
        <v>25930</v>
      </c>
      <c r="BG31" s="2">
        <f>AVERAGE(O31:R31)</f>
        <v>25930</v>
      </c>
      <c r="BH31" s="2">
        <f>AVERAGE(S31:V31)</f>
        <v>25930</v>
      </c>
      <c r="BI31" s="2">
        <f>AVERAGE(W31:Z31)</f>
        <v>25930</v>
      </c>
      <c r="BJ31" s="2">
        <f>AVERAGE(AA31:AD31)</f>
        <v>25930</v>
      </c>
      <c r="BK31" s="2">
        <f>AVERAGE(AE31:AH31)</f>
        <v>25930</v>
      </c>
      <c r="BL31" s="2">
        <f>AVERAGE(AI31:AL31)</f>
        <v>25929.25</v>
      </c>
      <c r="BM31" s="2">
        <f>AVERAGE(AM31:AP31)</f>
        <v>25929</v>
      </c>
      <c r="BN31" s="2">
        <f>AVERAGE(AQ31:AT31)</f>
        <v>25929.25</v>
      </c>
      <c r="BO31" s="2">
        <f>+BN31</f>
        <v>25929.25</v>
      </c>
      <c r="BP31" s="2">
        <f>+BO31</f>
        <v>25929.25</v>
      </c>
      <c r="BQ31" s="2">
        <f t="shared" ref="BQ31:BT31" si="90">+BP31</f>
        <v>25929.25</v>
      </c>
      <c r="BR31" s="2">
        <f t="shared" si="90"/>
        <v>25929.25</v>
      </c>
      <c r="BS31" s="2">
        <f t="shared" si="90"/>
        <v>25929.25</v>
      </c>
      <c r="BT31" s="2">
        <f t="shared" si="90"/>
        <v>25929.25</v>
      </c>
      <c r="BU31" s="2"/>
      <c r="BV31" s="2"/>
      <c r="BW31" s="2"/>
    </row>
    <row r="32" spans="2:239" x14ac:dyDescent="0.25">
      <c r="BV32" t="s">
        <v>70</v>
      </c>
      <c r="BW32" s="13">
        <v>0.01</v>
      </c>
    </row>
    <row r="33" spans="2:75" s="7" customFormat="1" ht="13" x14ac:dyDescent="0.3">
      <c r="B33" s="7" t="s">
        <v>31</v>
      </c>
      <c r="C33" s="8"/>
      <c r="D33" s="8"/>
      <c r="E33" s="8"/>
      <c r="F33" s="8"/>
      <c r="G33" s="10">
        <f t="shared" ref="G33" si="91">G19/C19-1</f>
        <v>0.49805350335661025</v>
      </c>
      <c r="H33" s="10">
        <f t="shared" ref="H33" si="92">H19/D19-1</f>
        <v>0.12249414001671943</v>
      </c>
      <c r="I33" s="10">
        <f t="shared" ref="I33" si="93">I19/E19-1</f>
        <v>1.6532009241852386E-2</v>
      </c>
      <c r="J33" s="10">
        <f t="shared" ref="J33" si="94">J19/F19-1</f>
        <v>-8.5398681472759863E-2</v>
      </c>
      <c r="K33" s="10">
        <f t="shared" ref="K33" si="95">K19/G19-1</f>
        <v>-8.3496221299440676E-2</v>
      </c>
      <c r="L33" s="10">
        <f t="shared" ref="L33" si="96">L19/H19-1</f>
        <v>7.9682632398753839E-2</v>
      </c>
      <c r="M33" s="10">
        <f t="shared" ref="M33" si="97">M19/I19-1</f>
        <v>0.22541116679607542</v>
      </c>
      <c r="N33" s="10">
        <f t="shared" ref="N33" si="98">N19/J19-1</f>
        <v>0.28847079865171632</v>
      </c>
      <c r="O33" s="10">
        <f t="shared" ref="O33" si="99">O19/K19-1</f>
        <v>0.14948278827489614</v>
      </c>
      <c r="P33" s="10">
        <f t="shared" ref="P33" si="100">P19/L19-1</f>
        <v>-3.5859519408502738E-2</v>
      </c>
      <c r="Q33" s="10">
        <f t="shared" ref="Q33" si="101">Q19/M19-1</f>
        <v>-3.1869465373301709E-2</v>
      </c>
      <c r="R33" s="10">
        <f t="shared" ref="R33" si="102">R19/N19-1</f>
        <v>5.8510374599106907E-2</v>
      </c>
      <c r="S33" s="10">
        <f t="shared" ref="S33" si="103">S19/O19-1</f>
        <v>6.0556443821233374E-2</v>
      </c>
      <c r="T33" s="10">
        <f t="shared" ref="T33:AK33" si="104">T19/P19-1</f>
        <v>9.0808768517133043E-2</v>
      </c>
      <c r="U33" s="10">
        <f t="shared" si="104"/>
        <v>3.2688501310951246E-2</v>
      </c>
      <c r="V33" s="10">
        <f t="shared" si="104"/>
        <v>4.3956479446626062E-2</v>
      </c>
      <c r="W33" s="10">
        <f t="shared" si="104"/>
        <v>-0.11840986137480403</v>
      </c>
      <c r="X33" s="10">
        <f t="shared" si="104"/>
        <v>3.3106706219242499E-2</v>
      </c>
      <c r="Y33" s="10">
        <f t="shared" si="104"/>
        <v>0.12558959546453208</v>
      </c>
      <c r="Z33" s="10">
        <f t="shared" si="104"/>
        <v>9.4785192445068667E-2</v>
      </c>
      <c r="AA33" s="10">
        <f t="shared" si="104"/>
        <v>0.42017064159777595</v>
      </c>
      <c r="AB33" s="10">
        <f t="shared" si="104"/>
        <v>0.28921281831044943</v>
      </c>
      <c r="AC33" s="10">
        <f t="shared" si="104"/>
        <v>0.21628418843522335</v>
      </c>
      <c r="AD33" s="10">
        <f t="shared" si="104"/>
        <v>0.13963062316186314</v>
      </c>
      <c r="AE33" s="10">
        <f t="shared" si="104"/>
        <v>0.166817451552977</v>
      </c>
      <c r="AF33" s="10">
        <f t="shared" si="104"/>
        <v>0.19776697060499071</v>
      </c>
      <c r="AG33" s="10">
        <f t="shared" si="104"/>
        <v>0.16341400459001298</v>
      </c>
      <c r="AH33" s="10">
        <f t="shared" si="104"/>
        <v>0.21203043705553859</v>
      </c>
      <c r="AI33" s="10">
        <f t="shared" si="104"/>
        <v>0.35502883474517821</v>
      </c>
      <c r="AJ33" s="10">
        <f t="shared" si="104"/>
        <v>0.43530344355022899</v>
      </c>
      <c r="AK33" s="10">
        <f t="shared" si="104"/>
        <v>0.47862281181949062</v>
      </c>
      <c r="AL33" s="10">
        <f t="shared" ref="AL33:AO33" si="105">AL19/AH19-1</f>
        <v>0.4275392581739843</v>
      </c>
      <c r="AM33" s="10">
        <f>AM19/AI19-1</f>
        <v>3.5752048562747829E-2</v>
      </c>
      <c r="AN33" s="10">
        <f>AN19/AJ19-1</f>
        <v>-9.9785910461844263E-2</v>
      </c>
      <c r="AO33" s="10">
        <f>AO19/AK19-1</f>
        <v>-0.10830972596886201</v>
      </c>
      <c r="AP33" s="10">
        <f>AP19/AL19-1</f>
        <v>-4.7959177148504395E-6</v>
      </c>
      <c r="AQ33" s="10">
        <f>AQ19/AM19-1</f>
        <v>0.16517062884163436</v>
      </c>
      <c r="AR33" s="10">
        <f>AR19/AN19-1</f>
        <v>0.40069133294457293</v>
      </c>
      <c r="AS33" s="10">
        <f>AS19/AO19-1</f>
        <v>0.38951275899220938</v>
      </c>
      <c r="AT33" s="10">
        <f>AT19/AP19-1</f>
        <v>0.38836277454762347</v>
      </c>
      <c r="AU33" s="10">
        <f>AU19/AQ19-1</f>
        <v>0.41611722950107799</v>
      </c>
      <c r="AV33" s="10">
        <f>AV19/AR19-1</f>
        <v>0.38645546999655789</v>
      </c>
      <c r="AW33" s="10">
        <f>AW19/AS19-1</f>
        <v>0.30305193639471417</v>
      </c>
      <c r="AX33" s="10">
        <f>AX19/AT19-1</f>
        <v>0.20453331421108123</v>
      </c>
      <c r="AY33" s="10">
        <f>AY19/AU19-1</f>
        <v>0.35132378760755656</v>
      </c>
      <c r="AZ33" s="10">
        <f>AZ19/AV19-1</f>
        <v>0.36045332174551192</v>
      </c>
      <c r="BA33" s="10"/>
      <c r="BB33" s="10"/>
      <c r="BE33" s="12">
        <f t="shared" ref="BE33:BG33" si="106">+BE19/BD19-1</f>
        <v>0.10578181084050198</v>
      </c>
      <c r="BF33" s="12">
        <f t="shared" si="106"/>
        <v>0.12381905329835208</v>
      </c>
      <c r="BG33" s="12">
        <f t="shared" si="106"/>
        <v>3.112967303768821E-2</v>
      </c>
      <c r="BH33" s="12">
        <f t="shared" ref="BH33:BN33" si="107">+BH19/BG19-1</f>
        <v>5.5273585166254469E-2</v>
      </c>
      <c r="BI33" s="12">
        <f t="shared" si="107"/>
        <v>3.7335890192093935E-2</v>
      </c>
      <c r="BJ33" s="12">
        <f t="shared" si="107"/>
        <v>0.25165773351962883</v>
      </c>
      <c r="BK33" s="12">
        <f t="shared" si="107"/>
        <v>0.18529704947900139</v>
      </c>
      <c r="BL33" s="12">
        <f t="shared" si="107"/>
        <v>0.42614943162311048</v>
      </c>
      <c r="BM33" s="12">
        <f t="shared" si="107"/>
        <v>-4.5123645528870493E-2</v>
      </c>
      <c r="BN33" s="12">
        <f t="shared" si="107"/>
        <v>0.33888121356318202</v>
      </c>
      <c r="BO33" s="12">
        <f t="shared" ref="BO33:BT33" si="108">+BO19/BN19-1</f>
        <v>0.10000000000000009</v>
      </c>
      <c r="BP33" s="12">
        <f t="shared" si="108"/>
        <v>0.10000000000000009</v>
      </c>
      <c r="BQ33" s="12">
        <f t="shared" si="108"/>
        <v>0.10000000000000009</v>
      </c>
      <c r="BR33" s="12">
        <f t="shared" si="108"/>
        <v>0.10000000000000009</v>
      </c>
      <c r="BS33" s="12">
        <f t="shared" si="108"/>
        <v>0.10000000000000009</v>
      </c>
      <c r="BT33" s="12">
        <f t="shared" si="108"/>
        <v>0.10000000000000009</v>
      </c>
      <c r="BV33" s="7" t="s">
        <v>68</v>
      </c>
      <c r="BW33" s="12">
        <v>7.0000000000000007E-2</v>
      </c>
    </row>
    <row r="34" spans="2:75" x14ac:dyDescent="0.25">
      <c r="B34" t="s">
        <v>30</v>
      </c>
      <c r="C34" s="6">
        <f t="shared" ref="C34:E34" si="109">C21/C19</f>
        <v>0.47496542185338864</v>
      </c>
      <c r="D34" s="6">
        <f t="shared" si="109"/>
        <v>0.49826522639478532</v>
      </c>
      <c r="E34" s="6">
        <f t="shared" si="109"/>
        <v>0.50503948834962142</v>
      </c>
      <c r="F34" s="6">
        <f t="shared" ref="F34:G34" si="110">F21/F19</f>
        <v>0.49685198250951595</v>
      </c>
      <c r="G34" s="6">
        <f t="shared" si="110"/>
        <v>0.49284794220704936</v>
      </c>
      <c r="H34" s="6">
        <f t="shared" ref="H34:I34" si="111">H21/H19</f>
        <v>0.48532418224299068</v>
      </c>
      <c r="I34" s="6">
        <f t="shared" si="111"/>
        <v>0.48156984541540199</v>
      </c>
      <c r="J34" s="6">
        <f t="shared" ref="J34:K34" si="112">J21/J19</f>
        <v>0.48607494177419197</v>
      </c>
      <c r="K34" s="6">
        <f t="shared" si="112"/>
        <v>0.44884640900267819</v>
      </c>
      <c r="L34" s="6">
        <f t="shared" ref="L34:M34" si="113">L21/L19</f>
        <v>0.51545917677291375</v>
      </c>
      <c r="M34" s="6">
        <f t="shared" si="113"/>
        <v>0.50709661067717338</v>
      </c>
      <c r="N34" s="6">
        <f t="shared" ref="N34:O34" si="114">N21/N19</f>
        <v>0.52286377832946263</v>
      </c>
      <c r="O34" s="6">
        <f t="shared" si="114"/>
        <v>0.51937891703788575</v>
      </c>
      <c r="P34" s="6">
        <f t="shared" ref="P34:Q34" si="115">P21/P19</f>
        <v>0.50832335777345505</v>
      </c>
      <c r="Q34" s="6">
        <f t="shared" si="115"/>
        <v>0.49931180014834969</v>
      </c>
      <c r="R34" s="6">
        <f t="shared" ref="R34:S34" si="116">R21/R19</f>
        <v>0.49986670029181829</v>
      </c>
      <c r="S34" s="6">
        <f t="shared" si="116"/>
        <v>0.50329935222247757</v>
      </c>
      <c r="T34" s="6">
        <f t="shared" ref="T34:AA34" si="117">T21/T19</f>
        <v>0.4781031910698057</v>
      </c>
      <c r="U34" s="6">
        <f t="shared" si="117"/>
        <v>0.47385422588228066</v>
      </c>
      <c r="V34" s="6">
        <f t="shared" si="117"/>
        <v>0.47664880198501575</v>
      </c>
      <c r="W34" s="6">
        <f t="shared" si="117"/>
        <v>0.41315202282537128</v>
      </c>
      <c r="X34" s="6">
        <f t="shared" si="117"/>
        <v>0.43041672372084533</v>
      </c>
      <c r="Y34" s="6">
        <f t="shared" si="117"/>
        <v>0.47573580849357605</v>
      </c>
      <c r="Z34" s="6">
        <f t="shared" si="117"/>
        <v>0.50183931886885835</v>
      </c>
      <c r="AA34" s="6">
        <f t="shared" si="117"/>
        <v>0.51763861209219664</v>
      </c>
      <c r="AB34" s="6">
        <f t="shared" ref="AB34:AE34" si="118">AB21/AB19</f>
        <v>0.52984721547220948</v>
      </c>
      <c r="AC34" s="6">
        <f t="shared" si="118"/>
        <v>0.53445596000291784</v>
      </c>
      <c r="AD34" s="6">
        <f t="shared" si="118"/>
        <v>0.54002262587370997</v>
      </c>
      <c r="AE34" s="6">
        <f t="shared" si="118"/>
        <v>0.52382384592036646</v>
      </c>
      <c r="AF34" s="6">
        <f t="shared" ref="AF34:AK34" si="119">AF21/AF19</f>
        <v>0.50033454701796343</v>
      </c>
      <c r="AG34" s="6">
        <f t="shared" si="119"/>
        <v>0.51304769323150157</v>
      </c>
      <c r="AH34" s="6">
        <f t="shared" si="119"/>
        <v>0.52661066343518437</v>
      </c>
      <c r="AI34" s="6">
        <f t="shared" si="119"/>
        <v>0.5563354755679365</v>
      </c>
      <c r="AJ34" s="6">
        <f t="shared" si="119"/>
        <v>0.59060809786180057</v>
      </c>
      <c r="AK34" s="6">
        <f t="shared" si="119"/>
        <v>0.60426296029304793</v>
      </c>
      <c r="AL34" s="6">
        <f t="shared" ref="AL34:AT34" si="120">AL21/AL19</f>
        <v>0.62216641195014799</v>
      </c>
      <c r="AM34" s="6">
        <f t="shared" si="120"/>
        <v>0.56327447925795404</v>
      </c>
      <c r="AN34" s="6">
        <f t="shared" si="120"/>
        <v>0.54113546172558646</v>
      </c>
      <c r="AO34" s="6">
        <f t="shared" si="120"/>
        <v>0.54257359497745705</v>
      </c>
      <c r="AP34" s="6">
        <f t="shared" si="120"/>
        <v>0.53037988646409684</v>
      </c>
      <c r="AQ34" s="6">
        <f t="shared" si="120"/>
        <v>0.53068131008338337</v>
      </c>
      <c r="AR34" s="6">
        <f t="shared" si="120"/>
        <v>0.53172942181094918</v>
      </c>
      <c r="AS34" s="6">
        <f t="shared" si="120"/>
        <v>0.57831997743854513</v>
      </c>
      <c r="AT34" s="6">
        <f t="shared" si="120"/>
        <v>0.53</v>
      </c>
      <c r="AU34" s="6">
        <f t="shared" ref="AU34:AW34" si="121">AU21/AU19</f>
        <v>0.58789694363491041</v>
      </c>
      <c r="AV34" s="6">
        <f t="shared" si="121"/>
        <v>0.58617866268869812</v>
      </c>
      <c r="AW34" s="6">
        <f t="shared" si="121"/>
        <v>0.59453725352721476</v>
      </c>
      <c r="AX34" s="6"/>
      <c r="AY34" s="6"/>
      <c r="AZ34" s="6"/>
      <c r="BA34" s="6"/>
      <c r="BB34" s="6"/>
      <c r="BD34" s="6">
        <f t="shared" ref="BD34:BF34" si="122">BD21/BD19</f>
        <v>0.49518226128268522</v>
      </c>
      <c r="BE34" s="6">
        <f t="shared" si="122"/>
        <v>0.48653996398327437</v>
      </c>
      <c r="BF34" s="6">
        <f t="shared" si="122"/>
        <v>0.50091039709348084</v>
      </c>
      <c r="BG34" s="6">
        <f t="shared" ref="BG34:BM34" si="123">BG21/BG19</f>
        <v>0.50624330526361017</v>
      </c>
      <c r="BH34" s="6">
        <f t="shared" si="123"/>
        <v>0.48268206469576547</v>
      </c>
      <c r="BI34" s="6">
        <f t="shared" si="123"/>
        <v>0.46047561414412352</v>
      </c>
      <c r="BJ34" s="6">
        <f t="shared" si="123"/>
        <v>0.53098924401999614</v>
      </c>
      <c r="BK34" s="6">
        <f t="shared" si="123"/>
        <v>0.51627142240686907</v>
      </c>
      <c r="BL34" s="6">
        <f t="shared" si="123"/>
        <v>0.5955918372395137</v>
      </c>
      <c r="BM34" s="6">
        <f t="shared" si="123"/>
        <v>0.54359597710078367</v>
      </c>
      <c r="BN34" s="6">
        <f>BN21/BN19</f>
        <v>0.54322487753573157</v>
      </c>
      <c r="BO34" s="6">
        <f t="shared" ref="BO34:BT34" si="124">BO21/BO19</f>
        <v>0.54</v>
      </c>
      <c r="BP34" s="6">
        <f t="shared" si="124"/>
        <v>0.54</v>
      </c>
      <c r="BQ34" s="6">
        <f t="shared" si="124"/>
        <v>0.54</v>
      </c>
      <c r="BR34" s="6">
        <f t="shared" si="124"/>
        <v>0.54</v>
      </c>
      <c r="BS34" s="6">
        <f t="shared" si="124"/>
        <v>0.54</v>
      </c>
      <c r="BT34" s="6">
        <f t="shared" si="124"/>
        <v>0.54</v>
      </c>
      <c r="BV34" t="s">
        <v>69</v>
      </c>
      <c r="BW34" s="2">
        <f>NPV(BW33,BO29:ID29)</f>
        <v>31529656.35721416</v>
      </c>
    </row>
    <row r="36" spans="2:75" x14ac:dyDescent="0.25">
      <c r="B36" t="s">
        <v>89</v>
      </c>
      <c r="AS36" s="4">
        <f>+AS37-AS49</f>
        <v>1326.4229999999998</v>
      </c>
      <c r="AT36" s="4">
        <f t="shared" ref="AT36:AW36" si="125">+AT37-AT49</f>
        <v>0</v>
      </c>
      <c r="AU36" s="4">
        <f t="shared" si="125"/>
        <v>0</v>
      </c>
      <c r="AV36" s="4">
        <f t="shared" si="125"/>
        <v>0</v>
      </c>
      <c r="AW36" s="4">
        <f t="shared" si="125"/>
        <v>1943.375</v>
      </c>
    </row>
    <row r="37" spans="2:75" x14ac:dyDescent="0.25">
      <c r="B37" t="s">
        <v>75</v>
      </c>
      <c r="AS37" s="4">
        <f>1886.781+280.819+127.332</f>
        <v>2294.9319999999998</v>
      </c>
      <c r="AW37" s="4">
        <f>2470.759+280.297+148.978</f>
        <v>2900.0340000000001</v>
      </c>
    </row>
    <row r="38" spans="2:75" x14ac:dyDescent="0.25">
      <c r="B38" t="s">
        <v>78</v>
      </c>
      <c r="AS38" s="4">
        <v>249.97399999999999</v>
      </c>
      <c r="AW38" s="4">
        <v>307.81400000000002</v>
      </c>
    </row>
    <row r="39" spans="2:75" x14ac:dyDescent="0.25">
      <c r="B39" t="s">
        <v>77</v>
      </c>
      <c r="AS39" s="4">
        <v>292.88400000000001</v>
      </c>
      <c r="AW39" s="4">
        <v>288.68900000000002</v>
      </c>
    </row>
    <row r="40" spans="2:75" x14ac:dyDescent="0.25">
      <c r="B40" t="s">
        <v>76</v>
      </c>
      <c r="AS40" s="4">
        <v>63.456000000000003</v>
      </c>
      <c r="AW40" s="4">
        <v>88.456000000000003</v>
      </c>
    </row>
    <row r="41" spans="2:75" x14ac:dyDescent="0.25">
      <c r="B41" t="s">
        <v>80</v>
      </c>
      <c r="AS41" s="4">
        <v>3071.5990000000002</v>
      </c>
      <c r="AW41" s="4">
        <v>3499.3409999999999</v>
      </c>
    </row>
    <row r="42" spans="2:75" x14ac:dyDescent="0.25">
      <c r="B42" t="s">
        <v>79</v>
      </c>
      <c r="AS42" s="4">
        <v>192.81299999999999</v>
      </c>
      <c r="AW42" s="4">
        <v>269.77300000000002</v>
      </c>
    </row>
    <row r="43" spans="2:75" x14ac:dyDescent="0.25">
      <c r="B43" t="s">
        <v>103</v>
      </c>
      <c r="AS43" s="4">
        <f>SUM(AS37:AS42)</f>
        <v>6165.6580000000004</v>
      </c>
      <c r="AT43" s="4">
        <f t="shared" ref="AT43:AW43" si="126">SUM(AT37:AT42)</f>
        <v>0</v>
      </c>
      <c r="AU43" s="4">
        <f t="shared" si="126"/>
        <v>0</v>
      </c>
      <c r="AV43" s="4">
        <f t="shared" si="126"/>
        <v>0</v>
      </c>
      <c r="AW43" s="4">
        <f t="shared" si="126"/>
        <v>7354.107</v>
      </c>
    </row>
    <row r="45" spans="2:75" x14ac:dyDescent="0.25">
      <c r="B45" t="s">
        <v>83</v>
      </c>
      <c r="AS45" s="4">
        <v>70.819999999999993</v>
      </c>
      <c r="AW45" s="4">
        <v>86.385999999999996</v>
      </c>
    </row>
    <row r="46" spans="2:75" x14ac:dyDescent="0.25">
      <c r="B46" t="s">
        <v>84</v>
      </c>
      <c r="AS46" s="4">
        <v>125.13200000000001</v>
      </c>
      <c r="AW46" s="4">
        <v>175.43</v>
      </c>
    </row>
    <row r="47" spans="2:75" x14ac:dyDescent="0.25">
      <c r="B47" t="s">
        <v>85</v>
      </c>
      <c r="AS47" s="4">
        <v>207.45599999999999</v>
      </c>
      <c r="AW47" s="4">
        <v>259.32600000000002</v>
      </c>
    </row>
    <row r="48" spans="2:75" x14ac:dyDescent="0.25">
      <c r="B48" t="s">
        <v>86</v>
      </c>
      <c r="AS48" s="4">
        <v>618.18600000000004</v>
      </c>
      <c r="AW48" s="4">
        <v>678.53800000000001</v>
      </c>
    </row>
    <row r="49" spans="2:54" x14ac:dyDescent="0.25">
      <c r="B49" t="s">
        <v>87</v>
      </c>
      <c r="AS49" s="4">
        <f>58.805+909.704</f>
        <v>968.5089999999999</v>
      </c>
      <c r="AW49" s="4">
        <f>76.226+880.433</f>
        <v>956.65899999999999</v>
      </c>
    </row>
    <row r="50" spans="2:54" x14ac:dyDescent="0.25">
      <c r="B50" t="s">
        <v>88</v>
      </c>
      <c r="AS50" s="4">
        <v>153.63300000000001</v>
      </c>
      <c r="AT50" s="4"/>
      <c r="AU50" s="4"/>
      <c r="AV50" s="4"/>
      <c r="AW50" s="4">
        <v>162.19</v>
      </c>
    </row>
    <row r="51" spans="2:54" x14ac:dyDescent="0.25">
      <c r="B51" t="s">
        <v>82</v>
      </c>
      <c r="AS51" s="4">
        <v>4021.922</v>
      </c>
      <c r="AW51" s="4">
        <v>5035.5780000000004</v>
      </c>
    </row>
    <row r="52" spans="2:54" x14ac:dyDescent="0.25">
      <c r="B52" t="s">
        <v>81</v>
      </c>
      <c r="AS52" s="4">
        <f>SUM(AS45:AS51)</f>
        <v>6165.6579999999994</v>
      </c>
      <c r="AT52" s="4">
        <f t="shared" ref="AT52:AW52" si="127">SUM(AT45:AT51)</f>
        <v>0</v>
      </c>
      <c r="AU52" s="4">
        <f t="shared" si="127"/>
        <v>0</v>
      </c>
      <c r="AV52" s="4">
        <f t="shared" si="127"/>
        <v>0</v>
      </c>
      <c r="AW52" s="4">
        <f t="shared" si="127"/>
        <v>7354.107</v>
      </c>
    </row>
    <row r="54" spans="2:54" s="2" customFormat="1" x14ac:dyDescent="0.25">
      <c r="B54" s="2" t="s">
        <v>90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>
        <v>294.64499999999998</v>
      </c>
      <c r="AR54" s="4">
        <v>377.66800000000001</v>
      </c>
      <c r="AS54" s="4">
        <v>391.99299999999999</v>
      </c>
      <c r="AT54" s="4"/>
      <c r="AU54" s="4"/>
      <c r="AV54" s="4"/>
      <c r="AW54" s="4"/>
      <c r="AX54" s="4"/>
      <c r="AY54" s="4"/>
      <c r="AZ54" s="4"/>
      <c r="BA54" s="4"/>
      <c r="BB54" s="4"/>
    </row>
    <row r="55" spans="2:54" s="2" customFormat="1" x14ac:dyDescent="0.25">
      <c r="B55" s="2" t="s">
        <v>91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>
        <v>226.624</v>
      </c>
      <c r="AR55" s="4">
        <v>205.67400000000001</v>
      </c>
      <c r="AS55" s="4">
        <v>207.07900000000001</v>
      </c>
      <c r="AT55" s="4"/>
      <c r="AU55" s="4"/>
      <c r="AV55" s="4"/>
      <c r="AW55" s="4"/>
      <c r="AX55" s="4"/>
      <c r="AY55" s="4"/>
      <c r="AZ55" s="4"/>
      <c r="BA55" s="4"/>
      <c r="BB55" s="4"/>
    </row>
    <row r="56" spans="2:54" s="2" customFormat="1" x14ac:dyDescent="0.25">
      <c r="B56" s="2" t="s">
        <v>92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>
        <f t="shared" ref="AQ56:AR56" si="128">+AQ54-AQ55</f>
        <v>68.020999999999987</v>
      </c>
      <c r="AR56" s="4">
        <f t="shared" si="128"/>
        <v>171.994</v>
      </c>
      <c r="AS56" s="4">
        <f>+AS54-AS55</f>
        <v>184.91399999999999</v>
      </c>
      <c r="AT56" s="4"/>
      <c r="AU56" s="4"/>
      <c r="AV56" s="4"/>
      <c r="AW56" s="4"/>
      <c r="AX56" s="4"/>
      <c r="AY56" s="4"/>
      <c r="AZ56" s="4"/>
      <c r="BA56" s="4"/>
      <c r="BB56" s="4"/>
    </row>
  </sheetData>
  <hyperlinks>
    <hyperlink ref="A1" location="Main!A1" display="Main" xr:uid="{89582847-CFC0-4EB3-BE68-1D0CCC72304B}"/>
  </hyperlink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2024-08-28T21:02:45Z</dcterms:created>
  <dcterms:modified xsi:type="dcterms:W3CDTF">2026-08-17T15:22:29Z</dcterms:modified>
</cp:coreProperties>
</file>