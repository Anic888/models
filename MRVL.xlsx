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6C196BE-BB0A-48FB-BC00-3F7980BA4726}" xr6:coauthVersionLast="47" xr6:coauthVersionMax="47" xr10:uidLastSave="{00000000-0000-0000-0000-000000000000}"/>
  <bookViews>
    <workbookView xWindow="22650" yWindow="4050" windowWidth="14740" windowHeight="16580" xr2:uid="{C6B6FCF9-0606-47FE-A1F4-722C9545912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2" l="1"/>
  <c r="I19" i="2"/>
  <c r="H19" i="2"/>
  <c r="G19" i="2"/>
  <c r="C11" i="2"/>
  <c r="C10" i="2"/>
  <c r="C7" i="2"/>
  <c r="C13" i="2" s="1"/>
  <c r="C15" i="2" s="1"/>
  <c r="C16" i="2" s="1"/>
  <c r="G10" i="2"/>
  <c r="G7" i="2"/>
  <c r="D10" i="2"/>
  <c r="D7" i="2"/>
  <c r="H10" i="2"/>
  <c r="H7" i="2"/>
  <c r="H11" i="2" s="1"/>
  <c r="H13" i="2" s="1"/>
  <c r="H15" i="2" s="1"/>
  <c r="H16" i="2" s="1"/>
  <c r="E10" i="2"/>
  <c r="E7" i="2"/>
  <c r="I10" i="2"/>
  <c r="F5" i="2"/>
  <c r="F7" i="2" s="1"/>
  <c r="J5" i="2"/>
  <c r="F10" i="2"/>
  <c r="J10" i="2"/>
  <c r="J7" i="2"/>
  <c r="J11" i="2" s="1"/>
  <c r="J13" i="2" s="1"/>
  <c r="J15" i="2" s="1"/>
  <c r="J16" i="2" s="1"/>
  <c r="H7" i="1"/>
  <c r="H4" i="1"/>
  <c r="G11" i="2" l="1"/>
  <c r="G13" i="2" s="1"/>
  <c r="G15" i="2" s="1"/>
  <c r="G16" i="2" s="1"/>
  <c r="D11" i="2"/>
  <c r="D13" i="2" s="1"/>
  <c r="D15" i="2" s="1"/>
  <c r="D16" i="2" s="1"/>
  <c r="E11" i="2"/>
  <c r="E13" i="2" s="1"/>
  <c r="E15" i="2" s="1"/>
  <c r="E16" i="2" s="1"/>
  <c r="I7" i="2"/>
  <c r="I11" i="2" s="1"/>
  <c r="I13" i="2" s="1"/>
  <c r="I15" i="2" s="1"/>
  <c r="I16" i="2" s="1"/>
  <c r="F11" i="2"/>
  <c r="F13" i="2" s="1"/>
  <c r="F15" i="2" s="1"/>
  <c r="F16" i="2" s="1"/>
</calcChain>
</file>

<file path=xl/sharedStrings.xml><?xml version="1.0" encoding="utf-8"?>
<sst xmlns="http://schemas.openxmlformats.org/spreadsheetml/2006/main" count="26" uniqueCount="23">
  <si>
    <t>Price</t>
  </si>
  <si>
    <t>Shares</t>
  </si>
  <si>
    <t>MC</t>
  </si>
  <si>
    <t>Cash</t>
  </si>
  <si>
    <t>Debt</t>
  </si>
  <si>
    <t>EV</t>
  </si>
  <si>
    <t>Q126</t>
  </si>
  <si>
    <t>Main</t>
  </si>
  <si>
    <t>Revenue</t>
  </si>
  <si>
    <t>COGS</t>
  </si>
  <si>
    <t>Gross Profit</t>
  </si>
  <si>
    <t>R&amp;D</t>
  </si>
  <si>
    <t>SG&amp;A</t>
  </si>
  <si>
    <t>Operating Expenses</t>
  </si>
  <si>
    <t>Operating Income</t>
  </si>
  <si>
    <t>Pretax Income</t>
  </si>
  <si>
    <t>Interest Expense</t>
  </si>
  <si>
    <t>Taxes</t>
  </si>
  <si>
    <t>Net Income</t>
  </si>
  <si>
    <t>Revenue y/y</t>
  </si>
  <si>
    <t>EPS</t>
  </si>
  <si>
    <t>Data center</t>
  </si>
  <si>
    <t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</si>
</sst>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3" fontId="2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A54C-2D6E-4D2F-A5C6-8B849C06A9F5}">
  <dimension ref="G2:I7"/>
  <sheetViews>
    <sheetView tabSelected="1" zoomScale="130" zoomScaleNormal="130" workbookViewId="0"/>
  </sheetViews>
  <sheetFormatPr defaultRowHeight="12.5" x14ac:dyDescent="0.25"/>
  <cols>
    <col min="1" max="16384" width="8.7265625" style="1"/>
  </cols>
  <sheetData>
    <row r="2" spans="7:9" x14ac:dyDescent="0.25">
      <c r="G2" s="1" t="s">
        <v>0</v>
      </c>
      <c r="H2" s="2">
        <v>297</v>
      </c>
    </row>
    <row r="3" spans="7:9" x14ac:dyDescent="0.25">
      <c r="G3" s="1" t="s">
        <v>1</v>
      </c>
      <c r="H3" s="3">
        <v>874.8</v>
      </c>
      <c r="I3" s="4" t="s">
        <v>6</v>
      </c>
    </row>
    <row r="4" spans="7:9" x14ac:dyDescent="0.25">
      <c r="G4" s="1" t="s">
        <v>2</v>
      </c>
      <c r="H4" s="3">
        <f>+H2*H3</f>
        <v>259815.59999999998</v>
      </c>
    </row>
    <row r="5" spans="7:9" x14ac:dyDescent="0.25">
      <c r="G5" s="1" t="s">
        <v>3</v>
      </c>
      <c r="H5" s="3">
        <v>3843.6</v>
      </c>
      <c r="I5" s="4" t="s">
        <v>6</v>
      </c>
    </row>
    <row r="6" spans="7:9" x14ac:dyDescent="0.25">
      <c r="G6" s="1" t="s">
        <v>4</v>
      </c>
      <c r="H6" s="3">
        <v>4961.3</v>
      </c>
      <c r="I6" s="4" t="s">
        <v>6</v>
      </c>
    </row>
    <row r="7" spans="7:9" x14ac:dyDescent="0.25">
      <c r="G7" s="1" t="s">
        <v>5</v>
      </c>
      <c r="H7" s="3">
        <f>+H4-H5+H6</f>
        <v>260933.29999999996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61D7-C9C3-4FA2-A7AB-1D2A5BA84F9F}">
  <dimension ref="A1:J19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9" sqref="K19"/>
    </sheetView>
  </sheetViews>
  <sheetFormatPr defaultRowHeight="12.5" x14ac:dyDescent="0.25"/>
  <cols>
    <col min="1" max="1" width="4.6328125" style="1" bestFit="1" customWidth="1"/>
    <col min="2" max="2" width="17.1796875" style="1" bestFit="1" customWidth="1"/>
    <col min="3" max="9" width="9" style="1" bestFit="1" customWidth="1"/>
    <col min="10" max="16384" width="8.7265625" style="1"/>
  </cols>
  <sheetData>
    <row r="1" spans="1:10" x14ac:dyDescent="0.25">
      <c r="A1" s="1" t="s">
        <v>7</v>
      </c>
    </row>
    <row r="2" spans="1:10" x14ac:dyDescent="0.25">
      <c r="C2" s="5">
        <v>45598</v>
      </c>
      <c r="D2" s="5">
        <v>45598</v>
      </c>
      <c r="E2" s="5">
        <v>45689</v>
      </c>
      <c r="F2" s="5">
        <v>45780</v>
      </c>
      <c r="G2" s="5">
        <v>45871</v>
      </c>
      <c r="H2" s="5">
        <v>45962</v>
      </c>
      <c r="I2" s="5">
        <v>46053</v>
      </c>
      <c r="J2" s="5">
        <v>46144</v>
      </c>
    </row>
    <row r="3" spans="1:10" x14ac:dyDescent="0.25">
      <c r="B3" s="1" t="s">
        <v>21</v>
      </c>
      <c r="C3" s="3"/>
      <c r="D3" s="3"/>
      <c r="E3" s="3"/>
      <c r="F3" s="3">
        <v>1440.6</v>
      </c>
      <c r="G3" s="3"/>
      <c r="H3" s="3"/>
      <c r="I3" s="3"/>
      <c r="J3" s="3">
        <v>1832.7</v>
      </c>
    </row>
    <row r="4" spans="1:10" x14ac:dyDescent="0.25">
      <c r="B4" s="1" t="s">
        <v>22</v>
      </c>
      <c r="C4" s="3"/>
      <c r="D4" s="3"/>
      <c r="E4" s="3"/>
      <c r="F4" s="3">
        <v>454.7</v>
      </c>
      <c r="G4" s="3"/>
      <c r="H4" s="3"/>
      <c r="I4" s="3"/>
      <c r="J4" s="3">
        <v>585.1</v>
      </c>
    </row>
    <row r="5" spans="1:10" s="6" customFormat="1" ht="13" x14ac:dyDescent="0.3">
      <c r="B5" s="6" t="s">
        <v>8</v>
      </c>
      <c r="C5" s="6">
        <v>1272.9000000000001</v>
      </c>
      <c r="D5" s="6">
        <v>1516.1</v>
      </c>
      <c r="E5" s="6">
        <v>1817.4</v>
      </c>
      <c r="F5" s="6">
        <f>+F4+F3</f>
        <v>1895.3</v>
      </c>
      <c r="G5" s="6">
        <v>2006.1</v>
      </c>
      <c r="H5" s="6">
        <v>2074.5</v>
      </c>
      <c r="I5" s="6">
        <v>2218.6999999999998</v>
      </c>
      <c r="J5" s="6">
        <f>+J4+J3</f>
        <v>2417.8000000000002</v>
      </c>
    </row>
    <row r="6" spans="1:10" s="3" customFormat="1" x14ac:dyDescent="0.25">
      <c r="B6" s="3" t="s">
        <v>9</v>
      </c>
      <c r="C6" s="3">
        <v>685.3</v>
      </c>
      <c r="D6" s="3">
        <v>1166.7</v>
      </c>
      <c r="E6" s="3">
        <v>900</v>
      </c>
      <c r="F6" s="3">
        <v>942.9</v>
      </c>
      <c r="G6" s="3">
        <v>995.5</v>
      </c>
      <c r="H6" s="3">
        <v>1004.7</v>
      </c>
      <c r="I6" s="3">
        <v>1070.8</v>
      </c>
      <c r="J6" s="3">
        <v>1157</v>
      </c>
    </row>
    <row r="7" spans="1:10" s="3" customFormat="1" x14ac:dyDescent="0.25">
      <c r="B7" s="3" t="s">
        <v>10</v>
      </c>
      <c r="C7" s="3">
        <f>+C5-C6</f>
        <v>587.60000000000014</v>
      </c>
      <c r="D7" s="3">
        <f>+D5-D6</f>
        <v>349.39999999999986</v>
      </c>
      <c r="E7" s="3">
        <f>+E5-E6</f>
        <v>917.40000000000009</v>
      </c>
      <c r="F7" s="3">
        <f>+F5-F6</f>
        <v>952.4</v>
      </c>
      <c r="G7" s="3">
        <f t="shared" ref="G7:H7" si="0">+G5-G6</f>
        <v>1010.5999999999999</v>
      </c>
      <c r="H7" s="3">
        <f t="shared" si="0"/>
        <v>1069.8</v>
      </c>
      <c r="I7" s="3">
        <f>+I5-I6</f>
        <v>1147.8999999999999</v>
      </c>
      <c r="J7" s="3">
        <f>+J5-J6</f>
        <v>1260.8000000000002</v>
      </c>
    </row>
    <row r="8" spans="1:10" s="3" customFormat="1" x14ac:dyDescent="0.25">
      <c r="B8" s="3" t="s">
        <v>11</v>
      </c>
      <c r="C8" s="3">
        <v>486.7</v>
      </c>
      <c r="D8" s="3">
        <v>486.6</v>
      </c>
      <c r="E8" s="3">
        <v>499</v>
      </c>
      <c r="F8" s="3">
        <v>507.7</v>
      </c>
      <c r="G8" s="3">
        <v>519</v>
      </c>
      <c r="H8" s="3">
        <v>652.29999999999995</v>
      </c>
      <c r="I8" s="3">
        <v>536</v>
      </c>
      <c r="J8" s="3">
        <v>652.29999999999995</v>
      </c>
    </row>
    <row r="9" spans="1:10" s="3" customFormat="1" x14ac:dyDescent="0.25">
      <c r="B9" s="3" t="s">
        <v>12</v>
      </c>
      <c r="C9" s="3">
        <v>197.3</v>
      </c>
      <c r="D9" s="3">
        <v>205.3</v>
      </c>
      <c r="E9" s="3">
        <v>195.7</v>
      </c>
      <c r="F9" s="3">
        <v>186.4</v>
      </c>
      <c r="G9" s="3">
        <v>192.8</v>
      </c>
      <c r="H9" s="3">
        <v>258.39999999999998</v>
      </c>
      <c r="I9" s="3">
        <v>198</v>
      </c>
      <c r="J9" s="3">
        <v>258.39999999999998</v>
      </c>
    </row>
    <row r="10" spans="1:10" s="3" customFormat="1" x14ac:dyDescent="0.25">
      <c r="B10" s="3" t="s">
        <v>13</v>
      </c>
      <c r="C10" s="3">
        <f t="shared" ref="C10:H10" si="1">+C8+C9</f>
        <v>684</v>
      </c>
      <c r="D10" s="3">
        <f t="shared" si="1"/>
        <v>691.90000000000009</v>
      </c>
      <c r="E10" s="3">
        <f t="shared" si="1"/>
        <v>694.7</v>
      </c>
      <c r="F10" s="3">
        <f t="shared" si="1"/>
        <v>694.1</v>
      </c>
      <c r="G10" s="3">
        <f t="shared" si="1"/>
        <v>711.8</v>
      </c>
      <c r="H10" s="3">
        <f t="shared" si="1"/>
        <v>910.69999999999993</v>
      </c>
      <c r="I10" s="3">
        <f>+I8+I9</f>
        <v>734</v>
      </c>
      <c r="J10" s="3">
        <f>+J8+J9</f>
        <v>910.69999999999993</v>
      </c>
    </row>
    <row r="11" spans="1:10" s="3" customFormat="1" x14ac:dyDescent="0.25">
      <c r="B11" s="3" t="s">
        <v>14</v>
      </c>
      <c r="C11" s="3">
        <f t="shared" ref="C11:H11" si="2">+C7-C10</f>
        <v>-96.399999999999864</v>
      </c>
      <c r="D11" s="3">
        <f t="shared" si="2"/>
        <v>-342.50000000000023</v>
      </c>
      <c r="E11" s="3">
        <f t="shared" si="2"/>
        <v>222.70000000000005</v>
      </c>
      <c r="F11" s="3">
        <f t="shared" si="2"/>
        <v>258.29999999999995</v>
      </c>
      <c r="G11" s="3">
        <f t="shared" si="2"/>
        <v>298.79999999999995</v>
      </c>
      <c r="H11" s="3">
        <f t="shared" si="2"/>
        <v>159.10000000000002</v>
      </c>
      <c r="I11" s="3">
        <f>+I7-I10</f>
        <v>413.89999999999986</v>
      </c>
      <c r="J11" s="3">
        <f>+J7-J10</f>
        <v>350.10000000000025</v>
      </c>
    </row>
    <row r="12" spans="1:10" x14ac:dyDescent="0.25">
      <c r="B12" s="1" t="s">
        <v>16</v>
      </c>
      <c r="C12" s="3">
        <v>-45.8</v>
      </c>
      <c r="D12" s="3">
        <v>-47.2</v>
      </c>
      <c r="E12" s="3">
        <v>-45</v>
      </c>
      <c r="F12" s="3">
        <v>-48.7</v>
      </c>
      <c r="G12" s="3">
        <v>-51.9</v>
      </c>
      <c r="H12" s="3"/>
      <c r="I12" s="3">
        <v>-50.8</v>
      </c>
      <c r="J12" s="3">
        <v>-52.8</v>
      </c>
    </row>
    <row r="13" spans="1:10" x14ac:dyDescent="0.25">
      <c r="B13" s="1" t="s">
        <v>15</v>
      </c>
      <c r="C13" s="3">
        <f t="shared" ref="C13:H13" si="3">+C11+C12</f>
        <v>-142.19999999999987</v>
      </c>
      <c r="D13" s="3">
        <f t="shared" si="3"/>
        <v>-389.70000000000022</v>
      </c>
      <c r="E13" s="3">
        <f t="shared" si="3"/>
        <v>177.70000000000005</v>
      </c>
      <c r="F13" s="3">
        <f t="shared" si="3"/>
        <v>209.59999999999997</v>
      </c>
      <c r="G13" s="3">
        <f t="shared" si="3"/>
        <v>246.89999999999995</v>
      </c>
      <c r="H13" s="3">
        <f t="shared" si="3"/>
        <v>159.10000000000002</v>
      </c>
      <c r="I13" s="3">
        <f>+I11+I12</f>
        <v>363.09999999999985</v>
      </c>
      <c r="J13" s="3">
        <f>+J11+J12</f>
        <v>297.30000000000024</v>
      </c>
    </row>
    <row r="14" spans="1:10" x14ac:dyDescent="0.25">
      <c r="B14" s="1" t="s">
        <v>17</v>
      </c>
      <c r="C14" s="3">
        <v>0</v>
      </c>
      <c r="D14" s="3">
        <v>0</v>
      </c>
      <c r="E14" s="3">
        <v>0</v>
      </c>
      <c r="F14" s="3">
        <v>38</v>
      </c>
      <c r="G14" s="3">
        <v>38.9</v>
      </c>
      <c r="H14" s="3">
        <v>48.8</v>
      </c>
      <c r="I14" s="3">
        <v>0</v>
      </c>
      <c r="J14" s="3">
        <v>48.8</v>
      </c>
    </row>
    <row r="15" spans="1:10" x14ac:dyDescent="0.25">
      <c r="B15" s="1" t="s">
        <v>18</v>
      </c>
      <c r="C15" s="3">
        <f>+C13-C14</f>
        <v>-142.19999999999987</v>
      </c>
      <c r="D15" s="3">
        <f>+D13-D14</f>
        <v>-389.70000000000022</v>
      </c>
      <c r="E15" s="3">
        <f>+E13-E14</f>
        <v>177.70000000000005</v>
      </c>
      <c r="F15" s="3">
        <f>+F13-F14</f>
        <v>171.59999999999997</v>
      </c>
      <c r="G15" s="3">
        <f t="shared" ref="G15:H15" si="4">+G13-G14</f>
        <v>207.99999999999994</v>
      </c>
      <c r="H15" s="3">
        <f t="shared" si="4"/>
        <v>110.30000000000003</v>
      </c>
      <c r="I15" s="3">
        <f>+I13-I14</f>
        <v>363.09999999999985</v>
      </c>
      <c r="J15" s="3">
        <f>+J13-J14</f>
        <v>248.50000000000023</v>
      </c>
    </row>
    <row r="16" spans="1:10" x14ac:dyDescent="0.25">
      <c r="B16" s="1" t="s">
        <v>20</v>
      </c>
      <c r="C16" s="2">
        <f>+C15/C17</f>
        <v>-0.16426013630587949</v>
      </c>
      <c r="D16" s="2">
        <f>+D15/D17</f>
        <v>-0.45015594316737922</v>
      </c>
      <c r="E16" s="2">
        <f>+E15/E17</f>
        <v>0.20195476758722589</v>
      </c>
      <c r="F16" s="2">
        <f>+F15/F17</f>
        <v>0.1959798994974874</v>
      </c>
      <c r="G16" s="2">
        <f t="shared" ref="G16:H16" si="5">+G15/G17</f>
        <v>0.23897058823529405</v>
      </c>
      <c r="H16" s="2">
        <f t="shared" si="5"/>
        <v>0.12347475652076574</v>
      </c>
      <c r="I16" s="2">
        <f>+I15/I17</f>
        <v>0.42408315814062114</v>
      </c>
      <c r="J16" s="2">
        <f>+J15/J17</f>
        <v>0.2781820217172285</v>
      </c>
    </row>
    <row r="17" spans="2:10" x14ac:dyDescent="0.25">
      <c r="B17" s="1" t="s">
        <v>1</v>
      </c>
      <c r="C17" s="3">
        <v>865.7</v>
      </c>
      <c r="D17" s="3">
        <v>865.7</v>
      </c>
      <c r="E17" s="3">
        <v>879.9</v>
      </c>
      <c r="F17" s="3">
        <v>875.6</v>
      </c>
      <c r="G17" s="3">
        <v>870.4</v>
      </c>
      <c r="H17" s="3">
        <v>893.3</v>
      </c>
      <c r="I17" s="3">
        <v>856.2</v>
      </c>
      <c r="J17" s="3">
        <v>893.3</v>
      </c>
    </row>
    <row r="19" spans="2:10" x14ac:dyDescent="0.25">
      <c r="B19" s="1" t="s">
        <v>19</v>
      </c>
      <c r="G19" s="7">
        <f>+G5/C5-1</f>
        <v>0.57600754183360814</v>
      </c>
      <c r="H19" s="7">
        <f>+H5/D5-1</f>
        <v>0.36831343578919595</v>
      </c>
      <c r="I19" s="7">
        <f>+I5/E5-1</f>
        <v>0.22080994827775924</v>
      </c>
      <c r="J19" s="7">
        <f>+J5/F5-1</f>
        <v>0.27568195008705754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2026-06-30T15:53:53Z</dcterms:created>
  <dcterms:modified xsi:type="dcterms:W3CDTF">2026-06-30T16:13:04Z</dcterms:modified>
</cp:coreProperties>
</file>