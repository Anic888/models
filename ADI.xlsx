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F3AFFF3-3125-4E91-96AE-3DDC3C1F1649}" xr6:coauthVersionLast="47" xr6:coauthVersionMax="47" xr10:uidLastSave="{00000000-0000-0000-0000-000000000000}"/>
  <bookViews>
    <workbookView xWindow="14740" yWindow="3780" windowWidth="22360" windowHeight="16580" activeTab="1" xr2:uid="{BCE9D948-E83C-4001-9749-0261DA75C69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7" i="2" l="1"/>
  <c r="V17" i="2"/>
  <c r="U17" i="2"/>
  <c r="T17" i="2"/>
  <c r="S8" i="2"/>
  <c r="S5" i="2"/>
  <c r="T10" i="2"/>
  <c r="T8" i="2"/>
  <c r="T5" i="2"/>
  <c r="M7" i="2"/>
  <c r="N7" i="2" s="1"/>
  <c r="M6" i="2"/>
  <c r="N6" i="2" s="1"/>
  <c r="O6" i="2" s="1"/>
  <c r="P6" i="2" s="1"/>
  <c r="C19" i="2"/>
  <c r="M15" i="2"/>
  <c r="N15" i="2" s="1"/>
  <c r="O15" i="2" s="1"/>
  <c r="P15" i="2" s="1"/>
  <c r="P3" i="2"/>
  <c r="P17" i="2" s="1"/>
  <c r="O3" i="2"/>
  <c r="O5" i="2" s="1"/>
  <c r="M3" i="2"/>
  <c r="M5" i="2" s="1"/>
  <c r="P2" i="2"/>
  <c r="O2" i="2"/>
  <c r="N2" i="2"/>
  <c r="M2" i="2"/>
  <c r="L17" i="2"/>
  <c r="K17" i="2"/>
  <c r="I17" i="2"/>
  <c r="H17" i="2"/>
  <c r="G17" i="2"/>
  <c r="F15" i="2"/>
  <c r="F12" i="2"/>
  <c r="F7" i="2"/>
  <c r="F8" i="2" s="1"/>
  <c r="F6" i="2"/>
  <c r="F4" i="2"/>
  <c r="F3" i="2"/>
  <c r="F2" i="2"/>
  <c r="C10" i="2"/>
  <c r="C8" i="2"/>
  <c r="C5" i="2"/>
  <c r="D10" i="2"/>
  <c r="D8" i="2"/>
  <c r="D5" i="2"/>
  <c r="D19" i="2" s="1"/>
  <c r="J2" i="2"/>
  <c r="J15" i="2"/>
  <c r="J12" i="2"/>
  <c r="J7" i="2"/>
  <c r="J6" i="2"/>
  <c r="J4" i="2"/>
  <c r="J3" i="2"/>
  <c r="J5" i="2" s="1"/>
  <c r="J19" i="2" s="1"/>
  <c r="X2" i="2"/>
  <c r="Y2" i="2" s="1"/>
  <c r="E10" i="2"/>
  <c r="E8" i="2"/>
  <c r="E5" i="2"/>
  <c r="E19" i="2" s="1"/>
  <c r="I10" i="2"/>
  <c r="I8" i="2"/>
  <c r="I5" i="2"/>
  <c r="I19" i="2" s="1"/>
  <c r="U10" i="2"/>
  <c r="V10" i="2"/>
  <c r="W10" i="2"/>
  <c r="W8" i="2"/>
  <c r="V8" i="2"/>
  <c r="U8" i="2"/>
  <c r="W5" i="2"/>
  <c r="V5" i="2"/>
  <c r="U5" i="2"/>
  <c r="J7" i="1"/>
  <c r="J6" i="1"/>
  <c r="J5" i="1"/>
  <c r="G10" i="2"/>
  <c r="G8" i="2"/>
  <c r="G5" i="2"/>
  <c r="G9" i="2" s="1"/>
  <c r="K10" i="2"/>
  <c r="K8" i="2"/>
  <c r="K5" i="2"/>
  <c r="K19" i="2" s="1"/>
  <c r="H10" i="2"/>
  <c r="L10" i="2"/>
  <c r="M10" i="2" s="1"/>
  <c r="N10" i="2" s="1"/>
  <c r="O10" i="2" s="1"/>
  <c r="P10" i="2" s="1"/>
  <c r="H8" i="2"/>
  <c r="L8" i="2"/>
  <c r="L5" i="2"/>
  <c r="L19" i="2" s="1"/>
  <c r="H5" i="2"/>
  <c r="H19" i="2" s="1"/>
  <c r="J4" i="1"/>
  <c r="S9" i="2" l="1"/>
  <c r="S11" i="2" s="1"/>
  <c r="S13" i="2" s="1"/>
  <c r="S14" i="2" s="1"/>
  <c r="F10" i="2"/>
  <c r="P5" i="2"/>
  <c r="P4" i="2" s="1"/>
  <c r="T9" i="2"/>
  <c r="T11" i="2" s="1"/>
  <c r="T13" i="2" s="1"/>
  <c r="T14" i="2" s="1"/>
  <c r="O4" i="2"/>
  <c r="O19" i="2"/>
  <c r="N8" i="2"/>
  <c r="M19" i="2"/>
  <c r="M4" i="2"/>
  <c r="P19" i="2"/>
  <c r="N3" i="2"/>
  <c r="G19" i="2"/>
  <c r="M17" i="2"/>
  <c r="O17" i="2"/>
  <c r="M8" i="2"/>
  <c r="M9" i="2" s="1"/>
  <c r="M11" i="2" s="1"/>
  <c r="O7" i="2"/>
  <c r="I9" i="2"/>
  <c r="I11" i="2" s="1"/>
  <c r="I13" i="2" s="1"/>
  <c r="I14" i="2" s="1"/>
  <c r="J17" i="2"/>
  <c r="F5" i="2"/>
  <c r="F19" i="2" s="1"/>
  <c r="C9" i="2"/>
  <c r="C11" i="2" s="1"/>
  <c r="C13" i="2" s="1"/>
  <c r="C14" i="2" s="1"/>
  <c r="J8" i="2"/>
  <c r="J10" i="2"/>
  <c r="G11" i="2"/>
  <c r="G13" i="2" s="1"/>
  <c r="G14" i="2" s="1"/>
  <c r="D9" i="2"/>
  <c r="D11" i="2" s="1"/>
  <c r="D13" i="2" s="1"/>
  <c r="D14" i="2" s="1"/>
  <c r="J9" i="2"/>
  <c r="J11" i="2" s="1"/>
  <c r="J13" i="2" s="1"/>
  <c r="J14" i="2" s="1"/>
  <c r="L9" i="2"/>
  <c r="L11" i="2" s="1"/>
  <c r="L13" i="2" s="1"/>
  <c r="L14" i="2" s="1"/>
  <c r="F9" i="2"/>
  <c r="F11" i="2" s="1"/>
  <c r="F13" i="2" s="1"/>
  <c r="F14" i="2" s="1"/>
  <c r="E9" i="2"/>
  <c r="E11" i="2" s="1"/>
  <c r="E13" i="2" s="1"/>
  <c r="E14" i="2" s="1"/>
  <c r="W9" i="2"/>
  <c r="W11" i="2" s="1"/>
  <c r="W13" i="2" s="1"/>
  <c r="W14" i="2" s="1"/>
  <c r="U9" i="2"/>
  <c r="U11" i="2" s="1"/>
  <c r="U13" i="2" s="1"/>
  <c r="U14" i="2" s="1"/>
  <c r="V9" i="2"/>
  <c r="V11" i="2" s="1"/>
  <c r="V13" i="2" s="1"/>
  <c r="V14" i="2" s="1"/>
  <c r="K9" i="2"/>
  <c r="K11" i="2" s="1"/>
  <c r="K13" i="2" s="1"/>
  <c r="K14" i="2" s="1"/>
  <c r="H9" i="2"/>
  <c r="H11" i="2" s="1"/>
  <c r="H13" i="2" s="1"/>
  <c r="H14" i="2" s="1"/>
  <c r="M12" i="2" l="1"/>
  <c r="M13" i="2" s="1"/>
  <c r="M14" i="2" s="1"/>
  <c r="N5" i="2"/>
  <c r="N19" i="2" s="1"/>
  <c r="N17" i="2"/>
  <c r="N4" i="2"/>
  <c r="P7" i="2"/>
  <c r="P8" i="2" s="1"/>
  <c r="P9" i="2" s="1"/>
  <c r="P11" i="2" s="1"/>
  <c r="O8" i="2"/>
  <c r="O9" i="2" s="1"/>
  <c r="O11" i="2" s="1"/>
  <c r="N9" i="2"/>
  <c r="N11" i="2" s="1"/>
  <c r="O12" i="2" l="1"/>
  <c r="O13" i="2" s="1"/>
  <c r="O14" i="2" s="1"/>
  <c r="N12" i="2"/>
  <c r="N13" i="2" s="1"/>
  <c r="N14" i="2" s="1"/>
  <c r="P12" i="2"/>
  <c r="P13" i="2" s="1"/>
  <c r="P14" i="2" s="1"/>
</calcChain>
</file>

<file path=xl/sharedStrings.xml><?xml version="1.0" encoding="utf-8"?>
<sst xmlns="http://schemas.openxmlformats.org/spreadsheetml/2006/main" count="25" uniqueCount="21">
  <si>
    <t>Price</t>
  </si>
  <si>
    <t>Shares</t>
  </si>
  <si>
    <t>MC</t>
  </si>
  <si>
    <t>Cash</t>
  </si>
  <si>
    <t>Debt</t>
  </si>
  <si>
    <t>EV</t>
  </si>
  <si>
    <t>Q126</t>
  </si>
  <si>
    <t>Main</t>
  </si>
  <si>
    <t>Revenue</t>
  </si>
  <si>
    <t>Operating Expenses</t>
  </si>
  <si>
    <t>Operating Income</t>
  </si>
  <si>
    <t>COGS</t>
  </si>
  <si>
    <t>Gross Margin</t>
  </si>
  <si>
    <t>R&amp;D</t>
  </si>
  <si>
    <t>SG&amp;A</t>
  </si>
  <si>
    <t>Interest Expense</t>
  </si>
  <si>
    <t>Pretax Income</t>
  </si>
  <si>
    <t>Taxes</t>
  </si>
  <si>
    <t>Net Income</t>
  </si>
  <si>
    <t>Revenue y/y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</si>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</sst>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4" fillId="0" borderId="0" xfId="1" applyFont="1"/>
    <xf numFmtId="165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23813</xdr:colOff>
      <xdr:row>0</xdr:row>
      <xdr:rowOff>63500</xdr:rowOff>
    </xdr:from>
    <xdr:to>
      <xdr:col>23</xdr:col>
      <xdr:colOff>23813</xdr:colOff>
      <xdr:row>27</xdr:row>
      <xdr:rowOff>51593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D70B4EE-341D-2296-F9C3-9A326A758B19}"/>
            </a:ext>
          </a:extLst>
        </xdr:cNvPr>
        <xdr:cNvCxnSpPr/>
      </xdr:nvCxnSpPr>
      <xdr:spPr>
        <a:xfrm>
          <a:off x="7068344" y="63500"/>
          <a:ext cx="0" cy="428228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3969</xdr:colOff>
      <xdr:row>0</xdr:row>
      <xdr:rowOff>43656</xdr:rowOff>
    </xdr:from>
    <xdr:to>
      <xdr:col>12</xdr:col>
      <xdr:colOff>3969</xdr:colOff>
      <xdr:row>28</xdr:row>
      <xdr:rowOff>99218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2F98DEB-1FCB-BBE3-86EA-5E6F52227FCF}"/>
            </a:ext>
          </a:extLst>
        </xdr:cNvPr>
        <xdr:cNvCxnSpPr/>
      </xdr:nvCxnSpPr>
      <xdr:spPr>
        <a:xfrm>
          <a:off x="7659688" y="43656"/>
          <a:ext cx="0" cy="4508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38B9-6F3E-4E58-9116-E098A91BF132}">
  <dimension ref="I2:K7"/>
  <sheetViews>
    <sheetView zoomScale="145" zoomScaleNormal="145" workbookViewId="0">
      <selection activeCell="J8" sqref="J8"/>
    </sheetView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2">
        <v>379</v>
      </c>
    </row>
    <row r="3" spans="9:11" x14ac:dyDescent="0.25">
      <c r="I3" s="1" t="s">
        <v>1</v>
      </c>
      <c r="J3" s="3">
        <v>487.08704</v>
      </c>
      <c r="K3" s="4" t="s">
        <v>6</v>
      </c>
    </row>
    <row r="4" spans="9:11" x14ac:dyDescent="0.25">
      <c r="I4" s="1" t="s">
        <v>2</v>
      </c>
      <c r="J4" s="3">
        <f>+J2*J3</f>
        <v>184605.98816000001</v>
      </c>
    </row>
    <row r="5" spans="9:11" x14ac:dyDescent="0.25">
      <c r="I5" s="1" t="s">
        <v>3</v>
      </c>
      <c r="J5" s="3">
        <f>2436.916+1002.392</f>
        <v>3439.308</v>
      </c>
      <c r="K5" s="4" t="s">
        <v>6</v>
      </c>
    </row>
    <row r="6" spans="9:11" x14ac:dyDescent="0.25">
      <c r="I6" s="1" t="s">
        <v>4</v>
      </c>
      <c r="J6" s="3">
        <f>899.227+7235.424</f>
        <v>8134.6509999999998</v>
      </c>
      <c r="K6" s="4" t="s">
        <v>6</v>
      </c>
    </row>
    <row r="7" spans="9:11" x14ac:dyDescent="0.25">
      <c r="I7" s="1" t="s">
        <v>5</v>
      </c>
      <c r="J7" s="3">
        <f>+J4-J5+J6</f>
        <v>189301.33116000003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154B5-FACD-4926-9A5E-A020F06A580D}">
  <dimension ref="A1:Y19"/>
  <sheetViews>
    <sheetView tabSelected="1" zoomScale="130" zoomScaleNormal="13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X3" sqref="X3"/>
    </sheetView>
  </sheetViews>
  <sheetFormatPr defaultRowHeight="12.5" x14ac:dyDescent="0.25"/>
  <cols>
    <col min="1" max="1" width="4.7265625" style="1" bestFit="1" customWidth="1"/>
    <col min="2" max="2" width="17.1796875" style="1" bestFit="1" customWidth="1"/>
    <col min="3" max="9" width="8.7265625" style="1"/>
    <col min="10" max="10" width="8.7265625" style="1" customWidth="1"/>
    <col min="11" max="11" width="9" style="1" bestFit="1" customWidth="1"/>
    <col min="12" max="16384" width="8.7265625" style="1"/>
  </cols>
  <sheetData>
    <row r="1" spans="1:25" x14ac:dyDescent="0.25">
      <c r="A1" s="8" t="s">
        <v>7</v>
      </c>
    </row>
    <row r="2" spans="1:25" s="9" customFormat="1" x14ac:dyDescent="0.25">
      <c r="C2" s="9">
        <v>45325</v>
      </c>
      <c r="D2" s="9">
        <v>45416</v>
      </c>
      <c r="E2" s="9">
        <v>45507</v>
      </c>
      <c r="F2" s="9">
        <f>+V2</f>
        <v>45598</v>
      </c>
      <c r="G2" s="9">
        <v>45689</v>
      </c>
      <c r="H2" s="9">
        <v>45780</v>
      </c>
      <c r="I2" s="9">
        <v>45871</v>
      </c>
      <c r="J2" s="9">
        <f>+W2</f>
        <v>45962</v>
      </c>
      <c r="K2" s="9">
        <v>46053</v>
      </c>
      <c r="L2" s="9">
        <v>46144</v>
      </c>
      <c r="M2" s="9">
        <f>+I2+365</f>
        <v>46236</v>
      </c>
      <c r="N2" s="9">
        <f>+J2+365</f>
        <v>46327</v>
      </c>
      <c r="O2" s="9">
        <f>+K2+365</f>
        <v>46418</v>
      </c>
      <c r="P2" s="9">
        <f>+L2+365</f>
        <v>46509</v>
      </c>
      <c r="S2" s="9">
        <v>44499</v>
      </c>
      <c r="T2" s="9">
        <v>44863</v>
      </c>
      <c r="U2" s="9">
        <v>45227</v>
      </c>
      <c r="V2" s="9">
        <v>45598</v>
      </c>
      <c r="W2" s="9">
        <v>45962</v>
      </c>
      <c r="X2" s="9">
        <f>+W2+1</f>
        <v>45963</v>
      </c>
      <c r="Y2" s="9">
        <f>+X2+1</f>
        <v>45964</v>
      </c>
    </row>
    <row r="3" spans="1:25" s="6" customFormat="1" ht="13" x14ac:dyDescent="0.3">
      <c r="B3" s="6" t="s">
        <v>8</v>
      </c>
      <c r="C3" s="7">
        <v>2512.7040000000002</v>
      </c>
      <c r="D3" s="7">
        <v>2159.0390000000002</v>
      </c>
      <c r="E3" s="7">
        <v>2312.2089999999998</v>
      </c>
      <c r="F3" s="7">
        <f>+V3-E3-D3-C3</f>
        <v>2443.2049999999995</v>
      </c>
      <c r="G3" s="7">
        <v>2423.174</v>
      </c>
      <c r="H3" s="7">
        <v>2640.0680000000002</v>
      </c>
      <c r="I3" s="7">
        <v>2880.348</v>
      </c>
      <c r="J3" s="7">
        <f>+W3-I3-H3-G3</f>
        <v>3076.1170000000002</v>
      </c>
      <c r="K3" s="7">
        <v>3160.2629999999999</v>
      </c>
      <c r="L3" s="7">
        <v>3623.4650000000001</v>
      </c>
      <c r="M3" s="7">
        <f>+I3*1.3</f>
        <v>3744.4524000000001</v>
      </c>
      <c r="N3" s="7">
        <f>+J3*1.3</f>
        <v>3998.9521000000004</v>
      </c>
      <c r="O3" s="7">
        <f>+K3*1.3</f>
        <v>4108.3419000000004</v>
      </c>
      <c r="P3" s="7">
        <f>+L3*1.3</f>
        <v>4710.5045</v>
      </c>
      <c r="S3" s="7">
        <v>7318.2860000000001</v>
      </c>
      <c r="T3" s="7">
        <v>12013.953</v>
      </c>
      <c r="U3" s="7">
        <v>12305.539000000001</v>
      </c>
      <c r="V3" s="7">
        <v>9427.1569999999992</v>
      </c>
      <c r="W3" s="7">
        <v>11019.707</v>
      </c>
    </row>
    <row r="4" spans="1:25" x14ac:dyDescent="0.25">
      <c r="B4" s="1" t="s">
        <v>11</v>
      </c>
      <c r="C4" s="3">
        <v>1038.7629999999999</v>
      </c>
      <c r="D4" s="3">
        <v>979.00400000000002</v>
      </c>
      <c r="E4" s="3">
        <v>1000.97</v>
      </c>
      <c r="F4" s="3">
        <f>+V4-E4-D4-C4</f>
        <v>1027.0770000000002</v>
      </c>
      <c r="G4" s="3">
        <v>992.87099999999998</v>
      </c>
      <c r="H4" s="3">
        <v>1028.4580000000001</v>
      </c>
      <c r="I4" s="3">
        <v>1090.5999999999999</v>
      </c>
      <c r="J4" s="3">
        <f>+W4-I4-H4-G4</f>
        <v>1134.3000000000002</v>
      </c>
      <c r="K4" s="3">
        <v>1115.287</v>
      </c>
      <c r="L4" s="3">
        <v>1183.6669999999999</v>
      </c>
      <c r="M4" s="3">
        <f>+M3-M5</f>
        <v>1235.669292</v>
      </c>
      <c r="N4" s="3">
        <f>+N3-N5</f>
        <v>1319.6541929999999</v>
      </c>
      <c r="O4" s="3">
        <f>+O3-O5</f>
        <v>1355.7528269999998</v>
      </c>
      <c r="P4" s="3">
        <f>+P3-P5</f>
        <v>1554.4664849999999</v>
      </c>
      <c r="S4" s="3">
        <v>2793.2739999999999</v>
      </c>
      <c r="T4" s="3">
        <v>4481.4790000000003</v>
      </c>
      <c r="U4" s="3">
        <v>4428.3209999999999</v>
      </c>
      <c r="V4" s="3">
        <v>4045.8139999999999</v>
      </c>
      <c r="W4" s="3">
        <v>4246.2290000000003</v>
      </c>
    </row>
    <row r="5" spans="1:25" x14ac:dyDescent="0.25">
      <c r="B5" s="1" t="s">
        <v>12</v>
      </c>
      <c r="C5" s="3">
        <f>+C3-C4</f>
        <v>1473.9410000000003</v>
      </c>
      <c r="D5" s="3">
        <f>+D3-D4</f>
        <v>1180.0350000000003</v>
      </c>
      <c r="E5" s="3">
        <f>+E3-E4</f>
        <v>1311.2389999999998</v>
      </c>
      <c r="F5" s="3">
        <f>+F3-F4</f>
        <v>1416.1279999999992</v>
      </c>
      <c r="G5" s="3">
        <f>+G3-G4</f>
        <v>1430.3029999999999</v>
      </c>
      <c r="H5" s="3">
        <f>+H3-H4</f>
        <v>1611.6100000000001</v>
      </c>
      <c r="I5" s="3">
        <f>+I3-I4</f>
        <v>1789.748</v>
      </c>
      <c r="J5" s="3">
        <f>+J3-J4</f>
        <v>1941.817</v>
      </c>
      <c r="K5" s="3">
        <f>+K3-K4</f>
        <v>2044.9759999999999</v>
      </c>
      <c r="L5" s="3">
        <f>+L3-L4</f>
        <v>2439.7980000000002</v>
      </c>
      <c r="M5" s="3">
        <f>+M3*0.67</f>
        <v>2508.7831080000001</v>
      </c>
      <c r="N5" s="3">
        <f>+N3*0.67</f>
        <v>2679.2979070000006</v>
      </c>
      <c r="O5" s="3">
        <f>+O3*0.67</f>
        <v>2752.5890730000006</v>
      </c>
      <c r="P5" s="3">
        <f>+P3*0.67</f>
        <v>3156.0380150000001</v>
      </c>
      <c r="S5" s="3">
        <f>+S3-S4</f>
        <v>4525.0120000000006</v>
      </c>
      <c r="T5" s="3">
        <f>+T3-T4</f>
        <v>7532.4739999999993</v>
      </c>
      <c r="U5" s="3">
        <f>+U3-U4</f>
        <v>7877.2180000000008</v>
      </c>
      <c r="V5" s="3">
        <f>+V3-V4</f>
        <v>5381.3429999999989</v>
      </c>
      <c r="W5" s="3">
        <f>+W3-W4</f>
        <v>6773.4780000000001</v>
      </c>
    </row>
    <row r="6" spans="1:25" x14ac:dyDescent="0.25">
      <c r="B6" s="1" t="s">
        <v>13</v>
      </c>
      <c r="C6" s="3">
        <v>391.42700000000002</v>
      </c>
      <c r="D6" s="3">
        <v>354.86200000000002</v>
      </c>
      <c r="E6" s="3">
        <v>362.67099999999999</v>
      </c>
      <c r="F6" s="3">
        <f>+V6-E6-D6-C6</f>
        <v>378.90299999999991</v>
      </c>
      <c r="G6" s="3">
        <v>402.892</v>
      </c>
      <c r="H6" s="3">
        <v>441.83699999999999</v>
      </c>
      <c r="I6" s="3">
        <v>454.25099999999998</v>
      </c>
      <c r="J6" s="3">
        <f t="shared" ref="J6:J7" si="0">+W6-I6-H6-G6</f>
        <v>467.02100000000002</v>
      </c>
      <c r="K6" s="3">
        <v>467.4</v>
      </c>
      <c r="L6" s="3">
        <v>509.32299999999998</v>
      </c>
      <c r="M6" s="3">
        <f>+L6</f>
        <v>509.32299999999998</v>
      </c>
      <c r="N6" s="3">
        <f>+M6</f>
        <v>509.32299999999998</v>
      </c>
      <c r="O6" s="3">
        <f>+N6</f>
        <v>509.32299999999998</v>
      </c>
      <c r="P6" s="3">
        <f>+O6</f>
        <v>509.32299999999998</v>
      </c>
      <c r="S6" s="3">
        <v>1296.126</v>
      </c>
      <c r="T6" s="3">
        <v>1700.518</v>
      </c>
      <c r="U6" s="3">
        <v>1660.194</v>
      </c>
      <c r="V6" s="3">
        <v>1487.8630000000001</v>
      </c>
      <c r="W6" s="3">
        <v>1766.001</v>
      </c>
    </row>
    <row r="7" spans="1:25" x14ac:dyDescent="0.25">
      <c r="B7" s="1" t="s">
        <v>14</v>
      </c>
      <c r="C7" s="3">
        <v>290.07799999999997</v>
      </c>
      <c r="D7" s="3">
        <v>244.12899999999999</v>
      </c>
      <c r="E7" s="3">
        <v>257.21300000000002</v>
      </c>
      <c r="F7" s="3">
        <f>+V7-E7-D7-C7</f>
        <v>277.22000000000014</v>
      </c>
      <c r="G7" s="3">
        <v>284.79599999999999</v>
      </c>
      <c r="H7" s="3">
        <v>302.66899999999998</v>
      </c>
      <c r="I7" s="3">
        <v>325.70600000000002</v>
      </c>
      <c r="J7" s="3">
        <f t="shared" si="0"/>
        <v>342.16799999999995</v>
      </c>
      <c r="K7" s="3">
        <v>345.25299999999999</v>
      </c>
      <c r="L7" s="3">
        <v>362.81</v>
      </c>
      <c r="M7" s="3">
        <f>+L7</f>
        <v>362.81</v>
      </c>
      <c r="N7" s="3">
        <f>+M7</f>
        <v>362.81</v>
      </c>
      <c r="O7" s="3">
        <f>+N7</f>
        <v>362.81</v>
      </c>
      <c r="P7" s="3">
        <f>+O7</f>
        <v>362.81</v>
      </c>
      <c r="S7" s="3">
        <v>915.41800000000001</v>
      </c>
      <c r="T7" s="3">
        <v>1266.175</v>
      </c>
      <c r="U7" s="3">
        <v>1273.5840000000001</v>
      </c>
      <c r="V7" s="3">
        <v>1068.6400000000001</v>
      </c>
      <c r="W7" s="3">
        <v>1255.3389999999999</v>
      </c>
    </row>
    <row r="8" spans="1:25" x14ac:dyDescent="0.25">
      <c r="B8" s="1" t="s">
        <v>9</v>
      </c>
      <c r="C8" s="3">
        <f t="shared" ref="C8:K8" si="1">+C7+C6</f>
        <v>681.505</v>
      </c>
      <c r="D8" s="3">
        <f t="shared" si="1"/>
        <v>598.99099999999999</v>
      </c>
      <c r="E8" s="3">
        <f t="shared" si="1"/>
        <v>619.88400000000001</v>
      </c>
      <c r="F8" s="3">
        <f t="shared" si="1"/>
        <v>656.12300000000005</v>
      </c>
      <c r="G8" s="3">
        <f t="shared" si="1"/>
        <v>687.68799999999999</v>
      </c>
      <c r="H8" s="3">
        <f t="shared" si="1"/>
        <v>744.50599999999997</v>
      </c>
      <c r="I8" s="3">
        <f t="shared" si="1"/>
        <v>779.95699999999999</v>
      </c>
      <c r="J8" s="3">
        <f t="shared" si="1"/>
        <v>809.18899999999996</v>
      </c>
      <c r="K8" s="3">
        <f t="shared" si="1"/>
        <v>812.65300000000002</v>
      </c>
      <c r="L8" s="3">
        <f>+L7+L6</f>
        <v>872.13300000000004</v>
      </c>
      <c r="M8" s="3">
        <f>+M7+M6</f>
        <v>872.13300000000004</v>
      </c>
      <c r="N8" s="3">
        <f t="shared" ref="N8:P8" si="2">+N7+N6</f>
        <v>872.13300000000004</v>
      </c>
      <c r="O8" s="3">
        <f t="shared" si="2"/>
        <v>872.13300000000004</v>
      </c>
      <c r="P8" s="3">
        <f t="shared" si="2"/>
        <v>872.13300000000004</v>
      </c>
      <c r="S8" s="3">
        <f t="shared" ref="S8:W8" si="3">+S7+S6</f>
        <v>2211.5439999999999</v>
      </c>
      <c r="T8" s="3">
        <f t="shared" si="3"/>
        <v>2966.6930000000002</v>
      </c>
      <c r="U8" s="3">
        <f t="shared" si="3"/>
        <v>2933.7780000000002</v>
      </c>
      <c r="V8" s="3">
        <f t="shared" si="3"/>
        <v>2556.5030000000002</v>
      </c>
      <c r="W8" s="3">
        <f t="shared" si="3"/>
        <v>3021.34</v>
      </c>
    </row>
    <row r="9" spans="1:25" s="3" customFormat="1" x14ac:dyDescent="0.25">
      <c r="B9" s="3" t="s">
        <v>10</v>
      </c>
      <c r="C9" s="3">
        <f t="shared" ref="C9:K9" si="4">+C5-C8</f>
        <v>792.43600000000026</v>
      </c>
      <c r="D9" s="3">
        <f t="shared" si="4"/>
        <v>581.04400000000032</v>
      </c>
      <c r="E9" s="3">
        <f t="shared" si="4"/>
        <v>691.35499999999979</v>
      </c>
      <c r="F9" s="3">
        <f t="shared" si="4"/>
        <v>760.0049999999992</v>
      </c>
      <c r="G9" s="3">
        <f t="shared" si="4"/>
        <v>742.6149999999999</v>
      </c>
      <c r="H9" s="3">
        <f t="shared" si="4"/>
        <v>867.10400000000016</v>
      </c>
      <c r="I9" s="3">
        <f t="shared" si="4"/>
        <v>1009.7910000000001</v>
      </c>
      <c r="J9" s="3">
        <f t="shared" si="4"/>
        <v>1132.6280000000002</v>
      </c>
      <c r="K9" s="3">
        <f t="shared" si="4"/>
        <v>1232.3229999999999</v>
      </c>
      <c r="L9" s="3">
        <f>+L5-L8</f>
        <v>1567.6650000000002</v>
      </c>
      <c r="M9" s="3">
        <f>+M5-M8</f>
        <v>1636.650108</v>
      </c>
      <c r="N9" s="3">
        <f t="shared" ref="N9:P9" si="5">+N5-N8</f>
        <v>1807.1649070000005</v>
      </c>
      <c r="O9" s="3">
        <f t="shared" si="5"/>
        <v>1880.4560730000005</v>
      </c>
      <c r="P9" s="3">
        <f t="shared" si="5"/>
        <v>2283.9050150000003</v>
      </c>
      <c r="S9" s="3">
        <f t="shared" ref="S9:W9" si="6">+S5-S8</f>
        <v>2313.4680000000008</v>
      </c>
      <c r="T9" s="3">
        <f t="shared" si="6"/>
        <v>4565.780999999999</v>
      </c>
      <c r="U9" s="3">
        <f t="shared" si="6"/>
        <v>4943.4400000000005</v>
      </c>
      <c r="V9" s="3">
        <f t="shared" si="6"/>
        <v>2824.8399999999988</v>
      </c>
      <c r="W9" s="3">
        <f t="shared" si="6"/>
        <v>3752.1379999999999</v>
      </c>
    </row>
    <row r="10" spans="1:25" s="3" customFormat="1" x14ac:dyDescent="0.25">
      <c r="B10" s="3" t="s">
        <v>15</v>
      </c>
      <c r="C10" s="3">
        <f>-77.141+9.169</f>
        <v>-67.972000000000008</v>
      </c>
      <c r="D10" s="3">
        <f>-77.103+15.269</f>
        <v>-61.833999999999996</v>
      </c>
      <c r="E10" s="3">
        <f>-85.179+26.432</f>
        <v>-58.747</v>
      </c>
      <c r="F10" s="3">
        <f>+V10-E10-D10-C10</f>
        <v>-54.856999999999942</v>
      </c>
      <c r="G10" s="3">
        <f>-75.264+23.487</f>
        <v>-51.777000000000001</v>
      </c>
      <c r="H10" s="3">
        <f>-74.703+21.725</f>
        <v>-52.978000000000002</v>
      </c>
      <c r="I10" s="3">
        <f>-79.592+27.083</f>
        <v>-52.509</v>
      </c>
      <c r="J10" s="3">
        <f t="shared" ref="J10:J12" si="7">+W10-I10-H10-G10</f>
        <v>-55.185999999999964</v>
      </c>
      <c r="K10" s="3">
        <f>-86.345+32.257</f>
        <v>-54.088000000000001</v>
      </c>
      <c r="L10" s="3">
        <f>-87.619+28.565</f>
        <v>-59.054000000000002</v>
      </c>
      <c r="M10" s="3">
        <f>+L10</f>
        <v>-59.054000000000002</v>
      </c>
      <c r="N10" s="3">
        <f>+M10</f>
        <v>-59.054000000000002</v>
      </c>
      <c r="O10" s="3">
        <f>+N10</f>
        <v>-59.054000000000002</v>
      </c>
      <c r="P10" s="3">
        <f>+O10</f>
        <v>-59.054000000000002</v>
      </c>
      <c r="S10" s="3">
        <v>-184.82499999999999</v>
      </c>
      <c r="T10" s="3">
        <f>-200.408+6.906</f>
        <v>-193.50199999999998</v>
      </c>
      <c r="U10" s="3">
        <f>-264.641+41.287</f>
        <v>-223.35400000000001</v>
      </c>
      <c r="V10" s="3">
        <f>-322.227+78.817</f>
        <v>-243.40999999999997</v>
      </c>
      <c r="W10" s="3">
        <f>-317.716+105.266</f>
        <v>-212.45</v>
      </c>
    </row>
    <row r="11" spans="1:25" s="3" customFormat="1" x14ac:dyDescent="0.25">
      <c r="B11" s="3" t="s">
        <v>16</v>
      </c>
      <c r="C11" s="3">
        <f>+C9+C10</f>
        <v>724.46400000000028</v>
      </c>
      <c r="D11" s="3">
        <f>+D9+D10</f>
        <v>519.21000000000038</v>
      </c>
      <c r="E11" s="3">
        <f>+E9+E10</f>
        <v>632.60799999999983</v>
      </c>
      <c r="F11" s="3">
        <f>+F9+F10</f>
        <v>705.14799999999923</v>
      </c>
      <c r="G11" s="3">
        <f>+G9+G10</f>
        <v>690.83799999999985</v>
      </c>
      <c r="H11" s="3">
        <f>+H9+H10</f>
        <v>814.1260000000002</v>
      </c>
      <c r="I11" s="3">
        <f>+I9+I10</f>
        <v>957.28200000000004</v>
      </c>
      <c r="J11" s="3">
        <f>+J9+J10</f>
        <v>1077.4420000000002</v>
      </c>
      <c r="K11" s="3">
        <f>+K9+K10</f>
        <v>1178.2349999999999</v>
      </c>
      <c r="L11" s="3">
        <f>+L9+L10</f>
        <v>1508.6110000000001</v>
      </c>
      <c r="M11" s="3">
        <f>+M9+M10</f>
        <v>1577.596108</v>
      </c>
      <c r="N11" s="3">
        <f>+N9+N10</f>
        <v>1748.1109070000005</v>
      </c>
      <c r="O11" s="3">
        <f>+O9+O10</f>
        <v>1821.4020730000004</v>
      </c>
      <c r="P11" s="3">
        <f>+P9+P10</f>
        <v>2224.8510150000002</v>
      </c>
      <c r="S11" s="3">
        <f t="shared" ref="S11:W11" si="8">+S9+S10</f>
        <v>2128.6430000000009</v>
      </c>
      <c r="T11" s="3">
        <f t="shared" si="8"/>
        <v>4372.2789999999986</v>
      </c>
      <c r="U11" s="3">
        <f t="shared" si="8"/>
        <v>4720.0860000000002</v>
      </c>
      <c r="V11" s="3">
        <f t="shared" si="8"/>
        <v>2581.4299999999989</v>
      </c>
      <c r="W11" s="3">
        <f t="shared" si="8"/>
        <v>3539.6880000000001</v>
      </c>
    </row>
    <row r="12" spans="1:25" s="3" customFormat="1" x14ac:dyDescent="0.25">
      <c r="B12" s="3" t="s">
        <v>17</v>
      </c>
      <c r="C12" s="3">
        <v>50.691000000000003</v>
      </c>
      <c r="D12" s="3">
        <v>22.361000000000001</v>
      </c>
      <c r="E12" s="3">
        <v>30.759</v>
      </c>
      <c r="F12" s="3">
        <f>+V12-E12-D12-C12</f>
        <v>38.256</v>
      </c>
      <c r="G12" s="3">
        <v>44.26</v>
      </c>
      <c r="H12" s="3">
        <v>56.158000000000001</v>
      </c>
      <c r="I12" s="3">
        <v>244.89099999999999</v>
      </c>
      <c r="J12" s="3">
        <f t="shared" si="7"/>
        <v>99.461000000000013</v>
      </c>
      <c r="K12" s="3">
        <v>115.045</v>
      </c>
      <c r="L12" s="3">
        <v>148.47800000000001</v>
      </c>
      <c r="M12" s="3">
        <f>+M11*0.15</f>
        <v>236.63941619999997</v>
      </c>
      <c r="N12" s="3">
        <f>+N11*0.15</f>
        <v>262.21663605000003</v>
      </c>
      <c r="O12" s="3">
        <f>+O11*0.15</f>
        <v>273.21031095000006</v>
      </c>
      <c r="P12" s="3">
        <f>+P11*0.15</f>
        <v>333.72765225000001</v>
      </c>
      <c r="S12" s="3">
        <v>61.707999999999998</v>
      </c>
      <c r="T12" s="3">
        <v>350.18799999999999</v>
      </c>
      <c r="U12" s="3">
        <v>293.42399999999998</v>
      </c>
      <c r="V12" s="3">
        <v>142.06700000000001</v>
      </c>
      <c r="W12" s="3">
        <v>444.77</v>
      </c>
    </row>
    <row r="13" spans="1:25" s="3" customFormat="1" x14ac:dyDescent="0.25">
      <c r="B13" s="3" t="s">
        <v>18</v>
      </c>
      <c r="C13" s="3">
        <f>+C11-C12</f>
        <v>673.77300000000025</v>
      </c>
      <c r="D13" s="3">
        <f>+D11-D12</f>
        <v>496.84900000000039</v>
      </c>
      <c r="E13" s="3">
        <f>+E11-E12</f>
        <v>601.84899999999982</v>
      </c>
      <c r="F13" s="3">
        <f>+F11-F12</f>
        <v>666.89199999999926</v>
      </c>
      <c r="G13" s="3">
        <f>+G11-G12</f>
        <v>646.57799999999986</v>
      </c>
      <c r="H13" s="3">
        <f>+H11-H12</f>
        <v>757.96800000000019</v>
      </c>
      <c r="I13" s="3">
        <f>+I11-I12</f>
        <v>712.39100000000008</v>
      </c>
      <c r="J13" s="3">
        <f>+J11-J12</f>
        <v>977.98100000000022</v>
      </c>
      <c r="K13" s="3">
        <f>+K11-K12</f>
        <v>1063.1899999999998</v>
      </c>
      <c r="L13" s="3">
        <f>+L11-L12</f>
        <v>1360.133</v>
      </c>
      <c r="M13" s="3">
        <f>+M11-M12</f>
        <v>1340.9566918</v>
      </c>
      <c r="N13" s="3">
        <f>+N11-N12</f>
        <v>1485.8942709500004</v>
      </c>
      <c r="O13" s="3">
        <f>+O11-O12</f>
        <v>1548.1917620500003</v>
      </c>
      <c r="P13" s="3">
        <f>+P11-P12</f>
        <v>1891.1233627500001</v>
      </c>
      <c r="S13" s="3">
        <f t="shared" ref="S13:W13" si="9">+S11-S12</f>
        <v>2066.9350000000009</v>
      </c>
      <c r="T13" s="3">
        <f t="shared" si="9"/>
        <v>4022.0909999999985</v>
      </c>
      <c r="U13" s="3">
        <f t="shared" si="9"/>
        <v>4426.6620000000003</v>
      </c>
      <c r="V13" s="3">
        <f t="shared" si="9"/>
        <v>2439.3629999999989</v>
      </c>
      <c r="W13" s="3">
        <f t="shared" si="9"/>
        <v>3094.9180000000001</v>
      </c>
    </row>
    <row r="14" spans="1:25" x14ac:dyDescent="0.25">
      <c r="B14" s="1" t="s">
        <v>20</v>
      </c>
      <c r="C14" s="2">
        <f>+C13/C15</f>
        <v>1.3509476862740386</v>
      </c>
      <c r="D14" s="2">
        <f>+D13/D15</f>
        <v>0.99662208920974216</v>
      </c>
      <c r="E14" s="2">
        <f>+E13/E15</f>
        <v>1.206608339314426</v>
      </c>
      <c r="F14" s="2">
        <f>+F13/F15</f>
        <v>1.3372689228128487</v>
      </c>
      <c r="G14" s="2">
        <f>+G13/G15</f>
        <v>1.2966101694915251</v>
      </c>
      <c r="H14" s="2">
        <f>+H13/H15</f>
        <v>1.5214100332998131</v>
      </c>
      <c r="I14" s="2">
        <f>+I13/I15</f>
        <v>1.4341729645720178</v>
      </c>
      <c r="J14" s="2">
        <f>+J13/J15</f>
        <v>1.9689214409241633</v>
      </c>
      <c r="K14" s="2">
        <f>+K13/K15</f>
        <v>2.1624672535268559</v>
      </c>
      <c r="L14" s="2">
        <f>+L13/L15</f>
        <v>2.7731895493599859</v>
      </c>
      <c r="M14" s="2">
        <f t="shared" ref="M14:P14" si="10">+M13/M15</f>
        <v>2.7340907718907634</v>
      </c>
      <c r="N14" s="2">
        <f t="shared" si="10"/>
        <v>3.0296055339091224</v>
      </c>
      <c r="O14" s="2">
        <f t="shared" si="10"/>
        <v>3.1566245469540721</v>
      </c>
      <c r="P14" s="2">
        <f t="shared" si="10"/>
        <v>3.8558314121698491</v>
      </c>
      <c r="S14" s="2">
        <f>+S13/S15</f>
        <v>5.1507520783078506</v>
      </c>
      <c r="T14" s="2">
        <f>+T13/T15</f>
        <v>7.6878060621815107</v>
      </c>
      <c r="U14" s="2">
        <f>+U13/U15</f>
        <v>8.7490527888623397</v>
      </c>
      <c r="V14" s="2">
        <f>+V13/V15</f>
        <v>4.8914731791047448</v>
      </c>
      <c r="W14" s="2">
        <f>+W13/W15</f>
        <v>6.2308474378358358</v>
      </c>
    </row>
    <row r="15" spans="1:25" s="3" customFormat="1" x14ac:dyDescent="0.25">
      <c r="B15" s="3" t="s">
        <v>1</v>
      </c>
      <c r="C15" s="3">
        <v>498.74099999999999</v>
      </c>
      <c r="D15" s="3">
        <v>498.53300000000002</v>
      </c>
      <c r="E15" s="3">
        <v>498.79399999999998</v>
      </c>
      <c r="F15" s="3">
        <f>+V15</f>
        <v>498.697</v>
      </c>
      <c r="G15" s="3">
        <v>498.66800000000001</v>
      </c>
      <c r="H15" s="3">
        <v>498.20100000000002</v>
      </c>
      <c r="I15" s="3">
        <v>496.726</v>
      </c>
      <c r="J15" s="3">
        <f>+W15</f>
        <v>496.709</v>
      </c>
      <c r="K15" s="3">
        <v>491.65600000000001</v>
      </c>
      <c r="L15" s="3">
        <v>490.45800000000003</v>
      </c>
      <c r="M15" s="3">
        <f>+L15</f>
        <v>490.45800000000003</v>
      </c>
      <c r="N15" s="3">
        <f>+M15</f>
        <v>490.45800000000003</v>
      </c>
      <c r="O15" s="3">
        <f>+N15</f>
        <v>490.45800000000003</v>
      </c>
      <c r="P15" s="3">
        <f>+O15</f>
        <v>490.45800000000003</v>
      </c>
      <c r="S15" s="3">
        <v>401.28800000000001</v>
      </c>
      <c r="T15" s="3">
        <v>523.178</v>
      </c>
      <c r="U15" s="3">
        <v>505.959</v>
      </c>
      <c r="V15" s="3">
        <v>498.697</v>
      </c>
      <c r="W15" s="3">
        <v>496.709</v>
      </c>
    </row>
    <row r="17" spans="2:23" x14ac:dyDescent="0.25">
      <c r="B17" s="1" t="s">
        <v>19</v>
      </c>
      <c r="G17" s="5">
        <f>+G3/C3-1</f>
        <v>-3.5630937826341746E-2</v>
      </c>
      <c r="H17" s="5">
        <f>+H3/D3-1</f>
        <v>0.22279773547397697</v>
      </c>
      <c r="I17" s="5">
        <f>+I3/E3-1</f>
        <v>0.24571264967829465</v>
      </c>
      <c r="J17" s="5">
        <f>+J3/F3-1</f>
        <v>0.25904989552657298</v>
      </c>
      <c r="K17" s="5">
        <f>+K3/G3-1</f>
        <v>0.30418327367328968</v>
      </c>
      <c r="L17" s="5">
        <f>+L3/H3-1</f>
        <v>0.37248926921579284</v>
      </c>
      <c r="M17" s="5">
        <f>+M3/I3-1</f>
        <v>0.30000000000000004</v>
      </c>
      <c r="N17" s="5">
        <f>+N3/J3-1</f>
        <v>0.30000000000000004</v>
      </c>
      <c r="O17" s="5">
        <f>+O3/K3-1</f>
        <v>0.30000000000000004</v>
      </c>
      <c r="P17" s="5">
        <f>+P3/L3-1</f>
        <v>0.30000000000000004</v>
      </c>
      <c r="T17" s="5">
        <f>+T3/S3-1</f>
        <v>0.64163480355919389</v>
      </c>
      <c r="U17" s="5">
        <f>+U3/T3-1</f>
        <v>2.427061267844155E-2</v>
      </c>
      <c r="V17" s="5">
        <f>+V3/U3-1</f>
        <v>-0.23390946142221003</v>
      </c>
      <c r="W17" s="5">
        <f>+W3/V3-1</f>
        <v>0.16893216056548122</v>
      </c>
    </row>
    <row r="19" spans="2:23" x14ac:dyDescent="0.25">
      <c r="B19" s="1" t="s">
        <v>12</v>
      </c>
      <c r="C19" s="5">
        <f>+C5/C3</f>
        <v>0.58659555602251601</v>
      </c>
      <c r="D19" s="5">
        <f t="shared" ref="D19:P19" si="11">+D5/D3</f>
        <v>0.54655566666465971</v>
      </c>
      <c r="E19" s="5">
        <f t="shared" si="11"/>
        <v>0.56709363210678621</v>
      </c>
      <c r="F19" s="5">
        <f t="shared" si="11"/>
        <v>0.57961898408033696</v>
      </c>
      <c r="G19" s="5">
        <f t="shared" si="11"/>
        <v>0.59026012989574828</v>
      </c>
      <c r="H19" s="5">
        <f t="shared" si="11"/>
        <v>0.61044260981156551</v>
      </c>
      <c r="I19" s="5">
        <f t="shared" si="11"/>
        <v>0.6213651961499097</v>
      </c>
      <c r="J19" s="5">
        <f t="shared" si="11"/>
        <v>0.63125589826394768</v>
      </c>
      <c r="K19" s="5">
        <f t="shared" si="11"/>
        <v>0.64709044785196668</v>
      </c>
      <c r="L19" s="5">
        <f t="shared" si="11"/>
        <v>0.67333284577055397</v>
      </c>
      <c r="M19" s="5">
        <f t="shared" si="11"/>
        <v>0.67</v>
      </c>
      <c r="N19" s="5">
        <f t="shared" si="11"/>
        <v>0.67</v>
      </c>
      <c r="O19" s="5">
        <f t="shared" si="11"/>
        <v>0.67</v>
      </c>
      <c r="P19" s="5">
        <f t="shared" si="11"/>
        <v>0.67</v>
      </c>
    </row>
  </sheetData>
  <hyperlinks>
    <hyperlink ref="A1" location="Main!A1" display="Main" xr:uid="{752F7C31-2FFC-46B2-8CB1-9DFC4E6209FC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2026-07-08T12:42:50Z</dcterms:created>
  <dcterms:modified xsi:type="dcterms:W3CDTF">2026-07-08T14:28:06Z</dcterms:modified>
</cp:coreProperties>
</file>