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F3AA638-0F8B-4AB4-96B0-D272DBC453A4}" xr6:coauthVersionLast="47" xr6:coauthVersionMax="47" xr10:uidLastSave="{00000000-0000-0000-0000-000000000000}"/>
  <bookViews>
    <workbookView xWindow="18040" yWindow="7930" windowWidth="19890" windowHeight="10280" activeTab="1" xr2:uid="{C183CDF4-DAE3-4211-A459-AE4D0C2142B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B20" i="2" l="1"/>
  <c r="AB6" i="2"/>
  <c r="S6" i="2"/>
  <c r="S20" i="2"/>
  <c r="X6" i="2"/>
  <c r="T6" i="2"/>
  <c r="AA32" i="2"/>
  <c r="Z32" i="2"/>
  <c r="Y32" i="2"/>
  <c r="X32" i="2"/>
  <c r="W32" i="2"/>
  <c r="V32" i="2"/>
  <c r="U32" i="2"/>
  <c r="T32" i="2"/>
  <c r="R32" i="2"/>
  <c r="Q32" i="2"/>
  <c r="P32" i="2"/>
  <c r="O32" i="2"/>
  <c r="T20" i="2"/>
  <c r="X20" i="2"/>
  <c r="W6" i="2"/>
  <c r="V6" i="2"/>
  <c r="U6" i="2"/>
  <c r="Z6" i="2"/>
  <c r="Y6" i="2"/>
  <c r="AA6" i="2"/>
  <c r="U20" i="2"/>
  <c r="Y20" i="2"/>
  <c r="V20" i="2"/>
  <c r="W20" i="2"/>
  <c r="Z20" i="2"/>
  <c r="AA20" i="2"/>
  <c r="AD18" i="2"/>
  <c r="AC18" i="2"/>
  <c r="AB18" i="2"/>
  <c r="AA18" i="2"/>
  <c r="Z18" i="2"/>
  <c r="Y18" i="2"/>
  <c r="X18" i="2"/>
  <c r="W18" i="2"/>
  <c r="V18" i="2"/>
  <c r="U18" i="2"/>
  <c r="T18" i="2"/>
  <c r="S18" i="2"/>
  <c r="S32" i="2" s="1"/>
  <c r="R18" i="2"/>
  <c r="Q18" i="2"/>
  <c r="P18" i="2"/>
  <c r="O18" i="2"/>
  <c r="N22" i="2"/>
  <c r="M22" i="2"/>
  <c r="AI22" i="2" s="1"/>
  <c r="N21" i="2"/>
  <c r="M21" i="2"/>
  <c r="N7" i="2"/>
  <c r="M7" i="2"/>
  <c r="N17" i="2"/>
  <c r="M17" i="2"/>
  <c r="N16" i="2"/>
  <c r="M16" i="2"/>
  <c r="N15" i="2"/>
  <c r="M15" i="2"/>
  <c r="AI15" i="2" s="1"/>
  <c r="AH7" i="2"/>
  <c r="AH17" i="2"/>
  <c r="AH16" i="2"/>
  <c r="AH15" i="2"/>
  <c r="AJ18" i="2"/>
  <c r="AK18" i="2"/>
  <c r="AL18" i="2"/>
  <c r="AM18" i="2"/>
  <c r="AN18" i="2"/>
  <c r="L10" i="2"/>
  <c r="L49" i="2"/>
  <c r="L48" i="2"/>
  <c r="L47" i="2"/>
  <c r="L45" i="2"/>
  <c r="L46" i="2"/>
  <c r="L39" i="2"/>
  <c r="L42" i="2"/>
  <c r="L41" i="2"/>
  <c r="L35" i="2"/>
  <c r="L25" i="2"/>
  <c r="L23" i="2"/>
  <c r="L18" i="2"/>
  <c r="L20" i="2" s="1"/>
  <c r="L32" i="2" s="1"/>
  <c r="C27" i="2"/>
  <c r="C25" i="2"/>
  <c r="C23" i="2"/>
  <c r="C18" i="2"/>
  <c r="C20" i="2" s="1"/>
  <c r="G27" i="2"/>
  <c r="G25" i="2"/>
  <c r="D27" i="2"/>
  <c r="D25" i="2"/>
  <c r="D23" i="2"/>
  <c r="D18" i="2"/>
  <c r="D20" i="2" s="1"/>
  <c r="H27" i="2"/>
  <c r="H25" i="2"/>
  <c r="E27" i="2"/>
  <c r="E25" i="2"/>
  <c r="E23" i="2"/>
  <c r="I27" i="2"/>
  <c r="I25" i="2"/>
  <c r="E18" i="2"/>
  <c r="K10" i="2"/>
  <c r="AG18" i="2"/>
  <c r="AG20" i="2" s="1"/>
  <c r="J18" i="2"/>
  <c r="J20" i="2" s="1"/>
  <c r="J32" i="2" s="1"/>
  <c r="I18" i="2"/>
  <c r="I20" i="2" s="1"/>
  <c r="I32" i="2" s="1"/>
  <c r="H18" i="2"/>
  <c r="H20" i="2" s="1"/>
  <c r="H32" i="2" s="1"/>
  <c r="G18" i="2"/>
  <c r="G20" i="2" s="1"/>
  <c r="G32" i="2" s="1"/>
  <c r="F18" i="2"/>
  <c r="F20" i="2" s="1"/>
  <c r="F32" i="2" s="1"/>
  <c r="K18" i="2"/>
  <c r="K49" i="2"/>
  <c r="K48" i="2"/>
  <c r="K45" i="2"/>
  <c r="K47" i="2"/>
  <c r="K46" i="2"/>
  <c r="K42" i="2"/>
  <c r="K41" i="2"/>
  <c r="K35" i="2"/>
  <c r="AG27" i="2"/>
  <c r="AG25" i="2"/>
  <c r="AH27" i="2"/>
  <c r="AH25" i="2"/>
  <c r="AG23" i="2"/>
  <c r="AH23" i="2"/>
  <c r="AH2" i="2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F27" i="2"/>
  <c r="F25" i="2"/>
  <c r="F23" i="2"/>
  <c r="J27" i="2"/>
  <c r="J25" i="2"/>
  <c r="J23" i="2"/>
  <c r="I23" i="2"/>
  <c r="H23" i="2"/>
  <c r="G23" i="2"/>
  <c r="L4" i="1"/>
  <c r="L7" i="1" s="1"/>
  <c r="K27" i="2"/>
  <c r="K25" i="2"/>
  <c r="K23" i="2"/>
  <c r="AI7" i="2" l="1"/>
  <c r="K43" i="2"/>
  <c r="AI21" i="2"/>
  <c r="L24" i="2"/>
  <c r="L26" i="2" s="1"/>
  <c r="L28" i="2" s="1"/>
  <c r="M25" i="2"/>
  <c r="N25" i="2" s="1"/>
  <c r="AI25" i="2" s="1"/>
  <c r="M23" i="2"/>
  <c r="N23" i="2"/>
  <c r="M18" i="2"/>
  <c r="M31" i="2" s="1"/>
  <c r="AI16" i="2"/>
  <c r="AI23" i="2"/>
  <c r="L33" i="2"/>
  <c r="L51" i="2"/>
  <c r="AI17" i="2"/>
  <c r="L43" i="2"/>
  <c r="K31" i="2"/>
  <c r="N18" i="2"/>
  <c r="N31" i="2" s="1"/>
  <c r="L31" i="2"/>
  <c r="I31" i="2"/>
  <c r="AH18" i="2"/>
  <c r="AH20" i="2" s="1"/>
  <c r="AH24" i="2" s="1"/>
  <c r="AH26" i="2" s="1"/>
  <c r="AH28" i="2" s="1"/>
  <c r="C24" i="2"/>
  <c r="C26" i="2" s="1"/>
  <c r="C28" i="2" s="1"/>
  <c r="G31" i="2"/>
  <c r="D24" i="2"/>
  <c r="D26" i="2" s="1"/>
  <c r="D28" i="2" s="1"/>
  <c r="H31" i="2"/>
  <c r="E20" i="2"/>
  <c r="E32" i="2" s="1"/>
  <c r="E24" i="2"/>
  <c r="E26" i="2" s="1"/>
  <c r="K51" i="2"/>
  <c r="J31" i="2"/>
  <c r="AG24" i="2"/>
  <c r="AG26" i="2" s="1"/>
  <c r="AG28" i="2" s="1"/>
  <c r="H24" i="2"/>
  <c r="H26" i="2" s="1"/>
  <c r="I24" i="2"/>
  <c r="I26" i="2" s="1"/>
  <c r="J24" i="2"/>
  <c r="J26" i="2" s="1"/>
  <c r="K20" i="2"/>
  <c r="F24" i="2"/>
  <c r="F26" i="2" s="1"/>
  <c r="G24" i="2"/>
  <c r="G26" i="2" s="1"/>
  <c r="G28" i="2" s="1"/>
  <c r="AI18" i="2" l="1"/>
  <c r="AI31" i="2" s="1"/>
  <c r="M20" i="2"/>
  <c r="M19" i="2" s="1"/>
  <c r="J28" i="2"/>
  <c r="J33" i="2"/>
  <c r="I28" i="2"/>
  <c r="I33" i="2"/>
  <c r="H28" i="2"/>
  <c r="H33" i="2"/>
  <c r="E28" i="2"/>
  <c r="E33" i="2"/>
  <c r="F28" i="2"/>
  <c r="F33" i="2"/>
  <c r="G33" i="2"/>
  <c r="N20" i="2"/>
  <c r="N19" i="2" s="1"/>
  <c r="K24" i="2"/>
  <c r="K26" i="2" s="1"/>
  <c r="K32" i="2"/>
  <c r="AH31" i="2"/>
  <c r="M32" i="2" l="1"/>
  <c r="M24" i="2"/>
  <c r="M26" i="2" s="1"/>
  <c r="M27" i="2" s="1"/>
  <c r="M33" i="2" s="1"/>
  <c r="K28" i="2"/>
  <c r="K33" i="2"/>
  <c r="AI19" i="2"/>
  <c r="AI20" i="2" s="1"/>
  <c r="AI24" i="2" s="1"/>
  <c r="AI26" i="2" s="1"/>
  <c r="N32" i="2"/>
  <c r="N24" i="2"/>
  <c r="N26" i="2" s="1"/>
  <c r="M28" i="2" l="1"/>
  <c r="N27" i="2"/>
  <c r="N33" i="2" l="1"/>
  <c r="AI27" i="2"/>
  <c r="AI28" i="2" s="1"/>
  <c r="N28" i="2"/>
</calcChain>
</file>

<file path=xl/sharedStrings.xml><?xml version="1.0" encoding="utf-8"?>
<sst xmlns="http://schemas.openxmlformats.org/spreadsheetml/2006/main" count="108" uniqueCount="104">
  <si>
    <t>Price HKD</t>
  </si>
  <si>
    <t>Shares</t>
  </si>
  <si>
    <t>MC HKD</t>
  </si>
  <si>
    <t>EV HKD</t>
  </si>
  <si>
    <t>Q122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</si>
  <si>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</si>
  <si>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</si>
  <si>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</si>
  <si>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</si>
  <si>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</si>
  <si>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</si>
  <si>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</si>
  <si>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</si>
  <si>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</si>
  <si>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</si>
  <si>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</si>
  <si>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</si>
  <si>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</si>
  <si>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VAS</t>
  </si>
  <si>
    <t>Ads</t>
  </si>
  <si>
    <t>Fintech</t>
  </si>
  <si>
    <t>Others</t>
  </si>
  <si>
    <t>COGS</t>
  </si>
  <si>
    <t>Gross Profit</t>
  </si>
  <si>
    <t>G&amp;A</t>
  </si>
  <si>
    <t>S&amp;M</t>
  </si>
  <si>
    <t>Operating Expenses</t>
  </si>
  <si>
    <t>Operating Income</t>
  </si>
  <si>
    <t>Net Income</t>
  </si>
  <si>
    <t>Taxes</t>
  </si>
  <si>
    <t>Pretax Income</t>
  </si>
  <si>
    <t>Interest Income</t>
  </si>
  <si>
    <t>Non-IFRS NI</t>
  </si>
  <si>
    <t>Revenue Growth</t>
  </si>
  <si>
    <t>Cash</t>
  </si>
  <si>
    <t>AR</t>
  </si>
  <si>
    <t>Inventories</t>
  </si>
  <si>
    <t>DT</t>
  </si>
  <si>
    <t>Prepayments</t>
  </si>
  <si>
    <t>Assets</t>
  </si>
  <si>
    <t>Goodwill</t>
  </si>
  <si>
    <t>PP&amp;E</t>
  </si>
  <si>
    <t>Right of Use</t>
  </si>
  <si>
    <t>Debt</t>
  </si>
  <si>
    <t>AP</t>
  </si>
  <si>
    <t>Other</t>
  </si>
  <si>
    <t>Lease</t>
  </si>
  <si>
    <t>DR</t>
  </si>
  <si>
    <t>SE</t>
  </si>
  <si>
    <t>L+SE</t>
  </si>
  <si>
    <t>Mini Programs</t>
  </si>
  <si>
    <t>Tencent Meeting</t>
  </si>
  <si>
    <t>WeCom</t>
  </si>
  <si>
    <t xml:space="preserve">  Mobile Games</t>
  </si>
  <si>
    <t xml:space="preserve">  PC Games</t>
  </si>
  <si>
    <t xml:space="preserve">  Domestic Games</t>
  </si>
  <si>
    <t xml:space="preserve">  International Games</t>
  </si>
  <si>
    <t>Games</t>
  </si>
  <si>
    <t>League of Legends: Wild Rift</t>
  </si>
  <si>
    <t>Fight of the Golden Spatula</t>
  </si>
  <si>
    <t>Moonlight Blade Mobile</t>
  </si>
  <si>
    <t>Call of Duty Mobile</t>
  </si>
  <si>
    <t>Valorant</t>
  </si>
  <si>
    <t>Clash of Clans</t>
  </si>
  <si>
    <t>PUBG Mobile</t>
  </si>
  <si>
    <t xml:space="preserve">  Other VAS (Social)</t>
  </si>
  <si>
    <t xml:space="preserve">  Social Networks</t>
  </si>
  <si>
    <t>Sogou</t>
  </si>
  <si>
    <t>WeChat</t>
  </si>
  <si>
    <t>Tencent News</t>
  </si>
  <si>
    <t>Tencent Video</t>
  </si>
  <si>
    <t>Weixin</t>
  </si>
  <si>
    <t>WeChat MAU</t>
  </si>
  <si>
    <t>QQ MAU</t>
  </si>
  <si>
    <t>QQ</t>
  </si>
  <si>
    <t>Fee-based Subs</t>
  </si>
  <si>
    <t>Peacekeeper Elite</t>
  </si>
  <si>
    <t>Return to Empire</t>
  </si>
  <si>
    <t>Dune Spice Wars</t>
  </si>
  <si>
    <t>Apex Legends Mobile (EA)</t>
  </si>
  <si>
    <t>VOD PaaS</t>
  </si>
  <si>
    <t>Honour of Kings - 100m DAUs?</t>
  </si>
  <si>
    <t>Headcount</t>
  </si>
  <si>
    <t>Gross Margin</t>
  </si>
  <si>
    <t>Tax Rate</t>
  </si>
  <si>
    <t>Q225</t>
  </si>
  <si>
    <t>Cash CNY</t>
  </si>
  <si>
    <t>Debt CNY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</si>
  <si>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</si>
  <si>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</si>
  <si>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</si>
  <si>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</si>
  <si>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</si>
  <si>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</si>
  <si>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</si>
  <si>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</si>
  <si>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</si>
  <si>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Q325</t>
  </si>
  <si>
    <t>Q425</t>
  </si>
  <si>
    <t>Q126</t>
  </si>
  <si>
    <t>Q226</t>
  </si>
  <si>
    <t>Q326</t>
  </si>
  <si>
    <t>Q426</t>
  </si>
  <si>
    <t>Billion RMB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</si>
</sst>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0" fontId="3" fillId="0" borderId="0" xfId="0" applyFont="1"/>
    <xf numFmtId="9" fontId="0" fillId="0" borderId="0" xfId="0" applyNumberFormat="1" applyAlignment="1">
      <alignment horizontal="right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765168E-6CF7-4E4F-A3D7-A384A42A83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38100</xdr:colOff>
      <xdr:row>0</xdr:row>
      <xdr:rowOff>0</xdr:rowOff>
    </xdr:from>
    <xdr:to>
      <xdr:col>34</xdr:col>
      <xdr:colOff>38100</xdr:colOff>
      <xdr:row>58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55A4F99-8EE0-E79A-7850-D5C422B1BE16}"/>
            </a:ext>
          </a:extLst>
        </xdr:cNvPr>
        <xdr:cNvCxnSpPr/>
      </xdr:nvCxnSpPr>
      <xdr:spPr>
        <a:xfrm>
          <a:off x="11325225" y="0"/>
          <a:ext cx="0" cy="7334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66675</xdr:colOff>
      <xdr:row>0</xdr:row>
      <xdr:rowOff>57150</xdr:rowOff>
    </xdr:from>
    <xdr:to>
      <xdr:col>12</xdr:col>
      <xdr:colOff>66675</xdr:colOff>
      <xdr:row>58</xdr:row>
      <xdr:rowOff>104775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3C37404-0B9D-42EE-A8BE-34841170FFE3}"/>
            </a:ext>
          </a:extLst>
        </xdr:cNvPr>
        <xdr:cNvCxnSpPr/>
      </xdr:nvCxnSpPr>
      <xdr:spPr>
        <a:xfrm>
          <a:off x="7753350" y="57150"/>
          <a:ext cx="0" cy="9115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D774-2E12-4746-88E6-1A6120E6AF7B}">
  <dimension ref="B2:M26"/>
  <sheetViews>
    <sheetView zoomScale="130" zoomScaleNormal="130" workbookViewId="0">
      <selection activeCell="M2" sqref="M2"/>
    </sheetView>
  </sheetViews>
  <sheetFormatPr defaultRowHeight="12.5" x14ac:dyDescent="0.25"/>
  <cols>
    <col min="11" max="11" width="10.81640625" customWidth="1"/>
    <col min="12" max="12" width="8.90625" bestFit="1" customWidth="1"/>
  </cols>
  <sheetData>
    <row r="2" spans="2:13" ht="13" x14ac:dyDescent="0.3">
      <c r="B2" s="12" t="s">
        <v>57</v>
      </c>
      <c r="K2" t="s">
        <v>0</v>
      </c>
      <c r="L2" s="1">
        <v>472.2</v>
      </c>
    </row>
    <row r="3" spans="2:13" ht="13" x14ac:dyDescent="0.3">
      <c r="B3" s="10" t="s">
        <v>81</v>
      </c>
      <c r="K3" t="s">
        <v>1</v>
      </c>
      <c r="L3" s="3">
        <v>9097</v>
      </c>
      <c r="M3" s="2" t="s">
        <v>15</v>
      </c>
    </row>
    <row r="4" spans="2:13" x14ac:dyDescent="0.25">
      <c r="B4" t="s">
        <v>76</v>
      </c>
      <c r="K4" t="s">
        <v>2</v>
      </c>
      <c r="L4" s="3">
        <f>L2*L3</f>
        <v>4295603.3999999994</v>
      </c>
    </row>
    <row r="5" spans="2:13" x14ac:dyDescent="0.25">
      <c r="B5" t="s">
        <v>58</v>
      </c>
      <c r="K5" t="s">
        <v>86</v>
      </c>
      <c r="L5" s="3">
        <v>74592</v>
      </c>
      <c r="M5" s="2" t="s">
        <v>85</v>
      </c>
    </row>
    <row r="6" spans="2:13" x14ac:dyDescent="0.25">
      <c r="B6" t="s">
        <v>59</v>
      </c>
      <c r="K6" t="s">
        <v>87</v>
      </c>
      <c r="L6" s="3">
        <v>0</v>
      </c>
      <c r="M6" s="2" t="s">
        <v>85</v>
      </c>
    </row>
    <row r="7" spans="2:13" x14ac:dyDescent="0.25">
      <c r="B7" t="s">
        <v>60</v>
      </c>
      <c r="K7" t="s">
        <v>3</v>
      </c>
      <c r="L7" s="3">
        <f>L4-L5+L6</f>
        <v>4221011.3999999994</v>
      </c>
    </row>
    <row r="8" spans="2:13" x14ac:dyDescent="0.25">
      <c r="B8" t="s">
        <v>61</v>
      </c>
    </row>
    <row r="9" spans="2:13" x14ac:dyDescent="0.25">
      <c r="B9" t="s">
        <v>62</v>
      </c>
    </row>
    <row r="10" spans="2:13" x14ac:dyDescent="0.25">
      <c r="B10" t="s">
        <v>63</v>
      </c>
    </row>
    <row r="11" spans="2:13" x14ac:dyDescent="0.25">
      <c r="B11" t="s">
        <v>64</v>
      </c>
    </row>
    <row r="12" spans="2:13" x14ac:dyDescent="0.25">
      <c r="B12" t="s">
        <v>77</v>
      </c>
    </row>
    <row r="13" spans="2:13" x14ac:dyDescent="0.25">
      <c r="B13" t="s">
        <v>78</v>
      </c>
    </row>
    <row r="14" spans="2:13" x14ac:dyDescent="0.25">
      <c r="B14" t="s">
        <v>79</v>
      </c>
    </row>
    <row r="16" spans="2:13" ht="13" x14ac:dyDescent="0.3">
      <c r="B16" s="12" t="s">
        <v>45</v>
      </c>
    </row>
    <row r="17" spans="2:2" x14ac:dyDescent="0.25">
      <c r="B17" t="s">
        <v>67</v>
      </c>
    </row>
    <row r="18" spans="2:2" x14ac:dyDescent="0.25">
      <c r="B18" t="s">
        <v>68</v>
      </c>
    </row>
    <row r="19" spans="2:2" x14ac:dyDescent="0.25">
      <c r="B19" t="s">
        <v>50</v>
      </c>
    </row>
    <row r="20" spans="2:2" x14ac:dyDescent="0.25">
      <c r="B20" t="s">
        <v>51</v>
      </c>
    </row>
    <row r="21" spans="2:2" x14ac:dyDescent="0.25">
      <c r="B21" t="s">
        <v>52</v>
      </c>
    </row>
    <row r="22" spans="2:2" x14ac:dyDescent="0.25">
      <c r="B22" t="s">
        <v>69</v>
      </c>
    </row>
    <row r="23" spans="2:2" x14ac:dyDescent="0.25">
      <c r="B23" t="s">
        <v>70</v>
      </c>
    </row>
    <row r="24" spans="2:2" x14ac:dyDescent="0.25">
      <c r="B24" t="s">
        <v>71</v>
      </c>
    </row>
    <row r="25" spans="2:2" x14ac:dyDescent="0.25">
      <c r="B25" t="s">
        <v>74</v>
      </c>
    </row>
    <row r="26" spans="2:2" x14ac:dyDescent="0.25">
      <c r="B26" t="s">
        <v>80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0D08-E52C-4128-A040-0E26B040CE26}">
  <dimension ref="A1:AV53"/>
  <sheetViews>
    <sheetView tabSelected="1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B11" sqref="AB11"/>
    </sheetView>
  </sheetViews>
  <sheetFormatPr defaultRowHeight="12.5" x14ac:dyDescent="0.25"/>
  <cols>
    <col min="1" max="1" width="5" bestFit="1" customWidth="1"/>
    <col min="2" max="2" width="18.81640625" customWidth="1"/>
    <col min="3" max="14" width="9.1796875" style="2"/>
    <col min="15" max="30" width="8.7265625" style="2"/>
  </cols>
  <sheetData>
    <row r="1" spans="1:48" x14ac:dyDescent="0.25">
      <c r="A1" s="7" t="s">
        <v>5</v>
      </c>
    </row>
    <row r="2" spans="1:48" x14ac:dyDescent="0.25">
      <c r="B2" t="s">
        <v>103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4</v>
      </c>
      <c r="L2" s="2" t="s">
        <v>15</v>
      </c>
      <c r="M2" s="2" t="s">
        <v>16</v>
      </c>
      <c r="N2" s="2" t="s">
        <v>17</v>
      </c>
      <c r="O2" s="2" t="s">
        <v>88</v>
      </c>
      <c r="P2" s="2" t="s">
        <v>89</v>
      </c>
      <c r="Q2" s="2" t="s">
        <v>90</v>
      </c>
      <c r="R2" s="2" t="s">
        <v>91</v>
      </c>
      <c r="S2" s="2" t="s">
        <v>92</v>
      </c>
      <c r="T2" s="2" t="s">
        <v>93</v>
      </c>
      <c r="U2" s="2" t="s">
        <v>94</v>
      </c>
      <c r="V2" s="2" t="s">
        <v>95</v>
      </c>
      <c r="W2" s="2" t="s">
        <v>96</v>
      </c>
      <c r="X2" s="2" t="s">
        <v>85</v>
      </c>
      <c r="Y2" s="2" t="s">
        <v>97</v>
      </c>
      <c r="Z2" s="2" t="s">
        <v>98</v>
      </c>
      <c r="AA2" s="2" t="s">
        <v>99</v>
      </c>
      <c r="AB2" s="2" t="s">
        <v>100</v>
      </c>
      <c r="AC2" s="2" t="s">
        <v>101</v>
      </c>
      <c r="AD2" s="2" t="s">
        <v>102</v>
      </c>
      <c r="AG2">
        <v>2020</v>
      </c>
      <c r="AH2">
        <f>AG2+1</f>
        <v>2021</v>
      </c>
      <c r="AI2">
        <f t="shared" ref="AI2:AV2" si="0">AH2+1</f>
        <v>2022</v>
      </c>
      <c r="AJ2">
        <f t="shared" si="0"/>
        <v>2023</v>
      </c>
      <c r="AK2">
        <f t="shared" si="0"/>
        <v>2024</v>
      </c>
      <c r="AL2">
        <f t="shared" si="0"/>
        <v>2025</v>
      </c>
      <c r="AM2">
        <f t="shared" si="0"/>
        <v>2026</v>
      </c>
      <c r="AN2">
        <f t="shared" si="0"/>
        <v>2027</v>
      </c>
      <c r="AO2">
        <f t="shared" si="0"/>
        <v>2028</v>
      </c>
      <c r="AP2">
        <f t="shared" si="0"/>
        <v>2029</v>
      </c>
      <c r="AQ2">
        <f t="shared" si="0"/>
        <v>2030</v>
      </c>
      <c r="AR2">
        <f t="shared" si="0"/>
        <v>2031</v>
      </c>
      <c r="AS2">
        <f t="shared" si="0"/>
        <v>2032</v>
      </c>
      <c r="AT2">
        <f t="shared" si="0"/>
        <v>2033</v>
      </c>
      <c r="AU2">
        <f t="shared" si="0"/>
        <v>2034</v>
      </c>
      <c r="AV2">
        <f t="shared" si="0"/>
        <v>2035</v>
      </c>
    </row>
    <row r="3" spans="1:48" s="3" customFormat="1" x14ac:dyDescent="0.25">
      <c r="B3" s="3" t="s">
        <v>72</v>
      </c>
      <c r="C3" s="4"/>
      <c r="D3" s="4"/>
      <c r="E3" s="4">
        <v>1251.4000000000001</v>
      </c>
      <c r="F3" s="4"/>
      <c r="G3" s="4">
        <v>1241.5999999999999</v>
      </c>
      <c r="H3" s="4">
        <v>1251.4000000000001</v>
      </c>
      <c r="I3" s="4">
        <v>1262.5999999999999</v>
      </c>
      <c r="J3" s="4">
        <v>1268.2</v>
      </c>
      <c r="K3" s="4">
        <v>1288.3</v>
      </c>
      <c r="L3" s="4">
        <v>1299.0999999999999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48" s="3" customFormat="1" x14ac:dyDescent="0.25">
      <c r="B4" s="3" t="s">
        <v>73</v>
      </c>
      <c r="C4" s="4"/>
      <c r="D4" s="4"/>
      <c r="E4" s="4">
        <v>617.4</v>
      </c>
      <c r="F4" s="4"/>
      <c r="G4" s="4">
        <v>606.4</v>
      </c>
      <c r="H4" s="4">
        <v>590.9</v>
      </c>
      <c r="I4" s="4">
        <v>573.70000000000005</v>
      </c>
      <c r="J4" s="4">
        <v>552.1</v>
      </c>
      <c r="K4" s="4">
        <v>563.79999999999995</v>
      </c>
      <c r="L4" s="4">
        <v>568.70000000000005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48" s="3" customFormat="1" x14ac:dyDescent="0.25">
      <c r="B5" s="3" t="s">
        <v>75</v>
      </c>
      <c r="C5" s="4"/>
      <c r="D5" s="4"/>
      <c r="E5" s="4">
        <v>213.4</v>
      </c>
      <c r="F5" s="4"/>
      <c r="G5" s="4">
        <v>225.7</v>
      </c>
      <c r="H5" s="4">
        <v>229.4</v>
      </c>
      <c r="I5" s="4">
        <v>235.4</v>
      </c>
      <c r="J5" s="4">
        <v>236.3</v>
      </c>
      <c r="K5" s="4">
        <v>239.1</v>
      </c>
      <c r="L5" s="4">
        <v>234.7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48" x14ac:dyDescent="0.25">
      <c r="S6" s="4">
        <f t="shared" ref="S6:U6" si="1">S7-S11-S12-S13</f>
        <v>29</v>
      </c>
      <c r="T6" s="4">
        <f t="shared" si="1"/>
        <v>22</v>
      </c>
      <c r="U6" s="4">
        <f t="shared" si="1"/>
        <v>-5</v>
      </c>
      <c r="V6" s="4">
        <f t="shared" ref="V6" si="2">V7-V11-V12-V13</f>
        <v>22</v>
      </c>
      <c r="W6" s="4">
        <f t="shared" ref="W6:X6" si="3">W7-W11-W12-W13</f>
        <v>33</v>
      </c>
      <c r="X6" s="4">
        <f t="shared" si="3"/>
        <v>-32</v>
      </c>
      <c r="Y6" s="4">
        <f t="shared" ref="Y6:Z6" si="4">Y7-Y11-Y12-Y13</f>
        <v>-40</v>
      </c>
      <c r="Z6" s="4">
        <f t="shared" si="4"/>
        <v>20</v>
      </c>
      <c r="AA6" s="4">
        <f>AA7-AA11-AA12-AA13</f>
        <v>10</v>
      </c>
      <c r="AB6" s="4">
        <f>AB7-AB11-AB12-AB13</f>
        <v>14</v>
      </c>
    </row>
    <row r="7" spans="1:48" s="3" customFormat="1" x14ac:dyDescent="0.25">
      <c r="B7" s="3" t="s">
        <v>18</v>
      </c>
      <c r="C7" s="4">
        <v>62429</v>
      </c>
      <c r="D7" s="4">
        <v>65002</v>
      </c>
      <c r="E7" s="4">
        <v>69802</v>
      </c>
      <c r="F7" s="4">
        <v>66979</v>
      </c>
      <c r="G7" s="4">
        <v>72443</v>
      </c>
      <c r="H7" s="4">
        <v>72013</v>
      </c>
      <c r="I7" s="4">
        <v>75203</v>
      </c>
      <c r="J7" s="4">
        <v>71913</v>
      </c>
      <c r="K7" s="4">
        <v>72738</v>
      </c>
      <c r="L7" s="4">
        <v>71683</v>
      </c>
      <c r="M7" s="4">
        <f>+I7*0.99</f>
        <v>74450.97</v>
      </c>
      <c r="N7" s="4">
        <f>+J7*1.03</f>
        <v>74070.39</v>
      </c>
      <c r="O7" s="4"/>
      <c r="P7" s="4"/>
      <c r="Q7" s="4"/>
      <c r="R7" s="4"/>
      <c r="S7" s="4">
        <v>78629</v>
      </c>
      <c r="T7" s="4">
        <v>78822</v>
      </c>
      <c r="U7" s="4">
        <v>82695</v>
      </c>
      <c r="V7" s="4">
        <v>79022</v>
      </c>
      <c r="W7" s="4">
        <v>92133</v>
      </c>
      <c r="X7" s="4">
        <v>91368</v>
      </c>
      <c r="Y7" s="4">
        <v>95860</v>
      </c>
      <c r="Z7" s="4">
        <v>89920</v>
      </c>
      <c r="AA7" s="4">
        <v>96110</v>
      </c>
      <c r="AB7" s="4">
        <v>98414</v>
      </c>
      <c r="AC7" s="4"/>
      <c r="AD7" s="4"/>
      <c r="AG7" s="3">
        <v>264212</v>
      </c>
      <c r="AH7" s="3">
        <f>SUM(G7:J7)</f>
        <v>291572</v>
      </c>
      <c r="AI7" s="3">
        <f>SUM(K7:N7)</f>
        <v>292942.36</v>
      </c>
    </row>
    <row r="8" spans="1:48" s="3" customFormat="1" x14ac:dyDescent="0.25">
      <c r="B8" s="3" t="s">
        <v>53</v>
      </c>
      <c r="C8" s="4"/>
      <c r="D8" s="4"/>
      <c r="E8" s="4"/>
      <c r="F8" s="4"/>
      <c r="G8" s="4"/>
      <c r="H8" s="4"/>
      <c r="I8" s="4"/>
      <c r="J8" s="4"/>
      <c r="K8" s="4">
        <v>40300</v>
      </c>
      <c r="L8" s="4">
        <v>40000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48" s="3" customFormat="1" x14ac:dyDescent="0.25">
      <c r="B9" s="3" t="s">
        <v>54</v>
      </c>
      <c r="C9" s="4"/>
      <c r="D9" s="4"/>
      <c r="E9" s="4"/>
      <c r="F9" s="4"/>
      <c r="G9" s="4"/>
      <c r="H9" s="4"/>
      <c r="I9" s="4"/>
      <c r="J9" s="4"/>
      <c r="K9" s="4">
        <v>12100</v>
      </c>
      <c r="L9" s="4">
        <v>11600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48" s="3" customFormat="1" x14ac:dyDescent="0.25">
      <c r="B10" s="3" t="s">
        <v>65</v>
      </c>
      <c r="C10" s="4"/>
      <c r="D10" s="4"/>
      <c r="E10" s="4"/>
      <c r="F10" s="4"/>
      <c r="G10" s="4"/>
      <c r="H10" s="4"/>
      <c r="I10" s="4"/>
      <c r="J10" s="4"/>
      <c r="K10" s="4">
        <f>K7-K8-K9</f>
        <v>20338</v>
      </c>
      <c r="L10" s="4">
        <f>L7-L8-L9</f>
        <v>20083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48" s="3" customFormat="1" x14ac:dyDescent="0.25">
      <c r="B11" s="3" t="s">
        <v>55</v>
      </c>
      <c r="C11" s="4"/>
      <c r="D11" s="4"/>
      <c r="E11" s="4"/>
      <c r="F11" s="4"/>
      <c r="G11" s="4"/>
      <c r="H11" s="4"/>
      <c r="I11" s="4"/>
      <c r="J11" s="4"/>
      <c r="K11" s="4">
        <v>33000</v>
      </c>
      <c r="L11" s="4">
        <v>31800</v>
      </c>
      <c r="M11" s="4"/>
      <c r="N11" s="4"/>
      <c r="O11" s="4"/>
      <c r="P11" s="4"/>
      <c r="Q11" s="4"/>
      <c r="R11" s="4"/>
      <c r="S11" s="4">
        <v>34500</v>
      </c>
      <c r="T11" s="4">
        <v>34600</v>
      </c>
      <c r="U11" s="4">
        <v>37300</v>
      </c>
      <c r="V11" s="4">
        <v>29800</v>
      </c>
      <c r="W11" s="4">
        <v>42900</v>
      </c>
      <c r="X11" s="4">
        <v>40400</v>
      </c>
      <c r="Y11" s="4">
        <v>42800</v>
      </c>
      <c r="Z11" s="4">
        <v>38200</v>
      </c>
      <c r="AA11" s="4">
        <v>45400</v>
      </c>
      <c r="AB11" s="4">
        <v>47300</v>
      </c>
      <c r="AC11" s="4"/>
      <c r="AD11" s="4"/>
    </row>
    <row r="12" spans="1:48" s="3" customFormat="1" x14ac:dyDescent="0.25">
      <c r="B12" s="3" t="s">
        <v>56</v>
      </c>
      <c r="C12" s="4"/>
      <c r="D12" s="4"/>
      <c r="E12" s="4"/>
      <c r="F12" s="4"/>
      <c r="G12" s="4"/>
      <c r="H12" s="4"/>
      <c r="I12" s="4"/>
      <c r="J12" s="4"/>
      <c r="K12" s="4">
        <v>10600</v>
      </c>
      <c r="L12" s="4">
        <v>10700</v>
      </c>
      <c r="M12" s="4"/>
      <c r="N12" s="4"/>
      <c r="O12" s="4"/>
      <c r="P12" s="4"/>
      <c r="Q12" s="4"/>
      <c r="R12" s="4"/>
      <c r="S12" s="4">
        <v>13600</v>
      </c>
      <c r="T12" s="4">
        <v>13900</v>
      </c>
      <c r="U12" s="4">
        <v>14500</v>
      </c>
      <c r="V12" s="4">
        <v>16000</v>
      </c>
      <c r="W12" s="4">
        <v>16600</v>
      </c>
      <c r="X12" s="4">
        <v>18800</v>
      </c>
      <c r="Y12" s="4">
        <v>20800</v>
      </c>
      <c r="Z12" s="4">
        <v>21100</v>
      </c>
      <c r="AA12" s="4">
        <v>18800</v>
      </c>
      <c r="AB12" s="4">
        <v>18600</v>
      </c>
      <c r="AC12" s="4"/>
      <c r="AD12" s="4"/>
    </row>
    <row r="13" spans="1:48" s="3" customFormat="1" x14ac:dyDescent="0.25">
      <c r="B13" s="3" t="s">
        <v>66</v>
      </c>
      <c r="C13" s="4"/>
      <c r="D13" s="4"/>
      <c r="E13" s="4"/>
      <c r="F13" s="4"/>
      <c r="G13" s="4"/>
      <c r="H13" s="4"/>
      <c r="I13" s="4"/>
      <c r="J13" s="4"/>
      <c r="K13" s="4">
        <v>29100</v>
      </c>
      <c r="L13" s="4">
        <v>29200</v>
      </c>
      <c r="M13" s="4"/>
      <c r="N13" s="4"/>
      <c r="O13" s="4"/>
      <c r="P13" s="4"/>
      <c r="Q13" s="4"/>
      <c r="R13" s="4"/>
      <c r="S13" s="4">
        <v>30500</v>
      </c>
      <c r="T13" s="4">
        <v>30300</v>
      </c>
      <c r="U13" s="4">
        <v>30900</v>
      </c>
      <c r="V13" s="4">
        <v>33200</v>
      </c>
      <c r="W13" s="4">
        <v>32600</v>
      </c>
      <c r="X13" s="4">
        <v>32200</v>
      </c>
      <c r="Y13" s="4">
        <v>32300</v>
      </c>
      <c r="Z13" s="4">
        <v>30600</v>
      </c>
      <c r="AA13" s="4">
        <v>31900</v>
      </c>
      <c r="AB13" s="4">
        <v>32500</v>
      </c>
      <c r="AC13" s="4"/>
      <c r="AD13" s="4"/>
    </row>
    <row r="14" spans="1:48" s="3" customFormat="1" x14ac:dyDescent="0.25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48" s="3" customFormat="1" x14ac:dyDescent="0.25">
      <c r="B15" s="3" t="s">
        <v>19</v>
      </c>
      <c r="C15" s="4">
        <v>17713</v>
      </c>
      <c r="D15" s="4">
        <v>18552</v>
      </c>
      <c r="E15" s="4">
        <v>21351</v>
      </c>
      <c r="F15" s="4">
        <v>24655</v>
      </c>
      <c r="G15" s="4">
        <v>21820</v>
      </c>
      <c r="H15" s="4">
        <v>22833</v>
      </c>
      <c r="I15" s="4">
        <v>22495</v>
      </c>
      <c r="J15" s="4">
        <v>21518</v>
      </c>
      <c r="K15" s="4">
        <v>17988</v>
      </c>
      <c r="L15" s="4">
        <v>18638</v>
      </c>
      <c r="M15" s="4">
        <f>+I15*0.99</f>
        <v>22270.05</v>
      </c>
      <c r="N15" s="4">
        <f>+J15*0.99</f>
        <v>21302.82</v>
      </c>
      <c r="O15" s="4"/>
      <c r="P15" s="4"/>
      <c r="Q15" s="4"/>
      <c r="R15" s="4"/>
      <c r="S15" s="4">
        <v>26506</v>
      </c>
      <c r="T15" s="4">
        <v>29871</v>
      </c>
      <c r="U15" s="4">
        <v>29993</v>
      </c>
      <c r="V15" s="4">
        <v>35004</v>
      </c>
      <c r="W15" s="4">
        <v>31853</v>
      </c>
      <c r="X15" s="4">
        <v>35762</v>
      </c>
      <c r="Y15" s="4">
        <v>36242</v>
      </c>
      <c r="Z15" s="4">
        <v>41116</v>
      </c>
      <c r="AA15" s="4">
        <v>38171</v>
      </c>
      <c r="AB15" s="4">
        <v>43565</v>
      </c>
      <c r="AC15" s="4"/>
      <c r="AD15" s="4"/>
      <c r="AG15" s="3">
        <v>82271</v>
      </c>
      <c r="AH15" s="3">
        <f>SUM(G15:J15)</f>
        <v>88666</v>
      </c>
      <c r="AI15" s="3">
        <f>SUM(K15:N15)</f>
        <v>80198.87</v>
      </c>
    </row>
    <row r="16" spans="1:48" s="3" customFormat="1" x14ac:dyDescent="0.25">
      <c r="B16" s="3" t="s">
        <v>20</v>
      </c>
      <c r="C16" s="4">
        <v>26475</v>
      </c>
      <c r="D16" s="4">
        <v>29862</v>
      </c>
      <c r="E16" s="4">
        <v>33255</v>
      </c>
      <c r="F16" s="4">
        <v>38494</v>
      </c>
      <c r="G16" s="4">
        <v>39028</v>
      </c>
      <c r="H16" s="4">
        <v>41892</v>
      </c>
      <c r="I16" s="4">
        <v>43317</v>
      </c>
      <c r="J16" s="4">
        <v>47958</v>
      </c>
      <c r="K16" s="4">
        <v>42768</v>
      </c>
      <c r="L16" s="4">
        <v>42208</v>
      </c>
      <c r="M16" s="4">
        <f>+I16*1.01</f>
        <v>43750.17</v>
      </c>
      <c r="N16" s="4">
        <f>+J16*1.01</f>
        <v>48437.58</v>
      </c>
      <c r="O16" s="4"/>
      <c r="P16" s="4"/>
      <c r="Q16" s="4"/>
      <c r="R16" s="4"/>
      <c r="S16" s="4">
        <v>52302</v>
      </c>
      <c r="T16" s="4">
        <v>50440</v>
      </c>
      <c r="U16" s="4">
        <v>53089</v>
      </c>
      <c r="V16" s="4">
        <v>56125</v>
      </c>
      <c r="W16" s="4">
        <v>54907</v>
      </c>
      <c r="X16" s="4">
        <v>55536</v>
      </c>
      <c r="Y16" s="4">
        <v>58174</v>
      </c>
      <c r="Z16" s="4">
        <v>60818</v>
      </c>
      <c r="AA16" s="4">
        <v>59885</v>
      </c>
      <c r="AB16" s="4">
        <v>60289</v>
      </c>
      <c r="AC16" s="4"/>
      <c r="AD16" s="4"/>
      <c r="AG16" s="3">
        <v>128086</v>
      </c>
      <c r="AH16" s="3">
        <f>SUM(G16:J16)</f>
        <v>172195</v>
      </c>
      <c r="AI16" s="3">
        <f>SUM(K16:N16)</f>
        <v>177163.75</v>
      </c>
    </row>
    <row r="17" spans="2:40" s="3" customFormat="1" x14ac:dyDescent="0.25">
      <c r="B17" s="3" t="s">
        <v>21</v>
      </c>
      <c r="C17" s="4">
        <v>1448</v>
      </c>
      <c r="D17" s="4">
        <v>1467</v>
      </c>
      <c r="E17" s="4">
        <v>1039</v>
      </c>
      <c r="F17" s="4">
        <v>3541</v>
      </c>
      <c r="G17" s="4">
        <v>2012</v>
      </c>
      <c r="H17" s="4">
        <v>1521</v>
      </c>
      <c r="I17" s="4">
        <v>1353</v>
      </c>
      <c r="J17" s="4">
        <v>2799</v>
      </c>
      <c r="K17" s="4">
        <v>1977</v>
      </c>
      <c r="L17" s="4">
        <v>1505</v>
      </c>
      <c r="M17" s="4">
        <f>+I17*1.01</f>
        <v>1366.53</v>
      </c>
      <c r="N17" s="4">
        <f>+J17*1.01</f>
        <v>2826.9900000000002</v>
      </c>
      <c r="O17" s="4"/>
      <c r="P17" s="4"/>
      <c r="Q17" s="4"/>
      <c r="R17" s="4"/>
      <c r="S17" s="4">
        <v>2064</v>
      </c>
      <c r="T17" s="4">
        <v>1984</v>
      </c>
      <c r="U17" s="4">
        <v>1416</v>
      </c>
      <c r="V17" s="4">
        <v>2295</v>
      </c>
      <c r="W17" s="4">
        <v>1129</v>
      </c>
      <c r="X17" s="4">
        <v>1838</v>
      </c>
      <c r="Y17" s="4">
        <v>2593</v>
      </c>
      <c r="Z17" s="4">
        <v>2517</v>
      </c>
      <c r="AA17" s="4">
        <v>2292</v>
      </c>
      <c r="AB17" s="4">
        <v>2520</v>
      </c>
      <c r="AC17" s="4"/>
      <c r="AD17" s="4"/>
      <c r="AG17" s="3">
        <v>7495</v>
      </c>
      <c r="AH17" s="3">
        <f>SUM(G17:J17)</f>
        <v>7685</v>
      </c>
      <c r="AI17" s="3">
        <f>SUM(K17:N17)</f>
        <v>7675.52</v>
      </c>
    </row>
    <row r="18" spans="2:40" s="5" customFormat="1" ht="13" x14ac:dyDescent="0.3">
      <c r="B18" s="5" t="s">
        <v>6</v>
      </c>
      <c r="C18" s="6">
        <f t="shared" ref="C18" si="5">C17+C16+C15+C7</f>
        <v>108065</v>
      </c>
      <c r="D18" s="6">
        <f t="shared" ref="D18" si="6">D17+D16+D15+D7</f>
        <v>114883</v>
      </c>
      <c r="E18" s="6">
        <f t="shared" ref="E18:J18" si="7">E17+E16+E15+E7</f>
        <v>125447</v>
      </c>
      <c r="F18" s="6">
        <f t="shared" si="7"/>
        <v>133669</v>
      </c>
      <c r="G18" s="6">
        <f t="shared" si="7"/>
        <v>135303</v>
      </c>
      <c r="H18" s="6">
        <f t="shared" si="7"/>
        <v>138259</v>
      </c>
      <c r="I18" s="6">
        <f t="shared" si="7"/>
        <v>142368</v>
      </c>
      <c r="J18" s="6">
        <f t="shared" si="7"/>
        <v>144188</v>
      </c>
      <c r="K18" s="6">
        <f>K17+K16+K15+K7</f>
        <v>135471</v>
      </c>
      <c r="L18" s="6">
        <f>L17+L16+L15+L7</f>
        <v>134034</v>
      </c>
      <c r="M18" s="6">
        <f>M17+M16+M15+M7</f>
        <v>141837.72</v>
      </c>
      <c r="N18" s="6">
        <f>N17+N16+N15+N7</f>
        <v>146637.78</v>
      </c>
      <c r="O18" s="6">
        <f t="shared" ref="O18:AD18" si="8">O17+O16+O15+O7</f>
        <v>0</v>
      </c>
      <c r="P18" s="6">
        <f t="shared" si="8"/>
        <v>0</v>
      </c>
      <c r="Q18" s="6">
        <f t="shared" si="8"/>
        <v>0</v>
      </c>
      <c r="R18" s="6">
        <f t="shared" si="8"/>
        <v>0</v>
      </c>
      <c r="S18" s="6">
        <f t="shared" si="8"/>
        <v>159501</v>
      </c>
      <c r="T18" s="6">
        <f t="shared" si="8"/>
        <v>161117</v>
      </c>
      <c r="U18" s="6">
        <f t="shared" si="8"/>
        <v>167193</v>
      </c>
      <c r="V18" s="6">
        <f t="shared" si="8"/>
        <v>172446</v>
      </c>
      <c r="W18" s="6">
        <f t="shared" si="8"/>
        <v>180022</v>
      </c>
      <c r="X18" s="6">
        <f t="shared" si="8"/>
        <v>184504</v>
      </c>
      <c r="Y18" s="6">
        <f t="shared" si="8"/>
        <v>192869</v>
      </c>
      <c r="Z18" s="6">
        <f t="shared" si="8"/>
        <v>194371</v>
      </c>
      <c r="AA18" s="6">
        <f t="shared" si="8"/>
        <v>196458</v>
      </c>
      <c r="AB18" s="6">
        <f t="shared" si="8"/>
        <v>204788</v>
      </c>
      <c r="AC18" s="6">
        <f t="shared" si="8"/>
        <v>0</v>
      </c>
      <c r="AD18" s="6">
        <f t="shared" si="8"/>
        <v>0</v>
      </c>
      <c r="AG18" s="6">
        <f t="shared" ref="AG18:AN18" si="9">AG17+AG16+AG15+AG7</f>
        <v>482064</v>
      </c>
      <c r="AH18" s="6">
        <f t="shared" si="9"/>
        <v>560118</v>
      </c>
      <c r="AI18" s="6">
        <f t="shared" si="9"/>
        <v>557980.5</v>
      </c>
      <c r="AJ18" s="6">
        <f t="shared" si="9"/>
        <v>0</v>
      </c>
      <c r="AK18" s="6">
        <f t="shared" si="9"/>
        <v>0</v>
      </c>
      <c r="AL18" s="6">
        <f t="shared" si="9"/>
        <v>0</v>
      </c>
      <c r="AM18" s="6">
        <f t="shared" si="9"/>
        <v>0</v>
      </c>
      <c r="AN18" s="6">
        <f t="shared" si="9"/>
        <v>0</v>
      </c>
    </row>
    <row r="19" spans="2:40" s="3" customFormat="1" x14ac:dyDescent="0.25">
      <c r="B19" s="3" t="s">
        <v>22</v>
      </c>
      <c r="C19" s="4">
        <v>55271</v>
      </c>
      <c r="D19" s="4">
        <v>61673</v>
      </c>
      <c r="E19" s="4">
        <v>68800</v>
      </c>
      <c r="F19" s="4">
        <v>74788</v>
      </c>
      <c r="G19" s="4">
        <v>72668</v>
      </c>
      <c r="H19" s="4">
        <v>75514</v>
      </c>
      <c r="I19" s="4">
        <v>79621</v>
      </c>
      <c r="J19" s="4">
        <v>86371</v>
      </c>
      <c r="K19" s="4">
        <v>78397</v>
      </c>
      <c r="L19" s="4">
        <v>76167</v>
      </c>
      <c r="M19" s="4">
        <f>+M18-M20</f>
        <v>79429.123200000002</v>
      </c>
      <c r="N19" s="4">
        <f>+N18-N20</f>
        <v>82117.156799999997</v>
      </c>
      <c r="O19" s="4"/>
      <c r="P19" s="4"/>
      <c r="Q19" s="4"/>
      <c r="R19" s="4"/>
      <c r="S19" s="4">
        <v>75631</v>
      </c>
      <c r="T19" s="4">
        <v>75222</v>
      </c>
      <c r="U19" s="4">
        <v>78365</v>
      </c>
      <c r="V19" s="4">
        <v>81793</v>
      </c>
      <c r="W19" s="4">
        <v>79529</v>
      </c>
      <c r="X19" s="4">
        <v>79491</v>
      </c>
      <c r="Y19" s="4">
        <v>84071</v>
      </c>
      <c r="Z19" s="4">
        <v>86082</v>
      </c>
      <c r="AA19" s="4">
        <v>85193</v>
      </c>
      <c r="AB19" s="4">
        <v>86352</v>
      </c>
      <c r="AC19" s="4"/>
      <c r="AD19" s="4"/>
      <c r="AG19" s="3">
        <v>260532</v>
      </c>
      <c r="AH19" s="3">
        <v>314174</v>
      </c>
      <c r="AI19" s="3">
        <f>SUM(K19:N19)</f>
        <v>316110.28000000003</v>
      </c>
    </row>
    <row r="20" spans="2:40" s="3" customFormat="1" x14ac:dyDescent="0.25">
      <c r="B20" s="3" t="s">
        <v>23</v>
      </c>
      <c r="C20" s="4">
        <f t="shared" ref="C20" si="10">C18-C19</f>
        <v>52794</v>
      </c>
      <c r="D20" s="4">
        <f t="shared" ref="D20" si="11">D18-D19</f>
        <v>53210</v>
      </c>
      <c r="E20" s="4">
        <f t="shared" ref="E20:F20" si="12">E18-E19</f>
        <v>56647</v>
      </c>
      <c r="F20" s="4">
        <f t="shared" si="12"/>
        <v>58881</v>
      </c>
      <c r="G20" s="4">
        <f t="shared" ref="G20:J20" si="13">G18-G19</f>
        <v>62635</v>
      </c>
      <c r="H20" s="4">
        <f t="shared" si="13"/>
        <v>62745</v>
      </c>
      <c r="I20" s="4">
        <f t="shared" si="13"/>
        <v>62747</v>
      </c>
      <c r="J20" s="4">
        <f t="shared" si="13"/>
        <v>57817</v>
      </c>
      <c r="K20" s="4">
        <f>K18-K19</f>
        <v>57074</v>
      </c>
      <c r="L20" s="4">
        <f>L18-L19</f>
        <v>57867</v>
      </c>
      <c r="M20" s="4">
        <f>+M18*0.44</f>
        <v>62408.596799999999</v>
      </c>
      <c r="N20" s="4">
        <f>+N18*0.44</f>
        <v>64520.623200000002</v>
      </c>
      <c r="O20" s="4"/>
      <c r="P20" s="4"/>
      <c r="Q20" s="4"/>
      <c r="R20" s="4"/>
      <c r="S20" s="4">
        <f>+S18-S19</f>
        <v>83870</v>
      </c>
      <c r="T20" s="4">
        <f>+T18-T19</f>
        <v>85895</v>
      </c>
      <c r="U20" s="4">
        <f>+U18-U19</f>
        <v>88828</v>
      </c>
      <c r="V20" s="4">
        <f>+V18-V19</f>
        <v>90653</v>
      </c>
      <c r="W20" s="4">
        <f>+W18-W19</f>
        <v>100493</v>
      </c>
      <c r="X20" s="4">
        <f>+X18-X19</f>
        <v>105013</v>
      </c>
      <c r="Y20" s="4">
        <f>+Y18-Y19</f>
        <v>108798</v>
      </c>
      <c r="Z20" s="4">
        <f>+Z18-Z19</f>
        <v>108289</v>
      </c>
      <c r="AA20" s="4">
        <f>+AA18-AA19</f>
        <v>111265</v>
      </c>
      <c r="AB20" s="4">
        <f>+AB18-AB19</f>
        <v>118436</v>
      </c>
      <c r="AC20" s="4"/>
      <c r="AD20" s="4"/>
      <c r="AG20" s="3">
        <f t="shared" ref="AG20" si="14">AG18-AG19</f>
        <v>221532</v>
      </c>
      <c r="AH20" s="3">
        <f>AH18-AH19</f>
        <v>245944</v>
      </c>
      <c r="AI20" s="3">
        <f>AI18-AI19</f>
        <v>241870.21999999997</v>
      </c>
    </row>
    <row r="21" spans="2:40" s="3" customFormat="1" x14ac:dyDescent="0.25">
      <c r="B21" s="3" t="s">
        <v>24</v>
      </c>
      <c r="C21" s="4">
        <v>14158</v>
      </c>
      <c r="D21" s="4">
        <v>16499</v>
      </c>
      <c r="E21" s="4">
        <v>17189</v>
      </c>
      <c r="F21" s="4">
        <v>19779</v>
      </c>
      <c r="G21" s="4">
        <v>18967</v>
      </c>
      <c r="H21" s="4">
        <v>22638</v>
      </c>
      <c r="I21" s="4">
        <v>23862</v>
      </c>
      <c r="J21" s="4">
        <v>24380</v>
      </c>
      <c r="K21" s="4">
        <v>26669</v>
      </c>
      <c r="L21" s="4">
        <v>26233</v>
      </c>
      <c r="M21" s="4">
        <f>+I21*0.95</f>
        <v>22668.899999999998</v>
      </c>
      <c r="N21" s="4">
        <f>+J21*0.95</f>
        <v>23161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G21" s="3">
        <v>67625</v>
      </c>
      <c r="AH21" s="3">
        <v>89847</v>
      </c>
      <c r="AI21" s="3">
        <f>SUM(K21:N21)</f>
        <v>98731.9</v>
      </c>
    </row>
    <row r="22" spans="2:40" s="3" customFormat="1" x14ac:dyDescent="0.25">
      <c r="B22" s="3" t="s">
        <v>25</v>
      </c>
      <c r="C22" s="4">
        <v>7049</v>
      </c>
      <c r="D22" s="4">
        <v>7756</v>
      </c>
      <c r="E22" s="4">
        <v>8920</v>
      </c>
      <c r="F22" s="4">
        <v>10033</v>
      </c>
      <c r="G22" s="4">
        <v>8530</v>
      </c>
      <c r="H22" s="4">
        <v>10013</v>
      </c>
      <c r="I22" s="4">
        <v>10435</v>
      </c>
      <c r="J22" s="4">
        <v>11616</v>
      </c>
      <c r="K22" s="4">
        <v>8058</v>
      </c>
      <c r="L22" s="4">
        <v>7932</v>
      </c>
      <c r="M22" s="4">
        <f>+I22*0.95</f>
        <v>9913.25</v>
      </c>
      <c r="N22" s="4">
        <f>+J22*0.95</f>
        <v>11035.199999999999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G22" s="3">
        <v>33758</v>
      </c>
      <c r="AH22" s="3">
        <v>40594</v>
      </c>
      <c r="AI22" s="3">
        <f>SUM(K22:N22)</f>
        <v>36938.449999999997</v>
      </c>
    </row>
    <row r="23" spans="2:40" s="3" customFormat="1" x14ac:dyDescent="0.25">
      <c r="B23" s="3" t="s">
        <v>26</v>
      </c>
      <c r="C23" s="4">
        <f t="shared" ref="C23" si="15">C21+C22</f>
        <v>21207</v>
      </c>
      <c r="D23" s="4">
        <f t="shared" ref="D23" si="16">D21+D22</f>
        <v>24255</v>
      </c>
      <c r="E23" s="4">
        <f t="shared" ref="E23" si="17">E21+E22</f>
        <v>26109</v>
      </c>
      <c r="F23" s="4">
        <f t="shared" ref="F23" si="18">F21+F22</f>
        <v>29812</v>
      </c>
      <c r="G23" s="4">
        <f t="shared" ref="G23:J23" si="19">G21+G22</f>
        <v>27497</v>
      </c>
      <c r="H23" s="4">
        <f t="shared" si="19"/>
        <v>32651</v>
      </c>
      <c r="I23" s="4">
        <f t="shared" si="19"/>
        <v>34297</v>
      </c>
      <c r="J23" s="4">
        <f t="shared" si="19"/>
        <v>35996</v>
      </c>
      <c r="K23" s="4">
        <f>K21+K22</f>
        <v>34727</v>
      </c>
      <c r="L23" s="4">
        <f>L21+L22</f>
        <v>34165</v>
      </c>
      <c r="M23" s="4">
        <f t="shared" ref="M23:N23" si="20">M21+M22</f>
        <v>32582.149999999998</v>
      </c>
      <c r="N23" s="4">
        <f t="shared" si="20"/>
        <v>34196.199999999997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G23" s="3">
        <f t="shared" ref="AG23" si="21">AG21+AG22</f>
        <v>101383</v>
      </c>
      <c r="AH23" s="3">
        <f>AH21+AH22</f>
        <v>130441</v>
      </c>
      <c r="AI23" s="3">
        <f>AI21+AI22</f>
        <v>135670.34999999998</v>
      </c>
    </row>
    <row r="24" spans="2:40" s="3" customFormat="1" x14ac:dyDescent="0.25">
      <c r="B24" s="3" t="s">
        <v>27</v>
      </c>
      <c r="C24" s="4">
        <f t="shared" ref="C24" si="22">C20-C23</f>
        <v>31587</v>
      </c>
      <c r="D24" s="4">
        <f t="shared" ref="D24" si="23">D20-D23</f>
        <v>28955</v>
      </c>
      <c r="E24" s="4">
        <f t="shared" ref="E24" si="24">E20-E23</f>
        <v>30538</v>
      </c>
      <c r="F24" s="4">
        <f t="shared" ref="F24" si="25">F20-F23</f>
        <v>29069</v>
      </c>
      <c r="G24" s="4">
        <f t="shared" ref="G24:J24" si="26">G20-G23</f>
        <v>35138</v>
      </c>
      <c r="H24" s="4">
        <f t="shared" si="26"/>
        <v>30094</v>
      </c>
      <c r="I24" s="4">
        <f t="shared" si="26"/>
        <v>28450</v>
      </c>
      <c r="J24" s="4">
        <f t="shared" si="26"/>
        <v>21821</v>
      </c>
      <c r="K24" s="4">
        <f>K20-K23</f>
        <v>22347</v>
      </c>
      <c r="L24" s="4">
        <f>L20-L23</f>
        <v>23702</v>
      </c>
      <c r="M24" s="4">
        <f t="shared" ref="M24:N24" si="27">M20-M23</f>
        <v>29826.446800000002</v>
      </c>
      <c r="N24" s="4">
        <f t="shared" si="27"/>
        <v>30324.423200000005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G24" s="3">
        <f t="shared" ref="AG24" si="28">AG20-AG23</f>
        <v>120149</v>
      </c>
      <c r="AH24" s="3">
        <f>AH20-AH23</f>
        <v>115503</v>
      </c>
      <c r="AI24" s="3">
        <f>AI20-AI23</f>
        <v>106199.87</v>
      </c>
    </row>
    <row r="25" spans="2:40" s="3" customFormat="1" x14ac:dyDescent="0.25">
      <c r="B25" s="3" t="s">
        <v>31</v>
      </c>
      <c r="C25" s="4">
        <f>1636+4037-1684-281</f>
        <v>3708</v>
      </c>
      <c r="D25" s="4">
        <f>1749+8607-2005-295</f>
        <v>8056</v>
      </c>
      <c r="E25" s="4">
        <f>1864+11551-1945+2630</f>
        <v>14100</v>
      </c>
      <c r="F25" s="4">
        <f>32936+1708-2253+1618</f>
        <v>34009</v>
      </c>
      <c r="G25" s="4">
        <f>1614+19521-1367+1348</f>
        <v>21116</v>
      </c>
      <c r="H25" s="4">
        <f>1630+20763-1942-3857</f>
        <v>16594</v>
      </c>
      <c r="I25" s="4">
        <f>1703+22984-1942-5668</f>
        <v>17077</v>
      </c>
      <c r="J25" s="4">
        <f>1703+86199-1863-8267</f>
        <v>77772</v>
      </c>
      <c r="K25" s="4">
        <f>13133+1737-1935-6280</f>
        <v>6655</v>
      </c>
      <c r="L25" s="4">
        <f>1945-1809-4460+4420</f>
        <v>96</v>
      </c>
      <c r="M25" s="4">
        <f>AVERAGE(I25:L25)</f>
        <v>25400</v>
      </c>
      <c r="N25" s="4">
        <f>AVERAGE(J25:M25)</f>
        <v>27480.75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G25" s="3">
        <f>6957+57131-7887+3672</f>
        <v>59873</v>
      </c>
      <c r="AH25" s="3">
        <f>6650+149467-7114-16444</f>
        <v>132559</v>
      </c>
      <c r="AI25" s="3">
        <f>SUM(K25:N25)</f>
        <v>59631.75</v>
      </c>
    </row>
    <row r="26" spans="2:40" s="3" customFormat="1" x14ac:dyDescent="0.25">
      <c r="B26" s="3" t="s">
        <v>30</v>
      </c>
      <c r="C26" s="4">
        <f t="shared" ref="C26" si="29">C24+C25</f>
        <v>35295</v>
      </c>
      <c r="D26" s="4">
        <f t="shared" ref="D26" si="30">D24+D25</f>
        <v>37011</v>
      </c>
      <c r="E26" s="4">
        <f t="shared" ref="E26:F26" si="31">E24+E25</f>
        <v>44638</v>
      </c>
      <c r="F26" s="4">
        <f t="shared" si="31"/>
        <v>63078</v>
      </c>
      <c r="G26" s="4">
        <f t="shared" ref="G26:J26" si="32">G24+G25</f>
        <v>56254</v>
      </c>
      <c r="H26" s="4">
        <f t="shared" si="32"/>
        <v>46688</v>
      </c>
      <c r="I26" s="4">
        <f t="shared" si="32"/>
        <v>45527</v>
      </c>
      <c r="J26" s="4">
        <f t="shared" si="32"/>
        <v>99593</v>
      </c>
      <c r="K26" s="4">
        <f>K24+K25</f>
        <v>29002</v>
      </c>
      <c r="L26" s="4">
        <f>L24+L25</f>
        <v>23798</v>
      </c>
      <c r="M26" s="4">
        <f t="shared" ref="M26:N26" si="33">M24+M25</f>
        <v>55226.446800000005</v>
      </c>
      <c r="N26" s="4">
        <f t="shared" si="33"/>
        <v>57805.173200000005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G26" s="3">
        <f>AG24+AG25</f>
        <v>180022</v>
      </c>
      <c r="AH26" s="3">
        <f>AH24+AH25</f>
        <v>248062</v>
      </c>
      <c r="AI26" s="3">
        <f>AI24+AI25</f>
        <v>165831.62</v>
      </c>
    </row>
    <row r="27" spans="2:40" s="3" customFormat="1" x14ac:dyDescent="0.25">
      <c r="B27" s="3" t="s">
        <v>29</v>
      </c>
      <c r="C27" s="4">
        <f>5892+507</f>
        <v>6399</v>
      </c>
      <c r="D27" s="4">
        <f>4557+653</f>
        <v>5210</v>
      </c>
      <c r="E27" s="4">
        <f>5739+357</f>
        <v>6096</v>
      </c>
      <c r="F27" s="4">
        <f>3709+67</f>
        <v>3776</v>
      </c>
      <c r="G27" s="4">
        <f>7246+1241</f>
        <v>8487</v>
      </c>
      <c r="H27" s="4">
        <f>3666+435</f>
        <v>4101</v>
      </c>
      <c r="I27" s="4">
        <f>5452+565</f>
        <v>6017</v>
      </c>
      <c r="J27" s="4">
        <f>3888+747</f>
        <v>4635</v>
      </c>
      <c r="K27" s="4">
        <f>5269+320</f>
        <v>5589</v>
      </c>
      <c r="L27" s="4">
        <v>4568</v>
      </c>
      <c r="M27" s="4">
        <f>+M26*0.15</f>
        <v>8283.96702</v>
      </c>
      <c r="N27" s="4">
        <f>+N26*0.15</f>
        <v>8670.7759800000003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G27" s="3">
        <f>19897+278</f>
        <v>20175</v>
      </c>
      <c r="AH27" s="3">
        <f>20252+2988</f>
        <v>23240</v>
      </c>
      <c r="AI27" s="3">
        <f>SUM(K27:N27)</f>
        <v>27111.743000000002</v>
      </c>
    </row>
    <row r="28" spans="2:40" s="3" customFormat="1" x14ac:dyDescent="0.25">
      <c r="B28" s="3" t="s">
        <v>28</v>
      </c>
      <c r="C28" s="4">
        <f t="shared" ref="C28" si="34">C26-C27</f>
        <v>28896</v>
      </c>
      <c r="D28" s="4">
        <f t="shared" ref="D28" si="35">D26-D27</f>
        <v>31801</v>
      </c>
      <c r="E28" s="4">
        <f t="shared" ref="E28:F28" si="36">E26-E27</f>
        <v>38542</v>
      </c>
      <c r="F28" s="4">
        <f t="shared" si="36"/>
        <v>59302</v>
      </c>
      <c r="G28" s="4">
        <f t="shared" ref="G28:J28" si="37">G26-G27</f>
        <v>47767</v>
      </c>
      <c r="H28" s="4">
        <f t="shared" si="37"/>
        <v>42587</v>
      </c>
      <c r="I28" s="4">
        <f t="shared" si="37"/>
        <v>39510</v>
      </c>
      <c r="J28" s="4">
        <f t="shared" si="37"/>
        <v>94958</v>
      </c>
      <c r="K28" s="4">
        <f>K26-K27</f>
        <v>23413</v>
      </c>
      <c r="L28" s="4">
        <f>L26-L27</f>
        <v>19230</v>
      </c>
      <c r="M28" s="4">
        <f t="shared" ref="M28:N28" si="38">M26-M27</f>
        <v>46942.479780000009</v>
      </c>
      <c r="N28" s="4">
        <f t="shared" si="38"/>
        <v>49134.397220000006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G28" s="3">
        <f>AG26-AG27</f>
        <v>159847</v>
      </c>
      <c r="AH28" s="3">
        <f>AH26-AH27</f>
        <v>224822</v>
      </c>
      <c r="AI28" s="3">
        <f>AI26-AI27</f>
        <v>138719.87699999998</v>
      </c>
    </row>
    <row r="29" spans="2:40" s="3" customFormat="1" x14ac:dyDescent="0.25">
      <c r="B29" s="3" t="s">
        <v>32</v>
      </c>
      <c r="C29" s="4">
        <v>27079</v>
      </c>
      <c r="D29" s="4">
        <v>30153</v>
      </c>
      <c r="E29" s="4">
        <v>32203</v>
      </c>
      <c r="F29" s="4">
        <v>33207</v>
      </c>
      <c r="G29" s="4">
        <v>33118</v>
      </c>
      <c r="H29" s="4">
        <v>34039</v>
      </c>
      <c r="I29" s="4">
        <v>31751</v>
      </c>
      <c r="J29" s="4">
        <v>24880</v>
      </c>
      <c r="K29" s="4">
        <v>25545</v>
      </c>
      <c r="L29" s="4">
        <v>28139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G29" s="3">
        <v>122742</v>
      </c>
      <c r="AH29" s="3">
        <v>123788</v>
      </c>
    </row>
    <row r="31" spans="2:40" s="10" customFormat="1" ht="13" x14ac:dyDescent="0.3">
      <c r="B31" s="5" t="s">
        <v>33</v>
      </c>
      <c r="C31" s="8"/>
      <c r="D31" s="8"/>
      <c r="E31" s="8"/>
      <c r="F31" s="8"/>
      <c r="G31" s="9">
        <f t="shared" ref="G31" si="39">G18/C18-1</f>
        <v>0.2520520057372877</v>
      </c>
      <c r="H31" s="9">
        <f t="shared" ref="H31:J31" si="40">H18/D18-1</f>
        <v>0.20347658052105189</v>
      </c>
      <c r="I31" s="9">
        <f t="shared" si="40"/>
        <v>0.13488564891946409</v>
      </c>
      <c r="J31" s="9">
        <f t="shared" si="40"/>
        <v>7.8694386881027034E-2</v>
      </c>
      <c r="K31" s="9">
        <f>K18/G18-1</f>
        <v>1.2416576129132828E-3</v>
      </c>
      <c r="L31" s="9">
        <f>L18/H18-1</f>
        <v>-3.0558589314258033E-2</v>
      </c>
      <c r="M31" s="9">
        <f>M18/I18-1</f>
        <v>-3.7247134187458064E-3</v>
      </c>
      <c r="N31" s="9">
        <f>N18/J18-1</f>
        <v>1.6990179487890833E-2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H31" s="11">
        <f>AH18/AG18-1</f>
        <v>0.16191626008164883</v>
      </c>
      <c r="AI31" s="11">
        <f>AI18/AH18-1</f>
        <v>-3.8161601662506373E-3</v>
      </c>
    </row>
    <row r="32" spans="2:40" x14ac:dyDescent="0.25">
      <c r="B32" s="3" t="s">
        <v>83</v>
      </c>
      <c r="E32" s="13">
        <f t="shared" ref="E32:K32" si="41">+E20/E18</f>
        <v>0.45156121708769442</v>
      </c>
      <c r="F32" s="13">
        <f t="shared" si="41"/>
        <v>0.44049854491318108</v>
      </c>
      <c r="G32" s="13">
        <f t="shared" si="41"/>
        <v>0.46292395586202817</v>
      </c>
      <c r="H32" s="13">
        <f t="shared" si="41"/>
        <v>0.45382217432499872</v>
      </c>
      <c r="I32" s="13">
        <f t="shared" si="41"/>
        <v>0.44073808721060914</v>
      </c>
      <c r="J32" s="13">
        <f t="shared" si="41"/>
        <v>0.4009834382889006</v>
      </c>
      <c r="K32" s="13">
        <f t="shared" si="41"/>
        <v>0.42130049973795131</v>
      </c>
      <c r="L32" s="13">
        <f>+L20/L18</f>
        <v>0.43173373920050134</v>
      </c>
      <c r="M32" s="13">
        <f t="shared" ref="M32:AA32" si="42">+M20/M18</f>
        <v>0.44</v>
      </c>
      <c r="N32" s="13">
        <f t="shared" si="42"/>
        <v>0.44</v>
      </c>
      <c r="O32" s="13" t="e">
        <f t="shared" si="42"/>
        <v>#DIV/0!</v>
      </c>
      <c r="P32" s="13" t="e">
        <f t="shared" si="42"/>
        <v>#DIV/0!</v>
      </c>
      <c r="Q32" s="13" t="e">
        <f t="shared" si="42"/>
        <v>#DIV/0!</v>
      </c>
      <c r="R32" s="13" t="e">
        <f t="shared" si="42"/>
        <v>#DIV/0!</v>
      </c>
      <c r="S32" s="13">
        <f t="shared" si="42"/>
        <v>0.5258274242794716</v>
      </c>
      <c r="T32" s="13">
        <f t="shared" si="42"/>
        <v>0.53312189278598787</v>
      </c>
      <c r="U32" s="13">
        <f t="shared" si="42"/>
        <v>0.53129018559389452</v>
      </c>
      <c r="V32" s="13">
        <f t="shared" si="42"/>
        <v>0.5256892012572052</v>
      </c>
      <c r="W32" s="13">
        <f t="shared" si="42"/>
        <v>0.55822621679572493</v>
      </c>
      <c r="X32" s="13">
        <f t="shared" si="42"/>
        <v>0.56916381216667389</v>
      </c>
      <c r="Y32" s="13">
        <f t="shared" si="42"/>
        <v>0.56410309588373453</v>
      </c>
      <c r="Z32" s="13">
        <f t="shared" si="42"/>
        <v>0.55712529132432309</v>
      </c>
      <c r="AA32" s="13">
        <f t="shared" si="42"/>
        <v>0.56635514970120837</v>
      </c>
      <c r="AB32" s="13"/>
      <c r="AC32" s="13"/>
      <c r="AD32" s="13"/>
      <c r="AH32" s="14"/>
    </row>
    <row r="33" spans="2:34" x14ac:dyDescent="0.25">
      <c r="B33" s="3" t="s">
        <v>84</v>
      </c>
      <c r="E33" s="13">
        <f>+E27/E26</f>
        <v>0.13656525830010305</v>
      </c>
      <c r="F33" s="13">
        <f t="shared" ref="F33:N33" si="43">+F27/F26</f>
        <v>5.986239259329719E-2</v>
      </c>
      <c r="G33" s="13">
        <f t="shared" si="43"/>
        <v>0.15086927151846979</v>
      </c>
      <c r="H33" s="13">
        <f t="shared" si="43"/>
        <v>8.7838416723783411E-2</v>
      </c>
      <c r="I33" s="13">
        <f t="shared" si="43"/>
        <v>0.13216333164935093</v>
      </c>
      <c r="J33" s="13">
        <f t="shared" si="43"/>
        <v>4.6539415420762502E-2</v>
      </c>
      <c r="K33" s="13">
        <f t="shared" si="43"/>
        <v>0.19271084752775672</v>
      </c>
      <c r="L33" s="13">
        <f t="shared" si="43"/>
        <v>0.19194890326918229</v>
      </c>
      <c r="M33" s="13">
        <f t="shared" si="43"/>
        <v>0.15</v>
      </c>
      <c r="N33" s="13">
        <f t="shared" si="43"/>
        <v>0.15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H33" s="14"/>
    </row>
    <row r="34" spans="2:34" s="3" customFormat="1" x14ac:dyDescent="0.25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2:34" s="3" customFormat="1" x14ac:dyDescent="0.25">
      <c r="B35" s="3" t="s">
        <v>34</v>
      </c>
      <c r="C35" s="4"/>
      <c r="D35" s="4"/>
      <c r="E35" s="4"/>
      <c r="F35" s="4"/>
      <c r="G35" s="4"/>
      <c r="H35" s="4"/>
      <c r="I35" s="4"/>
      <c r="J35" s="4"/>
      <c r="K35" s="4">
        <f>188826+2691+82604+11742+1568+69961+21124+4222+189993+197161+6509+309630</f>
        <v>1086031</v>
      </c>
      <c r="L35" s="4">
        <f>310209+204398+24945+5366+184658+2594+91670+14762+1095+143563+6676</f>
        <v>989936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2:34" s="3" customFormat="1" x14ac:dyDescent="0.25">
      <c r="B36" s="3" t="s">
        <v>35</v>
      </c>
      <c r="C36" s="4"/>
      <c r="D36" s="4"/>
      <c r="E36" s="4"/>
      <c r="F36" s="4"/>
      <c r="G36" s="4"/>
      <c r="H36" s="4"/>
      <c r="I36" s="4"/>
      <c r="J36" s="4"/>
      <c r="K36" s="4">
        <v>52774</v>
      </c>
      <c r="L36" s="4">
        <v>49446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2:34" s="3" customFormat="1" x14ac:dyDescent="0.25">
      <c r="B37" s="3" t="s">
        <v>36</v>
      </c>
      <c r="C37" s="4"/>
      <c r="D37" s="4"/>
      <c r="E37" s="4"/>
      <c r="F37" s="4"/>
      <c r="G37" s="4"/>
      <c r="H37" s="4"/>
      <c r="I37" s="4"/>
      <c r="J37" s="4"/>
      <c r="K37" s="4">
        <v>2712</v>
      </c>
      <c r="L37" s="4">
        <v>2939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2:34" s="3" customFormat="1" x14ac:dyDescent="0.25">
      <c r="B38" s="3" t="s">
        <v>37</v>
      </c>
      <c r="C38" s="4"/>
      <c r="D38" s="4"/>
      <c r="E38" s="4"/>
      <c r="F38" s="4"/>
      <c r="G38" s="4"/>
      <c r="H38" s="4"/>
      <c r="I38" s="4"/>
      <c r="J38" s="4"/>
      <c r="K38" s="4">
        <v>27616</v>
      </c>
      <c r="L38" s="4">
        <v>28864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2:34" s="3" customFormat="1" x14ac:dyDescent="0.25">
      <c r="B39" s="3" t="s">
        <v>38</v>
      </c>
      <c r="C39" s="4"/>
      <c r="D39" s="4"/>
      <c r="E39" s="4"/>
      <c r="F39" s="4"/>
      <c r="G39" s="4"/>
      <c r="H39" s="4"/>
      <c r="I39" s="4"/>
      <c r="J39" s="4"/>
      <c r="K39" s="4">
        <v>37093</v>
      </c>
      <c r="L39" s="4">
        <f>37335+66155</f>
        <v>103490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2:34" s="3" customFormat="1" x14ac:dyDescent="0.25">
      <c r="B40" s="3" t="s">
        <v>40</v>
      </c>
      <c r="C40" s="4"/>
      <c r="D40" s="4"/>
      <c r="E40" s="4"/>
      <c r="F40" s="4"/>
      <c r="G40" s="4"/>
      <c r="H40" s="4"/>
      <c r="I40" s="4"/>
      <c r="J40" s="4"/>
      <c r="K40" s="4">
        <v>178712</v>
      </c>
      <c r="L40" s="4">
        <v>177718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2:34" s="3" customFormat="1" x14ac:dyDescent="0.25">
      <c r="B41" s="3" t="s">
        <v>41</v>
      </c>
      <c r="C41" s="4"/>
      <c r="D41" s="4"/>
      <c r="E41" s="4"/>
      <c r="F41" s="4"/>
      <c r="G41" s="4"/>
      <c r="H41" s="4"/>
      <c r="I41" s="4"/>
      <c r="J41" s="4"/>
      <c r="K41" s="4">
        <f>589+6529+61560</f>
        <v>68678</v>
      </c>
      <c r="L41" s="4">
        <f>59073+6691+569</f>
        <v>66333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2:34" s="3" customFormat="1" x14ac:dyDescent="0.25">
      <c r="B42" s="3" t="s">
        <v>42</v>
      </c>
      <c r="C42" s="4"/>
      <c r="D42" s="4"/>
      <c r="E42" s="4"/>
      <c r="F42" s="4"/>
      <c r="G42" s="4"/>
      <c r="H42" s="4"/>
      <c r="I42" s="4"/>
      <c r="J42" s="4"/>
      <c r="K42" s="4">
        <f>18451+22091</f>
        <v>40542</v>
      </c>
      <c r="L42" s="4">
        <f>18321+22622</f>
        <v>40943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2:34" s="3" customFormat="1" x14ac:dyDescent="0.25">
      <c r="B43" s="3" t="s">
        <v>39</v>
      </c>
      <c r="C43" s="4"/>
      <c r="D43" s="4"/>
      <c r="E43" s="4"/>
      <c r="F43" s="4"/>
      <c r="G43" s="4"/>
      <c r="H43" s="4"/>
      <c r="I43" s="4"/>
      <c r="J43" s="4"/>
      <c r="K43" s="4">
        <f>SUM(K35:K42)</f>
        <v>1494158</v>
      </c>
      <c r="L43" s="4">
        <f>SUM(L35:L42)</f>
        <v>1459669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2:34" s="3" customFormat="1" x14ac:dyDescent="0.25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2:34" s="3" customFormat="1" x14ac:dyDescent="0.25">
      <c r="B45" s="3" t="s">
        <v>43</v>
      </c>
      <c r="C45" s="4"/>
      <c r="D45" s="4"/>
      <c r="E45" s="4"/>
      <c r="F45" s="4"/>
      <c r="G45" s="4"/>
      <c r="H45" s="4"/>
      <c r="I45" s="4"/>
      <c r="J45" s="4"/>
      <c r="K45" s="4">
        <f>148467+135465+21656+5783+9515+3326</f>
        <v>324212</v>
      </c>
      <c r="L45" s="4">
        <f>162577+20473+143232+10062+3909+5470</f>
        <v>345723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2:34" s="3" customFormat="1" x14ac:dyDescent="0.25">
      <c r="B46" s="3" t="s">
        <v>44</v>
      </c>
      <c r="C46" s="4"/>
      <c r="D46" s="4"/>
      <c r="E46" s="4"/>
      <c r="F46" s="4"/>
      <c r="G46" s="4"/>
      <c r="H46" s="4"/>
      <c r="I46" s="4"/>
      <c r="J46" s="4"/>
      <c r="K46" s="4">
        <f>9377+112512+48437</f>
        <v>170326</v>
      </c>
      <c r="L46" s="4">
        <f>105119+53326+9971</f>
        <v>168416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2:34" s="3" customFormat="1" x14ac:dyDescent="0.25">
      <c r="B47" s="3" t="s">
        <v>29</v>
      </c>
      <c r="C47" s="4"/>
      <c r="D47" s="4"/>
      <c r="E47" s="4"/>
      <c r="F47" s="4"/>
      <c r="G47" s="4"/>
      <c r="H47" s="4"/>
      <c r="I47" s="4"/>
      <c r="J47" s="4"/>
      <c r="K47" s="4">
        <f>12524+13968+2456</f>
        <v>28948</v>
      </c>
      <c r="L47" s="4">
        <f>9656+2353+11401</f>
        <v>23410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2:34" s="3" customFormat="1" x14ac:dyDescent="0.25">
      <c r="B48" s="3" t="s">
        <v>46</v>
      </c>
      <c r="C48" s="4"/>
      <c r="D48" s="4"/>
      <c r="E48" s="4"/>
      <c r="F48" s="4"/>
      <c r="G48" s="4"/>
      <c r="H48" s="4"/>
      <c r="I48" s="4"/>
      <c r="J48" s="4"/>
      <c r="K48" s="4">
        <f>17981+5927</f>
        <v>23908</v>
      </c>
      <c r="L48" s="4">
        <f>6086+18372</f>
        <v>24458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2:30" s="3" customFormat="1" x14ac:dyDescent="0.25">
      <c r="B49" s="3" t="s">
        <v>47</v>
      </c>
      <c r="C49" s="4"/>
      <c r="D49" s="4"/>
      <c r="E49" s="4"/>
      <c r="F49" s="4"/>
      <c r="G49" s="4"/>
      <c r="H49" s="4"/>
      <c r="I49" s="4"/>
      <c r="J49" s="4"/>
      <c r="K49" s="4">
        <f>4562+96925</f>
        <v>101487</v>
      </c>
      <c r="L49" s="4">
        <f>89223+4558</f>
        <v>93781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2:30" s="3" customFormat="1" x14ac:dyDescent="0.25">
      <c r="B50" s="3" t="s">
        <v>48</v>
      </c>
      <c r="C50" s="4"/>
      <c r="D50" s="4"/>
      <c r="E50" s="4"/>
      <c r="F50" s="4"/>
      <c r="G50" s="4"/>
      <c r="H50" s="4"/>
      <c r="I50" s="4"/>
      <c r="J50" s="4"/>
      <c r="K50" s="4">
        <v>845277</v>
      </c>
      <c r="L50" s="4">
        <v>803881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2:30" s="3" customFormat="1" x14ac:dyDescent="0.25">
      <c r="B51" s="3" t="s">
        <v>49</v>
      </c>
      <c r="C51" s="4"/>
      <c r="D51" s="4"/>
      <c r="E51" s="4"/>
      <c r="F51" s="4"/>
      <c r="G51" s="4"/>
      <c r="H51" s="4"/>
      <c r="I51" s="4"/>
      <c r="J51" s="4"/>
      <c r="K51" s="4">
        <f>SUM(K45:K50)</f>
        <v>1494158</v>
      </c>
      <c r="L51" s="4">
        <f>SUM(L45:L50)</f>
        <v>1459669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3" spans="2:30" s="3" customFormat="1" x14ac:dyDescent="0.25">
      <c r="B53" s="3" t="s">
        <v>82</v>
      </c>
      <c r="C53" s="4"/>
      <c r="D53" s="4"/>
      <c r="E53" s="4"/>
      <c r="F53" s="4"/>
      <c r="G53" s="4"/>
      <c r="H53" s="4">
        <v>94182</v>
      </c>
      <c r="I53" s="4"/>
      <c r="J53" s="4"/>
      <c r="K53" s="4"/>
      <c r="L53" s="4">
        <v>110715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</sheetData>
  <hyperlinks>
    <hyperlink ref="A1" location="Main!A1" display="Main" xr:uid="{B36BE4B7-A757-452D-A5B5-3233C2DD68D6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2022-07-15T14:32:49Z</dcterms:created>
  <dcterms:modified xsi:type="dcterms:W3CDTF">2026-08-18T20:29:01Z</dcterms:modified>
</cp:coreProperties>
</file>