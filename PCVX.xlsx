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E27C9C9-4657-4566-A24B-FFA3BA7B0F91}" xr6:coauthVersionLast="47" xr6:coauthVersionMax="47" xr10:uidLastSave="{00000000-0000-0000-0000-000000000000}"/>
  <bookViews>
    <workbookView xWindow="9210" yWindow="1620" windowWidth="22360" windowHeight="16580" activeTab="3" xr2:uid="{DC9E7F46-E6E4-44BA-83AC-7D6408B1EC8F}"/>
  </bookViews>
  <sheets>
    <sheet name="Main" sheetId="1" r:id="rId1"/>
    <sheet name="VAX-31" sheetId="4" r:id="rId2"/>
    <sheet name="VAX-24" sheetId="3" r:id="rId3"/>
    <sheet name="Mode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L5" i="1" l="1"/>
  <c r="C5" i="2"/>
  <c r="C6" i="2" s="1"/>
  <c r="D3" i="2"/>
  <c r="D5" i="2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D6" i="2" l="1"/>
  <c r="D7" i="2" s="1"/>
  <c r="D9" i="2" s="1"/>
  <c r="D11" i="2" s="1"/>
  <c r="D12" i="2" s="1"/>
  <c r="D13" i="2" s="1"/>
  <c r="E3" i="2"/>
  <c r="C7" i="2"/>
  <c r="C9" i="2" s="1"/>
  <c r="C11" i="2" s="1"/>
  <c r="C12" i="2" s="1"/>
  <c r="L4" i="1"/>
  <c r="L7" i="1" s="1"/>
  <c r="C13" i="2" l="1"/>
  <c r="F3" i="2"/>
  <c r="E5" i="2"/>
  <c r="E6" i="2" l="1"/>
  <c r="E7" i="2" s="1"/>
  <c r="E9" i="2" s="1"/>
  <c r="E11" i="2" s="1"/>
  <c r="E12" i="2" s="1"/>
  <c r="E13" i="2" s="1"/>
  <c r="G3" i="2"/>
  <c r="F5" i="2"/>
  <c r="F6" i="2" l="1"/>
  <c r="F7" i="2"/>
  <c r="F9" i="2" s="1"/>
  <c r="F11" i="2" s="1"/>
  <c r="F12" i="2" s="1"/>
  <c r="F13" i="2" s="1"/>
  <c r="H3" i="2"/>
  <c r="G5" i="2"/>
  <c r="G6" i="2" l="1"/>
  <c r="G7" i="2" s="1"/>
  <c r="I3" i="2"/>
  <c r="H5" i="2"/>
  <c r="G9" i="2" l="1"/>
  <c r="G11" i="2" s="1"/>
  <c r="G12" i="2" s="1"/>
  <c r="G13" i="2" s="1"/>
  <c r="G15" i="2"/>
  <c r="H6" i="2"/>
  <c r="H7" i="2"/>
  <c r="J3" i="2"/>
  <c r="I5" i="2"/>
  <c r="H9" i="2" l="1"/>
  <c r="H11" i="2" s="1"/>
  <c r="H12" i="2" s="1"/>
  <c r="H13" i="2" s="1"/>
  <c r="H15" i="2"/>
  <c r="I6" i="2"/>
  <c r="I7" i="2" s="1"/>
  <c r="K3" i="2"/>
  <c r="J5" i="2"/>
  <c r="I9" i="2" l="1"/>
  <c r="I11" i="2" s="1"/>
  <c r="I12" i="2" s="1"/>
  <c r="I13" i="2" s="1"/>
  <c r="I15" i="2"/>
  <c r="J6" i="2"/>
  <c r="J7" i="2" s="1"/>
  <c r="L3" i="2"/>
  <c r="K5" i="2"/>
  <c r="J9" i="2" l="1"/>
  <c r="J11" i="2" s="1"/>
  <c r="J12" i="2" s="1"/>
  <c r="J13" i="2" s="1"/>
  <c r="J15" i="2"/>
  <c r="K6" i="2"/>
  <c r="K7" i="2"/>
  <c r="M3" i="2"/>
  <c r="L5" i="2"/>
  <c r="K9" i="2" l="1"/>
  <c r="K11" i="2" s="1"/>
  <c r="K12" i="2" s="1"/>
  <c r="K13" i="2" s="1"/>
  <c r="K15" i="2"/>
  <c r="L6" i="2"/>
  <c r="L7" i="2" s="1"/>
  <c r="N3" i="2"/>
  <c r="N5" i="2" s="1"/>
  <c r="M5" i="2"/>
  <c r="L9" i="2" l="1"/>
  <c r="L11" i="2" s="1"/>
  <c r="L12" i="2" s="1"/>
  <c r="L13" i="2" s="1"/>
  <c r="L15" i="2"/>
  <c r="M6" i="2"/>
  <c r="M7" i="2" s="1"/>
  <c r="N6" i="2"/>
  <c r="N7" i="2" s="1"/>
  <c r="N9" i="2" l="1"/>
  <c r="N11" i="2" s="1"/>
  <c r="N12" i="2" s="1"/>
  <c r="N13" i="2" s="1"/>
  <c r="O13" i="2" s="1"/>
  <c r="N15" i="2"/>
  <c r="M9" i="2"/>
  <c r="M11" i="2" s="1"/>
  <c r="M12" i="2" s="1"/>
  <c r="M13" i="2" s="1"/>
  <c r="M15" i="2"/>
  <c r="P13" i="2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P19" i="2" l="1"/>
  <c r="P21" i="2" s="1"/>
</calcChain>
</file>

<file path=xl/sharedStrings.xml><?xml version="1.0" encoding="utf-8"?>
<sst xmlns="http://schemas.openxmlformats.org/spreadsheetml/2006/main" count="82" uniqueCount="67">
  <si>
    <t>Price</t>
  </si>
  <si>
    <t>Shares</t>
  </si>
  <si>
    <t>MC</t>
  </si>
  <si>
    <t>Cash</t>
  </si>
  <si>
    <t>Debt</t>
  </si>
  <si>
    <t>EV</t>
  </si>
  <si>
    <t>PIC</t>
  </si>
  <si>
    <t>AD</t>
  </si>
  <si>
    <t>Brand</t>
  </si>
  <si>
    <t>VAX-24</t>
  </si>
  <si>
    <t>VAX-31</t>
  </si>
  <si>
    <t>Main</t>
  </si>
  <si>
    <t>Prevnar</t>
  </si>
  <si>
    <t>IP</t>
  </si>
  <si>
    <t>WO2024166008A1</t>
  </si>
  <si>
    <t>Claims - 7-25 serotypes, up to 35 valent</t>
  </si>
  <si>
    <t xml:space="preserve">  1, 3, 4, 5, 6B, 7F, 9V, 14, 18C, 19F, 23F - 11</t>
  </si>
  <si>
    <t xml:space="preserve">  1, 3, 4, 5, 6B, 7F, 9V, 14, 18C, 19F, 22F, 23F, 33F - 13</t>
  </si>
  <si>
    <t xml:space="preserve">  1, 2, 3, 4, 5, 6A, 6B, 7F, 8, 9V, 10A, 11A, 12F, 14, 15B, 18C, 19A, 19F, 22F, 23F, 33F - 21</t>
  </si>
  <si>
    <t xml:space="preserve">  1, 2, 3, 4, 5, 6A, 6B, 7F, 8, 9N, 9V, 10A, 11A, 12F, 14, 15B, 18C, 19A, 19F, 22F, 23F, 33F - 22</t>
  </si>
  <si>
    <t>https://clinicaltrials.gov/study/NCT06531538</t>
  </si>
  <si>
    <t>Share</t>
  </si>
  <si>
    <t>Revenue</t>
  </si>
  <si>
    <t>COGS</t>
  </si>
  <si>
    <t>Gross Profit</t>
  </si>
  <si>
    <t>SG&amp;A</t>
  </si>
  <si>
    <t>Operating Income</t>
  </si>
  <si>
    <t>Pretax Income</t>
  </si>
  <si>
    <t>Taxes</t>
  </si>
  <si>
    <t>Net Income</t>
  </si>
  <si>
    <t>Interest Income</t>
  </si>
  <si>
    <t>Terminal</t>
  </si>
  <si>
    <t>Discount</t>
  </si>
  <si>
    <t>NPV</t>
  </si>
  <si>
    <t>PTS</t>
  </si>
  <si>
    <t>aNPV</t>
  </si>
  <si>
    <t>Est. 2013 as SutroVax</t>
  </si>
  <si>
    <t>Phase</t>
  </si>
  <si>
    <t>MOA</t>
  </si>
  <si>
    <t>Vaccine</t>
  </si>
  <si>
    <t>Economics</t>
  </si>
  <si>
    <t>Q126</t>
  </si>
  <si>
    <t>PPE</t>
  </si>
  <si>
    <t>VAX-A1</t>
  </si>
  <si>
    <t>Indication</t>
  </si>
  <si>
    <t>Group A Strep</t>
  </si>
  <si>
    <t>Pneumococcus</t>
  </si>
  <si>
    <t>Clinical Trials</t>
  </si>
  <si>
    <t>Infant &amp; Adult Pneumococcal</t>
  </si>
  <si>
    <t>enrollment complete</t>
  </si>
  <si>
    <t>Q426 immunogenicity data</t>
  </si>
  <si>
    <t>1H27 immunogenicity data</t>
  </si>
  <si>
    <t>6191 patients across OPUS</t>
  </si>
  <si>
    <t>Phase III "OPUS-1" 4049 adults - non-inferiority vs. Prevnar &amp; Capvaxive</t>
  </si>
  <si>
    <t>Phase III "OPUS-2" 1390 adults with flu vaccine</t>
  </si>
  <si>
    <t>Phase I/II "unprecedented results" - published in Lancet Infectious Disease</t>
  </si>
  <si>
    <t>Phase III "OPUS-3" 752 previously vaccinated adults</t>
  </si>
  <si>
    <t>opsonophagocytic activity (OPA) and immunoglobulin G (IgG) immune responses</t>
  </si>
  <si>
    <t>Phase II dose finding n=900 infants</t>
  </si>
  <si>
    <t>VAX-XL</t>
  </si>
  <si>
    <t>III enrollment complete</t>
  </si>
  <si>
    <t>discontinued?</t>
  </si>
  <si>
    <t>preclinical</t>
  </si>
  <si>
    <t>I/II</t>
  </si>
  <si>
    <t>Gross Margin</t>
  </si>
  <si>
    <t>Competition</t>
  </si>
  <si>
    <t>Prevnar 20, Prevnar 25, Prevnar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</si>
</sst>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1" xfId="1" applyBorder="1"/>
    <xf numFmtId="3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D586445-A814-4F59-8E76-AFD5888D09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81A4-861E-491F-A793-D02E113A3C9B}">
  <dimension ref="B2:M58"/>
  <sheetViews>
    <sheetView zoomScale="145" zoomScaleNormal="145" workbookViewId="0"/>
  </sheetViews>
  <sheetFormatPr defaultRowHeight="12.5" x14ac:dyDescent="0.25"/>
  <cols>
    <col min="1" max="1" width="3.1796875" customWidth="1"/>
    <col min="3" max="3" width="15.81640625" customWidth="1"/>
    <col min="4" max="4" width="13.1796875" bestFit="1" customWidth="1"/>
    <col min="5" max="5" width="9.54296875" bestFit="1" customWidth="1"/>
  </cols>
  <sheetData>
    <row r="2" spans="2:13" x14ac:dyDescent="0.25">
      <c r="B2" s="9" t="s">
        <v>8</v>
      </c>
      <c r="C2" s="10" t="s">
        <v>37</v>
      </c>
      <c r="D2" s="10" t="s">
        <v>44</v>
      </c>
      <c r="E2" s="10" t="s">
        <v>40</v>
      </c>
      <c r="F2" s="10" t="s">
        <v>38</v>
      </c>
      <c r="G2" s="10"/>
      <c r="H2" s="10"/>
      <c r="I2" s="11"/>
      <c r="K2" t="s">
        <v>0</v>
      </c>
      <c r="L2" s="1">
        <v>57.36</v>
      </c>
    </row>
    <row r="3" spans="2:13" x14ac:dyDescent="0.25">
      <c r="B3" s="4" t="s">
        <v>9</v>
      </c>
      <c r="C3" t="s">
        <v>61</v>
      </c>
      <c r="D3" t="s">
        <v>46</v>
      </c>
      <c r="I3" s="5"/>
      <c r="K3" t="s">
        <v>1</v>
      </c>
      <c r="L3" s="2">
        <v>144.397682</v>
      </c>
      <c r="M3" s="3" t="s">
        <v>41</v>
      </c>
    </row>
    <row r="4" spans="2:13" x14ac:dyDescent="0.25">
      <c r="B4" s="18" t="s">
        <v>10</v>
      </c>
      <c r="C4" t="s">
        <v>60</v>
      </c>
      <c r="D4" t="s">
        <v>46</v>
      </c>
      <c r="F4" t="s">
        <v>39</v>
      </c>
      <c r="I4" s="5"/>
      <c r="K4" t="s">
        <v>2</v>
      </c>
      <c r="L4" s="2">
        <f>+L2*L3</f>
        <v>8282.6510395200003</v>
      </c>
    </row>
    <row r="5" spans="2:13" x14ac:dyDescent="0.25">
      <c r="B5" s="4" t="s">
        <v>43</v>
      </c>
      <c r="C5" t="s">
        <v>63</v>
      </c>
      <c r="D5" t="s">
        <v>45</v>
      </c>
      <c r="F5" t="s">
        <v>39</v>
      </c>
      <c r="I5" s="5"/>
      <c r="K5" t="s">
        <v>3</v>
      </c>
      <c r="L5" s="2">
        <f>260.843+1476.335+1004.017</f>
        <v>2741.1950000000002</v>
      </c>
      <c r="M5" s="3" t="s">
        <v>41</v>
      </c>
    </row>
    <row r="6" spans="2:13" x14ac:dyDescent="0.25">
      <c r="B6" s="4" t="s">
        <v>59</v>
      </c>
      <c r="C6" t="s">
        <v>62</v>
      </c>
      <c r="I6" s="5"/>
      <c r="K6" t="s">
        <v>4</v>
      </c>
      <c r="L6" s="2">
        <v>0</v>
      </c>
      <c r="M6" s="3" t="s">
        <v>41</v>
      </c>
    </row>
    <row r="7" spans="2:13" x14ac:dyDescent="0.25">
      <c r="B7" s="4"/>
      <c r="I7" s="5"/>
      <c r="K7" t="s">
        <v>5</v>
      </c>
      <c r="L7" s="2">
        <f>+L4-L5+L6</f>
        <v>5541.4560395200006</v>
      </c>
    </row>
    <row r="8" spans="2:13" x14ac:dyDescent="0.25">
      <c r="B8" s="4"/>
      <c r="I8" s="5"/>
    </row>
    <row r="9" spans="2:13" x14ac:dyDescent="0.25">
      <c r="B9" s="4"/>
      <c r="I9" s="5"/>
      <c r="K9" t="s">
        <v>6</v>
      </c>
      <c r="L9" s="2">
        <v>5478.27</v>
      </c>
      <c r="M9" s="3" t="s">
        <v>41</v>
      </c>
    </row>
    <row r="10" spans="2:13" x14ac:dyDescent="0.25">
      <c r="B10" s="6"/>
      <c r="C10" s="7"/>
      <c r="D10" s="7"/>
      <c r="E10" s="7"/>
      <c r="F10" s="7"/>
      <c r="G10" s="7"/>
      <c r="H10" s="7"/>
      <c r="I10" s="8"/>
      <c r="K10" t="s">
        <v>7</v>
      </c>
      <c r="L10" s="2">
        <v>2475.569</v>
      </c>
      <c r="M10" s="3" t="s">
        <v>41</v>
      </c>
    </row>
    <row r="12" spans="2:13" x14ac:dyDescent="0.25">
      <c r="K12" t="s">
        <v>42</v>
      </c>
      <c r="L12" s="2">
        <v>260.69499999999999</v>
      </c>
      <c r="M12" s="3" t="s">
        <v>41</v>
      </c>
    </row>
    <row r="14" spans="2:13" x14ac:dyDescent="0.25">
      <c r="B14" s="13"/>
    </row>
    <row r="15" spans="2:13" x14ac:dyDescent="0.25">
      <c r="B15" s="13"/>
      <c r="K15" t="s">
        <v>36</v>
      </c>
    </row>
    <row r="16" spans="2:13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x14ac:dyDescent="0.25">
      <c r="B21" s="13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  <row r="28" spans="2:2" x14ac:dyDescent="0.25">
      <c r="B28" s="13"/>
    </row>
    <row r="29" spans="2:2" x14ac:dyDescent="0.25">
      <c r="B29" s="13"/>
    </row>
    <row r="30" spans="2:2" x14ac:dyDescent="0.25">
      <c r="B30" s="13"/>
    </row>
    <row r="31" spans="2:2" x14ac:dyDescent="0.25">
      <c r="B31" s="13"/>
    </row>
    <row r="32" spans="2:2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</sheetData>
  <hyperlinks>
    <hyperlink ref="B4" location="'VAX-31'!A1" display="VAX-31" xr:uid="{17FA1F4B-E944-406A-B514-D2083D4580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1225-6290-4424-AFF5-C82742672405}">
  <dimension ref="A1:C24"/>
  <sheetViews>
    <sheetView zoomScale="220" zoomScaleNormal="220" workbookViewId="0">
      <selection activeCell="A5" sqref="A5"/>
    </sheetView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12" t="s">
        <v>11</v>
      </c>
    </row>
    <row r="2" spans="1:3" x14ac:dyDescent="0.25">
      <c r="B2" t="s">
        <v>8</v>
      </c>
      <c r="C2" t="s">
        <v>10</v>
      </c>
    </row>
    <row r="3" spans="1:3" x14ac:dyDescent="0.25">
      <c r="B3" t="s">
        <v>44</v>
      </c>
      <c r="C3" t="s">
        <v>48</v>
      </c>
    </row>
    <row r="4" spans="1:3" x14ac:dyDescent="0.25">
      <c r="B4" t="s">
        <v>65</v>
      </c>
      <c r="C4" t="s">
        <v>66</v>
      </c>
    </row>
    <row r="5" spans="1:3" x14ac:dyDescent="0.25">
      <c r="B5" t="s">
        <v>47</v>
      </c>
    </row>
    <row r="6" spans="1:3" x14ac:dyDescent="0.25">
      <c r="C6" t="s">
        <v>52</v>
      </c>
    </row>
    <row r="8" spans="1:3" ht="13" x14ac:dyDescent="0.3">
      <c r="C8" s="16" t="s">
        <v>53</v>
      </c>
    </row>
    <row r="9" spans="1:3" x14ac:dyDescent="0.25">
      <c r="C9" s="17" t="s">
        <v>49</v>
      </c>
    </row>
    <row r="10" spans="1:3" x14ac:dyDescent="0.25">
      <c r="C10" s="17" t="s">
        <v>50</v>
      </c>
    </row>
    <row r="12" spans="1:3" ht="13" x14ac:dyDescent="0.3">
      <c r="C12" s="16" t="s">
        <v>54</v>
      </c>
    </row>
    <row r="13" spans="1:3" x14ac:dyDescent="0.25">
      <c r="C13" s="17" t="s">
        <v>49</v>
      </c>
    </row>
    <row r="14" spans="1:3" x14ac:dyDescent="0.25">
      <c r="C14" s="17" t="s">
        <v>51</v>
      </c>
    </row>
    <row r="15" spans="1:3" x14ac:dyDescent="0.25">
      <c r="C15" s="17"/>
    </row>
    <row r="16" spans="1:3" ht="13" x14ac:dyDescent="0.3">
      <c r="C16" s="16" t="s">
        <v>56</v>
      </c>
    </row>
    <row r="17" spans="3:3" x14ac:dyDescent="0.25">
      <c r="C17" s="17" t="s">
        <v>49</v>
      </c>
    </row>
    <row r="18" spans="3:3" x14ac:dyDescent="0.25">
      <c r="C18" s="17" t="s">
        <v>51</v>
      </c>
    </row>
    <row r="20" spans="3:3" ht="13" x14ac:dyDescent="0.3">
      <c r="C20" s="16" t="s">
        <v>58</v>
      </c>
    </row>
    <row r="23" spans="3:3" ht="13" x14ac:dyDescent="0.3">
      <c r="C23" s="16" t="s">
        <v>55</v>
      </c>
    </row>
    <row r="24" spans="3:3" x14ac:dyDescent="0.25">
      <c r="C24" t="s">
        <v>57</v>
      </c>
    </row>
  </sheetData>
  <hyperlinks>
    <hyperlink ref="A1" location="Main!A1" display="Main" xr:uid="{7503C046-0819-4406-B763-104A0D07FBD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55C5-2297-46D2-97F5-220A1E65BB8D}">
  <dimension ref="A1:C8"/>
  <sheetViews>
    <sheetView zoomScale="220" zoomScaleNormal="220" workbookViewId="0">
      <selection activeCell="C11" sqref="C11"/>
    </sheetView>
  </sheetViews>
  <sheetFormatPr defaultRowHeight="12.5" x14ac:dyDescent="0.25"/>
  <cols>
    <col min="1" max="1" width="5" bestFit="1" customWidth="1"/>
  </cols>
  <sheetData>
    <row r="1" spans="1:3" x14ac:dyDescent="0.25">
      <c r="A1" s="12" t="s">
        <v>11</v>
      </c>
    </row>
    <row r="2" spans="1:3" x14ac:dyDescent="0.25">
      <c r="B2" t="s">
        <v>13</v>
      </c>
      <c r="C2" t="s">
        <v>14</v>
      </c>
    </row>
    <row r="3" spans="1:3" x14ac:dyDescent="0.25">
      <c r="C3" t="s">
        <v>15</v>
      </c>
    </row>
    <row r="4" spans="1:3" x14ac:dyDescent="0.25">
      <c r="C4" t="s">
        <v>16</v>
      </c>
    </row>
    <row r="5" spans="1:3" x14ac:dyDescent="0.25">
      <c r="C5" t="s">
        <v>17</v>
      </c>
    </row>
    <row r="6" spans="1:3" x14ac:dyDescent="0.25">
      <c r="C6" t="s">
        <v>18</v>
      </c>
    </row>
    <row r="7" spans="1:3" x14ac:dyDescent="0.25">
      <c r="C7" t="s">
        <v>19</v>
      </c>
    </row>
    <row r="8" spans="1:3" x14ac:dyDescent="0.25">
      <c r="C8" t="s">
        <v>20</v>
      </c>
    </row>
  </sheetData>
  <hyperlinks>
    <hyperlink ref="A1" location="Main!A1" display="Main" xr:uid="{7D77F9EB-25C5-4201-B973-56B0F8730A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DB0E-BCF2-4DE8-9FB7-6A626C584111}">
  <dimension ref="A1:DO21"/>
  <sheetViews>
    <sheetView tabSelected="1" zoomScale="145" zoomScaleNormal="145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Q4" sqref="Q4"/>
    </sheetView>
  </sheetViews>
  <sheetFormatPr defaultRowHeight="12.5" x14ac:dyDescent="0.25"/>
  <cols>
    <col min="1" max="1" width="5" bestFit="1" customWidth="1"/>
    <col min="2" max="2" width="16" bestFit="1" customWidth="1"/>
    <col min="16" max="16" width="10" bestFit="1" customWidth="1"/>
  </cols>
  <sheetData>
    <row r="1" spans="1:119" x14ac:dyDescent="0.25">
      <c r="A1" s="12" t="s">
        <v>11</v>
      </c>
    </row>
    <row r="2" spans="1:119" x14ac:dyDescent="0.25">
      <c r="C2">
        <v>2024</v>
      </c>
      <c r="D2">
        <f t="shared" ref="D2:N2" si="0">+C2+1</f>
        <v>2025</v>
      </c>
      <c r="E2">
        <f t="shared" si="0"/>
        <v>2026</v>
      </c>
      <c r="F2">
        <f t="shared" si="0"/>
        <v>2027</v>
      </c>
      <c r="G2">
        <f t="shared" si="0"/>
        <v>2028</v>
      </c>
      <c r="H2">
        <f t="shared" si="0"/>
        <v>2029</v>
      </c>
      <c r="I2">
        <f t="shared" si="0"/>
        <v>2030</v>
      </c>
      <c r="J2">
        <f t="shared" si="0"/>
        <v>2031</v>
      </c>
      <c r="K2">
        <f t="shared" si="0"/>
        <v>2032</v>
      </c>
      <c r="L2">
        <f t="shared" si="0"/>
        <v>2033</v>
      </c>
      <c r="M2">
        <f t="shared" si="0"/>
        <v>2034</v>
      </c>
      <c r="N2">
        <f t="shared" si="0"/>
        <v>2035</v>
      </c>
    </row>
    <row r="3" spans="1:119" x14ac:dyDescent="0.25">
      <c r="B3" s="2" t="s">
        <v>12</v>
      </c>
      <c r="C3" s="2">
        <v>6500</v>
      </c>
      <c r="D3" s="2">
        <f>+C3*1.01</f>
        <v>6565</v>
      </c>
      <c r="E3" s="2">
        <f t="shared" ref="E3:N3" si="1">+D3*1.01</f>
        <v>6630.65</v>
      </c>
      <c r="F3" s="2">
        <f t="shared" si="1"/>
        <v>6696.9564999999993</v>
      </c>
      <c r="G3" s="2">
        <f t="shared" si="1"/>
        <v>6763.9260649999997</v>
      </c>
      <c r="H3" s="2">
        <f t="shared" si="1"/>
        <v>6831.56532565</v>
      </c>
      <c r="I3" s="2">
        <f t="shared" si="1"/>
        <v>6899.8809789064999</v>
      </c>
      <c r="J3" s="2">
        <f t="shared" si="1"/>
        <v>6968.8797886955654</v>
      </c>
      <c r="K3" s="2">
        <f t="shared" si="1"/>
        <v>7038.5685865825208</v>
      </c>
      <c r="L3" s="2">
        <f t="shared" si="1"/>
        <v>7108.9542724483463</v>
      </c>
      <c r="M3" s="2">
        <f t="shared" si="1"/>
        <v>7180.0438151728295</v>
      </c>
      <c r="N3" s="2">
        <f t="shared" si="1"/>
        <v>7251.8442533245579</v>
      </c>
    </row>
    <row r="4" spans="1:119" x14ac:dyDescent="0.25">
      <c r="B4" t="s">
        <v>21</v>
      </c>
      <c r="C4" s="14">
        <v>0</v>
      </c>
      <c r="D4" s="14">
        <v>0</v>
      </c>
      <c r="E4" s="14">
        <v>0</v>
      </c>
      <c r="F4" s="14">
        <v>0.01</v>
      </c>
      <c r="G4" s="14">
        <v>0.1</v>
      </c>
      <c r="H4" s="14">
        <v>0.2</v>
      </c>
      <c r="I4" s="14">
        <v>0.3</v>
      </c>
      <c r="J4" s="14">
        <v>0.3</v>
      </c>
      <c r="K4" s="14">
        <v>0.35</v>
      </c>
      <c r="L4" s="14">
        <v>0.35</v>
      </c>
      <c r="M4" s="14">
        <v>0.35</v>
      </c>
      <c r="N4" s="14">
        <v>0.35</v>
      </c>
    </row>
    <row r="5" spans="1:119" s="15" customFormat="1" ht="13" x14ac:dyDescent="0.3">
      <c r="B5" s="19" t="s">
        <v>22</v>
      </c>
      <c r="C5" s="19">
        <f>+C3*C4</f>
        <v>0</v>
      </c>
      <c r="D5" s="19">
        <f t="shared" ref="D5:N5" si="2">+D3*D4</f>
        <v>0</v>
      </c>
      <c r="E5" s="19">
        <f t="shared" si="2"/>
        <v>0</v>
      </c>
      <c r="F5" s="19">
        <f t="shared" si="2"/>
        <v>66.969564999999989</v>
      </c>
      <c r="G5" s="19">
        <f t="shared" si="2"/>
        <v>676.39260650000006</v>
      </c>
      <c r="H5" s="19">
        <f t="shared" si="2"/>
        <v>1366.31306513</v>
      </c>
      <c r="I5" s="19">
        <f t="shared" si="2"/>
        <v>2069.9642936719497</v>
      </c>
      <c r="J5" s="19">
        <f t="shared" si="2"/>
        <v>2090.6639366086697</v>
      </c>
      <c r="K5" s="19">
        <f t="shared" si="2"/>
        <v>2463.4990053038823</v>
      </c>
      <c r="L5" s="19">
        <f t="shared" si="2"/>
        <v>2488.1339953569209</v>
      </c>
      <c r="M5" s="19">
        <f t="shared" si="2"/>
        <v>2513.0153353104902</v>
      </c>
      <c r="N5" s="19">
        <f t="shared" si="2"/>
        <v>2538.1454886635952</v>
      </c>
    </row>
    <row r="6" spans="1:119" x14ac:dyDescent="0.25">
      <c r="B6" s="2" t="s">
        <v>23</v>
      </c>
      <c r="C6" s="2">
        <f>+C5*0.3</f>
        <v>0</v>
      </c>
      <c r="D6" s="2">
        <f t="shared" ref="D6:N6" si="3">+D5*0.3</f>
        <v>0</v>
      </c>
      <c r="E6" s="2">
        <f t="shared" si="3"/>
        <v>0</v>
      </c>
      <c r="F6" s="2">
        <f t="shared" si="3"/>
        <v>20.090869499999997</v>
      </c>
      <c r="G6" s="2">
        <f t="shared" si="3"/>
        <v>202.91778195000001</v>
      </c>
      <c r="H6" s="2">
        <f t="shared" si="3"/>
        <v>409.89391953900002</v>
      </c>
      <c r="I6" s="2">
        <f t="shared" si="3"/>
        <v>620.98928810158486</v>
      </c>
      <c r="J6" s="2">
        <f t="shared" si="3"/>
        <v>627.19918098260086</v>
      </c>
      <c r="K6" s="2">
        <f t="shared" si="3"/>
        <v>739.04970159116465</v>
      </c>
      <c r="L6" s="2">
        <f t="shared" si="3"/>
        <v>746.44019860707624</v>
      </c>
      <c r="M6" s="2">
        <f t="shared" si="3"/>
        <v>753.90460059314705</v>
      </c>
      <c r="N6" s="2">
        <f t="shared" si="3"/>
        <v>761.44364659907853</v>
      </c>
    </row>
    <row r="7" spans="1:119" x14ac:dyDescent="0.25">
      <c r="B7" s="2" t="s">
        <v>24</v>
      </c>
      <c r="C7" s="2">
        <f>+C5-C6</f>
        <v>0</v>
      </c>
      <c r="D7" s="2">
        <f t="shared" ref="D7:N7" si="4">+D5-D6</f>
        <v>0</v>
      </c>
      <c r="E7" s="2">
        <f t="shared" si="4"/>
        <v>0</v>
      </c>
      <c r="F7" s="2">
        <f t="shared" si="4"/>
        <v>46.878695499999992</v>
      </c>
      <c r="G7" s="2">
        <f t="shared" si="4"/>
        <v>473.47482455000005</v>
      </c>
      <c r="H7" s="2">
        <f t="shared" si="4"/>
        <v>956.41914559099996</v>
      </c>
      <c r="I7" s="2">
        <f t="shared" si="4"/>
        <v>1448.9750055703648</v>
      </c>
      <c r="J7" s="2">
        <f t="shared" si="4"/>
        <v>1463.4647556260688</v>
      </c>
      <c r="K7" s="2">
        <f t="shared" si="4"/>
        <v>1724.4493037127177</v>
      </c>
      <c r="L7" s="2">
        <f t="shared" si="4"/>
        <v>1741.6937967498448</v>
      </c>
      <c r="M7" s="2">
        <f t="shared" si="4"/>
        <v>1759.1107347173431</v>
      </c>
      <c r="N7" s="2">
        <f t="shared" si="4"/>
        <v>1776.7018420645168</v>
      </c>
    </row>
    <row r="8" spans="1:119" x14ac:dyDescent="0.25">
      <c r="B8" s="2" t="s">
        <v>25</v>
      </c>
      <c r="C8" s="2">
        <v>0</v>
      </c>
      <c r="D8" s="2">
        <v>0</v>
      </c>
      <c r="E8" s="2">
        <v>0</v>
      </c>
      <c r="F8" s="2">
        <v>500</v>
      </c>
      <c r="G8" s="2">
        <v>500</v>
      </c>
      <c r="H8" s="2">
        <v>300</v>
      </c>
      <c r="I8" s="2">
        <v>200</v>
      </c>
      <c r="J8" s="2">
        <v>100</v>
      </c>
      <c r="K8" s="2">
        <v>100</v>
      </c>
      <c r="L8" s="2">
        <v>100</v>
      </c>
      <c r="M8" s="2">
        <v>100</v>
      </c>
      <c r="N8" s="2">
        <v>100</v>
      </c>
    </row>
    <row r="9" spans="1:119" x14ac:dyDescent="0.25">
      <c r="B9" s="2" t="s">
        <v>26</v>
      </c>
      <c r="C9" s="2">
        <f>+C7-C8</f>
        <v>0</v>
      </c>
      <c r="D9" s="2">
        <f t="shared" ref="D9:N9" si="5">+D7-D8</f>
        <v>0</v>
      </c>
      <c r="E9" s="2">
        <f t="shared" si="5"/>
        <v>0</v>
      </c>
      <c r="F9" s="2">
        <f t="shared" si="5"/>
        <v>-453.12130450000001</v>
      </c>
      <c r="G9" s="2">
        <f t="shared" si="5"/>
        <v>-26.525175449999949</v>
      </c>
      <c r="H9" s="2">
        <f t="shared" si="5"/>
        <v>656.41914559099996</v>
      </c>
      <c r="I9" s="2">
        <f t="shared" si="5"/>
        <v>1248.9750055703648</v>
      </c>
      <c r="J9" s="2">
        <f t="shared" si="5"/>
        <v>1363.4647556260688</v>
      </c>
      <c r="K9" s="2">
        <f t="shared" si="5"/>
        <v>1624.4493037127177</v>
      </c>
      <c r="L9" s="2">
        <f t="shared" si="5"/>
        <v>1641.6937967498448</v>
      </c>
      <c r="M9" s="2">
        <f t="shared" si="5"/>
        <v>1659.1107347173431</v>
      </c>
      <c r="N9" s="2">
        <f t="shared" si="5"/>
        <v>1676.7018420645168</v>
      </c>
    </row>
    <row r="10" spans="1:119" x14ac:dyDescent="0.25">
      <c r="B10" s="2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19" x14ac:dyDescent="0.25">
      <c r="B11" s="2" t="s">
        <v>27</v>
      </c>
      <c r="C11" s="2">
        <f>+C9+C10</f>
        <v>0</v>
      </c>
      <c r="D11" s="2">
        <f t="shared" ref="D11:N11" si="6">+D9+D10</f>
        <v>0</v>
      </c>
      <c r="E11" s="2">
        <f t="shared" si="6"/>
        <v>0</v>
      </c>
      <c r="F11" s="2">
        <f t="shared" si="6"/>
        <v>-453.12130450000001</v>
      </c>
      <c r="G11" s="2">
        <f t="shared" si="6"/>
        <v>-26.525175449999949</v>
      </c>
      <c r="H11" s="2">
        <f t="shared" si="6"/>
        <v>656.41914559099996</v>
      </c>
      <c r="I11" s="2">
        <f t="shared" si="6"/>
        <v>1248.9750055703648</v>
      </c>
      <c r="J11" s="2">
        <f t="shared" si="6"/>
        <v>1363.4647556260688</v>
      </c>
      <c r="K11" s="2">
        <f t="shared" si="6"/>
        <v>1624.4493037127177</v>
      </c>
      <c r="L11" s="2">
        <f t="shared" si="6"/>
        <v>1641.6937967498448</v>
      </c>
      <c r="M11" s="2">
        <f t="shared" si="6"/>
        <v>1659.1107347173431</v>
      </c>
      <c r="N11" s="2">
        <f t="shared" si="6"/>
        <v>1676.7018420645168</v>
      </c>
    </row>
    <row r="12" spans="1:119" x14ac:dyDescent="0.25">
      <c r="B12" s="2" t="s">
        <v>28</v>
      </c>
      <c r="C12" s="2">
        <f>+C11*0.2</f>
        <v>0</v>
      </c>
      <c r="D12" s="2">
        <f t="shared" ref="D12:N12" si="7">+D11*0.2</f>
        <v>0</v>
      </c>
      <c r="E12" s="2">
        <f t="shared" si="7"/>
        <v>0</v>
      </c>
      <c r="F12" s="2">
        <f t="shared" si="7"/>
        <v>-90.62426090000001</v>
      </c>
      <c r="G12" s="2">
        <f t="shared" si="7"/>
        <v>-5.3050350899999899</v>
      </c>
      <c r="H12" s="2">
        <f t="shared" si="7"/>
        <v>131.2838291182</v>
      </c>
      <c r="I12" s="2">
        <f t="shared" si="7"/>
        <v>249.79500111407299</v>
      </c>
      <c r="J12" s="2">
        <f t="shared" si="7"/>
        <v>272.69295112521377</v>
      </c>
      <c r="K12" s="2">
        <f t="shared" si="7"/>
        <v>324.88986074254353</v>
      </c>
      <c r="L12" s="2">
        <f t="shared" si="7"/>
        <v>328.338759349969</v>
      </c>
      <c r="M12" s="2">
        <f t="shared" si="7"/>
        <v>331.82214694346862</v>
      </c>
      <c r="N12" s="2">
        <f t="shared" si="7"/>
        <v>335.34036841290339</v>
      </c>
    </row>
    <row r="13" spans="1:119" x14ac:dyDescent="0.25">
      <c r="B13" s="2" t="s">
        <v>29</v>
      </c>
      <c r="C13" s="2">
        <f>+C11-C12</f>
        <v>0</v>
      </c>
      <c r="D13" s="2">
        <f t="shared" ref="D13:N13" si="8">+D11-D12</f>
        <v>0</v>
      </c>
      <c r="E13" s="2">
        <f t="shared" si="8"/>
        <v>0</v>
      </c>
      <c r="F13" s="2">
        <f t="shared" si="8"/>
        <v>-362.49704359999998</v>
      </c>
      <c r="G13" s="2">
        <f t="shared" si="8"/>
        <v>-21.220140359999959</v>
      </c>
      <c r="H13" s="2">
        <f t="shared" si="8"/>
        <v>525.13531647280001</v>
      </c>
      <c r="I13" s="2">
        <f t="shared" si="8"/>
        <v>999.18000445629184</v>
      </c>
      <c r="J13" s="2">
        <f t="shared" si="8"/>
        <v>1090.7718045008551</v>
      </c>
      <c r="K13" s="2">
        <f t="shared" si="8"/>
        <v>1299.5594429701741</v>
      </c>
      <c r="L13" s="2">
        <f t="shared" si="8"/>
        <v>1313.3550373998758</v>
      </c>
      <c r="M13" s="2">
        <f t="shared" si="8"/>
        <v>1327.2885877738745</v>
      </c>
      <c r="N13" s="2">
        <f t="shared" si="8"/>
        <v>1341.3614736516133</v>
      </c>
      <c r="O13" s="2">
        <f>N13*(1+$P$17)</f>
        <v>1274.2933999690326</v>
      </c>
      <c r="P13" s="2">
        <f t="shared" ref="P13:CA13" si="9">O13*(1+$P$17)</f>
        <v>1210.578729970581</v>
      </c>
      <c r="Q13" s="2">
        <f t="shared" si="9"/>
        <v>1150.049793472052</v>
      </c>
      <c r="R13" s="2">
        <f t="shared" si="9"/>
        <v>1092.5473037984493</v>
      </c>
      <c r="S13" s="2">
        <f t="shared" si="9"/>
        <v>1037.9199386085268</v>
      </c>
      <c r="T13" s="2">
        <f t="shared" si="9"/>
        <v>986.02394167810041</v>
      </c>
      <c r="U13" s="2">
        <f t="shared" si="9"/>
        <v>936.72274459419532</v>
      </c>
      <c r="V13" s="2">
        <f t="shared" si="9"/>
        <v>889.88660736448549</v>
      </c>
      <c r="W13" s="2">
        <f t="shared" si="9"/>
        <v>845.39227699626122</v>
      </c>
      <c r="X13" s="2">
        <f t="shared" si="9"/>
        <v>803.12266314644808</v>
      </c>
      <c r="Y13" s="2">
        <f t="shared" si="9"/>
        <v>762.96652998912566</v>
      </c>
      <c r="Z13" s="2">
        <f t="shared" si="9"/>
        <v>724.81820348966937</v>
      </c>
      <c r="AA13" s="2">
        <f t="shared" si="9"/>
        <v>688.5772933151859</v>
      </c>
      <c r="AB13" s="2">
        <f t="shared" si="9"/>
        <v>654.14842864942659</v>
      </c>
      <c r="AC13" s="2">
        <f t="shared" si="9"/>
        <v>621.4410072169552</v>
      </c>
      <c r="AD13" s="2">
        <f t="shared" si="9"/>
        <v>590.36895685610739</v>
      </c>
      <c r="AE13" s="2">
        <f t="shared" si="9"/>
        <v>560.85050901330203</v>
      </c>
      <c r="AF13" s="2">
        <f t="shared" si="9"/>
        <v>532.80798356263688</v>
      </c>
      <c r="AG13" s="2">
        <f t="shared" si="9"/>
        <v>506.16758438450501</v>
      </c>
      <c r="AH13" s="2">
        <f t="shared" si="9"/>
        <v>480.85920516527972</v>
      </c>
      <c r="AI13" s="2">
        <f t="shared" si="9"/>
        <v>456.81624490701569</v>
      </c>
      <c r="AJ13" s="2">
        <f t="shared" si="9"/>
        <v>433.97543266166485</v>
      </c>
      <c r="AK13" s="2">
        <f t="shared" si="9"/>
        <v>412.2766610285816</v>
      </c>
      <c r="AL13" s="2">
        <f t="shared" si="9"/>
        <v>391.66282797715252</v>
      </c>
      <c r="AM13" s="2">
        <f t="shared" si="9"/>
        <v>372.07968657829485</v>
      </c>
      <c r="AN13" s="2">
        <f t="shared" si="9"/>
        <v>353.47570224938011</v>
      </c>
      <c r="AO13" s="2">
        <f t="shared" si="9"/>
        <v>335.80191713691107</v>
      </c>
      <c r="AP13" s="2">
        <f t="shared" si="9"/>
        <v>319.01182128006548</v>
      </c>
      <c r="AQ13" s="2">
        <f t="shared" si="9"/>
        <v>303.0612302160622</v>
      </c>
      <c r="AR13" s="2">
        <f t="shared" si="9"/>
        <v>287.90816870525907</v>
      </c>
      <c r="AS13" s="2">
        <f t="shared" si="9"/>
        <v>273.51276026999608</v>
      </c>
      <c r="AT13" s="2">
        <f t="shared" si="9"/>
        <v>259.83712225649629</v>
      </c>
      <c r="AU13" s="2">
        <f t="shared" si="9"/>
        <v>246.84526614367147</v>
      </c>
      <c r="AV13" s="2">
        <f t="shared" si="9"/>
        <v>234.50300283648789</v>
      </c>
      <c r="AW13" s="2">
        <f t="shared" si="9"/>
        <v>222.77785269466349</v>
      </c>
      <c r="AX13" s="2">
        <f t="shared" si="9"/>
        <v>211.6389600599303</v>
      </c>
      <c r="AY13" s="2">
        <f t="shared" si="9"/>
        <v>201.05701205693379</v>
      </c>
      <c r="AZ13" s="2">
        <f t="shared" si="9"/>
        <v>191.0041614540871</v>
      </c>
      <c r="BA13" s="2">
        <f t="shared" si="9"/>
        <v>181.45395338138275</v>
      </c>
      <c r="BB13" s="2">
        <f t="shared" si="9"/>
        <v>172.38125571231359</v>
      </c>
      <c r="BC13" s="2">
        <f t="shared" si="9"/>
        <v>163.76219292669791</v>
      </c>
      <c r="BD13" s="2">
        <f t="shared" si="9"/>
        <v>155.574083280363</v>
      </c>
      <c r="BE13" s="2">
        <f t="shared" si="9"/>
        <v>147.79537911634483</v>
      </c>
      <c r="BF13" s="2">
        <f t="shared" si="9"/>
        <v>140.40561016052757</v>
      </c>
      <c r="BG13" s="2">
        <f t="shared" si="9"/>
        <v>133.38532965250118</v>
      </c>
      <c r="BH13" s="2">
        <f t="shared" si="9"/>
        <v>126.71606316987612</v>
      </c>
      <c r="BI13" s="2">
        <f t="shared" si="9"/>
        <v>120.3802600113823</v>
      </c>
      <c r="BJ13" s="2">
        <f t="shared" si="9"/>
        <v>114.36124701081319</v>
      </c>
      <c r="BK13" s="2">
        <f t="shared" si="9"/>
        <v>108.64318466027252</v>
      </c>
      <c r="BL13" s="2">
        <f t="shared" si="9"/>
        <v>103.21102542725889</v>
      </c>
      <c r="BM13" s="2">
        <f t="shared" si="9"/>
        <v>98.050474155895941</v>
      </c>
      <c r="BN13" s="2">
        <f t="shared" si="9"/>
        <v>93.147950448101142</v>
      </c>
      <c r="BO13" s="2">
        <f t="shared" si="9"/>
        <v>88.490552925696079</v>
      </c>
      <c r="BP13" s="2">
        <f t="shared" si="9"/>
        <v>84.066025279411278</v>
      </c>
      <c r="BQ13" s="2">
        <f t="shared" si="9"/>
        <v>79.862724015440705</v>
      </c>
      <c r="BR13" s="2">
        <f t="shared" si="9"/>
        <v>75.869587814668662</v>
      </c>
      <c r="BS13" s="2">
        <f t="shared" si="9"/>
        <v>72.076108423935224</v>
      </c>
      <c r="BT13" s="2">
        <f t="shared" si="9"/>
        <v>68.472303002738457</v>
      </c>
      <c r="BU13" s="2">
        <f t="shared" si="9"/>
        <v>65.048687852601532</v>
      </c>
      <c r="BV13" s="2">
        <f t="shared" si="9"/>
        <v>61.796253459971453</v>
      </c>
      <c r="BW13" s="2">
        <f t="shared" si="9"/>
        <v>58.706440786972877</v>
      </c>
      <c r="BX13" s="2">
        <f t="shared" si="9"/>
        <v>55.771118747624229</v>
      </c>
      <c r="BY13" s="2">
        <f t="shared" si="9"/>
        <v>52.982562810243017</v>
      </c>
      <c r="BZ13" s="2">
        <f t="shared" si="9"/>
        <v>50.333434669730863</v>
      </c>
      <c r="CA13" s="2">
        <f t="shared" si="9"/>
        <v>47.816762936244317</v>
      </c>
      <c r="CB13" s="2">
        <f t="shared" ref="CB13:DO13" si="10">CA13*(1+$P$17)</f>
        <v>45.425924789432102</v>
      </c>
      <c r="CC13" s="2">
        <f t="shared" si="10"/>
        <v>43.154628549960492</v>
      </c>
      <c r="CD13" s="2">
        <f t="shared" si="10"/>
        <v>40.996897122462464</v>
      </c>
      <c r="CE13" s="2">
        <f t="shared" si="10"/>
        <v>38.947052266339341</v>
      </c>
      <c r="CF13" s="2">
        <f t="shared" si="10"/>
        <v>36.999699653022375</v>
      </c>
      <c r="CG13" s="2">
        <f t="shared" si="10"/>
        <v>35.149714670371253</v>
      </c>
      <c r="CH13" s="2">
        <f t="shared" si="10"/>
        <v>33.392228936852689</v>
      </c>
      <c r="CI13" s="2">
        <f t="shared" si="10"/>
        <v>31.722617490010052</v>
      </c>
      <c r="CJ13" s="2">
        <f t="shared" si="10"/>
        <v>30.136486615509547</v>
      </c>
      <c r="CK13" s="2">
        <f t="shared" si="10"/>
        <v>28.629662284734067</v>
      </c>
      <c r="CL13" s="2">
        <f t="shared" si="10"/>
        <v>27.198179170497362</v>
      </c>
      <c r="CM13" s="2">
        <f t="shared" si="10"/>
        <v>25.838270211972493</v>
      </c>
      <c r="CN13" s="2">
        <f t="shared" si="10"/>
        <v>24.546356701373867</v>
      </c>
      <c r="CO13" s="2">
        <f t="shared" si="10"/>
        <v>23.319038866305171</v>
      </c>
      <c r="CP13" s="2">
        <f t="shared" si="10"/>
        <v>22.15308692298991</v>
      </c>
      <c r="CQ13" s="2">
        <f t="shared" si="10"/>
        <v>21.045432576840415</v>
      </c>
      <c r="CR13" s="2">
        <f t="shared" si="10"/>
        <v>19.993160947998394</v>
      </c>
      <c r="CS13" s="2">
        <f t="shared" si="10"/>
        <v>18.993502900598472</v>
      </c>
      <c r="CT13" s="2">
        <f t="shared" si="10"/>
        <v>18.043827755568547</v>
      </c>
      <c r="CU13" s="2">
        <f t="shared" si="10"/>
        <v>17.14163636779012</v>
      </c>
      <c r="CV13" s="2">
        <f t="shared" si="10"/>
        <v>16.284554549400614</v>
      </c>
      <c r="CW13" s="2">
        <f t="shared" si="10"/>
        <v>15.470326821930582</v>
      </c>
      <c r="CX13" s="2">
        <f t="shared" si="10"/>
        <v>14.696810480834053</v>
      </c>
      <c r="CY13" s="2">
        <f t="shared" si="10"/>
        <v>13.96196995679235</v>
      </c>
      <c r="CZ13" s="2">
        <f t="shared" si="10"/>
        <v>13.263871458952732</v>
      </c>
      <c r="DA13" s="2">
        <f t="shared" si="10"/>
        <v>12.600677886005094</v>
      </c>
      <c r="DB13" s="2">
        <f t="shared" si="10"/>
        <v>11.970643991704838</v>
      </c>
      <c r="DC13" s="2">
        <f t="shared" si="10"/>
        <v>11.372111792119595</v>
      </c>
      <c r="DD13" s="2">
        <f t="shared" si="10"/>
        <v>10.803506202513615</v>
      </c>
      <c r="DE13" s="2">
        <f t="shared" si="10"/>
        <v>10.263330892387934</v>
      </c>
      <c r="DF13" s="2">
        <f t="shared" si="10"/>
        <v>9.7501643477685374</v>
      </c>
      <c r="DG13" s="2">
        <f t="shared" si="10"/>
        <v>9.26265613038011</v>
      </c>
      <c r="DH13" s="2">
        <f t="shared" si="10"/>
        <v>8.7995233238611039</v>
      </c>
      <c r="DI13" s="2">
        <f t="shared" si="10"/>
        <v>8.3595471576680485</v>
      </c>
      <c r="DJ13" s="2">
        <f t="shared" si="10"/>
        <v>7.9415697997846459</v>
      </c>
      <c r="DK13" s="2">
        <f t="shared" si="10"/>
        <v>7.5444913097954132</v>
      </c>
      <c r="DL13" s="2">
        <f t="shared" si="10"/>
        <v>7.1672667443056426</v>
      </c>
      <c r="DM13" s="2">
        <f t="shared" si="10"/>
        <v>6.8089034070903605</v>
      </c>
      <c r="DN13" s="2">
        <f t="shared" si="10"/>
        <v>6.4684582367358425</v>
      </c>
      <c r="DO13" s="2">
        <f t="shared" si="10"/>
        <v>6.1450353248990499</v>
      </c>
    </row>
    <row r="15" spans="1:119" x14ac:dyDescent="0.25">
      <c r="B15" s="2" t="s">
        <v>64</v>
      </c>
      <c r="F15" s="14">
        <f>F7/F5</f>
        <v>0.7</v>
      </c>
      <c r="G15" s="14">
        <f t="shared" ref="G15:N15" si="11">G7/G5</f>
        <v>0.70000000000000007</v>
      </c>
      <c r="H15" s="14">
        <f t="shared" si="11"/>
        <v>0.7</v>
      </c>
      <c r="I15" s="14">
        <f t="shared" si="11"/>
        <v>0.70000000000000007</v>
      </c>
      <c r="J15" s="14">
        <f t="shared" si="11"/>
        <v>0.70000000000000007</v>
      </c>
      <c r="K15" s="14">
        <f t="shared" si="11"/>
        <v>0.70000000000000007</v>
      </c>
      <c r="L15" s="14">
        <f t="shared" si="11"/>
        <v>0.70000000000000007</v>
      </c>
      <c r="M15" s="14">
        <f t="shared" si="11"/>
        <v>0.7</v>
      </c>
      <c r="N15" s="14">
        <f t="shared" si="11"/>
        <v>0.70000000000000007</v>
      </c>
    </row>
    <row r="17" spans="15:16" x14ac:dyDescent="0.25">
      <c r="O17" t="s">
        <v>31</v>
      </c>
      <c r="P17" s="14">
        <v>-0.05</v>
      </c>
    </row>
    <row r="18" spans="15:16" x14ac:dyDescent="0.25">
      <c r="O18" t="s">
        <v>32</v>
      </c>
      <c r="P18" s="14">
        <v>0.1</v>
      </c>
    </row>
    <row r="19" spans="15:16" x14ac:dyDescent="0.25">
      <c r="O19" t="s">
        <v>33</v>
      </c>
      <c r="P19" s="2">
        <f>NPV(P18,G13:DR13)+F13</f>
        <v>8366.1757364881905</v>
      </c>
    </row>
    <row r="20" spans="15:16" x14ac:dyDescent="0.25">
      <c r="O20" t="s">
        <v>34</v>
      </c>
      <c r="P20" s="14">
        <v>1</v>
      </c>
    </row>
    <row r="21" spans="15:16" x14ac:dyDescent="0.25">
      <c r="O21" t="s">
        <v>35</v>
      </c>
      <c r="P21" s="2">
        <f>+P19*P20</f>
        <v>8366.1757364881905</v>
      </c>
    </row>
  </sheetData>
  <hyperlinks>
    <hyperlink ref="A1" location="Main!A1" display="Main" xr:uid="{AC8BA7B0-18B2-4171-8486-DBF289D1FB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VAX-31</vt:lpstr>
      <vt:lpstr>VAX-24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2024-09-09T14:51:07Z</dcterms:created>
  <dcterms:modified xsi:type="dcterms:W3CDTF">2026-07-06T14:42:00Z</dcterms:modified>
</cp:coreProperties>
</file>