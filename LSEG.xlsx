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39ECA39-EAAC-42BE-BD5D-CC75442CCEC2}" xr6:coauthVersionLast="47" xr6:coauthVersionMax="47" xr10:uidLastSave="{00000000-0000-0000-0000-000000000000}"/>
  <bookViews>
    <workbookView xWindow="240" yWindow="2460" windowWidth="16380" windowHeight="16860" xr2:uid="{997751E2-6FFF-404A-94A1-45187CCEF1AA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C17" i="2"/>
  <c r="I2" i="2"/>
  <c r="J2" i="2" s="1"/>
  <c r="K2" i="2" s="1"/>
  <c r="L2" i="2" s="1"/>
  <c r="M2" i="2" s="1"/>
  <c r="N2" i="2" s="1"/>
  <c r="O2" i="2" s="1"/>
  <c r="P2" i="2" s="1"/>
  <c r="Q2" i="2" s="1"/>
  <c r="R2" i="2" s="1"/>
</calcChain>
</file>

<file path=xl/sharedStrings.xml><?xml version="1.0" encoding="utf-8"?>
<sst xmlns="http://schemas.openxmlformats.org/spreadsheetml/2006/main" count="33" uniqueCount="33">
  <si>
    <t>Shares</t>
  </si>
  <si>
    <t>MC</t>
  </si>
  <si>
    <t>Cash</t>
  </si>
  <si>
    <t>Debt</t>
  </si>
  <si>
    <t>EV</t>
  </si>
  <si>
    <t>Price GBp</t>
  </si>
  <si>
    <t>Owns 55% of TW, 17% of revenue.</t>
  </si>
  <si>
    <t>FTSE Russell</t>
  </si>
  <si>
    <t>Main</t>
  </si>
  <si>
    <t>Revenue</t>
  </si>
  <si>
    <t>Pounds (M)</t>
  </si>
  <si>
    <t>Refinitiv</t>
  </si>
  <si>
    <t>LCH - wholesale/OTC clearer</t>
  </si>
  <si>
    <t>Q324</t>
  </si>
  <si>
    <t>Q325</t>
  </si>
  <si>
    <t>Workflows</t>
  </si>
  <si>
    <t>Data/Feeds</t>
  </si>
  <si>
    <t>Analytics</t>
  </si>
  <si>
    <t>Subscription</t>
  </si>
  <si>
    <t>Asset-based</t>
  </si>
  <si>
    <t>Risk Intelligence</t>
  </si>
  <si>
    <t>Equities</t>
  </si>
  <si>
    <t>FI/Derivs</t>
  </si>
  <si>
    <t>FX</t>
  </si>
  <si>
    <t>OTC Derivs</t>
  </si>
  <si>
    <t>Securities/Reporting</t>
  </si>
  <si>
    <t>Non-Cash Collateral</t>
  </si>
  <si>
    <t>NTI</t>
  </si>
  <si>
    <t>Recoveries</t>
  </si>
  <si>
    <t>Open Directory</t>
  </si>
  <si>
    <t>Migration from Eikon</t>
  </si>
  <si>
    <t>Workflows (Workspace) - $2B annually.</t>
  </si>
  <si>
    <t>Data/Feeds is $1.8B annually, 50% are real-time, 550 data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</si>
</sst>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 applyAlignment="1">
      <alignment horizontal="right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97E7-ADAD-4CDF-A408-EB230319EC32}">
  <dimension ref="B2:K11"/>
  <sheetViews>
    <sheetView tabSelected="1" zoomScale="220" zoomScaleNormal="220" workbookViewId="0">
      <selection activeCell="B9" sqref="B9"/>
    </sheetView>
  </sheetViews>
  <sheetFormatPr defaultRowHeight="12.5" x14ac:dyDescent="0.25"/>
  <cols>
    <col min="1" max="16384" width="8.7265625" style="1"/>
  </cols>
  <sheetData>
    <row r="2" spans="2:11" x14ac:dyDescent="0.25">
      <c r="B2" s="1" t="s">
        <v>6</v>
      </c>
      <c r="J2" s="1" t="s">
        <v>5</v>
      </c>
      <c r="K2" s="2">
        <v>8400</v>
      </c>
    </row>
    <row r="3" spans="2:11" x14ac:dyDescent="0.25">
      <c r="B3" s="1" t="s">
        <v>7</v>
      </c>
      <c r="J3" s="1" t="s">
        <v>0</v>
      </c>
    </row>
    <row r="4" spans="2:11" x14ac:dyDescent="0.25">
      <c r="B4" s="1" t="s">
        <v>12</v>
      </c>
      <c r="J4" s="1" t="s">
        <v>1</v>
      </c>
    </row>
    <row r="5" spans="2:11" x14ac:dyDescent="0.25">
      <c r="B5" s="1" t="s">
        <v>11</v>
      </c>
      <c r="J5" s="1" t="s">
        <v>2</v>
      </c>
    </row>
    <row r="6" spans="2:11" x14ac:dyDescent="0.25">
      <c r="J6" s="1" t="s">
        <v>3</v>
      </c>
    </row>
    <row r="7" spans="2:11" x14ac:dyDescent="0.25">
      <c r="J7" s="1" t="s">
        <v>4</v>
      </c>
    </row>
    <row r="8" spans="2:11" x14ac:dyDescent="0.25">
      <c r="B8" s="1" t="s">
        <v>32</v>
      </c>
    </row>
    <row r="9" spans="2:11" x14ac:dyDescent="0.25">
      <c r="B9" s="1" t="s">
        <v>29</v>
      </c>
    </row>
    <row r="10" spans="2:11" x14ac:dyDescent="0.25">
      <c r="B10" s="1" t="s">
        <v>31</v>
      </c>
    </row>
    <row r="11" spans="2:11" x14ac:dyDescent="0.25">
      <c r="C11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7F49-535A-497D-A38E-97435B2FBE7F}">
  <dimension ref="A1:R17"/>
  <sheetViews>
    <sheetView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:D4"/>
    </sheetView>
  </sheetViews>
  <sheetFormatPr defaultRowHeight="12.5" x14ac:dyDescent="0.25"/>
  <cols>
    <col min="1" max="1" width="4.6328125" style="1" bestFit="1" customWidth="1"/>
    <col min="2" max="2" width="17.90625" style="1" customWidth="1"/>
    <col min="3" max="16384" width="8.7265625" style="1"/>
  </cols>
  <sheetData>
    <row r="1" spans="1:18" x14ac:dyDescent="0.25">
      <c r="A1" s="7" t="s">
        <v>8</v>
      </c>
    </row>
    <row r="2" spans="1:18" x14ac:dyDescent="0.25">
      <c r="B2" s="1" t="s">
        <v>10</v>
      </c>
      <c r="C2" s="3" t="s">
        <v>13</v>
      </c>
      <c r="D2" s="3" t="s">
        <v>14</v>
      </c>
      <c r="G2" s="1">
        <v>2022</v>
      </c>
      <c r="H2" s="1">
        <v>2023</v>
      </c>
      <c r="I2" s="1">
        <f>+H2+1</f>
        <v>2024</v>
      </c>
      <c r="J2" s="1">
        <f t="shared" ref="J2:R2" si="0">+I2+1</f>
        <v>2025</v>
      </c>
      <c r="K2" s="1">
        <f t="shared" si="0"/>
        <v>2026</v>
      </c>
      <c r="L2" s="1">
        <f t="shared" si="0"/>
        <v>2027</v>
      </c>
      <c r="M2" s="1">
        <f t="shared" si="0"/>
        <v>2028</v>
      </c>
      <c r="N2" s="1">
        <f t="shared" si="0"/>
        <v>2029</v>
      </c>
      <c r="O2" s="1">
        <f t="shared" si="0"/>
        <v>2030</v>
      </c>
      <c r="P2" s="1">
        <f t="shared" si="0"/>
        <v>2031</v>
      </c>
      <c r="Q2" s="1">
        <f t="shared" si="0"/>
        <v>2032</v>
      </c>
      <c r="R2" s="1">
        <f t="shared" si="0"/>
        <v>2033</v>
      </c>
    </row>
    <row r="3" spans="1:18" x14ac:dyDescent="0.25">
      <c r="B3" s="1" t="s">
        <v>15</v>
      </c>
      <c r="C3" s="6">
        <v>469</v>
      </c>
      <c r="D3" s="6">
        <v>475.5</v>
      </c>
    </row>
    <row r="4" spans="1:18" x14ac:dyDescent="0.25">
      <c r="B4" s="1" t="s">
        <v>16</v>
      </c>
      <c r="C4" s="6">
        <v>430</v>
      </c>
      <c r="D4" s="6">
        <v>444.6</v>
      </c>
    </row>
    <row r="5" spans="1:18" x14ac:dyDescent="0.25">
      <c r="B5" s="1" t="s">
        <v>17</v>
      </c>
      <c r="C5" s="6">
        <v>55</v>
      </c>
      <c r="D5" s="6">
        <v>57.2</v>
      </c>
    </row>
    <row r="6" spans="1:18" x14ac:dyDescent="0.25">
      <c r="B6" s="1" t="s">
        <v>18</v>
      </c>
      <c r="C6" s="6">
        <v>154</v>
      </c>
      <c r="D6" s="6">
        <v>153.30000000000001</v>
      </c>
    </row>
    <row r="7" spans="1:18" x14ac:dyDescent="0.25">
      <c r="B7" s="1" t="s">
        <v>19</v>
      </c>
      <c r="C7" s="6">
        <v>71</v>
      </c>
      <c r="D7" s="6">
        <v>77.5</v>
      </c>
    </row>
    <row r="8" spans="1:18" x14ac:dyDescent="0.25">
      <c r="B8" s="1" t="s">
        <v>20</v>
      </c>
      <c r="C8" s="6">
        <v>131</v>
      </c>
      <c r="D8" s="6">
        <v>142.5</v>
      </c>
    </row>
    <row r="9" spans="1:18" x14ac:dyDescent="0.25">
      <c r="B9" s="1" t="s">
        <v>21</v>
      </c>
      <c r="C9" s="6">
        <v>100</v>
      </c>
      <c r="D9" s="6">
        <v>101.2</v>
      </c>
    </row>
    <row r="10" spans="1:18" x14ac:dyDescent="0.25">
      <c r="B10" s="1" t="s">
        <v>22</v>
      </c>
      <c r="C10" s="6">
        <v>341</v>
      </c>
      <c r="D10" s="6">
        <v>369.2</v>
      </c>
    </row>
    <row r="11" spans="1:18" x14ac:dyDescent="0.25">
      <c r="B11" s="1" t="s">
        <v>23</v>
      </c>
      <c r="C11" s="6">
        <v>67</v>
      </c>
      <c r="D11" s="6">
        <v>65.099999999999994</v>
      </c>
    </row>
    <row r="12" spans="1:18" x14ac:dyDescent="0.25">
      <c r="B12" s="1" t="s">
        <v>24</v>
      </c>
      <c r="C12" s="6">
        <v>148</v>
      </c>
      <c r="D12" s="6">
        <v>154.80000000000001</v>
      </c>
    </row>
    <row r="13" spans="1:18" x14ac:dyDescent="0.25">
      <c r="B13" s="1" t="s">
        <v>25</v>
      </c>
      <c r="C13" s="6">
        <v>55</v>
      </c>
      <c r="D13" s="6">
        <v>52.1</v>
      </c>
    </row>
    <row r="14" spans="1:18" x14ac:dyDescent="0.25">
      <c r="B14" s="1" t="s">
        <v>26</v>
      </c>
      <c r="C14" s="6">
        <v>28</v>
      </c>
      <c r="D14" s="6">
        <v>29.1</v>
      </c>
    </row>
    <row r="15" spans="1:18" x14ac:dyDescent="0.25">
      <c r="B15" s="1" t="s">
        <v>27</v>
      </c>
      <c r="C15" s="6">
        <v>66</v>
      </c>
      <c r="D15" s="6">
        <v>59.3</v>
      </c>
    </row>
    <row r="16" spans="1:18" x14ac:dyDescent="0.25">
      <c r="B16" s="1" t="s">
        <v>28</v>
      </c>
      <c r="C16" s="6">
        <v>89</v>
      </c>
      <c r="D16" s="6">
        <v>89</v>
      </c>
    </row>
    <row r="17" spans="2:12" s="4" customFormat="1" ht="13" x14ac:dyDescent="0.3">
      <c r="B17" s="4" t="s">
        <v>9</v>
      </c>
      <c r="C17" s="5">
        <f>SUM(C3:C16)</f>
        <v>2204</v>
      </c>
      <c r="D17" s="5">
        <f>SUM(D3:D16)</f>
        <v>2270.4</v>
      </c>
      <c r="E17" s="5"/>
      <c r="F17" s="5"/>
      <c r="H17" s="5">
        <v>8379</v>
      </c>
      <c r="I17" s="5">
        <v>8858</v>
      </c>
      <c r="J17" s="5">
        <v>9297</v>
      </c>
      <c r="K17" s="5">
        <v>9873</v>
      </c>
      <c r="L17" s="5">
        <v>10555</v>
      </c>
    </row>
  </sheetData>
  <hyperlinks>
    <hyperlink ref="A1" location="Main!A1" display="Main" xr:uid="{B64D4BBE-6AE4-4C5C-9D83-5915AE13D8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2025-12-30T00:07:49Z</dcterms:created>
  <dcterms:modified xsi:type="dcterms:W3CDTF">2025-12-30T01:03:33Z</dcterms:modified>
</cp:coreProperties>
</file>