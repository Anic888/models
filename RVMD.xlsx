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BF7A1393-E431-4CAA-A92F-176E0F97F636}" xr6:coauthVersionLast="47" xr6:coauthVersionMax="47" xr10:uidLastSave="{00000000-0000-0000-0000-000000000000}"/>
  <bookViews>
    <workbookView xWindow="20880" yWindow="3490" windowWidth="19050" windowHeight="16100" xr2:uid="{6D08A6DD-AC07-40C1-BFD9-0B3DF43E325A}"/>
  </bookViews>
  <sheets>
    <sheet name="Main" sheetId="1" r:id="rId1"/>
    <sheet name="daraxonrasib" sheetId="2" r:id="rId2"/>
    <sheet name="Mode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C17" i="3"/>
  <c r="C16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O9" i="3"/>
  <c r="N9" i="3"/>
  <c r="M9" i="3"/>
  <c r="L9" i="3"/>
  <c r="K9" i="3"/>
  <c r="J9" i="3"/>
  <c r="I9" i="3"/>
  <c r="H9" i="3"/>
  <c r="G9" i="3"/>
  <c r="F9" i="3"/>
  <c r="E9" i="3"/>
  <c r="D9" i="3"/>
  <c r="C9" i="3"/>
  <c r="O8" i="3"/>
  <c r="N8" i="3"/>
  <c r="M8" i="3"/>
  <c r="L8" i="3"/>
  <c r="K8" i="3"/>
  <c r="J8" i="3"/>
  <c r="I8" i="3"/>
  <c r="H8" i="3"/>
  <c r="G8" i="3"/>
  <c r="F8" i="3"/>
  <c r="E8" i="3"/>
  <c r="D8" i="3"/>
  <c r="C8" i="3"/>
  <c r="O5" i="3"/>
  <c r="O7" i="3" s="1"/>
  <c r="N5" i="3"/>
  <c r="N7" i="3" s="1"/>
  <c r="M5" i="3"/>
  <c r="M7" i="3" s="1"/>
  <c r="L5" i="3"/>
  <c r="L7" i="3" s="1"/>
  <c r="K5" i="3"/>
  <c r="K7" i="3" s="1"/>
  <c r="J5" i="3"/>
  <c r="J7" i="3" s="1"/>
  <c r="I5" i="3"/>
  <c r="I7" i="3" s="1"/>
  <c r="H5" i="3"/>
  <c r="H7" i="3" s="1"/>
  <c r="G5" i="3"/>
  <c r="G7" i="3" s="1"/>
  <c r="F5" i="3"/>
  <c r="F7" i="3" s="1"/>
  <c r="E5" i="3"/>
  <c r="E7" i="3" s="1"/>
  <c r="D5" i="3"/>
  <c r="D7" i="3" s="1"/>
  <c r="C5" i="3"/>
  <c r="C7" i="3" s="1"/>
  <c r="O2" i="3"/>
  <c r="N2" i="3"/>
  <c r="M2" i="3"/>
  <c r="L2" i="3"/>
  <c r="K2" i="3"/>
  <c r="J2" i="3"/>
  <c r="I2" i="3"/>
  <c r="H2" i="3"/>
  <c r="G2" i="3"/>
  <c r="F2" i="3"/>
  <c r="J4" i="1"/>
  <c r="J7" i="1" s="1"/>
</calcChain>
</file>

<file path=xl/sharedStrings.xml><?xml version="1.0" encoding="utf-8"?>
<sst xmlns="http://schemas.openxmlformats.org/spreadsheetml/2006/main" count="65" uniqueCount="57">
  <si>
    <t>Price</t>
  </si>
  <si>
    <t>Shares</t>
  </si>
  <si>
    <t>MC</t>
  </si>
  <si>
    <t>Cash</t>
  </si>
  <si>
    <t>Debt</t>
  </si>
  <si>
    <t>EV</t>
  </si>
  <si>
    <t>Main</t>
  </si>
  <si>
    <t>daraxonrasib</t>
  </si>
  <si>
    <t>Indication</t>
  </si>
  <si>
    <t>1L PDAC</t>
  </si>
  <si>
    <t>MOA</t>
  </si>
  <si>
    <t>RAS (ON) inhibitor</t>
  </si>
  <si>
    <t>Phase</t>
  </si>
  <si>
    <t>III</t>
  </si>
  <si>
    <t>elironrasib</t>
  </si>
  <si>
    <t>zoldonrasib</t>
  </si>
  <si>
    <t>RMC-5127</t>
  </si>
  <si>
    <t>Brand</t>
  </si>
  <si>
    <t>Generic</t>
  </si>
  <si>
    <t xml:space="preserve">daraxonrasib </t>
  </si>
  <si>
    <t>Clinical Trials</t>
  </si>
  <si>
    <t>Phase III "RASolute 302" 2L PDAC</t>
  </si>
  <si>
    <t>Phase III "RASolve 301" 2L mNSCLC</t>
  </si>
  <si>
    <t>PDAC</t>
  </si>
  <si>
    <t>RAS-ON inhibitor</t>
  </si>
  <si>
    <t>RMC-6236</t>
  </si>
  <si>
    <t>Phase III "RASolute 303" 1L PDAC</t>
  </si>
  <si>
    <t>300mg QD</t>
  </si>
  <si>
    <t>Phase I 2L+ RAS mutant PDAC</t>
  </si>
  <si>
    <t>35%, 29% ORR for G12X and any mutation</t>
  </si>
  <si>
    <t>mPFS 8.5, 8.1 months.</t>
  </si>
  <si>
    <t>mOS 13.1, 15.6 months.</t>
  </si>
  <si>
    <t>1L PDAC monotherapy</t>
  </si>
  <si>
    <t>47% ORR, 89% DOR, median followup 9.3 months, no median PFS</t>
  </si>
  <si>
    <t>1L with GnP</t>
  </si>
  <si>
    <t>55% ORR, 90% DCR, median followup 6.9 months, no median PFS</t>
  </si>
  <si>
    <t>monotherapy vs. combination vs. chemo</t>
  </si>
  <si>
    <t>NSCLC - 30% RAS</t>
  </si>
  <si>
    <t>CRC - 50% RAS</t>
  </si>
  <si>
    <t>PDAC - 90% RAS - 56k new diagnoses US annually</t>
  </si>
  <si>
    <t>Share</t>
  </si>
  <si>
    <t>Patients</t>
  </si>
  <si>
    <t>Revenue</t>
  </si>
  <si>
    <t>COGS</t>
  </si>
  <si>
    <t>Gross Profit</t>
  </si>
  <si>
    <t>SG&amp;A</t>
  </si>
  <si>
    <t>Operating Profit</t>
  </si>
  <si>
    <t>Taxes</t>
  </si>
  <si>
    <t>Net Income</t>
  </si>
  <si>
    <t>Discount</t>
  </si>
  <si>
    <t>NPV</t>
  </si>
  <si>
    <t>5.5-8.0 months expected for 1L</t>
  </si>
  <si>
    <t>8.5-11.7 months expected for 1L</t>
  </si>
  <si>
    <t>23-43% response rate</t>
  </si>
  <si>
    <t>enrollment closes 2025, results in 2026</t>
  </si>
  <si>
    <t>Initiate Q4</t>
  </si>
  <si>
    <t>Q126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</si>
</sst>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u/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3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quotePrefix="1" applyFont="1"/>
    <xf numFmtId="0" fontId="3" fillId="0" borderId="0" xfId="0" applyFont="1"/>
    <xf numFmtId="0" fontId="5" fillId="0" borderId="0" xfId="1" applyFont="1"/>
    <xf numFmtId="3" fontId="0" fillId="0" borderId="0" xfId="0" applyNumberFormat="1"/>
    <xf numFmtId="9" fontId="0" fillId="0" borderId="0" xfId="0" applyNumberFormat="1"/>
    <xf numFmtId="0" fontId="2" fillId="0" borderId="0" xfId="0" applyFont="1"/>
    <xf numFmtId="3" fontId="2" fillId="0" borderId="0" xfId="0" applyNumberFormat="1" applyFont="1"/>
    <xf numFmtId="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4110D-3923-462E-8C4E-A0000EB79B17}">
  <dimension ref="B2:K10"/>
  <sheetViews>
    <sheetView tabSelected="1" topLeftCell="B1" zoomScale="145" zoomScaleNormal="145" workbookViewId="0">
      <selection activeCell="L5" sqref="L5"/>
    </sheetView>
  </sheetViews>
  <sheetFormatPr defaultRowHeight="12.5" x14ac:dyDescent="0.25"/>
  <cols>
    <col min="1" max="1" width="2.81640625" style="1" customWidth="1"/>
    <col min="2" max="2" width="12.26953125" style="1" customWidth="1"/>
    <col min="3" max="3" width="9.7265625" style="1" customWidth="1"/>
    <col min="4" max="4" width="18.90625" style="1" customWidth="1"/>
    <col min="5" max="16384" width="8.7265625" style="1"/>
  </cols>
  <sheetData>
    <row r="2" spans="2:11" x14ac:dyDescent="0.25">
      <c r="B2" s="10" t="s">
        <v>6</v>
      </c>
      <c r="C2" s="11" t="s">
        <v>8</v>
      </c>
      <c r="D2" s="12" t="s">
        <v>10</v>
      </c>
      <c r="E2" s="12" t="s">
        <v>12</v>
      </c>
      <c r="F2" s="11"/>
      <c r="G2" s="13"/>
      <c r="I2" s="1" t="s">
        <v>0</v>
      </c>
      <c r="J2" s="2">
        <v>187.53</v>
      </c>
    </row>
    <row r="3" spans="2:11" x14ac:dyDescent="0.25">
      <c r="B3" s="4" t="s">
        <v>7</v>
      </c>
      <c r="C3" s="1" t="s">
        <v>9</v>
      </c>
      <c r="D3" s="3" t="s">
        <v>11</v>
      </c>
      <c r="E3" s="3" t="s">
        <v>13</v>
      </c>
      <c r="G3" s="5"/>
      <c r="I3" s="1" t="s">
        <v>1</v>
      </c>
      <c r="J3" s="14">
        <v>212.596462</v>
      </c>
      <c r="K3" s="15" t="s">
        <v>56</v>
      </c>
    </row>
    <row r="4" spans="2:11" x14ac:dyDescent="0.25">
      <c r="B4" s="4" t="s">
        <v>14</v>
      </c>
      <c r="D4" s="3"/>
      <c r="E4" s="3"/>
      <c r="G4" s="5"/>
      <c r="I4" s="1" t="s">
        <v>2</v>
      </c>
      <c r="J4" s="14">
        <f>+J2*J3</f>
        <v>39868.214518860004</v>
      </c>
    </row>
    <row r="5" spans="2:11" x14ac:dyDescent="0.25">
      <c r="B5" s="4" t="s">
        <v>15</v>
      </c>
      <c r="D5" s="3"/>
      <c r="E5" s="3"/>
      <c r="G5" s="5"/>
      <c r="I5" s="1" t="s">
        <v>3</v>
      </c>
      <c r="J5" s="14">
        <f>440.939+1467.145+34.709+4.858</f>
        <v>1947.6510000000001</v>
      </c>
      <c r="K5" s="15" t="s">
        <v>56</v>
      </c>
    </row>
    <row r="6" spans="2:11" x14ac:dyDescent="0.25">
      <c r="B6" s="4" t="s">
        <v>16</v>
      </c>
      <c r="D6" s="3"/>
      <c r="E6" s="3"/>
      <c r="G6" s="5"/>
      <c r="I6" s="1" t="s">
        <v>4</v>
      </c>
      <c r="J6" s="14">
        <v>0</v>
      </c>
      <c r="K6" s="15" t="s">
        <v>56</v>
      </c>
    </row>
    <row r="7" spans="2:11" x14ac:dyDescent="0.25">
      <c r="B7" s="4"/>
      <c r="D7" s="3"/>
      <c r="E7" s="3"/>
      <c r="G7" s="5"/>
      <c r="I7" s="1" t="s">
        <v>5</v>
      </c>
      <c r="J7" s="14">
        <f>+J4-J5+J6</f>
        <v>37920.563518860006</v>
      </c>
    </row>
    <row r="8" spans="2:11" x14ac:dyDescent="0.25">
      <c r="B8" s="6"/>
      <c r="C8" s="7"/>
      <c r="D8" s="8"/>
      <c r="E8" s="8"/>
      <c r="F8" s="7"/>
      <c r="G8" s="9"/>
    </row>
    <row r="9" spans="2:11" x14ac:dyDescent="0.25">
      <c r="D9" s="3"/>
      <c r="E9" s="3"/>
    </row>
    <row r="10" spans="2:11" x14ac:dyDescent="0.25">
      <c r="D10" s="3"/>
      <c r="E1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9646-BFAF-4065-8998-3D51CB55599C}">
  <dimension ref="A1:F31"/>
  <sheetViews>
    <sheetView zoomScale="145" zoomScaleNormal="145" workbookViewId="0"/>
  </sheetViews>
  <sheetFormatPr defaultRowHeight="12.5" x14ac:dyDescent="0.25"/>
  <cols>
    <col min="1" max="1" width="4.7265625" style="1" bestFit="1" customWidth="1"/>
    <col min="2" max="2" width="11.453125" style="1" bestFit="1" customWidth="1"/>
    <col min="3" max="16384" width="8.7265625" style="1"/>
  </cols>
  <sheetData>
    <row r="1" spans="1:3" x14ac:dyDescent="0.25">
      <c r="A1" s="18" t="s">
        <v>6</v>
      </c>
    </row>
    <row r="2" spans="1:3" x14ac:dyDescent="0.25">
      <c r="B2" s="1" t="s">
        <v>17</v>
      </c>
      <c r="C2" s="1" t="s">
        <v>25</v>
      </c>
    </row>
    <row r="3" spans="1:3" x14ac:dyDescent="0.25">
      <c r="B3" s="1" t="s">
        <v>18</v>
      </c>
      <c r="C3" s="16" t="s">
        <v>19</v>
      </c>
    </row>
    <row r="4" spans="1:3" x14ac:dyDescent="0.25">
      <c r="B4" s="1" t="s">
        <v>10</v>
      </c>
      <c r="C4" s="16" t="s">
        <v>24</v>
      </c>
    </row>
    <row r="5" spans="1:3" x14ac:dyDescent="0.25">
      <c r="B5" s="1" t="s">
        <v>8</v>
      </c>
      <c r="C5" s="1" t="s">
        <v>39</v>
      </c>
    </row>
    <row r="6" spans="1:3" x14ac:dyDescent="0.25">
      <c r="C6" s="1" t="s">
        <v>37</v>
      </c>
    </row>
    <row r="7" spans="1:3" x14ac:dyDescent="0.25">
      <c r="C7" s="1" t="s">
        <v>38</v>
      </c>
    </row>
    <row r="8" spans="1:3" x14ac:dyDescent="0.25">
      <c r="B8" s="1" t="s">
        <v>20</v>
      </c>
    </row>
    <row r="9" spans="1:3" ht="13" x14ac:dyDescent="0.3">
      <c r="C9" s="17" t="s">
        <v>21</v>
      </c>
    </row>
    <row r="10" spans="1:3" x14ac:dyDescent="0.25">
      <c r="C10" s="1" t="s">
        <v>54</v>
      </c>
    </row>
    <row r="13" spans="1:3" ht="13" x14ac:dyDescent="0.3">
      <c r="C13" s="17" t="s">
        <v>22</v>
      </c>
    </row>
    <row r="17" spans="3:6" ht="13" x14ac:dyDescent="0.3">
      <c r="C17" s="17" t="s">
        <v>26</v>
      </c>
    </row>
    <row r="18" spans="3:6" x14ac:dyDescent="0.25">
      <c r="C18" s="1" t="s">
        <v>36</v>
      </c>
    </row>
    <row r="19" spans="3:6" x14ac:dyDescent="0.25">
      <c r="C19" s="1" t="s">
        <v>55</v>
      </c>
    </row>
    <row r="21" spans="3:6" ht="13" x14ac:dyDescent="0.3">
      <c r="C21" s="17" t="s">
        <v>28</v>
      </c>
    </row>
    <row r="22" spans="3:6" x14ac:dyDescent="0.25">
      <c r="C22" s="1" t="s">
        <v>27</v>
      </c>
    </row>
    <row r="23" spans="3:6" x14ac:dyDescent="0.25">
      <c r="C23" s="1" t="s">
        <v>29</v>
      </c>
      <c r="F23" s="1" t="s">
        <v>53</v>
      </c>
    </row>
    <row r="24" spans="3:6" x14ac:dyDescent="0.25">
      <c r="C24" s="1" t="s">
        <v>30</v>
      </c>
      <c r="F24" s="1" t="s">
        <v>51</v>
      </c>
    </row>
    <row r="25" spans="3:6" x14ac:dyDescent="0.25">
      <c r="C25" s="1" t="s">
        <v>31</v>
      </c>
      <c r="F25" s="1" t="s">
        <v>52</v>
      </c>
    </row>
    <row r="27" spans="3:6" x14ac:dyDescent="0.25">
      <c r="C27" s="1" t="s">
        <v>32</v>
      </c>
    </row>
    <row r="28" spans="3:6" x14ac:dyDescent="0.25">
      <c r="D28" s="1" t="s">
        <v>33</v>
      </c>
    </row>
    <row r="30" spans="3:6" x14ac:dyDescent="0.25">
      <c r="C30" s="1" t="s">
        <v>34</v>
      </c>
    </row>
    <row r="31" spans="3:6" x14ac:dyDescent="0.25">
      <c r="D31" s="1" t="s">
        <v>35</v>
      </c>
    </row>
  </sheetData>
  <hyperlinks>
    <hyperlink ref="A1" location="Main!A1" display="Main" xr:uid="{944EEA81-D9AE-4AEA-B0C1-FD3A6F28DD4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4B80E-6B34-4F2E-9897-AFB59D921760}">
  <dimension ref="A1:O17"/>
  <sheetViews>
    <sheetView zoomScale="175" zoomScaleNormal="1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8" sqref="B18"/>
    </sheetView>
  </sheetViews>
  <sheetFormatPr defaultRowHeight="14.5" x14ac:dyDescent="0.35"/>
  <cols>
    <col min="1" max="1" width="4.7265625" bestFit="1" customWidth="1"/>
    <col min="3" max="3" width="10.7265625" bestFit="1" customWidth="1"/>
  </cols>
  <sheetData>
    <row r="1" spans="1:15" x14ac:dyDescent="0.35">
      <c r="A1" t="s">
        <v>6</v>
      </c>
    </row>
    <row r="2" spans="1:15" x14ac:dyDescent="0.35">
      <c r="C2">
        <v>2026</v>
      </c>
      <c r="D2">
        <v>2027</v>
      </c>
      <c r="E2">
        <v>2028</v>
      </c>
      <c r="F2">
        <f t="shared" ref="F2:O2" si="0">+E2+1</f>
        <v>2029</v>
      </c>
      <c r="G2">
        <f t="shared" si="0"/>
        <v>2030</v>
      </c>
      <c r="H2">
        <f t="shared" si="0"/>
        <v>2031</v>
      </c>
      <c r="I2">
        <f t="shared" si="0"/>
        <v>2032</v>
      </c>
      <c r="J2">
        <f t="shared" si="0"/>
        <v>2033</v>
      </c>
      <c r="K2">
        <f t="shared" si="0"/>
        <v>2034</v>
      </c>
      <c r="L2">
        <f t="shared" si="0"/>
        <v>2035</v>
      </c>
      <c r="M2">
        <f t="shared" si="0"/>
        <v>2036</v>
      </c>
      <c r="N2">
        <f t="shared" si="0"/>
        <v>2037</v>
      </c>
      <c r="O2">
        <f t="shared" si="0"/>
        <v>2038</v>
      </c>
    </row>
    <row r="3" spans="1:15" x14ac:dyDescent="0.35">
      <c r="B3" t="s">
        <v>23</v>
      </c>
      <c r="C3" s="19">
        <v>60000</v>
      </c>
      <c r="D3" s="19">
        <v>60000</v>
      </c>
      <c r="E3" s="19">
        <v>60000</v>
      </c>
      <c r="F3" s="19">
        <v>60000</v>
      </c>
      <c r="G3" s="19">
        <v>60000</v>
      </c>
      <c r="H3" s="19">
        <v>60000</v>
      </c>
      <c r="I3" s="19">
        <v>60000</v>
      </c>
      <c r="J3" s="19">
        <v>60000</v>
      </c>
      <c r="K3" s="19">
        <v>60000</v>
      </c>
      <c r="L3" s="19">
        <v>60000</v>
      </c>
      <c r="M3" s="19">
        <v>60000</v>
      </c>
      <c r="N3" s="19">
        <v>60000</v>
      </c>
      <c r="O3" s="19">
        <v>60000</v>
      </c>
    </row>
    <row r="4" spans="1:15" x14ac:dyDescent="0.35">
      <c r="B4" t="s">
        <v>40</v>
      </c>
      <c r="C4" s="20">
        <v>0.1</v>
      </c>
      <c r="D4" s="20">
        <v>0.3</v>
      </c>
      <c r="E4" s="20">
        <v>0.5</v>
      </c>
      <c r="F4" s="20">
        <v>0.55000000000000004</v>
      </c>
      <c r="G4" s="20">
        <v>0.6</v>
      </c>
      <c r="H4" s="20">
        <v>0.65</v>
      </c>
      <c r="I4" s="20">
        <v>0.7</v>
      </c>
      <c r="J4" s="20">
        <v>0.75</v>
      </c>
      <c r="K4" s="20">
        <v>0.75</v>
      </c>
      <c r="L4" s="20">
        <v>0.75</v>
      </c>
      <c r="M4" s="20">
        <v>0.75</v>
      </c>
      <c r="N4" s="20">
        <v>0.75</v>
      </c>
      <c r="O4" s="20">
        <v>0.75</v>
      </c>
    </row>
    <row r="5" spans="1:15" x14ac:dyDescent="0.35">
      <c r="B5" t="s">
        <v>41</v>
      </c>
      <c r="C5">
        <f>+C4*C3</f>
        <v>6000</v>
      </c>
      <c r="D5">
        <f t="shared" ref="D5:O5" si="1">+D4*D3</f>
        <v>18000</v>
      </c>
      <c r="E5">
        <f t="shared" si="1"/>
        <v>30000</v>
      </c>
      <c r="F5">
        <f t="shared" si="1"/>
        <v>33000</v>
      </c>
      <c r="G5">
        <f t="shared" si="1"/>
        <v>36000</v>
      </c>
      <c r="H5">
        <f t="shared" si="1"/>
        <v>39000</v>
      </c>
      <c r="I5">
        <f t="shared" si="1"/>
        <v>42000</v>
      </c>
      <c r="J5">
        <f t="shared" si="1"/>
        <v>45000</v>
      </c>
      <c r="K5">
        <f t="shared" si="1"/>
        <v>45000</v>
      </c>
      <c r="L5">
        <f t="shared" si="1"/>
        <v>45000</v>
      </c>
      <c r="M5">
        <f t="shared" si="1"/>
        <v>45000</v>
      </c>
      <c r="N5">
        <f t="shared" si="1"/>
        <v>45000</v>
      </c>
      <c r="O5">
        <f t="shared" si="1"/>
        <v>45000</v>
      </c>
    </row>
    <row r="6" spans="1:15" x14ac:dyDescent="0.35">
      <c r="B6" t="s">
        <v>0</v>
      </c>
      <c r="C6">
        <v>120000</v>
      </c>
      <c r="D6">
        <v>120000</v>
      </c>
      <c r="E6">
        <v>120000</v>
      </c>
      <c r="F6">
        <v>120000</v>
      </c>
      <c r="G6">
        <v>120000</v>
      </c>
      <c r="H6">
        <v>120000</v>
      </c>
      <c r="I6">
        <v>120000</v>
      </c>
      <c r="J6">
        <v>120000</v>
      </c>
      <c r="K6">
        <v>120000</v>
      </c>
      <c r="L6">
        <v>120000</v>
      </c>
      <c r="M6">
        <v>120000</v>
      </c>
      <c r="N6">
        <v>120000</v>
      </c>
      <c r="O6">
        <v>120000</v>
      </c>
    </row>
    <row r="7" spans="1:15" s="21" customFormat="1" x14ac:dyDescent="0.35">
      <c r="B7" s="21" t="s">
        <v>42</v>
      </c>
      <c r="C7" s="22">
        <f>+C5*C6/1000000</f>
        <v>720</v>
      </c>
      <c r="D7" s="22">
        <f t="shared" ref="D7:O7" si="2">+D5*D6/1000000</f>
        <v>2160</v>
      </c>
      <c r="E7" s="22">
        <f t="shared" si="2"/>
        <v>3600</v>
      </c>
      <c r="F7" s="22">
        <f t="shared" si="2"/>
        <v>3960</v>
      </c>
      <c r="G7" s="22">
        <f t="shared" si="2"/>
        <v>4320</v>
      </c>
      <c r="H7" s="22">
        <f t="shared" si="2"/>
        <v>4680</v>
      </c>
      <c r="I7" s="22">
        <f t="shared" si="2"/>
        <v>5040</v>
      </c>
      <c r="J7" s="22">
        <f t="shared" si="2"/>
        <v>5400</v>
      </c>
      <c r="K7" s="22">
        <f t="shared" si="2"/>
        <v>5400</v>
      </c>
      <c r="L7" s="22">
        <f t="shared" si="2"/>
        <v>5400</v>
      </c>
      <c r="M7" s="22">
        <f t="shared" si="2"/>
        <v>5400</v>
      </c>
      <c r="N7" s="22">
        <f t="shared" si="2"/>
        <v>5400</v>
      </c>
      <c r="O7" s="22">
        <f t="shared" si="2"/>
        <v>5400</v>
      </c>
    </row>
    <row r="8" spans="1:15" x14ac:dyDescent="0.35">
      <c r="B8" t="s">
        <v>43</v>
      </c>
      <c r="C8">
        <f>+C7*0.1</f>
        <v>72</v>
      </c>
      <c r="D8">
        <f t="shared" ref="D8:O8" si="3">+D7*0.1</f>
        <v>216</v>
      </c>
      <c r="E8">
        <f t="shared" si="3"/>
        <v>360</v>
      </c>
      <c r="F8">
        <f t="shared" si="3"/>
        <v>396</v>
      </c>
      <c r="G8">
        <f t="shared" si="3"/>
        <v>432</v>
      </c>
      <c r="H8">
        <f t="shared" si="3"/>
        <v>468</v>
      </c>
      <c r="I8">
        <f t="shared" si="3"/>
        <v>504</v>
      </c>
      <c r="J8">
        <f t="shared" si="3"/>
        <v>540</v>
      </c>
      <c r="K8">
        <f t="shared" si="3"/>
        <v>540</v>
      </c>
      <c r="L8">
        <f t="shared" si="3"/>
        <v>540</v>
      </c>
      <c r="M8">
        <f t="shared" si="3"/>
        <v>540</v>
      </c>
      <c r="N8">
        <f t="shared" si="3"/>
        <v>540</v>
      </c>
      <c r="O8">
        <f t="shared" si="3"/>
        <v>540</v>
      </c>
    </row>
    <row r="9" spans="1:15" x14ac:dyDescent="0.35">
      <c r="B9" t="s">
        <v>44</v>
      </c>
      <c r="C9" s="19">
        <f>+C7-C8</f>
        <v>648</v>
      </c>
      <c r="D9" s="19">
        <f t="shared" ref="D9:O9" si="4">+D7-D8</f>
        <v>1944</v>
      </c>
      <c r="E9" s="19">
        <f t="shared" si="4"/>
        <v>3240</v>
      </c>
      <c r="F9" s="19">
        <f t="shared" si="4"/>
        <v>3564</v>
      </c>
      <c r="G9" s="19">
        <f t="shared" si="4"/>
        <v>3888</v>
      </c>
      <c r="H9" s="19">
        <f t="shared" si="4"/>
        <v>4212</v>
      </c>
      <c r="I9" s="19">
        <f t="shared" si="4"/>
        <v>4536</v>
      </c>
      <c r="J9" s="19">
        <f t="shared" si="4"/>
        <v>4860</v>
      </c>
      <c r="K9" s="19">
        <f t="shared" si="4"/>
        <v>4860</v>
      </c>
      <c r="L9" s="19">
        <f t="shared" si="4"/>
        <v>4860</v>
      </c>
      <c r="M9" s="19">
        <f t="shared" si="4"/>
        <v>4860</v>
      </c>
      <c r="N9" s="19">
        <f t="shared" si="4"/>
        <v>4860</v>
      </c>
      <c r="O9" s="19">
        <f t="shared" si="4"/>
        <v>4860</v>
      </c>
    </row>
    <row r="10" spans="1:15" x14ac:dyDescent="0.35">
      <c r="B10" t="s">
        <v>45</v>
      </c>
      <c r="C10">
        <v>500</v>
      </c>
      <c r="D10">
        <v>500</v>
      </c>
      <c r="E10">
        <v>500</v>
      </c>
      <c r="F10">
        <v>500</v>
      </c>
      <c r="G10">
        <v>500</v>
      </c>
      <c r="H10">
        <v>500</v>
      </c>
      <c r="I10">
        <v>500</v>
      </c>
      <c r="J10">
        <v>500</v>
      </c>
      <c r="K10">
        <v>500</v>
      </c>
      <c r="L10">
        <v>500</v>
      </c>
      <c r="M10">
        <v>500</v>
      </c>
      <c r="N10">
        <v>500</v>
      </c>
      <c r="O10">
        <v>500</v>
      </c>
    </row>
    <row r="11" spans="1:15" x14ac:dyDescent="0.35">
      <c r="B11" t="s">
        <v>46</v>
      </c>
      <c r="C11" s="19">
        <f>+C9-C10</f>
        <v>148</v>
      </c>
      <c r="D11" s="19">
        <f t="shared" ref="D11:O11" si="5">+D9-D10</f>
        <v>1444</v>
      </c>
      <c r="E11" s="19">
        <f t="shared" si="5"/>
        <v>2740</v>
      </c>
      <c r="F11" s="19">
        <f t="shared" si="5"/>
        <v>3064</v>
      </c>
      <c r="G11" s="19">
        <f t="shared" si="5"/>
        <v>3388</v>
      </c>
      <c r="H11" s="19">
        <f t="shared" si="5"/>
        <v>3712</v>
      </c>
      <c r="I11" s="19">
        <f t="shared" si="5"/>
        <v>4036</v>
      </c>
      <c r="J11" s="19">
        <f t="shared" si="5"/>
        <v>4360</v>
      </c>
      <c r="K11" s="19">
        <f t="shared" si="5"/>
        <v>4360</v>
      </c>
      <c r="L11" s="19">
        <f t="shared" si="5"/>
        <v>4360</v>
      </c>
      <c r="M11" s="19">
        <f t="shared" si="5"/>
        <v>4360</v>
      </c>
      <c r="N11" s="19">
        <f t="shared" si="5"/>
        <v>4360</v>
      </c>
      <c r="O11" s="19">
        <f t="shared" si="5"/>
        <v>4360</v>
      </c>
    </row>
    <row r="12" spans="1:15" x14ac:dyDescent="0.35">
      <c r="B12" t="s">
        <v>47</v>
      </c>
      <c r="C12" s="19">
        <f>+C11*0.15</f>
        <v>22.2</v>
      </c>
      <c r="D12" s="19">
        <f t="shared" ref="D12:O12" si="6">+D11*0.15</f>
        <v>216.6</v>
      </c>
      <c r="E12" s="19">
        <f t="shared" si="6"/>
        <v>411</v>
      </c>
      <c r="F12" s="19">
        <f t="shared" si="6"/>
        <v>459.59999999999997</v>
      </c>
      <c r="G12" s="19">
        <f t="shared" si="6"/>
        <v>508.2</v>
      </c>
      <c r="H12" s="19">
        <f t="shared" si="6"/>
        <v>556.79999999999995</v>
      </c>
      <c r="I12" s="19">
        <f t="shared" si="6"/>
        <v>605.4</v>
      </c>
      <c r="J12" s="19">
        <f t="shared" si="6"/>
        <v>654</v>
      </c>
      <c r="K12" s="19">
        <f t="shared" si="6"/>
        <v>654</v>
      </c>
      <c r="L12" s="19">
        <f t="shared" si="6"/>
        <v>654</v>
      </c>
      <c r="M12" s="19">
        <f t="shared" si="6"/>
        <v>654</v>
      </c>
      <c r="N12" s="19">
        <f t="shared" si="6"/>
        <v>654</v>
      </c>
      <c r="O12" s="19">
        <f t="shared" si="6"/>
        <v>654</v>
      </c>
    </row>
    <row r="13" spans="1:15" x14ac:dyDescent="0.35">
      <c r="B13" t="s">
        <v>48</v>
      </c>
      <c r="C13" s="19">
        <f>+C11-C12</f>
        <v>125.8</v>
      </c>
      <c r="D13" s="19">
        <f t="shared" ref="D13:O13" si="7">+D11-D12</f>
        <v>1227.4000000000001</v>
      </c>
      <c r="E13" s="19">
        <f t="shared" si="7"/>
        <v>2329</v>
      </c>
      <c r="F13" s="19">
        <f t="shared" si="7"/>
        <v>2604.4</v>
      </c>
      <c r="G13" s="19">
        <f t="shared" si="7"/>
        <v>2879.8</v>
      </c>
      <c r="H13" s="19">
        <f t="shared" si="7"/>
        <v>3155.2</v>
      </c>
      <c r="I13" s="19">
        <f t="shared" si="7"/>
        <v>3430.6</v>
      </c>
      <c r="J13" s="19">
        <f t="shared" si="7"/>
        <v>3706</v>
      </c>
      <c r="K13" s="19">
        <f t="shared" si="7"/>
        <v>3706</v>
      </c>
      <c r="L13" s="19">
        <f t="shared" si="7"/>
        <v>3706</v>
      </c>
      <c r="M13" s="19">
        <f t="shared" si="7"/>
        <v>3706</v>
      </c>
      <c r="N13" s="19">
        <f t="shared" si="7"/>
        <v>3706</v>
      </c>
      <c r="O13" s="19">
        <f t="shared" si="7"/>
        <v>3706</v>
      </c>
    </row>
    <row r="15" spans="1:15" x14ac:dyDescent="0.35">
      <c r="B15" t="s">
        <v>49</v>
      </c>
      <c r="C15" s="20">
        <v>0.1</v>
      </c>
    </row>
    <row r="16" spans="1:15" x14ac:dyDescent="0.35">
      <c r="B16" t="s">
        <v>50</v>
      </c>
      <c r="C16" s="19">
        <f>NPV(C15,C13:O13)</f>
        <v>18269.671775347473</v>
      </c>
    </row>
    <row r="17" spans="2:3" x14ac:dyDescent="0.35">
      <c r="B17" t="s">
        <v>40</v>
      </c>
      <c r="C17" s="23">
        <f>+C16/189</f>
        <v>96.664930028293512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daraxonrasib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2025-10-15T19:08:22Z</dcterms:created>
  <dcterms:modified xsi:type="dcterms:W3CDTF">2026-08-01T14:26:28Z</dcterms:modified>
</cp:coreProperties>
</file>