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68E552E8-2620-4BCF-AECA-CB851C89DF82}" xr6:coauthVersionLast="47" xr6:coauthVersionMax="47" xr10:uidLastSave="{00000000-0000-0000-0000-000000000000}"/>
  <bookViews>
    <workbookView xWindow="-110" yWindow="-110" windowWidth="38620" windowHeight="21100" activeTab="1" xr2:uid="{A1FCB31D-8E75-4EBD-A372-27E5F30B4E2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5" i="1"/>
  <c r="E12" i="2"/>
  <c r="E11" i="2"/>
  <c r="E10" i="2"/>
  <c r="K4" i="1"/>
  <c r="K7" i="1" s="1"/>
</calcChain>
</file>

<file path=xl/sharedStrings.xml><?xml version="1.0" encoding="utf-8"?>
<sst xmlns="http://schemas.openxmlformats.org/spreadsheetml/2006/main" count="25" uniqueCount="24">
  <si>
    <t>Price JPY</t>
  </si>
  <si>
    <t>Shares</t>
  </si>
  <si>
    <t>MC JPY</t>
  </si>
  <si>
    <t>Cash JPY</t>
  </si>
  <si>
    <t>Debt JPY</t>
  </si>
  <si>
    <t>EV JPY</t>
  </si>
  <si>
    <t>Main</t>
  </si>
  <si>
    <t>Revenue</t>
  </si>
  <si>
    <t>9mo</t>
  </si>
  <si>
    <t>OI</t>
  </si>
  <si>
    <t>Owner NI</t>
  </si>
  <si>
    <t>EBITDA</t>
  </si>
  <si>
    <t>Mobile</t>
  </si>
  <si>
    <t>Broadband</t>
  </si>
  <si>
    <t>Electricity</t>
  </si>
  <si>
    <t>Enterprise</t>
  </si>
  <si>
    <t>Distribution</t>
  </si>
  <si>
    <t>Media</t>
  </si>
  <si>
    <t>Financial</t>
  </si>
  <si>
    <t>FCF</t>
  </si>
  <si>
    <t xml:space="preserve">The parent of the Company is SoftBank Group Japan Corporation. The ultimate parent company of the Company is SoftBank Group Corp. </t>
  </si>
  <si>
    <t>These condensed interim consolidated financial statements are comprised of the Company and its subsidiaries (the “Group”).</t>
  </si>
  <si>
    <t>SoftBank Corp. (the “Company”) is a corporation (kabushiki kaisha) under the Companies Act of Japan and is domiciled in Japan.</t>
  </si>
  <si>
    <t>The registered address of its head office is 7-1 Kaigan 1-chome, Minato-ku, Tokyo, Japan.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</si>
</sst>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m/d/yy;@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/>
    <xf numFmtId="0" fontId="3" fillId="0" borderId="0" xfId="1" applyFont="1"/>
    <xf numFmtId="0" fontId="2" fillId="0" borderId="0" xfId="0" applyFont="1"/>
    <xf numFmtId="0" fontId="2" fillId="0" borderId="0" xfId="0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6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1B29C4BF-6B08-48DD-86CE-41391DA5CC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329533</xdr:colOff>
      <xdr:row>1</xdr:row>
      <xdr:rowOff>59532</xdr:rowOff>
    </xdr:from>
    <xdr:to>
      <xdr:col>7</xdr:col>
      <xdr:colOff>172782</xdr:colOff>
      <xdr:row>28</xdr:row>
      <xdr:rowOff>21641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FCB3B9-B690-6906-083D-0EBFB02EF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533" y="220266"/>
          <a:ext cx="4093780" cy="43019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56278-DC79-4430-B7A5-777BCD1159CF}">
  <dimension ref="B2:K33"/>
  <sheetViews>
    <sheetView zoomScale="160" zoomScaleNormal="160" workbookViewId="0">
      <selection activeCell="M7" sqref="M7"/>
    </sheetView>
  </sheetViews>
  <sheetFormatPr defaultRowHeight="12.5" x14ac:dyDescent="0.25"/>
  <cols>
    <col min="10" max="10" width="10.7265625" customWidth="1"/>
    <col min="11" max="11" width="10.54296875" bestFit="1" customWidth="1"/>
  </cols>
  <sheetData>
    <row r="2" spans="10:11" x14ac:dyDescent="0.25">
      <c r="J2" t="s">
        <v>0</v>
      </c>
      <c r="K2" s="4">
        <v>200</v>
      </c>
    </row>
    <row r="3" spans="10:11" x14ac:dyDescent="0.25">
      <c r="J3" t="s">
        <v>1</v>
      </c>
      <c r="K3" s="1">
        <v>47263.966428</v>
      </c>
    </row>
    <row r="4" spans="10:11" x14ac:dyDescent="0.25">
      <c r="J4" t="s">
        <v>2</v>
      </c>
      <c r="K4" s="1">
        <f>+K2*K3</f>
        <v>9452793.2855999991</v>
      </c>
    </row>
    <row r="5" spans="10:11" x14ac:dyDescent="0.25">
      <c r="J5" t="s">
        <v>3</v>
      </c>
      <c r="K5" s="1">
        <f>1890824+1943488+284273</f>
        <v>4118585</v>
      </c>
    </row>
    <row r="6" spans="10:11" x14ac:dyDescent="0.25">
      <c r="J6" t="s">
        <v>4</v>
      </c>
      <c r="K6" s="1">
        <f>1953385+4262423</f>
        <v>6215808</v>
      </c>
    </row>
    <row r="7" spans="10:11" x14ac:dyDescent="0.25">
      <c r="J7" t="s">
        <v>5</v>
      </c>
      <c r="K7" s="1">
        <f>+K4-K5+K6</f>
        <v>11550016.285599999</v>
      </c>
    </row>
    <row r="30" spans="2:2" x14ac:dyDescent="0.25">
      <c r="B30" t="s">
        <v>22</v>
      </c>
    </row>
    <row r="31" spans="2:2" x14ac:dyDescent="0.25">
      <c r="B31" t="s">
        <v>21</v>
      </c>
    </row>
    <row r="32" spans="2:2" x14ac:dyDescent="0.25">
      <c r="B32" t="s">
        <v>20</v>
      </c>
    </row>
    <row r="33" spans="2:2" x14ac:dyDescent="0.25">
      <c r="B33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2CA0-E553-4718-9758-1D7FD41ECD02}">
  <dimension ref="A1:E15"/>
  <sheetViews>
    <sheetView tabSelected="1" zoomScale="205" zoomScaleNormal="20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2" sqref="F2"/>
    </sheetView>
  </sheetViews>
  <sheetFormatPr defaultRowHeight="12.5" x14ac:dyDescent="0.25"/>
  <cols>
    <col min="1" max="1" width="4.6328125" style="6" bestFit="1" customWidth="1"/>
    <col min="2" max="2" width="10.26953125" style="6" customWidth="1"/>
    <col min="3" max="4" width="10.36328125" style="7" bestFit="1" customWidth="1"/>
    <col min="5" max="5" width="8.90625" style="6" bestFit="1" customWidth="1"/>
    <col min="6" max="16384" width="8.7265625" style="6"/>
  </cols>
  <sheetData>
    <row r="1" spans="1:5" x14ac:dyDescent="0.25">
      <c r="A1" s="5" t="s">
        <v>6</v>
      </c>
      <c r="C1" s="7" t="s">
        <v>8</v>
      </c>
      <c r="D1" s="7" t="s">
        <v>8</v>
      </c>
    </row>
    <row r="2" spans="1:5" x14ac:dyDescent="0.25">
      <c r="C2" s="10">
        <v>45291</v>
      </c>
      <c r="D2" s="10">
        <v>45657</v>
      </c>
      <c r="E2" s="11">
        <v>45747</v>
      </c>
    </row>
    <row r="3" spans="1:5" s="8" customFormat="1" x14ac:dyDescent="0.25">
      <c r="B3" s="8" t="s">
        <v>16</v>
      </c>
      <c r="C3" s="9">
        <v>455.6</v>
      </c>
      <c r="D3" s="9">
        <v>616</v>
      </c>
    </row>
    <row r="4" spans="1:5" s="8" customFormat="1" x14ac:dyDescent="0.25">
      <c r="B4" s="8" t="s">
        <v>18</v>
      </c>
      <c r="C4" s="9">
        <v>170.9</v>
      </c>
      <c r="D4" s="9">
        <v>203.6</v>
      </c>
    </row>
    <row r="5" spans="1:5" s="8" customFormat="1" x14ac:dyDescent="0.25">
      <c r="B5" s="8" t="s">
        <v>17</v>
      </c>
      <c r="C5" s="9">
        <v>1199.5</v>
      </c>
      <c r="D5" s="9">
        <v>1252.3</v>
      </c>
    </row>
    <row r="6" spans="1:5" s="8" customFormat="1" x14ac:dyDescent="0.25">
      <c r="B6" s="8" t="s">
        <v>15</v>
      </c>
      <c r="C6" s="9">
        <v>610</v>
      </c>
      <c r="D6" s="9">
        <v>673.6</v>
      </c>
    </row>
    <row r="7" spans="1:5" s="8" customFormat="1" x14ac:dyDescent="0.25">
      <c r="B7" s="8" t="s">
        <v>14</v>
      </c>
      <c r="C7" s="9">
        <v>191.6</v>
      </c>
      <c r="D7" s="9">
        <v>184.2</v>
      </c>
    </row>
    <row r="8" spans="1:5" s="8" customFormat="1" x14ac:dyDescent="0.25">
      <c r="B8" s="8" t="s">
        <v>13</v>
      </c>
      <c r="C8" s="9">
        <v>301.8</v>
      </c>
      <c r="D8" s="9">
        <v>305.39999999999998</v>
      </c>
    </row>
    <row r="9" spans="1:5" s="8" customFormat="1" x14ac:dyDescent="0.25">
      <c r="B9" s="8" t="s">
        <v>12</v>
      </c>
      <c r="C9" s="9">
        <v>1644.8</v>
      </c>
      <c r="D9" s="9">
        <v>1666.5</v>
      </c>
    </row>
    <row r="10" spans="1:5" s="2" customFormat="1" ht="13" x14ac:dyDescent="0.3">
      <c r="B10" s="2" t="s">
        <v>7</v>
      </c>
      <c r="C10" s="3">
        <v>4511.6000000000004</v>
      </c>
      <c r="D10" s="3">
        <v>4811.5</v>
      </c>
      <c r="E10" s="2">
        <f>6350-D10</f>
        <v>1538.5</v>
      </c>
    </row>
    <row r="11" spans="1:5" s="8" customFormat="1" x14ac:dyDescent="0.25">
      <c r="B11" s="8" t="s">
        <v>9</v>
      </c>
      <c r="C11" s="9">
        <v>731.9</v>
      </c>
      <c r="D11" s="9">
        <v>821.9</v>
      </c>
      <c r="E11" s="8">
        <f>950-D11</f>
        <v>128.10000000000002</v>
      </c>
    </row>
    <row r="12" spans="1:5" s="8" customFormat="1" x14ac:dyDescent="0.25">
      <c r="B12" s="8" t="s">
        <v>10</v>
      </c>
      <c r="C12" s="9">
        <v>406.7</v>
      </c>
      <c r="D12" s="9">
        <v>436.6</v>
      </c>
      <c r="E12" s="8">
        <f>510-D12</f>
        <v>73.399999999999977</v>
      </c>
    </row>
    <row r="13" spans="1:5" s="8" customFormat="1" x14ac:dyDescent="0.25">
      <c r="B13" s="8" t="s">
        <v>11</v>
      </c>
      <c r="C13" s="9">
        <v>1309.0999999999999</v>
      </c>
      <c r="D13" s="9">
        <v>1371.8</v>
      </c>
    </row>
    <row r="15" spans="1:5" x14ac:dyDescent="0.25">
      <c r="B15" s="8" t="s">
        <v>19</v>
      </c>
      <c r="C15" s="7">
        <v>443.9</v>
      </c>
      <c r="D15" s="7">
        <v>540.9</v>
      </c>
    </row>
  </sheetData>
  <hyperlinks>
    <hyperlink ref="A1" location="Main!A1" display="Main" xr:uid="{5DE04C96-3E4D-4646-BBF6-76C7EFCC16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2025-03-14T18:32:14Z</dcterms:created>
  <dcterms:modified xsi:type="dcterms:W3CDTF">2026-06-29T00:14:08Z</dcterms:modified>
</cp:coreProperties>
</file>