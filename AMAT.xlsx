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4B851AF-C53B-4736-9288-415349BBDECC}" xr6:coauthVersionLast="47" xr6:coauthVersionMax="47" xr10:uidLastSave="{00000000-0000-0000-0000-000000000000}"/>
  <bookViews>
    <workbookView xWindow="18040" yWindow="7930" windowWidth="19890" windowHeight="10280" activeTab="1" xr2:uid="{8FCE8A41-16C1-4EF7-92D6-76FBB8A04D3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19" i="2"/>
  <c r="C18" i="2"/>
  <c r="F37" i="2"/>
  <c r="E37" i="2"/>
  <c r="D37" i="2"/>
  <c r="F36" i="2"/>
  <c r="E36" i="2"/>
  <c r="D36" i="2"/>
  <c r="D21" i="2"/>
  <c r="D11" i="2"/>
  <c r="D10" i="2"/>
  <c r="D9" i="2"/>
  <c r="D19" i="2"/>
  <c r="D18" i="2"/>
  <c r="D3" i="2"/>
  <c r="E11" i="2"/>
  <c r="E10" i="2"/>
  <c r="E9" i="2"/>
  <c r="I18" i="2"/>
  <c r="E19" i="2"/>
  <c r="E18" i="2"/>
  <c r="H37" i="2"/>
  <c r="H36" i="2"/>
  <c r="H34" i="2"/>
  <c r="F21" i="2"/>
  <c r="J21" i="2"/>
  <c r="F11" i="2"/>
  <c r="F10" i="2"/>
  <c r="F9" i="2"/>
  <c r="J11" i="2"/>
  <c r="J10" i="2"/>
  <c r="J9" i="2"/>
  <c r="F3" i="2"/>
  <c r="J19" i="2"/>
  <c r="F19" i="2"/>
  <c r="H11" i="2"/>
  <c r="H10" i="2"/>
  <c r="H9" i="2"/>
  <c r="K19" i="2"/>
  <c r="G19" i="2"/>
  <c r="G11" i="2"/>
  <c r="G10" i="2"/>
  <c r="G9" i="2"/>
  <c r="K11" i="2"/>
  <c r="K10" i="2"/>
  <c r="K9" i="2"/>
  <c r="H31" i="2"/>
  <c r="H30" i="2"/>
  <c r="H28" i="2"/>
  <c r="H25" i="2"/>
  <c r="H26" i="2" s="1"/>
  <c r="H21" i="2"/>
  <c r="L19" i="2"/>
  <c r="H19" i="2"/>
  <c r="L11" i="2"/>
  <c r="L10" i="2"/>
  <c r="L9" i="2"/>
  <c r="M37" i="2"/>
  <c r="M36" i="2"/>
  <c r="J36" i="2"/>
  <c r="L34" i="2"/>
  <c r="M31" i="2"/>
  <c r="M30" i="2"/>
  <c r="M28" i="2"/>
  <c r="M25" i="2"/>
  <c r="M26" i="2" s="1"/>
  <c r="L25" i="2"/>
  <c r="M21" i="2"/>
  <c r="L21" i="2"/>
  <c r="L36" i="2" s="1"/>
  <c r="I19" i="2"/>
  <c r="M34" i="2" s="1"/>
  <c r="I11" i="2"/>
  <c r="I10" i="2"/>
  <c r="I9" i="2"/>
  <c r="M9" i="2"/>
  <c r="M10" i="2"/>
  <c r="M11" i="2"/>
  <c r="M19" i="2"/>
  <c r="K74" i="2"/>
  <c r="J74" i="2"/>
  <c r="I74" i="2"/>
  <c r="H74" i="2"/>
  <c r="K68" i="2"/>
  <c r="K69" i="2" s="1"/>
  <c r="K62" i="2"/>
  <c r="K63" i="2"/>
  <c r="K64" i="2" s="1"/>
  <c r="K77" i="2" s="1"/>
  <c r="K55" i="2"/>
  <c r="J55" i="2"/>
  <c r="J47" i="2"/>
  <c r="K45" i="2"/>
  <c r="K40" i="2"/>
  <c r="K47" i="2" s="1"/>
  <c r="J39" i="2"/>
  <c r="K34" i="2"/>
  <c r="J34" i="2"/>
  <c r="K25" i="2"/>
  <c r="J25" i="2"/>
  <c r="J26" i="2" s="1"/>
  <c r="J28" i="2" s="1"/>
  <c r="J30" i="2" s="1"/>
  <c r="K21" i="2"/>
  <c r="K36" i="2" s="1"/>
  <c r="J3" i="2"/>
  <c r="K3" i="2" s="1"/>
  <c r="L3" i="2" s="1"/>
  <c r="M3" i="2" s="1"/>
  <c r="N3" i="2" s="1"/>
  <c r="O3" i="2" s="1"/>
  <c r="H57" i="2"/>
  <c r="H55" i="2"/>
  <c r="I49" i="2"/>
  <c r="I55" i="2" s="1"/>
  <c r="I40" i="2"/>
  <c r="H47" i="2"/>
  <c r="I45" i="2"/>
  <c r="H39" i="2"/>
  <c r="E25" i="2"/>
  <c r="E21" i="2"/>
  <c r="I34" i="2"/>
  <c r="I25" i="2"/>
  <c r="H3" i="2"/>
  <c r="R77" i="2"/>
  <c r="S34" i="2"/>
  <c r="S77" i="2"/>
  <c r="Z34" i="2"/>
  <c r="Y34" i="2"/>
  <c r="X34" i="2"/>
  <c r="W34" i="2"/>
  <c r="V34" i="2"/>
  <c r="U34" i="2"/>
  <c r="T34" i="2"/>
  <c r="V77" i="2"/>
  <c r="U77" i="2"/>
  <c r="T77" i="2"/>
  <c r="Y3" i="2"/>
  <c r="X3" i="2" s="1"/>
  <c r="W3" i="2" s="1"/>
  <c r="V3" i="2" s="1"/>
  <c r="U3" i="2" s="1"/>
  <c r="T3" i="2" s="1"/>
  <c r="S3" i="2" s="1"/>
  <c r="R3" i="2" s="1"/>
  <c r="Q3" i="2" s="1"/>
  <c r="AD77" i="2"/>
  <c r="AC77" i="2"/>
  <c r="AB77" i="2"/>
  <c r="AD57" i="2"/>
  <c r="AC57" i="2"/>
  <c r="AB57" i="2"/>
  <c r="AD37" i="2"/>
  <c r="AC37" i="2"/>
  <c r="AB37" i="2"/>
  <c r="AA37" i="2"/>
  <c r="Z37" i="2"/>
  <c r="AD36" i="2"/>
  <c r="AC36" i="2"/>
  <c r="AB36" i="2"/>
  <c r="AA36" i="2"/>
  <c r="Z36" i="2"/>
  <c r="AE34" i="2"/>
  <c r="AD34" i="2"/>
  <c r="AC34" i="2"/>
  <c r="AB34" i="2"/>
  <c r="AA34" i="2"/>
  <c r="AE77" i="2"/>
  <c r="AF77" i="2"/>
  <c r="AG77" i="2"/>
  <c r="AH77" i="2"/>
  <c r="AG27" i="2"/>
  <c r="AF27" i="2"/>
  <c r="AE27" i="2"/>
  <c r="AH34" i="2"/>
  <c r="AG34" i="2"/>
  <c r="AF34" i="2"/>
  <c r="AG25" i="2"/>
  <c r="AF25" i="2"/>
  <c r="AE25" i="2"/>
  <c r="AG21" i="2"/>
  <c r="AG36" i="2" s="1"/>
  <c r="AF21" i="2"/>
  <c r="AF36" i="2" s="1"/>
  <c r="AE21" i="2"/>
  <c r="AE36" i="2" s="1"/>
  <c r="F40" i="2"/>
  <c r="F45" i="2"/>
  <c r="AK3" i="2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J27" i="2"/>
  <c r="AI27" i="2"/>
  <c r="AH27" i="2"/>
  <c r="AJ77" i="2"/>
  <c r="AI77" i="2"/>
  <c r="AJ25" i="2"/>
  <c r="AI25" i="2"/>
  <c r="AH25" i="2"/>
  <c r="AH21" i="2"/>
  <c r="AH36" i="2" s="1"/>
  <c r="AJ35" i="2"/>
  <c r="AJ18" i="2"/>
  <c r="AJ19" i="2" s="1"/>
  <c r="AJ21" i="2" s="1"/>
  <c r="AJ36" i="2" s="1"/>
  <c r="AI18" i="2"/>
  <c r="AI19" i="2" s="1"/>
  <c r="AI34" i="2" s="1"/>
  <c r="G74" i="2"/>
  <c r="G68" i="2"/>
  <c r="G69" i="2" s="1"/>
  <c r="G63" i="2"/>
  <c r="G64" i="2" s="1"/>
  <c r="G49" i="2"/>
  <c r="G55" i="2" s="1"/>
  <c r="G45" i="2"/>
  <c r="G40" i="2"/>
  <c r="G39" i="2" s="1"/>
  <c r="F25" i="2"/>
  <c r="F26" i="2" s="1"/>
  <c r="F28" i="2" s="1"/>
  <c r="F30" i="2" s="1"/>
  <c r="F31" i="2" s="1"/>
  <c r="D25" i="2"/>
  <c r="D26" i="2" s="1"/>
  <c r="D28" i="2" s="1"/>
  <c r="D30" i="2" s="1"/>
  <c r="D31" i="2" s="1"/>
  <c r="C25" i="2"/>
  <c r="G25" i="2"/>
  <c r="C21" i="2"/>
  <c r="C36" i="2" s="1"/>
  <c r="G21" i="2"/>
  <c r="G36" i="2" s="1"/>
  <c r="G34" i="2"/>
  <c r="K4" i="1"/>
  <c r="K7" i="1" s="1"/>
  <c r="I21" i="2" l="1"/>
  <c r="I36" i="2" s="1"/>
  <c r="J37" i="2"/>
  <c r="L26" i="2"/>
  <c r="K75" i="2"/>
  <c r="K39" i="2"/>
  <c r="I47" i="2"/>
  <c r="J31" i="2"/>
  <c r="J57" i="2"/>
  <c r="K26" i="2"/>
  <c r="I39" i="2"/>
  <c r="E26" i="2"/>
  <c r="E28" i="2" s="1"/>
  <c r="E30" i="2" s="1"/>
  <c r="E31" i="2" s="1"/>
  <c r="I26" i="2"/>
  <c r="F47" i="2"/>
  <c r="AG26" i="2"/>
  <c r="AG37" i="2" s="1"/>
  <c r="AF26" i="2"/>
  <c r="AF37" i="2" s="1"/>
  <c r="G47" i="2"/>
  <c r="AI21" i="2"/>
  <c r="AJ26" i="2"/>
  <c r="AJ37" i="2" s="1"/>
  <c r="AE26" i="2"/>
  <c r="AH26" i="2"/>
  <c r="AH37" i="2" s="1"/>
  <c r="F39" i="2"/>
  <c r="AJ34" i="2"/>
  <c r="C26" i="2"/>
  <c r="G26" i="2"/>
  <c r="C28" i="2" l="1"/>
  <c r="C30" i="2" s="1"/>
  <c r="C31" i="2" s="1"/>
  <c r="C37" i="2"/>
  <c r="K28" i="2"/>
  <c r="K30" i="2" s="1"/>
  <c r="K31" i="2" s="1"/>
  <c r="K37" i="2"/>
  <c r="L37" i="2"/>
  <c r="L28" i="2"/>
  <c r="L30" i="2" s="1"/>
  <c r="L31" i="2" s="1"/>
  <c r="I28" i="2"/>
  <c r="I30" i="2" s="1"/>
  <c r="I37" i="2"/>
  <c r="AF28" i="2"/>
  <c r="AF30" i="2" s="1"/>
  <c r="AG28" i="2"/>
  <c r="AG30" i="2" s="1"/>
  <c r="AJ28" i="2"/>
  <c r="AJ30" i="2" s="1"/>
  <c r="AE28" i="2"/>
  <c r="AE30" i="2" s="1"/>
  <c r="AE37" i="2"/>
  <c r="AF31" i="2"/>
  <c r="AF57" i="2"/>
  <c r="AI26" i="2"/>
  <c r="AI36" i="2"/>
  <c r="AG31" i="2"/>
  <c r="AG57" i="2"/>
  <c r="AH28" i="2"/>
  <c r="AH30" i="2" s="1"/>
  <c r="G37" i="2"/>
  <c r="G28" i="2"/>
  <c r="G30" i="2" s="1"/>
  <c r="K57" i="2" l="1"/>
  <c r="I31" i="2"/>
  <c r="I57" i="2"/>
  <c r="AI37" i="2"/>
  <c r="AI28" i="2"/>
  <c r="AI30" i="2" s="1"/>
  <c r="AE31" i="2"/>
  <c r="AE57" i="2"/>
  <c r="AJ57" i="2"/>
  <c r="AJ31" i="2"/>
  <c r="AH57" i="2"/>
  <c r="AH31" i="2"/>
  <c r="G31" i="2"/>
  <c r="G57" i="2"/>
  <c r="AI31" i="2" l="1"/>
  <c r="AI57" i="2"/>
</calcChain>
</file>

<file path=xl/sharedStrings.xml><?xml version="1.0" encoding="utf-8"?>
<sst xmlns="http://schemas.openxmlformats.org/spreadsheetml/2006/main" count="109" uniqueCount="101">
  <si>
    <t>Price</t>
  </si>
  <si>
    <t>Shares</t>
  </si>
  <si>
    <t>MC</t>
  </si>
  <si>
    <t>Cash</t>
  </si>
  <si>
    <t>Debt</t>
  </si>
  <si>
    <t>EV</t>
  </si>
  <si>
    <t>Main</t>
  </si>
  <si>
    <t>Revenue</t>
  </si>
  <si>
    <t>COGS</t>
  </si>
  <si>
    <t>Gross Profit</t>
  </si>
  <si>
    <t>R&amp;D</t>
  </si>
  <si>
    <t>S&amp;M</t>
  </si>
  <si>
    <t>G&amp;A</t>
  </si>
  <si>
    <t>Revenue y/y</t>
  </si>
  <si>
    <t>Gross Margin</t>
  </si>
  <si>
    <t>Operating Margin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</si>
  <si>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</si>
  <si>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</si>
  <si>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</si>
  <si>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</si>
  <si>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</si>
  <si>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</si>
  <si>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</si>
  <si>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PP&amp;E</t>
  </si>
  <si>
    <t>AR</t>
  </si>
  <si>
    <t>Inventories</t>
  </si>
  <si>
    <t>OCA</t>
  </si>
  <si>
    <t>Goodwill</t>
  </si>
  <si>
    <t>DT</t>
  </si>
  <si>
    <t>Assets</t>
  </si>
  <si>
    <t>AP</t>
  </si>
  <si>
    <t>Contract</t>
  </si>
  <si>
    <t>SE</t>
  </si>
  <si>
    <t>L+SE</t>
  </si>
  <si>
    <t>Other</t>
  </si>
  <si>
    <t>CFFO</t>
  </si>
  <si>
    <t>WC</t>
  </si>
  <si>
    <t>Reported NI</t>
  </si>
  <si>
    <t>Model NI</t>
  </si>
  <si>
    <t>D&amp;A</t>
  </si>
  <si>
    <t>SBC</t>
  </si>
  <si>
    <t>CFFI</t>
  </si>
  <si>
    <t>CapEx</t>
  </si>
  <si>
    <t>Acquisitions</t>
  </si>
  <si>
    <t>Investments</t>
  </si>
  <si>
    <t>Buybacks</t>
  </si>
  <si>
    <t>CFFF</t>
  </si>
  <si>
    <t>ESOP</t>
  </si>
  <si>
    <t>Dividends</t>
  </si>
  <si>
    <t>wafer fabrication and display fabrication tools</t>
  </si>
  <si>
    <t>Founded</t>
  </si>
  <si>
    <t>300mm equipment used to fabricate semiconductor chips/integrated circuits (ICs)</t>
  </si>
  <si>
    <t>materials engineering</t>
  </si>
  <si>
    <t>process control</t>
  </si>
  <si>
    <t>advanced packaging</t>
  </si>
  <si>
    <t>conversion of patterns into device structures</t>
  </si>
  <si>
    <t>transistor and interconnect fabrication</t>
  </si>
  <si>
    <t>metrology</t>
  </si>
  <si>
    <t>inspection and review</t>
  </si>
  <si>
    <t>packaging technologies for connecting finished IC die</t>
  </si>
  <si>
    <t>Semi y/y</t>
  </si>
  <si>
    <t>Services</t>
  </si>
  <si>
    <t>Semiconductor Backlog</t>
  </si>
  <si>
    <t>Samsung: 15% (2023), 12% (2024)</t>
  </si>
  <si>
    <t>TSM: 19% (2023), 11% (2024)</t>
  </si>
  <si>
    <t>Varian acquisition 2011</t>
  </si>
  <si>
    <t>Services Backlog</t>
  </si>
  <si>
    <t>Semiconductor Systems</t>
  </si>
  <si>
    <t>Display+Other</t>
  </si>
  <si>
    <t>China</t>
  </si>
  <si>
    <t>US</t>
  </si>
  <si>
    <t>Korea</t>
  </si>
  <si>
    <t>Taiwan</t>
  </si>
  <si>
    <t>Net Cash</t>
  </si>
  <si>
    <t>Epitaxy (or epi) is a technique for growing silicon (e.g. silicon with another element) as a uniform crystalline structure on a wafer to form high quality material for the device circuity. Epi technology is used in device transistors to enhance chip speed.</t>
  </si>
  <si>
    <t>Ion implantation is a key technology for forming transistors and is used many times during chip fabrication. During ion implantation, wafers are bombarded by a beam of electrically-charged ions, called dopants, which can change the electrical properties of the exposed semiconductor material.</t>
  </si>
  <si>
    <t>Applied’s systems provide critical oxidation steps - like memory gate oxide, shallow trench isolation and liner oxide - for advanced device scaling.</t>
  </si>
  <si>
    <t>RTP is used primarily for annealing, which modifies the properties of deposited films. Applied’s single-wafer RTP systems are also used for growing high quality oxide and oxynitride films.</t>
  </si>
  <si>
    <t>PVD is used to deposit high quality metal films. Applications include metal gate, silicides, contact liner/barrier, interconnect copper barrier seed and metal hard mask.</t>
  </si>
  <si>
    <t>CVD is used to deposit dielectric and metal films on a wafer. During the CVD process, gases that contain atoms of the material to be deposited react on the wafer surface, forming a thin film of solid material.</t>
  </si>
  <si>
    <t>CMP is used to planarize a wafer surface, a process that allows subsequent photolithography patterning and material deposition steps to occur with greater accuracy, resulting in more uniform film layers with minimal thickness variations.</t>
  </si>
  <si>
    <t>ECD is a process by which metal atoms from a chemical fluid (an electrolyte) are deposited on the surface of an immersed object</t>
  </si>
  <si>
    <t>ALD technology enables ultra thin film growth of either a conducting or insulating material with uniform coverage in nanometer-sized structures.</t>
  </si>
  <si>
    <t>Etching is used many times throughout the IC manufacturing process to selectively remove material from the surface of a wafer. Applied offers systems for etching dielectric, metal, and silicon films to meet the requirements of advanced processing.</t>
  </si>
  <si>
    <t>FCF</t>
  </si>
  <si>
    <t>CIC</t>
  </si>
  <si>
    <t>Q425</t>
  </si>
  <si>
    <t>FQ326</t>
  </si>
  <si>
    <t>Foundry Systems</t>
  </si>
  <si>
    <t>DRAM Systems</t>
  </si>
  <si>
    <t>Flash Systems</t>
  </si>
  <si>
    <t>FQ325</t>
  </si>
  <si>
    <t>FQ225</t>
  </si>
  <si>
    <t>FQ226</t>
  </si>
  <si>
    <t>FQ126</t>
  </si>
  <si>
    <t>FQ125</t>
  </si>
  <si>
    <t>FQ425</t>
  </si>
  <si>
    <t>FQ424</t>
  </si>
  <si>
    <t>FQ324</t>
  </si>
  <si>
    <t>FQ224</t>
  </si>
  <si>
    <t>FQ124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</si>
</sst>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 quotePrefix="1"/>
    <xf numFmtId="1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4" fontId="1" fillId="0" borderId="0" xfId="0" applyNumberFormat="1" applyFont="1"/>
    <xf numFmtId="0" fontId="1" fillId="0" borderId="0" xfId="0" applyFont="1"/>
    <xf numFmtId="9" fontId="1" fillId="0" borderId="0" xfId="0" applyNumberFormat="1" applyFon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9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6868677-55A2-4358-B2BB-492424D0F7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385053</xdr:colOff>
      <xdr:row>18</xdr:row>
      <xdr:rowOff>45101</xdr:rowOff>
    </xdr:from>
    <xdr:to>
      <xdr:col>8</xdr:col>
      <xdr:colOff>309865</xdr:colOff>
      <xdr:row>33</xdr:row>
      <xdr:rowOff>145305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2EEDD3-391B-7CC9-92D0-56CECD31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053" y="2963399"/>
          <a:ext cx="4788642" cy="2532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42428</xdr:colOff>
      <xdr:row>0</xdr:row>
      <xdr:rowOff>0</xdr:rowOff>
    </xdr:from>
    <xdr:to>
      <xdr:col>13</xdr:col>
      <xdr:colOff>42428</xdr:colOff>
      <xdr:row>81</xdr:row>
      <xdr:rowOff>161192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8EE6FA-794A-951E-5F50-3E239A75E344}"/>
            </a:ext>
          </a:extLst>
        </xdr:cNvPr>
        <xdr:cNvCxnSpPr/>
      </xdr:nvCxnSpPr>
      <xdr:spPr>
        <a:xfrm>
          <a:off x="9054543" y="0"/>
          <a:ext cx="0" cy="1243623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4053</xdr:colOff>
      <xdr:row>0</xdr:row>
      <xdr:rowOff>24319</xdr:rowOff>
    </xdr:from>
    <xdr:to>
      <xdr:col>36</xdr:col>
      <xdr:colOff>4053</xdr:colOff>
      <xdr:row>83</xdr:row>
      <xdr:rowOff>60403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000598C-954E-3298-CB29-005411DE8486}"/>
            </a:ext>
          </a:extLst>
        </xdr:cNvPr>
        <xdr:cNvCxnSpPr/>
      </xdr:nvCxnSpPr>
      <xdr:spPr>
        <a:xfrm>
          <a:off x="12772199" y="24319"/>
          <a:ext cx="0" cy="125579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9B30-572B-4034-92C9-B307A12C2221}">
  <dimension ref="B2:L45"/>
  <sheetViews>
    <sheetView zoomScale="190" zoomScaleNormal="190" workbookViewId="0">
      <selection activeCell="K7" sqref="K7"/>
    </sheetView>
  </sheetViews>
  <sheetFormatPr defaultRowHeight="12.5" x14ac:dyDescent="0.25"/>
  <cols>
    <col min="11" max="11" width="9.7265625" bestFit="1" customWidth="1"/>
  </cols>
  <sheetData>
    <row r="2" spans="2:12" x14ac:dyDescent="0.25">
      <c r="B2" s="5" t="s">
        <v>49</v>
      </c>
      <c r="J2" t="s">
        <v>0</v>
      </c>
      <c r="K2" s="1">
        <v>360</v>
      </c>
    </row>
    <row r="3" spans="2:12" x14ac:dyDescent="0.25">
      <c r="B3" t="s">
        <v>51</v>
      </c>
      <c r="J3" t="s">
        <v>1</v>
      </c>
      <c r="K3" s="2">
        <v>799</v>
      </c>
      <c r="L3" s="8" t="s">
        <v>86</v>
      </c>
    </row>
    <row r="4" spans="2:12" x14ac:dyDescent="0.25">
      <c r="J4" t="s">
        <v>2</v>
      </c>
      <c r="K4" s="2">
        <f>+K2*K3</f>
        <v>287640</v>
      </c>
    </row>
    <row r="5" spans="2:12" x14ac:dyDescent="0.25">
      <c r="B5" t="s">
        <v>52</v>
      </c>
      <c r="J5" t="s">
        <v>3</v>
      </c>
      <c r="K5" s="2">
        <v>13479</v>
      </c>
      <c r="L5" s="8" t="s">
        <v>86</v>
      </c>
    </row>
    <row r="6" spans="2:12" x14ac:dyDescent="0.25">
      <c r="B6" t="s">
        <v>53</v>
      </c>
      <c r="J6" t="s">
        <v>4</v>
      </c>
      <c r="K6" s="2">
        <v>6553</v>
      </c>
      <c r="L6" s="8" t="s">
        <v>86</v>
      </c>
    </row>
    <row r="7" spans="2:12" x14ac:dyDescent="0.25">
      <c r="B7" t="s">
        <v>54</v>
      </c>
      <c r="J7" t="s">
        <v>5</v>
      </c>
      <c r="K7" s="2">
        <f>+K4-K5+K6</f>
        <v>280714</v>
      </c>
    </row>
    <row r="8" spans="2:12" x14ac:dyDescent="0.25">
      <c r="B8" t="s">
        <v>55</v>
      </c>
    </row>
    <row r="9" spans="2:12" x14ac:dyDescent="0.25">
      <c r="B9" t="s">
        <v>56</v>
      </c>
      <c r="J9" t="s">
        <v>50</v>
      </c>
      <c r="K9">
        <v>1967</v>
      </c>
    </row>
    <row r="10" spans="2:12" x14ac:dyDescent="0.25">
      <c r="B10" t="s">
        <v>57</v>
      </c>
    </row>
    <row r="11" spans="2:12" x14ac:dyDescent="0.25">
      <c r="B11" t="s">
        <v>58</v>
      </c>
    </row>
    <row r="12" spans="2:12" x14ac:dyDescent="0.25">
      <c r="B12" t="s">
        <v>59</v>
      </c>
    </row>
    <row r="13" spans="2:12" x14ac:dyDescent="0.25">
      <c r="I13" t="s">
        <v>65</v>
      </c>
    </row>
    <row r="15" spans="2:12" x14ac:dyDescent="0.25">
      <c r="B15" t="s">
        <v>63</v>
      </c>
    </row>
    <row r="16" spans="2:12" x14ac:dyDescent="0.25">
      <c r="B16" t="s">
        <v>64</v>
      </c>
    </row>
    <row r="36" spans="2:2" x14ac:dyDescent="0.25">
      <c r="B36" t="s">
        <v>74</v>
      </c>
    </row>
    <row r="37" spans="2:2" x14ac:dyDescent="0.25">
      <c r="B37" t="s">
        <v>75</v>
      </c>
    </row>
    <row r="38" spans="2:2" x14ac:dyDescent="0.25">
      <c r="B38" t="s">
        <v>76</v>
      </c>
    </row>
    <row r="39" spans="2:2" x14ac:dyDescent="0.25">
      <c r="B39" t="s">
        <v>77</v>
      </c>
    </row>
    <row r="40" spans="2:2" x14ac:dyDescent="0.25">
      <c r="B40" t="s">
        <v>78</v>
      </c>
    </row>
    <row r="41" spans="2:2" x14ac:dyDescent="0.25">
      <c r="B41" t="s">
        <v>79</v>
      </c>
    </row>
    <row r="42" spans="2:2" x14ac:dyDescent="0.25">
      <c r="B42" t="s">
        <v>80</v>
      </c>
    </row>
    <row r="43" spans="2:2" x14ac:dyDescent="0.25">
      <c r="B43" t="s">
        <v>81</v>
      </c>
    </row>
    <row r="44" spans="2:2" x14ac:dyDescent="0.25">
      <c r="B44" t="s">
        <v>82</v>
      </c>
    </row>
    <row r="45" spans="2:2" x14ac:dyDescent="0.25">
      <c r="B45" t="s">
        <v>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C328-206B-416D-93E7-7AB15E2A4BC1}">
  <dimension ref="A1:AV77"/>
  <sheetViews>
    <sheetView tabSelected="1" zoomScale="130" zoomScaleNormal="130" workbookViewId="0">
      <pane xSplit="2" ySplit="3" topLeftCell="C6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2.5" x14ac:dyDescent="0.25"/>
  <cols>
    <col min="1" max="1" width="5" bestFit="1" customWidth="1"/>
    <col min="2" max="2" width="20.81640625" customWidth="1"/>
    <col min="3" max="6" width="8.7265625" style="8"/>
    <col min="7" max="13" width="8.6328125" style="8" customWidth="1"/>
  </cols>
  <sheetData>
    <row r="1" spans="1:48" x14ac:dyDescent="0.25">
      <c r="A1" t="s">
        <v>6</v>
      </c>
    </row>
    <row r="2" spans="1:48" x14ac:dyDescent="0.25">
      <c r="C2" s="8" t="s">
        <v>100</v>
      </c>
      <c r="D2" s="8" t="s">
        <v>99</v>
      </c>
      <c r="E2" s="8" t="s">
        <v>98</v>
      </c>
      <c r="F2" s="8" t="s">
        <v>97</v>
      </c>
      <c r="G2" s="8" t="s">
        <v>95</v>
      </c>
      <c r="H2" s="8" t="s">
        <v>92</v>
      </c>
      <c r="I2" s="8" t="s">
        <v>91</v>
      </c>
      <c r="J2" s="8" t="s">
        <v>96</v>
      </c>
      <c r="K2" s="8" t="s">
        <v>94</v>
      </c>
      <c r="L2" s="8" t="s">
        <v>93</v>
      </c>
      <c r="M2" s="8" t="s">
        <v>87</v>
      </c>
    </row>
    <row r="3" spans="1:48" s="4" customFormat="1" x14ac:dyDescent="0.25">
      <c r="C3" s="12">
        <v>45319</v>
      </c>
      <c r="D3" s="12">
        <f>+H3-365</f>
        <v>45408</v>
      </c>
      <c r="E3" s="12">
        <v>45501</v>
      </c>
      <c r="F3" s="12">
        <f>+J3-365</f>
        <v>45591</v>
      </c>
      <c r="G3" s="12">
        <v>45683</v>
      </c>
      <c r="H3" s="12">
        <f>+G3+90</f>
        <v>45773</v>
      </c>
      <c r="I3" s="12">
        <v>45865</v>
      </c>
      <c r="J3" s="12">
        <f>+I3+91</f>
        <v>45956</v>
      </c>
      <c r="K3" s="12">
        <f>+J3+91</f>
        <v>46047</v>
      </c>
      <c r="L3" s="12">
        <f>+K3+90</f>
        <v>46137</v>
      </c>
      <c r="M3" s="12">
        <f>+L3+90</f>
        <v>46227</v>
      </c>
      <c r="N3" s="4">
        <f>+M3+90</f>
        <v>46317</v>
      </c>
      <c r="O3" s="4">
        <f>+N3+90</f>
        <v>46407</v>
      </c>
      <c r="Q3" s="6">
        <f t="shared" ref="Q3:T3" si="0">+R3-1</f>
        <v>2005</v>
      </c>
      <c r="R3" s="6">
        <f t="shared" si="0"/>
        <v>2006</v>
      </c>
      <c r="S3" s="6">
        <f t="shared" si="0"/>
        <v>2007</v>
      </c>
      <c r="T3" s="6">
        <f t="shared" si="0"/>
        <v>2008</v>
      </c>
      <c r="U3" s="6">
        <f t="shared" ref="U3:X3" si="1">+V3-1</f>
        <v>2009</v>
      </c>
      <c r="V3" s="6">
        <f t="shared" si="1"/>
        <v>2010</v>
      </c>
      <c r="W3" s="6">
        <f t="shared" si="1"/>
        <v>2011</v>
      </c>
      <c r="X3" s="6">
        <f t="shared" si="1"/>
        <v>2012</v>
      </c>
      <c r="Y3" s="6">
        <f>+Z3-1</f>
        <v>2013</v>
      </c>
      <c r="Z3" s="6">
        <v>2014</v>
      </c>
      <c r="AA3" s="6">
        <v>2015</v>
      </c>
      <c r="AB3" s="6">
        <v>2016</v>
      </c>
      <c r="AC3" s="6">
        <v>2017</v>
      </c>
      <c r="AD3" s="6">
        <v>2018</v>
      </c>
      <c r="AE3" s="6">
        <v>2019</v>
      </c>
      <c r="AF3" s="6">
        <v>2020</v>
      </c>
      <c r="AG3" s="6">
        <v>2021</v>
      </c>
      <c r="AH3" s="6">
        <v>2022</v>
      </c>
      <c r="AI3" s="6">
        <v>2023</v>
      </c>
      <c r="AJ3" s="6">
        <v>2024</v>
      </c>
      <c r="AK3" s="6">
        <f t="shared" ref="AK3:AV3" si="2">+AJ3+1</f>
        <v>2025</v>
      </c>
      <c r="AL3" s="6">
        <f t="shared" si="2"/>
        <v>2026</v>
      </c>
      <c r="AM3" s="6">
        <f t="shared" si="2"/>
        <v>2027</v>
      </c>
      <c r="AN3" s="6">
        <f t="shared" si="2"/>
        <v>2028</v>
      </c>
      <c r="AO3" s="6">
        <f t="shared" si="2"/>
        <v>2029</v>
      </c>
      <c r="AP3" s="6">
        <f t="shared" si="2"/>
        <v>2030</v>
      </c>
      <c r="AQ3" s="6">
        <f t="shared" si="2"/>
        <v>2031</v>
      </c>
      <c r="AR3" s="6">
        <f t="shared" si="2"/>
        <v>2032</v>
      </c>
      <c r="AS3" s="6">
        <f t="shared" si="2"/>
        <v>2033</v>
      </c>
      <c r="AT3" s="6">
        <f t="shared" si="2"/>
        <v>2034</v>
      </c>
      <c r="AU3" s="6">
        <f t="shared" si="2"/>
        <v>2035</v>
      </c>
      <c r="AV3" s="6">
        <f t="shared" si="2"/>
        <v>2036</v>
      </c>
    </row>
    <row r="4" spans="1:48" s="2" customFormat="1" x14ac:dyDescent="0.25">
      <c r="B4" s="2" t="s">
        <v>69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AI4" s="2">
        <v>7247</v>
      </c>
      <c r="AJ4" s="2">
        <v>10117</v>
      </c>
    </row>
    <row r="5" spans="1:48" s="2" customFormat="1" x14ac:dyDescent="0.25">
      <c r="B5" s="2" t="s">
        <v>71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AI5" s="2">
        <v>4609</v>
      </c>
      <c r="AJ5" s="2">
        <v>4493</v>
      </c>
    </row>
    <row r="6" spans="1:48" s="2" customFormat="1" x14ac:dyDescent="0.25">
      <c r="B6" s="2" t="s">
        <v>72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AI6" s="2">
        <v>5670</v>
      </c>
      <c r="AJ6" s="2">
        <v>4010</v>
      </c>
    </row>
    <row r="7" spans="1:48" s="2" customFormat="1" x14ac:dyDescent="0.25">
      <c r="B7" s="2" t="s">
        <v>70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AI7" s="2">
        <v>4006</v>
      </c>
      <c r="AJ7" s="2">
        <v>3818</v>
      </c>
    </row>
    <row r="8" spans="1:48" s="2" customFormat="1" x14ac:dyDescent="0.25"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48" s="2" customFormat="1" x14ac:dyDescent="0.25">
      <c r="B9" s="2" t="s">
        <v>88</v>
      </c>
      <c r="C9" s="13">
        <f>+C16*0.62</f>
        <v>3043.58</v>
      </c>
      <c r="D9" s="13">
        <f>+D16*0.65</f>
        <v>3185.65</v>
      </c>
      <c r="E9" s="13">
        <f>+E16*0.72</f>
        <v>3545.2799999999997</v>
      </c>
      <c r="F9" s="13">
        <f>+F16*0.73</f>
        <v>3779.21</v>
      </c>
      <c r="G9" s="13">
        <f>+G16*0.69</f>
        <v>3861.93</v>
      </c>
      <c r="H9" s="13">
        <f>+H16*0.66</f>
        <v>3564.6600000000003</v>
      </c>
      <c r="I9" s="13">
        <f>+I16*0.69</f>
        <v>3839.16</v>
      </c>
      <c r="J9" s="13">
        <f>+J16*0.65</f>
        <v>3094</v>
      </c>
      <c r="K9" s="13">
        <f>+K16*0.62</f>
        <v>3187.42</v>
      </c>
      <c r="L9" s="13">
        <f>+L16*0.67</f>
        <v>3996.55</v>
      </c>
      <c r="M9" s="13">
        <f>+M16*0.67</f>
        <v>4716.8</v>
      </c>
    </row>
    <row r="10" spans="1:48" s="2" customFormat="1" x14ac:dyDescent="0.25">
      <c r="B10" s="2" t="s">
        <v>89</v>
      </c>
      <c r="C10" s="13">
        <f>+C16*0.34</f>
        <v>1669.0600000000002</v>
      </c>
      <c r="D10" s="13">
        <f>+D16*0.32</f>
        <v>1568.32</v>
      </c>
      <c r="E10" s="13">
        <f>+E16*0.24</f>
        <v>1181.76</v>
      </c>
      <c r="F10" s="13">
        <f>+F16*0.23</f>
        <v>1190.71</v>
      </c>
      <c r="G10" s="13">
        <f>+G16*0.27</f>
        <v>1511.19</v>
      </c>
      <c r="H10" s="13">
        <f>+H16*0.27</f>
        <v>1458.2700000000002</v>
      </c>
      <c r="I10" s="13">
        <f>+I16*0.22</f>
        <v>1224.08</v>
      </c>
      <c r="J10" s="13">
        <f>+J16*0.29</f>
        <v>1380.3999999999999</v>
      </c>
      <c r="K10" s="13">
        <f>+K16*0.34</f>
        <v>1747.94</v>
      </c>
      <c r="L10" s="13">
        <f>+L16*0.29</f>
        <v>1729.85</v>
      </c>
      <c r="M10" s="13">
        <f>+M16*0.26</f>
        <v>1830.4</v>
      </c>
    </row>
    <row r="11" spans="1:48" s="2" customFormat="1" x14ac:dyDescent="0.25">
      <c r="B11" s="2" t="s">
        <v>90</v>
      </c>
      <c r="C11" s="13">
        <f>+C16*0.04</f>
        <v>196.36</v>
      </c>
      <c r="D11" s="13">
        <f>+D16*0.03</f>
        <v>147.03</v>
      </c>
      <c r="E11" s="13">
        <f>+E16*0.04</f>
        <v>196.96</v>
      </c>
      <c r="F11" s="13">
        <f>+F16*0.04</f>
        <v>207.08</v>
      </c>
      <c r="G11" s="13">
        <f>+G16*0.04</f>
        <v>223.88</v>
      </c>
      <c r="H11" s="13">
        <f>+H16*0.07</f>
        <v>378.07000000000005</v>
      </c>
      <c r="I11" s="13">
        <f>+I16*0.09</f>
        <v>500.76</v>
      </c>
      <c r="J11" s="13">
        <f>+J16*0.06</f>
        <v>285.59999999999997</v>
      </c>
      <c r="K11" s="13">
        <f>+K16*0.04</f>
        <v>205.64000000000001</v>
      </c>
      <c r="L11" s="13">
        <f>+L16*0.04</f>
        <v>238.6</v>
      </c>
      <c r="M11" s="13">
        <f>+M16*0.07</f>
        <v>492.80000000000007</v>
      </c>
    </row>
    <row r="12" spans="1:48" s="2" customFormat="1" x14ac:dyDescent="0.25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48" s="2" customFormat="1" x14ac:dyDescent="0.25">
      <c r="B13" s="2" t="s">
        <v>62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AI13" s="2">
        <v>11127</v>
      </c>
      <c r="AJ13" s="2">
        <v>8259</v>
      </c>
    </row>
    <row r="14" spans="1:48" s="2" customFormat="1" x14ac:dyDescent="0.25">
      <c r="B14" s="2" t="s">
        <v>66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AI14" s="2">
        <v>5162</v>
      </c>
      <c r="AJ14" s="2">
        <v>6767</v>
      </c>
    </row>
    <row r="15" spans="1:48" s="2" customFormat="1" x14ac:dyDescent="0.25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48" s="2" customFormat="1" x14ac:dyDescent="0.25">
      <c r="B16" s="2" t="s">
        <v>67</v>
      </c>
      <c r="C16" s="13">
        <v>4909</v>
      </c>
      <c r="D16" s="13">
        <v>4901</v>
      </c>
      <c r="E16" s="13">
        <v>4924</v>
      </c>
      <c r="F16" s="13">
        <v>5177</v>
      </c>
      <c r="G16" s="13">
        <v>5597</v>
      </c>
      <c r="H16" s="13">
        <v>5401</v>
      </c>
      <c r="I16" s="13">
        <v>5564</v>
      </c>
      <c r="J16" s="13">
        <v>4760</v>
      </c>
      <c r="K16" s="13">
        <v>5141</v>
      </c>
      <c r="L16" s="13">
        <v>5965</v>
      </c>
      <c r="M16" s="13">
        <v>7040</v>
      </c>
      <c r="AI16" s="2">
        <v>19698</v>
      </c>
      <c r="AJ16" s="2">
        <v>19911</v>
      </c>
    </row>
    <row r="17" spans="2:36" s="2" customFormat="1" x14ac:dyDescent="0.25">
      <c r="B17" s="2" t="s">
        <v>61</v>
      </c>
      <c r="C17" s="13">
        <v>1476</v>
      </c>
      <c r="D17" s="13">
        <v>1530</v>
      </c>
      <c r="E17" s="13">
        <v>1580</v>
      </c>
      <c r="F17" s="13">
        <v>1639</v>
      </c>
      <c r="G17" s="13">
        <v>1353</v>
      </c>
      <c r="H17" s="13">
        <v>1420</v>
      </c>
      <c r="I17" s="13">
        <v>1463</v>
      </c>
      <c r="J17" s="13">
        <v>1625</v>
      </c>
      <c r="K17" s="13">
        <v>1559</v>
      </c>
      <c r="L17" s="13">
        <v>1665</v>
      </c>
      <c r="M17" s="13">
        <v>1781</v>
      </c>
      <c r="AI17" s="2">
        <v>5732</v>
      </c>
      <c r="AJ17" s="2">
        <v>6225</v>
      </c>
    </row>
    <row r="18" spans="2:36" s="2" customFormat="1" x14ac:dyDescent="0.25">
      <c r="B18" s="2" t="s">
        <v>68</v>
      </c>
      <c r="C18" s="13">
        <f>244+78</f>
        <v>322</v>
      </c>
      <c r="D18" s="13">
        <f>179+36</f>
        <v>215</v>
      </c>
      <c r="E18" s="13">
        <f>251+23</f>
        <v>274</v>
      </c>
      <c r="F18" s="13">
        <v>229</v>
      </c>
      <c r="G18" s="13">
        <v>216</v>
      </c>
      <c r="H18" s="13">
        <v>279</v>
      </c>
      <c r="I18" s="13">
        <f>263+12</f>
        <v>275</v>
      </c>
      <c r="J18" s="13">
        <v>415</v>
      </c>
      <c r="K18" s="13">
        <v>312</v>
      </c>
      <c r="L18" s="13">
        <v>280</v>
      </c>
      <c r="M18" s="13">
        <v>294</v>
      </c>
      <c r="AI18" s="2">
        <f>868+219</f>
        <v>1087</v>
      </c>
      <c r="AJ18" s="2">
        <f>885+155</f>
        <v>1040</v>
      </c>
    </row>
    <row r="19" spans="2:36" s="7" customFormat="1" ht="13" x14ac:dyDescent="0.3">
      <c r="B19" s="7" t="s">
        <v>7</v>
      </c>
      <c r="C19" s="14">
        <f>+C18+C17+C16</f>
        <v>6707</v>
      </c>
      <c r="D19" s="14">
        <f>+D18+D17+D16</f>
        <v>6646</v>
      </c>
      <c r="E19" s="14">
        <f>+E18+E17+E16</f>
        <v>6778</v>
      </c>
      <c r="F19" s="14">
        <f>+F18+F17+F16</f>
        <v>7045</v>
      </c>
      <c r="G19" s="14">
        <f>+G18+G17+G16</f>
        <v>7166</v>
      </c>
      <c r="H19" s="14">
        <f>+H18+H17+H16</f>
        <v>7100</v>
      </c>
      <c r="I19" s="14">
        <f>+I18+I17+I16</f>
        <v>7302</v>
      </c>
      <c r="J19" s="14">
        <f>+J18+J17+J16</f>
        <v>6800</v>
      </c>
      <c r="K19" s="14">
        <f>+K18+K17+K16</f>
        <v>7012</v>
      </c>
      <c r="L19" s="14">
        <f>+L18+L17+L16</f>
        <v>7910</v>
      </c>
      <c r="M19" s="14">
        <f>+M18+M17+M16</f>
        <v>9115</v>
      </c>
      <c r="R19" s="7">
        <v>9167.0139999999992</v>
      </c>
      <c r="S19" s="7">
        <v>9734.8559999999998</v>
      </c>
      <c r="T19" s="7">
        <v>8129.24</v>
      </c>
      <c r="U19" s="7">
        <v>5014</v>
      </c>
      <c r="V19" s="7">
        <v>9549</v>
      </c>
      <c r="W19" s="7">
        <v>10517</v>
      </c>
      <c r="X19" s="7">
        <v>8719</v>
      </c>
      <c r="Y19" s="7">
        <v>7509</v>
      </c>
      <c r="Z19" s="7">
        <v>9072</v>
      </c>
      <c r="AA19" s="7">
        <v>9659</v>
      </c>
      <c r="AB19" s="7">
        <v>10825</v>
      </c>
      <c r="AC19" s="7">
        <v>14537</v>
      </c>
      <c r="AD19" s="7">
        <v>17253</v>
      </c>
      <c r="AE19" s="7">
        <v>14608</v>
      </c>
      <c r="AF19" s="7">
        <v>17202</v>
      </c>
      <c r="AG19" s="7">
        <v>23063</v>
      </c>
      <c r="AH19" s="7">
        <v>25785</v>
      </c>
      <c r="AI19" s="7">
        <f>SUM(AI16:AI18)</f>
        <v>26517</v>
      </c>
      <c r="AJ19" s="7">
        <f>SUM(AJ16:AJ18)</f>
        <v>27176</v>
      </c>
    </row>
    <row r="20" spans="2:36" s="2" customFormat="1" x14ac:dyDescent="0.25">
      <c r="B20" s="2" t="s">
        <v>8</v>
      </c>
      <c r="C20" s="13">
        <v>3503</v>
      </c>
      <c r="D20" s="13">
        <v>3493</v>
      </c>
      <c r="E20" s="13">
        <v>3573</v>
      </c>
      <c r="F20" s="13">
        <v>3710</v>
      </c>
      <c r="G20" s="13">
        <v>3670</v>
      </c>
      <c r="H20" s="13">
        <v>3615</v>
      </c>
      <c r="I20" s="13">
        <v>3740</v>
      </c>
      <c r="J20" s="13">
        <v>3535</v>
      </c>
      <c r="K20" s="13">
        <v>3577</v>
      </c>
      <c r="L20" s="13">
        <v>3963</v>
      </c>
      <c r="M20" s="13">
        <v>4529</v>
      </c>
      <c r="AE20" s="2">
        <v>8222</v>
      </c>
      <c r="AF20" s="2">
        <v>9510</v>
      </c>
      <c r="AG20" s="2">
        <v>12149</v>
      </c>
      <c r="AH20" s="2">
        <v>13792</v>
      </c>
      <c r="AI20" s="2">
        <v>14133</v>
      </c>
      <c r="AJ20" s="2">
        <v>14279</v>
      </c>
    </row>
    <row r="21" spans="2:36" s="2" customFormat="1" x14ac:dyDescent="0.25">
      <c r="B21" s="2" t="s">
        <v>9</v>
      </c>
      <c r="C21" s="13">
        <f>+C19-C20</f>
        <v>3204</v>
      </c>
      <c r="D21" s="2">
        <f>+D19-D20</f>
        <v>3153</v>
      </c>
      <c r="E21" s="13">
        <f>+E19-E20</f>
        <v>3205</v>
      </c>
      <c r="F21" s="2">
        <f>+F19-F20</f>
        <v>3335</v>
      </c>
      <c r="G21" s="13">
        <f>+G19-G20</f>
        <v>3496</v>
      </c>
      <c r="H21" s="2">
        <f>+H19-H20</f>
        <v>3485</v>
      </c>
      <c r="I21" s="13">
        <f>+I19-I20</f>
        <v>3562</v>
      </c>
      <c r="J21" s="13">
        <f>+J19-J20</f>
        <v>3265</v>
      </c>
      <c r="K21" s="13">
        <f>+K19-K20</f>
        <v>3435</v>
      </c>
      <c r="L21" s="13">
        <f t="shared" ref="L21:M21" si="3">+L19-L20</f>
        <v>3947</v>
      </c>
      <c r="M21" s="13">
        <f t="shared" si="3"/>
        <v>4586</v>
      </c>
      <c r="AE21" s="2">
        <f t="shared" ref="AE21:AJ21" si="4">+AE19-AE20</f>
        <v>6386</v>
      </c>
      <c r="AF21" s="2">
        <f t="shared" si="4"/>
        <v>7692</v>
      </c>
      <c r="AG21" s="2">
        <f t="shared" si="4"/>
        <v>10914</v>
      </c>
      <c r="AH21" s="2">
        <f t="shared" si="4"/>
        <v>11993</v>
      </c>
      <c r="AI21" s="2">
        <f t="shared" si="4"/>
        <v>12384</v>
      </c>
      <c r="AJ21" s="2">
        <f t="shared" si="4"/>
        <v>12897</v>
      </c>
    </row>
    <row r="22" spans="2:36" s="2" customFormat="1" x14ac:dyDescent="0.25">
      <c r="B22" s="2" t="s">
        <v>10</v>
      </c>
      <c r="C22" s="13">
        <v>754</v>
      </c>
      <c r="D22" s="13">
        <v>785</v>
      </c>
      <c r="E22" s="13">
        <v>836</v>
      </c>
      <c r="F22" s="13">
        <v>858</v>
      </c>
      <c r="G22" s="13">
        <v>859</v>
      </c>
      <c r="H22" s="13">
        <v>893</v>
      </c>
      <c r="I22" s="13">
        <v>901</v>
      </c>
      <c r="J22" s="13">
        <v>917</v>
      </c>
      <c r="K22" s="13">
        <v>928</v>
      </c>
      <c r="L22" s="13">
        <v>1027</v>
      </c>
      <c r="M22" s="13">
        <v>901</v>
      </c>
      <c r="AE22" s="2">
        <v>2054</v>
      </c>
      <c r="AF22" s="2">
        <v>2234</v>
      </c>
      <c r="AG22" s="2">
        <v>2485</v>
      </c>
      <c r="AH22" s="2">
        <v>2771</v>
      </c>
      <c r="AI22" s="2">
        <v>3102</v>
      </c>
      <c r="AJ22" s="2">
        <v>3233</v>
      </c>
    </row>
    <row r="23" spans="2:36" s="2" customFormat="1" x14ac:dyDescent="0.25">
      <c r="B23" s="2" t="s">
        <v>11</v>
      </c>
      <c r="C23" s="13">
        <v>207</v>
      </c>
      <c r="D23" s="13">
        <v>209</v>
      </c>
      <c r="E23" s="13">
        <v>205</v>
      </c>
      <c r="F23" s="13">
        <v>215</v>
      </c>
      <c r="G23" s="13">
        <v>206</v>
      </c>
      <c r="H23" s="13">
        <v>216</v>
      </c>
      <c r="I23" s="13">
        <v>224</v>
      </c>
      <c r="J23" s="13">
        <v>212</v>
      </c>
      <c r="K23" s="13">
        <v>222</v>
      </c>
      <c r="L23" s="13">
        <v>233</v>
      </c>
      <c r="M23" s="13">
        <v>224</v>
      </c>
      <c r="AE23" s="2">
        <v>521</v>
      </c>
      <c r="AF23" s="2">
        <v>526</v>
      </c>
      <c r="AG23" s="2">
        <v>609</v>
      </c>
      <c r="AH23" s="2">
        <v>703</v>
      </c>
      <c r="AI23" s="2">
        <v>776</v>
      </c>
      <c r="AJ23" s="2">
        <v>836</v>
      </c>
    </row>
    <row r="24" spans="2:36" s="2" customFormat="1" x14ac:dyDescent="0.25">
      <c r="B24" s="2" t="s">
        <v>12</v>
      </c>
      <c r="C24" s="13">
        <v>276</v>
      </c>
      <c r="D24" s="13">
        <v>247</v>
      </c>
      <c r="E24" s="13">
        <v>222</v>
      </c>
      <c r="F24" s="13">
        <v>216</v>
      </c>
      <c r="G24" s="13">
        <v>256</v>
      </c>
      <c r="H24" s="13">
        <v>207</v>
      </c>
      <c r="I24" s="13">
        <v>204</v>
      </c>
      <c r="J24" s="13">
        <v>243</v>
      </c>
      <c r="K24" s="13">
        <v>189</v>
      </c>
      <c r="L24" s="13">
        <v>164</v>
      </c>
      <c r="M24" s="13">
        <v>204</v>
      </c>
      <c r="AE24" s="2">
        <v>461</v>
      </c>
      <c r="AF24" s="2">
        <v>567</v>
      </c>
      <c r="AG24" s="2">
        <v>620</v>
      </c>
      <c r="AH24" s="2">
        <v>735</v>
      </c>
      <c r="AI24" s="2">
        <v>852</v>
      </c>
      <c r="AJ24" s="2">
        <v>961</v>
      </c>
    </row>
    <row r="25" spans="2:36" x14ac:dyDescent="0.25">
      <c r="B25" s="2" t="s">
        <v>16</v>
      </c>
      <c r="C25" s="13">
        <f t="shared" ref="C25:F25" si="5">SUM(C22:C24)</f>
        <v>1237</v>
      </c>
      <c r="D25" s="13">
        <f t="shared" si="5"/>
        <v>1241</v>
      </c>
      <c r="E25" s="13">
        <f>SUM(E22:E24)</f>
        <v>1263</v>
      </c>
      <c r="F25" s="13">
        <f t="shared" si="5"/>
        <v>1289</v>
      </c>
      <c r="G25" s="13">
        <f>SUM(G22:G24)</f>
        <v>1321</v>
      </c>
      <c r="H25" s="13">
        <f t="shared" ref="H25" si="6">SUM(H22:H24)</f>
        <v>1316</v>
      </c>
      <c r="I25" s="13">
        <f>SUM(I22:I24)</f>
        <v>1329</v>
      </c>
      <c r="J25" s="13">
        <f t="shared" ref="J25:K25" si="7">SUM(J22:J24)</f>
        <v>1372</v>
      </c>
      <c r="K25" s="13">
        <f t="shared" si="7"/>
        <v>1339</v>
      </c>
      <c r="L25" s="13">
        <f t="shared" ref="L25:M25" si="8">SUM(L22:L24)</f>
        <v>1424</v>
      </c>
      <c r="M25" s="13">
        <f t="shared" si="8"/>
        <v>1329</v>
      </c>
      <c r="AE25" s="2">
        <f t="shared" ref="AE25:AG25" si="9">SUM(AE22:AE24)</f>
        <v>3036</v>
      </c>
      <c r="AF25" s="2">
        <f t="shared" si="9"/>
        <v>3327</v>
      </c>
      <c r="AG25" s="2">
        <f t="shared" si="9"/>
        <v>3714</v>
      </c>
      <c r="AH25" s="2">
        <f>SUM(AH22:AH24)</f>
        <v>4209</v>
      </c>
      <c r="AI25" s="2">
        <f>SUM(AI22:AI24)</f>
        <v>4730</v>
      </c>
      <c r="AJ25" s="2">
        <f>SUM(AJ22:AJ24)</f>
        <v>5030</v>
      </c>
    </row>
    <row r="26" spans="2:36" x14ac:dyDescent="0.25">
      <c r="B26" s="2" t="s">
        <v>17</v>
      </c>
      <c r="C26" s="13">
        <f t="shared" ref="C26:F26" si="10">C21-C25</f>
        <v>1967</v>
      </c>
      <c r="D26" s="13">
        <f t="shared" si="10"/>
        <v>1912</v>
      </c>
      <c r="E26" s="13">
        <f>E21-E25</f>
        <v>1942</v>
      </c>
      <c r="F26" s="13">
        <f t="shared" si="10"/>
        <v>2046</v>
      </c>
      <c r="G26" s="13">
        <f>G21-G25</f>
        <v>2175</v>
      </c>
      <c r="H26" s="13">
        <f t="shared" ref="H26" si="11">H21-H25</f>
        <v>2169</v>
      </c>
      <c r="I26" s="13">
        <f>I21-I25</f>
        <v>2233</v>
      </c>
      <c r="J26" s="13">
        <f t="shared" ref="J26:K26" si="12">J21-J25</f>
        <v>1893</v>
      </c>
      <c r="K26" s="13">
        <f t="shared" si="12"/>
        <v>2096</v>
      </c>
      <c r="L26" s="13">
        <f t="shared" ref="L26:M26" si="13">L21-L25</f>
        <v>2523</v>
      </c>
      <c r="M26" s="13">
        <f t="shared" si="13"/>
        <v>3257</v>
      </c>
      <c r="AE26" s="2">
        <f t="shared" ref="AE26:AG26" si="14">AE21-AE25</f>
        <v>3350</v>
      </c>
      <c r="AF26" s="2">
        <f t="shared" si="14"/>
        <v>4365</v>
      </c>
      <c r="AG26" s="2">
        <f t="shared" si="14"/>
        <v>7200</v>
      </c>
      <c r="AH26" s="2">
        <f>AH21-AH25</f>
        <v>7784</v>
      </c>
      <c r="AI26" s="2">
        <f>AI21-AI25</f>
        <v>7654</v>
      </c>
      <c r="AJ26" s="2">
        <f>AJ21-AJ25</f>
        <v>7867</v>
      </c>
    </row>
    <row r="27" spans="2:36" x14ac:dyDescent="0.25">
      <c r="B27" s="2" t="s">
        <v>18</v>
      </c>
      <c r="C27" s="13">
        <v>-59</v>
      </c>
      <c r="D27" s="8">
        <v>-59</v>
      </c>
      <c r="E27" s="13">
        <v>-63</v>
      </c>
      <c r="F27" s="8">
        <v>-66</v>
      </c>
      <c r="G27" s="13">
        <v>-64</v>
      </c>
      <c r="H27" s="13">
        <v>-68</v>
      </c>
      <c r="I27" s="13">
        <v>-66</v>
      </c>
      <c r="J27" s="13">
        <v>-71</v>
      </c>
      <c r="K27" s="13">
        <v>-69</v>
      </c>
      <c r="L27" s="8">
        <v>-69</v>
      </c>
      <c r="M27" s="8">
        <v>-68</v>
      </c>
      <c r="AE27">
        <f>-237+156</f>
        <v>-81</v>
      </c>
      <c r="AF27">
        <f>-240+41</f>
        <v>-199</v>
      </c>
      <c r="AG27">
        <f>-236+118</f>
        <v>-118</v>
      </c>
      <c r="AH27" s="2">
        <f>-228+39</f>
        <v>-189</v>
      </c>
      <c r="AI27" s="2">
        <f>-238+300</f>
        <v>62</v>
      </c>
      <c r="AJ27" s="2">
        <f>-247+532</f>
        <v>285</v>
      </c>
    </row>
    <row r="28" spans="2:36" x14ac:dyDescent="0.25">
      <c r="B28" s="2" t="s">
        <v>19</v>
      </c>
      <c r="C28" s="13">
        <f t="shared" ref="C28:F28" si="15">+C26+C27</f>
        <v>1908</v>
      </c>
      <c r="D28" s="13">
        <f t="shared" si="15"/>
        <v>1853</v>
      </c>
      <c r="E28" s="13">
        <f>+E26+E27</f>
        <v>1879</v>
      </c>
      <c r="F28" s="13">
        <f t="shared" si="15"/>
        <v>1980</v>
      </c>
      <c r="G28" s="13">
        <f>+G26+G27</f>
        <v>2111</v>
      </c>
      <c r="H28" s="13">
        <f>+H26+H27</f>
        <v>2101</v>
      </c>
      <c r="I28" s="13">
        <f>+I26+I27</f>
        <v>2167</v>
      </c>
      <c r="J28" s="13">
        <f t="shared" ref="J28:M28" si="16">+J26+J27</f>
        <v>1822</v>
      </c>
      <c r="K28" s="13">
        <f t="shared" si="16"/>
        <v>2027</v>
      </c>
      <c r="L28" s="13">
        <f t="shared" si="16"/>
        <v>2454</v>
      </c>
      <c r="M28" s="13">
        <f t="shared" si="16"/>
        <v>3189</v>
      </c>
      <c r="AE28" s="2">
        <f t="shared" ref="AE28" si="17">+AE26+AE27</f>
        <v>3269</v>
      </c>
      <c r="AF28" s="2">
        <f t="shared" ref="AF28" si="18">+AF26+AF27</f>
        <v>4166</v>
      </c>
      <c r="AG28" s="2">
        <f t="shared" ref="AG28" si="19">+AG26+AG27</f>
        <v>7082</v>
      </c>
      <c r="AH28" s="2">
        <f t="shared" ref="AH28:AJ28" si="20">+AH26+AH27</f>
        <v>7595</v>
      </c>
      <c r="AI28" s="2">
        <f t="shared" si="20"/>
        <v>7716</v>
      </c>
      <c r="AJ28" s="2">
        <f t="shared" si="20"/>
        <v>8152</v>
      </c>
    </row>
    <row r="29" spans="2:36" s="2" customFormat="1" x14ac:dyDescent="0.25">
      <c r="B29" s="2" t="s">
        <v>20</v>
      </c>
      <c r="C29" s="13">
        <v>284</v>
      </c>
      <c r="D29" s="13">
        <v>272</v>
      </c>
      <c r="E29" s="13">
        <v>255</v>
      </c>
      <c r="F29" s="13">
        <v>164</v>
      </c>
      <c r="G29" s="13">
        <v>934</v>
      </c>
      <c r="H29" s="13">
        <v>185</v>
      </c>
      <c r="I29" s="13">
        <v>784</v>
      </c>
      <c r="J29" s="13">
        <v>370</v>
      </c>
      <c r="K29" s="13">
        <v>302</v>
      </c>
      <c r="L29" s="13">
        <v>419</v>
      </c>
      <c r="M29" s="13">
        <v>369</v>
      </c>
      <c r="AE29" s="2">
        <v>563</v>
      </c>
      <c r="AF29" s="2">
        <v>547</v>
      </c>
      <c r="AG29" s="2">
        <v>883</v>
      </c>
      <c r="AH29" s="2">
        <v>1074</v>
      </c>
      <c r="AI29" s="2">
        <v>860</v>
      </c>
      <c r="AJ29" s="2">
        <v>975</v>
      </c>
    </row>
    <row r="30" spans="2:36" x14ac:dyDescent="0.25">
      <c r="B30" s="2" t="s">
        <v>21</v>
      </c>
      <c r="C30" s="13">
        <f t="shared" ref="C30:F30" si="21">+C28-C29</f>
        <v>1624</v>
      </c>
      <c r="D30" s="13">
        <f t="shared" si="21"/>
        <v>1581</v>
      </c>
      <c r="E30" s="13">
        <f>+E28-E29</f>
        <v>1624</v>
      </c>
      <c r="F30" s="13">
        <f t="shared" si="21"/>
        <v>1816</v>
      </c>
      <c r="G30" s="13">
        <f>+G28-G29</f>
        <v>1177</v>
      </c>
      <c r="H30" s="13">
        <f>+H28-H29</f>
        <v>1916</v>
      </c>
      <c r="I30" s="13">
        <f>+I28-I29</f>
        <v>1383</v>
      </c>
      <c r="J30" s="13">
        <f t="shared" ref="J30:M30" si="22">+J28-J29</f>
        <v>1452</v>
      </c>
      <c r="K30" s="13">
        <f t="shared" si="22"/>
        <v>1725</v>
      </c>
      <c r="L30" s="13">
        <f t="shared" si="22"/>
        <v>2035</v>
      </c>
      <c r="M30" s="13">
        <f t="shared" si="22"/>
        <v>2820</v>
      </c>
      <c r="AE30" s="2">
        <f t="shared" ref="AE30" si="23">+AE28-AE29</f>
        <v>2706</v>
      </c>
      <c r="AF30" s="2">
        <f t="shared" ref="AF30" si="24">+AF28-AF29</f>
        <v>3619</v>
      </c>
      <c r="AG30" s="2">
        <f t="shared" ref="AG30" si="25">+AG28-AG29</f>
        <v>6199</v>
      </c>
      <c r="AH30" s="2">
        <f t="shared" ref="AH30:AJ30" si="26">+AH28-AH29</f>
        <v>6521</v>
      </c>
      <c r="AI30" s="2">
        <f t="shared" si="26"/>
        <v>6856</v>
      </c>
      <c r="AJ30" s="2">
        <f t="shared" si="26"/>
        <v>7177</v>
      </c>
    </row>
    <row r="31" spans="2:36" s="10" customFormat="1" ht="13" x14ac:dyDescent="0.3">
      <c r="B31" s="7" t="s">
        <v>22</v>
      </c>
      <c r="C31" s="17">
        <f>+C30/C32</f>
        <v>1.94026284348865</v>
      </c>
      <c r="D31" s="17">
        <f t="shared" ref="D31:G31" si="27">+D30/D32</f>
        <v>1.8911483253588517</v>
      </c>
      <c r="E31" s="17">
        <f t="shared" ref="E31" si="28">+E30/E32</f>
        <v>1.9495798319327731</v>
      </c>
      <c r="F31" s="17">
        <f t="shared" si="27"/>
        <v>2.1932367149758454</v>
      </c>
      <c r="G31" s="17">
        <f t="shared" si="27"/>
        <v>1.4371184371184371</v>
      </c>
      <c r="H31" s="17">
        <f t="shared" ref="H31:M31" si="29">+H30/H32</f>
        <v>2.3596059113300494</v>
      </c>
      <c r="I31" s="17">
        <f t="shared" si="29"/>
        <v>1.7244389027431422</v>
      </c>
      <c r="J31" s="17">
        <f t="shared" si="29"/>
        <v>1.8195488721804511</v>
      </c>
      <c r="K31" s="17">
        <f t="shared" si="29"/>
        <v>2.1589486858573217</v>
      </c>
      <c r="L31" s="17">
        <f t="shared" si="29"/>
        <v>2.5469336670838549</v>
      </c>
      <c r="M31" s="17">
        <f t="shared" si="29"/>
        <v>3.5249999999999999</v>
      </c>
      <c r="AE31" s="9">
        <f t="shared" ref="AE31:AG31" si="30">+AE30/AE32</f>
        <v>2.8634920634920635</v>
      </c>
      <c r="AF31" s="9">
        <f t="shared" si="30"/>
        <v>3.9209100758396533</v>
      </c>
      <c r="AG31" s="9">
        <f t="shared" si="30"/>
        <v>6.7453754080522303</v>
      </c>
      <c r="AH31" s="9">
        <f>+AH30/AH32</f>
        <v>7.4355758266818697</v>
      </c>
      <c r="AI31" s="9">
        <f>+AI30/AI32</f>
        <v>8.1136094674556212</v>
      </c>
      <c r="AJ31" s="9">
        <f>+AJ30/AJ32</f>
        <v>8.6055155875299754</v>
      </c>
    </row>
    <row r="32" spans="2:36" x14ac:dyDescent="0.25">
      <c r="B32" s="2" t="s">
        <v>1</v>
      </c>
      <c r="C32" s="13">
        <v>837</v>
      </c>
      <c r="D32" s="13">
        <v>836</v>
      </c>
      <c r="E32" s="13">
        <v>833</v>
      </c>
      <c r="F32" s="13">
        <v>828</v>
      </c>
      <c r="G32" s="13">
        <v>819</v>
      </c>
      <c r="H32" s="13">
        <v>812</v>
      </c>
      <c r="I32" s="13">
        <v>802</v>
      </c>
      <c r="J32" s="13">
        <v>798</v>
      </c>
      <c r="K32" s="13">
        <v>799</v>
      </c>
      <c r="L32" s="8">
        <v>799</v>
      </c>
      <c r="M32" s="8">
        <v>800</v>
      </c>
      <c r="AE32">
        <v>945</v>
      </c>
      <c r="AF32">
        <v>923</v>
      </c>
      <c r="AG32">
        <v>919</v>
      </c>
      <c r="AH32">
        <v>877</v>
      </c>
      <c r="AI32">
        <v>845</v>
      </c>
      <c r="AJ32">
        <v>834</v>
      </c>
    </row>
    <row r="34" spans="2:36" s="10" customFormat="1" ht="13" x14ac:dyDescent="0.3">
      <c r="B34" s="10" t="s">
        <v>13</v>
      </c>
      <c r="C34" s="15"/>
      <c r="D34" s="15"/>
      <c r="E34" s="15"/>
      <c r="F34" s="15"/>
      <c r="G34" s="18">
        <f>+G19/C19-1</f>
        <v>6.8435962427314756E-2</v>
      </c>
      <c r="H34" s="18">
        <f>+H19/D19-1</f>
        <v>6.831176647607573E-2</v>
      </c>
      <c r="I34" s="18">
        <f>+I19/E19-1</f>
        <v>7.730894069046923E-2</v>
      </c>
      <c r="J34" s="18">
        <f>+J19/F19-1</f>
        <v>-3.4776437189496079E-2</v>
      </c>
      <c r="K34" s="18">
        <f>+K19/G19-1</f>
        <v>-2.1490371197320668E-2</v>
      </c>
      <c r="L34" s="18">
        <f>+L19/H19-1</f>
        <v>0.11408450704225359</v>
      </c>
      <c r="M34" s="18">
        <f>+M19/I19-1</f>
        <v>0.2482881402355519</v>
      </c>
      <c r="S34" s="11">
        <f t="shared" ref="S34:Z34" si="31">+S19/R19-1</f>
        <v>6.1944052883523559E-2</v>
      </c>
      <c r="T34" s="11">
        <f t="shared" si="31"/>
        <v>-0.16493474582469425</v>
      </c>
      <c r="U34" s="11">
        <f t="shared" si="31"/>
        <v>-0.38321417500282928</v>
      </c>
      <c r="V34" s="11">
        <f t="shared" si="31"/>
        <v>0.90446749102512958</v>
      </c>
      <c r="W34" s="11">
        <f t="shared" si="31"/>
        <v>0.10137187140014658</v>
      </c>
      <c r="X34" s="11">
        <f t="shared" si="31"/>
        <v>-0.17096130075116478</v>
      </c>
      <c r="Y34" s="11">
        <f t="shared" si="31"/>
        <v>-0.13877738272737694</v>
      </c>
      <c r="Z34" s="11">
        <f t="shared" si="31"/>
        <v>0.20815021973631631</v>
      </c>
      <c r="AA34" s="11">
        <f t="shared" ref="AA34:AE34" si="32">+AA19/Z19-1</f>
        <v>6.4704585537918913E-2</v>
      </c>
      <c r="AB34" s="11">
        <f t="shared" si="32"/>
        <v>0.12071643027228496</v>
      </c>
      <c r="AC34" s="11">
        <f t="shared" si="32"/>
        <v>0.34290993071593534</v>
      </c>
      <c r="AD34" s="11">
        <f t="shared" si="32"/>
        <v>0.18683359702827262</v>
      </c>
      <c r="AE34" s="11">
        <f t="shared" si="32"/>
        <v>-0.15330667130354136</v>
      </c>
      <c r="AF34" s="11">
        <f t="shared" ref="AF34:AH34" si="33">+AF19/AE19-1</f>
        <v>0.17757393209200445</v>
      </c>
      <c r="AG34" s="11">
        <f t="shared" si="33"/>
        <v>0.34071619579118706</v>
      </c>
      <c r="AH34" s="11">
        <f t="shared" si="33"/>
        <v>0.11802454147335562</v>
      </c>
      <c r="AI34" s="3">
        <f>+AI19/AH19-1</f>
        <v>2.8388598022105915E-2</v>
      </c>
      <c r="AJ34" s="3">
        <f>+AJ19/AI19-1</f>
        <v>2.4851981747558094E-2</v>
      </c>
    </row>
    <row r="35" spans="2:36" x14ac:dyDescent="0.25">
      <c r="B35" s="2" t="s">
        <v>60</v>
      </c>
      <c r="G35" s="16"/>
      <c r="H35" s="16"/>
      <c r="I35" s="16"/>
      <c r="J35" s="16"/>
      <c r="AJ35" s="3">
        <f>+AJ16/AI16-1</f>
        <v>1.0813280536094982E-2</v>
      </c>
    </row>
    <row r="36" spans="2:36" x14ac:dyDescent="0.25">
      <c r="B36" t="s">
        <v>14</v>
      </c>
      <c r="C36" s="16">
        <f t="shared" ref="C36:G36" si="34">+C21/C19</f>
        <v>0.47770985537498134</v>
      </c>
      <c r="D36" s="16">
        <f t="shared" si="34"/>
        <v>0.47442070418296722</v>
      </c>
      <c r="E36" s="16">
        <f t="shared" si="34"/>
        <v>0.47285334907052229</v>
      </c>
      <c r="F36" s="16">
        <f t="shared" si="34"/>
        <v>0.47338537970191624</v>
      </c>
      <c r="G36" s="16">
        <f>+G21/G19</f>
        <v>0.487859335752163</v>
      </c>
      <c r="H36" s="16">
        <f>+H21/H19</f>
        <v>0.49084507042253522</v>
      </c>
      <c r="I36" s="16">
        <f>+I21/I19</f>
        <v>0.48781155847712954</v>
      </c>
      <c r="J36" s="16">
        <f t="shared" ref="J36:M36" si="35">+J21/J19</f>
        <v>0.48014705882352943</v>
      </c>
      <c r="K36" s="16">
        <f t="shared" si="35"/>
        <v>0.48987450085567597</v>
      </c>
      <c r="L36" s="16">
        <f t="shared" si="35"/>
        <v>0.49898862199747157</v>
      </c>
      <c r="M36" s="16">
        <f t="shared" si="35"/>
        <v>0.50312671420735056</v>
      </c>
      <c r="N36" s="3"/>
      <c r="O36" s="3"/>
      <c r="Z36" s="3">
        <f t="shared" ref="Z36:AD36" si="36">+Z21/Z19</f>
        <v>0</v>
      </c>
      <c r="AA36" s="3">
        <f t="shared" si="36"/>
        <v>0</v>
      </c>
      <c r="AB36" s="3">
        <f t="shared" si="36"/>
        <v>0</v>
      </c>
      <c r="AC36" s="3">
        <f t="shared" si="36"/>
        <v>0</v>
      </c>
      <c r="AD36" s="3">
        <f t="shared" si="36"/>
        <v>0</v>
      </c>
      <c r="AE36" s="3">
        <f t="shared" ref="AE36:AG36" si="37">+AE21/AE19</f>
        <v>0.43715772179627599</v>
      </c>
      <c r="AF36" s="3">
        <f t="shared" si="37"/>
        <v>0.44715730728985004</v>
      </c>
      <c r="AG36" s="3">
        <f t="shared" si="37"/>
        <v>0.47322551272601138</v>
      </c>
      <c r="AH36" s="3">
        <f>+AH21/AH19</f>
        <v>0.46511537715726198</v>
      </c>
      <c r="AI36" s="3">
        <f>+AI21/AI19</f>
        <v>0.46702115623939361</v>
      </c>
      <c r="AJ36" s="3">
        <f>+AJ21/AJ19</f>
        <v>0.47457315278186635</v>
      </c>
    </row>
    <row r="37" spans="2:36" x14ac:dyDescent="0.25">
      <c r="B37" t="s">
        <v>15</v>
      </c>
      <c r="C37" s="16">
        <f t="shared" ref="C37:G37" si="38">+C26/C19</f>
        <v>0.29327568212315491</v>
      </c>
      <c r="D37" s="16">
        <f t="shared" si="38"/>
        <v>0.28769184471862774</v>
      </c>
      <c r="E37" s="16">
        <f t="shared" si="38"/>
        <v>0.28651519622307464</v>
      </c>
      <c r="F37" s="16">
        <f t="shared" si="38"/>
        <v>0.29041873669268986</v>
      </c>
      <c r="G37" s="16">
        <f>+G26/G19</f>
        <v>0.30351660619592519</v>
      </c>
      <c r="H37" s="16">
        <f>+H26/H19</f>
        <v>0.30549295774647889</v>
      </c>
      <c r="I37" s="16">
        <f>+I26/I19</f>
        <v>0.30580662832100797</v>
      </c>
      <c r="J37" s="16">
        <f t="shared" ref="J37:M37" si="39">+J26/J19</f>
        <v>0.27838235294117647</v>
      </c>
      <c r="K37" s="16">
        <f t="shared" si="39"/>
        <v>0.29891614375356534</v>
      </c>
      <c r="L37" s="16">
        <f t="shared" si="39"/>
        <v>0.31896333754740835</v>
      </c>
      <c r="M37" s="16">
        <f t="shared" si="39"/>
        <v>0.35732309380142624</v>
      </c>
      <c r="N37" s="3"/>
      <c r="O37" s="3"/>
      <c r="Z37" s="3">
        <f t="shared" ref="Z37:AD37" si="40">+Z26/Z19</f>
        <v>0</v>
      </c>
      <c r="AA37" s="3">
        <f t="shared" si="40"/>
        <v>0</v>
      </c>
      <c r="AB37" s="3">
        <f t="shared" si="40"/>
        <v>0</v>
      </c>
      <c r="AC37" s="3">
        <f t="shared" si="40"/>
        <v>0</v>
      </c>
      <c r="AD37" s="3">
        <f t="shared" si="40"/>
        <v>0</v>
      </c>
      <c r="AE37" s="3">
        <f t="shared" ref="AE37:AG37" si="41">+AE26/AE19</f>
        <v>0.22932639649507119</v>
      </c>
      <c r="AF37" s="3">
        <f t="shared" si="41"/>
        <v>0.25374956400418558</v>
      </c>
      <c r="AG37" s="3">
        <f t="shared" si="41"/>
        <v>0.3121883536400295</v>
      </c>
      <c r="AH37" s="3">
        <f>+AH26/AH19</f>
        <v>0.30188093853015319</v>
      </c>
      <c r="AI37" s="3">
        <f>+AI26/AI19</f>
        <v>0.28864502017573634</v>
      </c>
      <c r="AJ37" s="3">
        <f>+AJ26/AJ19</f>
        <v>0.28948336767736238</v>
      </c>
    </row>
    <row r="39" spans="2:36" x14ac:dyDescent="0.25">
      <c r="B39" t="s">
        <v>73</v>
      </c>
      <c r="F39" s="13">
        <f t="shared" ref="F39:K39" si="42">+F40-F49</f>
        <v>12258</v>
      </c>
      <c r="G39" s="13">
        <f t="shared" si="42"/>
        <v>4639</v>
      </c>
      <c r="H39" s="13">
        <f t="shared" si="42"/>
        <v>0</v>
      </c>
      <c r="I39" s="13">
        <f t="shared" si="42"/>
        <v>4885</v>
      </c>
      <c r="J39" s="13">
        <f t="shared" si="42"/>
        <v>0</v>
      </c>
      <c r="K39" s="13">
        <f t="shared" si="42"/>
        <v>6926</v>
      </c>
    </row>
    <row r="40" spans="2:36" s="2" customFormat="1" x14ac:dyDescent="0.25">
      <c r="B40" s="2" t="s">
        <v>3</v>
      </c>
      <c r="C40" s="13"/>
      <c r="D40" s="13"/>
      <c r="E40" s="13"/>
      <c r="F40" s="13">
        <f>8022+1449+2787</f>
        <v>12258</v>
      </c>
      <c r="G40" s="13">
        <f>6264+1949+2686</f>
        <v>10899</v>
      </c>
      <c r="H40" s="13"/>
      <c r="I40" s="13">
        <f>5384+1630+4133</f>
        <v>11147</v>
      </c>
      <c r="J40" s="13"/>
      <c r="K40" s="13">
        <f>7218+1293+4968</f>
        <v>13479</v>
      </c>
      <c r="L40" s="13"/>
      <c r="M40" s="13"/>
    </row>
    <row r="41" spans="2:36" s="2" customFormat="1" x14ac:dyDescent="0.25">
      <c r="B41" s="2" t="s">
        <v>24</v>
      </c>
      <c r="C41" s="13"/>
      <c r="D41" s="13"/>
      <c r="E41" s="13"/>
      <c r="F41" s="13">
        <v>5234</v>
      </c>
      <c r="G41" s="13">
        <v>5998</v>
      </c>
      <c r="H41" s="13"/>
      <c r="I41" s="13">
        <v>5772</v>
      </c>
      <c r="J41" s="13"/>
      <c r="K41" s="13">
        <v>4977</v>
      </c>
      <c r="L41" s="13"/>
      <c r="M41" s="13"/>
    </row>
    <row r="42" spans="2:36" s="2" customFormat="1" x14ac:dyDescent="0.25">
      <c r="B42" s="2" t="s">
        <v>25</v>
      </c>
      <c r="C42" s="13"/>
      <c r="D42" s="13"/>
      <c r="E42" s="13"/>
      <c r="F42" s="13">
        <v>5421</v>
      </c>
      <c r="G42" s="13">
        <v>5501</v>
      </c>
      <c r="H42" s="13"/>
      <c r="I42" s="13">
        <v>5807</v>
      </c>
      <c r="J42" s="13"/>
      <c r="K42" s="13">
        <v>5997</v>
      </c>
      <c r="L42" s="13"/>
      <c r="M42" s="13"/>
    </row>
    <row r="43" spans="2:36" s="2" customFormat="1" x14ac:dyDescent="0.25">
      <c r="B43" s="2" t="s">
        <v>26</v>
      </c>
      <c r="C43" s="13"/>
      <c r="D43" s="13"/>
      <c r="E43" s="13"/>
      <c r="F43" s="13">
        <v>1094</v>
      </c>
      <c r="G43" s="13">
        <v>982</v>
      </c>
      <c r="H43" s="13"/>
      <c r="I43" s="13">
        <v>1125</v>
      </c>
      <c r="J43" s="13"/>
      <c r="K43" s="13">
        <v>1564</v>
      </c>
      <c r="L43" s="13"/>
      <c r="M43" s="13"/>
    </row>
    <row r="44" spans="2:36" s="7" customFormat="1" ht="13" x14ac:dyDescent="0.3">
      <c r="B44" s="7" t="s">
        <v>23</v>
      </c>
      <c r="C44" s="14"/>
      <c r="D44" s="14"/>
      <c r="E44" s="14"/>
      <c r="F44" s="14">
        <v>3563</v>
      </c>
      <c r="G44" s="14">
        <v>3563</v>
      </c>
      <c r="H44" s="14"/>
      <c r="I44" s="14">
        <v>4124</v>
      </c>
      <c r="J44" s="14"/>
      <c r="K44" s="14">
        <v>4949</v>
      </c>
      <c r="L44" s="14"/>
      <c r="M44" s="14"/>
    </row>
    <row r="45" spans="2:36" s="2" customFormat="1" x14ac:dyDescent="0.25">
      <c r="B45" s="2" t="s">
        <v>27</v>
      </c>
      <c r="C45" s="13"/>
      <c r="D45" s="13"/>
      <c r="E45" s="13"/>
      <c r="F45" s="13">
        <f>3768+237</f>
        <v>4005</v>
      </c>
      <c r="G45" s="13">
        <f>3768+237</f>
        <v>4005</v>
      </c>
      <c r="H45" s="13"/>
      <c r="I45" s="13">
        <f>3748+238</f>
        <v>3986</v>
      </c>
      <c r="J45" s="13"/>
      <c r="K45" s="13">
        <f>3707+215</f>
        <v>3922</v>
      </c>
      <c r="L45" s="13"/>
      <c r="M45" s="13"/>
    </row>
    <row r="46" spans="2:36" s="2" customFormat="1" x14ac:dyDescent="0.25">
      <c r="B46" s="2" t="s">
        <v>28</v>
      </c>
      <c r="C46" s="13"/>
      <c r="D46" s="13"/>
      <c r="E46" s="13"/>
      <c r="F46" s="13">
        <v>2390</v>
      </c>
      <c r="G46" s="13">
        <v>2390</v>
      </c>
      <c r="H46" s="13"/>
      <c r="I46" s="13">
        <v>2250</v>
      </c>
      <c r="J46" s="13"/>
      <c r="K46" s="13">
        <v>2756</v>
      </c>
      <c r="L46" s="13"/>
      <c r="M46" s="13"/>
    </row>
    <row r="47" spans="2:36" s="2" customFormat="1" x14ac:dyDescent="0.25">
      <c r="B47" s="2" t="s">
        <v>29</v>
      </c>
      <c r="C47" s="13"/>
      <c r="D47" s="13"/>
      <c r="E47" s="13"/>
      <c r="F47" s="13">
        <f t="shared" ref="F47:K47" si="43">SUM(F40:F46)</f>
        <v>33965</v>
      </c>
      <c r="G47" s="13">
        <f t="shared" si="43"/>
        <v>33338</v>
      </c>
      <c r="H47" s="13">
        <f t="shared" si="43"/>
        <v>0</v>
      </c>
      <c r="I47" s="13">
        <f t="shared" si="43"/>
        <v>34211</v>
      </c>
      <c r="J47" s="13">
        <f t="shared" si="43"/>
        <v>0</v>
      </c>
      <c r="K47" s="13">
        <f t="shared" si="43"/>
        <v>37644</v>
      </c>
      <c r="L47" s="13"/>
      <c r="M47" s="13"/>
    </row>
    <row r="49" spans="2:36" s="2" customFormat="1" x14ac:dyDescent="0.25">
      <c r="B49" s="2" t="s">
        <v>4</v>
      </c>
      <c r="C49" s="13"/>
      <c r="D49" s="13"/>
      <c r="E49" s="13"/>
      <c r="F49" s="13"/>
      <c r="G49" s="13">
        <f>799+5461</f>
        <v>6260</v>
      </c>
      <c r="H49" s="13"/>
      <c r="I49" s="13">
        <f>5463+799</f>
        <v>6262</v>
      </c>
      <c r="J49" s="13"/>
      <c r="K49" s="13">
        <v>6553</v>
      </c>
      <c r="L49" s="13"/>
      <c r="M49" s="13"/>
    </row>
    <row r="50" spans="2:36" s="2" customFormat="1" x14ac:dyDescent="0.25">
      <c r="B50" s="2" t="s">
        <v>30</v>
      </c>
      <c r="C50" s="13"/>
      <c r="D50" s="13"/>
      <c r="E50" s="13"/>
      <c r="F50" s="13"/>
      <c r="G50" s="13">
        <v>4485</v>
      </c>
      <c r="H50" s="13"/>
      <c r="I50" s="13">
        <v>4614</v>
      </c>
      <c r="J50" s="13"/>
      <c r="K50" s="13">
        <v>5181</v>
      </c>
      <c r="L50" s="13"/>
      <c r="M50" s="13"/>
    </row>
    <row r="51" spans="2:36" s="2" customFormat="1" x14ac:dyDescent="0.25">
      <c r="B51" s="2" t="s">
        <v>31</v>
      </c>
      <c r="C51" s="13"/>
      <c r="D51" s="13"/>
      <c r="E51" s="13"/>
      <c r="F51" s="13"/>
      <c r="G51" s="13">
        <v>2452</v>
      </c>
      <c r="H51" s="13"/>
      <c r="I51" s="13">
        <v>2470</v>
      </c>
      <c r="J51" s="13"/>
      <c r="K51" s="13">
        <v>2472</v>
      </c>
      <c r="L51" s="13"/>
      <c r="M51" s="13"/>
    </row>
    <row r="52" spans="2:36" s="2" customFormat="1" x14ac:dyDescent="0.25">
      <c r="B52" s="2" t="s">
        <v>20</v>
      </c>
      <c r="C52" s="13"/>
      <c r="D52" s="13"/>
      <c r="E52" s="13"/>
      <c r="F52" s="13"/>
      <c r="G52" s="13">
        <v>684</v>
      </c>
      <c r="H52" s="13"/>
      <c r="I52" s="13">
        <v>330</v>
      </c>
      <c r="J52" s="13"/>
      <c r="K52" s="13">
        <v>507</v>
      </c>
      <c r="L52" s="13"/>
      <c r="M52" s="13"/>
    </row>
    <row r="53" spans="2:36" s="2" customFormat="1" x14ac:dyDescent="0.25">
      <c r="B53" s="2" t="s">
        <v>34</v>
      </c>
      <c r="C53" s="13"/>
      <c r="D53" s="13"/>
      <c r="E53" s="13"/>
      <c r="F53" s="13"/>
      <c r="G53" s="13">
        <v>832</v>
      </c>
      <c r="H53" s="13"/>
      <c r="I53" s="13">
        <v>1031</v>
      </c>
      <c r="J53" s="13"/>
      <c r="K53" s="13">
        <v>1214</v>
      </c>
      <c r="L53" s="13"/>
      <c r="M53" s="13"/>
    </row>
    <row r="54" spans="2:36" s="2" customFormat="1" x14ac:dyDescent="0.25">
      <c r="B54" s="2" t="s">
        <v>32</v>
      </c>
      <c r="C54" s="13"/>
      <c r="D54" s="13"/>
      <c r="E54" s="13"/>
      <c r="F54" s="13"/>
      <c r="G54" s="13">
        <v>18625</v>
      </c>
      <c r="H54" s="13"/>
      <c r="I54" s="13">
        <v>19504</v>
      </c>
      <c r="J54" s="13"/>
      <c r="K54" s="13">
        <v>21717</v>
      </c>
      <c r="L54" s="13"/>
      <c r="M54" s="13"/>
    </row>
    <row r="55" spans="2:36" s="2" customFormat="1" x14ac:dyDescent="0.25">
      <c r="B55" s="2" t="s">
        <v>33</v>
      </c>
      <c r="C55" s="13"/>
      <c r="D55" s="13"/>
      <c r="E55" s="13"/>
      <c r="F55" s="13"/>
      <c r="G55" s="13">
        <f>SUM(G49:G54)</f>
        <v>33338</v>
      </c>
      <c r="H55" s="13">
        <f>SUM(H49:H54)</f>
        <v>0</v>
      </c>
      <c r="I55" s="13">
        <f>SUM(I49:I54)</f>
        <v>34211</v>
      </c>
      <c r="J55" s="13">
        <f>SUM(J49:J54)</f>
        <v>0</v>
      </c>
      <c r="K55" s="13">
        <f>SUM(K49:K54)</f>
        <v>37644</v>
      </c>
      <c r="L55" s="13"/>
      <c r="M55" s="13"/>
    </row>
    <row r="57" spans="2:36" s="2" customFormat="1" x14ac:dyDescent="0.25">
      <c r="B57" s="2" t="s">
        <v>38</v>
      </c>
      <c r="C57" s="13"/>
      <c r="D57" s="13"/>
      <c r="E57" s="13"/>
      <c r="F57" s="13"/>
      <c r="G57" s="13">
        <f>+G30</f>
        <v>1177</v>
      </c>
      <c r="H57" s="13">
        <f>+H30</f>
        <v>1916</v>
      </c>
      <c r="I57" s="13">
        <f>+I30</f>
        <v>1383</v>
      </c>
      <c r="J57" s="13">
        <f>+J30</f>
        <v>1452</v>
      </c>
      <c r="K57" s="13">
        <f>+K30</f>
        <v>1725</v>
      </c>
      <c r="L57" s="13"/>
      <c r="M57" s="13"/>
      <c r="AB57" s="2">
        <f t="shared" ref="AB57:AD57" si="44">+AB30</f>
        <v>0</v>
      </c>
      <c r="AC57" s="2">
        <f t="shared" si="44"/>
        <v>0</v>
      </c>
      <c r="AD57" s="2">
        <f t="shared" si="44"/>
        <v>0</v>
      </c>
      <c r="AE57" s="2">
        <f t="shared" ref="AE57:AJ57" si="45">+AE30</f>
        <v>2706</v>
      </c>
      <c r="AF57" s="2">
        <f t="shared" si="45"/>
        <v>3619</v>
      </c>
      <c r="AG57" s="2">
        <f t="shared" si="45"/>
        <v>6199</v>
      </c>
      <c r="AH57" s="2">
        <f t="shared" si="45"/>
        <v>6521</v>
      </c>
      <c r="AI57" s="2">
        <f t="shared" si="45"/>
        <v>6856</v>
      </c>
      <c r="AJ57" s="2">
        <f t="shared" si="45"/>
        <v>7177</v>
      </c>
    </row>
    <row r="58" spans="2:36" s="2" customFormat="1" x14ac:dyDescent="0.25">
      <c r="B58" s="2" t="s">
        <v>37</v>
      </c>
      <c r="C58" s="13"/>
      <c r="D58" s="13"/>
      <c r="E58" s="13"/>
      <c r="F58" s="13"/>
      <c r="G58" s="13">
        <v>1185</v>
      </c>
      <c r="H58" s="13"/>
      <c r="I58" s="13"/>
      <c r="J58" s="13"/>
      <c r="K58" s="13">
        <v>2026</v>
      </c>
      <c r="L58" s="13"/>
      <c r="M58" s="13"/>
      <c r="AH58" s="2">
        <v>6525</v>
      </c>
      <c r="AI58" s="2">
        <v>6856</v>
      </c>
      <c r="AJ58" s="2">
        <v>7177</v>
      </c>
    </row>
    <row r="59" spans="2:36" s="2" customFormat="1" x14ac:dyDescent="0.25">
      <c r="B59" s="2" t="s">
        <v>39</v>
      </c>
      <c r="C59" s="13"/>
      <c r="D59" s="13"/>
      <c r="E59" s="13"/>
      <c r="F59" s="13"/>
      <c r="G59" s="13">
        <v>105</v>
      </c>
      <c r="H59" s="13"/>
      <c r="I59" s="13"/>
      <c r="J59" s="13"/>
      <c r="K59" s="13">
        <v>127</v>
      </c>
      <c r="L59" s="13"/>
      <c r="M59" s="13"/>
    </row>
    <row r="60" spans="2:36" s="2" customFormat="1" x14ac:dyDescent="0.25">
      <c r="B60" s="2" t="s">
        <v>40</v>
      </c>
      <c r="C60" s="13"/>
      <c r="D60" s="13"/>
      <c r="E60" s="13"/>
      <c r="F60" s="13"/>
      <c r="G60" s="13">
        <v>195</v>
      </c>
      <c r="H60" s="13"/>
      <c r="I60" s="13"/>
      <c r="J60" s="13"/>
      <c r="K60" s="13">
        <v>207</v>
      </c>
      <c r="L60" s="13"/>
      <c r="M60" s="13"/>
    </row>
    <row r="61" spans="2:36" s="2" customFormat="1" x14ac:dyDescent="0.25">
      <c r="B61" s="2" t="s">
        <v>28</v>
      </c>
      <c r="C61" s="13"/>
      <c r="D61" s="13"/>
      <c r="E61" s="13"/>
      <c r="F61" s="13"/>
      <c r="G61" s="13">
        <v>668</v>
      </c>
      <c r="H61" s="13"/>
      <c r="I61" s="13"/>
      <c r="J61" s="13"/>
      <c r="K61" s="13">
        <v>-78</v>
      </c>
      <c r="L61" s="13"/>
      <c r="M61" s="13"/>
    </row>
    <row r="62" spans="2:36" s="2" customFormat="1" x14ac:dyDescent="0.25">
      <c r="B62" s="2" t="s">
        <v>34</v>
      </c>
      <c r="C62" s="13"/>
      <c r="D62" s="13"/>
      <c r="E62" s="13"/>
      <c r="F62" s="13"/>
      <c r="G62" s="13">
        <v>95</v>
      </c>
      <c r="H62" s="13"/>
      <c r="I62" s="13"/>
      <c r="J62" s="13"/>
      <c r="K62" s="13">
        <f>-1+12+253-466</f>
        <v>-202</v>
      </c>
      <c r="L62" s="13"/>
      <c r="M62" s="13"/>
    </row>
    <row r="63" spans="2:36" s="2" customFormat="1" x14ac:dyDescent="0.25">
      <c r="B63" s="2" t="s">
        <v>36</v>
      </c>
      <c r="C63" s="13"/>
      <c r="D63" s="13"/>
      <c r="E63" s="13"/>
      <c r="F63" s="13"/>
      <c r="G63" s="13">
        <f>-764-80+115-429-397+200+32</f>
        <v>-1323</v>
      </c>
      <c r="H63" s="13"/>
      <c r="I63" s="13"/>
      <c r="J63" s="13"/>
      <c r="K63" s="13">
        <f>208-82-154-760-94+481+7</f>
        <v>-394</v>
      </c>
      <c r="L63" s="13"/>
      <c r="M63" s="13"/>
    </row>
    <row r="64" spans="2:36" s="2" customFormat="1" x14ac:dyDescent="0.25">
      <c r="B64" s="2" t="s">
        <v>35</v>
      </c>
      <c r="C64" s="13"/>
      <c r="D64" s="13"/>
      <c r="E64" s="13"/>
      <c r="F64" s="13"/>
      <c r="G64" s="13">
        <f>SUM(G58:G63)</f>
        <v>925</v>
      </c>
      <c r="H64" s="13"/>
      <c r="I64" s="13"/>
      <c r="J64" s="13"/>
      <c r="K64" s="13">
        <f>SUM(K58:K63)</f>
        <v>1686</v>
      </c>
      <c r="L64" s="13"/>
      <c r="M64" s="13"/>
      <c r="R64" s="2">
        <v>1977.1179999999999</v>
      </c>
      <c r="S64" s="2">
        <v>2209.2959999999998</v>
      </c>
      <c r="T64" s="2">
        <v>1710.4680000000001</v>
      </c>
      <c r="U64" s="2">
        <v>332.66500000000002</v>
      </c>
      <c r="V64" s="2">
        <v>1722.8530000000001</v>
      </c>
      <c r="AB64" s="2">
        <v>2566</v>
      </c>
      <c r="AC64" s="2">
        <v>3789</v>
      </c>
      <c r="AD64" s="2">
        <v>3787</v>
      </c>
      <c r="AE64" s="2">
        <v>3247</v>
      </c>
      <c r="AF64" s="2">
        <v>3804</v>
      </c>
      <c r="AG64" s="2">
        <v>5442</v>
      </c>
      <c r="AH64" s="2">
        <v>5399</v>
      </c>
      <c r="AI64" s="2">
        <v>8700</v>
      </c>
      <c r="AJ64" s="2">
        <v>8677</v>
      </c>
    </row>
    <row r="65" spans="2:36" x14ac:dyDescent="0.25">
      <c r="AI65" s="2"/>
      <c r="AJ65" s="2"/>
    </row>
    <row r="66" spans="2:36" s="2" customFormat="1" ht="13" x14ac:dyDescent="0.3">
      <c r="B66" s="2" t="s">
        <v>42</v>
      </c>
      <c r="C66" s="13"/>
      <c r="D66" s="13"/>
      <c r="E66" s="13"/>
      <c r="F66" s="13"/>
      <c r="G66" s="14">
        <v>-381</v>
      </c>
      <c r="H66" s="14"/>
      <c r="I66" s="14"/>
      <c r="J66" s="14"/>
      <c r="K66" s="13">
        <v>-646</v>
      </c>
      <c r="L66" s="13"/>
      <c r="M66" s="13"/>
      <c r="R66" s="2">
        <v>-179.482</v>
      </c>
      <c r="S66" s="2">
        <v>-264.78399999999999</v>
      </c>
      <c r="T66" s="2">
        <v>-287.90600000000001</v>
      </c>
      <c r="U66" s="2">
        <v>-248.42699999999999</v>
      </c>
      <c r="V66" s="2">
        <v>-169.08099999999999</v>
      </c>
      <c r="AB66" s="2">
        <v>-253</v>
      </c>
      <c r="AC66" s="2">
        <v>-345</v>
      </c>
      <c r="AD66" s="2">
        <v>-622</v>
      </c>
      <c r="AE66" s="2">
        <v>-441</v>
      </c>
      <c r="AF66" s="2">
        <v>-422</v>
      </c>
      <c r="AG66" s="2">
        <v>-668</v>
      </c>
      <c r="AH66" s="2">
        <v>-787</v>
      </c>
      <c r="AI66" s="2">
        <v>-1106</v>
      </c>
      <c r="AJ66" s="2">
        <v>-1190</v>
      </c>
    </row>
    <row r="67" spans="2:36" x14ac:dyDescent="0.25">
      <c r="B67" s="2" t="s">
        <v>43</v>
      </c>
      <c r="G67" s="8">
        <v>-28</v>
      </c>
      <c r="K67" s="8">
        <v>0</v>
      </c>
    </row>
    <row r="68" spans="2:36" x14ac:dyDescent="0.25">
      <c r="B68" s="2" t="s">
        <v>44</v>
      </c>
      <c r="G68" s="8">
        <f>1223-1711</f>
        <v>-488</v>
      </c>
      <c r="K68" s="8">
        <f>1143-1277</f>
        <v>-134</v>
      </c>
    </row>
    <row r="69" spans="2:36" x14ac:dyDescent="0.25">
      <c r="B69" t="s">
        <v>41</v>
      </c>
      <c r="G69" s="8">
        <f>SUM(G66:G68)</f>
        <v>-897</v>
      </c>
      <c r="K69" s="8">
        <f>SUM(K66:K68)</f>
        <v>-780</v>
      </c>
    </row>
    <row r="71" spans="2:36" s="2" customFormat="1" x14ac:dyDescent="0.25">
      <c r="B71" s="2" t="s">
        <v>45</v>
      </c>
      <c r="C71" s="13"/>
      <c r="D71" s="13"/>
      <c r="E71" s="13"/>
      <c r="F71" s="13"/>
      <c r="G71" s="13">
        <v>-1318</v>
      </c>
      <c r="H71" s="13"/>
      <c r="I71" s="13"/>
      <c r="J71" s="13"/>
      <c r="K71" s="13">
        <v>-337</v>
      </c>
      <c r="L71" s="13"/>
      <c r="M71" s="13"/>
    </row>
    <row r="72" spans="2:36" s="2" customFormat="1" x14ac:dyDescent="0.25">
      <c r="B72" s="2" t="s">
        <v>47</v>
      </c>
      <c r="C72" s="13"/>
      <c r="D72" s="13"/>
      <c r="E72" s="13"/>
      <c r="F72" s="13"/>
      <c r="G72" s="13">
        <v>-142</v>
      </c>
      <c r="H72" s="13"/>
      <c r="I72" s="13"/>
      <c r="J72" s="13"/>
      <c r="K72" s="13">
        <v>-229</v>
      </c>
      <c r="L72" s="13"/>
      <c r="M72" s="13"/>
    </row>
    <row r="73" spans="2:36" s="2" customFormat="1" x14ac:dyDescent="0.25">
      <c r="B73" s="2" t="s">
        <v>48</v>
      </c>
      <c r="C73" s="13"/>
      <c r="D73" s="13"/>
      <c r="E73" s="13"/>
      <c r="F73" s="13"/>
      <c r="G73" s="13">
        <v>-326</v>
      </c>
      <c r="H73" s="13"/>
      <c r="I73" s="13"/>
      <c r="J73" s="13"/>
      <c r="K73" s="13">
        <v>-365</v>
      </c>
      <c r="L73" s="13"/>
      <c r="M73" s="13"/>
    </row>
    <row r="74" spans="2:36" s="2" customFormat="1" x14ac:dyDescent="0.25">
      <c r="B74" s="2" t="s">
        <v>46</v>
      </c>
      <c r="C74" s="13"/>
      <c r="D74" s="13"/>
      <c r="E74" s="13"/>
      <c r="F74" s="13"/>
      <c r="G74" s="13">
        <f>SUM(G71:G73)</f>
        <v>-1786</v>
      </c>
      <c r="H74" s="13">
        <f t="shared" ref="H74:K74" si="46">SUM(H71:H73)</f>
        <v>0</v>
      </c>
      <c r="I74" s="13">
        <f t="shared" si="46"/>
        <v>0</v>
      </c>
      <c r="J74" s="13">
        <f t="shared" si="46"/>
        <v>0</v>
      </c>
      <c r="K74" s="13">
        <f t="shared" si="46"/>
        <v>-931</v>
      </c>
      <c r="L74" s="13"/>
      <c r="M74" s="13"/>
    </row>
    <row r="75" spans="2:36" s="2" customFormat="1" x14ac:dyDescent="0.25">
      <c r="B75" s="2" t="s">
        <v>85</v>
      </c>
      <c r="C75" s="13"/>
      <c r="D75" s="13"/>
      <c r="E75" s="13"/>
      <c r="F75" s="13"/>
      <c r="G75" s="13"/>
      <c r="H75" s="13"/>
      <c r="I75" s="13"/>
      <c r="J75" s="13"/>
      <c r="K75" s="13">
        <f>+K74+K69+K64</f>
        <v>-25</v>
      </c>
      <c r="L75" s="13"/>
      <c r="M75" s="13"/>
    </row>
    <row r="77" spans="2:36" x14ac:dyDescent="0.25">
      <c r="B77" s="2" t="s">
        <v>84</v>
      </c>
      <c r="K77" s="13">
        <f>+K64+K66</f>
        <v>1040</v>
      </c>
      <c r="R77" s="2">
        <f t="shared" ref="R77:V77" si="47">+R64+R66</f>
        <v>1797.636</v>
      </c>
      <c r="S77" s="2">
        <f t="shared" si="47"/>
        <v>1944.5119999999997</v>
      </c>
      <c r="T77" s="2">
        <f t="shared" si="47"/>
        <v>1422.5620000000001</v>
      </c>
      <c r="U77" s="2">
        <f t="shared" si="47"/>
        <v>84.238000000000028</v>
      </c>
      <c r="V77" s="2">
        <f t="shared" si="47"/>
        <v>1553.7720000000002</v>
      </c>
      <c r="AB77" s="2">
        <f t="shared" ref="AB77:AD77" si="48">+AB64+AB66</f>
        <v>2313</v>
      </c>
      <c r="AC77" s="2">
        <f t="shared" si="48"/>
        <v>3444</v>
      </c>
      <c r="AD77" s="2">
        <f t="shared" si="48"/>
        <v>3165</v>
      </c>
      <c r="AE77" s="2">
        <f t="shared" ref="AE77:AJ77" si="49">+AE64+AE66</f>
        <v>2806</v>
      </c>
      <c r="AF77" s="2">
        <f t="shared" si="49"/>
        <v>3382</v>
      </c>
      <c r="AG77" s="2">
        <f t="shared" si="49"/>
        <v>4774</v>
      </c>
      <c r="AH77" s="2">
        <f t="shared" si="49"/>
        <v>4612</v>
      </c>
      <c r="AI77" s="2">
        <f t="shared" si="49"/>
        <v>7594</v>
      </c>
      <c r="AJ77" s="2">
        <f t="shared" si="49"/>
        <v>7487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2025-04-15T16:57:53Z</dcterms:created>
  <dcterms:modified xsi:type="dcterms:W3CDTF">2026-08-18T21:03:41Z</dcterms:modified>
</cp:coreProperties>
</file>