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7255ADE-9BCA-4494-AFC5-24E282389CEE}" xr6:coauthVersionLast="47" xr6:coauthVersionMax="47" xr10:uidLastSave="{00000000-0000-0000-0000-000000000000}"/>
  <bookViews>
    <workbookView xWindow="17800" yWindow="3480" windowWidth="20180" windowHeight="12950" activeTab="1" xr2:uid="{D34B6A0E-BD75-4196-AE8C-3E013A62F06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" l="1"/>
  <c r="P18" i="2"/>
  <c r="P20" i="2"/>
  <c r="L18" i="2"/>
  <c r="M18" i="2"/>
  <c r="Q18" i="2"/>
  <c r="R18" i="2"/>
  <c r="N18" i="2"/>
  <c r="S18" i="2"/>
  <c r="O18" i="2"/>
  <c r="N54" i="2"/>
  <c r="N53" i="2"/>
  <c r="N52" i="2"/>
  <c r="N48" i="2"/>
  <c r="N43" i="2"/>
  <c r="O54" i="2"/>
  <c r="O53" i="2"/>
  <c r="O52" i="2"/>
  <c r="O48" i="2"/>
  <c r="O43" i="2"/>
  <c r="P53" i="2"/>
  <c r="P48" i="2"/>
  <c r="P54" i="2"/>
  <c r="P52" i="2"/>
  <c r="P43" i="2"/>
  <c r="P46" i="2"/>
  <c r="O46" i="2"/>
  <c r="N46" i="2"/>
  <c r="P55" i="2"/>
  <c r="O55" i="2"/>
  <c r="N55" i="2"/>
  <c r="P37" i="2"/>
  <c r="O37" i="2"/>
  <c r="N37" i="2"/>
  <c r="Q2" i="2"/>
  <c r="R2" i="2" s="1"/>
  <c r="P2" i="2"/>
  <c r="O2" i="2"/>
  <c r="V20" i="2"/>
  <c r="U20" i="2"/>
  <c r="T20" i="2"/>
  <c r="S20" i="2"/>
  <c r="R20" i="2"/>
  <c r="Q20" i="2"/>
  <c r="O20" i="2"/>
  <c r="O22" i="2" s="1"/>
  <c r="O24" i="2" s="1"/>
  <c r="O26" i="2" s="1"/>
  <c r="O28" i="2" s="1"/>
  <c r="N20" i="2"/>
  <c r="Z82" i="2"/>
  <c r="Y82" i="2"/>
  <c r="AA68" i="2"/>
  <c r="AA51" i="2"/>
  <c r="AA50" i="2"/>
  <c r="AA49" i="2"/>
  <c r="AA45" i="2"/>
  <c r="AA44" i="2"/>
  <c r="AA42" i="2"/>
  <c r="AA41" i="2"/>
  <c r="AA40" i="2"/>
  <c r="AA39" i="2"/>
  <c r="AA38" i="2"/>
  <c r="J77" i="2"/>
  <c r="AA77" i="2" s="1"/>
  <c r="J75" i="2"/>
  <c r="AA75" i="2" s="1"/>
  <c r="J74" i="2"/>
  <c r="AA74" i="2" s="1"/>
  <c r="J73" i="2"/>
  <c r="AA73" i="2" s="1"/>
  <c r="J72" i="2"/>
  <c r="AA72" i="2" s="1"/>
  <c r="J71" i="2"/>
  <c r="AA71" i="2" s="1"/>
  <c r="AA76" i="2" s="1"/>
  <c r="J67" i="2"/>
  <c r="AA67" i="2" s="1"/>
  <c r="J66" i="2"/>
  <c r="AA66" i="2" s="1"/>
  <c r="J62" i="2"/>
  <c r="J63" i="2"/>
  <c r="AA63" i="2" s="1"/>
  <c r="J61" i="2"/>
  <c r="AA61" i="2" s="1"/>
  <c r="J60" i="2"/>
  <c r="AA60" i="2" s="1"/>
  <c r="J59" i="2"/>
  <c r="AA59" i="2" s="1"/>
  <c r="J58" i="2"/>
  <c r="AA58" i="2" s="1"/>
  <c r="J23" i="2"/>
  <c r="J21" i="2"/>
  <c r="J30" i="2"/>
  <c r="J19" i="2"/>
  <c r="J18" i="2"/>
  <c r="J54" i="2"/>
  <c r="AA54" i="2" s="1"/>
  <c r="J52" i="2"/>
  <c r="AA52" i="2" s="1"/>
  <c r="J53" i="2"/>
  <c r="AA53" i="2" s="1"/>
  <c r="J48" i="2"/>
  <c r="J55" i="2" s="1"/>
  <c r="J43" i="2"/>
  <c r="AA43" i="2" s="1"/>
  <c r="J37" i="2"/>
  <c r="AA27" i="2"/>
  <c r="Z27" i="2"/>
  <c r="Y27" i="2"/>
  <c r="Y25" i="2"/>
  <c r="Z25" i="2"/>
  <c r="AA25" i="2"/>
  <c r="Z20" i="2"/>
  <c r="Y20" i="2"/>
  <c r="Y22" i="2" s="1"/>
  <c r="Y33" i="2" s="1"/>
  <c r="AA20" i="2"/>
  <c r="AA22" i="2" s="1"/>
  <c r="AA33" i="2" s="1"/>
  <c r="J8" i="2"/>
  <c r="J10" i="2" s="1"/>
  <c r="AA8" i="2"/>
  <c r="AA10" i="2" s="1"/>
  <c r="AA2" i="2"/>
  <c r="AB2" i="2" s="1"/>
  <c r="AC2" i="2" s="1"/>
  <c r="AD2" i="2" s="1"/>
  <c r="AE2" i="2" s="1"/>
  <c r="K48" i="2"/>
  <c r="K52" i="2"/>
  <c r="K54" i="2"/>
  <c r="K53" i="2"/>
  <c r="K43" i="2"/>
  <c r="K46" i="2" s="1"/>
  <c r="G27" i="2"/>
  <c r="G25" i="2"/>
  <c r="G20" i="2"/>
  <c r="G22" i="2" s="1"/>
  <c r="G24" i="2" s="1"/>
  <c r="G26" i="2" s="1"/>
  <c r="H27" i="2"/>
  <c r="H25" i="2"/>
  <c r="J25" i="2" s="1"/>
  <c r="H20" i="2"/>
  <c r="H22" i="2" s="1"/>
  <c r="H33" i="2" s="1"/>
  <c r="K27" i="2"/>
  <c r="K25" i="2"/>
  <c r="K20" i="2"/>
  <c r="K22" i="2" s="1"/>
  <c r="K24" i="2" s="1"/>
  <c r="K34" i="2" s="1"/>
  <c r="L48" i="2"/>
  <c r="L37" i="2" s="1"/>
  <c r="L52" i="2"/>
  <c r="L53" i="2"/>
  <c r="L54" i="2"/>
  <c r="L43" i="2"/>
  <c r="L46" i="2" s="1"/>
  <c r="L27" i="2"/>
  <c r="L25" i="2"/>
  <c r="L20" i="2"/>
  <c r="L22" i="2" s="1"/>
  <c r="L33" i="2" s="1"/>
  <c r="M54" i="2"/>
  <c r="M52" i="2"/>
  <c r="M53" i="2"/>
  <c r="M48" i="2"/>
  <c r="M43" i="2"/>
  <c r="M46" i="2" s="1"/>
  <c r="K4" i="1"/>
  <c r="K7" i="1" s="1"/>
  <c r="I25" i="2"/>
  <c r="M25" i="2"/>
  <c r="I20" i="2"/>
  <c r="I22" i="2" s="1"/>
  <c r="I24" i="2" s="1"/>
  <c r="I34" i="2" s="1"/>
  <c r="M20" i="2"/>
  <c r="M22" i="2" s="1"/>
  <c r="M24" i="2" s="1"/>
  <c r="M34" i="2" s="1"/>
  <c r="P32" i="2" l="1"/>
  <c r="P22" i="2"/>
  <c r="O33" i="2"/>
  <c r="O34" i="2"/>
  <c r="O32" i="2"/>
  <c r="O35" i="2"/>
  <c r="N22" i="2"/>
  <c r="O57" i="2"/>
  <c r="O29" i="2"/>
  <c r="AA69" i="2"/>
  <c r="J20" i="2"/>
  <c r="N32" i="2" s="1"/>
  <c r="G35" i="2"/>
  <c r="J22" i="2"/>
  <c r="J27" i="2"/>
  <c r="AA46" i="2"/>
  <c r="J46" i="2"/>
  <c r="J76" i="2"/>
  <c r="J69" i="2"/>
  <c r="J64" i="2"/>
  <c r="J82" i="2" s="1"/>
  <c r="G34" i="2"/>
  <c r="K26" i="2"/>
  <c r="K28" i="2" s="1"/>
  <c r="AA48" i="2"/>
  <c r="AA62" i="2"/>
  <c r="AA64" i="2" s="1"/>
  <c r="AA32" i="2"/>
  <c r="Z22" i="2"/>
  <c r="AA24" i="2"/>
  <c r="Y24" i="2"/>
  <c r="G28" i="2"/>
  <c r="Z32" i="2"/>
  <c r="M55" i="2"/>
  <c r="L32" i="2"/>
  <c r="K33" i="2"/>
  <c r="I33" i="2"/>
  <c r="M32" i="2"/>
  <c r="K32" i="2"/>
  <c r="M33" i="2"/>
  <c r="G33" i="2"/>
  <c r="K55" i="2"/>
  <c r="K37" i="2"/>
  <c r="M26" i="2"/>
  <c r="M37" i="2"/>
  <c r="H24" i="2"/>
  <c r="L55" i="2"/>
  <c r="I26" i="2"/>
  <c r="L24" i="2"/>
  <c r="J24" i="2" l="1"/>
  <c r="J33" i="2"/>
  <c r="P33" i="2"/>
  <c r="P24" i="2"/>
  <c r="N33" i="2"/>
  <c r="N24" i="2"/>
  <c r="AA82" i="2"/>
  <c r="AA78" i="2"/>
  <c r="K29" i="2"/>
  <c r="K57" i="2"/>
  <c r="H26" i="2"/>
  <c r="H34" i="2"/>
  <c r="Y26" i="2"/>
  <c r="Y28" i="2" s="1"/>
  <c r="Y29" i="2" s="1"/>
  <c r="Y34" i="2"/>
  <c r="M28" i="2"/>
  <c r="M35" i="2"/>
  <c r="AA26" i="2"/>
  <c r="AA28" i="2" s="1"/>
  <c r="AA29" i="2" s="1"/>
  <c r="AA34" i="2"/>
  <c r="L26" i="2"/>
  <c r="L34" i="2"/>
  <c r="G29" i="2"/>
  <c r="G57" i="2"/>
  <c r="AA37" i="2"/>
  <c r="AA55" i="2"/>
  <c r="J78" i="2"/>
  <c r="I28" i="2"/>
  <c r="I35" i="2"/>
  <c r="K35" i="2"/>
  <c r="Z33" i="2"/>
  <c r="Z24" i="2"/>
  <c r="P26" i="2" l="1"/>
  <c r="P34" i="2"/>
  <c r="J34" i="2"/>
  <c r="J26" i="2"/>
  <c r="N26" i="2"/>
  <c r="N34" i="2"/>
  <c r="M29" i="2"/>
  <c r="M57" i="2"/>
  <c r="Z26" i="2"/>
  <c r="Z28" i="2" s="1"/>
  <c r="Z29" i="2" s="1"/>
  <c r="Z34" i="2"/>
  <c r="I29" i="2"/>
  <c r="I57" i="2"/>
  <c r="L28" i="2"/>
  <c r="L35" i="2"/>
  <c r="H28" i="2"/>
  <c r="H35" i="2"/>
  <c r="J35" i="2" l="1"/>
  <c r="J28" i="2"/>
  <c r="P35" i="2"/>
  <c r="P28" i="2"/>
  <c r="N35" i="2"/>
  <c r="N28" i="2"/>
  <c r="H29" i="2"/>
  <c r="H57" i="2"/>
  <c r="L29" i="2"/>
  <c r="L57" i="2"/>
  <c r="P29" i="2" l="1"/>
  <c r="P57" i="2"/>
  <c r="J29" i="2"/>
  <c r="J57" i="2"/>
  <c r="AA57" i="2" s="1"/>
  <c r="N29" i="2"/>
  <c r="N57" i="2"/>
</calcChain>
</file>

<file path=xl/sharedStrings.xml><?xml version="1.0" encoding="utf-8"?>
<sst xmlns="http://schemas.openxmlformats.org/spreadsheetml/2006/main" count="94" uniqueCount="81">
  <si>
    <t>Price</t>
  </si>
  <si>
    <t>Shares</t>
  </si>
  <si>
    <t>MC</t>
  </si>
  <si>
    <t>Cash</t>
  </si>
  <si>
    <t>Debt</t>
  </si>
  <si>
    <t>EV</t>
  </si>
  <si>
    <t>Main</t>
  </si>
  <si>
    <t>Revenue</t>
  </si>
  <si>
    <t>Sales</t>
  </si>
  <si>
    <t>Membership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</si>
  <si>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</si>
  <si>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</si>
  <si>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</si>
  <si>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</si>
  <si>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</si>
  <si>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</si>
  <si>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</si>
  <si>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</si>
  <si>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</si>
  <si>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</si>
  <si>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</si>
  <si>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</si>
  <si>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Gross Profit</t>
  </si>
  <si>
    <t>COGS</t>
  </si>
  <si>
    <t>SG&amp;A</t>
  </si>
  <si>
    <t>Operating Income</t>
  </si>
  <si>
    <t>Pretax Income</t>
  </si>
  <si>
    <t>Interest Income</t>
  </si>
  <si>
    <t>Taxes</t>
  </si>
  <si>
    <t>Net Income</t>
  </si>
  <si>
    <t>EPS</t>
  </si>
  <si>
    <t>Assets</t>
  </si>
  <si>
    <t>OLTA</t>
  </si>
  <si>
    <t>Goodwill</t>
  </si>
  <si>
    <t>Lease</t>
  </si>
  <si>
    <t>PP&amp;E</t>
  </si>
  <si>
    <t>Prepaids</t>
  </si>
  <si>
    <t>Inventories</t>
  </si>
  <si>
    <t>Receivables</t>
  </si>
  <si>
    <t>Leases</t>
  </si>
  <si>
    <t>AP</t>
  </si>
  <si>
    <t>Dividends</t>
  </si>
  <si>
    <t>Liabilities</t>
  </si>
  <si>
    <t>S/E</t>
  </si>
  <si>
    <t>L+S/E</t>
  </si>
  <si>
    <t>Net Cash</t>
  </si>
  <si>
    <t>Revenue y/y</t>
  </si>
  <si>
    <t>Stores</t>
  </si>
  <si>
    <t>US</t>
  </si>
  <si>
    <t>International</t>
  </si>
  <si>
    <t>Distribution Facilities</t>
  </si>
  <si>
    <t>SSS</t>
  </si>
  <si>
    <t>Gross Margin</t>
  </si>
  <si>
    <t>Operating Margin</t>
  </si>
  <si>
    <t>Tax Rate</t>
  </si>
  <si>
    <t>Model NI</t>
  </si>
  <si>
    <t>Reported NI</t>
  </si>
  <si>
    <t>D&amp;A</t>
  </si>
  <si>
    <t>Unrealized</t>
  </si>
  <si>
    <t>DT</t>
  </si>
  <si>
    <t>Other</t>
  </si>
  <si>
    <t>WC</t>
  </si>
  <si>
    <t>CFFO</t>
  </si>
  <si>
    <t>CapEx</t>
  </si>
  <si>
    <t>CFFI</t>
  </si>
  <si>
    <t>Acquisitions</t>
  </si>
  <si>
    <t>FCF</t>
  </si>
  <si>
    <t>CIC</t>
  </si>
  <si>
    <t>FX</t>
  </si>
  <si>
    <t>CFFF</t>
  </si>
  <si>
    <t>Buyback</t>
  </si>
  <si>
    <t>NCI</t>
  </si>
  <si>
    <t>Q125</t>
  </si>
  <si>
    <t>Q225</t>
  </si>
  <si>
    <t>Q325</t>
  </si>
  <si>
    <t>Q425</t>
  </si>
  <si>
    <t>Q126</t>
  </si>
  <si>
    <t>Q226</t>
  </si>
  <si>
    <t>Q326</t>
  </si>
  <si>
    <t>Q426</t>
  </si>
  <si>
    <t>Sam's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</si>
</sst>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;@"/>
    <numFmt numFmtId="165" formatCode="0.0%"/>
  </numFmts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4" fontId="0" fillId="0" borderId="0" xfId="0" applyNumberFormat="1" applyAlignment="1">
      <alignment horizontal="right"/>
    </xf>
    <xf numFmtId="9" fontId="0" fillId="0" borderId="0" xfId="0" applyNumberFormat="1"/>
    <xf numFmtId="0" fontId="2" fillId="0" borderId="0" xfId="1"/>
    <xf numFmtId="9" fontId="0" fillId="0" borderId="0" xfId="0" applyNumberFormat="1" applyAlignment="1">
      <alignment horizontal="right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8EB9C06C-BAEF-492A-9F3D-C094C13BBD4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52676</xdr:colOff>
      <xdr:row>0</xdr:row>
      <xdr:rowOff>121479</xdr:rowOff>
    </xdr:from>
    <xdr:to>
      <xdr:col>19</xdr:col>
      <xdr:colOff>52676</xdr:colOff>
      <xdr:row>88</xdr:row>
      <xdr:rowOff>70205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A3618BC4-DEA2-F0F7-0F00-611D0C75E710}"/>
            </a:ext>
          </a:extLst>
        </xdr:cNvPr>
        <xdr:cNvCxnSpPr/>
      </xdr:nvCxnSpPr>
      <xdr:spPr>
        <a:xfrm>
          <a:off x="11940980" y="121479"/>
          <a:ext cx="0" cy="1405124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16329</xdr:colOff>
      <xdr:row>0</xdr:row>
      <xdr:rowOff>43543</xdr:rowOff>
    </xdr:from>
    <xdr:to>
      <xdr:col>27</xdr:col>
      <xdr:colOff>16329</xdr:colOff>
      <xdr:row>85</xdr:row>
      <xdr:rowOff>38100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FA4A234A-0D54-68BF-F5D8-390083DBF4E1}"/>
            </a:ext>
          </a:extLst>
        </xdr:cNvPr>
        <xdr:cNvCxnSpPr/>
      </xdr:nvCxnSpPr>
      <xdr:spPr>
        <a:xfrm>
          <a:off x="12513129" y="43543"/>
          <a:ext cx="0" cy="13220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6B72F-94E0-4E69-B93D-80B7A904758A}">
  <dimension ref="J2:L7"/>
  <sheetViews>
    <sheetView zoomScale="175" zoomScaleNormal="175" workbookViewId="0">
      <selection activeCell="L6" sqref="L6"/>
    </sheetView>
  </sheetViews>
  <sheetFormatPr defaultRowHeight="12.5" x14ac:dyDescent="0.25"/>
  <sheetData>
    <row r="2" spans="10:12" x14ac:dyDescent="0.25">
      <c r="J2" t="s">
        <v>0</v>
      </c>
      <c r="K2" s="1">
        <v>103</v>
      </c>
    </row>
    <row r="3" spans="10:12" x14ac:dyDescent="0.25">
      <c r="J3" t="s">
        <v>1</v>
      </c>
      <c r="K3" s="5">
        <v>8016</v>
      </c>
      <c r="L3" s="2" t="s">
        <v>74</v>
      </c>
    </row>
    <row r="4" spans="10:12" x14ac:dyDescent="0.25">
      <c r="J4" t="s">
        <v>2</v>
      </c>
      <c r="K4" s="5">
        <f>+K2*K3</f>
        <v>825648</v>
      </c>
    </row>
    <row r="5" spans="10:12" x14ac:dyDescent="0.25">
      <c r="J5" t="s">
        <v>3</v>
      </c>
      <c r="K5" s="5">
        <v>9431</v>
      </c>
      <c r="L5" s="2" t="s">
        <v>74</v>
      </c>
    </row>
    <row r="6" spans="10:12" x14ac:dyDescent="0.25">
      <c r="J6" t="s">
        <v>4</v>
      </c>
      <c r="K6" s="5">
        <v>43488</v>
      </c>
      <c r="L6" s="2" t="s">
        <v>74</v>
      </c>
    </row>
    <row r="7" spans="10:12" x14ac:dyDescent="0.25">
      <c r="J7" t="s">
        <v>5</v>
      </c>
      <c r="K7" s="5">
        <f>+K4-K5+K6</f>
        <v>859705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EDCC-E7E4-47DB-A1BC-9901E0492214}">
  <dimension ref="A1:AE82"/>
  <sheetViews>
    <sheetView tabSelected="1" zoomScale="115" zoomScaleNormal="115" workbookViewId="0">
      <pane xSplit="2" ySplit="3" topLeftCell="H4" activePane="bottomRight" state="frozen"/>
      <selection pane="topRight" activeCell="C1" sqref="C1"/>
      <selection pane="bottomLeft" activeCell="A3" sqref="A3"/>
      <selection pane="bottomRight" activeCell="R2" sqref="R2"/>
    </sheetView>
  </sheetViews>
  <sheetFormatPr defaultRowHeight="12.5" x14ac:dyDescent="0.25"/>
  <cols>
    <col min="1" max="1" width="5" bestFit="1" customWidth="1"/>
    <col min="2" max="2" width="16.54296875" customWidth="1"/>
    <col min="3" max="6" width="9.1796875" style="2"/>
    <col min="7" max="21" width="8.6328125" style="2" customWidth="1"/>
    <col min="22" max="22" width="8.6328125" customWidth="1"/>
  </cols>
  <sheetData>
    <row r="1" spans="1:31" x14ac:dyDescent="0.25">
      <c r="A1" s="11" t="s">
        <v>6</v>
      </c>
    </row>
    <row r="2" spans="1:31" s="3" customFormat="1" x14ac:dyDescent="0.25">
      <c r="C2" s="4"/>
      <c r="D2" s="4"/>
      <c r="E2" s="4"/>
      <c r="F2" s="4"/>
      <c r="G2" s="4">
        <v>45046</v>
      </c>
      <c r="H2" s="4">
        <v>45504</v>
      </c>
      <c r="I2" s="4">
        <v>45230</v>
      </c>
      <c r="J2" s="4">
        <v>45322</v>
      </c>
      <c r="K2" s="4">
        <v>45412</v>
      </c>
      <c r="L2" s="4">
        <v>45504</v>
      </c>
      <c r="M2" s="4">
        <v>45596</v>
      </c>
      <c r="N2" s="4">
        <v>45688</v>
      </c>
      <c r="O2" s="4">
        <f>+K2+365</f>
        <v>45777</v>
      </c>
      <c r="P2" s="4">
        <f>+L2+365</f>
        <v>45869</v>
      </c>
      <c r="Q2" s="4">
        <f>+M2+365</f>
        <v>45961</v>
      </c>
      <c r="R2" s="4">
        <f>+Q2+90</f>
        <v>46051</v>
      </c>
      <c r="S2" s="4">
        <v>46142</v>
      </c>
      <c r="T2" s="4"/>
      <c r="U2" s="4"/>
      <c r="Y2" s="3">
        <v>44592</v>
      </c>
      <c r="Z2" s="3">
        <v>44957</v>
      </c>
      <c r="AA2" s="3">
        <f>+Z2+365</f>
        <v>45322</v>
      </c>
      <c r="AB2" s="3">
        <f>+AA2+366</f>
        <v>45688</v>
      </c>
      <c r="AC2" s="3">
        <f>+AB2+365</f>
        <v>46053</v>
      </c>
      <c r="AD2" s="3">
        <f>+AC2+365</f>
        <v>46418</v>
      </c>
      <c r="AE2" s="3">
        <f>+AD2+365</f>
        <v>46783</v>
      </c>
    </row>
    <row r="3" spans="1:31" x14ac:dyDescent="0.25"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  <c r="H3" s="2" t="s">
        <v>15</v>
      </c>
      <c r="I3" s="2" t="s">
        <v>16</v>
      </c>
      <c r="J3" s="2" t="s">
        <v>17</v>
      </c>
      <c r="K3" s="2" t="s">
        <v>18</v>
      </c>
      <c r="L3" s="2" t="s">
        <v>19</v>
      </c>
      <c r="M3" s="2" t="s">
        <v>20</v>
      </c>
      <c r="N3" s="2" t="s">
        <v>21</v>
      </c>
      <c r="O3" s="2" t="s">
        <v>72</v>
      </c>
      <c r="P3" s="2" t="s">
        <v>73</v>
      </c>
      <c r="Q3" s="2" t="s">
        <v>74</v>
      </c>
      <c r="R3" s="2" t="s">
        <v>75</v>
      </c>
      <c r="S3" s="2" t="s">
        <v>76</v>
      </c>
      <c r="T3" s="2" t="s">
        <v>77</v>
      </c>
      <c r="U3" s="2" t="s">
        <v>78</v>
      </c>
      <c r="V3" s="2" t="s">
        <v>79</v>
      </c>
    </row>
    <row r="4" spans="1:31" s="5" customFormat="1" x14ac:dyDescent="0.25">
      <c r="C4" s="6"/>
      <c r="D4" s="6"/>
      <c r="E4" s="6"/>
      <c r="F4" s="6"/>
      <c r="G4" s="6"/>
      <c r="H4" s="6"/>
      <c r="I4" s="6"/>
      <c r="J4" s="5">
        <v>3560</v>
      </c>
      <c r="K4" s="6"/>
      <c r="L4" s="6"/>
      <c r="M4" s="6"/>
      <c r="AA4" s="5">
        <v>3560</v>
      </c>
    </row>
    <row r="5" spans="1:31" s="5" customFormat="1" x14ac:dyDescent="0.25">
      <c r="C5" s="6"/>
      <c r="D5" s="6"/>
      <c r="E5" s="6"/>
      <c r="F5" s="6"/>
      <c r="G5" s="6"/>
      <c r="H5" s="6"/>
      <c r="I5" s="6"/>
      <c r="J5" s="5">
        <v>360</v>
      </c>
      <c r="K5" s="6"/>
      <c r="L5" s="6"/>
      <c r="M5" s="6"/>
      <c r="AA5" s="5">
        <v>360</v>
      </c>
    </row>
    <row r="6" spans="1:31" s="5" customFormat="1" x14ac:dyDescent="0.25">
      <c r="C6" s="6"/>
      <c r="D6" s="6"/>
      <c r="E6" s="6"/>
      <c r="F6" s="6"/>
      <c r="G6" s="6"/>
      <c r="H6" s="6"/>
      <c r="I6" s="6"/>
      <c r="J6" s="5">
        <v>695</v>
      </c>
      <c r="K6" s="6"/>
      <c r="L6" s="6"/>
      <c r="M6" s="6"/>
      <c r="AA6" s="5">
        <v>695</v>
      </c>
    </row>
    <row r="7" spans="1:31" s="5" customFormat="1" x14ac:dyDescent="0.25">
      <c r="C7" s="6"/>
      <c r="D7" s="6"/>
      <c r="E7" s="6"/>
      <c r="F7" s="6"/>
      <c r="G7" s="6"/>
      <c r="H7" s="6"/>
      <c r="I7" s="6"/>
      <c r="J7" s="5">
        <v>599</v>
      </c>
      <c r="K7" s="6"/>
      <c r="L7" s="6"/>
      <c r="M7" s="6"/>
      <c r="AA7" s="5">
        <v>599</v>
      </c>
    </row>
    <row r="8" spans="1:31" s="5" customFormat="1" x14ac:dyDescent="0.25">
      <c r="B8" s="5" t="s">
        <v>48</v>
      </c>
      <c r="C8" s="6"/>
      <c r="D8" s="6"/>
      <c r="E8" s="6"/>
      <c r="F8" s="6"/>
      <c r="G8" s="6"/>
      <c r="H8" s="6"/>
      <c r="I8" s="6"/>
      <c r="J8" s="5">
        <f>SUM(J4:J7)</f>
        <v>5214</v>
      </c>
      <c r="K8" s="6"/>
      <c r="L8" s="6"/>
      <c r="M8" s="6"/>
      <c r="AA8" s="5">
        <f>SUM(AA4:AA7)</f>
        <v>5214</v>
      </c>
    </row>
    <row r="9" spans="1:31" s="5" customFormat="1" x14ac:dyDescent="0.25">
      <c r="B9" s="5" t="s">
        <v>49</v>
      </c>
      <c r="C9" s="6"/>
      <c r="D9" s="6"/>
      <c r="E9" s="6"/>
      <c r="F9" s="6"/>
      <c r="G9" s="6"/>
      <c r="H9" s="6"/>
      <c r="I9" s="6"/>
      <c r="J9" s="5">
        <v>5402</v>
      </c>
      <c r="K9" s="6"/>
      <c r="L9" s="6"/>
      <c r="M9" s="6"/>
      <c r="AA9" s="5">
        <v>5402</v>
      </c>
    </row>
    <row r="10" spans="1:31" s="5" customFormat="1" x14ac:dyDescent="0.25">
      <c r="B10" s="5" t="s">
        <v>47</v>
      </c>
      <c r="C10" s="6"/>
      <c r="D10" s="6"/>
      <c r="E10" s="6"/>
      <c r="F10" s="6"/>
      <c r="G10" s="6"/>
      <c r="H10" s="6"/>
      <c r="I10" s="6"/>
      <c r="J10" s="6">
        <f>+J9+J8</f>
        <v>10616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AA10" s="6">
        <f>+AA9+AA8</f>
        <v>10616</v>
      </c>
    </row>
    <row r="11" spans="1:31" s="5" customFormat="1" x14ac:dyDescent="0.25">
      <c r="B11" s="5" t="s">
        <v>50</v>
      </c>
      <c r="C11" s="6"/>
      <c r="D11" s="6"/>
      <c r="E11" s="6"/>
      <c r="F11" s="6"/>
      <c r="G11" s="6"/>
      <c r="H11" s="6"/>
      <c r="I11" s="6"/>
      <c r="J11" s="6">
        <v>368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AA11" s="6">
        <v>368</v>
      </c>
    </row>
    <row r="12" spans="1:31" s="5" customFormat="1" x14ac:dyDescent="0.25">
      <c r="B12" s="5" t="s">
        <v>51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Z12" s="13">
        <v>8.2000000000000003E-2</v>
      </c>
      <c r="AA12" s="13">
        <v>4.9000000000000002E-2</v>
      </c>
    </row>
    <row r="13" spans="1:31" s="5" customFormat="1" x14ac:dyDescent="0.25"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Z13" s="13"/>
      <c r="AA13" s="13"/>
    </row>
    <row r="14" spans="1:31" s="5" customFormat="1" x14ac:dyDescent="0.25">
      <c r="B14" s="5" t="s">
        <v>48</v>
      </c>
      <c r="C14" s="6"/>
      <c r="D14" s="6"/>
      <c r="E14" s="6"/>
      <c r="F14" s="6"/>
      <c r="G14" s="6"/>
      <c r="H14" s="6"/>
      <c r="I14" s="6"/>
      <c r="J14" s="6"/>
      <c r="K14" s="6">
        <v>108670</v>
      </c>
      <c r="L14" s="6">
        <v>115347</v>
      </c>
      <c r="M14" s="6">
        <v>114875</v>
      </c>
      <c r="N14" s="6">
        <v>123523</v>
      </c>
      <c r="O14" s="6">
        <v>112163</v>
      </c>
      <c r="P14" s="6">
        <v>120911</v>
      </c>
      <c r="Q14" s="6">
        <v>120678</v>
      </c>
      <c r="R14" s="6">
        <v>129223</v>
      </c>
      <c r="S14" s="6">
        <v>117169</v>
      </c>
      <c r="T14" s="6"/>
      <c r="U14" s="6"/>
      <c r="Z14" s="13"/>
      <c r="AA14" s="13"/>
    </row>
    <row r="15" spans="1:31" s="5" customFormat="1" x14ac:dyDescent="0.25">
      <c r="B15" s="5" t="s">
        <v>49</v>
      </c>
      <c r="C15" s="6"/>
      <c r="D15" s="6"/>
      <c r="E15" s="6"/>
      <c r="F15" s="6"/>
      <c r="G15" s="6"/>
      <c r="H15" s="6"/>
      <c r="I15" s="6"/>
      <c r="J15" s="6"/>
      <c r="K15" s="6">
        <v>29833</v>
      </c>
      <c r="L15" s="6">
        <v>29567</v>
      </c>
      <c r="M15" s="6">
        <v>30277</v>
      </c>
      <c r="N15" s="6">
        <v>32208</v>
      </c>
      <c r="O15" s="6">
        <v>29754</v>
      </c>
      <c r="P15" s="6">
        <v>31201</v>
      </c>
      <c r="Q15" s="6">
        <v>33541</v>
      </c>
      <c r="R15" s="6">
        <v>35927</v>
      </c>
      <c r="S15" s="6">
        <v>35110</v>
      </c>
      <c r="T15" s="6"/>
      <c r="U15" s="6"/>
      <c r="Z15" s="13"/>
      <c r="AA15" s="13"/>
    </row>
    <row r="16" spans="1:31" s="5" customFormat="1" x14ac:dyDescent="0.25">
      <c r="B16" s="5" t="s">
        <v>80</v>
      </c>
      <c r="C16" s="6"/>
      <c r="D16" s="6"/>
      <c r="E16" s="6"/>
      <c r="F16" s="6"/>
      <c r="G16" s="6"/>
      <c r="H16" s="6"/>
      <c r="I16" s="6"/>
      <c r="J16" s="6"/>
      <c r="K16" s="6">
        <v>21435</v>
      </c>
      <c r="L16" s="6">
        <v>22853</v>
      </c>
      <c r="M16" s="6">
        <v>22851</v>
      </c>
      <c r="N16" s="6">
        <v>23099</v>
      </c>
      <c r="O16" s="6">
        <v>22064</v>
      </c>
      <c r="P16" s="6">
        <v>23638</v>
      </c>
      <c r="Q16" s="6">
        <v>23550</v>
      </c>
      <c r="R16" s="6">
        <v>23763</v>
      </c>
      <c r="S16" s="6">
        <v>23405</v>
      </c>
      <c r="T16" s="6"/>
      <c r="U16" s="6"/>
      <c r="Z16" s="13"/>
      <c r="AA16" s="13"/>
    </row>
    <row r="18" spans="2:27" s="5" customFormat="1" x14ac:dyDescent="0.25">
      <c r="B18" s="5" t="s">
        <v>8</v>
      </c>
      <c r="C18" s="6"/>
      <c r="D18" s="6"/>
      <c r="E18" s="6"/>
      <c r="F18" s="6"/>
      <c r="G18" s="6">
        <v>151004</v>
      </c>
      <c r="H18" s="6">
        <v>160280</v>
      </c>
      <c r="I18" s="6">
        <v>159439</v>
      </c>
      <c r="J18" s="6">
        <f>+AA18-I18-H18-G18</f>
        <v>171914</v>
      </c>
      <c r="K18" s="6">
        <f>SUM(K14:K16)</f>
        <v>159938</v>
      </c>
      <c r="L18" s="6">
        <f>SUM(L14:L16)</f>
        <v>167767</v>
      </c>
      <c r="M18" s="6">
        <f>SUM(M14:M16)</f>
        <v>168003</v>
      </c>
      <c r="N18" s="6">
        <f>SUM(N14:N16)</f>
        <v>178830</v>
      </c>
      <c r="O18" s="6">
        <f>SUM(O14:O16)</f>
        <v>163981</v>
      </c>
      <c r="P18" s="6">
        <f>SUM(P14:P16)</f>
        <v>175750</v>
      </c>
      <c r="Q18" s="6">
        <f>SUM(Q14:Q16)</f>
        <v>177769</v>
      </c>
      <c r="R18" s="6">
        <f>SUM(R14:R16)</f>
        <v>188913</v>
      </c>
      <c r="S18" s="6">
        <f>SUM(S14:S16)</f>
        <v>175684</v>
      </c>
      <c r="T18" s="6"/>
      <c r="U18" s="6"/>
      <c r="Y18" s="5">
        <v>567762</v>
      </c>
      <c r="Z18" s="5">
        <v>605881</v>
      </c>
      <c r="AA18" s="5">
        <v>642637</v>
      </c>
    </row>
    <row r="19" spans="2:27" s="5" customFormat="1" x14ac:dyDescent="0.25">
      <c r="B19" s="5" t="s">
        <v>9</v>
      </c>
      <c r="C19" s="6"/>
      <c r="D19" s="6"/>
      <c r="E19" s="6"/>
      <c r="F19" s="6"/>
      <c r="G19" s="6">
        <v>1297</v>
      </c>
      <c r="H19" s="6">
        <v>1352</v>
      </c>
      <c r="I19" s="6">
        <v>1365</v>
      </c>
      <c r="J19" s="6">
        <f>+AA19-I19-H19-G19</f>
        <v>1474</v>
      </c>
      <c r="K19" s="6">
        <v>1570</v>
      </c>
      <c r="L19" s="6">
        <v>1568</v>
      </c>
      <c r="M19" s="6">
        <v>1585</v>
      </c>
      <c r="N19" s="6">
        <v>1724</v>
      </c>
      <c r="O19" s="6">
        <v>1628</v>
      </c>
      <c r="P19" s="6">
        <v>1652</v>
      </c>
      <c r="Q19" s="6"/>
      <c r="R19" s="6"/>
      <c r="S19" s="6"/>
      <c r="T19" s="6"/>
      <c r="U19" s="6"/>
      <c r="Y19" s="5">
        <v>4992</v>
      </c>
      <c r="Z19" s="5">
        <v>5408</v>
      </c>
      <c r="AA19" s="5">
        <v>5488</v>
      </c>
    </row>
    <row r="20" spans="2:27" s="7" customFormat="1" ht="13" x14ac:dyDescent="0.3">
      <c r="B20" s="7" t="s">
        <v>7</v>
      </c>
      <c r="C20" s="8"/>
      <c r="D20" s="8"/>
      <c r="E20" s="8"/>
      <c r="F20" s="8"/>
      <c r="G20" s="8">
        <f t="shared" ref="G20:V20" si="0">+G18+G19</f>
        <v>152301</v>
      </c>
      <c r="H20" s="8">
        <f t="shared" si="0"/>
        <v>161632</v>
      </c>
      <c r="I20" s="8">
        <f t="shared" si="0"/>
        <v>160804</v>
      </c>
      <c r="J20" s="8">
        <f t="shared" si="0"/>
        <v>173388</v>
      </c>
      <c r="K20" s="8">
        <f t="shared" si="0"/>
        <v>161508</v>
      </c>
      <c r="L20" s="8">
        <f t="shared" si="0"/>
        <v>169335</v>
      </c>
      <c r="M20" s="8">
        <f t="shared" si="0"/>
        <v>169588</v>
      </c>
      <c r="N20" s="8">
        <f t="shared" si="0"/>
        <v>180554</v>
      </c>
      <c r="O20" s="8">
        <f t="shared" si="0"/>
        <v>165609</v>
      </c>
      <c r="P20" s="8">
        <f t="shared" si="0"/>
        <v>177402</v>
      </c>
      <c r="Q20" s="8">
        <f t="shared" si="0"/>
        <v>177769</v>
      </c>
      <c r="R20" s="8">
        <f t="shared" si="0"/>
        <v>188913</v>
      </c>
      <c r="S20" s="8">
        <f t="shared" si="0"/>
        <v>175684</v>
      </c>
      <c r="T20" s="8">
        <f t="shared" si="0"/>
        <v>0</v>
      </c>
      <c r="U20" s="8">
        <f t="shared" si="0"/>
        <v>0</v>
      </c>
      <c r="V20" s="8">
        <f t="shared" si="0"/>
        <v>0</v>
      </c>
      <c r="Y20" s="7">
        <f t="shared" ref="Y20:Z20" si="1">+Y18+Y19</f>
        <v>572754</v>
      </c>
      <c r="Z20" s="7">
        <f t="shared" si="1"/>
        <v>611289</v>
      </c>
      <c r="AA20" s="7">
        <f>+AA18+AA19</f>
        <v>648125</v>
      </c>
    </row>
    <row r="21" spans="2:27" s="5" customFormat="1" x14ac:dyDescent="0.25">
      <c r="B21" s="5" t="s">
        <v>23</v>
      </c>
      <c r="C21" s="6"/>
      <c r="D21" s="6"/>
      <c r="E21" s="6"/>
      <c r="F21" s="6"/>
      <c r="G21" s="6">
        <v>115284</v>
      </c>
      <c r="H21" s="6">
        <v>121850</v>
      </c>
      <c r="I21" s="6">
        <v>121183</v>
      </c>
      <c r="J21" s="6">
        <f>+AA21-I21-H21-G21</f>
        <v>131825</v>
      </c>
      <c r="K21" s="6">
        <v>121431</v>
      </c>
      <c r="L21" s="6">
        <v>126810</v>
      </c>
      <c r="M21" s="6">
        <v>127340</v>
      </c>
      <c r="N21" s="6">
        <v>136172</v>
      </c>
      <c r="O21" s="6">
        <v>124303</v>
      </c>
      <c r="P21" s="6">
        <v>132771</v>
      </c>
      <c r="Q21" s="6"/>
      <c r="R21" s="6"/>
      <c r="S21" s="6"/>
      <c r="T21" s="6"/>
      <c r="U21" s="6"/>
      <c r="Y21" s="5">
        <v>429000</v>
      </c>
      <c r="Z21" s="5">
        <v>463721</v>
      </c>
      <c r="AA21" s="5">
        <v>490142</v>
      </c>
    </row>
    <row r="22" spans="2:27" s="5" customFormat="1" x14ac:dyDescent="0.25">
      <c r="B22" s="5" t="s">
        <v>22</v>
      </c>
      <c r="C22" s="6"/>
      <c r="D22" s="6"/>
      <c r="E22" s="6"/>
      <c r="F22" s="6"/>
      <c r="G22" s="6">
        <f t="shared" ref="G22:P22" si="2">+G20-G21</f>
        <v>37017</v>
      </c>
      <c r="H22" s="6">
        <f t="shared" si="2"/>
        <v>39782</v>
      </c>
      <c r="I22" s="6">
        <f t="shared" si="2"/>
        <v>39621</v>
      </c>
      <c r="J22" s="6">
        <f t="shared" si="2"/>
        <v>41563</v>
      </c>
      <c r="K22" s="6">
        <f t="shared" si="2"/>
        <v>40077</v>
      </c>
      <c r="L22" s="6">
        <f t="shared" si="2"/>
        <v>42525</v>
      </c>
      <c r="M22" s="6">
        <f t="shared" si="2"/>
        <v>42248</v>
      </c>
      <c r="N22" s="6">
        <f t="shared" si="2"/>
        <v>44382</v>
      </c>
      <c r="O22" s="6">
        <f t="shared" si="2"/>
        <v>41306</v>
      </c>
      <c r="P22" s="6">
        <f t="shared" si="2"/>
        <v>44631</v>
      </c>
      <c r="Q22" s="6"/>
      <c r="R22" s="6"/>
      <c r="S22" s="6"/>
      <c r="T22" s="6"/>
      <c r="U22" s="6"/>
      <c r="Y22" s="5">
        <f t="shared" ref="Y22:Z22" si="3">+Y20-Y21</f>
        <v>143754</v>
      </c>
      <c r="Z22" s="5">
        <f t="shared" si="3"/>
        <v>147568</v>
      </c>
      <c r="AA22" s="5">
        <f>+AA20-AA21</f>
        <v>157983</v>
      </c>
    </row>
    <row r="23" spans="2:27" s="5" customFormat="1" x14ac:dyDescent="0.25">
      <c r="B23" s="5" t="s">
        <v>24</v>
      </c>
      <c r="C23" s="6"/>
      <c r="D23" s="6"/>
      <c r="E23" s="6"/>
      <c r="F23" s="6"/>
      <c r="G23" s="6">
        <v>30777</v>
      </c>
      <c r="H23" s="6">
        <v>32466</v>
      </c>
      <c r="I23" s="6">
        <v>33419</v>
      </c>
      <c r="J23" s="6">
        <f>+AA23-I23-H23-G23</f>
        <v>34309</v>
      </c>
      <c r="K23" s="6">
        <v>33236</v>
      </c>
      <c r="L23" s="6">
        <v>34585</v>
      </c>
      <c r="M23" s="6">
        <v>35540</v>
      </c>
      <c r="N23" s="6">
        <v>36523</v>
      </c>
      <c r="O23" s="6">
        <v>34171</v>
      </c>
      <c r="P23" s="6">
        <v>37345</v>
      </c>
      <c r="Q23" s="6"/>
      <c r="R23" s="6"/>
      <c r="S23" s="6"/>
      <c r="T23" s="6"/>
      <c r="U23" s="6"/>
      <c r="Y23" s="5">
        <v>117812</v>
      </c>
      <c r="Z23" s="5">
        <v>127140</v>
      </c>
      <c r="AA23" s="5">
        <v>130971</v>
      </c>
    </row>
    <row r="24" spans="2:27" x14ac:dyDescent="0.25">
      <c r="B24" s="5" t="s">
        <v>25</v>
      </c>
      <c r="G24" s="6">
        <f t="shared" ref="G24:P24" si="4">+G22-G23</f>
        <v>6240</v>
      </c>
      <c r="H24" s="6">
        <f t="shared" si="4"/>
        <v>7316</v>
      </c>
      <c r="I24" s="6">
        <f t="shared" si="4"/>
        <v>6202</v>
      </c>
      <c r="J24" s="6">
        <f t="shared" si="4"/>
        <v>7254</v>
      </c>
      <c r="K24" s="6">
        <f t="shared" si="4"/>
        <v>6841</v>
      </c>
      <c r="L24" s="6">
        <f t="shared" si="4"/>
        <v>7940</v>
      </c>
      <c r="M24" s="6">
        <f t="shared" si="4"/>
        <v>6708</v>
      </c>
      <c r="N24" s="6">
        <f t="shared" si="4"/>
        <v>7859</v>
      </c>
      <c r="O24" s="6">
        <f t="shared" si="4"/>
        <v>7135</v>
      </c>
      <c r="P24" s="6">
        <f t="shared" si="4"/>
        <v>7286</v>
      </c>
      <c r="Y24" s="5">
        <f t="shared" ref="Y24:Z24" si="5">+Y22-Y23</f>
        <v>25942</v>
      </c>
      <c r="Z24" s="5">
        <f t="shared" si="5"/>
        <v>20428</v>
      </c>
      <c r="AA24" s="5">
        <f>+AA22-AA23</f>
        <v>27012</v>
      </c>
    </row>
    <row r="25" spans="2:27" x14ac:dyDescent="0.25">
      <c r="B25" s="5" t="s">
        <v>27</v>
      </c>
      <c r="G25" s="6">
        <f>-557-2995</f>
        <v>-3552</v>
      </c>
      <c r="H25" s="6">
        <f>-494+3905</f>
        <v>3411</v>
      </c>
      <c r="I25" s="2">
        <f>-572-110+145</f>
        <v>-537</v>
      </c>
      <c r="J25" s="6">
        <f>+AA25-I25-H25-G25</f>
        <v>-4486</v>
      </c>
      <c r="K25" s="6">
        <f>-600+794</f>
        <v>194</v>
      </c>
      <c r="L25" s="6">
        <f>-565-1162</f>
        <v>-1727</v>
      </c>
      <c r="M25" s="2">
        <f>-496-122+140-132</f>
        <v>-610</v>
      </c>
      <c r="N25" s="2">
        <v>-602</v>
      </c>
      <c r="O25" s="2">
        <v>-544</v>
      </c>
      <c r="P25" s="2">
        <v>-675</v>
      </c>
      <c r="Y25" s="5">
        <f>-1836-3000</f>
        <v>-4836</v>
      </c>
      <c r="Z25" s="5">
        <f>-1874-1538</f>
        <v>-3412</v>
      </c>
      <c r="AA25" s="5">
        <f>-2137-3027</f>
        <v>-5164</v>
      </c>
    </row>
    <row r="26" spans="2:27" s="5" customFormat="1" x14ac:dyDescent="0.25">
      <c r="B26" s="5" t="s">
        <v>26</v>
      </c>
      <c r="C26" s="6"/>
      <c r="D26" s="6"/>
      <c r="E26" s="6"/>
      <c r="F26" s="6"/>
      <c r="G26" s="6">
        <f>+G24+G25</f>
        <v>2688</v>
      </c>
      <c r="H26" s="6">
        <f>+H24+H25</f>
        <v>10727</v>
      </c>
      <c r="I26" s="6">
        <f t="shared" ref="I26" si="6">+I24+I25</f>
        <v>5665</v>
      </c>
      <c r="J26" s="6">
        <f>+J24+J25</f>
        <v>2768</v>
      </c>
      <c r="K26" s="6">
        <f>+K24+K25</f>
        <v>7035</v>
      </c>
      <c r="L26" s="6">
        <f>+L24+L25</f>
        <v>6213</v>
      </c>
      <c r="M26" s="6">
        <f>+M24+M25</f>
        <v>6098</v>
      </c>
      <c r="N26" s="6">
        <f t="shared" ref="N26:P26" si="7">+N24+N25</f>
        <v>7257</v>
      </c>
      <c r="O26" s="6">
        <f t="shared" si="7"/>
        <v>6591</v>
      </c>
      <c r="P26" s="6">
        <f t="shared" si="7"/>
        <v>6611</v>
      </c>
      <c r="Q26" s="6"/>
      <c r="R26" s="6"/>
      <c r="S26" s="6"/>
      <c r="T26" s="6"/>
      <c r="U26" s="6"/>
      <c r="Y26" s="5">
        <f>+Y24+Y25</f>
        <v>21106</v>
      </c>
      <c r="Z26" s="5">
        <f>+Z24+Z25</f>
        <v>17016</v>
      </c>
      <c r="AA26" s="5">
        <f>+AA24+AA25</f>
        <v>21848</v>
      </c>
    </row>
    <row r="27" spans="2:27" s="5" customFormat="1" x14ac:dyDescent="0.25">
      <c r="B27" s="5" t="s">
        <v>28</v>
      </c>
      <c r="C27" s="6"/>
      <c r="D27" s="6"/>
      <c r="E27" s="6"/>
      <c r="F27" s="6"/>
      <c r="G27" s="6">
        <f>792+223</f>
        <v>1015</v>
      </c>
      <c r="H27" s="6">
        <f>2674+162</f>
        <v>2836</v>
      </c>
      <c r="I27" s="6">
        <v>272</v>
      </c>
      <c r="J27" s="6">
        <f>+AA27-I27-H27-G27</f>
        <v>2214</v>
      </c>
      <c r="K27" s="6">
        <f>1728+203</f>
        <v>1931</v>
      </c>
      <c r="L27" s="6">
        <f>1502+210</f>
        <v>1712</v>
      </c>
      <c r="M27" s="6">
        <v>1384</v>
      </c>
      <c r="N27" s="6">
        <v>1538</v>
      </c>
      <c r="O27" s="6">
        <v>1355</v>
      </c>
      <c r="P27" s="6">
        <v>2168</v>
      </c>
      <c r="Q27" s="6"/>
      <c r="R27" s="6"/>
      <c r="S27" s="6"/>
      <c r="T27" s="6"/>
      <c r="U27" s="6"/>
      <c r="Y27" s="5">
        <f>4756+267</f>
        <v>5023</v>
      </c>
      <c r="Z27" s="5">
        <f>5724-388</f>
        <v>5336</v>
      </c>
      <c r="AA27" s="5">
        <f>5578+759</f>
        <v>6337</v>
      </c>
    </row>
    <row r="28" spans="2:27" s="5" customFormat="1" x14ac:dyDescent="0.25">
      <c r="B28" s="5" t="s">
        <v>29</v>
      </c>
      <c r="C28" s="6"/>
      <c r="D28" s="6"/>
      <c r="E28" s="6"/>
      <c r="F28" s="6"/>
      <c r="G28" s="6">
        <f t="shared" ref="G28:P28" si="8">+G26-G27</f>
        <v>1673</v>
      </c>
      <c r="H28" s="6">
        <f t="shared" si="8"/>
        <v>7891</v>
      </c>
      <c r="I28" s="6">
        <f>+I26-I27</f>
        <v>5393</v>
      </c>
      <c r="J28" s="6">
        <f>+J26-J27</f>
        <v>554</v>
      </c>
      <c r="K28" s="6">
        <f t="shared" si="8"/>
        <v>5104</v>
      </c>
      <c r="L28" s="6">
        <f t="shared" si="8"/>
        <v>4501</v>
      </c>
      <c r="M28" s="6">
        <f t="shared" si="8"/>
        <v>4714</v>
      </c>
      <c r="N28" s="6">
        <f t="shared" si="8"/>
        <v>5719</v>
      </c>
      <c r="O28" s="6">
        <f t="shared" si="8"/>
        <v>5236</v>
      </c>
      <c r="P28" s="6">
        <f t="shared" si="8"/>
        <v>4443</v>
      </c>
      <c r="Q28" s="6"/>
      <c r="R28" s="6"/>
      <c r="S28" s="6"/>
      <c r="T28" s="6"/>
      <c r="U28" s="6"/>
      <c r="Y28" s="5">
        <f t="shared" ref="Y28:Z28" si="9">+Y26-Y27</f>
        <v>16083</v>
      </c>
      <c r="Z28" s="5">
        <f t="shared" si="9"/>
        <v>11680</v>
      </c>
      <c r="AA28" s="5">
        <f>+AA26-AA27</f>
        <v>15511</v>
      </c>
    </row>
    <row r="29" spans="2:27" x14ac:dyDescent="0.25">
      <c r="B29" s="5" t="s">
        <v>30</v>
      </c>
      <c r="G29" s="9">
        <f t="shared" ref="G29:P29" si="10">+G28/G30</f>
        <v>0.20623767258382644</v>
      </c>
      <c r="H29" s="9">
        <f t="shared" si="10"/>
        <v>0.97323630981746423</v>
      </c>
      <c r="I29" s="9">
        <f t="shared" si="10"/>
        <v>0.66498150431565972</v>
      </c>
      <c r="J29" s="9">
        <f t="shared" si="10"/>
        <v>6.8327577701036007E-2</v>
      </c>
      <c r="K29" s="9">
        <f t="shared" si="10"/>
        <v>0.63137060860959926</v>
      </c>
      <c r="L29" s="9">
        <f t="shared" si="10"/>
        <v>0.55698552159386217</v>
      </c>
      <c r="M29" s="9">
        <f t="shared" si="10"/>
        <v>0.58327146745854985</v>
      </c>
      <c r="N29" s="9">
        <f t="shared" si="10"/>
        <v>0.70797227036395149</v>
      </c>
      <c r="O29" s="9">
        <f t="shared" si="10"/>
        <v>0.65035399329275867</v>
      </c>
      <c r="P29" s="9">
        <f t="shared" si="10"/>
        <v>0.55426646706586824</v>
      </c>
      <c r="Y29" s="1">
        <f>+Y28/Y30</f>
        <v>1.9112299465240641</v>
      </c>
      <c r="Z29" s="1">
        <f t="shared" ref="Z29:AA29" si="11">+Z28/Z30</f>
        <v>1.4240429163618629</v>
      </c>
      <c r="AA29" s="1">
        <f t="shared" si="11"/>
        <v>1.9130488406512087</v>
      </c>
    </row>
    <row r="30" spans="2:27" s="5" customFormat="1" x14ac:dyDescent="0.25">
      <c r="B30" s="5" t="s">
        <v>1</v>
      </c>
      <c r="C30" s="6"/>
      <c r="D30" s="6"/>
      <c r="E30" s="6"/>
      <c r="F30" s="6"/>
      <c r="G30" s="6">
        <v>8112</v>
      </c>
      <c r="H30" s="6">
        <v>8108</v>
      </c>
      <c r="I30" s="6">
        <v>8110</v>
      </c>
      <c r="J30" s="6">
        <f>AA30</f>
        <v>8108</v>
      </c>
      <c r="K30" s="6">
        <v>8084</v>
      </c>
      <c r="L30" s="6">
        <v>8081</v>
      </c>
      <c r="M30" s="6">
        <v>8082</v>
      </c>
      <c r="N30" s="6">
        <v>8078</v>
      </c>
      <c r="O30" s="6">
        <v>8051</v>
      </c>
      <c r="P30" s="6">
        <v>8016</v>
      </c>
      <c r="Q30" s="6"/>
      <c r="R30" s="6"/>
      <c r="S30" s="6"/>
      <c r="T30" s="6"/>
      <c r="U30" s="6"/>
      <c r="Y30" s="5">
        <v>8415</v>
      </c>
      <c r="Z30" s="5">
        <v>8202</v>
      </c>
      <c r="AA30" s="5">
        <v>8108</v>
      </c>
    </row>
    <row r="32" spans="2:27" x14ac:dyDescent="0.25">
      <c r="B32" s="5" t="s">
        <v>46</v>
      </c>
      <c r="K32" s="12">
        <f>K20/G20-1</f>
        <v>6.045265625307783E-2</v>
      </c>
      <c r="L32" s="12">
        <f>L20/H20-1</f>
        <v>4.765764205107903E-2</v>
      </c>
      <c r="M32" s="12">
        <f>M20/I20-1</f>
        <v>5.4625506828188453E-2</v>
      </c>
      <c r="N32" s="12">
        <f t="shared" ref="N32:P32" si="12">N20/J20-1</f>
        <v>4.1329273075414674E-2</v>
      </c>
      <c r="O32" s="12">
        <f t="shared" si="12"/>
        <v>2.5391931049855154E-2</v>
      </c>
      <c r="P32" s="12">
        <f t="shared" si="12"/>
        <v>4.7639294888829786E-2</v>
      </c>
      <c r="Z32" s="10">
        <f>+Z20/Y20-1</f>
        <v>6.7280193590965709E-2</v>
      </c>
      <c r="AA32" s="10">
        <f>+AA20/Z20-1</f>
        <v>6.02595499019285E-2</v>
      </c>
    </row>
    <row r="33" spans="2:27" x14ac:dyDescent="0.25">
      <c r="B33" s="5" t="s">
        <v>52</v>
      </c>
      <c r="G33" s="12">
        <f t="shared" ref="G33:J33" si="13">+G22/G20</f>
        <v>0.24305158863040952</v>
      </c>
      <c r="H33" s="12">
        <f t="shared" si="13"/>
        <v>0.24612700455355374</v>
      </c>
      <c r="I33" s="12">
        <f t="shared" si="13"/>
        <v>0.24639312454914056</v>
      </c>
      <c r="J33" s="12">
        <f t="shared" si="13"/>
        <v>0.23971093731976839</v>
      </c>
      <c r="K33" s="12">
        <f>+K22/K20</f>
        <v>0.24814250687272457</v>
      </c>
      <c r="L33" s="12">
        <f t="shared" ref="L33:M33" si="14">+L22/L20</f>
        <v>0.25112941801753919</v>
      </c>
      <c r="M33" s="12">
        <f t="shared" si="14"/>
        <v>0.24912140009906361</v>
      </c>
      <c r="N33" s="12">
        <f t="shared" ref="N33:P33" si="15">+N22/N20</f>
        <v>0.24581011774870676</v>
      </c>
      <c r="O33" s="12">
        <f t="shared" si="15"/>
        <v>0.24941881177955305</v>
      </c>
      <c r="P33" s="12">
        <f t="shared" si="15"/>
        <v>0.25158115466567454</v>
      </c>
      <c r="Y33" s="12">
        <f t="shared" ref="Y33:AA33" si="16">+Y22/Y20</f>
        <v>0.25098733487675334</v>
      </c>
      <c r="Z33" s="12">
        <f t="shared" si="16"/>
        <v>0.24140463839525986</v>
      </c>
      <c r="AA33" s="12">
        <f t="shared" si="16"/>
        <v>0.24375390549662487</v>
      </c>
    </row>
    <row r="34" spans="2:27" x14ac:dyDescent="0.25">
      <c r="B34" s="5" t="s">
        <v>53</v>
      </c>
      <c r="G34" s="12">
        <f t="shared" ref="G34:M34" si="17">+G24/G20</f>
        <v>4.0971497232454156E-2</v>
      </c>
      <c r="H34" s="12">
        <f t="shared" si="17"/>
        <v>4.5263314195208869E-2</v>
      </c>
      <c r="I34" s="12">
        <f t="shared" si="17"/>
        <v>3.8568692321086541E-2</v>
      </c>
      <c r="J34" s="12">
        <f t="shared" ref="J34" si="18">+J24/J20</f>
        <v>4.1836805315246729E-2</v>
      </c>
      <c r="K34" s="12">
        <f t="shared" si="17"/>
        <v>4.2357034945637369E-2</v>
      </c>
      <c r="L34" s="12">
        <f t="shared" si="17"/>
        <v>4.6889302270646943E-2</v>
      </c>
      <c r="M34" s="12">
        <f t="shared" si="17"/>
        <v>3.9554685473028754E-2</v>
      </c>
      <c r="N34" s="12">
        <f t="shared" ref="N34:P34" si="19">+N24/N20</f>
        <v>4.3527144233858013E-2</v>
      </c>
      <c r="O34" s="12">
        <f t="shared" si="19"/>
        <v>4.308340730274321E-2</v>
      </c>
      <c r="P34" s="12">
        <f t="shared" si="19"/>
        <v>4.1070562902334809E-2</v>
      </c>
      <c r="Y34" s="12">
        <f t="shared" ref="Y34:Z34" si="20">+Y24/Y20</f>
        <v>4.5293441861602016E-2</v>
      </c>
      <c r="Z34" s="12">
        <f t="shared" si="20"/>
        <v>3.3417908714208827E-2</v>
      </c>
      <c r="AA34" s="12">
        <f>+AA24/AA20</f>
        <v>4.16771456123433E-2</v>
      </c>
    </row>
    <row r="35" spans="2:27" x14ac:dyDescent="0.25">
      <c r="B35" s="5" t="s">
        <v>54</v>
      </c>
      <c r="G35" s="12">
        <f>+G27/G26</f>
        <v>0.37760416666666669</v>
      </c>
      <c r="H35" s="12">
        <f t="shared" ref="H35:M35" si="21">+H27/H26</f>
        <v>0.26437960287125944</v>
      </c>
      <c r="I35" s="12">
        <f t="shared" si="21"/>
        <v>4.8014121800529566E-2</v>
      </c>
      <c r="J35" s="12">
        <f t="shared" ref="J35" si="22">+J27/J26</f>
        <v>0.79985549132947975</v>
      </c>
      <c r="K35" s="12">
        <f t="shared" si="21"/>
        <v>0.27448471926083867</v>
      </c>
      <c r="L35" s="12">
        <f t="shared" si="21"/>
        <v>0.27555126347980041</v>
      </c>
      <c r="M35" s="12">
        <f t="shared" si="21"/>
        <v>0.22695965890455888</v>
      </c>
      <c r="N35" s="12">
        <f t="shared" ref="N35:P35" si="23">+N27/N26</f>
        <v>0.2119333057737357</v>
      </c>
      <c r="O35" s="12">
        <f t="shared" si="23"/>
        <v>0.20558337126384463</v>
      </c>
      <c r="P35" s="12">
        <f t="shared" si="23"/>
        <v>0.32793828467705338</v>
      </c>
      <c r="Q35" s="12"/>
      <c r="R35" s="12"/>
      <c r="S35" s="12"/>
      <c r="T35" s="12"/>
      <c r="U35" s="12"/>
      <c r="Y35" s="12"/>
      <c r="Z35" s="12"/>
      <c r="AA35" s="12"/>
    </row>
    <row r="37" spans="2:27" x14ac:dyDescent="0.25">
      <c r="B37" s="5" t="s">
        <v>45</v>
      </c>
      <c r="J37" s="6">
        <f t="shared" ref="J37:P37" si="24">+J38-J48</f>
        <v>-30590</v>
      </c>
      <c r="K37" s="6">
        <f t="shared" si="24"/>
        <v>-33845</v>
      </c>
      <c r="L37" s="6">
        <f t="shared" si="24"/>
        <v>-31243</v>
      </c>
      <c r="M37" s="6">
        <f t="shared" si="24"/>
        <v>-30421</v>
      </c>
      <c r="N37" s="6">
        <f t="shared" si="24"/>
        <v>-30030</v>
      </c>
      <c r="O37" s="6">
        <f t="shared" si="24"/>
        <v>-36889</v>
      </c>
      <c r="P37" s="6">
        <f t="shared" si="24"/>
        <v>-34057</v>
      </c>
      <c r="AA37" s="5">
        <f>+AA38-AA48</f>
        <v>-30590</v>
      </c>
    </row>
    <row r="38" spans="2:27" s="5" customFormat="1" x14ac:dyDescent="0.25">
      <c r="B38" s="5" t="s">
        <v>3</v>
      </c>
      <c r="C38" s="6"/>
      <c r="D38" s="6"/>
      <c r="E38" s="6"/>
      <c r="F38" s="6"/>
      <c r="G38" s="6"/>
      <c r="H38" s="6"/>
      <c r="I38" s="6"/>
      <c r="J38" s="6">
        <v>9867</v>
      </c>
      <c r="K38" s="6">
        <v>9405</v>
      </c>
      <c r="L38" s="6">
        <v>8811</v>
      </c>
      <c r="M38" s="6">
        <v>10049</v>
      </c>
      <c r="N38" s="6">
        <v>9037</v>
      </c>
      <c r="O38" s="6">
        <v>9311</v>
      </c>
      <c r="P38" s="6">
        <v>9431</v>
      </c>
      <c r="Q38" s="6"/>
      <c r="R38" s="6"/>
      <c r="S38" s="6"/>
      <c r="T38" s="6"/>
      <c r="U38" s="6"/>
      <c r="AA38" s="5">
        <f t="shared" ref="AA38:AA54" si="25">+J38</f>
        <v>9867</v>
      </c>
    </row>
    <row r="39" spans="2:27" s="5" customFormat="1" x14ac:dyDescent="0.25">
      <c r="B39" s="5" t="s">
        <v>38</v>
      </c>
      <c r="C39" s="6"/>
      <c r="D39" s="6"/>
      <c r="E39" s="6"/>
      <c r="F39" s="6"/>
      <c r="G39" s="6"/>
      <c r="H39" s="6"/>
      <c r="I39" s="6"/>
      <c r="J39" s="6">
        <v>8796</v>
      </c>
      <c r="K39" s="6">
        <v>9075</v>
      </c>
      <c r="L39" s="6">
        <v>8650</v>
      </c>
      <c r="M39" s="6">
        <v>10039</v>
      </c>
      <c r="N39" s="6">
        <v>9975</v>
      </c>
      <c r="O39" s="6">
        <v>9686</v>
      </c>
      <c r="P39" s="6">
        <v>10518</v>
      </c>
      <c r="Q39" s="6"/>
      <c r="R39" s="6"/>
      <c r="S39" s="6"/>
      <c r="T39" s="6"/>
      <c r="U39" s="6"/>
      <c r="AA39" s="5">
        <f t="shared" si="25"/>
        <v>8796</v>
      </c>
    </row>
    <row r="40" spans="2:27" s="5" customFormat="1" x14ac:dyDescent="0.25">
      <c r="B40" s="5" t="s">
        <v>37</v>
      </c>
      <c r="C40" s="6"/>
      <c r="D40" s="6"/>
      <c r="E40" s="6"/>
      <c r="F40" s="6"/>
      <c r="G40" s="6"/>
      <c r="H40" s="6"/>
      <c r="I40" s="6"/>
      <c r="J40" s="6">
        <v>54892</v>
      </c>
      <c r="K40" s="6">
        <v>55382</v>
      </c>
      <c r="L40" s="6">
        <v>55611</v>
      </c>
      <c r="M40" s="6">
        <v>63302</v>
      </c>
      <c r="N40" s="6">
        <v>56435</v>
      </c>
      <c r="O40" s="6">
        <v>57467</v>
      </c>
      <c r="P40" s="6">
        <v>57729</v>
      </c>
      <c r="Q40" s="6"/>
      <c r="R40" s="6"/>
      <c r="S40" s="6"/>
      <c r="T40" s="6"/>
      <c r="U40" s="6"/>
      <c r="AA40" s="5">
        <f t="shared" si="25"/>
        <v>54892</v>
      </c>
    </row>
    <row r="41" spans="2:27" s="5" customFormat="1" x14ac:dyDescent="0.25">
      <c r="B41" s="5" t="s">
        <v>36</v>
      </c>
      <c r="C41" s="6"/>
      <c r="D41" s="6"/>
      <c r="E41" s="6"/>
      <c r="F41" s="6"/>
      <c r="G41" s="6"/>
      <c r="H41" s="6"/>
      <c r="I41" s="6"/>
      <c r="J41" s="6">
        <v>3322</v>
      </c>
      <c r="K41" s="6">
        <v>3290</v>
      </c>
      <c r="L41" s="6">
        <v>3438</v>
      </c>
      <c r="M41" s="6">
        <v>3548</v>
      </c>
      <c r="N41" s="6">
        <v>4011</v>
      </c>
      <c r="O41" s="6">
        <v>3789</v>
      </c>
      <c r="P41" s="6">
        <v>4355</v>
      </c>
      <c r="Q41" s="6"/>
      <c r="R41" s="6"/>
      <c r="S41" s="6"/>
      <c r="T41" s="6"/>
      <c r="U41" s="6"/>
      <c r="AA41" s="5">
        <f t="shared" si="25"/>
        <v>3322</v>
      </c>
    </row>
    <row r="42" spans="2:27" s="7" customFormat="1" ht="13" x14ac:dyDescent="0.3">
      <c r="B42" s="7" t="s">
        <v>35</v>
      </c>
      <c r="C42" s="8"/>
      <c r="D42" s="8"/>
      <c r="E42" s="8"/>
      <c r="F42" s="8"/>
      <c r="G42" s="8"/>
      <c r="H42" s="8"/>
      <c r="I42" s="6"/>
      <c r="J42" s="6">
        <v>110810</v>
      </c>
      <c r="K42" s="6">
        <v>111498</v>
      </c>
      <c r="L42" s="6">
        <v>113818</v>
      </c>
      <c r="M42" s="6">
        <v>116598</v>
      </c>
      <c r="N42" s="8">
        <v>119993</v>
      </c>
      <c r="O42" s="8">
        <v>121261</v>
      </c>
      <c r="P42" s="8">
        <v>125476</v>
      </c>
      <c r="Q42" s="8"/>
      <c r="R42" s="8"/>
      <c r="S42" s="8"/>
      <c r="T42" s="8"/>
      <c r="U42" s="8"/>
      <c r="AA42" s="5">
        <f t="shared" si="25"/>
        <v>110810</v>
      </c>
    </row>
    <row r="43" spans="2:27" s="5" customFormat="1" x14ac:dyDescent="0.25">
      <c r="B43" s="5" t="s">
        <v>34</v>
      </c>
      <c r="C43" s="6"/>
      <c r="D43" s="6"/>
      <c r="E43" s="6"/>
      <c r="F43" s="6"/>
      <c r="G43" s="6"/>
      <c r="H43" s="6"/>
      <c r="I43" s="6"/>
      <c r="J43" s="6">
        <f>13673+5855</f>
        <v>19528</v>
      </c>
      <c r="K43" s="6">
        <f>13562+6285</f>
        <v>19847</v>
      </c>
      <c r="L43" s="6">
        <f>13579+6341</f>
        <v>19920</v>
      </c>
      <c r="M43" s="6">
        <f>13701+6227</f>
        <v>19928</v>
      </c>
      <c r="N43" s="6">
        <f>13599+6112</f>
        <v>19711</v>
      </c>
      <c r="O43" s="6">
        <f>13567+6056</f>
        <v>19623</v>
      </c>
      <c r="P43" s="6">
        <f>13953+6128</f>
        <v>20081</v>
      </c>
      <c r="Q43" s="6"/>
      <c r="R43" s="6"/>
      <c r="S43" s="6"/>
      <c r="T43" s="6"/>
      <c r="U43" s="6"/>
      <c r="V43" s="10"/>
      <c r="W43" s="1"/>
      <c r="AA43" s="5">
        <f t="shared" si="25"/>
        <v>19528</v>
      </c>
    </row>
    <row r="44" spans="2:27" s="5" customFormat="1" x14ac:dyDescent="0.25">
      <c r="B44" s="5" t="s">
        <v>33</v>
      </c>
      <c r="C44" s="6"/>
      <c r="D44" s="6"/>
      <c r="E44" s="6"/>
      <c r="F44" s="6"/>
      <c r="G44" s="6"/>
      <c r="H44" s="6"/>
      <c r="I44" s="6"/>
      <c r="J44" s="6">
        <v>28113</v>
      </c>
      <c r="K44" s="6">
        <v>27999</v>
      </c>
      <c r="L44" s="6">
        <v>27930</v>
      </c>
      <c r="M44" s="6">
        <v>27942</v>
      </c>
      <c r="N44" s="6">
        <v>28792</v>
      </c>
      <c r="O44" s="6">
        <v>28866</v>
      </c>
      <c r="P44" s="6">
        <v>29060</v>
      </c>
      <c r="Q44" s="6"/>
      <c r="R44" s="6"/>
      <c r="S44" s="6"/>
      <c r="T44" s="6"/>
      <c r="U44" s="6"/>
      <c r="AA44" s="5">
        <f t="shared" si="25"/>
        <v>28113</v>
      </c>
    </row>
    <row r="45" spans="2:27" s="5" customFormat="1" x14ac:dyDescent="0.25">
      <c r="B45" s="5" t="s">
        <v>32</v>
      </c>
      <c r="C45" s="6"/>
      <c r="D45" s="6"/>
      <c r="E45" s="6"/>
      <c r="F45" s="6"/>
      <c r="G45" s="6"/>
      <c r="H45" s="6"/>
      <c r="I45" s="6"/>
      <c r="J45" s="6">
        <v>17071</v>
      </c>
      <c r="K45" s="6">
        <v>17558</v>
      </c>
      <c r="L45" s="6">
        <v>16262</v>
      </c>
      <c r="M45" s="6">
        <v>11993</v>
      </c>
      <c r="N45" s="6">
        <v>12869</v>
      </c>
      <c r="O45" s="6">
        <v>12369</v>
      </c>
      <c r="P45" s="6">
        <v>14187</v>
      </c>
      <c r="Q45" s="6"/>
      <c r="R45" s="6"/>
      <c r="S45" s="6"/>
      <c r="T45" s="6"/>
      <c r="U45" s="6"/>
      <c r="AA45" s="5">
        <f t="shared" si="25"/>
        <v>17071</v>
      </c>
    </row>
    <row r="46" spans="2:27" s="5" customFormat="1" x14ac:dyDescent="0.25">
      <c r="B46" s="5" t="s">
        <v>31</v>
      </c>
      <c r="C46" s="6"/>
      <c r="D46" s="6"/>
      <c r="E46" s="6"/>
      <c r="F46" s="6"/>
      <c r="G46" s="6"/>
      <c r="H46" s="6"/>
      <c r="I46" s="6"/>
      <c r="J46" s="6">
        <f>SUM(J38:J45)</f>
        <v>252399</v>
      </c>
      <c r="K46" s="6">
        <f>SUM(K38:K45)</f>
        <v>254054</v>
      </c>
      <c r="L46" s="6">
        <f>SUM(L38:L45)</f>
        <v>254440</v>
      </c>
      <c r="M46" s="6">
        <f>SUM(M38:M45)</f>
        <v>263399</v>
      </c>
      <c r="N46" s="6">
        <f t="shared" ref="N46:P46" si="26">SUM(N38:N45)</f>
        <v>260823</v>
      </c>
      <c r="O46" s="6">
        <f t="shared" si="26"/>
        <v>262372</v>
      </c>
      <c r="P46" s="6">
        <f t="shared" si="26"/>
        <v>270837</v>
      </c>
      <c r="Q46" s="6"/>
      <c r="R46" s="6"/>
      <c r="S46" s="6"/>
      <c r="T46" s="6"/>
      <c r="U46" s="6"/>
      <c r="AA46" s="5">
        <f>SUM(AA38:AA45)</f>
        <v>252399</v>
      </c>
    </row>
    <row r="47" spans="2:27" x14ac:dyDescent="0.25">
      <c r="AA47" s="5"/>
    </row>
    <row r="48" spans="2:27" x14ac:dyDescent="0.25">
      <c r="B48" s="5" t="s">
        <v>4</v>
      </c>
      <c r="J48" s="6">
        <f>878+36132+3447</f>
        <v>40457</v>
      </c>
      <c r="K48" s="6">
        <f>5457+35928+1865</f>
        <v>43250</v>
      </c>
      <c r="L48" s="6">
        <f>3195+35364+1495</f>
        <v>40054</v>
      </c>
      <c r="M48" s="6">
        <f>3579+3246+33645</f>
        <v>40470</v>
      </c>
      <c r="N48" s="6">
        <f>3068+2598+33401</f>
        <v>39067</v>
      </c>
      <c r="O48" s="6">
        <f>5595+4085+36520</f>
        <v>46200</v>
      </c>
      <c r="P48" s="6">
        <f>3837+4011+35640</f>
        <v>43488</v>
      </c>
      <c r="AA48" s="5">
        <f t="shared" si="25"/>
        <v>40457</v>
      </c>
    </row>
    <row r="49" spans="2:27" x14ac:dyDescent="0.25">
      <c r="B49" s="5" t="s">
        <v>40</v>
      </c>
      <c r="J49" s="6">
        <v>56812</v>
      </c>
      <c r="K49" s="6">
        <v>56071</v>
      </c>
      <c r="L49" s="6">
        <v>56716</v>
      </c>
      <c r="M49" s="6">
        <v>62863</v>
      </c>
      <c r="N49" s="6">
        <v>58666</v>
      </c>
      <c r="O49" s="6">
        <v>57700</v>
      </c>
      <c r="P49" s="6">
        <v>60086</v>
      </c>
      <c r="AA49" s="5">
        <f t="shared" si="25"/>
        <v>56812</v>
      </c>
    </row>
    <row r="50" spans="2:27" x14ac:dyDescent="0.25">
      <c r="B50" s="5" t="s">
        <v>41</v>
      </c>
      <c r="J50" s="6">
        <v>0</v>
      </c>
      <c r="K50" s="6">
        <v>5013</v>
      </c>
      <c r="L50" s="6">
        <v>3343</v>
      </c>
      <c r="M50" s="6">
        <v>1674</v>
      </c>
      <c r="N50" s="6">
        <v>0</v>
      </c>
      <c r="O50" s="6">
        <v>5660</v>
      </c>
      <c r="P50" s="6">
        <v>3783</v>
      </c>
      <c r="AA50" s="5">
        <f t="shared" si="25"/>
        <v>0</v>
      </c>
    </row>
    <row r="51" spans="2:27" x14ac:dyDescent="0.25">
      <c r="B51" s="5" t="s">
        <v>42</v>
      </c>
      <c r="J51" s="6">
        <v>28759</v>
      </c>
      <c r="K51" s="6">
        <v>24092</v>
      </c>
      <c r="L51" s="6">
        <v>27656</v>
      </c>
      <c r="M51" s="6">
        <v>28117</v>
      </c>
      <c r="N51" s="6">
        <v>29345</v>
      </c>
      <c r="O51" s="6">
        <v>26085</v>
      </c>
      <c r="P51" s="6">
        <v>28821</v>
      </c>
      <c r="AA51" s="5">
        <f t="shared" si="25"/>
        <v>28759</v>
      </c>
    </row>
    <row r="52" spans="2:27" x14ac:dyDescent="0.25">
      <c r="B52" s="5" t="s">
        <v>28</v>
      </c>
      <c r="J52" s="6">
        <f>307+14629</f>
        <v>14936</v>
      </c>
      <c r="K52" s="6">
        <f>1276+14849</f>
        <v>16125</v>
      </c>
      <c r="L52" s="6">
        <f>576+14072</f>
        <v>14648</v>
      </c>
      <c r="M52" s="6">
        <f>783+13748</f>
        <v>14531</v>
      </c>
      <c r="N52" s="6">
        <f>14398+608</f>
        <v>15006</v>
      </c>
      <c r="O52" s="6">
        <f>1465+13609</f>
        <v>15074</v>
      </c>
      <c r="P52" s="6">
        <f>620+15656</f>
        <v>16276</v>
      </c>
      <c r="AA52" s="5">
        <f t="shared" si="25"/>
        <v>14936</v>
      </c>
    </row>
    <row r="53" spans="2:27" x14ac:dyDescent="0.25">
      <c r="B53" s="5" t="s">
        <v>39</v>
      </c>
      <c r="J53" s="6">
        <f>725+1487+12943+5709</f>
        <v>20864</v>
      </c>
      <c r="K53" s="6">
        <f>844+1482+6047+12840</f>
        <v>21213</v>
      </c>
      <c r="L53" s="6">
        <f>1493+786+12811+6161</f>
        <v>21251</v>
      </c>
      <c r="M53" s="6">
        <f>1507+789+12927+6056</f>
        <v>21279</v>
      </c>
      <c r="N53" s="6">
        <f>12825+5923+1499+800</f>
        <v>21047</v>
      </c>
      <c r="O53" s="6">
        <f>1539+791+12797+5878</f>
        <v>21005</v>
      </c>
      <c r="P53" s="6">
        <f>1580+828+13171+5947</f>
        <v>21526</v>
      </c>
      <c r="AA53" s="5">
        <f t="shared" si="25"/>
        <v>20864</v>
      </c>
    </row>
    <row r="54" spans="2:27" x14ac:dyDescent="0.25">
      <c r="B54" s="5" t="s">
        <v>43</v>
      </c>
      <c r="J54" s="6">
        <f>222+90349</f>
        <v>90571</v>
      </c>
      <c r="K54" s="6">
        <f>88073+217</f>
        <v>88290</v>
      </c>
      <c r="L54" s="6">
        <f>90565+207</f>
        <v>90772</v>
      </c>
      <c r="M54" s="6">
        <f>94276+189</f>
        <v>94465</v>
      </c>
      <c r="N54" s="6">
        <f>271+91013+6408</f>
        <v>97692</v>
      </c>
      <c r="O54" s="6">
        <f>307+83793+6548</f>
        <v>90648</v>
      </c>
      <c r="P54" s="6">
        <f>90110+6440+307</f>
        <v>96857</v>
      </c>
      <c r="AA54" s="5">
        <f t="shared" si="25"/>
        <v>90571</v>
      </c>
    </row>
    <row r="55" spans="2:27" x14ac:dyDescent="0.25">
      <c r="B55" s="5" t="s">
        <v>44</v>
      </c>
      <c r="J55" s="6">
        <f t="shared" ref="J55:P55" si="27">SUM(J48:J54)</f>
        <v>252399</v>
      </c>
      <c r="K55" s="6">
        <f t="shared" si="27"/>
        <v>254054</v>
      </c>
      <c r="L55" s="6">
        <f t="shared" si="27"/>
        <v>254440</v>
      </c>
      <c r="M55" s="6">
        <f t="shared" si="27"/>
        <v>263399</v>
      </c>
      <c r="N55" s="6">
        <f t="shared" si="27"/>
        <v>260823</v>
      </c>
      <c r="O55" s="6">
        <f t="shared" si="27"/>
        <v>262372</v>
      </c>
      <c r="P55" s="6">
        <f t="shared" si="27"/>
        <v>270837</v>
      </c>
      <c r="AA55" s="5">
        <f>SUM(AA48:AA54)</f>
        <v>252399</v>
      </c>
    </row>
    <row r="56" spans="2:27" x14ac:dyDescent="0.25">
      <c r="B56" s="5"/>
      <c r="M56" s="6"/>
    </row>
    <row r="57" spans="2:27" s="5" customFormat="1" x14ac:dyDescent="0.25">
      <c r="B57" s="5" t="s">
        <v>55</v>
      </c>
      <c r="C57" s="6"/>
      <c r="D57" s="6"/>
      <c r="E57" s="6"/>
      <c r="F57" s="6"/>
      <c r="G57" s="6">
        <f t="shared" ref="G57:I57" si="28">+G28</f>
        <v>1673</v>
      </c>
      <c r="H57" s="6">
        <f t="shared" si="28"/>
        <v>7891</v>
      </c>
      <c r="I57" s="6">
        <f t="shared" si="28"/>
        <v>5393</v>
      </c>
      <c r="J57" s="6">
        <f t="shared" ref="J57:P57" si="29">+J28</f>
        <v>554</v>
      </c>
      <c r="K57" s="6">
        <f t="shared" si="29"/>
        <v>5104</v>
      </c>
      <c r="L57" s="6">
        <f t="shared" si="29"/>
        <v>4501</v>
      </c>
      <c r="M57" s="6">
        <f t="shared" si="29"/>
        <v>4714</v>
      </c>
      <c r="N57" s="6">
        <f t="shared" si="29"/>
        <v>5719</v>
      </c>
      <c r="O57" s="6">
        <f t="shared" si="29"/>
        <v>5236</v>
      </c>
      <c r="P57" s="6">
        <f t="shared" si="29"/>
        <v>4443</v>
      </c>
      <c r="Q57" s="6"/>
      <c r="R57" s="6"/>
      <c r="S57" s="6"/>
      <c r="T57" s="6"/>
      <c r="U57" s="6"/>
      <c r="AA57" s="5">
        <f>SUM(G57:J57)</f>
        <v>15511</v>
      </c>
    </row>
    <row r="58" spans="2:27" s="5" customFormat="1" x14ac:dyDescent="0.25">
      <c r="B58" s="5" t="s">
        <v>56</v>
      </c>
      <c r="C58" s="6"/>
      <c r="D58" s="6"/>
      <c r="E58" s="6"/>
      <c r="F58" s="6"/>
      <c r="G58" s="6"/>
      <c r="H58" s="6"/>
      <c r="I58" s="6"/>
      <c r="J58" s="6">
        <f>16270-I58-H58-G58</f>
        <v>16270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AA58" s="5">
        <f>SUM(G58:J58)</f>
        <v>16270</v>
      </c>
    </row>
    <row r="59" spans="2:27" s="5" customFormat="1" x14ac:dyDescent="0.25">
      <c r="B59" s="5" t="s">
        <v>57</v>
      </c>
      <c r="C59" s="6"/>
      <c r="D59" s="6"/>
      <c r="E59" s="6"/>
      <c r="F59" s="6"/>
      <c r="G59" s="6"/>
      <c r="H59" s="6"/>
      <c r="I59" s="6"/>
      <c r="J59" s="6">
        <f>11853-I59-H59-G59</f>
        <v>11853</v>
      </c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AA59" s="5">
        <f t="shared" ref="AA59:AA63" si="30">SUM(G59:J59)</f>
        <v>11853</v>
      </c>
    </row>
    <row r="60" spans="2:27" s="5" customFormat="1" x14ac:dyDescent="0.25">
      <c r="B60" s="5" t="s">
        <v>58</v>
      </c>
      <c r="C60" s="6"/>
      <c r="D60" s="6"/>
      <c r="E60" s="6"/>
      <c r="F60" s="6"/>
      <c r="G60" s="6"/>
      <c r="H60" s="6"/>
      <c r="I60" s="6"/>
      <c r="J60" s="6">
        <f>3193-I60-H60-G60</f>
        <v>3193</v>
      </c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AA60" s="5">
        <f t="shared" si="30"/>
        <v>3193</v>
      </c>
    </row>
    <row r="61" spans="2:27" s="5" customFormat="1" x14ac:dyDescent="0.25">
      <c r="B61" s="5" t="s">
        <v>59</v>
      </c>
      <c r="C61" s="6"/>
      <c r="D61" s="6"/>
      <c r="E61" s="6"/>
      <c r="F61" s="6"/>
      <c r="G61" s="6"/>
      <c r="H61" s="6"/>
      <c r="I61" s="6"/>
      <c r="J61" s="6">
        <f>-175-I61-H61-G61</f>
        <v>-175</v>
      </c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AA61" s="5">
        <f t="shared" si="30"/>
        <v>-175</v>
      </c>
    </row>
    <row r="62" spans="2:27" s="5" customFormat="1" x14ac:dyDescent="0.25">
      <c r="B62" s="5" t="s">
        <v>60</v>
      </c>
      <c r="C62" s="6"/>
      <c r="D62" s="6"/>
      <c r="E62" s="6"/>
      <c r="F62" s="6"/>
      <c r="G62" s="6"/>
      <c r="H62" s="6"/>
      <c r="I62" s="6"/>
      <c r="J62" s="6">
        <f>2642-I62-H62-G62</f>
        <v>2642</v>
      </c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AA62" s="5">
        <f t="shared" si="30"/>
        <v>2642</v>
      </c>
    </row>
    <row r="63" spans="2:27" s="5" customFormat="1" x14ac:dyDescent="0.25">
      <c r="B63" s="5" t="s">
        <v>61</v>
      </c>
      <c r="C63" s="6"/>
      <c r="D63" s="6"/>
      <c r="E63" s="6"/>
      <c r="F63" s="6"/>
      <c r="G63" s="6"/>
      <c r="H63" s="6"/>
      <c r="I63" s="6"/>
      <c r="J63" s="6">
        <f>-797+2017+2515-1324-468-I63-H63-G63</f>
        <v>1943</v>
      </c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AA63" s="5">
        <f t="shared" si="30"/>
        <v>1943</v>
      </c>
    </row>
    <row r="64" spans="2:27" s="5" customFormat="1" x14ac:dyDescent="0.25">
      <c r="B64" s="5" t="s">
        <v>62</v>
      </c>
      <c r="C64" s="6"/>
      <c r="D64" s="6"/>
      <c r="E64" s="6"/>
      <c r="F64" s="6"/>
      <c r="G64" s="6"/>
      <c r="H64" s="6"/>
      <c r="I64" s="6"/>
      <c r="J64" s="6">
        <f>SUM(J58:J63)</f>
        <v>35726</v>
      </c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Y64" s="5">
        <v>24181</v>
      </c>
      <c r="Z64" s="5">
        <v>28841</v>
      </c>
      <c r="AA64" s="5">
        <f>SUM(AA58:AA63)</f>
        <v>35726</v>
      </c>
    </row>
    <row r="65" spans="2:27" x14ac:dyDescent="0.25">
      <c r="Y65" s="5"/>
      <c r="Z65" s="5"/>
      <c r="AA65" s="5"/>
    </row>
    <row r="66" spans="2:27" x14ac:dyDescent="0.25">
      <c r="B66" s="5" t="s">
        <v>63</v>
      </c>
      <c r="J66" s="6">
        <f>-20606+250</f>
        <v>-20356</v>
      </c>
      <c r="Y66" s="5">
        <v>-13106</v>
      </c>
      <c r="Z66" s="5">
        <v>-16857</v>
      </c>
      <c r="AA66" s="5">
        <f t="shared" ref="AA66:AA68" si="31">SUM(G66:J66)</f>
        <v>-20356</v>
      </c>
    </row>
    <row r="67" spans="2:27" x14ac:dyDescent="0.25">
      <c r="B67" s="5" t="s">
        <v>65</v>
      </c>
      <c r="J67" s="6">
        <f>135-9</f>
        <v>126</v>
      </c>
      <c r="Y67" s="5"/>
      <c r="Z67" s="5"/>
      <c r="AA67" s="5">
        <f t="shared" si="31"/>
        <v>126</v>
      </c>
    </row>
    <row r="68" spans="2:27" x14ac:dyDescent="0.25">
      <c r="B68" s="5" t="s">
        <v>60</v>
      </c>
      <c r="J68" s="6">
        <v>-1057</v>
      </c>
      <c r="Y68" s="5"/>
      <c r="Z68" s="5"/>
      <c r="AA68" s="5">
        <f t="shared" si="31"/>
        <v>-1057</v>
      </c>
    </row>
    <row r="69" spans="2:27" x14ac:dyDescent="0.25">
      <c r="B69" t="s">
        <v>64</v>
      </c>
      <c r="J69" s="6">
        <f>SUM(J66:J68)</f>
        <v>-21287</v>
      </c>
      <c r="Y69" s="5"/>
      <c r="Z69" s="5"/>
      <c r="AA69" s="5">
        <f>SUM(AA66:AA68)</f>
        <v>-21287</v>
      </c>
    </row>
    <row r="70" spans="2:27" x14ac:dyDescent="0.25">
      <c r="Y70" s="5"/>
      <c r="Z70" s="5"/>
      <c r="AA70" s="5"/>
    </row>
    <row r="71" spans="2:27" s="5" customFormat="1" x14ac:dyDescent="0.25">
      <c r="B71" s="5" t="s">
        <v>4</v>
      </c>
      <c r="C71" s="6"/>
      <c r="D71" s="6"/>
      <c r="E71" s="6"/>
      <c r="F71" s="6"/>
      <c r="G71" s="6"/>
      <c r="H71" s="6"/>
      <c r="I71" s="6"/>
      <c r="J71" s="6">
        <f>512+4967-4217-I71-H71-G71</f>
        <v>1262</v>
      </c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AA71" s="5">
        <f t="shared" ref="AA71:AA77" si="32">SUM(G71:J71)</f>
        <v>1262</v>
      </c>
    </row>
    <row r="72" spans="2:27" s="5" customFormat="1" x14ac:dyDescent="0.25">
      <c r="B72" s="5" t="s">
        <v>41</v>
      </c>
      <c r="C72" s="6"/>
      <c r="D72" s="6"/>
      <c r="E72" s="6"/>
      <c r="F72" s="6"/>
      <c r="G72" s="6"/>
      <c r="H72" s="6"/>
      <c r="I72" s="6"/>
      <c r="J72" s="6">
        <f>-6140-I72-H72-G72</f>
        <v>-6140</v>
      </c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AA72" s="5">
        <f t="shared" si="32"/>
        <v>-6140</v>
      </c>
    </row>
    <row r="73" spans="2:27" s="5" customFormat="1" x14ac:dyDescent="0.25">
      <c r="B73" s="5" t="s">
        <v>70</v>
      </c>
      <c r="C73" s="6"/>
      <c r="D73" s="6"/>
      <c r="E73" s="6"/>
      <c r="F73" s="6"/>
      <c r="G73" s="6"/>
      <c r="H73" s="6"/>
      <c r="I73" s="6"/>
      <c r="J73" s="6">
        <f>-2779-I73-H73-G73</f>
        <v>-2779</v>
      </c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AA73" s="5">
        <f t="shared" si="32"/>
        <v>-2779</v>
      </c>
    </row>
    <row r="74" spans="2:27" s="5" customFormat="1" x14ac:dyDescent="0.25">
      <c r="B74" s="5" t="s">
        <v>71</v>
      </c>
      <c r="C74" s="6"/>
      <c r="D74" s="6"/>
      <c r="E74" s="6"/>
      <c r="F74" s="6"/>
      <c r="G74" s="6"/>
      <c r="H74" s="6"/>
      <c r="I74" s="6"/>
      <c r="J74" s="6">
        <f>-763-3462+716-I74-H74-G74</f>
        <v>-3509</v>
      </c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AA74" s="5">
        <f t="shared" si="32"/>
        <v>-3509</v>
      </c>
    </row>
    <row r="75" spans="2:27" s="5" customFormat="1" x14ac:dyDescent="0.25">
      <c r="B75" s="5" t="s">
        <v>60</v>
      </c>
      <c r="C75" s="6"/>
      <c r="D75" s="6"/>
      <c r="E75" s="6"/>
      <c r="F75" s="6"/>
      <c r="G75" s="6"/>
      <c r="H75" s="6"/>
      <c r="I75" s="6"/>
      <c r="J75" s="6">
        <f>-2248-I75-H75-G75</f>
        <v>-2248</v>
      </c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AA75" s="5">
        <f t="shared" si="32"/>
        <v>-2248</v>
      </c>
    </row>
    <row r="76" spans="2:27" s="5" customFormat="1" x14ac:dyDescent="0.25">
      <c r="B76" s="5" t="s">
        <v>69</v>
      </c>
      <c r="C76" s="6"/>
      <c r="D76" s="6"/>
      <c r="E76" s="6"/>
      <c r="F76" s="6"/>
      <c r="G76" s="6"/>
      <c r="H76" s="6"/>
      <c r="I76" s="6"/>
      <c r="J76" s="6">
        <f>SUM(J71:J75)</f>
        <v>-13414</v>
      </c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AA76" s="5">
        <f>SUM(AA71:AA75)</f>
        <v>-13414</v>
      </c>
    </row>
    <row r="77" spans="2:27" s="5" customFormat="1" x14ac:dyDescent="0.25">
      <c r="B77" s="5" t="s">
        <v>68</v>
      </c>
      <c r="C77" s="6"/>
      <c r="D77" s="6"/>
      <c r="E77" s="6"/>
      <c r="F77" s="6"/>
      <c r="G77" s="6"/>
      <c r="H77" s="6"/>
      <c r="I77" s="6"/>
      <c r="J77" s="6">
        <f>69-I77-H77-G77</f>
        <v>69</v>
      </c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AA77" s="5">
        <f t="shared" si="32"/>
        <v>69</v>
      </c>
    </row>
    <row r="78" spans="2:27" s="5" customFormat="1" x14ac:dyDescent="0.25">
      <c r="B78" s="5" t="s">
        <v>67</v>
      </c>
      <c r="C78" s="6"/>
      <c r="D78" s="6"/>
      <c r="E78" s="6"/>
      <c r="F78" s="6"/>
      <c r="G78" s="6"/>
      <c r="H78" s="6"/>
      <c r="I78" s="6"/>
      <c r="J78" s="6">
        <f>J77+J76+J69+J64</f>
        <v>1094</v>
      </c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AA78" s="6">
        <f>AA77+AA76+AA69+AA64</f>
        <v>1094</v>
      </c>
    </row>
    <row r="79" spans="2:27" x14ac:dyDescent="0.25">
      <c r="Y79" s="5"/>
      <c r="Z79" s="5"/>
      <c r="AA79" s="5"/>
    </row>
    <row r="80" spans="2:27" x14ac:dyDescent="0.25">
      <c r="Y80" s="5"/>
      <c r="Z80" s="5"/>
      <c r="AA80" s="5"/>
    </row>
    <row r="81" spans="2:27" x14ac:dyDescent="0.25">
      <c r="Y81" s="5"/>
      <c r="Z81" s="5"/>
      <c r="AA81" s="5"/>
    </row>
    <row r="82" spans="2:27" x14ac:dyDescent="0.25">
      <c r="B82" t="s">
        <v>66</v>
      </c>
      <c r="J82" s="6">
        <f>+J64+J66</f>
        <v>15370</v>
      </c>
      <c r="Y82" s="6">
        <f t="shared" ref="Y82:AA82" si="33">+Y64+Y66</f>
        <v>11075</v>
      </c>
      <c r="Z82" s="6">
        <f t="shared" si="33"/>
        <v>11984</v>
      </c>
      <c r="AA82" s="6">
        <f t="shared" si="33"/>
        <v>15370</v>
      </c>
    </row>
  </sheetData>
  <hyperlinks>
    <hyperlink ref="A1" location="Main!A1" display="Main" xr:uid="{7A08F92C-8A56-4958-97EB-65BA8EA7834A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2025-03-06T16:16:50Z</dcterms:created>
  <dcterms:modified xsi:type="dcterms:W3CDTF">2026-08-18T12:11:32Z</dcterms:modified>
</cp:coreProperties>
</file>