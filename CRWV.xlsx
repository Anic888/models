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435FBF4-4470-4EB6-8300-74C6A31E786E}" xr6:coauthVersionLast="47" xr6:coauthVersionMax="47" xr10:uidLastSave="{00000000-0000-0000-0000-000000000000}"/>
  <bookViews>
    <workbookView xWindow="10630" yWindow="1240" windowWidth="17940" windowHeight="16280" xr2:uid="{C836A3F2-7733-4E72-A982-21DBE906CFC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1" l="1"/>
  <c r="X108" i="2"/>
  <c r="R108" i="2"/>
  <c r="R107" i="2"/>
  <c r="R106" i="2"/>
  <c r="Q103" i="2"/>
  <c r="Q106" i="2"/>
  <c r="S108" i="2"/>
  <c r="T108" i="2" s="1"/>
  <c r="R109" i="2"/>
  <c r="Q110" i="2"/>
  <c r="Q108" i="2"/>
  <c r="Q109" i="2" s="1"/>
  <c r="Q111" i="2" s="1"/>
  <c r="R112" i="2" s="1"/>
  <c r="R110" i="2" s="1"/>
  <c r="Q112" i="2"/>
  <c r="P111" i="2"/>
  <c r="P110" i="2"/>
  <c r="P107" i="2"/>
  <c r="P108" i="2" s="1"/>
  <c r="P109" i="2" s="1"/>
  <c r="O107" i="2"/>
  <c r="O108" i="2" s="1"/>
  <c r="O109" i="2" s="1"/>
  <c r="N107" i="2"/>
  <c r="N108" i="2" s="1"/>
  <c r="N109" i="2" s="1"/>
  <c r="M107" i="2"/>
  <c r="M108" i="2" s="1"/>
  <c r="M109" i="2" s="1"/>
  <c r="L107" i="2"/>
  <c r="L108" i="2" s="1"/>
  <c r="L109" i="2" s="1"/>
  <c r="K107" i="2"/>
  <c r="K108" i="2" s="1"/>
  <c r="K109" i="2" s="1"/>
  <c r="J107" i="2"/>
  <c r="J108" i="2" s="1"/>
  <c r="J109" i="2" s="1"/>
  <c r="I107" i="2"/>
  <c r="I108" i="2" s="1"/>
  <c r="I109" i="2" s="1"/>
  <c r="H107" i="2"/>
  <c r="H108" i="2" s="1"/>
  <c r="H109" i="2" s="1"/>
  <c r="G107" i="2"/>
  <c r="G108" i="2" s="1"/>
  <c r="G109" i="2" s="1"/>
  <c r="P106" i="2"/>
  <c r="O106" i="2"/>
  <c r="N106" i="2"/>
  <c r="M106" i="2"/>
  <c r="L106" i="2"/>
  <c r="K106" i="2"/>
  <c r="J36" i="2"/>
  <c r="J103" i="2" s="1"/>
  <c r="N23" i="2"/>
  <c r="O23" i="2"/>
  <c r="P23" i="2"/>
  <c r="P104" i="2"/>
  <c r="O104" i="2"/>
  <c r="N104" i="2"/>
  <c r="M104" i="2"/>
  <c r="L104" i="2"/>
  <c r="P103" i="2"/>
  <c r="O103" i="2"/>
  <c r="N103" i="2"/>
  <c r="M103" i="2"/>
  <c r="L103" i="2"/>
  <c r="K103" i="2"/>
  <c r="P9" i="2"/>
  <c r="G76" i="2"/>
  <c r="G81" i="2"/>
  <c r="G74" i="2"/>
  <c r="G85" i="2"/>
  <c r="H79" i="2"/>
  <c r="H80" i="2"/>
  <c r="H78" i="2"/>
  <c r="H76" i="2"/>
  <c r="H72" i="2"/>
  <c r="I72" i="2" s="1"/>
  <c r="H73" i="2"/>
  <c r="I73" i="2" s="1"/>
  <c r="H71" i="2"/>
  <c r="H85" i="2" s="1"/>
  <c r="H68" i="2"/>
  <c r="I68" i="2" s="1"/>
  <c r="H67" i="2"/>
  <c r="I67" i="2" s="1"/>
  <c r="H66" i="2"/>
  <c r="I66" i="2" s="1"/>
  <c r="H65" i="2"/>
  <c r="I65" i="2" s="1"/>
  <c r="H64" i="2"/>
  <c r="I64" i="2" s="1"/>
  <c r="H63" i="2"/>
  <c r="I63" i="2" s="1"/>
  <c r="H62" i="2"/>
  <c r="I62" i="2" s="1"/>
  <c r="H61" i="2"/>
  <c r="I61" i="2" s="1"/>
  <c r="H60" i="2"/>
  <c r="I60" i="2" s="1"/>
  <c r="H59" i="2"/>
  <c r="I59" i="2" s="1"/>
  <c r="H58" i="2"/>
  <c r="I58" i="2" s="1"/>
  <c r="H57" i="2"/>
  <c r="I57" i="2" s="1"/>
  <c r="H56" i="2"/>
  <c r="I56" i="2" s="1"/>
  <c r="H55" i="2"/>
  <c r="I55" i="2" s="1"/>
  <c r="I76" i="2"/>
  <c r="I79" i="2"/>
  <c r="I78" i="2"/>
  <c r="I81" i="2"/>
  <c r="G69" i="2"/>
  <c r="G84" i="2" s="1"/>
  <c r="H54" i="2"/>
  <c r="P85" i="2"/>
  <c r="P76" i="2"/>
  <c r="P81" i="2" s="1"/>
  <c r="P72" i="2"/>
  <c r="P74" i="2" s="1"/>
  <c r="P69" i="2"/>
  <c r="P84" i="2" s="1"/>
  <c r="P46" i="2"/>
  <c r="P45" i="2"/>
  <c r="P44" i="2"/>
  <c r="P52" i="2"/>
  <c r="P38" i="2"/>
  <c r="P33" i="2"/>
  <c r="P10" i="2"/>
  <c r="M32" i="2"/>
  <c r="J85" i="2"/>
  <c r="J76" i="2"/>
  <c r="J81" i="2" s="1"/>
  <c r="J72" i="2"/>
  <c r="J74" i="2" s="1"/>
  <c r="J69" i="2"/>
  <c r="J84" i="2" s="1"/>
  <c r="J86" i="2" s="1"/>
  <c r="K9" i="2"/>
  <c r="O9" i="2"/>
  <c r="O30" i="2" s="1"/>
  <c r="N9" i="2"/>
  <c r="N85" i="2"/>
  <c r="N76" i="2"/>
  <c r="N81" i="2" s="1"/>
  <c r="N73" i="2"/>
  <c r="N72" i="2"/>
  <c r="N62" i="2"/>
  <c r="N69" i="2" s="1"/>
  <c r="N46" i="2"/>
  <c r="N45" i="2"/>
  <c r="N44" i="2"/>
  <c r="N38" i="2"/>
  <c r="N33" i="2"/>
  <c r="N10" i="2"/>
  <c r="O85" i="2"/>
  <c r="O76" i="2"/>
  <c r="N74" i="2"/>
  <c r="O72" i="2"/>
  <c r="O74" i="2" s="1"/>
  <c r="O69" i="2"/>
  <c r="O84" i="2" s="1"/>
  <c r="O46" i="2"/>
  <c r="O45" i="2"/>
  <c r="O44" i="2"/>
  <c r="O52" i="2" s="1"/>
  <c r="O38" i="2"/>
  <c r="O33" i="2"/>
  <c r="O40" i="2" s="1"/>
  <c r="O32" i="2"/>
  <c r="P28" i="2"/>
  <c r="O28" i="2"/>
  <c r="O10" i="2"/>
  <c r="O29" i="2" s="1"/>
  <c r="M10" i="2"/>
  <c r="X8" i="2"/>
  <c r="K85" i="2"/>
  <c r="Z100" i="2"/>
  <c r="AA100" i="2" s="1"/>
  <c r="Y15" i="2"/>
  <c r="Z15" i="2" s="1"/>
  <c r="X15" i="2"/>
  <c r="X12" i="2"/>
  <c r="X11" i="2"/>
  <c r="X100" i="2"/>
  <c r="X99" i="2"/>
  <c r="Y99" i="2" s="1"/>
  <c r="Z99" i="2" s="1"/>
  <c r="X98" i="2"/>
  <c r="Y98" i="2" s="1"/>
  <c r="Z98" i="2" s="1"/>
  <c r="AA98" i="2" s="1"/>
  <c r="X97" i="2"/>
  <c r="Y97" i="2" s="1"/>
  <c r="Z97" i="2" s="1"/>
  <c r="AA97" i="2" s="1"/>
  <c r="X96" i="2"/>
  <c r="Y96" i="2" s="1"/>
  <c r="Z96" i="2" s="1"/>
  <c r="AA96" i="2" s="1"/>
  <c r="X95" i="2"/>
  <c r="Y95" i="2" s="1"/>
  <c r="Z95" i="2" s="1"/>
  <c r="X94" i="2"/>
  <c r="Y94" i="2" s="1"/>
  <c r="Z94" i="2" s="1"/>
  <c r="AA94" i="2" s="1"/>
  <c r="X93" i="2"/>
  <c r="Y93" i="2" s="1"/>
  <c r="Z93" i="2" s="1"/>
  <c r="AA93" i="2" s="1"/>
  <c r="X92" i="2"/>
  <c r="Y92" i="2" s="1"/>
  <c r="Q12" i="2"/>
  <c r="R12" i="2" s="1"/>
  <c r="N13" i="2"/>
  <c r="K79" i="2"/>
  <c r="L79" i="2" s="1"/>
  <c r="M79" i="2" s="1"/>
  <c r="L80" i="2"/>
  <c r="M80" i="2" s="1"/>
  <c r="L77" i="2"/>
  <c r="M77" i="2" s="1"/>
  <c r="L71" i="2"/>
  <c r="M71" i="2" s="1"/>
  <c r="M85" i="2" s="1"/>
  <c r="L73" i="2"/>
  <c r="M73" i="2" s="1"/>
  <c r="L68" i="2"/>
  <c r="M68" i="2" s="1"/>
  <c r="L67" i="2"/>
  <c r="M67" i="2" s="1"/>
  <c r="L66" i="2"/>
  <c r="M66" i="2" s="1"/>
  <c r="L65" i="2"/>
  <c r="M65" i="2" s="1"/>
  <c r="L64" i="2"/>
  <c r="M64" i="2" s="1"/>
  <c r="L63" i="2"/>
  <c r="M63" i="2" s="1"/>
  <c r="L62" i="2"/>
  <c r="M62" i="2" s="1"/>
  <c r="L61" i="2"/>
  <c r="M61" i="2" s="1"/>
  <c r="L60" i="2"/>
  <c r="M60" i="2" s="1"/>
  <c r="L59" i="2"/>
  <c r="M59" i="2" s="1"/>
  <c r="L58" i="2"/>
  <c r="M58" i="2" s="1"/>
  <c r="K78" i="2"/>
  <c r="L78" i="2" s="1"/>
  <c r="M78" i="2" s="1"/>
  <c r="K76" i="2"/>
  <c r="K72" i="2"/>
  <c r="K74" i="2" s="1"/>
  <c r="K69" i="2"/>
  <c r="K84" i="2" s="1"/>
  <c r="K46" i="2"/>
  <c r="K51" i="2"/>
  <c r="K45" i="2"/>
  <c r="K44" i="2"/>
  <c r="K33" i="2"/>
  <c r="K32" i="2" s="1"/>
  <c r="K38" i="2"/>
  <c r="L57" i="2"/>
  <c r="M57" i="2" s="1"/>
  <c r="L56" i="2"/>
  <c r="M56" i="2" s="1"/>
  <c r="M9" i="2" s="1"/>
  <c r="M30" i="2" s="1"/>
  <c r="L55" i="2"/>
  <c r="M55" i="2" s="1"/>
  <c r="L51" i="2"/>
  <c r="L46" i="2"/>
  <c r="L45" i="2"/>
  <c r="L44" i="2"/>
  <c r="L33" i="2"/>
  <c r="L38" i="2"/>
  <c r="Q20" i="2"/>
  <c r="R20" i="2" s="1"/>
  <c r="M38" i="2"/>
  <c r="M46" i="2"/>
  <c r="M45" i="2"/>
  <c r="M44" i="2"/>
  <c r="M33" i="2"/>
  <c r="J13" i="2"/>
  <c r="I13" i="2"/>
  <c r="I10" i="2"/>
  <c r="I29" i="2" s="1"/>
  <c r="M13" i="2"/>
  <c r="K7" i="2"/>
  <c r="K10" i="2" s="1"/>
  <c r="L7" i="2"/>
  <c r="L10" i="2" s="1"/>
  <c r="L29" i="2" s="1"/>
  <c r="L13" i="2"/>
  <c r="M28" i="2"/>
  <c r="L28" i="2"/>
  <c r="H29" i="2"/>
  <c r="G28" i="2"/>
  <c r="I28" i="2"/>
  <c r="H28" i="2"/>
  <c r="F6" i="2"/>
  <c r="K28" i="2"/>
  <c r="X6" i="2"/>
  <c r="X2" i="2"/>
  <c r="V10" i="2"/>
  <c r="U10" i="2"/>
  <c r="V13" i="2"/>
  <c r="U13" i="2"/>
  <c r="W13" i="2"/>
  <c r="W7" i="2"/>
  <c r="W10" i="2" s="1"/>
  <c r="W30" i="2" s="1"/>
  <c r="R111" i="2" l="1"/>
  <c r="S112" i="2" s="1"/>
  <c r="R103" i="2"/>
  <c r="S110" i="2"/>
  <c r="T109" i="2"/>
  <c r="U108" i="2"/>
  <c r="S109" i="2"/>
  <c r="S111" i="2" s="1"/>
  <c r="T112" i="2" s="1"/>
  <c r="O86" i="2"/>
  <c r="P86" i="2"/>
  <c r="L32" i="2"/>
  <c r="L9" i="2"/>
  <c r="P40" i="2"/>
  <c r="J82" i="2"/>
  <c r="I36" i="2"/>
  <c r="K104" i="2"/>
  <c r="I71" i="2"/>
  <c r="K86" i="2"/>
  <c r="J106" i="2"/>
  <c r="N30" i="2"/>
  <c r="P82" i="2"/>
  <c r="N82" i="2"/>
  <c r="I85" i="2"/>
  <c r="G82" i="2"/>
  <c r="H81" i="2"/>
  <c r="H74" i="2"/>
  <c r="H69" i="2"/>
  <c r="I69" i="2"/>
  <c r="I74" i="2"/>
  <c r="N84" i="2"/>
  <c r="N86" i="2" s="1"/>
  <c r="P32" i="2"/>
  <c r="P112" i="2" s="1"/>
  <c r="Y12" i="2"/>
  <c r="Z12" i="2" s="1"/>
  <c r="AA12" i="2" s="1"/>
  <c r="X13" i="2"/>
  <c r="O81" i="2"/>
  <c r="O82" i="2" s="1"/>
  <c r="X10" i="2"/>
  <c r="X29" i="2" s="1"/>
  <c r="X102" i="2"/>
  <c r="Z92" i="2"/>
  <c r="Y102" i="2"/>
  <c r="X20" i="2"/>
  <c r="Y20" i="2" s="1"/>
  <c r="Z20" i="2" s="1"/>
  <c r="AA20" i="2" s="1"/>
  <c r="W29" i="2"/>
  <c r="X7" i="2"/>
  <c r="L85" i="2"/>
  <c r="X85" i="2" s="1"/>
  <c r="Y85" i="2" s="1"/>
  <c r="Z85" i="2" s="1"/>
  <c r="AA85" i="2" s="1"/>
  <c r="K30" i="2"/>
  <c r="N52" i="2" a="1"/>
  <c r="N52" i="2" s="1"/>
  <c r="K81" i="2"/>
  <c r="K82" i="2" s="1"/>
  <c r="M69" i="2"/>
  <c r="M84" i="2" s="1"/>
  <c r="M86" i="2" s="1"/>
  <c r="N29" i="2"/>
  <c r="L76" i="2"/>
  <c r="L52" i="2" a="1"/>
  <c r="L52" i="2" s="1"/>
  <c r="L72" i="2"/>
  <c r="L69" i="2"/>
  <c r="L84" i="2" s="1"/>
  <c r="L40" i="2"/>
  <c r="K52" i="2" a="1"/>
  <c r="K52" i="2" s="1"/>
  <c r="K40" i="2"/>
  <c r="M40" i="2"/>
  <c r="N14" i="2"/>
  <c r="N16" i="2" s="1"/>
  <c r="N18" i="2" s="1"/>
  <c r="Y6" i="2"/>
  <c r="Z6" i="2" s="1"/>
  <c r="O13" i="2"/>
  <c r="O14" i="2" s="1"/>
  <c r="O16" i="2" s="1"/>
  <c r="O18" i="2" s="1"/>
  <c r="M52" i="2" a="1"/>
  <c r="M52" i="2" s="1"/>
  <c r="M14" i="2"/>
  <c r="M16" i="2" s="1"/>
  <c r="M18" i="2" s="1"/>
  <c r="M54" i="2" s="1"/>
  <c r="M29" i="2"/>
  <c r="I14" i="2"/>
  <c r="I16" i="2" s="1"/>
  <c r="I18" i="2" s="1"/>
  <c r="L14" i="2"/>
  <c r="U14" i="2"/>
  <c r="U16" i="2" s="1"/>
  <c r="U18" i="2" s="1"/>
  <c r="V14" i="2"/>
  <c r="V16" i="2" s="1"/>
  <c r="V18" i="2" s="1"/>
  <c r="W14" i="2"/>
  <c r="W16" i="2" s="1"/>
  <c r="W18" i="2" s="1"/>
  <c r="G86" i="2"/>
  <c r="K13" i="2"/>
  <c r="G13" i="2"/>
  <c r="G7" i="2"/>
  <c r="G10" i="2" s="1"/>
  <c r="G29" i="2" s="1"/>
  <c r="K29" i="2"/>
  <c r="L4" i="1"/>
  <c r="L7" i="1" s="1"/>
  <c r="T110" i="2" l="1"/>
  <c r="V108" i="2"/>
  <c r="U109" i="2"/>
  <c r="T111" i="2"/>
  <c r="U112" i="2" s="1"/>
  <c r="H36" i="2"/>
  <c r="I103" i="2"/>
  <c r="I106" i="2"/>
  <c r="J104" i="2"/>
  <c r="I19" i="2"/>
  <c r="I54" i="2"/>
  <c r="O19" i="2"/>
  <c r="O25" i="2"/>
  <c r="O26" i="2" s="1"/>
  <c r="O54" i="2"/>
  <c r="N54" i="2"/>
  <c r="N25" i="2"/>
  <c r="N26" i="2" s="1"/>
  <c r="L86" i="2"/>
  <c r="H82" i="2"/>
  <c r="H84" i="2"/>
  <c r="H86" i="2" s="1"/>
  <c r="I84" i="2"/>
  <c r="I86" i="2" s="1"/>
  <c r="I82" i="2"/>
  <c r="X14" i="2"/>
  <c r="X16" i="2" s="1"/>
  <c r="X18" i="2" s="1"/>
  <c r="X19" i="2" s="1"/>
  <c r="L30" i="2"/>
  <c r="X9" i="2"/>
  <c r="X30" i="2" s="1"/>
  <c r="Q11" i="2"/>
  <c r="R11" i="2" s="1"/>
  <c r="AA6" i="2"/>
  <c r="AA10" i="2" s="1"/>
  <c r="Z10" i="2"/>
  <c r="AA92" i="2"/>
  <c r="AA102" i="2" s="1"/>
  <c r="Z102" i="2"/>
  <c r="N19" i="2"/>
  <c r="N32" i="2"/>
  <c r="M25" i="2"/>
  <c r="M26" i="2" s="1"/>
  <c r="L74" i="2"/>
  <c r="M72" i="2"/>
  <c r="M74" i="2" s="1"/>
  <c r="L81" i="2"/>
  <c r="M76" i="2"/>
  <c r="M81" i="2" s="1"/>
  <c r="M82" i="2" s="1"/>
  <c r="L82" i="2"/>
  <c r="M19" i="2"/>
  <c r="L16" i="2"/>
  <c r="L18" i="2" s="1"/>
  <c r="L25" i="2" s="1"/>
  <c r="L26" i="2" s="1"/>
  <c r="G14" i="2"/>
  <c r="G16" i="2" s="1"/>
  <c r="G18" i="2" s="1"/>
  <c r="K14" i="2"/>
  <c r="K16" i="2" s="1"/>
  <c r="K18" i="2" s="1"/>
  <c r="K25" i="2" s="1"/>
  <c r="K26" i="2" s="1"/>
  <c r="V109" i="2" l="1"/>
  <c r="W108" i="2"/>
  <c r="U110" i="2"/>
  <c r="U111" i="2"/>
  <c r="V112" i="2" s="1"/>
  <c r="V110" i="2" s="1"/>
  <c r="H103" i="2"/>
  <c r="H106" i="2"/>
  <c r="I104" i="2"/>
  <c r="G36" i="2"/>
  <c r="G19" i="2"/>
  <c r="G54" i="2"/>
  <c r="P29" i="2"/>
  <c r="P30" i="2"/>
  <c r="Y11" i="2"/>
  <c r="Y13" i="2" s="1"/>
  <c r="N40" i="2"/>
  <c r="X90" i="2"/>
  <c r="X89" i="2" s="1"/>
  <c r="Z30" i="2"/>
  <c r="Z29" i="2"/>
  <c r="AA29" i="2"/>
  <c r="AA30" i="2"/>
  <c r="P13" i="2"/>
  <c r="K19" i="2"/>
  <c r="K54" i="2"/>
  <c r="L19" i="2"/>
  <c r="L54" i="2"/>
  <c r="Q10" i="2"/>
  <c r="R10" i="2"/>
  <c r="R13" i="2"/>
  <c r="Q13" i="2"/>
  <c r="J10" i="2"/>
  <c r="J14" i="2" s="1"/>
  <c r="J16" i="2" s="1"/>
  <c r="J18" i="2" s="1"/>
  <c r="V111" i="2" l="1"/>
  <c r="W112" i="2" s="1"/>
  <c r="W110" i="2" s="1"/>
  <c r="W111" i="2" s="1"/>
  <c r="W109" i="2"/>
  <c r="X109" i="2"/>
  <c r="G103" i="2"/>
  <c r="G106" i="2"/>
  <c r="H104" i="2"/>
  <c r="J19" i="2"/>
  <c r="J54" i="2"/>
  <c r="P14" i="2"/>
  <c r="P16" i="2" s="1"/>
  <c r="P18" i="2" s="1"/>
  <c r="Z11" i="2"/>
  <c r="Y10" i="2"/>
  <c r="Y30" i="2" s="1"/>
  <c r="AA11" i="2"/>
  <c r="AA13" i="2" s="1"/>
  <c r="AA14" i="2" s="1"/>
  <c r="AA16" i="2" s="1"/>
  <c r="Z13" i="2"/>
  <c r="Z14" i="2" s="1"/>
  <c r="Z16" i="2" s="1"/>
  <c r="Z18" i="2" s="1"/>
  <c r="Z19" i="2" s="1"/>
  <c r="Y14" i="2"/>
  <c r="Y16" i="2" s="1"/>
  <c r="Y18" i="2" s="1"/>
  <c r="Y19" i="2" s="1"/>
  <c r="Q14" i="2"/>
  <c r="Q16" i="2" s="1"/>
  <c r="Q18" i="2" s="1"/>
  <c r="Q19" i="2" s="1"/>
  <c r="R14" i="2"/>
  <c r="R16" i="2" s="1"/>
  <c r="R18" i="2" s="1"/>
  <c r="R19" i="2" s="1"/>
  <c r="N28" i="2"/>
  <c r="J29" i="2"/>
  <c r="J28" i="2"/>
  <c r="X112" i="2" l="1"/>
  <c r="X110" i="2" s="1"/>
  <c r="X111" i="2" s="1"/>
  <c r="Y29" i="2"/>
  <c r="P19" i="2"/>
  <c r="P54" i="2"/>
  <c r="P25" i="2"/>
  <c r="P26" i="2" s="1"/>
  <c r="Y90" i="2"/>
  <c r="Y89" i="2" s="1"/>
  <c r="Y88" i="2" s="1"/>
  <c r="AA17" i="2"/>
  <c r="AA18" i="2" s="1"/>
  <c r="AA19" i="2" s="1"/>
  <c r="Z90" i="2" l="1"/>
  <c r="Z89" i="2" s="1"/>
  <c r="Z88" i="2" s="1"/>
  <c r="AA90" i="2" l="1"/>
  <c r="AA89" i="2" s="1"/>
  <c r="AA88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tc={63BFD14A-9CEB-4F1A-A11A-74C580922CA4}</author>
    <author>tc={AA78B679-7A92-4769-99E5-32333F4EBBA8}</author>
  </authors>
  <commentList>
    <comment ref="Z6" authorId="0" shapeId="0" xr:uid="{63BFD14A-9CEB-4F1A-A11A-74C580922CA4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18.6B</t>
      </text>
    </comment>
    <comment ref="AA6" authorId="1" shapeId="0" xr:uid="{AA78B679-7A92-4769-99E5-32333F4EBBA8}">
      <text>
        <t>[Threaded comment]
Your version of Excel allows you to read this threaded comment; however, any edits to it will get removed if the file is opened in a newer version of Excel. Learn more: https://go.microsoft.com/fwlink/?linkid=870924
Comment:
    Consensus 30.3B</t>
      </text>
    </comment>
  </commentList>
</comments>
</file>

<file path=xl/sharedStrings.xml><?xml version="1.0" encoding="utf-8"?>
<sst xmlns="http://schemas.openxmlformats.org/spreadsheetml/2006/main" count="125" uniqueCount="101">
  <si>
    <t>Price</t>
  </si>
  <si>
    <t>Shares</t>
  </si>
  <si>
    <t>MC</t>
  </si>
  <si>
    <t>Cash</t>
  </si>
  <si>
    <t>Debt</t>
  </si>
  <si>
    <t>EV</t>
  </si>
  <si>
    <t>Q125</t>
  </si>
  <si>
    <t>PP&amp;E</t>
  </si>
  <si>
    <t>Main</t>
  </si>
  <si>
    <t>Revenue</t>
  </si>
  <si>
    <t>Q124</t>
  </si>
  <si>
    <t>Q224</t>
  </si>
  <si>
    <t>Q324</t>
  </si>
  <si>
    <t>Q424</t>
  </si>
  <si>
    <t>Q225</t>
  </si>
  <si>
    <t>Q325</t>
  </si>
  <si>
    <t>Q425</t>
  </si>
  <si>
    <t>Gross Profit</t>
  </si>
  <si>
    <t>COGS</t>
  </si>
  <si>
    <t>S&amp;M</t>
  </si>
  <si>
    <t>G&amp;A</t>
  </si>
  <si>
    <t>Operating Expenses</t>
  </si>
  <si>
    <t>Operating Income</t>
  </si>
  <si>
    <t>Pretax Income</t>
  </si>
  <si>
    <t>Interest Expense</t>
  </si>
  <si>
    <t>Taxes</t>
  </si>
  <si>
    <t>Net Income</t>
  </si>
  <si>
    <t>EPS</t>
  </si>
  <si>
    <t>CFFO</t>
  </si>
  <si>
    <t>CX</t>
  </si>
  <si>
    <t>FCF</t>
  </si>
  <si>
    <t>Revenue y/y</t>
  </si>
  <si>
    <t>Q123</t>
  </si>
  <si>
    <t>Q223</t>
  </si>
  <si>
    <t>Q323</t>
  </si>
  <si>
    <t>Q423</t>
  </si>
  <si>
    <t>Gross Margin</t>
  </si>
  <si>
    <t>Revenue Backlog</t>
  </si>
  <si>
    <t>Technology &amp; Infrastructure</t>
  </si>
  <si>
    <t>Q126</t>
  </si>
  <si>
    <t>Q226</t>
  </si>
  <si>
    <t>Q326</t>
  </si>
  <si>
    <t>Q426</t>
  </si>
  <si>
    <t>Prepaids</t>
  </si>
  <si>
    <t>AR</t>
  </si>
  <si>
    <t>Lease</t>
  </si>
  <si>
    <t>Goodwill</t>
  </si>
  <si>
    <t>ONCA</t>
  </si>
  <si>
    <t>AP</t>
  </si>
  <si>
    <t>Accrued</t>
  </si>
  <si>
    <t>DR</t>
  </si>
  <si>
    <t>Assets</t>
  </si>
  <si>
    <t>SE</t>
  </si>
  <si>
    <t>L+SE</t>
  </si>
  <si>
    <t>ONCL</t>
  </si>
  <si>
    <t>DT</t>
  </si>
  <si>
    <t>Derivatives</t>
  </si>
  <si>
    <t>OCL</t>
  </si>
  <si>
    <t>D&amp;A</t>
  </si>
  <si>
    <t>Gross Margin W/ D&amp;A</t>
  </si>
  <si>
    <t>TL</t>
  </si>
  <si>
    <t>6/1/2030 9.25%</t>
  </si>
  <si>
    <t>2/1/2031 9%</t>
  </si>
  <si>
    <t>6/1/2030 9.25% $2000m</t>
  </si>
  <si>
    <t>2/1/2031 9% $1750m</t>
  </si>
  <si>
    <t>Model NI</t>
  </si>
  <si>
    <t>Reported NI</t>
  </si>
  <si>
    <t>Non-cash Lease Expense</t>
  </si>
  <si>
    <t>Net Cash</t>
  </si>
  <si>
    <t>Amortization of DD</t>
  </si>
  <si>
    <t>FV adjustments</t>
  </si>
  <si>
    <t>SBC</t>
  </si>
  <si>
    <t>ONC</t>
  </si>
  <si>
    <t>CapEx</t>
  </si>
  <si>
    <t>Redemption</t>
  </si>
  <si>
    <t>ESOP</t>
  </si>
  <si>
    <t>Investments</t>
  </si>
  <si>
    <t>CFFI</t>
  </si>
  <si>
    <t>IPO</t>
  </si>
  <si>
    <t>Other</t>
  </si>
  <si>
    <t>CFFF</t>
  </si>
  <si>
    <t>CIC</t>
  </si>
  <si>
    <t>Acquisition</t>
  </si>
  <si>
    <t>NI+D&amp;A</t>
  </si>
  <si>
    <t>NI+SBC</t>
  </si>
  <si>
    <t xml:space="preserve">5/1/2028 Revolver 7% </t>
  </si>
  <si>
    <t>8/1/2030 DDTL 3.0 9%</t>
  </si>
  <si>
    <t>9/1/2030 DDTL 2.1 9%</t>
  </si>
  <si>
    <t>8/1/2030 DDTL 2.0 10%</t>
  </si>
  <si>
    <t>3/1/2028 DDTL 1.0 15%</t>
  </si>
  <si>
    <t>1/1/2029 $270m 12%</t>
  </si>
  <si>
    <t>OEM 3/2026-8/2028</t>
  </si>
  <si>
    <t>Change</t>
  </si>
  <si>
    <t>Adj EBITDA</t>
  </si>
  <si>
    <t>Revenue/PPE</t>
  </si>
  <si>
    <t>Revenue/last period PPE</t>
  </si>
  <si>
    <t>PPE</t>
  </si>
  <si>
    <t>Annualized</t>
  </si>
  <si>
    <t>EBITDA Margin</t>
  </si>
  <si>
    <t>Interest</t>
  </si>
  <si>
    <t>Sweep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</si>
</sst>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0" borderId="0" xfId="0" applyFont="1"/>
    <xf numFmtId="3" fontId="3" fillId="0" borderId="0" xfId="0" applyNumberFormat="1" applyFont="1"/>
    <xf numFmtId="3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30176</xdr:colOff>
      <xdr:row>0</xdr:row>
      <xdr:rowOff>0</xdr:rowOff>
    </xdr:from>
    <xdr:to>
      <xdr:col>16</xdr:col>
      <xdr:colOff>30176</xdr:colOff>
      <xdr:row>120</xdr:row>
      <xdr:rowOff>19539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0A0BF18-5BB7-7C8D-F2C3-AB096978AE3B}"/>
            </a:ext>
          </a:extLst>
        </xdr:cNvPr>
        <xdr:cNvCxnSpPr/>
      </xdr:nvCxnSpPr>
      <xdr:spPr>
        <a:xfrm>
          <a:off x="10409984" y="0"/>
          <a:ext cx="0" cy="1937238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20053</xdr:colOff>
      <xdr:row>0</xdr:row>
      <xdr:rowOff>50132</xdr:rowOff>
    </xdr:from>
    <xdr:to>
      <xdr:col>23</xdr:col>
      <xdr:colOff>20053</xdr:colOff>
      <xdr:row>106</xdr:row>
      <xdr:rowOff>76868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8D9157E-7B5C-208D-933A-FE0FF4C6C001}"/>
            </a:ext>
          </a:extLst>
        </xdr:cNvPr>
        <xdr:cNvCxnSpPr/>
      </xdr:nvCxnSpPr>
      <xdr:spPr>
        <a:xfrm>
          <a:off x="14628395" y="50132"/>
          <a:ext cx="0" cy="1624597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B2761A0D-7C45-4C6A-9132-DB7D2A889108}" userId="9ffda80931a57275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Z6" dT="2025-11-17T15:40:17.48" personId="{B2761A0D-7C45-4C6A-9132-DB7D2A889108}" id="{63BFD14A-9CEB-4F1A-A11A-74C580922CA4}">
    <text>Consensus 18.6B</text>
  </threadedComment>
  <threadedComment ref="AA6" dT="2025-11-17T15:40:09.37" personId="{B2761A0D-7C45-4C6A-9132-DB7D2A889108}" id="{AA78B679-7A92-4769-99E5-32333F4EBBA8}">
    <text>Consensus 30.3B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FD432-C28D-479E-86E5-1BBBA11DDDBD}">
  <dimension ref="J2:M19"/>
  <sheetViews>
    <sheetView tabSelected="1" topLeftCell="E1" zoomScale="175" zoomScaleNormal="175" workbookViewId="0">
      <selection activeCell="L11" sqref="L11"/>
    </sheetView>
  </sheetViews>
  <sheetFormatPr defaultRowHeight="12.5" x14ac:dyDescent="0.25"/>
  <cols>
    <col min="1" max="8" width="8.7265625" style="1"/>
    <col min="9" max="9" width="3" style="1" customWidth="1"/>
    <col min="10" max="10" width="14" style="1" customWidth="1"/>
    <col min="11" max="16384" width="8.7265625" style="1"/>
  </cols>
  <sheetData>
    <row r="2" spans="10:13" x14ac:dyDescent="0.25">
      <c r="K2" s="1" t="s">
        <v>0</v>
      </c>
      <c r="L2" s="2">
        <v>105</v>
      </c>
    </row>
    <row r="3" spans="10:13" x14ac:dyDescent="0.25">
      <c r="K3" s="1" t="s">
        <v>1</v>
      </c>
      <c r="L3" s="3">
        <v>551</v>
      </c>
      <c r="M3" s="4" t="s">
        <v>40</v>
      </c>
    </row>
    <row r="4" spans="10:13" x14ac:dyDescent="0.25">
      <c r="K4" s="1" t="s">
        <v>2</v>
      </c>
      <c r="L4" s="3">
        <f>+L2*L3</f>
        <v>57855</v>
      </c>
    </row>
    <row r="5" spans="10:13" x14ac:dyDescent="0.25">
      <c r="K5" s="1" t="s">
        <v>3</v>
      </c>
      <c r="L5" s="3">
        <v>6919</v>
      </c>
      <c r="M5" s="4" t="s">
        <v>40</v>
      </c>
    </row>
    <row r="6" spans="10:13" x14ac:dyDescent="0.25">
      <c r="K6" s="1" t="s">
        <v>4</v>
      </c>
      <c r="L6" s="3">
        <v>35068</v>
      </c>
      <c r="M6" s="4" t="s">
        <v>40</v>
      </c>
    </row>
    <row r="7" spans="10:13" x14ac:dyDescent="0.25">
      <c r="K7" s="1" t="s">
        <v>5</v>
      </c>
      <c r="L7" s="3">
        <f>+L4-L5+L6</f>
        <v>86004</v>
      </c>
    </row>
    <row r="9" spans="10:13" ht="13" x14ac:dyDescent="0.3">
      <c r="K9" s="10" t="s">
        <v>7</v>
      </c>
      <c r="L9" s="7">
        <v>46736</v>
      </c>
      <c r="M9" s="4" t="s">
        <v>40</v>
      </c>
    </row>
    <row r="10" spans="10:13" x14ac:dyDescent="0.25">
      <c r="L10" s="3"/>
    </row>
    <row r="11" spans="10:13" x14ac:dyDescent="0.25">
      <c r="L11" s="2">
        <f>+L7/L9</f>
        <v>1.8402088325915782</v>
      </c>
    </row>
    <row r="15" spans="10:13" x14ac:dyDescent="0.25">
      <c r="J15" s="1">
        <v>2029</v>
      </c>
      <c r="K15" s="1">
        <v>270</v>
      </c>
    </row>
    <row r="16" spans="10:13" x14ac:dyDescent="0.25">
      <c r="J16" s="1" t="s">
        <v>61</v>
      </c>
      <c r="K16" s="1">
        <v>2000</v>
      </c>
      <c r="L16" s="2">
        <v>0.95</v>
      </c>
    </row>
    <row r="17" spans="10:12" x14ac:dyDescent="0.25">
      <c r="J17" s="1" t="s">
        <v>62</v>
      </c>
      <c r="K17" s="1">
        <v>1750</v>
      </c>
      <c r="L17" s="2">
        <v>0.93</v>
      </c>
    </row>
    <row r="18" spans="10:12" x14ac:dyDescent="0.25">
      <c r="J18" s="4" t="s">
        <v>60</v>
      </c>
      <c r="K18" s="1">
        <v>5000</v>
      </c>
    </row>
    <row r="19" spans="10:12" x14ac:dyDescent="0.25">
      <c r="J19" s="4" t="s">
        <v>60</v>
      </c>
      <c r="K19" s="1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1FAF7-107F-48D3-9D44-FF347A70DD91}">
  <dimension ref="A1:AB112"/>
  <sheetViews>
    <sheetView zoomScale="130" zoomScaleNormal="130" workbookViewId="0">
      <pane xSplit="2" ySplit="2" topLeftCell="N83" activePane="bottomRight" state="frozen"/>
      <selection pane="topRight" activeCell="C1" sqref="C1"/>
      <selection pane="bottomLeft" activeCell="A3" sqref="A3"/>
      <selection pane="bottomRight" activeCell="X109" sqref="X109"/>
    </sheetView>
  </sheetViews>
  <sheetFormatPr defaultRowHeight="12.5" x14ac:dyDescent="0.25"/>
  <cols>
    <col min="1" max="1" width="4.6328125" style="1" bestFit="1" customWidth="1"/>
    <col min="2" max="2" width="21.453125" style="1" customWidth="1"/>
    <col min="3" max="12" width="8.7265625" style="4"/>
    <col min="13" max="13" width="8.90625" style="4" bestFit="1" customWidth="1"/>
    <col min="14" max="17" width="8.7265625" style="4"/>
    <col min="18" max="18" width="8.90625" style="4" bestFit="1" customWidth="1"/>
    <col min="19" max="16384" width="8.7265625" style="1"/>
  </cols>
  <sheetData>
    <row r="1" spans="1:28" x14ac:dyDescent="0.25">
      <c r="A1" s="1" t="s">
        <v>8</v>
      </c>
    </row>
    <row r="2" spans="1:28" x14ac:dyDescent="0.25">
      <c r="C2" s="4" t="s">
        <v>32</v>
      </c>
      <c r="D2" s="4" t="s">
        <v>33</v>
      </c>
      <c r="E2" s="4" t="s">
        <v>34</v>
      </c>
      <c r="F2" s="4" t="s">
        <v>35</v>
      </c>
      <c r="G2" s="4" t="s">
        <v>10</v>
      </c>
      <c r="H2" s="4" t="s">
        <v>11</v>
      </c>
      <c r="I2" s="4" t="s">
        <v>12</v>
      </c>
      <c r="J2" s="4" t="s">
        <v>13</v>
      </c>
      <c r="K2" s="4" t="s">
        <v>6</v>
      </c>
      <c r="L2" s="4" t="s">
        <v>14</v>
      </c>
      <c r="M2" s="4" t="s">
        <v>15</v>
      </c>
      <c r="N2" s="4" t="s">
        <v>16</v>
      </c>
      <c r="O2" s="4" t="s">
        <v>39</v>
      </c>
      <c r="P2" s="4" t="s">
        <v>40</v>
      </c>
      <c r="Q2" s="4" t="s">
        <v>41</v>
      </c>
      <c r="R2" s="4" t="s">
        <v>42</v>
      </c>
      <c r="U2" s="1">
        <v>2022</v>
      </c>
      <c r="V2" s="1">
        <v>2023</v>
      </c>
      <c r="W2" s="1">
        <v>2024</v>
      </c>
      <c r="X2" s="1">
        <f>+W2+1</f>
        <v>2025</v>
      </c>
      <c r="Y2" s="1">
        <v>2026</v>
      </c>
      <c r="Z2" s="1">
        <v>2027</v>
      </c>
      <c r="AA2" s="1">
        <v>2028</v>
      </c>
      <c r="AB2" s="1">
        <v>2029</v>
      </c>
    </row>
    <row r="3" spans="1:28" x14ac:dyDescent="0.25">
      <c r="B3" s="1" t="s">
        <v>37</v>
      </c>
      <c r="M3" s="6">
        <v>55600</v>
      </c>
      <c r="N3" s="6">
        <v>66800</v>
      </c>
      <c r="O3" s="6">
        <v>99400</v>
      </c>
      <c r="P3" s="6">
        <v>104200</v>
      </c>
      <c r="Q3" s="6">
        <v>125000</v>
      </c>
    </row>
    <row r="4" spans="1:28" x14ac:dyDescent="0.25">
      <c r="P4" s="5"/>
      <c r="Q4" s="5"/>
    </row>
    <row r="6" spans="1:28" s="7" customFormat="1" ht="13" x14ac:dyDescent="0.3">
      <c r="B6" s="7" t="s">
        <v>9</v>
      </c>
      <c r="C6" s="8">
        <v>38</v>
      </c>
      <c r="D6" s="8">
        <v>38</v>
      </c>
      <c r="E6" s="8">
        <v>38</v>
      </c>
      <c r="F6" s="8">
        <f>229*0.5</f>
        <v>114.5</v>
      </c>
      <c r="G6" s="8">
        <v>188.684</v>
      </c>
      <c r="H6" s="8">
        <v>345</v>
      </c>
      <c r="I6" s="8">
        <v>583.94100000000003</v>
      </c>
      <c r="J6" s="8">
        <v>747</v>
      </c>
      <c r="K6" s="8">
        <v>981.63199999999995</v>
      </c>
      <c r="L6" s="8">
        <v>1212.788</v>
      </c>
      <c r="M6" s="8">
        <v>1364.6759999999999</v>
      </c>
      <c r="N6" s="8">
        <v>1572</v>
      </c>
      <c r="O6" s="8">
        <v>2078</v>
      </c>
      <c r="P6" s="8">
        <v>2575</v>
      </c>
      <c r="Q6" s="8">
        <v>3420</v>
      </c>
      <c r="R6" s="8">
        <v>4580</v>
      </c>
      <c r="U6" s="7">
        <v>15.83</v>
      </c>
      <c r="V6" s="7">
        <v>228.94300000000001</v>
      </c>
      <c r="W6" s="7">
        <v>1915.4259999999999</v>
      </c>
      <c r="X6" s="7">
        <f t="shared" ref="X6:X12" si="0">SUM(K6:N6)</f>
        <v>5131.0959999999995</v>
      </c>
      <c r="Y6" s="7">
        <f>SUM(O6:R6)</f>
        <v>12653</v>
      </c>
      <c r="Z6" s="7">
        <f>+Y6*1.5</f>
        <v>18979.5</v>
      </c>
      <c r="AA6" s="7">
        <f>+Z6*1.3</f>
        <v>24673.350000000002</v>
      </c>
    </row>
    <row r="7" spans="1:28" s="3" customFormat="1" x14ac:dyDescent="0.25">
      <c r="B7" s="3" t="s">
        <v>18</v>
      </c>
      <c r="C7" s="6"/>
      <c r="D7" s="6"/>
      <c r="E7" s="6"/>
      <c r="F7" s="6"/>
      <c r="G7" s="6">
        <f>59.22+92.881</f>
        <v>152.101</v>
      </c>
      <c r="H7" s="6"/>
      <c r="I7" s="6">
        <v>143.13399999999999</v>
      </c>
      <c r="J7" s="6">
        <v>182</v>
      </c>
      <c r="K7" s="6">
        <f>262.394</f>
        <v>262.39400000000001</v>
      </c>
      <c r="L7" s="6">
        <f>312.667</f>
        <v>312.66699999999997</v>
      </c>
      <c r="M7" s="6">
        <v>368.82400000000001</v>
      </c>
      <c r="N7" s="6">
        <v>509</v>
      </c>
      <c r="O7" s="6">
        <v>716</v>
      </c>
      <c r="P7" s="6">
        <v>879</v>
      </c>
      <c r="Q7" s="6"/>
      <c r="R7" s="6"/>
      <c r="W7" s="3">
        <f>493.35+960.685</f>
        <v>1454.0349999999999</v>
      </c>
      <c r="X7" s="3">
        <f t="shared" si="0"/>
        <v>1452.885</v>
      </c>
    </row>
    <row r="8" spans="1:28" s="3" customFormat="1" x14ac:dyDescent="0.25">
      <c r="B8" s="3" t="s">
        <v>38</v>
      </c>
      <c r="C8" s="6"/>
      <c r="D8" s="6"/>
      <c r="E8" s="6"/>
      <c r="F8" s="6"/>
      <c r="G8" s="6"/>
      <c r="H8" s="6"/>
      <c r="I8" s="6">
        <v>285.50900000000001</v>
      </c>
      <c r="J8" s="6">
        <v>398</v>
      </c>
      <c r="K8" s="6">
        <v>561.40200000000004</v>
      </c>
      <c r="L8" s="6">
        <v>669.91300000000001</v>
      </c>
      <c r="M8" s="6">
        <v>747.47900000000004</v>
      </c>
      <c r="N8" s="6">
        <v>950</v>
      </c>
      <c r="O8" s="6">
        <v>1273</v>
      </c>
      <c r="P8" s="6">
        <v>1507</v>
      </c>
      <c r="Q8" s="6"/>
      <c r="R8" s="6"/>
      <c r="X8" s="3">
        <f>SUM(K8:O8)</f>
        <v>4201.7939999999999</v>
      </c>
    </row>
    <row r="9" spans="1:28" s="11" customFormat="1" ht="13" x14ac:dyDescent="0.3">
      <c r="B9" s="11" t="s">
        <v>58</v>
      </c>
      <c r="C9" s="12"/>
      <c r="D9" s="12"/>
      <c r="E9" s="12"/>
      <c r="F9" s="12"/>
      <c r="G9" s="12"/>
      <c r="H9" s="12"/>
      <c r="I9" s="12"/>
      <c r="J9" s="12"/>
      <c r="K9" s="12">
        <f t="shared" ref="K9:M9" si="1">+K56</f>
        <v>443.49700000000001</v>
      </c>
      <c r="L9" s="12">
        <f t="shared" si="1"/>
        <v>559.48099999999999</v>
      </c>
      <c r="M9" s="12">
        <f t="shared" si="1"/>
        <v>630.47900000000004</v>
      </c>
      <c r="N9" s="12">
        <f>+N56</f>
        <v>821</v>
      </c>
      <c r="O9" s="12">
        <f>+O56</f>
        <v>1147</v>
      </c>
      <c r="P9" s="12">
        <f>+P56</f>
        <v>1393</v>
      </c>
      <c r="Q9" s="12"/>
      <c r="R9" s="12"/>
      <c r="X9" s="3">
        <f t="shared" si="0"/>
        <v>2454.4570000000003</v>
      </c>
    </row>
    <row r="10" spans="1:28" s="3" customFormat="1" x14ac:dyDescent="0.25">
      <c r="B10" s="3" t="s">
        <v>17</v>
      </c>
      <c r="C10" s="6"/>
      <c r="D10" s="6"/>
      <c r="E10" s="6"/>
      <c r="F10" s="6"/>
      <c r="G10" s="6">
        <f>+G6-G7</f>
        <v>36.582999999999998</v>
      </c>
      <c r="H10" s="6"/>
      <c r="I10" s="6">
        <f t="shared" ref="I10:P10" si="2">+I6-I7-I8</f>
        <v>155.298</v>
      </c>
      <c r="J10" s="6">
        <f t="shared" si="2"/>
        <v>167</v>
      </c>
      <c r="K10" s="6">
        <f t="shared" si="2"/>
        <v>157.8359999999999</v>
      </c>
      <c r="L10" s="6">
        <f t="shared" si="2"/>
        <v>230.20800000000008</v>
      </c>
      <c r="M10" s="6">
        <f t="shared" si="2"/>
        <v>248.37299999999982</v>
      </c>
      <c r="N10" s="6">
        <f t="shared" si="2"/>
        <v>113</v>
      </c>
      <c r="O10" s="6">
        <f t="shared" si="2"/>
        <v>89</v>
      </c>
      <c r="P10" s="6">
        <f t="shared" si="2"/>
        <v>189</v>
      </c>
      <c r="Q10" s="6">
        <f t="shared" ref="Q10:R10" si="3">+Q6*0.64</f>
        <v>2188.8000000000002</v>
      </c>
      <c r="R10" s="6">
        <f t="shared" si="3"/>
        <v>2931.2000000000003</v>
      </c>
      <c r="U10" s="3">
        <f>+U6-U7</f>
        <v>15.83</v>
      </c>
      <c r="V10" s="3">
        <f>+V6-V7</f>
        <v>228.94300000000001</v>
      </c>
      <c r="W10" s="3">
        <f>+W6-W7</f>
        <v>461.39100000000008</v>
      </c>
      <c r="X10" s="3">
        <f t="shared" si="0"/>
        <v>749.4169999999998</v>
      </c>
      <c r="Y10" s="3">
        <f>SUM(O10:R10)</f>
        <v>5398</v>
      </c>
      <c r="Z10" s="3">
        <f>+Z6*0.64</f>
        <v>12146.880000000001</v>
      </c>
      <c r="AA10" s="3">
        <f>+AA6*0.24</f>
        <v>5921.6040000000003</v>
      </c>
    </row>
    <row r="11" spans="1:28" s="3" customFormat="1" x14ac:dyDescent="0.25">
      <c r="B11" s="3" t="s">
        <v>19</v>
      </c>
      <c r="C11" s="6"/>
      <c r="D11" s="6"/>
      <c r="E11" s="6"/>
      <c r="F11" s="6"/>
      <c r="G11" s="6">
        <v>4.05</v>
      </c>
      <c r="H11" s="6"/>
      <c r="I11" s="6">
        <v>4.5540000000000003</v>
      </c>
      <c r="J11" s="6">
        <v>6</v>
      </c>
      <c r="K11" s="6">
        <v>10.548999999999999</v>
      </c>
      <c r="L11" s="6">
        <v>36.798999999999999</v>
      </c>
      <c r="M11" s="6">
        <v>44.645000000000003</v>
      </c>
      <c r="N11" s="6">
        <v>52</v>
      </c>
      <c r="O11" s="6">
        <v>69</v>
      </c>
      <c r="P11" s="6">
        <v>60</v>
      </c>
      <c r="Q11" s="6">
        <f t="shared" ref="Q11:R11" si="4">+P11+5</f>
        <v>65</v>
      </c>
      <c r="R11" s="6">
        <f t="shared" si="4"/>
        <v>70</v>
      </c>
      <c r="W11" s="3">
        <v>18.388999999999999</v>
      </c>
      <c r="X11" s="3">
        <f t="shared" si="0"/>
        <v>143.99299999999999</v>
      </c>
      <c r="Y11" s="3">
        <f>SUM(O11:R11)</f>
        <v>264</v>
      </c>
      <c r="Z11" s="3">
        <f>+Y11*1.1</f>
        <v>290.40000000000003</v>
      </c>
      <c r="AA11" s="3">
        <f>+Z11*1.1</f>
        <v>319.44000000000005</v>
      </c>
    </row>
    <row r="12" spans="1:28" s="3" customFormat="1" x14ac:dyDescent="0.25">
      <c r="B12" s="3" t="s">
        <v>20</v>
      </c>
      <c r="C12" s="6"/>
      <c r="D12" s="6"/>
      <c r="E12" s="6"/>
      <c r="F12" s="6"/>
      <c r="G12" s="6">
        <v>15.686</v>
      </c>
      <c r="H12" s="6"/>
      <c r="I12" s="6">
        <v>33.628</v>
      </c>
      <c r="J12" s="6">
        <v>48</v>
      </c>
      <c r="K12" s="6">
        <v>174.75700000000001</v>
      </c>
      <c r="L12" s="6">
        <v>174.2</v>
      </c>
      <c r="M12" s="6">
        <v>151.87799999999999</v>
      </c>
      <c r="N12" s="6">
        <v>150</v>
      </c>
      <c r="O12" s="6">
        <v>164</v>
      </c>
      <c r="P12" s="6">
        <v>178</v>
      </c>
      <c r="Q12" s="6">
        <f t="shared" ref="Q12:R12" si="5">+P12+10</f>
        <v>188</v>
      </c>
      <c r="R12" s="6">
        <f t="shared" si="5"/>
        <v>198</v>
      </c>
      <c r="W12" s="3">
        <v>118.64400000000001</v>
      </c>
      <c r="X12" s="3">
        <f t="shared" si="0"/>
        <v>650.83500000000004</v>
      </c>
      <c r="Y12" s="3">
        <f>SUM(O12:R12)</f>
        <v>728</v>
      </c>
      <c r="Z12" s="3">
        <f t="shared" ref="Z12:AA12" si="6">+Y12*1.1</f>
        <v>800.80000000000007</v>
      </c>
      <c r="AA12" s="3">
        <f t="shared" si="6"/>
        <v>880.88000000000011</v>
      </c>
    </row>
    <row r="13" spans="1:28" s="3" customFormat="1" x14ac:dyDescent="0.25">
      <c r="B13" s="3" t="s">
        <v>21</v>
      </c>
      <c r="C13" s="6"/>
      <c r="D13" s="6"/>
      <c r="E13" s="6"/>
      <c r="F13" s="6"/>
      <c r="G13" s="6">
        <f>+G11+G12</f>
        <v>19.736000000000001</v>
      </c>
      <c r="H13" s="6"/>
      <c r="I13" s="6">
        <f t="shared" ref="I13:J13" si="7">+I11+I12</f>
        <v>38.182000000000002</v>
      </c>
      <c r="J13" s="6">
        <f t="shared" si="7"/>
        <v>54</v>
      </c>
      <c r="K13" s="6">
        <f>+K11+K12</f>
        <v>185.30600000000001</v>
      </c>
      <c r="L13" s="6">
        <f>+L11+L12</f>
        <v>210.999</v>
      </c>
      <c r="M13" s="6">
        <f>+M11+M12</f>
        <v>196.523</v>
      </c>
      <c r="N13" s="6">
        <f>+N11+N12</f>
        <v>202</v>
      </c>
      <c r="O13" s="6">
        <f t="shared" ref="O13:R13" si="8">+O11+O12</f>
        <v>233</v>
      </c>
      <c r="P13" s="6">
        <f t="shared" si="8"/>
        <v>238</v>
      </c>
      <c r="Q13" s="6">
        <f t="shared" si="8"/>
        <v>253</v>
      </c>
      <c r="R13" s="6">
        <f t="shared" si="8"/>
        <v>268</v>
      </c>
      <c r="U13" s="6">
        <f t="shared" ref="U13:V13" si="9">+U11+U12</f>
        <v>0</v>
      </c>
      <c r="V13" s="6">
        <f t="shared" si="9"/>
        <v>0</v>
      </c>
      <c r="W13" s="6">
        <f>+W11+W12</f>
        <v>137.03300000000002</v>
      </c>
      <c r="X13" s="6">
        <f t="shared" ref="X13:Y13" si="10">+X11+X12</f>
        <v>794.82799999999997</v>
      </c>
      <c r="Y13" s="6">
        <f t="shared" si="10"/>
        <v>992</v>
      </c>
      <c r="Z13" s="6">
        <f t="shared" ref="Z13" si="11">+Z11+Z12</f>
        <v>1091.2</v>
      </c>
      <c r="AA13" s="6">
        <f t="shared" ref="AA13" si="12">+AA11+AA12</f>
        <v>1200.3200000000002</v>
      </c>
    </row>
    <row r="14" spans="1:28" s="3" customFormat="1" x14ac:dyDescent="0.25">
      <c r="B14" s="3" t="s">
        <v>22</v>
      </c>
      <c r="C14" s="6"/>
      <c r="D14" s="6"/>
      <c r="E14" s="6"/>
      <c r="F14" s="6"/>
      <c r="G14" s="6">
        <f>+G10-G13</f>
        <v>16.846999999999998</v>
      </c>
      <c r="H14" s="6"/>
      <c r="I14" s="6">
        <f t="shared" ref="I14:J14" si="13">+I10-I13</f>
        <v>117.116</v>
      </c>
      <c r="J14" s="6">
        <f t="shared" si="13"/>
        <v>113</v>
      </c>
      <c r="K14" s="6">
        <f>+K10-K13</f>
        <v>-27.470000000000113</v>
      </c>
      <c r="L14" s="6">
        <f>+L10-L13</f>
        <v>19.209000000000088</v>
      </c>
      <c r="M14" s="6">
        <f>+M10-M13</f>
        <v>51.849999999999824</v>
      </c>
      <c r="N14" s="6">
        <f>+N10-N13</f>
        <v>-89</v>
      </c>
      <c r="O14" s="6">
        <f t="shared" ref="O14:R14" si="14">+O10-O13</f>
        <v>-144</v>
      </c>
      <c r="P14" s="6">
        <f>+P10-P13</f>
        <v>-49</v>
      </c>
      <c r="Q14" s="6">
        <f t="shared" si="14"/>
        <v>1935.8000000000002</v>
      </c>
      <c r="R14" s="6">
        <f t="shared" si="14"/>
        <v>2663.2000000000003</v>
      </c>
      <c r="U14" s="6">
        <f t="shared" ref="U14:V14" si="15">+U10-U13</f>
        <v>15.83</v>
      </c>
      <c r="V14" s="6">
        <f t="shared" si="15"/>
        <v>228.94300000000001</v>
      </c>
      <c r="W14" s="6">
        <f>+W10-W13</f>
        <v>324.35800000000006</v>
      </c>
      <c r="X14" s="6">
        <f t="shared" ref="X14:Y14" si="16">+X10-X13</f>
        <v>-45.411000000000172</v>
      </c>
      <c r="Y14" s="6">
        <f t="shared" si="16"/>
        <v>4406</v>
      </c>
      <c r="Z14" s="6">
        <f t="shared" ref="Z14" si="17">+Z10-Z13</f>
        <v>11055.68</v>
      </c>
      <c r="AA14" s="6">
        <f t="shared" ref="AA14" si="18">+AA10-AA13</f>
        <v>4721.2839999999997</v>
      </c>
    </row>
    <row r="15" spans="1:28" s="3" customFormat="1" x14ac:dyDescent="0.25">
      <c r="B15" s="3" t="s">
        <v>24</v>
      </c>
      <c r="C15" s="6"/>
      <c r="D15" s="6"/>
      <c r="E15" s="6"/>
      <c r="F15" s="6"/>
      <c r="G15" s="6">
        <v>-40.655999999999999</v>
      </c>
      <c r="H15" s="6"/>
      <c r="I15" s="6">
        <v>-104.375</v>
      </c>
      <c r="J15" s="6">
        <v>-149</v>
      </c>
      <c r="K15" s="6">
        <v>-263.83499999999998</v>
      </c>
      <c r="L15" s="6">
        <v>-266.96600000000001</v>
      </c>
      <c r="M15" s="6">
        <v>-310.55500000000001</v>
      </c>
      <c r="N15" s="6">
        <v>-388</v>
      </c>
      <c r="O15" s="6">
        <v>-536</v>
      </c>
      <c r="P15" s="6">
        <v>-640</v>
      </c>
      <c r="Q15" s="6">
        <v>-310.55500000000001</v>
      </c>
      <c r="R15" s="6">
        <v>-310.55500000000001</v>
      </c>
      <c r="W15" s="3">
        <v>-360.82400000000001</v>
      </c>
      <c r="X15" s="3">
        <f>SUM(K15:N15)</f>
        <v>-1229.356</v>
      </c>
      <c r="Y15" s="3">
        <f>SUM(O15:R15)</f>
        <v>-1797.1100000000001</v>
      </c>
      <c r="Z15" s="3">
        <f>+Y15</f>
        <v>-1797.1100000000001</v>
      </c>
      <c r="AA15" s="3">
        <v>0</v>
      </c>
    </row>
    <row r="16" spans="1:28" s="3" customFormat="1" x14ac:dyDescent="0.25">
      <c r="B16" s="3" t="s">
        <v>23</v>
      </c>
      <c r="C16" s="6"/>
      <c r="D16" s="6"/>
      <c r="E16" s="6"/>
      <c r="F16" s="6"/>
      <c r="G16" s="6">
        <f>+G14+G15</f>
        <v>-23.809000000000001</v>
      </c>
      <c r="H16" s="6"/>
      <c r="I16" s="6">
        <f t="shared" ref="I16:J16" si="19">+I14+I15</f>
        <v>12.741</v>
      </c>
      <c r="J16" s="6">
        <f t="shared" si="19"/>
        <v>-36</v>
      </c>
      <c r="K16" s="6">
        <f>+K14+K15</f>
        <v>-291.30500000000006</v>
      </c>
      <c r="L16" s="6">
        <f>+L14+L15</f>
        <v>-247.75699999999992</v>
      </c>
      <c r="M16" s="6">
        <f>+M14+M15</f>
        <v>-258.70500000000015</v>
      </c>
      <c r="N16" s="6">
        <f>+N14+N15</f>
        <v>-477</v>
      </c>
      <c r="O16" s="6">
        <f t="shared" ref="O16:R16" si="20">+O14+O15</f>
        <v>-680</v>
      </c>
      <c r="P16" s="6">
        <f t="shared" si="20"/>
        <v>-689</v>
      </c>
      <c r="Q16" s="6">
        <f t="shared" si="20"/>
        <v>1625.2450000000001</v>
      </c>
      <c r="R16" s="6">
        <f t="shared" si="20"/>
        <v>2352.6450000000004</v>
      </c>
      <c r="U16" s="6">
        <f t="shared" ref="U16:V16" si="21">+U14+U15</f>
        <v>15.83</v>
      </c>
      <c r="V16" s="6">
        <f t="shared" si="21"/>
        <v>228.94300000000001</v>
      </c>
      <c r="W16" s="6">
        <f>+W14+W15</f>
        <v>-36.465999999999951</v>
      </c>
      <c r="X16" s="6">
        <f>+X14+X15</f>
        <v>-1274.7670000000003</v>
      </c>
      <c r="Y16" s="6">
        <f>+Y14+Y15</f>
        <v>2608.89</v>
      </c>
      <c r="Z16" s="6">
        <f t="shared" ref="Z16:AA16" si="22">+Z14+Z15</f>
        <v>9258.57</v>
      </c>
      <c r="AA16" s="6">
        <f t="shared" si="22"/>
        <v>4721.2839999999997</v>
      </c>
    </row>
    <row r="17" spans="2:27" x14ac:dyDescent="0.25">
      <c r="B17" s="1" t="s">
        <v>25</v>
      </c>
      <c r="G17" s="4">
        <v>0</v>
      </c>
      <c r="I17" s="4">
        <v>0</v>
      </c>
      <c r="J17" s="4">
        <v>22</v>
      </c>
      <c r="K17" s="4">
        <v>0</v>
      </c>
      <c r="L17" s="4">
        <v>0</v>
      </c>
      <c r="M17" s="4">
        <v>0</v>
      </c>
      <c r="N17" s="4">
        <v>0</v>
      </c>
      <c r="O17" s="4">
        <v>84</v>
      </c>
      <c r="P17" s="4">
        <v>62</v>
      </c>
      <c r="Q17" s="4">
        <v>0</v>
      </c>
      <c r="R17" s="4">
        <v>0</v>
      </c>
      <c r="X17" s="1">
        <v>0</v>
      </c>
      <c r="Y17" s="1">
        <v>0</v>
      </c>
      <c r="Z17" s="1">
        <v>0</v>
      </c>
      <c r="AA17" s="3">
        <f>+AA16*0.25</f>
        <v>1180.3209999999999</v>
      </c>
    </row>
    <row r="18" spans="2:27" x14ac:dyDescent="0.25">
      <c r="B18" s="1" t="s">
        <v>26</v>
      </c>
      <c r="C18" s="6"/>
      <c r="D18" s="6"/>
      <c r="E18" s="6"/>
      <c r="F18" s="6"/>
      <c r="G18" s="6">
        <f t="shared" ref="G18" si="23">+G16-G17</f>
        <v>-23.809000000000001</v>
      </c>
      <c r="H18" s="6"/>
      <c r="I18" s="6">
        <f t="shared" ref="I18:N18" si="24">+I16-I17</f>
        <v>12.741</v>
      </c>
      <c r="J18" s="6">
        <f t="shared" si="24"/>
        <v>-58</v>
      </c>
      <c r="K18" s="6">
        <f t="shared" si="24"/>
        <v>-291.30500000000006</v>
      </c>
      <c r="L18" s="6">
        <f t="shared" si="24"/>
        <v>-247.75699999999992</v>
      </c>
      <c r="M18" s="6">
        <f t="shared" si="24"/>
        <v>-258.70500000000015</v>
      </c>
      <c r="N18" s="6">
        <f t="shared" si="24"/>
        <v>-477</v>
      </c>
      <c r="O18" s="6">
        <f t="shared" ref="O18:R18" si="25">+O16-O17</f>
        <v>-764</v>
      </c>
      <c r="P18" s="6">
        <f t="shared" si="25"/>
        <v>-751</v>
      </c>
      <c r="Q18" s="6">
        <f t="shared" si="25"/>
        <v>1625.2450000000001</v>
      </c>
      <c r="R18" s="6">
        <f t="shared" si="25"/>
        <v>2352.6450000000004</v>
      </c>
      <c r="U18" s="6">
        <f t="shared" ref="U18:V18" si="26">+U16-U17</f>
        <v>15.83</v>
      </c>
      <c r="V18" s="6">
        <f t="shared" si="26"/>
        <v>228.94300000000001</v>
      </c>
      <c r="W18" s="6">
        <f>+W16-W17</f>
        <v>-36.465999999999951</v>
      </c>
      <c r="X18" s="6">
        <f>+X16-X17</f>
        <v>-1274.7670000000003</v>
      </c>
      <c r="Y18" s="6">
        <f>+Y16-Y17</f>
        <v>2608.89</v>
      </c>
      <c r="Z18" s="6">
        <f t="shared" ref="Z18:AA18" si="27">+Z16-Z17</f>
        <v>9258.57</v>
      </c>
      <c r="AA18" s="6">
        <f t="shared" si="27"/>
        <v>3540.9629999999997</v>
      </c>
    </row>
    <row r="19" spans="2:27" x14ac:dyDescent="0.25">
      <c r="B19" s="1" t="s">
        <v>27</v>
      </c>
      <c r="C19" s="9"/>
      <c r="G19" s="9">
        <f>+G18/G20</f>
        <v>-0.11379452080983425</v>
      </c>
      <c r="I19" s="9">
        <f t="shared" ref="I19:N19" si="28">+I18/I20</f>
        <v>5.9591405292648468E-2</v>
      </c>
      <c r="J19" s="9">
        <f t="shared" si="28"/>
        <v>-0.24267782426778242</v>
      </c>
      <c r="K19" s="9">
        <f t="shared" si="28"/>
        <v>-1.168524587533545</v>
      </c>
      <c r="L19" s="9">
        <f t="shared" si="28"/>
        <v>-0.50916889132762411</v>
      </c>
      <c r="M19" s="9">
        <f t="shared" si="28"/>
        <v>-0.51960689796459458</v>
      </c>
      <c r="N19" s="9">
        <f t="shared" si="28"/>
        <v>-0.94268774703557312</v>
      </c>
      <c r="O19" s="9">
        <f t="shared" ref="O19:R19" si="29">+O18/O20</f>
        <v>-1.4497153700189753</v>
      </c>
      <c r="P19" s="9">
        <f t="shared" si="29"/>
        <v>-1.3629764065335752</v>
      </c>
      <c r="Q19" s="9">
        <f t="shared" si="29"/>
        <v>2.9496279491833035</v>
      </c>
      <c r="R19" s="9">
        <f t="shared" si="29"/>
        <v>4.2697731397459169</v>
      </c>
      <c r="X19" s="2">
        <f>+X18/X20</f>
        <v>-2.5193023715415026</v>
      </c>
      <c r="Y19" s="2">
        <f>+Y18/Y20</f>
        <v>5.1559090909090903</v>
      </c>
      <c r="Z19" s="2">
        <f t="shared" ref="Z19:AA19" si="30">+Z18/Z20</f>
        <v>18.297569169960475</v>
      </c>
      <c r="AA19" s="2">
        <f t="shared" si="30"/>
        <v>6.9979505928853749</v>
      </c>
    </row>
    <row r="20" spans="2:27" s="3" customFormat="1" x14ac:dyDescent="0.25">
      <c r="B20" s="3" t="s">
        <v>1</v>
      </c>
      <c r="C20" s="6"/>
      <c r="D20" s="6"/>
      <c r="E20" s="6"/>
      <c r="F20" s="6"/>
      <c r="G20" s="6">
        <v>209.22800000000001</v>
      </c>
      <c r="H20" s="6"/>
      <c r="I20" s="6">
        <v>213.80600000000001</v>
      </c>
      <c r="J20" s="6">
        <v>239</v>
      </c>
      <c r="K20" s="6">
        <v>249.29300000000001</v>
      </c>
      <c r="L20" s="6">
        <v>486.59100000000001</v>
      </c>
      <c r="M20" s="6">
        <v>497.88600000000002</v>
      </c>
      <c r="N20" s="6">
        <v>506</v>
      </c>
      <c r="O20" s="6">
        <v>527</v>
      </c>
      <c r="P20" s="6">
        <v>551</v>
      </c>
      <c r="Q20" s="6">
        <f t="shared" ref="Q20:R20" si="31">+P20</f>
        <v>551</v>
      </c>
      <c r="R20" s="6">
        <f t="shared" si="31"/>
        <v>551</v>
      </c>
      <c r="U20" s="3">
        <v>180.63200000000001</v>
      </c>
      <c r="V20" s="3">
        <v>192.16399999999999</v>
      </c>
      <c r="W20" s="3">
        <v>217.85400000000001</v>
      </c>
      <c r="X20" s="3">
        <f>+N20</f>
        <v>506</v>
      </c>
      <c r="Y20" s="3">
        <f>+X20</f>
        <v>506</v>
      </c>
      <c r="Z20" s="3">
        <f t="shared" ref="Z20:AA20" si="32">+Y20</f>
        <v>506</v>
      </c>
      <c r="AA20" s="3">
        <f t="shared" si="32"/>
        <v>506</v>
      </c>
    </row>
    <row r="21" spans="2:27" s="3" customFormat="1" x14ac:dyDescent="0.25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</row>
    <row r="22" spans="2:27" s="3" customFormat="1" x14ac:dyDescent="0.25">
      <c r="B22" s="3" t="s">
        <v>93</v>
      </c>
      <c r="C22" s="6"/>
      <c r="D22" s="6"/>
      <c r="E22" s="6"/>
      <c r="F22" s="6"/>
      <c r="G22" s="6"/>
      <c r="H22" s="6"/>
      <c r="I22" s="6"/>
      <c r="J22" s="6">
        <v>486</v>
      </c>
      <c r="K22" s="6"/>
      <c r="L22" s="6"/>
      <c r="M22" s="6"/>
      <c r="N22" s="6">
        <v>898</v>
      </c>
      <c r="O22" s="6">
        <v>1157</v>
      </c>
      <c r="P22" s="6">
        <v>1510</v>
      </c>
      <c r="Q22" s="6"/>
      <c r="R22" s="6"/>
    </row>
    <row r="23" spans="2:27" s="3" customFormat="1" x14ac:dyDescent="0.25"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9">
        <f>N22/N6</f>
        <v>0.57124681933842236</v>
      </c>
      <c r="O23" s="9">
        <f>O22/O6</f>
        <v>0.55678537054860444</v>
      </c>
      <c r="P23" s="9">
        <f>P22/P6</f>
        <v>0.58640776699029129</v>
      </c>
      <c r="Q23" s="6"/>
      <c r="R23" s="6"/>
    </row>
    <row r="24" spans="2:27" s="3" customFormat="1" x14ac:dyDescent="0.25"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</row>
    <row r="25" spans="2:27" s="3" customFormat="1" x14ac:dyDescent="0.25">
      <c r="B25" s="3" t="s">
        <v>83</v>
      </c>
      <c r="C25" s="6"/>
      <c r="D25" s="6"/>
      <c r="E25" s="6"/>
      <c r="F25" s="6"/>
      <c r="G25" s="6"/>
      <c r="H25" s="6"/>
      <c r="I25" s="6"/>
      <c r="J25" s="6"/>
      <c r="K25" s="6">
        <f t="shared" ref="K25:L25" si="33">+K18+K9</f>
        <v>152.19199999999995</v>
      </c>
      <c r="L25" s="6">
        <f t="shared" si="33"/>
        <v>311.72400000000005</v>
      </c>
      <c r="M25" s="6">
        <f>+M18+M9</f>
        <v>371.77399999999989</v>
      </c>
      <c r="N25" s="6">
        <f t="shared" ref="N25:P25" si="34">+N18+N9</f>
        <v>344</v>
      </c>
      <c r="O25" s="6">
        <f t="shared" si="34"/>
        <v>383</v>
      </c>
      <c r="P25" s="6">
        <f t="shared" si="34"/>
        <v>642</v>
      </c>
      <c r="Q25" s="6"/>
      <c r="R25" s="6"/>
    </row>
    <row r="26" spans="2:27" s="3" customFormat="1" x14ac:dyDescent="0.25">
      <c r="B26" s="3" t="s">
        <v>84</v>
      </c>
      <c r="C26" s="6"/>
      <c r="D26" s="6"/>
      <c r="E26" s="6"/>
      <c r="F26" s="6"/>
      <c r="G26" s="6"/>
      <c r="H26" s="6"/>
      <c r="I26" s="6"/>
      <c r="J26" s="6"/>
      <c r="K26" s="6">
        <f>+K25+K60</f>
        <v>336.16499999999996</v>
      </c>
      <c r="L26" s="6">
        <f>+L25+L60</f>
        <v>456.72900000000004</v>
      </c>
      <c r="M26" s="6">
        <f>+M25+M60</f>
        <v>516.20499999999993</v>
      </c>
      <c r="N26" s="6">
        <f t="shared" ref="N26:O26" si="35">+N25+N60</f>
        <v>501</v>
      </c>
      <c r="O26" s="6">
        <f t="shared" si="35"/>
        <v>536</v>
      </c>
      <c r="P26" s="6">
        <f>+P25+P60</f>
        <v>807</v>
      </c>
      <c r="Q26" s="6"/>
      <c r="R26" s="6"/>
    </row>
    <row r="28" spans="2:27" x14ac:dyDescent="0.25">
      <c r="B28" s="1" t="s">
        <v>31</v>
      </c>
      <c r="G28" s="5">
        <f t="shared" ref="G28:P28" si="36">+G6/C6-1</f>
        <v>3.9653684210526317</v>
      </c>
      <c r="H28" s="5">
        <f t="shared" si="36"/>
        <v>8.0789473684210531</v>
      </c>
      <c r="I28" s="5">
        <f t="shared" si="36"/>
        <v>14.366868421052633</v>
      </c>
      <c r="J28" s="5">
        <f t="shared" si="36"/>
        <v>5.5240174672489086</v>
      </c>
      <c r="K28" s="5">
        <f t="shared" si="36"/>
        <v>4.2025184965338873</v>
      </c>
      <c r="L28" s="5">
        <f t="shared" si="36"/>
        <v>2.5153275362318839</v>
      </c>
      <c r="M28" s="5">
        <f t="shared" si="36"/>
        <v>1.3370100746479521</v>
      </c>
      <c r="N28" s="5">
        <f t="shared" si="36"/>
        <v>1.1044176706827309</v>
      </c>
      <c r="O28" s="5">
        <f t="shared" si="36"/>
        <v>1.1168829052027647</v>
      </c>
      <c r="P28" s="5">
        <f t="shared" si="36"/>
        <v>1.1232070238161986</v>
      </c>
      <c r="Q28" s="5"/>
      <c r="R28" s="5"/>
    </row>
    <row r="29" spans="2:27" x14ac:dyDescent="0.25">
      <c r="B29" s="1" t="s">
        <v>36</v>
      </c>
      <c r="G29" s="5">
        <f t="shared" ref="G29:M29" si="37">+G10/G6</f>
        <v>0.19388501409764472</v>
      </c>
      <c r="H29" s="5">
        <f t="shared" si="37"/>
        <v>0</v>
      </c>
      <c r="I29" s="5">
        <f t="shared" si="37"/>
        <v>0.26594810092115467</v>
      </c>
      <c r="J29" s="5">
        <f t="shared" si="37"/>
        <v>0.22356091030789826</v>
      </c>
      <c r="K29" s="5">
        <f t="shared" si="37"/>
        <v>0.16078937931933751</v>
      </c>
      <c r="L29" s="5">
        <f t="shared" si="37"/>
        <v>0.18981718156841929</v>
      </c>
      <c r="M29" s="5">
        <f t="shared" si="37"/>
        <v>0.18200144210054242</v>
      </c>
      <c r="N29" s="5">
        <f t="shared" ref="N29:O29" si="38">+N10/N6</f>
        <v>7.1882951653944024E-2</v>
      </c>
      <c r="O29" s="5">
        <f t="shared" si="38"/>
        <v>4.2829643888354189E-2</v>
      </c>
      <c r="P29" s="5">
        <f t="shared" ref="P29" si="39">+P10/P6</f>
        <v>7.3398058252427179E-2</v>
      </c>
      <c r="W29" s="5">
        <f t="shared" ref="W29" si="40">+W10/W6</f>
        <v>0.24088166287812743</v>
      </c>
      <c r="X29" s="5">
        <f>+X10/X6</f>
        <v>0.14605398144957721</v>
      </c>
      <c r="Y29" s="5">
        <f>+Y10/Y6</f>
        <v>0.4266181933138386</v>
      </c>
      <c r="Z29" s="5">
        <f t="shared" ref="Z29:AA29" si="41">+Z10/Z6</f>
        <v>0.64</v>
      </c>
      <c r="AA29" s="5">
        <f t="shared" si="41"/>
        <v>0.24</v>
      </c>
    </row>
    <row r="30" spans="2:27" x14ac:dyDescent="0.25">
      <c r="B30" s="1" t="s">
        <v>59</v>
      </c>
      <c r="K30" s="5">
        <f t="shared" ref="K30:L30" si="42">(K9+K10)/K6</f>
        <v>0.61258496055548295</v>
      </c>
      <c r="L30" s="5">
        <f t="shared" si="42"/>
        <v>0.65113523550694774</v>
      </c>
      <c r="M30" s="5">
        <f>(M9+M10)/M6</f>
        <v>0.64400048070018079</v>
      </c>
      <c r="N30" s="5">
        <f t="shared" ref="N30:O30" si="43">(N9+N10)/N6</f>
        <v>0.59414758269720103</v>
      </c>
      <c r="O30" s="5">
        <f t="shared" si="43"/>
        <v>0.59480269489894133</v>
      </c>
      <c r="P30" s="5">
        <f t="shared" ref="P30" si="44">(P9+P10)/P6</f>
        <v>0.61436893203883491</v>
      </c>
      <c r="W30" s="5">
        <f t="shared" ref="W30" si="45">(W9+W10)/W6</f>
        <v>0.24088166287812743</v>
      </c>
      <c r="X30" s="5">
        <f>(X9+X10)/X6</f>
        <v>0.62440344129207492</v>
      </c>
      <c r="Y30" s="5">
        <f>(Y9+Y10)/Y6</f>
        <v>0.4266181933138386</v>
      </c>
      <c r="Z30" s="5">
        <f t="shared" ref="Z30:AA30" si="46">(Z9+Z10)/Z6</f>
        <v>0.64</v>
      </c>
      <c r="AA30" s="5">
        <f t="shared" si="46"/>
        <v>0.24</v>
      </c>
    </row>
    <row r="32" spans="2:27" x14ac:dyDescent="0.25">
      <c r="B32" s="1" t="s">
        <v>68</v>
      </c>
      <c r="K32" s="6">
        <f t="shared" ref="K32:M32" si="47">+K33-K44</f>
        <v>-6193.8499999999995</v>
      </c>
      <c r="L32" s="6">
        <f t="shared" si="47"/>
        <v>-8997.9179999999997</v>
      </c>
      <c r="M32" s="6">
        <f t="shared" si="47"/>
        <v>-11018.794</v>
      </c>
      <c r="N32" s="6">
        <f>+N33-N44</f>
        <v>-17209</v>
      </c>
      <c r="O32" s="6">
        <f>+O33-O44</f>
        <v>-21517</v>
      </c>
      <c r="P32" s="6">
        <f>+P33-P44</f>
        <v>-28149</v>
      </c>
    </row>
    <row r="33" spans="2:16" x14ac:dyDescent="0.25">
      <c r="B33" s="1" t="s">
        <v>3</v>
      </c>
      <c r="K33" s="6">
        <f>1276.456+624.25+617.11</f>
        <v>2517.8159999999998</v>
      </c>
      <c r="L33" s="6">
        <f>1152.883+560.173+340.527</f>
        <v>2053.5830000000001</v>
      </c>
      <c r="M33" s="6">
        <f>1894.399+596.777+47.449+477.515</f>
        <v>3016.14</v>
      </c>
      <c r="N33" s="6">
        <f>3127+819+34+184</f>
        <v>4164</v>
      </c>
      <c r="O33" s="6">
        <f>2244+777+22+299</f>
        <v>3342</v>
      </c>
      <c r="P33" s="6">
        <f>5524+873+15+507</f>
        <v>6919</v>
      </c>
    </row>
    <row r="34" spans="2:16" x14ac:dyDescent="0.25">
      <c r="B34" s="1" t="s">
        <v>44</v>
      </c>
      <c r="K34" s="6">
        <v>1055.2080000000001</v>
      </c>
      <c r="L34" s="6">
        <v>1933.6980000000001</v>
      </c>
      <c r="M34" s="6">
        <v>1659.229</v>
      </c>
      <c r="N34" s="6">
        <v>3169</v>
      </c>
      <c r="O34" s="6">
        <v>2120</v>
      </c>
      <c r="P34" s="6">
        <v>2541</v>
      </c>
    </row>
    <row r="35" spans="2:16" x14ac:dyDescent="0.25">
      <c r="B35" s="1" t="s">
        <v>43</v>
      </c>
      <c r="K35" s="6">
        <v>146.733</v>
      </c>
      <c r="L35" s="6">
        <v>299.22899999999998</v>
      </c>
      <c r="M35" s="6">
        <v>533.42899999999997</v>
      </c>
      <c r="N35" s="6">
        <v>339</v>
      </c>
      <c r="O35" s="6">
        <v>446</v>
      </c>
      <c r="P35" s="6">
        <v>567</v>
      </c>
    </row>
    <row r="36" spans="2:16" x14ac:dyDescent="0.25">
      <c r="B36" s="1" t="s">
        <v>7</v>
      </c>
      <c r="G36" s="6">
        <f>H36+H71</f>
        <v>5843.317</v>
      </c>
      <c r="H36" s="6">
        <f>I36+I71</f>
        <v>7961.7330000000002</v>
      </c>
      <c r="I36" s="6">
        <f>J36+J71</f>
        <v>9305.6329999999998</v>
      </c>
      <c r="J36" s="6">
        <f>K36+K71</f>
        <v>12803.633</v>
      </c>
      <c r="K36" s="6">
        <v>14210.992</v>
      </c>
      <c r="L36" s="6">
        <v>16631.509999999998</v>
      </c>
      <c r="M36" s="6">
        <v>20659.181</v>
      </c>
      <c r="N36" s="6">
        <v>30557</v>
      </c>
      <c r="O36" s="6">
        <v>36424</v>
      </c>
      <c r="P36" s="6">
        <v>46736</v>
      </c>
    </row>
    <row r="37" spans="2:16" x14ac:dyDescent="0.25">
      <c r="B37" s="1" t="s">
        <v>45</v>
      </c>
      <c r="K37" s="6">
        <v>3063.22</v>
      </c>
      <c r="L37" s="6">
        <v>3380.201</v>
      </c>
      <c r="M37" s="6">
        <v>4677.0569999999998</v>
      </c>
      <c r="N37" s="6">
        <v>8231</v>
      </c>
      <c r="O37" s="6">
        <v>10182</v>
      </c>
      <c r="P37" s="6">
        <v>16595</v>
      </c>
    </row>
    <row r="38" spans="2:16" x14ac:dyDescent="0.25">
      <c r="B38" s="1" t="s">
        <v>46</v>
      </c>
      <c r="K38" s="6">
        <f>4.395+19.544</f>
        <v>23.939</v>
      </c>
      <c r="L38" s="6">
        <f>205.895+812.97</f>
        <v>1018.865</v>
      </c>
      <c r="M38" s="6">
        <f>829.979+200.001</f>
        <v>1029.98</v>
      </c>
      <c r="N38" s="6">
        <f>235+1101</f>
        <v>1336</v>
      </c>
      <c r="O38" s="6">
        <f>224+1101</f>
        <v>1325</v>
      </c>
      <c r="P38" s="6">
        <f>245+1101</f>
        <v>1346</v>
      </c>
    </row>
    <row r="39" spans="2:16" x14ac:dyDescent="0.25">
      <c r="B39" s="1" t="s">
        <v>47</v>
      </c>
      <c r="K39" s="6">
        <v>842.47500000000002</v>
      </c>
      <c r="L39" s="6">
        <v>924.27700000000004</v>
      </c>
      <c r="M39" s="6">
        <v>1335.482</v>
      </c>
      <c r="N39" s="6">
        <v>1506</v>
      </c>
      <c r="O39" s="6">
        <v>1734</v>
      </c>
      <c r="P39" s="6">
        <v>2366</v>
      </c>
    </row>
    <row r="40" spans="2:16" x14ac:dyDescent="0.25">
      <c r="B40" s="1" t="s">
        <v>51</v>
      </c>
      <c r="K40" s="6">
        <f t="shared" ref="K40:P40" si="48">SUM(K33:K39)</f>
        <v>21860.382999999998</v>
      </c>
      <c r="L40" s="6">
        <f t="shared" si="48"/>
        <v>26241.362999999998</v>
      </c>
      <c r="M40" s="6">
        <f t="shared" si="48"/>
        <v>32910.498</v>
      </c>
      <c r="N40" s="6">
        <f t="shared" si="48"/>
        <v>49302</v>
      </c>
      <c r="O40" s="6">
        <f t="shared" si="48"/>
        <v>55573</v>
      </c>
      <c r="P40" s="6">
        <f t="shared" si="48"/>
        <v>77070</v>
      </c>
    </row>
    <row r="41" spans="2:16" x14ac:dyDescent="0.25">
      <c r="M41" s="6"/>
    </row>
    <row r="42" spans="2:16" x14ac:dyDescent="0.25">
      <c r="B42" s="1" t="s">
        <v>48</v>
      </c>
      <c r="K42" s="6">
        <v>1242.0999999999999</v>
      </c>
      <c r="L42" s="6">
        <v>1226.579</v>
      </c>
      <c r="M42" s="6">
        <v>1156.9780000000001</v>
      </c>
      <c r="N42" s="6">
        <v>1623</v>
      </c>
      <c r="O42" s="6">
        <v>3371</v>
      </c>
      <c r="P42" s="6">
        <v>3633</v>
      </c>
    </row>
    <row r="43" spans="2:16" x14ac:dyDescent="0.25">
      <c r="B43" s="1" t="s">
        <v>49</v>
      </c>
      <c r="K43" s="6">
        <v>1377.0129999999999</v>
      </c>
      <c r="L43" s="6">
        <v>1411.2370000000001</v>
      </c>
      <c r="M43" s="6">
        <v>3172.2739999999999</v>
      </c>
      <c r="N43" s="6">
        <v>5773</v>
      </c>
      <c r="O43" s="6">
        <v>2726</v>
      </c>
      <c r="P43" s="6">
        <v>6424</v>
      </c>
    </row>
    <row r="44" spans="2:16" x14ac:dyDescent="0.25">
      <c r="B44" s="1" t="s">
        <v>4</v>
      </c>
      <c r="K44" s="6">
        <f>3776.595+4935.071</f>
        <v>8711.6659999999993</v>
      </c>
      <c r="L44" s="6">
        <f>3627.664+7423.837</f>
        <v>11051.501</v>
      </c>
      <c r="M44" s="6">
        <f>3712.177+10322.757</f>
        <v>14034.933999999999</v>
      </c>
      <c r="N44" s="6">
        <f>6708+14665</f>
        <v>21373</v>
      </c>
      <c r="O44" s="6">
        <f>7547+17312</f>
        <v>24859</v>
      </c>
      <c r="P44" s="6">
        <f>6235+1278+25170+2385</f>
        <v>35068</v>
      </c>
    </row>
    <row r="45" spans="2:16" x14ac:dyDescent="0.25">
      <c r="B45" s="1" t="s">
        <v>50</v>
      </c>
      <c r="K45" s="6">
        <f>436.53+3611.469</f>
        <v>4047.9989999999998</v>
      </c>
      <c r="L45" s="6">
        <f>951.346+3896.173</f>
        <v>4847.5190000000002</v>
      </c>
      <c r="M45" s="6">
        <f>1107.58+4228.222</f>
        <v>5335.8019999999997</v>
      </c>
      <c r="N45" s="6">
        <f>1709+6476</f>
        <v>8185</v>
      </c>
      <c r="O45" s="6">
        <f>2130+5393</f>
        <v>7523</v>
      </c>
      <c r="P45" s="6">
        <f>2686+7006</f>
        <v>9692</v>
      </c>
    </row>
    <row r="46" spans="2:16" x14ac:dyDescent="0.25">
      <c r="B46" s="1" t="s">
        <v>45</v>
      </c>
      <c r="K46" s="6">
        <f>239.549+2867.838+18.814+59.01</f>
        <v>3185.2110000000002</v>
      </c>
      <c r="L46" s="6">
        <f>279.08+3168.392+60.396+3.112</f>
        <v>3510.98</v>
      </c>
      <c r="M46" s="6">
        <f>345.472+48.99+4378.869+0.012</f>
        <v>4773.3429999999998</v>
      </c>
      <c r="N46" s="6">
        <f>427+38+7768+216</f>
        <v>8449</v>
      </c>
      <c r="O46" s="6">
        <f>9563+487+23+215</f>
        <v>10288</v>
      </c>
      <c r="P46" s="6">
        <f>15735+214+7+584</f>
        <v>16540</v>
      </c>
    </row>
    <row r="47" spans="2:16" x14ac:dyDescent="0.25">
      <c r="B47" s="1" t="s">
        <v>57</v>
      </c>
      <c r="K47" s="6">
        <v>0</v>
      </c>
      <c r="L47" s="6">
        <v>5.2999999999999999E-2</v>
      </c>
      <c r="M47" s="6">
        <v>171.40100000000001</v>
      </c>
      <c r="N47" s="6">
        <v>162</v>
      </c>
      <c r="O47" s="6">
        <v>1534</v>
      </c>
      <c r="P47" s="6">
        <v>70</v>
      </c>
    </row>
    <row r="48" spans="2:16" x14ac:dyDescent="0.25">
      <c r="B48" s="1" t="s">
        <v>56</v>
      </c>
      <c r="K48" s="6">
        <v>0.49099999999999999</v>
      </c>
      <c r="L48" s="6">
        <v>0.69799999999999995</v>
      </c>
      <c r="M48" s="6">
        <v>1.71</v>
      </c>
      <c r="N48" s="6">
        <v>1</v>
      </c>
      <c r="O48" s="6">
        <v>0</v>
      </c>
      <c r="P48" s="6">
        <v>0</v>
      </c>
    </row>
    <row r="49" spans="2:16" x14ac:dyDescent="0.25">
      <c r="B49" s="1" t="s">
        <v>55</v>
      </c>
      <c r="K49" s="6">
        <v>193.84899999999999</v>
      </c>
      <c r="L49" s="6">
        <v>245.65899999999999</v>
      </c>
      <c r="M49" s="6">
        <v>117.633</v>
      </c>
      <c r="N49" s="6">
        <v>115</v>
      </c>
      <c r="O49" s="6">
        <v>194</v>
      </c>
      <c r="P49" s="6">
        <v>256</v>
      </c>
    </row>
    <row r="50" spans="2:16" x14ac:dyDescent="0.25">
      <c r="B50" s="1" t="s">
        <v>54</v>
      </c>
      <c r="K50" s="6">
        <v>32.771999999999998</v>
      </c>
      <c r="L50" s="6">
        <v>126.331</v>
      </c>
      <c r="M50" s="6">
        <v>268.40899999999999</v>
      </c>
      <c r="N50" s="6">
        <v>286</v>
      </c>
      <c r="O50" s="6">
        <v>319</v>
      </c>
      <c r="P50" s="6">
        <v>363</v>
      </c>
    </row>
    <row r="51" spans="2:16" x14ac:dyDescent="0.25">
      <c r="B51" s="1" t="s">
        <v>52</v>
      </c>
      <c r="K51" s="6">
        <f>1163.159+1906.123</f>
        <v>3069.2820000000002</v>
      </c>
      <c r="L51" s="6">
        <f>2657.647+1163.159</f>
        <v>3820.806</v>
      </c>
      <c r="M51" s="6">
        <v>3878.0140000000001</v>
      </c>
      <c r="N51" s="6">
        <v>3335</v>
      </c>
      <c r="O51" s="6">
        <v>4759</v>
      </c>
      <c r="P51" s="6">
        <v>5024</v>
      </c>
    </row>
    <row r="52" spans="2:16" x14ac:dyDescent="0.25">
      <c r="B52" s="1" t="s">
        <v>53</v>
      </c>
      <c r="K52" s="6">
        <f t="array" ref="K52">SUM(K42:K51)</f>
        <v>21860.382999999998</v>
      </c>
      <c r="L52" s="6">
        <f t="array" ref="L52">SUM(L42:L51)</f>
        <v>26241.362999999998</v>
      </c>
      <c r="M52" s="6">
        <f t="array" ref="M52">SUM(M42:M51)</f>
        <v>32910.498000000007</v>
      </c>
      <c r="N52" s="6">
        <f t="array" ref="N52">SUM(N42:N51)</f>
        <v>49302</v>
      </c>
      <c r="O52" s="6">
        <f>SUM(O42:O51)</f>
        <v>55573</v>
      </c>
      <c r="P52" s="6">
        <f>SUM(P42:P51)</f>
        <v>77070</v>
      </c>
    </row>
    <row r="54" spans="2:16" x14ac:dyDescent="0.25">
      <c r="B54" s="1" t="s">
        <v>65</v>
      </c>
      <c r="G54" s="6">
        <f t="shared" ref="G54:P54" si="49">G18</f>
        <v>-23.809000000000001</v>
      </c>
      <c r="H54" s="6">
        <f t="shared" si="49"/>
        <v>0</v>
      </c>
      <c r="I54" s="6">
        <f t="shared" si="49"/>
        <v>12.741</v>
      </c>
      <c r="J54" s="6">
        <f t="shared" si="49"/>
        <v>-58</v>
      </c>
      <c r="K54" s="6">
        <f t="shared" si="49"/>
        <v>-291.30500000000006</v>
      </c>
      <c r="L54" s="6">
        <f t="shared" si="49"/>
        <v>-247.75699999999992</v>
      </c>
      <c r="M54" s="6">
        <f t="shared" si="49"/>
        <v>-258.70500000000015</v>
      </c>
      <c r="N54" s="6">
        <f t="shared" si="49"/>
        <v>-477</v>
      </c>
      <c r="O54" s="6">
        <f t="shared" si="49"/>
        <v>-764</v>
      </c>
      <c r="P54" s="6">
        <f t="shared" si="49"/>
        <v>-751</v>
      </c>
    </row>
    <row r="55" spans="2:16" x14ac:dyDescent="0.25">
      <c r="B55" s="1" t="s">
        <v>66</v>
      </c>
      <c r="G55" s="6">
        <v>-129.24799999999999</v>
      </c>
      <c r="H55" s="6">
        <f>-605.15-G55</f>
        <v>-475.90199999999999</v>
      </c>
      <c r="I55" s="6">
        <f>-812.076-H55-G55</f>
        <v>-206.92600000000004</v>
      </c>
      <c r="J55" s="4">
        <v>-51</v>
      </c>
      <c r="K55" s="6">
        <v>-314.64100000000002</v>
      </c>
      <c r="L55" s="6">
        <f>-605.15-K55</f>
        <v>-290.50899999999996</v>
      </c>
      <c r="M55" s="6">
        <f>-715.274-L55-K55</f>
        <v>-110.12400000000002</v>
      </c>
      <c r="N55" s="6">
        <v>-452</v>
      </c>
      <c r="O55" s="6">
        <v>-740</v>
      </c>
      <c r="P55" s="6">
        <v>-626</v>
      </c>
    </row>
    <row r="56" spans="2:16" x14ac:dyDescent="0.25">
      <c r="B56" s="1" t="s">
        <v>58</v>
      </c>
      <c r="G56" s="6">
        <v>79.510000000000005</v>
      </c>
      <c r="H56" s="6">
        <f>1002.978-G56</f>
        <v>923.46799999999996</v>
      </c>
      <c r="I56" s="6">
        <f>497.994-H56-G56</f>
        <v>-504.98399999999992</v>
      </c>
      <c r="J56" s="4">
        <v>365</v>
      </c>
      <c r="K56" s="6">
        <v>443.49700000000001</v>
      </c>
      <c r="L56" s="6">
        <f>1002.978-K56</f>
        <v>559.48099999999999</v>
      </c>
      <c r="M56" s="6">
        <f>1633.457-L56-K56</f>
        <v>630.47900000000004</v>
      </c>
      <c r="N56" s="6">
        <v>821</v>
      </c>
      <c r="O56" s="6">
        <v>1147</v>
      </c>
      <c r="P56" s="6">
        <v>1393</v>
      </c>
    </row>
    <row r="57" spans="2:16" x14ac:dyDescent="0.25">
      <c r="B57" s="1" t="s">
        <v>67</v>
      </c>
      <c r="G57" s="6">
        <v>15.09</v>
      </c>
      <c r="H57" s="6">
        <f>144.113-G57</f>
        <v>129.023</v>
      </c>
      <c r="I57" s="6">
        <f>79.47-H57-G57</f>
        <v>-64.643000000000001</v>
      </c>
      <c r="J57" s="4">
        <v>44</v>
      </c>
      <c r="K57" s="6">
        <v>66.869</v>
      </c>
      <c r="L57" s="6">
        <f>144.113-K57</f>
        <v>77.244</v>
      </c>
      <c r="M57" s="6">
        <f>233.836-L57-K57</f>
        <v>89.723000000000013</v>
      </c>
      <c r="N57" s="6">
        <v>123</v>
      </c>
      <c r="O57" s="6">
        <v>167</v>
      </c>
      <c r="P57" s="6">
        <v>198</v>
      </c>
    </row>
    <row r="58" spans="2:16" x14ac:dyDescent="0.25">
      <c r="B58" s="1" t="s">
        <v>69</v>
      </c>
      <c r="G58" s="6">
        <v>8.0579999999999998</v>
      </c>
      <c r="H58" s="6">
        <f>66.727-G58</f>
        <v>58.669000000000004</v>
      </c>
      <c r="I58" s="6">
        <f>23.002-H58-G58</f>
        <v>-43.725000000000001</v>
      </c>
      <c r="J58" s="4">
        <v>10</v>
      </c>
      <c r="K58" s="6">
        <v>37.691000000000003</v>
      </c>
      <c r="L58" s="6">
        <f>66.727-K58</f>
        <v>29.036000000000001</v>
      </c>
      <c r="M58" s="6">
        <f>87.776-L58-K58</f>
        <v>21.048999999999992</v>
      </c>
      <c r="N58" s="6">
        <v>22</v>
      </c>
      <c r="O58" s="6">
        <v>41</v>
      </c>
      <c r="P58" s="6">
        <v>45</v>
      </c>
    </row>
    <row r="59" spans="2:16" x14ac:dyDescent="0.25">
      <c r="B59" s="1" t="s">
        <v>70</v>
      </c>
      <c r="G59" s="6">
        <v>97.5</v>
      </c>
      <c r="H59" s="6">
        <f>-26.837-G59</f>
        <v>-124.337</v>
      </c>
      <c r="I59" s="6">
        <f>748.864-H59-G59</f>
        <v>775.70100000000002</v>
      </c>
      <c r="J59" s="4">
        <v>7</v>
      </c>
      <c r="K59" s="6">
        <v>-26.837</v>
      </c>
      <c r="L59" s="6">
        <f>-26.837-K59</f>
        <v>0</v>
      </c>
      <c r="M59" s="6">
        <f>-26.837-L59-K59</f>
        <v>0</v>
      </c>
      <c r="N59" s="6">
        <v>0</v>
      </c>
      <c r="O59" s="6">
        <v>0</v>
      </c>
      <c r="P59" s="6">
        <v>0</v>
      </c>
    </row>
    <row r="60" spans="2:16" x14ac:dyDescent="0.25">
      <c r="B60" s="1" t="s">
        <v>71</v>
      </c>
      <c r="G60" s="6">
        <v>8.1890000000000001</v>
      </c>
      <c r="H60" s="6">
        <f>328.978-G60</f>
        <v>320.78899999999999</v>
      </c>
      <c r="I60" s="6">
        <f>23.466-H60-G60</f>
        <v>-305.512</v>
      </c>
      <c r="J60" s="4">
        <v>8</v>
      </c>
      <c r="K60" s="6">
        <v>183.97300000000001</v>
      </c>
      <c r="L60" s="6">
        <f>328.978-K60</f>
        <v>145.005</v>
      </c>
      <c r="M60" s="6">
        <f>473.409-L60-K60</f>
        <v>144.43099999999998</v>
      </c>
      <c r="N60" s="6">
        <v>157</v>
      </c>
      <c r="O60" s="6">
        <v>153</v>
      </c>
      <c r="P60" s="6">
        <v>165</v>
      </c>
    </row>
    <row r="61" spans="2:16" x14ac:dyDescent="0.25">
      <c r="B61" s="1" t="s">
        <v>55</v>
      </c>
      <c r="G61" s="6">
        <v>14.686</v>
      </c>
      <c r="H61" s="6">
        <f>90.884-G61</f>
        <v>76.198000000000008</v>
      </c>
      <c r="I61" s="6">
        <f>80.252-H61-G61</f>
        <v>-10.632000000000012</v>
      </c>
      <c r="J61" s="4">
        <v>33</v>
      </c>
      <c r="K61" s="6">
        <v>44.616999999999997</v>
      </c>
      <c r="L61" s="6">
        <f>90.884-K61</f>
        <v>46.267000000000003</v>
      </c>
      <c r="M61" s="6">
        <f>-37.141-L61-K61</f>
        <v>-128.02500000000001</v>
      </c>
      <c r="N61" s="6">
        <v>-16</v>
      </c>
      <c r="O61" s="6">
        <v>79</v>
      </c>
      <c r="P61" s="6">
        <v>61</v>
      </c>
    </row>
    <row r="62" spans="2:16" x14ac:dyDescent="0.25">
      <c r="B62" s="1" t="s">
        <v>72</v>
      </c>
      <c r="G62" s="6">
        <v>-0.88600000000000001</v>
      </c>
      <c r="H62" s="6">
        <f>40.132-G62</f>
        <v>41.018000000000001</v>
      </c>
      <c r="I62" s="6">
        <f>1.075-H62-G62</f>
        <v>-39.056999999999995</v>
      </c>
      <c r="J62" s="4">
        <v>2</v>
      </c>
      <c r="K62" s="6">
        <v>22.722999999999999</v>
      </c>
      <c r="L62" s="6">
        <f>40.132-K62</f>
        <v>17.408999999999999</v>
      </c>
      <c r="M62" s="6">
        <f>49.388+14.486-L62-K62</f>
        <v>23.741999999999997</v>
      </c>
      <c r="N62" s="6">
        <f>4+53</f>
        <v>57</v>
      </c>
      <c r="O62" s="6">
        <v>121</v>
      </c>
      <c r="P62" s="6">
        <v>-24</v>
      </c>
    </row>
    <row r="63" spans="2:16" x14ac:dyDescent="0.25">
      <c r="B63" s="1" t="s">
        <v>44</v>
      </c>
      <c r="G63" s="6">
        <v>54.328000000000003</v>
      </c>
      <c r="H63" s="6">
        <f>-1504.696-G63</f>
        <v>-1559.0239999999999</v>
      </c>
      <c r="I63" s="6">
        <f>-332.347-H63-G63</f>
        <v>1172.3489999999999</v>
      </c>
      <c r="J63" s="4">
        <v>52</v>
      </c>
      <c r="K63" s="6">
        <v>-638.75</v>
      </c>
      <c r="L63" s="6">
        <f>-1504.696-K63</f>
        <v>-865.94599999999991</v>
      </c>
      <c r="M63" s="6">
        <f>-1252.507-L63-K63</f>
        <v>252.18899999999985</v>
      </c>
      <c r="N63" s="6">
        <v>-1496</v>
      </c>
      <c r="O63" s="6">
        <v>1042</v>
      </c>
      <c r="P63" s="6">
        <v>-435</v>
      </c>
    </row>
    <row r="64" spans="2:16" x14ac:dyDescent="0.25">
      <c r="B64" s="1" t="s">
        <v>43</v>
      </c>
      <c r="G64" s="6">
        <v>23.228000000000002</v>
      </c>
      <c r="H64" s="6">
        <f>-120.448-G64</f>
        <v>-143.67599999999999</v>
      </c>
      <c r="I64" s="6">
        <f>-54.538-H64-G64</f>
        <v>65.91</v>
      </c>
      <c r="J64" s="4">
        <v>-44</v>
      </c>
      <c r="K64" s="6">
        <v>-9.9290000000000003</v>
      </c>
      <c r="L64" s="6">
        <f>-120.448-K64</f>
        <v>-110.51899999999999</v>
      </c>
      <c r="M64" s="6">
        <f>-171.034-L64-K64</f>
        <v>-50.585999999999999</v>
      </c>
      <c r="N64" s="6">
        <v>-268</v>
      </c>
      <c r="O64" s="6">
        <v>-471</v>
      </c>
      <c r="P64" s="6">
        <v>-140</v>
      </c>
    </row>
    <row r="65" spans="2:16" x14ac:dyDescent="0.25">
      <c r="B65" s="1" t="s">
        <v>48</v>
      </c>
      <c r="G65" s="6">
        <v>515.29499999999996</v>
      </c>
      <c r="H65" s="6">
        <f>-289.173-G65</f>
        <v>-804.46799999999996</v>
      </c>
      <c r="I65" s="6">
        <f>336.347-H65-G65</f>
        <v>625.5200000000001</v>
      </c>
      <c r="J65" s="4">
        <v>175</v>
      </c>
      <c r="K65" s="6">
        <v>62.326999999999998</v>
      </c>
      <c r="L65" s="6">
        <f>-289.173-K65</f>
        <v>-351.5</v>
      </c>
      <c r="M65" s="6">
        <f>333.211-L65-K65</f>
        <v>622.38400000000001</v>
      </c>
      <c r="N65" s="6">
        <v>-80</v>
      </c>
      <c r="O65" s="6">
        <v>960</v>
      </c>
      <c r="P65" s="6">
        <v>-656</v>
      </c>
    </row>
    <row r="66" spans="2:16" x14ac:dyDescent="0.25">
      <c r="B66" s="1" t="s">
        <v>50</v>
      </c>
      <c r="G66" s="6">
        <v>1439.5709999999999</v>
      </c>
      <c r="H66" s="6">
        <f>742.892-G66</f>
        <v>-696.67899999999986</v>
      </c>
      <c r="I66" s="6">
        <f>2417.01-H66-G66</f>
        <v>1674.1180000000004</v>
      </c>
      <c r="J66" s="4">
        <v>-368</v>
      </c>
      <c r="K66" s="6">
        <v>-15.904</v>
      </c>
      <c r="L66" s="6">
        <f>742.892-K66</f>
        <v>758.79600000000005</v>
      </c>
      <c r="M66" s="6">
        <f>1402.164-L66-K66</f>
        <v>659.27199999999993</v>
      </c>
      <c r="N66" s="6">
        <v>2772</v>
      </c>
      <c r="O66" s="6">
        <v>575</v>
      </c>
      <c r="P66" s="6">
        <v>790</v>
      </c>
    </row>
    <row r="67" spans="2:16" x14ac:dyDescent="0.25">
      <c r="B67" s="1" t="s">
        <v>45</v>
      </c>
      <c r="G67" s="6">
        <v>-5.819</v>
      </c>
      <c r="H67" s="6">
        <f>-110.451-G67</f>
        <v>-104.63199999999999</v>
      </c>
      <c r="I67" s="6">
        <f>-45.119-H67-G67</f>
        <v>65.331999999999994</v>
      </c>
      <c r="J67" s="4">
        <v>-43</v>
      </c>
      <c r="K67" s="6">
        <v>-51.109000000000002</v>
      </c>
      <c r="L67" s="6">
        <f>-110.451-K67</f>
        <v>-59.341999999999992</v>
      </c>
      <c r="M67" s="6">
        <f>-181.061-L67-K67</f>
        <v>-70.610000000000014</v>
      </c>
      <c r="N67" s="6">
        <v>-81</v>
      </c>
      <c r="O67" s="6">
        <v>-90</v>
      </c>
      <c r="P67" s="6">
        <v>-92</v>
      </c>
    </row>
    <row r="68" spans="2:16" x14ac:dyDescent="0.25">
      <c r="B68" s="1" t="s">
        <v>54</v>
      </c>
      <c r="G68" s="6">
        <v>-80.463999999999999</v>
      </c>
      <c r="H68" s="6">
        <f>49.968-G68</f>
        <v>130.43200000000002</v>
      </c>
      <c r="I68" s="6">
        <f>-415.348-H68-G68+2.676</f>
        <v>-462.64</v>
      </c>
      <c r="J68" s="4">
        <v>-3</v>
      </c>
      <c r="K68" s="6">
        <v>256.64100000000002</v>
      </c>
      <c r="L68" s="6">
        <f>49.968-K68</f>
        <v>-206.673</v>
      </c>
      <c r="M68" s="6">
        <f>-344.822-L68-K68</f>
        <v>-394.79</v>
      </c>
      <c r="N68" s="6">
        <v>0</v>
      </c>
      <c r="O68" s="6">
        <v>0</v>
      </c>
      <c r="P68" s="6">
        <v>0</v>
      </c>
    </row>
    <row r="69" spans="2:16" x14ac:dyDescent="0.25">
      <c r="B69" s="1" t="s">
        <v>28</v>
      </c>
      <c r="G69" s="6">
        <f t="shared" ref="G69:H69" si="50">SUM(G55:G68)</f>
        <v>2039.038</v>
      </c>
      <c r="H69" s="6">
        <f t="shared" si="50"/>
        <v>-2229.1209999999992</v>
      </c>
      <c r="I69" s="6">
        <f>SUM(I55:I68)</f>
        <v>2740.8110000000006</v>
      </c>
      <c r="J69" s="6">
        <f>SUM(J55:J68)</f>
        <v>187</v>
      </c>
      <c r="K69" s="6">
        <f>SUM(K55:K68)</f>
        <v>61.168000000000063</v>
      </c>
      <c r="L69" s="6">
        <f>SUM(L55:L68)</f>
        <v>-251.25099999999975</v>
      </c>
      <c r="M69" s="6">
        <f>SUM(M55:M68)</f>
        <v>1689.1339999999996</v>
      </c>
      <c r="N69" s="6">
        <f t="shared" ref="N69:P69" si="51">SUM(N55:N68)</f>
        <v>1559</v>
      </c>
      <c r="O69" s="6">
        <f t="shared" si="51"/>
        <v>2984</v>
      </c>
      <c r="P69" s="6">
        <f t="shared" si="51"/>
        <v>679</v>
      </c>
    </row>
    <row r="70" spans="2:16" x14ac:dyDescent="0.25">
      <c r="G70" s="6"/>
      <c r="H70" s="6"/>
      <c r="I70" s="6"/>
      <c r="L70" s="6"/>
      <c r="M70" s="6"/>
      <c r="O70" s="6"/>
    </row>
    <row r="71" spans="2:16" x14ac:dyDescent="0.25">
      <c r="B71" s="1" t="s">
        <v>73</v>
      </c>
      <c r="G71" s="6">
        <v>-1741.9349999999999</v>
      </c>
      <c r="H71" s="6">
        <f>-3860.351-G71</f>
        <v>-2118.4160000000002</v>
      </c>
      <c r="I71" s="6">
        <f>-5204.251-H71-G71</f>
        <v>-1343.9</v>
      </c>
      <c r="J71" s="6">
        <v>-3498</v>
      </c>
      <c r="K71" s="6">
        <v>-1407.3589999999999</v>
      </c>
      <c r="L71" s="6">
        <f>-3860.351-K71</f>
        <v>-2452.9920000000002</v>
      </c>
      <c r="M71" s="6">
        <f>-6249.239-L71-K71</f>
        <v>-2388.8879999999995</v>
      </c>
      <c r="N71" s="6">
        <v>-4060</v>
      </c>
      <c r="O71" s="6">
        <v>-7695</v>
      </c>
      <c r="P71" s="6">
        <v>-6422</v>
      </c>
    </row>
    <row r="72" spans="2:16" x14ac:dyDescent="0.25">
      <c r="B72" s="1" t="s">
        <v>76</v>
      </c>
      <c r="G72" s="6">
        <v>-29.308</v>
      </c>
      <c r="H72" s="6">
        <f>29.308+100.645-G72-73-26.109</f>
        <v>60.151999999999994</v>
      </c>
      <c r="I72" s="6">
        <f>29.308-47.246+100.645-H72-G72-73-49.849</f>
        <v>-70.98599999999999</v>
      </c>
      <c r="J72" s="6">
        <f>92-60+2</f>
        <v>34</v>
      </c>
      <c r="K72" s="6">
        <f>29.308-55</f>
        <v>-25.692</v>
      </c>
      <c r="L72" s="6">
        <f>29.308-K72+100.645-73-26.109</f>
        <v>56.53599999999998</v>
      </c>
      <c r="M72" s="6">
        <f>29.308-47.246-L72-K72-73-49.849</f>
        <v>-171.63099999999997</v>
      </c>
      <c r="N72" s="4">
        <f>14+153</f>
        <v>167</v>
      </c>
      <c r="O72" s="6">
        <f>12-25</f>
        <v>-13</v>
      </c>
      <c r="P72" s="6">
        <f>6-550-138-62</f>
        <v>-744</v>
      </c>
    </row>
    <row r="73" spans="2:16" x14ac:dyDescent="0.25">
      <c r="B73" s="1" t="s">
        <v>82</v>
      </c>
      <c r="G73" s="6">
        <v>0</v>
      </c>
      <c r="H73" s="6">
        <f>-45.706-G73</f>
        <v>-45.706000000000003</v>
      </c>
      <c r="I73" s="6">
        <f>-55.918-H73-G73</f>
        <v>-10.211999999999996</v>
      </c>
      <c r="J73" s="6">
        <v>0</v>
      </c>
      <c r="K73" s="6">
        <v>0</v>
      </c>
      <c r="L73" s="6">
        <f>-45.706-K73</f>
        <v>-45.706000000000003</v>
      </c>
      <c r="M73" s="6">
        <f>100.645-55.918-L73-K73</f>
        <v>90.432999999999993</v>
      </c>
      <c r="N73" s="4">
        <f>-52+36-17</f>
        <v>-33</v>
      </c>
      <c r="O73" s="6">
        <v>0</v>
      </c>
      <c r="P73" s="6">
        <v>0</v>
      </c>
    </row>
    <row r="74" spans="2:16" x14ac:dyDescent="0.25">
      <c r="B74" s="1" t="s">
        <v>77</v>
      </c>
      <c r="G74" s="6">
        <f t="shared" ref="G74:J74" si="52">G72+G71+G73</f>
        <v>-1771.2429999999999</v>
      </c>
      <c r="H74" s="6">
        <f t="shared" si="52"/>
        <v>-2103.9700000000003</v>
      </c>
      <c r="I74" s="6">
        <f t="shared" si="52"/>
        <v>-1425.098</v>
      </c>
      <c r="J74" s="6">
        <f t="shared" si="52"/>
        <v>-3464</v>
      </c>
      <c r="K74" s="6">
        <f>K72+K71+K73</f>
        <v>-1433.0509999999999</v>
      </c>
      <c r="L74" s="6">
        <f>L72+L71+L73</f>
        <v>-2442.1620000000003</v>
      </c>
      <c r="M74" s="6">
        <f>M72+M71+M73</f>
        <v>-2470.0859999999993</v>
      </c>
      <c r="N74" s="6">
        <f t="shared" ref="N74:P74" si="53">N72+N71+N73</f>
        <v>-3926</v>
      </c>
      <c r="O74" s="6">
        <f t="shared" si="53"/>
        <v>-7708</v>
      </c>
      <c r="P74" s="6">
        <f t="shared" si="53"/>
        <v>-7166</v>
      </c>
    </row>
    <row r="75" spans="2:16" x14ac:dyDescent="0.25">
      <c r="G75" s="6"/>
      <c r="H75" s="6"/>
      <c r="I75" s="6"/>
      <c r="J75" s="6"/>
      <c r="K75" s="6"/>
    </row>
    <row r="76" spans="2:16" x14ac:dyDescent="0.25">
      <c r="B76" s="1" t="s">
        <v>4</v>
      </c>
      <c r="G76" s="6">
        <f>931.647-4.956+25</f>
        <v>951.69100000000003</v>
      </c>
      <c r="H76" s="6">
        <f>4432.723-1574.867-36.536-28.693-G76</f>
        <v>1840.9359999999995</v>
      </c>
      <c r="I76" s="6">
        <f>7562.686-2978.85-46.086-28.693</f>
        <v>4509.0569999999989</v>
      </c>
      <c r="J76" s="6">
        <f>3692-225-29</f>
        <v>3438</v>
      </c>
      <c r="K76" s="6">
        <f>784.956-271.104</f>
        <v>513.85200000000009</v>
      </c>
      <c r="L76" s="6">
        <f>4432.723-1574.867-36.536-K76</f>
        <v>2307.4679999999998</v>
      </c>
      <c r="M76" s="6">
        <f>7562.686-2978.85-46.086-L76-K76</f>
        <v>1716.4299999999992</v>
      </c>
      <c r="N76" s="6">
        <f>4312-420-340</f>
        <v>3552</v>
      </c>
      <c r="O76" s="6">
        <f>3290-1335</f>
        <v>1955</v>
      </c>
      <c r="P76" s="6">
        <f>13457-3884-492</f>
        <v>9081</v>
      </c>
    </row>
    <row r="77" spans="2:16" x14ac:dyDescent="0.25">
      <c r="B77" s="1" t="s">
        <v>74</v>
      </c>
      <c r="G77" s="6">
        <v>0</v>
      </c>
      <c r="H77" s="6">
        <v>0</v>
      </c>
      <c r="I77" s="6">
        <v>0</v>
      </c>
      <c r="J77" s="6">
        <v>0</v>
      </c>
      <c r="K77" s="6">
        <v>-26.100999999999999</v>
      </c>
      <c r="L77" s="6">
        <f>-28.693-K77</f>
        <v>-2.5920000000000023</v>
      </c>
      <c r="M77" s="6">
        <f>-28.693-L77-K77</f>
        <v>0</v>
      </c>
      <c r="N77" s="6">
        <v>0</v>
      </c>
      <c r="O77" s="6">
        <v>0</v>
      </c>
      <c r="P77" s="6">
        <v>0</v>
      </c>
    </row>
    <row r="78" spans="2:16" x14ac:dyDescent="0.25">
      <c r="B78" s="1" t="s">
        <v>75</v>
      </c>
      <c r="G78" s="6">
        <v>4.4999999999999998E-2</v>
      </c>
      <c r="H78" s="6">
        <f>4.538-132.558-G78</f>
        <v>-128.06499999999997</v>
      </c>
      <c r="I78" s="6">
        <f>17.519-144.043</f>
        <v>-126.524</v>
      </c>
      <c r="J78" s="6">
        <v>2</v>
      </c>
      <c r="K78" s="6">
        <f>2.794-15.685</f>
        <v>-12.891</v>
      </c>
      <c r="L78" s="6">
        <f>4.538-K78-132.558</f>
        <v>-115.12899999999999</v>
      </c>
      <c r="M78" s="6">
        <f>17.519-L78-K78-144.043</f>
        <v>1.4959999999999809</v>
      </c>
      <c r="N78" s="6">
        <v>2</v>
      </c>
      <c r="O78" s="6">
        <v>0</v>
      </c>
      <c r="P78" s="6">
        <v>0</v>
      </c>
    </row>
    <row r="79" spans="2:16" x14ac:dyDescent="0.25">
      <c r="B79" s="1" t="s">
        <v>78</v>
      </c>
      <c r="G79" s="6">
        <v>0</v>
      </c>
      <c r="H79" s="6">
        <f>1422.619+67.669-G79-27.763</f>
        <v>1462.5250000000001</v>
      </c>
      <c r="I79" s="6">
        <f>1422.619+67.669-28.769</f>
        <v>1461.519</v>
      </c>
      <c r="J79" s="6">
        <v>0</v>
      </c>
      <c r="K79" s="6">
        <f>1422.619-16.87</f>
        <v>1405.749</v>
      </c>
      <c r="L79" s="6">
        <f>1422.619+67.669-K79-27.763</f>
        <v>56.775999999999982</v>
      </c>
      <c r="M79" s="6">
        <f>1422.619+67.669-L79-K79-28.769</f>
        <v>-1.0060000000000784</v>
      </c>
      <c r="N79" s="6">
        <v>0</v>
      </c>
      <c r="O79" s="6">
        <v>1985</v>
      </c>
      <c r="P79" s="6">
        <v>997</v>
      </c>
    </row>
    <row r="80" spans="2:16" x14ac:dyDescent="0.25">
      <c r="B80" s="1" t="s">
        <v>79</v>
      </c>
      <c r="G80" s="6">
        <v>-32.241</v>
      </c>
      <c r="H80" s="6">
        <f>-44.086-G80</f>
        <v>-11.844999999999999</v>
      </c>
      <c r="I80" s="6">
        <v>-64.945999999999998</v>
      </c>
      <c r="J80" s="6">
        <v>-50</v>
      </c>
      <c r="K80" s="6">
        <v>-26.742999999999999</v>
      </c>
      <c r="L80" s="6">
        <f>-44.086-K80</f>
        <v>-17.343</v>
      </c>
      <c r="M80" s="6">
        <f>-64.946-L80-K80</f>
        <v>-20.859999999999996</v>
      </c>
      <c r="N80" s="6">
        <v>-26</v>
      </c>
      <c r="O80" s="6">
        <v>-26</v>
      </c>
      <c r="P80" s="6">
        <v>-7</v>
      </c>
    </row>
    <row r="81" spans="2:27" x14ac:dyDescent="0.25">
      <c r="B81" s="1" t="s">
        <v>80</v>
      </c>
      <c r="G81" s="6">
        <f t="shared" ref="G81:I81" si="54">SUM(G76:G80)</f>
        <v>919.495</v>
      </c>
      <c r="H81" s="6">
        <f t="shared" si="54"/>
        <v>3163.5509999999999</v>
      </c>
      <c r="I81" s="6">
        <f t="shared" si="54"/>
        <v>5779.1059999999989</v>
      </c>
      <c r="J81" s="6">
        <f>SUM(J76:J80)</f>
        <v>3390</v>
      </c>
      <c r="K81" s="6">
        <f>SUM(K76:K80)</f>
        <v>1853.8660000000002</v>
      </c>
      <c r="L81" s="6">
        <f>SUM(L76:L80)</f>
        <v>2229.1799999999998</v>
      </c>
      <c r="M81" s="6">
        <f>SUM(M76:M80)</f>
        <v>1696.059999999999</v>
      </c>
      <c r="N81" s="6">
        <f>SUM(N76:N80)</f>
        <v>3528</v>
      </c>
      <c r="O81" s="6">
        <f t="shared" ref="O81:P81" si="55">SUM(O76:O80)</f>
        <v>3914</v>
      </c>
      <c r="P81" s="6">
        <f t="shared" si="55"/>
        <v>10071</v>
      </c>
    </row>
    <row r="82" spans="2:27" x14ac:dyDescent="0.25">
      <c r="B82" s="1" t="s">
        <v>81</v>
      </c>
      <c r="G82" s="6">
        <f t="shared" ref="G82:I82" si="56">+G81+G74+G69</f>
        <v>1187.29</v>
      </c>
      <c r="H82" s="6">
        <f t="shared" si="56"/>
        <v>-1169.5399999999995</v>
      </c>
      <c r="I82" s="6">
        <f t="shared" si="56"/>
        <v>7094.8189999999995</v>
      </c>
      <c r="J82" s="6">
        <f>+J81+J74+J69</f>
        <v>113</v>
      </c>
      <c r="K82" s="6">
        <f>+K81+K74+K69</f>
        <v>481.98300000000035</v>
      </c>
      <c r="L82" s="6">
        <f>+L81+L74+L69</f>
        <v>-464.23300000000017</v>
      </c>
      <c r="M82" s="6">
        <f>+M81+M74+M69</f>
        <v>915.10799999999927</v>
      </c>
      <c r="N82" s="6">
        <f>+N81+N74+N69</f>
        <v>1161</v>
      </c>
      <c r="O82" s="6">
        <f t="shared" ref="O82:P82" si="57">+O81+O74+O69</f>
        <v>-810</v>
      </c>
      <c r="P82" s="6">
        <f t="shared" si="57"/>
        <v>3584</v>
      </c>
    </row>
    <row r="83" spans="2:27" x14ac:dyDescent="0.25">
      <c r="G83" s="6"/>
      <c r="H83" s="6"/>
      <c r="I83" s="6"/>
    </row>
    <row r="84" spans="2:27" x14ac:dyDescent="0.25">
      <c r="B84" s="1" t="s">
        <v>28</v>
      </c>
      <c r="C84" s="6"/>
      <c r="D84" s="6"/>
      <c r="E84" s="6"/>
      <c r="F84" s="6"/>
      <c r="G84" s="6">
        <f t="shared" ref="G84:H84" si="58">+G69</f>
        <v>2039.038</v>
      </c>
      <c r="H84" s="6">
        <f t="shared" si="58"/>
        <v>-2229.1209999999992</v>
      </c>
      <c r="I84" s="6">
        <f>+I69</f>
        <v>2740.8110000000006</v>
      </c>
      <c r="J84" s="6">
        <f t="shared" ref="J84" si="59">+J69</f>
        <v>187</v>
      </c>
      <c r="K84" s="6">
        <f t="shared" ref="K84:N84" si="60">+K69</f>
        <v>61.168000000000063</v>
      </c>
      <c r="L84" s="6">
        <f t="shared" si="60"/>
        <v>-251.25099999999975</v>
      </c>
      <c r="M84" s="6">
        <f t="shared" si="60"/>
        <v>1689.1339999999996</v>
      </c>
      <c r="N84" s="6">
        <f t="shared" si="60"/>
        <v>1559</v>
      </c>
      <c r="O84" s="6">
        <f>+O69</f>
        <v>2984</v>
      </c>
      <c r="P84" s="6">
        <f>+P69</f>
        <v>679</v>
      </c>
    </row>
    <row r="85" spans="2:27" s="3" customFormat="1" x14ac:dyDescent="0.25">
      <c r="B85" s="3" t="s">
        <v>29</v>
      </c>
      <c r="C85" s="6"/>
      <c r="D85" s="6"/>
      <c r="E85" s="6"/>
      <c r="F85" s="6"/>
      <c r="G85" s="6">
        <f t="shared" ref="G85:J85" si="61">+G71</f>
        <v>-1741.9349999999999</v>
      </c>
      <c r="H85" s="6">
        <f t="shared" si="61"/>
        <v>-2118.4160000000002</v>
      </c>
      <c r="I85" s="6">
        <f t="shared" si="61"/>
        <v>-1343.9</v>
      </c>
      <c r="J85" s="6">
        <f t="shared" si="61"/>
        <v>-3498</v>
      </c>
      <c r="K85" s="6">
        <f t="shared" ref="K85:L85" si="62">+K71</f>
        <v>-1407.3589999999999</v>
      </c>
      <c r="L85" s="6">
        <f t="shared" si="62"/>
        <v>-2452.9920000000002</v>
      </c>
      <c r="M85" s="6">
        <f>+M71</f>
        <v>-2388.8879999999995</v>
      </c>
      <c r="N85" s="6">
        <f>+N71</f>
        <v>-4060</v>
      </c>
      <c r="O85" s="6">
        <f>+O71</f>
        <v>-7695</v>
      </c>
      <c r="P85" s="6">
        <f>+P71</f>
        <v>-6422</v>
      </c>
      <c r="Q85" s="6"/>
      <c r="R85" s="6"/>
      <c r="X85" s="3">
        <f>SUM(K85:N85)</f>
        <v>-10309.239</v>
      </c>
      <c r="Y85" s="3">
        <f>+X85</f>
        <v>-10309.239</v>
      </c>
      <c r="Z85" s="3">
        <f>+Y85</f>
        <v>-10309.239</v>
      </c>
      <c r="AA85" s="3">
        <f>+Z85</f>
        <v>-10309.239</v>
      </c>
    </row>
    <row r="86" spans="2:27" x14ac:dyDescent="0.25">
      <c r="B86" s="1" t="s">
        <v>30</v>
      </c>
      <c r="C86" s="6"/>
      <c r="G86" s="6">
        <f>+G84+G85</f>
        <v>297.10300000000007</v>
      </c>
      <c r="H86" s="6">
        <f>+H84+H85</f>
        <v>-4347.5369999999994</v>
      </c>
      <c r="I86" s="6">
        <f>+I84+I85</f>
        <v>1396.9110000000005</v>
      </c>
      <c r="J86" s="6">
        <f t="shared" ref="J86" si="63">+J84+J85</f>
        <v>-3311</v>
      </c>
      <c r="K86" s="6">
        <f t="shared" ref="K86:N86" si="64">+K84+K85</f>
        <v>-1346.1909999999998</v>
      </c>
      <c r="L86" s="6">
        <f t="shared" si="64"/>
        <v>-2704.2429999999999</v>
      </c>
      <c r="M86" s="6">
        <f t="shared" si="64"/>
        <v>-699.75399999999991</v>
      </c>
      <c r="N86" s="6">
        <f t="shared" si="64"/>
        <v>-2501</v>
      </c>
      <c r="O86" s="6">
        <f>+O84+O85</f>
        <v>-4711</v>
      </c>
      <c r="P86" s="6">
        <f>+P84+P85</f>
        <v>-5743</v>
      </c>
    </row>
    <row r="88" spans="2:27" x14ac:dyDescent="0.25">
      <c r="B88" s="1" t="s">
        <v>92</v>
      </c>
      <c r="Y88" s="3">
        <f>+Y89-X89</f>
        <v>-7700.3490000000002</v>
      </c>
      <c r="Z88" s="3">
        <f>+Z89-Y89</f>
        <v>9258.5700000000015</v>
      </c>
      <c r="AA88" s="3">
        <f>+AA89-Z89</f>
        <v>3540.9629999999997</v>
      </c>
    </row>
    <row r="89" spans="2:27" x14ac:dyDescent="0.25">
      <c r="B89" s="1" t="s">
        <v>68</v>
      </c>
      <c r="X89" s="3">
        <f>+X90-X102</f>
        <v>-14205.602000000001</v>
      </c>
      <c r="Y89" s="3">
        <f>+Y90-Y102+Y85</f>
        <v>-21905.951000000001</v>
      </c>
      <c r="Z89" s="3">
        <f>+Z90-Z102+Z85</f>
        <v>-12647.380999999999</v>
      </c>
      <c r="AA89" s="3">
        <f>+AA90-AA102+AA85</f>
        <v>-9106.4179999999997</v>
      </c>
    </row>
    <row r="90" spans="2:27" x14ac:dyDescent="0.25">
      <c r="B90" s="1" t="s">
        <v>3</v>
      </c>
      <c r="N90" s="6"/>
      <c r="X90" s="3">
        <f>+N90</f>
        <v>0</v>
      </c>
      <c r="Y90" s="3">
        <f>+X90+Y18-X100</f>
        <v>1423.1809999999998</v>
      </c>
      <c r="Z90" s="3">
        <f>+Y90+Z18</f>
        <v>10681.751</v>
      </c>
      <c r="AA90" s="3">
        <f>+Z90+AA18-Z99-Z95</f>
        <v>11855.214</v>
      </c>
    </row>
    <row r="92" spans="2:27" x14ac:dyDescent="0.25">
      <c r="B92" s="1" t="s">
        <v>90</v>
      </c>
      <c r="M92" s="4">
        <v>265</v>
      </c>
      <c r="X92" s="3">
        <f>+M92</f>
        <v>265</v>
      </c>
      <c r="Y92" s="3">
        <f>+X92</f>
        <v>265</v>
      </c>
      <c r="Z92" s="3">
        <f>+Y92</f>
        <v>265</v>
      </c>
      <c r="AA92" s="3">
        <f t="shared" ref="AA92:AA93" si="65">+Z92</f>
        <v>265</v>
      </c>
    </row>
    <row r="93" spans="2:27" x14ac:dyDescent="0.25">
      <c r="B93" s="1" t="s">
        <v>63</v>
      </c>
      <c r="M93" s="6">
        <v>2000</v>
      </c>
      <c r="X93" s="3">
        <f t="shared" ref="X93:X100" si="66">+M93</f>
        <v>2000</v>
      </c>
      <c r="Y93" s="3">
        <f>+X93</f>
        <v>2000</v>
      </c>
      <c r="Z93" s="3">
        <f>+Y93</f>
        <v>2000</v>
      </c>
      <c r="AA93" s="3">
        <f t="shared" si="65"/>
        <v>2000</v>
      </c>
    </row>
    <row r="94" spans="2:27" x14ac:dyDescent="0.25">
      <c r="B94" s="1" t="s">
        <v>64</v>
      </c>
      <c r="M94" s="6">
        <v>1750</v>
      </c>
      <c r="X94" s="3">
        <f t="shared" si="66"/>
        <v>1750</v>
      </c>
      <c r="Y94" s="3">
        <f t="shared" ref="Y94:Y99" si="67">+X94</f>
        <v>1750</v>
      </c>
      <c r="Z94" s="3">
        <f t="shared" ref="Z94:AA100" si="68">+Y94</f>
        <v>1750</v>
      </c>
      <c r="AA94" s="3">
        <f t="shared" si="68"/>
        <v>1750</v>
      </c>
    </row>
    <row r="95" spans="2:27" x14ac:dyDescent="0.25">
      <c r="B95" s="1" t="s">
        <v>89</v>
      </c>
      <c r="M95" s="6">
        <v>1667.5</v>
      </c>
      <c r="X95" s="3">
        <f t="shared" si="66"/>
        <v>1667.5</v>
      </c>
      <c r="Y95" s="3">
        <f t="shared" si="67"/>
        <v>1667.5</v>
      </c>
      <c r="Z95" s="3">
        <f t="shared" si="68"/>
        <v>1667.5</v>
      </c>
      <c r="AA95" s="3">
        <v>0</v>
      </c>
    </row>
    <row r="96" spans="2:27" x14ac:dyDescent="0.25">
      <c r="B96" s="1" t="s">
        <v>88</v>
      </c>
      <c r="M96" s="6">
        <v>5037.3720000000003</v>
      </c>
      <c r="X96" s="3">
        <f t="shared" si="66"/>
        <v>5037.3720000000003</v>
      </c>
      <c r="Y96" s="3">
        <f t="shared" si="67"/>
        <v>5037.3720000000003</v>
      </c>
      <c r="Z96" s="3">
        <f t="shared" si="68"/>
        <v>5037.3720000000003</v>
      </c>
      <c r="AA96" s="3">
        <f t="shared" si="68"/>
        <v>5037.3720000000003</v>
      </c>
    </row>
    <row r="97" spans="2:27" x14ac:dyDescent="0.25">
      <c r="B97" s="1" t="s">
        <v>87</v>
      </c>
      <c r="M97" s="6">
        <v>1241.325</v>
      </c>
      <c r="X97" s="3">
        <f t="shared" si="66"/>
        <v>1241.325</v>
      </c>
      <c r="Y97" s="3">
        <f t="shared" si="67"/>
        <v>1241.325</v>
      </c>
      <c r="Z97" s="3">
        <f t="shared" si="68"/>
        <v>1241.325</v>
      </c>
      <c r="AA97" s="3">
        <f t="shared" si="68"/>
        <v>1241.325</v>
      </c>
    </row>
    <row r="98" spans="2:27" x14ac:dyDescent="0.25">
      <c r="B98" s="1" t="s">
        <v>86</v>
      </c>
      <c r="M98" s="6">
        <v>358.69600000000003</v>
      </c>
      <c r="X98" s="3">
        <f t="shared" si="66"/>
        <v>358.69600000000003</v>
      </c>
      <c r="Y98" s="3">
        <f t="shared" si="67"/>
        <v>358.69600000000003</v>
      </c>
      <c r="Z98" s="3">
        <f t="shared" si="68"/>
        <v>358.69600000000003</v>
      </c>
      <c r="AA98" s="3">
        <f t="shared" si="68"/>
        <v>358.69600000000003</v>
      </c>
    </row>
    <row r="99" spans="2:27" x14ac:dyDescent="0.25">
      <c r="B99" s="1" t="s">
        <v>85</v>
      </c>
      <c r="M99" s="6">
        <v>700</v>
      </c>
      <c r="X99" s="3">
        <f t="shared" si="66"/>
        <v>700</v>
      </c>
      <c r="Y99" s="3">
        <f t="shared" si="67"/>
        <v>700</v>
      </c>
      <c r="Z99" s="3">
        <f t="shared" si="68"/>
        <v>700</v>
      </c>
      <c r="AA99" s="3">
        <v>0</v>
      </c>
    </row>
    <row r="100" spans="2:27" x14ac:dyDescent="0.25">
      <c r="B100" s="1" t="s">
        <v>91</v>
      </c>
      <c r="M100" s="6">
        <v>1185.7090000000001</v>
      </c>
      <c r="X100" s="3">
        <f t="shared" si="66"/>
        <v>1185.7090000000001</v>
      </c>
      <c r="Y100" s="1">
        <v>0</v>
      </c>
      <c r="Z100" s="3">
        <f t="shared" si="68"/>
        <v>0</v>
      </c>
      <c r="AA100" s="3">
        <f t="shared" si="68"/>
        <v>0</v>
      </c>
    </row>
    <row r="102" spans="2:27" x14ac:dyDescent="0.25">
      <c r="X102" s="3">
        <f>SUM(X92:X100)</f>
        <v>14205.602000000001</v>
      </c>
      <c r="Y102" s="3">
        <f>SUM(Y92:Y100)</f>
        <v>13019.893</v>
      </c>
      <c r="Z102" s="3">
        <f>SUM(Z92:Z100)</f>
        <v>13019.893</v>
      </c>
      <c r="AA102" s="3">
        <f t="shared" ref="AA102" si="69">SUM(AA92:AA100)</f>
        <v>10652.393</v>
      </c>
    </row>
    <row r="103" spans="2:27" x14ac:dyDescent="0.25">
      <c r="B103" s="1" t="s">
        <v>94</v>
      </c>
      <c r="G103" s="9">
        <f t="shared" ref="G103:P103" si="70">G6/G36</f>
        <v>3.229056373289349E-2</v>
      </c>
      <c r="H103" s="9">
        <f t="shared" si="70"/>
        <v>4.3332274518625528E-2</v>
      </c>
      <c r="I103" s="9">
        <f t="shared" si="70"/>
        <v>6.2751346415660283E-2</v>
      </c>
      <c r="J103" s="9">
        <f t="shared" si="70"/>
        <v>5.8342815668021727E-2</v>
      </c>
      <c r="K103" s="9">
        <f t="shared" si="70"/>
        <v>6.9075543776254314E-2</v>
      </c>
      <c r="L103" s="9">
        <f t="shared" si="70"/>
        <v>7.2921099767850314E-2</v>
      </c>
      <c r="M103" s="9">
        <f t="shared" si="70"/>
        <v>6.6056636030247279E-2</v>
      </c>
      <c r="N103" s="9">
        <f t="shared" si="70"/>
        <v>5.1444840789344505E-2</v>
      </c>
      <c r="O103" s="9">
        <f t="shared" si="70"/>
        <v>5.7050296507797055E-2</v>
      </c>
      <c r="P103" s="9">
        <f t="shared" si="70"/>
        <v>5.5096713454296474E-2</v>
      </c>
      <c r="Q103" s="9">
        <f>Q107/Q106</f>
        <v>5.9929772435681004E-2</v>
      </c>
      <c r="R103" s="9">
        <f>R107/R106</f>
        <v>5.7142857142857141E-2</v>
      </c>
    </row>
    <row r="104" spans="2:27" x14ac:dyDescent="0.25">
      <c r="B104" s="1" t="s">
        <v>95</v>
      </c>
      <c r="G104" s="9"/>
      <c r="H104" s="9">
        <f t="shared" ref="H104:K104" si="71">H6/G36</f>
        <v>5.904180793203586E-2</v>
      </c>
      <c r="I104" s="9">
        <f t="shared" si="71"/>
        <v>7.3343454245451342E-2</v>
      </c>
      <c r="J104" s="9">
        <f t="shared" si="71"/>
        <v>8.0273958794635461E-2</v>
      </c>
      <c r="K104" s="9">
        <f t="shared" si="71"/>
        <v>7.6668239397364793E-2</v>
      </c>
      <c r="L104" s="9">
        <f>L6/K36</f>
        <v>8.5341544066733693E-2</v>
      </c>
      <c r="M104" s="9">
        <f>M6/L36</f>
        <v>8.2053643956561978E-2</v>
      </c>
      <c r="N104" s="9">
        <f>N6/M36</f>
        <v>7.6092077415847226E-2</v>
      </c>
      <c r="O104" s="9">
        <f>O6/N36</f>
        <v>6.8004057989985933E-2</v>
      </c>
      <c r="P104" s="9">
        <f>P6/O36</f>
        <v>7.069514605754447E-2</v>
      </c>
    </row>
    <row r="105" spans="2:27" x14ac:dyDescent="0.25"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27" x14ac:dyDescent="0.25">
      <c r="B106" s="1" t="s">
        <v>96</v>
      </c>
      <c r="G106" s="6">
        <f t="shared" ref="G106:P106" si="72">G36</f>
        <v>5843.317</v>
      </c>
      <c r="H106" s="6">
        <f t="shared" si="72"/>
        <v>7961.7330000000002</v>
      </c>
      <c r="I106" s="6">
        <f t="shared" si="72"/>
        <v>9305.6329999999998</v>
      </c>
      <c r="J106" s="6">
        <f t="shared" si="72"/>
        <v>12803.633</v>
      </c>
      <c r="K106" s="6">
        <f t="shared" si="72"/>
        <v>14210.992</v>
      </c>
      <c r="L106" s="6">
        <f t="shared" si="72"/>
        <v>16631.509999999998</v>
      </c>
      <c r="M106" s="6">
        <f t="shared" si="72"/>
        <v>20659.181</v>
      </c>
      <c r="N106" s="6">
        <f t="shared" si="72"/>
        <v>30557</v>
      </c>
      <c r="O106" s="6">
        <f t="shared" si="72"/>
        <v>36424</v>
      </c>
      <c r="P106" s="6">
        <f t="shared" si="72"/>
        <v>46736</v>
      </c>
      <c r="Q106" s="6">
        <f>P106+12500</f>
        <v>59236</v>
      </c>
      <c r="R106" s="6">
        <f>Q106</f>
        <v>59236</v>
      </c>
    </row>
    <row r="107" spans="2:27" x14ac:dyDescent="0.25">
      <c r="B107" s="1" t="s">
        <v>9</v>
      </c>
      <c r="G107" s="6">
        <f t="shared" ref="G107:P107" si="73">G6</f>
        <v>188.684</v>
      </c>
      <c r="H107" s="6">
        <f t="shared" si="73"/>
        <v>345</v>
      </c>
      <c r="I107" s="6">
        <f t="shared" si="73"/>
        <v>583.94100000000003</v>
      </c>
      <c r="J107" s="6">
        <f t="shared" si="73"/>
        <v>747</v>
      </c>
      <c r="K107" s="6">
        <f t="shared" si="73"/>
        <v>981.63199999999995</v>
      </c>
      <c r="L107" s="6">
        <f t="shared" si="73"/>
        <v>1212.788</v>
      </c>
      <c r="M107" s="6">
        <f t="shared" si="73"/>
        <v>1364.6759999999999</v>
      </c>
      <c r="N107" s="6">
        <f t="shared" si="73"/>
        <v>1572</v>
      </c>
      <c r="O107" s="6">
        <f t="shared" si="73"/>
        <v>2078</v>
      </c>
      <c r="P107" s="6">
        <f t="shared" si="73"/>
        <v>2575</v>
      </c>
      <c r="Q107" s="6">
        <v>3550</v>
      </c>
      <c r="R107" s="6">
        <f>R106/0.07*4/1000</f>
        <v>3384.9142857142856</v>
      </c>
    </row>
    <row r="108" spans="2:27" x14ac:dyDescent="0.25">
      <c r="B108" s="1" t="s">
        <v>97</v>
      </c>
      <c r="G108" s="6">
        <f t="shared" ref="G108:O108" si="74">G107*4</f>
        <v>754.73599999999999</v>
      </c>
      <c r="H108" s="6">
        <f t="shared" si="74"/>
        <v>1380</v>
      </c>
      <c r="I108" s="6">
        <f t="shared" si="74"/>
        <v>2335.7640000000001</v>
      </c>
      <c r="J108" s="6">
        <f t="shared" si="74"/>
        <v>2988</v>
      </c>
      <c r="K108" s="6">
        <f t="shared" si="74"/>
        <v>3926.5279999999998</v>
      </c>
      <c r="L108" s="6">
        <f t="shared" si="74"/>
        <v>4851.152</v>
      </c>
      <c r="M108" s="6">
        <f t="shared" si="74"/>
        <v>5458.7039999999997</v>
      </c>
      <c r="N108" s="6">
        <f t="shared" si="74"/>
        <v>6288</v>
      </c>
      <c r="O108" s="6">
        <f t="shared" si="74"/>
        <v>8312</v>
      </c>
      <c r="P108" s="6">
        <f>P107*4</f>
        <v>10300</v>
      </c>
      <c r="Q108" s="6">
        <f>Q107*4</f>
        <v>14200</v>
      </c>
      <c r="R108" s="6">
        <f>R107*4</f>
        <v>13539.657142857142</v>
      </c>
      <c r="S108" s="6">
        <f t="shared" ref="S108:V108" si="75">R108</f>
        <v>13539.657142857142</v>
      </c>
      <c r="T108" s="6">
        <f t="shared" si="75"/>
        <v>13539.657142857142</v>
      </c>
      <c r="U108" s="6">
        <f t="shared" si="75"/>
        <v>13539.657142857142</v>
      </c>
      <c r="V108" s="6">
        <f t="shared" si="75"/>
        <v>13539.657142857142</v>
      </c>
      <c r="W108" s="6">
        <f t="shared" ref="W108:X108" si="76">V108</f>
        <v>13539.657142857142</v>
      </c>
      <c r="X108" s="6">
        <f t="shared" si="76"/>
        <v>13539.657142857142</v>
      </c>
    </row>
    <row r="109" spans="2:27" x14ac:dyDescent="0.25">
      <c r="B109" s="1" t="s">
        <v>98</v>
      </c>
      <c r="G109" s="6">
        <f>G108*0.55</f>
        <v>415.10480000000001</v>
      </c>
      <c r="H109" s="6">
        <f t="shared" ref="H109:R109" si="77">H108*0.55</f>
        <v>759.00000000000011</v>
      </c>
      <c r="I109" s="6">
        <f t="shared" si="77"/>
        <v>1284.6702000000002</v>
      </c>
      <c r="J109" s="6">
        <f t="shared" si="77"/>
        <v>1643.4</v>
      </c>
      <c r="K109" s="6">
        <f t="shared" si="77"/>
        <v>2159.5904</v>
      </c>
      <c r="L109" s="6">
        <f t="shared" si="77"/>
        <v>2668.1336000000001</v>
      </c>
      <c r="M109" s="6">
        <f t="shared" si="77"/>
        <v>3002.2872000000002</v>
      </c>
      <c r="N109" s="6">
        <f t="shared" si="77"/>
        <v>3458.4</v>
      </c>
      <c r="O109" s="6">
        <f t="shared" si="77"/>
        <v>4571.6000000000004</v>
      </c>
      <c r="P109" s="6">
        <f t="shared" si="77"/>
        <v>5665.0000000000009</v>
      </c>
      <c r="Q109" s="6">
        <f t="shared" si="77"/>
        <v>7810.0000000000009</v>
      </c>
      <c r="R109" s="6">
        <f t="shared" si="77"/>
        <v>7446.8114285714291</v>
      </c>
      <c r="S109" s="6">
        <f t="shared" ref="S109" si="78">S108*0.55</f>
        <v>7446.8114285714291</v>
      </c>
      <c r="T109" s="6">
        <f t="shared" ref="T109" si="79">T108*0.55</f>
        <v>7446.8114285714291</v>
      </c>
      <c r="U109" s="6">
        <f t="shared" ref="U109" si="80">U108*0.55</f>
        <v>7446.8114285714291</v>
      </c>
      <c r="V109" s="6">
        <f t="shared" ref="V109" si="81">V108*0.55</f>
        <v>7446.8114285714291</v>
      </c>
      <c r="W109" s="6">
        <f t="shared" ref="W109" si="82">W108*0.55</f>
        <v>7446.8114285714291</v>
      </c>
      <c r="X109" s="6">
        <f t="shared" ref="X109" si="83">X108*0.55</f>
        <v>7446.8114285714291</v>
      </c>
    </row>
    <row r="110" spans="2:27" x14ac:dyDescent="0.25">
      <c r="B110" s="1" t="s">
        <v>99</v>
      </c>
      <c r="G110" s="6"/>
      <c r="H110" s="6"/>
      <c r="I110" s="6"/>
      <c r="J110" s="6"/>
      <c r="K110" s="6"/>
      <c r="L110" s="6"/>
      <c r="M110" s="6"/>
      <c r="N110" s="6"/>
      <c r="O110" s="6"/>
      <c r="P110" s="6">
        <f>P112*0.08</f>
        <v>-2251.92</v>
      </c>
      <c r="Q110" s="6">
        <f>Q112*0.08</f>
        <v>-1978.8735999999999</v>
      </c>
      <c r="R110" s="6">
        <f>R112*0.08</f>
        <v>-1512.3834879999997</v>
      </c>
      <c r="S110" s="6">
        <f t="shared" ref="S110:V110" si="84">S112*0.08</f>
        <v>-1037.6292527542855</v>
      </c>
      <c r="T110" s="6">
        <f t="shared" si="84"/>
        <v>-524.89467868891393</v>
      </c>
      <c r="U110" s="6">
        <f t="shared" si="84"/>
        <v>28.858661301687317</v>
      </c>
      <c r="V110" s="6">
        <f t="shared" si="84"/>
        <v>626.91226849153657</v>
      </c>
      <c r="W110" s="6">
        <f t="shared" ref="W110:X110" si="85">W112*0.08</f>
        <v>1272.8101642565739</v>
      </c>
      <c r="X110" s="6">
        <f t="shared" si="85"/>
        <v>1970.3798916828141</v>
      </c>
    </row>
    <row r="111" spans="2:27" x14ac:dyDescent="0.25">
      <c r="B111" s="1" t="s">
        <v>100</v>
      </c>
      <c r="G111" s="6"/>
      <c r="H111" s="6"/>
      <c r="I111" s="6"/>
      <c r="J111" s="6"/>
      <c r="K111" s="6"/>
      <c r="L111" s="6"/>
      <c r="M111" s="6"/>
      <c r="N111" s="6"/>
      <c r="O111" s="6"/>
      <c r="P111" s="6">
        <f>P109+P110</f>
        <v>3413.0800000000008</v>
      </c>
      <c r="Q111" s="6">
        <f>Q109+Q110</f>
        <v>5831.126400000001</v>
      </c>
      <c r="R111" s="6">
        <f>R109+R110</f>
        <v>5934.4279405714296</v>
      </c>
      <c r="S111" s="6">
        <f t="shared" ref="S111:V111" si="86">S109+S110</f>
        <v>6409.1821758171436</v>
      </c>
      <c r="T111" s="6">
        <f t="shared" si="86"/>
        <v>6921.9167498825154</v>
      </c>
      <c r="U111" s="6">
        <f t="shared" si="86"/>
        <v>7475.670089873116</v>
      </c>
      <c r="V111" s="6">
        <f t="shared" si="86"/>
        <v>8073.7236970629656</v>
      </c>
      <c r="W111" s="6">
        <f t="shared" ref="W111" si="87">W109+W110</f>
        <v>8719.6215928280035</v>
      </c>
      <c r="X111" s="6">
        <f t="shared" ref="X111" si="88">X109+X110</f>
        <v>9417.1913202542437</v>
      </c>
    </row>
    <row r="112" spans="2:27" x14ac:dyDescent="0.25">
      <c r="B112" s="1" t="s">
        <v>4</v>
      </c>
      <c r="P112" s="6">
        <f>P32</f>
        <v>-28149</v>
      </c>
      <c r="Q112" s="6">
        <f>P112+P111</f>
        <v>-24735.919999999998</v>
      </c>
      <c r="R112" s="6">
        <f>Q112+Q111</f>
        <v>-18904.793599999997</v>
      </c>
      <c r="S112" s="6">
        <f t="shared" ref="S112:V112" si="89">R112+R111</f>
        <v>-12970.365659428568</v>
      </c>
      <c r="T112" s="6">
        <f t="shared" si="89"/>
        <v>-6561.183483611424</v>
      </c>
      <c r="U112" s="6">
        <f t="shared" si="89"/>
        <v>360.73326627109145</v>
      </c>
      <c r="V112" s="6">
        <f t="shared" si="89"/>
        <v>7836.4033561442075</v>
      </c>
      <c r="W112" s="6">
        <f t="shared" ref="W112:X112" si="90">V112+V111</f>
        <v>15910.127053207172</v>
      </c>
      <c r="X112" s="6">
        <f t="shared" si="90"/>
        <v>24629.748646035176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2025-06-04T13:51:10Z</dcterms:created>
  <dcterms:modified xsi:type="dcterms:W3CDTF">2026-08-13T14:43:12Z</dcterms:modified>
</cp:coreProperties>
</file>