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16E51F40-B3BF-4A70-9540-C1CB48ED9A8B}" xr6:coauthVersionLast="47" xr6:coauthVersionMax="47" xr10:uidLastSave="{00000000-0000-0000-0000-000000000000}"/>
  <bookViews>
    <workbookView xWindow="350" yWindow="1040" windowWidth="19050" windowHeight="19840" xr2:uid="{8AEC93ED-DE78-43E1-A3CC-6845D1322955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" i="1" l="1"/>
  <c r="L5" i="1"/>
  <c r="L4" i="1"/>
  <c r="C8" i="2"/>
  <c r="E8" i="2"/>
  <c r="L7" i="1" l="1"/>
</calcChain>
</file>

<file path=xl/sharedStrings.xml><?xml version="1.0" encoding="utf-8"?>
<sst xmlns="http://schemas.openxmlformats.org/spreadsheetml/2006/main" count="29" uniqueCount="27">
  <si>
    <t>Price JPY</t>
  </si>
  <si>
    <t>Shares</t>
  </si>
  <si>
    <t>MC JPY</t>
  </si>
  <si>
    <t>Cash JPY</t>
  </si>
  <si>
    <t>Debt JPY</t>
  </si>
  <si>
    <t>EV JPY</t>
  </si>
  <si>
    <t>Acquires Jnana.</t>
  </si>
  <si>
    <t>Main</t>
  </si>
  <si>
    <t>Revenue</t>
  </si>
  <si>
    <t>1H23</t>
  </si>
  <si>
    <t>2H23</t>
  </si>
  <si>
    <t>1H24</t>
  </si>
  <si>
    <t>2H24</t>
  </si>
  <si>
    <t>Pharma</t>
  </si>
  <si>
    <t>Nutraceuticals</t>
  </si>
  <si>
    <t>Consumer</t>
  </si>
  <si>
    <t>Brand</t>
  </si>
  <si>
    <t>Rexulti</t>
  </si>
  <si>
    <t>Lonsurf</t>
  </si>
  <si>
    <t>Abilify Maintena</t>
  </si>
  <si>
    <t>Abilify Asimtufii</t>
  </si>
  <si>
    <t>Samsca/Jinarc/Jynarque</t>
  </si>
  <si>
    <t>COGS</t>
  </si>
  <si>
    <t>Gross Profit</t>
  </si>
  <si>
    <t>SG&amp;A</t>
  </si>
  <si>
    <t>R&amp;D</t>
  </si>
  <si>
    <t>Q226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</si>
</sst>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¥-411]#,##0"/>
  </numFmts>
  <fonts count="3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164" fontId="0" fillId="0" borderId="0" xfId="0" applyNumberFormat="1"/>
    <xf numFmtId="0" fontId="0" fillId="0" borderId="0" xfId="0" applyAlignment="1">
      <alignment horizontal="right"/>
    </xf>
    <xf numFmtId="3" fontId="0" fillId="0" borderId="0" xfId="0" applyNumberFormat="1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7E5E502F-3126-4E2E-A6A9-E4A1969539B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15A73-670F-4BC4-AE3C-79C8EBD781A0}">
  <dimension ref="B2:M13"/>
  <sheetViews>
    <sheetView tabSelected="1" zoomScale="130" zoomScaleNormal="130" workbookViewId="0">
      <selection activeCell="M7" sqref="M7"/>
    </sheetView>
  </sheetViews>
  <sheetFormatPr defaultRowHeight="12.5" x14ac:dyDescent="0.25"/>
  <cols>
    <col min="12" max="12" width="12.81640625" customWidth="1"/>
  </cols>
  <sheetData>
    <row r="2" spans="2:13" x14ac:dyDescent="0.25">
      <c r="B2" t="s">
        <v>16</v>
      </c>
      <c r="K2" t="s">
        <v>0</v>
      </c>
      <c r="L2" s="1">
        <v>8383</v>
      </c>
    </row>
    <row r="3" spans="2:13" x14ac:dyDescent="0.25">
      <c r="B3" t="s">
        <v>17</v>
      </c>
      <c r="K3" t="s">
        <v>1</v>
      </c>
      <c r="L3" s="3">
        <v>527.08410900000001</v>
      </c>
      <c r="M3" s="2" t="s">
        <v>26</v>
      </c>
    </row>
    <row r="4" spans="2:13" x14ac:dyDescent="0.25">
      <c r="B4" t="s">
        <v>18</v>
      </c>
      <c r="K4" t="s">
        <v>2</v>
      </c>
      <c r="L4" s="1">
        <f>+L2*L3</f>
        <v>4418546.0857469998</v>
      </c>
    </row>
    <row r="5" spans="2:13" x14ac:dyDescent="0.25">
      <c r="B5" t="s">
        <v>19</v>
      </c>
      <c r="K5" t="s">
        <v>3</v>
      </c>
      <c r="L5" s="1">
        <f>469548+36393+373116+238006</f>
        <v>1117063</v>
      </c>
      <c r="M5" s="2" t="s">
        <v>26</v>
      </c>
    </row>
    <row r="6" spans="2:13" x14ac:dyDescent="0.25">
      <c r="B6" t="s">
        <v>20</v>
      </c>
      <c r="K6" t="s">
        <v>4</v>
      </c>
      <c r="L6" s="1">
        <f>87257+69895+7399+12477</f>
        <v>177028</v>
      </c>
      <c r="M6" s="2" t="s">
        <v>26</v>
      </c>
    </row>
    <row r="7" spans="2:13" x14ac:dyDescent="0.25">
      <c r="B7" t="s">
        <v>21</v>
      </c>
      <c r="K7" t="s">
        <v>5</v>
      </c>
      <c r="L7" s="1">
        <f>+L4-L5+L6</f>
        <v>3478511.0857469998</v>
      </c>
    </row>
    <row r="13" spans="2:13" x14ac:dyDescent="0.25">
      <c r="H13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725E7-BC53-408E-80B2-CC7BAA2C4AF9}">
  <dimension ref="A1:F10"/>
  <sheetViews>
    <sheetView zoomScale="160" zoomScaleNormal="160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2.5" x14ac:dyDescent="0.25"/>
  <cols>
    <col min="1" max="1" width="5" bestFit="1" customWidth="1"/>
    <col min="2" max="2" width="12.81640625" bestFit="1" customWidth="1"/>
    <col min="3" max="6" width="9.1796875" style="2"/>
  </cols>
  <sheetData>
    <row r="1" spans="1:6" x14ac:dyDescent="0.25">
      <c r="A1" s="6" t="s">
        <v>7</v>
      </c>
    </row>
    <row r="2" spans="1:6" x14ac:dyDescent="0.25">
      <c r="C2" s="2" t="s">
        <v>9</v>
      </c>
      <c r="D2" s="2" t="s">
        <v>10</v>
      </c>
      <c r="E2" s="2" t="s">
        <v>11</v>
      </c>
      <c r="F2" s="2" t="s">
        <v>12</v>
      </c>
    </row>
    <row r="3" spans="1:6" x14ac:dyDescent="0.25">
      <c r="B3" t="s">
        <v>13</v>
      </c>
      <c r="C3" s="2">
        <v>650442</v>
      </c>
      <c r="E3" s="2">
        <v>766728</v>
      </c>
    </row>
    <row r="4" spans="1:6" x14ac:dyDescent="0.25">
      <c r="B4" t="s">
        <v>14</v>
      </c>
      <c r="C4" s="2">
        <v>226208</v>
      </c>
      <c r="E4" s="2">
        <v>271826</v>
      </c>
    </row>
    <row r="5" spans="1:6" x14ac:dyDescent="0.25">
      <c r="B5" t="s">
        <v>15</v>
      </c>
      <c r="C5" s="2">
        <v>17425</v>
      </c>
      <c r="E5" s="2">
        <v>15670</v>
      </c>
    </row>
    <row r="6" spans="1:6" s="4" customFormat="1" ht="13" x14ac:dyDescent="0.3">
      <c r="B6" s="4" t="s">
        <v>8</v>
      </c>
      <c r="C6" s="5">
        <v>947537</v>
      </c>
      <c r="D6" s="5"/>
      <c r="E6" s="5">
        <v>1108930</v>
      </c>
      <c r="F6" s="5"/>
    </row>
    <row r="7" spans="1:6" x14ac:dyDescent="0.25">
      <c r="B7" t="s">
        <v>22</v>
      </c>
      <c r="C7" s="2">
        <v>287862</v>
      </c>
      <c r="E7" s="2">
        <v>316211</v>
      </c>
    </row>
    <row r="8" spans="1:6" x14ac:dyDescent="0.25">
      <c r="B8" t="s">
        <v>23</v>
      </c>
      <c r="C8" s="2">
        <f>+C6-C7</f>
        <v>659675</v>
      </c>
      <c r="E8" s="2">
        <f>+E6-E7</f>
        <v>792719</v>
      </c>
    </row>
    <row r="9" spans="1:6" x14ac:dyDescent="0.25">
      <c r="B9" t="s">
        <v>24</v>
      </c>
      <c r="C9" s="2">
        <v>372283</v>
      </c>
      <c r="E9" s="2">
        <v>453722</v>
      </c>
    </row>
    <row r="10" spans="1:6" x14ac:dyDescent="0.25">
      <c r="B10" t="s">
        <v>25</v>
      </c>
      <c r="C10" s="2">
        <v>143949</v>
      </c>
      <c r="E10" s="2">
        <v>142103</v>
      </c>
    </row>
  </sheetData>
  <hyperlinks>
    <hyperlink ref="A1" location="Main!A1" display="Main" xr:uid="{ACEB3362-4F16-499F-9E09-F9AD82CDA62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2023-01-04T22:05:09Z</dcterms:created>
  <dcterms:modified xsi:type="dcterms:W3CDTF">2026-08-01T20:11:56Z</dcterms:modified>
</cp:coreProperties>
</file>