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E559673-C642-473E-AB07-4F63C5405C68}" xr6:coauthVersionLast="47" xr6:coauthVersionMax="47" xr10:uidLastSave="{00000000-0000-0000-0000-000000000000}"/>
  <bookViews>
    <workbookView xWindow="13870" yWindow="2330" windowWidth="20990" windowHeight="18600" xr2:uid="{CDBB157E-75C6-4B24-BF15-4B18DB44C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J4" i="1"/>
  <c r="J7" i="1" s="1"/>
  <c r="D8" i="1" l="1"/>
</calcChain>
</file>

<file path=xl/sharedStrings.xml><?xml version="1.0" encoding="utf-8"?>
<sst xmlns="http://schemas.openxmlformats.org/spreadsheetml/2006/main" count="16" uniqueCount="14">
  <si>
    <t>Price</t>
  </si>
  <si>
    <t>Shares</t>
  </si>
  <si>
    <t>MC</t>
  </si>
  <si>
    <t>Cash</t>
  </si>
  <si>
    <t>Debt</t>
  </si>
  <si>
    <t>EV</t>
  </si>
  <si>
    <t>Name</t>
  </si>
  <si>
    <t>ramantamig</t>
  </si>
  <si>
    <t>As of June 30, 2026, the Company had 110 active partners and 425 active programs, including 34 OmniAb-derived programs in clinical development or being commercialized.</t>
  </si>
  <si>
    <t>Q226</t>
  </si>
  <si>
    <t>precemtabart tocentecan</t>
  </si>
  <si>
    <t>IMVT-1402</t>
  </si>
  <si>
    <t>TEV-408</t>
  </si>
  <si>
    <t>BI3802876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</si>
</sst>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269C-63E3-493A-8302-34D41546DE9A}">
  <dimension ref="B2:K13"/>
  <sheetViews>
    <sheetView tabSelected="1" zoomScale="145" zoomScaleNormal="145" workbookViewId="0">
      <selection activeCell="D8" sqref="D8"/>
    </sheetView>
  </sheetViews>
  <sheetFormatPr defaultRowHeight="12.5" x14ac:dyDescent="0.25"/>
  <cols>
    <col min="1" max="16384" width="8.7265625" style="1"/>
  </cols>
  <sheetData>
    <row r="2" spans="2:11" x14ac:dyDescent="0.25">
      <c r="B2" s="1" t="s">
        <v>6</v>
      </c>
      <c r="I2" s="1" t="s">
        <v>0</v>
      </c>
      <c r="J2" s="2">
        <v>4</v>
      </c>
    </row>
    <row r="3" spans="2:11" x14ac:dyDescent="0.25">
      <c r="B3" s="1" t="s">
        <v>7</v>
      </c>
      <c r="C3" s="1">
        <v>5000</v>
      </c>
      <c r="D3" s="1">
        <f>+C3*0.04</f>
        <v>200</v>
      </c>
      <c r="I3" s="1" t="s">
        <v>1</v>
      </c>
      <c r="J3" s="3">
        <v>145.390398</v>
      </c>
      <c r="K3" s="4" t="s">
        <v>9</v>
      </c>
    </row>
    <row r="4" spans="2:11" x14ac:dyDescent="0.25">
      <c r="B4" s="5" t="s">
        <v>10</v>
      </c>
      <c r="C4" s="1">
        <v>200</v>
      </c>
      <c r="D4" s="1">
        <f>+C4*0.035</f>
        <v>7.0000000000000009</v>
      </c>
      <c r="I4" s="1" t="s">
        <v>2</v>
      </c>
      <c r="J4" s="3">
        <f>+J2*J3</f>
        <v>581.56159200000002</v>
      </c>
    </row>
    <row r="5" spans="2:11" x14ac:dyDescent="0.25">
      <c r="B5" s="1" t="s">
        <v>11</v>
      </c>
      <c r="C5" s="1">
        <v>200</v>
      </c>
      <c r="D5" s="1">
        <f>+C5*0.035</f>
        <v>7.0000000000000009</v>
      </c>
      <c r="I5" s="1" t="s">
        <v>3</v>
      </c>
      <c r="J5" s="3">
        <v>52</v>
      </c>
      <c r="K5" s="4" t="s">
        <v>9</v>
      </c>
    </row>
    <row r="6" spans="2:11" x14ac:dyDescent="0.25">
      <c r="B6" s="1" t="s">
        <v>12</v>
      </c>
      <c r="C6" s="1">
        <v>200</v>
      </c>
      <c r="D6" s="1">
        <f>+C6*0.035</f>
        <v>7.0000000000000009</v>
      </c>
      <c r="I6" s="1" t="s">
        <v>4</v>
      </c>
      <c r="J6" s="3">
        <v>0</v>
      </c>
      <c r="K6" s="4" t="s">
        <v>9</v>
      </c>
    </row>
    <row r="7" spans="2:11" x14ac:dyDescent="0.25">
      <c r="B7" s="1" t="s">
        <v>13</v>
      </c>
      <c r="C7" s="1">
        <v>200</v>
      </c>
      <c r="D7" s="1">
        <f>+C7*0.035</f>
        <v>7.0000000000000009</v>
      </c>
      <c r="I7" s="1" t="s">
        <v>5</v>
      </c>
      <c r="J7" s="3">
        <f>+J4-J5+J6</f>
        <v>529.56159200000002</v>
      </c>
    </row>
    <row r="8" spans="2:11" x14ac:dyDescent="0.25">
      <c r="D8" s="1">
        <f>SUM(D3:D7)</f>
        <v>228</v>
      </c>
    </row>
    <row r="13" spans="2:11" x14ac:dyDescent="0.25">
      <c r="B1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2026-08-17T12:45:23Z</dcterms:created>
  <dcterms:modified xsi:type="dcterms:W3CDTF">2026-08-17T12:53:53Z</dcterms:modified>
</cp:coreProperties>
</file>