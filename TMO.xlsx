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627A4AC0-35BD-4C25-8FCC-B5E578C22343}" xr6:coauthVersionLast="47" xr6:coauthVersionMax="47" xr10:uidLastSave="{00000000-0000-0000-0000-000000000000}"/>
  <bookViews>
    <workbookView xWindow="1520" yWindow="1520" windowWidth="32890" windowHeight="16100" xr2:uid="{39D8066A-4BAE-4C84-863D-2ABA124BAD39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30" i="2" l="1"/>
  <c r="V30" i="2"/>
  <c r="V25" i="2"/>
  <c r="Z25" i="2"/>
  <c r="V19" i="2"/>
  <c r="Z19" i="2"/>
  <c r="V15" i="2"/>
  <c r="Z15" i="2"/>
  <c r="V47" i="2"/>
  <c r="V45" i="2"/>
  <c r="Z47" i="2"/>
  <c r="Z45" i="2"/>
  <c r="Z39" i="2"/>
  <c r="AA40" i="2"/>
  <c r="H6" i="1"/>
  <c r="W45" i="2"/>
  <c r="AA45" i="2"/>
  <c r="AA43" i="2"/>
  <c r="Z43" i="2"/>
  <c r="Y43" i="2"/>
  <c r="X43" i="2"/>
  <c r="W43" i="2"/>
  <c r="V43" i="2"/>
  <c r="U43" i="2"/>
  <c r="U44" i="2" s="1"/>
  <c r="U46" i="2" s="1"/>
  <c r="U48" i="2" s="1"/>
  <c r="U49" i="2" s="1"/>
  <c r="T43" i="2"/>
  <c r="T44" i="2" s="1"/>
  <c r="T46" i="2" s="1"/>
  <c r="T48" i="2" s="1"/>
  <c r="T49" i="2" s="1"/>
  <c r="S43" i="2"/>
  <c r="S44" i="2" s="1"/>
  <c r="S46" i="2" s="1"/>
  <c r="S48" i="2" s="1"/>
  <c r="S49" i="2" s="1"/>
  <c r="R43" i="2"/>
  <c r="R44" i="2" s="1"/>
  <c r="R46" i="2" s="1"/>
  <c r="R48" i="2" s="1"/>
  <c r="R49" i="2" s="1"/>
  <c r="Q43" i="2"/>
  <c r="Q44" i="2" s="1"/>
  <c r="Q46" i="2" s="1"/>
  <c r="Q48" i="2" s="1"/>
  <c r="Q49" i="2" s="1"/>
  <c r="P43" i="2"/>
  <c r="P44" i="2" s="1"/>
  <c r="P46" i="2" s="1"/>
  <c r="P48" i="2" s="1"/>
  <c r="P49" i="2" s="1"/>
  <c r="O43" i="2"/>
  <c r="O44" i="2" s="1"/>
  <c r="O46" i="2" s="1"/>
  <c r="O48" i="2" s="1"/>
  <c r="O49" i="2" s="1"/>
  <c r="N43" i="2"/>
  <c r="N44" i="2" s="1"/>
  <c r="N46" i="2" s="1"/>
  <c r="N48" i="2" s="1"/>
  <c r="N49" i="2" s="1"/>
  <c r="M43" i="2"/>
  <c r="M44" i="2" s="1"/>
  <c r="M46" i="2" s="1"/>
  <c r="M48" i="2" s="1"/>
  <c r="M49" i="2" s="1"/>
  <c r="W40" i="2"/>
  <c r="AD36" i="2"/>
  <c r="AC36" i="2"/>
  <c r="AB36" i="2"/>
  <c r="Z36" i="2"/>
  <c r="Y36" i="2"/>
  <c r="Y40" i="2" s="1"/>
  <c r="X36" i="2"/>
  <c r="X40" i="2" s="1"/>
  <c r="V36" i="2"/>
  <c r="V40" i="2" s="1"/>
  <c r="U36" i="2"/>
  <c r="T36" i="2"/>
  <c r="S36" i="2"/>
  <c r="R36" i="2"/>
  <c r="Q36" i="2"/>
  <c r="P36" i="2"/>
  <c r="O36" i="2"/>
  <c r="N36" i="2"/>
  <c r="M36" i="2"/>
  <c r="H72" i="2"/>
  <c r="H68" i="2"/>
  <c r="H70" i="2" s="1"/>
  <c r="H81" i="2"/>
  <c r="H61" i="2"/>
  <c r="C45" i="2"/>
  <c r="C43" i="2"/>
  <c r="C39" i="2"/>
  <c r="C36" i="2"/>
  <c r="G72" i="2"/>
  <c r="G81" i="2"/>
  <c r="G68" i="2"/>
  <c r="G70" i="2"/>
  <c r="G61" i="2"/>
  <c r="L107" i="2"/>
  <c r="L104" i="2"/>
  <c r="L103" i="2"/>
  <c r="L102" i="2"/>
  <c r="L101" i="2"/>
  <c r="H107" i="2"/>
  <c r="H104" i="2"/>
  <c r="H103" i="2"/>
  <c r="H102" i="2"/>
  <c r="H101" i="2"/>
  <c r="H100" i="2"/>
  <c r="H97" i="2"/>
  <c r="H96" i="2"/>
  <c r="H95" i="2"/>
  <c r="H94" i="2"/>
  <c r="H98" i="2" s="1"/>
  <c r="L97" i="2"/>
  <c r="L96" i="2"/>
  <c r="L95" i="2"/>
  <c r="L94" i="2"/>
  <c r="L98" i="2" s="1"/>
  <c r="H91" i="2"/>
  <c r="H90" i="2"/>
  <c r="H89" i="2"/>
  <c r="H88" i="2"/>
  <c r="H87" i="2"/>
  <c r="H86" i="2"/>
  <c r="H85" i="2"/>
  <c r="H84" i="2"/>
  <c r="L91" i="2"/>
  <c r="L90" i="2"/>
  <c r="L89" i="2"/>
  <c r="L88" i="2"/>
  <c r="L87" i="2"/>
  <c r="L86" i="2"/>
  <c r="L85" i="2"/>
  <c r="L84" i="2"/>
  <c r="L92" i="2" s="1"/>
  <c r="G105" i="2"/>
  <c r="K100" i="2"/>
  <c r="L100" i="2" s="1"/>
  <c r="G98" i="2"/>
  <c r="K98" i="2"/>
  <c r="K92" i="2"/>
  <c r="K110" i="2" s="1"/>
  <c r="G92" i="2"/>
  <c r="G34" i="2"/>
  <c r="G36" i="2" s="1"/>
  <c r="K34" i="2"/>
  <c r="K56" i="2" s="1"/>
  <c r="G57" i="2"/>
  <c r="G56" i="2"/>
  <c r="K57" i="2"/>
  <c r="K54" i="2"/>
  <c r="K53" i="2"/>
  <c r="G45" i="2"/>
  <c r="G43" i="2"/>
  <c r="G39" i="2"/>
  <c r="K47" i="2"/>
  <c r="K45" i="2"/>
  <c r="K43" i="2"/>
  <c r="K39" i="2"/>
  <c r="K72" i="2"/>
  <c r="K68" i="2"/>
  <c r="K70" i="2" s="1"/>
  <c r="K81" i="2"/>
  <c r="K61" i="2"/>
  <c r="L105" i="2" l="1"/>
  <c r="Z40" i="2"/>
  <c r="H105" i="2"/>
  <c r="H92" i="2"/>
  <c r="H110" i="2" s="1"/>
  <c r="G108" i="2"/>
  <c r="L108" i="2"/>
  <c r="L110" i="2"/>
  <c r="K105" i="2"/>
  <c r="K108" i="2" s="1"/>
  <c r="X44" i="2"/>
  <c r="X46" i="2" s="1"/>
  <c r="X48" i="2" s="1"/>
  <c r="X49" i="2" s="1"/>
  <c r="Y44" i="2"/>
  <c r="Y46" i="2" s="1"/>
  <c r="Y48" i="2" s="1"/>
  <c r="Y49" i="2" s="1"/>
  <c r="K36" i="2"/>
  <c r="G110" i="2"/>
  <c r="V44" i="2"/>
  <c r="V46" i="2" s="1"/>
  <c r="V48" i="2" s="1"/>
  <c r="V49" i="2" s="1"/>
  <c r="W44" i="2"/>
  <c r="W46" i="2" s="1"/>
  <c r="W48" i="2" s="1"/>
  <c r="W49" i="2" s="1"/>
  <c r="Z44" i="2"/>
  <c r="Z46" i="2" s="1"/>
  <c r="Z48" i="2" s="1"/>
  <c r="Z49" i="2" s="1"/>
  <c r="AA44" i="2"/>
  <c r="AA46" i="2" s="1"/>
  <c r="AA48" i="2" s="1"/>
  <c r="AA49" i="2" s="1"/>
  <c r="C40" i="2"/>
  <c r="C44" i="2" s="1"/>
  <c r="C46" i="2" s="1"/>
  <c r="C48" i="2" s="1"/>
  <c r="C49" i="2" s="1"/>
  <c r="G40" i="2"/>
  <c r="G58" i="2" s="1"/>
  <c r="K55" i="2"/>
  <c r="K40" i="2"/>
  <c r="K58" i="2" s="1"/>
  <c r="G44" i="2"/>
  <c r="G46" i="2" s="1"/>
  <c r="G48" i="2" s="1"/>
  <c r="H108" i="2" l="1"/>
  <c r="K44" i="2"/>
  <c r="K46" i="2" s="1"/>
  <c r="K48" i="2" s="1"/>
  <c r="G49" i="2"/>
  <c r="G83" i="2"/>
  <c r="D6" i="1"/>
  <c r="D5" i="1"/>
  <c r="D4" i="1"/>
  <c r="D3" i="1"/>
  <c r="C6" i="1"/>
  <c r="C5" i="1"/>
  <c r="C4" i="1"/>
  <c r="C3" i="1"/>
  <c r="H34" i="2"/>
  <c r="H56" i="2" s="1"/>
  <c r="L34" i="2"/>
  <c r="L56" i="2" s="1"/>
  <c r="H47" i="2"/>
  <c r="J46" i="2"/>
  <c r="J48" i="2" s="1"/>
  <c r="I46" i="2"/>
  <c r="I48" i="2" s="1"/>
  <c r="H45" i="2"/>
  <c r="L47" i="2"/>
  <c r="L45" i="2"/>
  <c r="H43" i="2"/>
  <c r="L43" i="2"/>
  <c r="H57" i="2"/>
  <c r="L57" i="2"/>
  <c r="L39" i="2"/>
  <c r="H39" i="2"/>
  <c r="L54" i="2"/>
  <c r="L72" i="2"/>
  <c r="L81" i="2" s="1"/>
  <c r="L68" i="2"/>
  <c r="H4" i="1"/>
  <c r="H7" i="1" s="1"/>
  <c r="L61" i="2" l="1"/>
  <c r="K49" i="2"/>
  <c r="K83" i="2"/>
  <c r="H36" i="2"/>
  <c r="H40" i="2" s="1"/>
  <c r="H58" i="2" s="1"/>
  <c r="L36" i="2"/>
  <c r="L53" i="2"/>
  <c r="L70" i="2"/>
  <c r="L55" i="2" l="1"/>
  <c r="L40" i="2"/>
  <c r="L58" i="2" s="1"/>
  <c r="L44" i="2"/>
  <c r="L46" i="2" s="1"/>
  <c r="L48" i="2" s="1"/>
  <c r="H44" i="2"/>
  <c r="H46" i="2" s="1"/>
  <c r="H48" i="2" s="1"/>
  <c r="H49" i="2" l="1"/>
  <c r="H83" i="2"/>
  <c r="L49" i="2"/>
  <c r="L83" i="2"/>
</calcChain>
</file>

<file path=xl/sharedStrings.xml><?xml version="1.0" encoding="utf-8"?>
<sst xmlns="http://schemas.openxmlformats.org/spreadsheetml/2006/main" count="145" uniqueCount="126">
  <si>
    <t>Price</t>
  </si>
  <si>
    <t>Shares</t>
  </si>
  <si>
    <t>MC</t>
  </si>
  <si>
    <t>Cash</t>
  </si>
  <si>
    <t>Debt</t>
  </si>
  <si>
    <t>EV</t>
  </si>
  <si>
    <t>Q222</t>
  </si>
  <si>
    <t>Main</t>
  </si>
  <si>
    <t>Revenue</t>
  </si>
  <si>
    <t>Q120</t>
  </si>
  <si>
    <t>Q220</t>
  </si>
  <si>
    <t>Q320</t>
  </si>
  <si>
    <t>Q420</t>
  </si>
  <si>
    <t>Q121</t>
  </si>
  <si>
    <t>Q221</t>
  </si>
  <si>
    <t>Q321</t>
  </si>
  <si>
    <t>Q421</t>
  </si>
  <si>
    <t>Q122</t>
  </si>
  <si>
    <t>Q322</t>
  </si>
  <si>
    <t>Q422</t>
  </si>
  <si>
    <t>Q123</t>
  </si>
  <si>
    <t>Q223</t>
  </si>
  <si>
    <t>Q323</t>
  </si>
  <si>
    <t>Q423</t>
  </si>
  <si>
    <t>Inventories</t>
  </si>
  <si>
    <t>Contract</t>
  </si>
  <si>
    <t>OCA</t>
  </si>
  <si>
    <t>PP&amp;E</t>
  </si>
  <si>
    <t>Goodwill</t>
  </si>
  <si>
    <t>Other</t>
  </si>
  <si>
    <t>Assets</t>
  </si>
  <si>
    <t>AP</t>
  </si>
  <si>
    <t>Employees</t>
  </si>
  <si>
    <t>OA</t>
  </si>
  <si>
    <t>DT</t>
  </si>
  <si>
    <t>L+SE</t>
  </si>
  <si>
    <t>SE</t>
  </si>
  <si>
    <t>MI</t>
  </si>
  <si>
    <t>OLTL</t>
  </si>
  <si>
    <t>Product</t>
  </si>
  <si>
    <t>Services</t>
  </si>
  <si>
    <t>Product y/y</t>
  </si>
  <si>
    <t>Services y/y</t>
  </si>
  <si>
    <t>Revenue y/y</t>
  </si>
  <si>
    <t>COP</t>
  </si>
  <si>
    <t>COS</t>
  </si>
  <si>
    <t>COGS</t>
  </si>
  <si>
    <t>Gross Margin</t>
  </si>
  <si>
    <t>SG&amp;A</t>
  </si>
  <si>
    <t>R&amp;D</t>
  </si>
  <si>
    <t>Operating Expenses</t>
  </si>
  <si>
    <t>Operating Income</t>
  </si>
  <si>
    <t>Services GM%</t>
  </si>
  <si>
    <t>Product GM%</t>
  </si>
  <si>
    <t>Net Income</t>
  </si>
  <si>
    <t>MI+Taxes</t>
  </si>
  <si>
    <t>Pretax Income</t>
  </si>
  <si>
    <t>Interest Income</t>
  </si>
  <si>
    <t>EPS</t>
  </si>
  <si>
    <t>Consumables</t>
  </si>
  <si>
    <t>Instruments</t>
  </si>
  <si>
    <t>North America</t>
  </si>
  <si>
    <t>Europe</t>
  </si>
  <si>
    <t>Asia-Pac</t>
  </si>
  <si>
    <t>Life Sciences</t>
  </si>
  <si>
    <t>Analytical Instruments</t>
  </si>
  <si>
    <t>Diagnostics</t>
  </si>
  <si>
    <t>Lab Products &amp; Biopharma Services</t>
  </si>
  <si>
    <t>% of rev</t>
  </si>
  <si>
    <t>Margin</t>
  </si>
  <si>
    <t xml:space="preserve">  China</t>
  </si>
  <si>
    <t xml:space="preserve">  US</t>
  </si>
  <si>
    <t>Acquisitions</t>
  </si>
  <si>
    <t>Novasep viral - 1/15/21, $830m</t>
  </si>
  <si>
    <t>Mesa Biotech - 2/25/21, $410m</t>
  </si>
  <si>
    <t>CSL facility - 9/30/21, $560m guaranteed lease payments</t>
  </si>
  <si>
    <t>PPD - 12/8/21, $16B</t>
  </si>
  <si>
    <t>PeproTech - 12/30/21, $1.86B</t>
  </si>
  <si>
    <t>Net Debt</t>
  </si>
  <si>
    <t>AR</t>
  </si>
  <si>
    <t>Model NI</t>
  </si>
  <si>
    <t>Reported NI</t>
  </si>
  <si>
    <t>CFFO</t>
  </si>
  <si>
    <t>WC</t>
  </si>
  <si>
    <t>Non-Cash</t>
  </si>
  <si>
    <t>SBC</t>
  </si>
  <si>
    <t>Early Debt</t>
  </si>
  <si>
    <t>Intangibles</t>
  </si>
  <si>
    <t>Depreciation</t>
  </si>
  <si>
    <t>CFFI</t>
  </si>
  <si>
    <t>CapEx</t>
  </si>
  <si>
    <t>Sale of PPE</t>
  </si>
  <si>
    <t>Buyback</t>
  </si>
  <si>
    <t>Dividends</t>
  </si>
  <si>
    <t>ESOP</t>
  </si>
  <si>
    <t>CFFF</t>
  </si>
  <si>
    <t>CIC</t>
  </si>
  <si>
    <t>FX</t>
  </si>
  <si>
    <t>FCF</t>
  </si>
  <si>
    <t>Q124</t>
  </si>
  <si>
    <t>Q225</t>
  </si>
  <si>
    <t>Q224</t>
  </si>
  <si>
    <t>Q324</t>
  </si>
  <si>
    <t>Q424</t>
  </si>
  <si>
    <t>Q125</t>
  </si>
  <si>
    <t>Q325</t>
  </si>
  <si>
    <t>Q425</t>
  </si>
  <si>
    <t>Q126</t>
  </si>
  <si>
    <t>Q226</t>
  </si>
  <si>
    <t>Q326</t>
  </si>
  <si>
    <t>Q426</t>
  </si>
  <si>
    <t>Biosciences</t>
  </si>
  <si>
    <t>Genetics</t>
  </si>
  <si>
    <t>BioProduction</t>
  </si>
  <si>
    <t>Chemical Analysis</t>
  </si>
  <si>
    <t>LC/MS</t>
  </si>
  <si>
    <t>EM</t>
  </si>
  <si>
    <t>Clinical</t>
  </si>
  <si>
    <t>Immuno</t>
  </si>
  <si>
    <t>Microbiology</t>
  </si>
  <si>
    <t>Transplant</t>
  </si>
  <si>
    <t>Healthcare</t>
  </si>
  <si>
    <t>Lab Products</t>
  </si>
  <si>
    <t>Research &amp; Safety</t>
  </si>
  <si>
    <t>Pharma</t>
  </si>
  <si>
    <t>Clinical Trials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</si>
</sst>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u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3" fontId="0" fillId="0" borderId="0" xfId="0" applyNumberFormat="1"/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0" fontId="1" fillId="0" borderId="0" xfId="0" applyFont="1"/>
    <xf numFmtId="0" fontId="1" fillId="0" borderId="0" xfId="0" applyFont="1" applyAlignment="1">
      <alignment horizontal="right"/>
    </xf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9" fontId="0" fillId="0" borderId="0" xfId="0" applyNumberFormat="1" applyAlignment="1">
      <alignment horizontal="right"/>
    </xf>
    <xf numFmtId="9" fontId="1" fillId="0" borderId="0" xfId="0" applyNumberFormat="1" applyFont="1" applyAlignment="1">
      <alignment horizontal="right"/>
    </xf>
    <xf numFmtId="4" fontId="0" fillId="0" borderId="0" xfId="0" applyNumberFormat="1" applyAlignment="1">
      <alignment horizontal="right"/>
    </xf>
    <xf numFmtId="9" fontId="0" fillId="0" borderId="0" xfId="0" applyNumberFormat="1"/>
    <xf numFmtId="0" fontId="2" fillId="0" borderId="0" xfId="0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72628</xdr:colOff>
      <xdr:row>0</xdr:row>
      <xdr:rowOff>0</xdr:rowOff>
    </xdr:from>
    <xdr:to>
      <xdr:col>27</xdr:col>
      <xdr:colOff>72628</xdr:colOff>
      <xdr:row>115</xdr:row>
      <xdr:rowOff>2464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A6FC88D8-9FE2-3F3A-1CAC-1DAEDC176DAB}"/>
            </a:ext>
          </a:extLst>
        </xdr:cNvPr>
        <xdr:cNvCxnSpPr/>
      </xdr:nvCxnSpPr>
      <xdr:spPr>
        <a:xfrm>
          <a:off x="17128728" y="0"/>
          <a:ext cx="0" cy="1574411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1CE91-DBC8-479B-BD26-FFB1E616BEC4}">
  <dimension ref="B2:I18"/>
  <sheetViews>
    <sheetView tabSelected="1" zoomScale="205" zoomScaleNormal="205" workbookViewId="0"/>
  </sheetViews>
  <sheetFormatPr defaultRowHeight="12.5" x14ac:dyDescent="0.25"/>
  <cols>
    <col min="1" max="1" width="4.7265625" customWidth="1"/>
    <col min="2" max="2" width="13.54296875" customWidth="1"/>
    <col min="8" max="8" width="9.54296875" customWidth="1"/>
  </cols>
  <sheetData>
    <row r="2" spans="2:9" x14ac:dyDescent="0.25">
      <c r="C2" t="s">
        <v>68</v>
      </c>
      <c r="D2" t="s">
        <v>69</v>
      </c>
      <c r="G2" t="s">
        <v>0</v>
      </c>
      <c r="H2" s="13">
        <v>574</v>
      </c>
    </row>
    <row r="3" spans="2:9" x14ac:dyDescent="0.25">
      <c r="B3" t="s">
        <v>64</v>
      </c>
      <c r="C3" s="11">
        <f>3292/10970</f>
        <v>0.30009115770282591</v>
      </c>
      <c r="D3" s="11">
        <f>1327/3292</f>
        <v>0.40309842041312272</v>
      </c>
      <c r="G3" t="s">
        <v>1</v>
      </c>
      <c r="H3" s="1">
        <v>371</v>
      </c>
      <c r="I3" s="2" t="s">
        <v>107</v>
      </c>
    </row>
    <row r="4" spans="2:9" x14ac:dyDescent="0.25">
      <c r="B4" t="s">
        <v>60</v>
      </c>
      <c r="C4" s="11">
        <f>1607/10970</f>
        <v>0.14649042844120327</v>
      </c>
      <c r="D4" s="11">
        <f>344/1607</f>
        <v>0.21406347230864967</v>
      </c>
      <c r="G4" t="s">
        <v>2</v>
      </c>
      <c r="H4" s="1">
        <f>+H2*H3</f>
        <v>212954</v>
      </c>
    </row>
    <row r="5" spans="2:9" x14ac:dyDescent="0.25">
      <c r="B5" t="s">
        <v>66</v>
      </c>
      <c r="C5" s="11">
        <f>1101/10970</f>
        <v>0.10036463081130355</v>
      </c>
      <c r="D5" s="11">
        <f>243/1101</f>
        <v>0.22070844686648503</v>
      </c>
      <c r="G5" t="s">
        <v>3</v>
      </c>
      <c r="H5" s="1">
        <v>4064</v>
      </c>
      <c r="I5" s="2" t="s">
        <v>107</v>
      </c>
    </row>
    <row r="6" spans="2:9" x14ac:dyDescent="0.25">
      <c r="B6" t="s">
        <v>40</v>
      </c>
      <c r="C6" s="11">
        <f>5537/10970</f>
        <v>0.50474020054694624</v>
      </c>
      <c r="D6" s="11">
        <f>691/5537</f>
        <v>0.12479682138342063</v>
      </c>
      <c r="G6" t="s">
        <v>4</v>
      </c>
      <c r="H6" s="1">
        <f>39181+3368</f>
        <v>42549</v>
      </c>
      <c r="I6" s="2" t="s">
        <v>107</v>
      </c>
    </row>
    <row r="7" spans="2:9" x14ac:dyDescent="0.25">
      <c r="G7" t="s">
        <v>5</v>
      </c>
      <c r="H7" s="1">
        <f>+H4-H5+H6</f>
        <v>251439</v>
      </c>
    </row>
    <row r="13" spans="2:9" ht="13" x14ac:dyDescent="0.3">
      <c r="B13" s="12" t="s">
        <v>72</v>
      </c>
    </row>
    <row r="14" spans="2:9" x14ac:dyDescent="0.25">
      <c r="B14" t="s">
        <v>73</v>
      </c>
    </row>
    <row r="15" spans="2:9" x14ac:dyDescent="0.25">
      <c r="B15" t="s">
        <v>74</v>
      </c>
    </row>
    <row r="16" spans="2:9" x14ac:dyDescent="0.25">
      <c r="B16" t="s">
        <v>75</v>
      </c>
    </row>
    <row r="17" spans="2:2" x14ac:dyDescent="0.25">
      <c r="B17" t="s">
        <v>76</v>
      </c>
    </row>
    <row r="18" spans="2:2" x14ac:dyDescent="0.25">
      <c r="B18" t="s">
        <v>77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B7D04-3A5F-4B4F-9912-74F719AA9EA8}">
  <dimension ref="A1:AD110"/>
  <sheetViews>
    <sheetView zoomScale="145" zoomScaleNormal="145" workbookViewId="0">
      <pane xSplit="2" ySplit="3" topLeftCell="S10" activePane="bottomRight" state="frozen"/>
      <selection pane="topRight" activeCell="C1" sqref="C1"/>
      <selection pane="bottomLeft" activeCell="A4" sqref="A4"/>
      <selection pane="bottomRight" activeCell="Z11" sqref="Z11"/>
    </sheetView>
  </sheetViews>
  <sheetFormatPr defaultRowHeight="12.5" x14ac:dyDescent="0.25"/>
  <cols>
    <col min="1" max="1" width="5" bestFit="1" customWidth="1"/>
    <col min="2" max="2" width="15.54296875" customWidth="1"/>
    <col min="3" max="14" width="9.1796875" style="2"/>
  </cols>
  <sheetData>
    <row r="1" spans="1:30" x14ac:dyDescent="0.25">
      <c r="A1" t="s">
        <v>7</v>
      </c>
    </row>
    <row r="3" spans="1:30" x14ac:dyDescent="0.25">
      <c r="C3" s="2" t="s">
        <v>9</v>
      </c>
      <c r="D3" s="2" t="s">
        <v>10</v>
      </c>
      <c r="E3" s="2" t="s">
        <v>11</v>
      </c>
      <c r="F3" s="2" t="s">
        <v>12</v>
      </c>
      <c r="G3" s="2" t="s">
        <v>13</v>
      </c>
      <c r="H3" s="2" t="s">
        <v>14</v>
      </c>
      <c r="I3" s="2" t="s">
        <v>15</v>
      </c>
      <c r="J3" s="2" t="s">
        <v>16</v>
      </c>
      <c r="K3" s="2" t="s">
        <v>17</v>
      </c>
      <c r="L3" s="2" t="s">
        <v>6</v>
      </c>
      <c r="M3" s="2" t="s">
        <v>18</v>
      </c>
      <c r="N3" s="2" t="s">
        <v>19</v>
      </c>
      <c r="O3" s="2" t="s">
        <v>20</v>
      </c>
      <c r="P3" s="2" t="s">
        <v>21</v>
      </c>
      <c r="Q3" s="2" t="s">
        <v>22</v>
      </c>
      <c r="R3" s="2" t="s">
        <v>23</v>
      </c>
      <c r="S3" s="2" t="s">
        <v>99</v>
      </c>
      <c r="T3" s="2" t="s">
        <v>101</v>
      </c>
      <c r="U3" s="2" t="s">
        <v>102</v>
      </c>
      <c r="V3" s="2" t="s">
        <v>103</v>
      </c>
      <c r="W3" s="2" t="s">
        <v>104</v>
      </c>
      <c r="X3" s="2" t="s">
        <v>100</v>
      </c>
      <c r="Y3" s="2" t="s">
        <v>105</v>
      </c>
      <c r="Z3" s="2" t="s">
        <v>106</v>
      </c>
      <c r="AA3" s="2" t="s">
        <v>107</v>
      </c>
      <c r="AB3" s="2" t="s">
        <v>108</v>
      </c>
      <c r="AC3" s="2" t="s">
        <v>109</v>
      </c>
      <c r="AD3" s="2" t="s">
        <v>110</v>
      </c>
    </row>
    <row r="4" spans="1:30" s="1" customFormat="1" x14ac:dyDescent="0.25">
      <c r="B4" s="1" t="s">
        <v>71</v>
      </c>
      <c r="C4" s="3"/>
      <c r="D4" s="3"/>
      <c r="E4" s="3"/>
      <c r="F4" s="3"/>
      <c r="G4" s="3">
        <v>4892</v>
      </c>
      <c r="H4" s="3">
        <v>4355</v>
      </c>
      <c r="I4" s="3"/>
      <c r="J4" s="3"/>
      <c r="K4" s="3">
        <v>6097</v>
      </c>
      <c r="L4" s="3">
        <v>5846</v>
      </c>
      <c r="M4" s="3"/>
      <c r="N4" s="3"/>
      <c r="O4" s="3"/>
      <c r="P4" s="3"/>
      <c r="Q4" s="3"/>
      <c r="R4" s="3"/>
    </row>
    <row r="5" spans="1:30" s="1" customFormat="1" x14ac:dyDescent="0.25">
      <c r="B5" s="1" t="s">
        <v>61</v>
      </c>
      <c r="C5" s="3"/>
      <c r="D5" s="3"/>
      <c r="E5" s="3"/>
      <c r="F5" s="3"/>
      <c r="G5" s="3">
        <v>5101</v>
      </c>
      <c r="H5" s="3">
        <v>4529</v>
      </c>
      <c r="I5" s="3"/>
      <c r="J5" s="3"/>
      <c r="K5" s="3">
        <v>6323</v>
      </c>
      <c r="L5" s="3">
        <v>6032</v>
      </c>
      <c r="M5" s="3"/>
      <c r="N5" s="3"/>
      <c r="O5" s="3"/>
      <c r="P5" s="3"/>
      <c r="Q5" s="3"/>
      <c r="R5" s="3"/>
    </row>
    <row r="6" spans="1:30" s="1" customFormat="1" x14ac:dyDescent="0.25">
      <c r="B6" s="1" t="s">
        <v>62</v>
      </c>
      <c r="C6" s="3"/>
      <c r="D6" s="3"/>
      <c r="E6" s="3"/>
      <c r="F6" s="3"/>
      <c r="G6" s="3">
        <v>2785</v>
      </c>
      <c r="H6" s="3">
        <v>2695</v>
      </c>
      <c r="I6" s="3"/>
      <c r="J6" s="3"/>
      <c r="K6" s="3">
        <v>3050</v>
      </c>
      <c r="L6" s="3">
        <v>2551</v>
      </c>
      <c r="M6" s="3"/>
      <c r="N6" s="3"/>
      <c r="O6" s="3"/>
      <c r="P6" s="3"/>
      <c r="Q6" s="3"/>
      <c r="R6" s="3"/>
    </row>
    <row r="7" spans="1:30" s="1" customFormat="1" x14ac:dyDescent="0.25">
      <c r="B7" s="1" t="s">
        <v>70</v>
      </c>
      <c r="C7" s="3"/>
      <c r="D7" s="3"/>
      <c r="E7" s="3"/>
      <c r="F7" s="3"/>
      <c r="G7" s="3">
        <v>775</v>
      </c>
      <c r="H7" s="3">
        <v>794</v>
      </c>
      <c r="I7" s="3"/>
      <c r="J7" s="3"/>
      <c r="K7" s="3">
        <v>910</v>
      </c>
      <c r="L7" s="3">
        <v>1001</v>
      </c>
      <c r="M7" s="3"/>
      <c r="N7" s="3"/>
      <c r="O7" s="3"/>
      <c r="P7" s="3"/>
      <c r="Q7" s="3"/>
      <c r="R7" s="3"/>
    </row>
    <row r="8" spans="1:30" s="1" customFormat="1" x14ac:dyDescent="0.25">
      <c r="B8" s="1" t="s">
        <v>63</v>
      </c>
      <c r="C8" s="3"/>
      <c r="D8" s="3"/>
      <c r="E8" s="3"/>
      <c r="F8" s="3"/>
      <c r="G8" s="3">
        <v>1709</v>
      </c>
      <c r="H8" s="3">
        <v>1749</v>
      </c>
      <c r="I8" s="3"/>
      <c r="J8" s="3"/>
      <c r="K8" s="3">
        <v>2064</v>
      </c>
      <c r="L8" s="3">
        <v>2042</v>
      </c>
      <c r="M8" s="3"/>
      <c r="N8" s="3"/>
      <c r="O8" s="3"/>
      <c r="P8" s="3"/>
      <c r="Q8" s="3"/>
      <c r="R8" s="3"/>
    </row>
    <row r="9" spans="1:30" s="1" customFormat="1" x14ac:dyDescent="0.25">
      <c r="B9" s="1" t="s">
        <v>29</v>
      </c>
      <c r="C9" s="3"/>
      <c r="D9" s="3"/>
      <c r="E9" s="3"/>
      <c r="F9" s="3"/>
      <c r="G9" s="3">
        <v>311</v>
      </c>
      <c r="H9" s="3">
        <v>300</v>
      </c>
      <c r="I9" s="3"/>
      <c r="J9" s="3"/>
      <c r="K9" s="3">
        <v>381</v>
      </c>
      <c r="L9" s="3">
        <v>345</v>
      </c>
      <c r="M9" s="3"/>
      <c r="N9" s="3"/>
      <c r="O9" s="3"/>
      <c r="P9" s="3"/>
      <c r="Q9" s="3"/>
      <c r="R9" s="3"/>
    </row>
    <row r="10" spans="1:30" s="1" customFormat="1" x14ac:dyDescent="0.25"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</row>
    <row r="11" spans="1:30" s="1" customFormat="1" x14ac:dyDescent="0.25">
      <c r="B11" s="1" t="s">
        <v>111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V11" s="1">
        <v>993</v>
      </c>
      <c r="Z11" s="1">
        <v>981</v>
      </c>
    </row>
    <row r="12" spans="1:30" s="1" customFormat="1" x14ac:dyDescent="0.25">
      <c r="B12" s="1" t="s">
        <v>112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V12" s="1">
        <v>677</v>
      </c>
      <c r="Z12" s="1">
        <v>655</v>
      </c>
    </row>
    <row r="13" spans="1:30" s="1" customFormat="1" x14ac:dyDescent="0.25">
      <c r="B13" s="1" t="s">
        <v>113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V13" s="1">
        <v>671</v>
      </c>
      <c r="Z13" s="1">
        <v>893</v>
      </c>
    </row>
    <row r="14" spans="1:30" s="1" customFormat="1" x14ac:dyDescent="0.25">
      <c r="B14" s="1" t="s">
        <v>29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V14" s="1">
        <v>0</v>
      </c>
      <c r="Z14" s="1">
        <v>107</v>
      </c>
    </row>
    <row r="15" spans="1:30" s="1" customFormat="1" x14ac:dyDescent="0.25">
      <c r="B15" s="1" t="s">
        <v>64</v>
      </c>
      <c r="C15" s="3"/>
      <c r="D15" s="3"/>
      <c r="E15" s="3"/>
      <c r="F15" s="3"/>
      <c r="G15" s="3">
        <v>4203</v>
      </c>
      <c r="H15" s="3">
        <v>3292</v>
      </c>
      <c r="I15" s="3"/>
      <c r="J15" s="3"/>
      <c r="K15" s="3">
        <v>4231</v>
      </c>
      <c r="L15" s="3">
        <v>3292</v>
      </c>
      <c r="M15" s="3"/>
      <c r="N15" s="3"/>
      <c r="O15" s="3"/>
      <c r="P15" s="3"/>
      <c r="Q15" s="3"/>
      <c r="R15" s="3"/>
      <c r="V15" s="1">
        <f>SUM(V11:V14)</f>
        <v>2341</v>
      </c>
      <c r="W15" s="1">
        <v>2499</v>
      </c>
      <c r="Z15" s="1">
        <f>SUM(Z11:Z14)</f>
        <v>2636</v>
      </c>
      <c r="AA15" s="1">
        <v>2815</v>
      </c>
    </row>
    <row r="16" spans="1:30" s="1" customFormat="1" x14ac:dyDescent="0.25">
      <c r="B16" s="1" t="s">
        <v>115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V16" s="1">
        <v>773</v>
      </c>
      <c r="Z16" s="1">
        <v>798</v>
      </c>
    </row>
    <row r="17" spans="2:27" s="1" customFormat="1" x14ac:dyDescent="0.25">
      <c r="B17" s="1" t="s">
        <v>114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V17" s="1">
        <v>286</v>
      </c>
      <c r="Z17" s="1">
        <v>285</v>
      </c>
    </row>
    <row r="18" spans="2:27" s="1" customFormat="1" x14ac:dyDescent="0.25">
      <c r="B18" s="1" t="s">
        <v>116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V18" s="1">
        <v>659</v>
      </c>
      <c r="Z18" s="1">
        <v>633</v>
      </c>
    </row>
    <row r="19" spans="2:27" s="1" customFormat="1" x14ac:dyDescent="0.25">
      <c r="B19" s="1" t="s">
        <v>65</v>
      </c>
      <c r="C19" s="3"/>
      <c r="D19" s="3"/>
      <c r="E19" s="3"/>
      <c r="F19" s="3"/>
      <c r="G19" s="3">
        <v>1387</v>
      </c>
      <c r="H19" s="3">
        <v>1607</v>
      </c>
      <c r="I19" s="3"/>
      <c r="J19" s="3"/>
      <c r="K19" s="3">
        <v>1518</v>
      </c>
      <c r="L19" s="3">
        <v>1607</v>
      </c>
      <c r="M19" s="3"/>
      <c r="N19" s="3"/>
      <c r="O19" s="3"/>
      <c r="P19" s="3"/>
      <c r="Q19" s="3"/>
      <c r="R19" s="3"/>
      <c r="V19" s="1">
        <f>SUM(V16:V18)</f>
        <v>1718</v>
      </c>
      <c r="W19" s="1">
        <v>1728</v>
      </c>
      <c r="Z19" s="1">
        <f>SUM(Z16:Z18)</f>
        <v>1716</v>
      </c>
      <c r="AA19" s="1">
        <v>1847</v>
      </c>
    </row>
    <row r="20" spans="2:27" s="1" customFormat="1" x14ac:dyDescent="0.25">
      <c r="B20" s="1" t="s">
        <v>117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V20" s="1">
        <v>263</v>
      </c>
      <c r="Z20" s="1">
        <v>271</v>
      </c>
    </row>
    <row r="21" spans="2:27" s="1" customFormat="1" x14ac:dyDescent="0.25">
      <c r="B21" s="1" t="s">
        <v>118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V21" s="1">
        <v>217</v>
      </c>
      <c r="Z21" s="1">
        <v>230</v>
      </c>
    </row>
    <row r="22" spans="2:27" s="1" customFormat="1" x14ac:dyDescent="0.25">
      <c r="B22" s="1" t="s">
        <v>119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V22" s="1">
        <v>152</v>
      </c>
      <c r="Z22" s="1">
        <v>160</v>
      </c>
    </row>
    <row r="23" spans="2:27" s="1" customFormat="1" x14ac:dyDescent="0.25">
      <c r="B23" s="1" t="s">
        <v>120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V23" s="1">
        <v>113</v>
      </c>
      <c r="Z23" s="1">
        <v>121</v>
      </c>
    </row>
    <row r="24" spans="2:27" s="1" customFormat="1" x14ac:dyDescent="0.25">
      <c r="B24" s="1" t="s">
        <v>121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V24" s="1">
        <v>474</v>
      </c>
      <c r="Z24" s="1">
        <v>430</v>
      </c>
    </row>
    <row r="25" spans="2:27" s="1" customFormat="1" x14ac:dyDescent="0.25">
      <c r="B25" s="1" t="s">
        <v>66</v>
      </c>
      <c r="C25" s="3"/>
      <c r="D25" s="3"/>
      <c r="E25" s="3"/>
      <c r="F25" s="3"/>
      <c r="G25" s="3">
        <v>1615</v>
      </c>
      <c r="H25" s="3">
        <v>1101</v>
      </c>
      <c r="I25" s="3"/>
      <c r="J25" s="3"/>
      <c r="K25" s="3">
        <v>1482</v>
      </c>
      <c r="L25" s="3">
        <v>1101</v>
      </c>
      <c r="M25" s="3"/>
      <c r="N25" s="3"/>
      <c r="O25" s="3"/>
      <c r="P25" s="3"/>
      <c r="Q25" s="3"/>
      <c r="R25" s="3"/>
      <c r="V25" s="1">
        <f>SUM(V20:V24)-72</f>
        <v>1147</v>
      </c>
      <c r="W25" s="1">
        <v>1134</v>
      </c>
      <c r="Z25" s="1">
        <f>SUM(Z20:Z24)-71</f>
        <v>1141</v>
      </c>
      <c r="AA25" s="1">
        <v>1205</v>
      </c>
    </row>
    <row r="26" spans="2:27" s="1" customFormat="1" x14ac:dyDescent="0.25">
      <c r="B26" s="1" t="s">
        <v>122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V26" s="1">
        <v>582</v>
      </c>
      <c r="Z26" s="1">
        <v>569</v>
      </c>
    </row>
    <row r="27" spans="2:27" s="1" customFormat="1" x14ac:dyDescent="0.25">
      <c r="B27" s="1" t="s">
        <v>123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V27" s="1">
        <v>1727</v>
      </c>
      <c r="Z27" s="1">
        <v>1827</v>
      </c>
    </row>
    <row r="28" spans="2:27" s="1" customFormat="1" x14ac:dyDescent="0.25">
      <c r="B28" s="1" t="s">
        <v>124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V28" s="1">
        <v>1607</v>
      </c>
      <c r="Z28" s="1">
        <v>1741</v>
      </c>
    </row>
    <row r="29" spans="2:27" s="1" customFormat="1" x14ac:dyDescent="0.25">
      <c r="B29" s="1" t="s">
        <v>125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V29" s="1">
        <v>1939</v>
      </c>
      <c r="Z29" s="1">
        <v>2128</v>
      </c>
    </row>
    <row r="30" spans="2:27" s="1" customFormat="1" x14ac:dyDescent="0.25">
      <c r="B30" s="1" t="s">
        <v>67</v>
      </c>
      <c r="C30" s="3"/>
      <c r="D30" s="3"/>
      <c r="E30" s="3"/>
      <c r="F30" s="3"/>
      <c r="G30" s="3">
        <v>3597</v>
      </c>
      <c r="H30" s="3">
        <v>5537</v>
      </c>
      <c r="I30" s="3"/>
      <c r="J30" s="3"/>
      <c r="K30" s="3">
        <v>5442</v>
      </c>
      <c r="L30" s="3">
        <v>5537</v>
      </c>
      <c r="M30" s="3"/>
      <c r="N30" s="3"/>
      <c r="O30" s="3"/>
      <c r="P30" s="3"/>
      <c r="Q30" s="3"/>
      <c r="R30" s="3"/>
      <c r="V30" s="1">
        <f>SUM(V26:V29)</f>
        <v>5855</v>
      </c>
      <c r="W30" s="1">
        <v>5995</v>
      </c>
      <c r="Z30" s="1">
        <f>SUM(Z26:Z29)</f>
        <v>6265</v>
      </c>
      <c r="AA30" s="1">
        <v>6693</v>
      </c>
    </row>
    <row r="31" spans="2:27" x14ac:dyDescent="0.25">
      <c r="O31" s="2"/>
      <c r="P31" s="2"/>
      <c r="Q31" s="2"/>
      <c r="R31" s="2"/>
    </row>
    <row r="32" spans="2:27" s="1" customFormat="1" x14ac:dyDescent="0.25">
      <c r="B32" s="1" t="s">
        <v>59</v>
      </c>
      <c r="C32" s="3"/>
      <c r="D32" s="3"/>
      <c r="E32" s="3"/>
      <c r="F32" s="3"/>
      <c r="G32" s="3">
        <v>5964</v>
      </c>
      <c r="H32" s="3">
        <v>5372</v>
      </c>
      <c r="I32" s="3"/>
      <c r="J32" s="3"/>
      <c r="K32" s="3">
        <v>6110</v>
      </c>
      <c r="L32" s="3">
        <v>4993</v>
      </c>
      <c r="M32" s="3"/>
      <c r="N32" s="3"/>
      <c r="O32" s="3"/>
      <c r="P32" s="3"/>
      <c r="Q32" s="3"/>
      <c r="R32" s="3"/>
      <c r="V32" s="1">
        <v>4354</v>
      </c>
      <c r="Z32" s="1">
        <v>4722</v>
      </c>
    </row>
    <row r="33" spans="2:30" s="1" customFormat="1" x14ac:dyDescent="0.25">
      <c r="B33" s="1" t="s">
        <v>60</v>
      </c>
      <c r="C33" s="3"/>
      <c r="D33" s="3"/>
      <c r="E33" s="3"/>
      <c r="F33" s="3"/>
      <c r="G33" s="3">
        <v>1892</v>
      </c>
      <c r="H33" s="3">
        <v>1842</v>
      </c>
      <c r="I33" s="3"/>
      <c r="J33" s="3"/>
      <c r="K33" s="3">
        <v>1907</v>
      </c>
      <c r="L33" s="3">
        <v>2010</v>
      </c>
      <c r="M33" s="3"/>
      <c r="N33" s="3"/>
      <c r="O33" s="3"/>
      <c r="P33" s="3"/>
      <c r="Q33" s="3"/>
      <c r="R33" s="3"/>
      <c r="V33" s="1">
        <v>1626</v>
      </c>
      <c r="Z33" s="1">
        <v>1555</v>
      </c>
    </row>
    <row r="34" spans="2:30" s="1" customFormat="1" x14ac:dyDescent="0.25">
      <c r="B34" s="1" t="s">
        <v>39</v>
      </c>
      <c r="C34" s="3">
        <v>4630</v>
      </c>
      <c r="D34" s="3"/>
      <c r="E34" s="3"/>
      <c r="F34" s="3"/>
      <c r="G34" s="3">
        <f>+G32+G33</f>
        <v>7856</v>
      </c>
      <c r="H34" s="3">
        <f>+H32+H33</f>
        <v>7214</v>
      </c>
      <c r="I34" s="3"/>
      <c r="J34" s="3"/>
      <c r="K34" s="3">
        <f>+K32+K33</f>
        <v>8017</v>
      </c>
      <c r="L34" s="3">
        <f>+L32+L33</f>
        <v>7003</v>
      </c>
      <c r="M34" s="3"/>
      <c r="N34" s="3"/>
      <c r="V34" s="1">
        <v>5980</v>
      </c>
      <c r="Z34" s="1">
        <v>6277</v>
      </c>
    </row>
    <row r="35" spans="2:30" s="1" customFormat="1" x14ac:dyDescent="0.25">
      <c r="B35" s="1" t="s">
        <v>40</v>
      </c>
      <c r="C35" s="3">
        <v>1600</v>
      </c>
      <c r="D35" s="3"/>
      <c r="E35" s="3"/>
      <c r="F35" s="3"/>
      <c r="G35" s="3">
        <v>2050</v>
      </c>
      <c r="H35" s="3">
        <v>2059</v>
      </c>
      <c r="I35" s="3"/>
      <c r="J35" s="3"/>
      <c r="K35" s="3">
        <v>3801</v>
      </c>
      <c r="L35" s="3">
        <v>3967</v>
      </c>
      <c r="M35" s="3"/>
      <c r="N35" s="3"/>
      <c r="V35" s="1">
        <v>4384</v>
      </c>
      <c r="Z35" s="1">
        <v>4728</v>
      </c>
    </row>
    <row r="36" spans="2:30" s="6" customFormat="1" ht="13" x14ac:dyDescent="0.3">
      <c r="B36" s="6" t="s">
        <v>8</v>
      </c>
      <c r="C36" s="7">
        <f>C34+C35</f>
        <v>6230</v>
      </c>
      <c r="D36" s="7"/>
      <c r="E36" s="7"/>
      <c r="F36" s="7"/>
      <c r="G36" s="7">
        <f>G34+G35</f>
        <v>9906</v>
      </c>
      <c r="H36" s="7">
        <f>H34+H35</f>
        <v>9273</v>
      </c>
      <c r="I36" s="7"/>
      <c r="J36" s="7"/>
      <c r="K36" s="7">
        <f>K34+K35</f>
        <v>11818</v>
      </c>
      <c r="L36" s="7">
        <f>L34+L35</f>
        <v>10970</v>
      </c>
      <c r="M36" s="7">
        <f t="shared" ref="M36:AD36" si="0">M34+M35</f>
        <v>0</v>
      </c>
      <c r="N36" s="7">
        <f t="shared" si="0"/>
        <v>0</v>
      </c>
      <c r="O36" s="7">
        <f t="shared" si="0"/>
        <v>0</v>
      </c>
      <c r="P36" s="7">
        <f t="shared" si="0"/>
        <v>0</v>
      </c>
      <c r="Q36" s="7">
        <f t="shared" si="0"/>
        <v>0</v>
      </c>
      <c r="R36" s="7">
        <f t="shared" si="0"/>
        <v>0</v>
      </c>
      <c r="S36" s="7">
        <f t="shared" si="0"/>
        <v>0</v>
      </c>
      <c r="T36" s="7">
        <f t="shared" si="0"/>
        <v>0</v>
      </c>
      <c r="U36" s="7">
        <f t="shared" si="0"/>
        <v>0</v>
      </c>
      <c r="V36" s="7">
        <f t="shared" si="0"/>
        <v>10364</v>
      </c>
      <c r="W36" s="7">
        <v>10855</v>
      </c>
      <c r="X36" s="7">
        <f t="shared" si="0"/>
        <v>0</v>
      </c>
      <c r="Y36" s="7">
        <f t="shared" si="0"/>
        <v>0</v>
      </c>
      <c r="Z36" s="7">
        <f t="shared" si="0"/>
        <v>11005</v>
      </c>
      <c r="AA36" s="7">
        <v>11994</v>
      </c>
      <c r="AB36" s="7">
        <f t="shared" si="0"/>
        <v>0</v>
      </c>
      <c r="AC36" s="7">
        <f t="shared" si="0"/>
        <v>0</v>
      </c>
      <c r="AD36" s="7">
        <f t="shared" si="0"/>
        <v>0</v>
      </c>
    </row>
    <row r="37" spans="2:30" s="1" customFormat="1" x14ac:dyDescent="0.25">
      <c r="B37" s="1" t="s">
        <v>44</v>
      </c>
      <c r="C37" s="3">
        <v>2340</v>
      </c>
      <c r="D37" s="3"/>
      <c r="E37" s="3"/>
      <c r="F37" s="3"/>
      <c r="G37" s="3">
        <v>3327</v>
      </c>
      <c r="H37" s="3">
        <v>3352</v>
      </c>
      <c r="I37" s="3"/>
      <c r="J37" s="3"/>
      <c r="K37" s="3">
        <v>3555</v>
      </c>
      <c r="L37" s="3">
        <v>3516</v>
      </c>
      <c r="M37" s="3"/>
      <c r="N37" s="3"/>
      <c r="V37" s="1">
        <v>3125</v>
      </c>
      <c r="Z37" s="1">
        <v>3261</v>
      </c>
    </row>
    <row r="38" spans="2:30" s="1" customFormat="1" x14ac:dyDescent="0.25">
      <c r="B38" s="1" t="s">
        <v>45</v>
      </c>
      <c r="C38" s="3">
        <v>1150</v>
      </c>
      <c r="D38" s="3"/>
      <c r="E38" s="3"/>
      <c r="F38" s="3"/>
      <c r="G38" s="3">
        <v>1370</v>
      </c>
      <c r="H38" s="3">
        <v>1397</v>
      </c>
      <c r="I38" s="3"/>
      <c r="J38" s="3"/>
      <c r="K38" s="3">
        <v>2799</v>
      </c>
      <c r="L38" s="3">
        <v>2855</v>
      </c>
      <c r="M38" s="3"/>
      <c r="N38" s="3"/>
      <c r="V38" s="1">
        <v>3004</v>
      </c>
      <c r="Z38" s="1">
        <v>3314</v>
      </c>
    </row>
    <row r="39" spans="2:30" s="1" customFormat="1" x14ac:dyDescent="0.25">
      <c r="B39" s="1" t="s">
        <v>46</v>
      </c>
      <c r="C39" s="3">
        <f>+C37+C38</f>
        <v>3490</v>
      </c>
      <c r="D39" s="3"/>
      <c r="E39" s="3"/>
      <c r="F39" s="3"/>
      <c r="G39" s="3">
        <f>+G37+G38</f>
        <v>4697</v>
      </c>
      <c r="H39" s="3">
        <f>+H37+H38</f>
        <v>4749</v>
      </c>
      <c r="I39" s="3"/>
      <c r="J39" s="3"/>
      <c r="K39" s="3">
        <f>+K37+K38</f>
        <v>6354</v>
      </c>
      <c r="L39" s="3">
        <f>+L37+L38</f>
        <v>6371</v>
      </c>
      <c r="M39" s="3"/>
      <c r="N39" s="3"/>
      <c r="V39" s="1">
        <v>6378</v>
      </c>
      <c r="W39" s="1">
        <v>6378</v>
      </c>
      <c r="Z39" s="1">
        <f>+Z38+Z37</f>
        <v>6575</v>
      </c>
      <c r="AA39" s="1">
        <v>7051</v>
      </c>
    </row>
    <row r="40" spans="2:30" s="1" customFormat="1" x14ac:dyDescent="0.25">
      <c r="B40" s="1" t="s">
        <v>47</v>
      </c>
      <c r="C40" s="3">
        <f>+C36-C39</f>
        <v>2740</v>
      </c>
      <c r="D40" s="3"/>
      <c r="E40" s="3"/>
      <c r="F40" s="3"/>
      <c r="G40" s="3">
        <f>+G36-G39</f>
        <v>5209</v>
      </c>
      <c r="H40" s="3">
        <f>+H36-H39</f>
        <v>4524</v>
      </c>
      <c r="I40" s="3"/>
      <c r="J40" s="3"/>
      <c r="K40" s="3">
        <f>+K36-K39</f>
        <v>5464</v>
      </c>
      <c r="L40" s="3">
        <f>+L36-L39</f>
        <v>4599</v>
      </c>
      <c r="M40" s="3"/>
      <c r="N40" s="3"/>
      <c r="V40" s="1">
        <f>+V36-V39</f>
        <v>3986</v>
      </c>
      <c r="W40" s="1">
        <f>+W36-W39</f>
        <v>4477</v>
      </c>
      <c r="X40" s="1">
        <f>+X36-X39</f>
        <v>0</v>
      </c>
      <c r="Y40" s="1">
        <f>+Y36-Y39</f>
        <v>0</v>
      </c>
      <c r="Z40" s="1">
        <f>+Z36-Z39</f>
        <v>4430</v>
      </c>
      <c r="AA40" s="1">
        <f>+AA36-AA39</f>
        <v>4943</v>
      </c>
    </row>
    <row r="41" spans="2:30" s="1" customFormat="1" x14ac:dyDescent="0.25">
      <c r="B41" s="1" t="s">
        <v>48</v>
      </c>
      <c r="C41" s="3">
        <v>1551</v>
      </c>
      <c r="D41" s="3"/>
      <c r="E41" s="3"/>
      <c r="F41" s="3"/>
      <c r="G41" s="3">
        <v>1826</v>
      </c>
      <c r="H41" s="3">
        <v>1899</v>
      </c>
      <c r="I41" s="3"/>
      <c r="J41" s="3"/>
      <c r="K41" s="3">
        <v>2277</v>
      </c>
      <c r="L41" s="3">
        <v>2209</v>
      </c>
      <c r="M41" s="3"/>
      <c r="N41" s="3"/>
      <c r="V41" s="1">
        <v>2078</v>
      </c>
      <c r="W41" s="1">
        <v>1779</v>
      </c>
      <c r="Z41" s="1">
        <v>2181</v>
      </c>
      <c r="AA41" s="1">
        <v>1909</v>
      </c>
    </row>
    <row r="42" spans="2:30" s="1" customFormat="1" x14ac:dyDescent="0.25">
      <c r="B42" s="1" t="s">
        <v>49</v>
      </c>
      <c r="C42" s="3">
        <v>245</v>
      </c>
      <c r="D42" s="3"/>
      <c r="E42" s="3"/>
      <c r="F42" s="3"/>
      <c r="G42" s="3">
        <v>320</v>
      </c>
      <c r="H42" s="3">
        <v>343</v>
      </c>
      <c r="I42" s="3"/>
      <c r="J42" s="3"/>
      <c r="K42" s="3">
        <v>364</v>
      </c>
      <c r="L42" s="3">
        <v>365</v>
      </c>
      <c r="M42" s="3"/>
      <c r="N42" s="3"/>
      <c r="V42" s="1">
        <v>342</v>
      </c>
      <c r="W42" s="1">
        <v>352</v>
      </c>
      <c r="Z42" s="1">
        <v>336</v>
      </c>
      <c r="AA42" s="1">
        <v>364</v>
      </c>
    </row>
    <row r="43" spans="2:30" s="1" customFormat="1" x14ac:dyDescent="0.25">
      <c r="B43" s="1" t="s">
        <v>50</v>
      </c>
      <c r="C43" s="3">
        <f>+C41+C42</f>
        <v>1796</v>
      </c>
      <c r="D43" s="3"/>
      <c r="E43" s="3"/>
      <c r="F43" s="3"/>
      <c r="G43" s="3">
        <f>+G41+G42</f>
        <v>2146</v>
      </c>
      <c r="H43" s="3">
        <f>+H41+H42</f>
        <v>2242</v>
      </c>
      <c r="I43" s="3"/>
      <c r="J43" s="3"/>
      <c r="K43" s="3">
        <f>+K41+K42</f>
        <v>2641</v>
      </c>
      <c r="L43" s="3">
        <f>+L41+L42</f>
        <v>2574</v>
      </c>
      <c r="M43" s="3">
        <f t="shared" ref="M43:AA43" si="1">+M41+M42</f>
        <v>0</v>
      </c>
      <c r="N43" s="3">
        <f t="shared" si="1"/>
        <v>0</v>
      </c>
      <c r="O43" s="3">
        <f t="shared" si="1"/>
        <v>0</v>
      </c>
      <c r="P43" s="3">
        <f t="shared" si="1"/>
        <v>0</v>
      </c>
      <c r="Q43" s="3">
        <f t="shared" si="1"/>
        <v>0</v>
      </c>
      <c r="R43" s="3">
        <f t="shared" si="1"/>
        <v>0</v>
      </c>
      <c r="S43" s="3">
        <f t="shared" si="1"/>
        <v>0</v>
      </c>
      <c r="T43" s="3">
        <f t="shared" si="1"/>
        <v>0</v>
      </c>
      <c r="U43" s="3">
        <f t="shared" si="1"/>
        <v>0</v>
      </c>
      <c r="V43" s="3">
        <f t="shared" si="1"/>
        <v>2420</v>
      </c>
      <c r="W43" s="3">
        <f t="shared" si="1"/>
        <v>2131</v>
      </c>
      <c r="X43" s="3">
        <f t="shared" si="1"/>
        <v>0</v>
      </c>
      <c r="Y43" s="3">
        <f t="shared" si="1"/>
        <v>0</v>
      </c>
      <c r="Z43" s="3">
        <f t="shared" si="1"/>
        <v>2517</v>
      </c>
      <c r="AA43" s="3">
        <f t="shared" si="1"/>
        <v>2273</v>
      </c>
    </row>
    <row r="44" spans="2:30" s="1" customFormat="1" x14ac:dyDescent="0.25">
      <c r="B44" s="1" t="s">
        <v>51</v>
      </c>
      <c r="C44" s="3">
        <f>+C40-C43</f>
        <v>944</v>
      </c>
      <c r="D44" s="3"/>
      <c r="E44" s="3"/>
      <c r="F44" s="3"/>
      <c r="G44" s="3">
        <f>+G40-G43</f>
        <v>3063</v>
      </c>
      <c r="H44" s="3">
        <f>+H40-H43</f>
        <v>2282</v>
      </c>
      <c r="I44" s="3"/>
      <c r="J44" s="3"/>
      <c r="K44" s="3">
        <f>+K40-K43</f>
        <v>2823</v>
      </c>
      <c r="L44" s="3">
        <f>+L40-L43</f>
        <v>2025</v>
      </c>
      <c r="M44" s="3">
        <f t="shared" ref="M44:AA44" si="2">+M40-M43</f>
        <v>0</v>
      </c>
      <c r="N44" s="3">
        <f t="shared" si="2"/>
        <v>0</v>
      </c>
      <c r="O44" s="3">
        <f t="shared" si="2"/>
        <v>0</v>
      </c>
      <c r="P44" s="3">
        <f t="shared" si="2"/>
        <v>0</v>
      </c>
      <c r="Q44" s="3">
        <f t="shared" si="2"/>
        <v>0</v>
      </c>
      <c r="R44" s="3">
        <f t="shared" si="2"/>
        <v>0</v>
      </c>
      <c r="S44" s="3">
        <f t="shared" si="2"/>
        <v>0</v>
      </c>
      <c r="T44" s="3">
        <f t="shared" si="2"/>
        <v>0</v>
      </c>
      <c r="U44" s="3">
        <f t="shared" si="2"/>
        <v>0</v>
      </c>
      <c r="V44" s="3">
        <f t="shared" si="2"/>
        <v>1566</v>
      </c>
      <c r="W44" s="3">
        <f t="shared" si="2"/>
        <v>2346</v>
      </c>
      <c r="X44" s="3">
        <f t="shared" si="2"/>
        <v>0</v>
      </c>
      <c r="Y44" s="3">
        <f t="shared" si="2"/>
        <v>0</v>
      </c>
      <c r="Z44" s="3">
        <f t="shared" si="2"/>
        <v>1913</v>
      </c>
      <c r="AA44" s="3">
        <f t="shared" si="2"/>
        <v>2670</v>
      </c>
    </row>
    <row r="45" spans="2:30" s="1" customFormat="1" x14ac:dyDescent="0.25">
      <c r="B45" s="1" t="s">
        <v>57</v>
      </c>
      <c r="C45" s="3">
        <f>36-126+12</f>
        <v>-78</v>
      </c>
      <c r="D45" s="3"/>
      <c r="E45" s="3"/>
      <c r="F45" s="3"/>
      <c r="G45" s="3">
        <f>12-125-183</f>
        <v>-296</v>
      </c>
      <c r="H45" s="3">
        <f>11-122-3</f>
        <v>-114</v>
      </c>
      <c r="I45" s="3"/>
      <c r="J45" s="3"/>
      <c r="K45" s="3">
        <f>18-136-163</f>
        <v>-281</v>
      </c>
      <c r="L45" s="3">
        <f>36-148+28</f>
        <v>-84</v>
      </c>
      <c r="M45" s="3"/>
      <c r="N45" s="3"/>
      <c r="V45" s="1">
        <f>203-303</f>
        <v>-100</v>
      </c>
      <c r="W45" s="1">
        <f>297-404</f>
        <v>-107</v>
      </c>
      <c r="Z45" s="1">
        <f>233-354</f>
        <v>-121</v>
      </c>
      <c r="AA45" s="1">
        <f>207-401</f>
        <v>-194</v>
      </c>
    </row>
    <row r="46" spans="2:30" s="1" customFormat="1" x14ac:dyDescent="0.25">
      <c r="B46" s="1" t="s">
        <v>56</v>
      </c>
      <c r="C46" s="3">
        <f t="shared" ref="C46" si="3">+C44+C45</f>
        <v>866</v>
      </c>
      <c r="D46" s="3"/>
      <c r="E46" s="3"/>
      <c r="F46" s="3"/>
      <c r="G46" s="3">
        <f t="shared" ref="G46:K46" si="4">+G44+G45</f>
        <v>2767</v>
      </c>
      <c r="H46" s="3">
        <f t="shared" si="4"/>
        <v>2168</v>
      </c>
      <c r="I46" s="3">
        <f t="shared" si="4"/>
        <v>0</v>
      </c>
      <c r="J46" s="3">
        <f t="shared" si="4"/>
        <v>0</v>
      </c>
      <c r="K46" s="3">
        <f t="shared" si="4"/>
        <v>2542</v>
      </c>
      <c r="L46" s="3">
        <f>+L44+L45</f>
        <v>1941</v>
      </c>
      <c r="M46" s="3">
        <f t="shared" ref="M46:AA46" si="5">+M44+M45</f>
        <v>0</v>
      </c>
      <c r="N46" s="3">
        <f t="shared" si="5"/>
        <v>0</v>
      </c>
      <c r="O46" s="3">
        <f t="shared" si="5"/>
        <v>0</v>
      </c>
      <c r="P46" s="3">
        <f t="shared" si="5"/>
        <v>0</v>
      </c>
      <c r="Q46" s="3">
        <f t="shared" si="5"/>
        <v>0</v>
      </c>
      <c r="R46" s="3">
        <f t="shared" si="5"/>
        <v>0</v>
      </c>
      <c r="S46" s="3">
        <f t="shared" si="5"/>
        <v>0</v>
      </c>
      <c r="T46" s="3">
        <f t="shared" si="5"/>
        <v>0</v>
      </c>
      <c r="U46" s="3">
        <f t="shared" si="5"/>
        <v>0</v>
      </c>
      <c r="V46" s="3">
        <f t="shared" si="5"/>
        <v>1466</v>
      </c>
      <c r="W46" s="3">
        <f t="shared" si="5"/>
        <v>2239</v>
      </c>
      <c r="X46" s="3">
        <f t="shared" si="5"/>
        <v>0</v>
      </c>
      <c r="Y46" s="3">
        <f t="shared" si="5"/>
        <v>0</v>
      </c>
      <c r="Z46" s="3">
        <f t="shared" si="5"/>
        <v>1792</v>
      </c>
      <c r="AA46" s="3">
        <f t="shared" si="5"/>
        <v>2476</v>
      </c>
    </row>
    <row r="47" spans="2:30" s="1" customFormat="1" x14ac:dyDescent="0.25">
      <c r="B47" s="1" t="s">
        <v>55</v>
      </c>
      <c r="C47" s="3">
        <v>40</v>
      </c>
      <c r="D47" s="3"/>
      <c r="E47" s="3"/>
      <c r="F47" s="3"/>
      <c r="G47" s="3">
        <v>416</v>
      </c>
      <c r="H47" s="3">
        <f>219+1+1</f>
        <v>221</v>
      </c>
      <c r="I47" s="3"/>
      <c r="J47" s="3"/>
      <c r="K47" s="3">
        <f>301+19+5</f>
        <v>325</v>
      </c>
      <c r="L47" s="3">
        <f>198+51+4</f>
        <v>253</v>
      </c>
      <c r="M47" s="3"/>
      <c r="N47" s="3"/>
      <c r="V47" s="1">
        <f>95+4</f>
        <v>99</v>
      </c>
      <c r="W47" s="1">
        <v>92</v>
      </c>
      <c r="Z47" s="1">
        <f>70+5</f>
        <v>75</v>
      </c>
      <c r="AA47" s="1">
        <v>167</v>
      </c>
    </row>
    <row r="48" spans="2:30" s="1" customFormat="1" x14ac:dyDescent="0.25">
      <c r="B48" s="1" t="s">
        <v>54</v>
      </c>
      <c r="C48" s="3">
        <f t="shared" ref="C48" si="6">+C46-C47</f>
        <v>826</v>
      </c>
      <c r="D48" s="3"/>
      <c r="E48" s="3"/>
      <c r="F48" s="3"/>
      <c r="G48" s="3">
        <f t="shared" ref="G48:K48" si="7">+G46-G47</f>
        <v>2351</v>
      </c>
      <c r="H48" s="3">
        <f t="shared" si="7"/>
        <v>1947</v>
      </c>
      <c r="I48" s="3">
        <f t="shared" si="7"/>
        <v>0</v>
      </c>
      <c r="J48" s="3">
        <f t="shared" si="7"/>
        <v>0</v>
      </c>
      <c r="K48" s="3">
        <f t="shared" si="7"/>
        <v>2217</v>
      </c>
      <c r="L48" s="3">
        <f>+L46-L47</f>
        <v>1688</v>
      </c>
      <c r="M48" s="3">
        <f t="shared" ref="M48:AA48" si="8">+M46-M47</f>
        <v>0</v>
      </c>
      <c r="N48" s="3">
        <f t="shared" si="8"/>
        <v>0</v>
      </c>
      <c r="O48" s="3">
        <f t="shared" si="8"/>
        <v>0</v>
      </c>
      <c r="P48" s="3">
        <f t="shared" si="8"/>
        <v>0</v>
      </c>
      <c r="Q48" s="3">
        <f t="shared" si="8"/>
        <v>0</v>
      </c>
      <c r="R48" s="3">
        <f t="shared" si="8"/>
        <v>0</v>
      </c>
      <c r="S48" s="3">
        <f t="shared" si="8"/>
        <v>0</v>
      </c>
      <c r="T48" s="3">
        <f t="shared" si="8"/>
        <v>0</v>
      </c>
      <c r="U48" s="3">
        <f t="shared" si="8"/>
        <v>0</v>
      </c>
      <c r="V48" s="3">
        <f t="shared" si="8"/>
        <v>1367</v>
      </c>
      <c r="W48" s="3">
        <f t="shared" si="8"/>
        <v>2147</v>
      </c>
      <c r="X48" s="3">
        <f t="shared" si="8"/>
        <v>0</v>
      </c>
      <c r="Y48" s="3">
        <f t="shared" si="8"/>
        <v>0</v>
      </c>
      <c r="Z48" s="3">
        <f t="shared" si="8"/>
        <v>1717</v>
      </c>
      <c r="AA48" s="3">
        <f t="shared" si="8"/>
        <v>2309</v>
      </c>
    </row>
    <row r="49" spans="2:27" s="1" customFormat="1" x14ac:dyDescent="0.25">
      <c r="B49" s="1" t="s">
        <v>58</v>
      </c>
      <c r="C49" s="10">
        <f>+C48/C50</f>
        <v>2.0649999999999999</v>
      </c>
      <c r="D49" s="3"/>
      <c r="E49" s="3"/>
      <c r="F49" s="3"/>
      <c r="G49" s="10">
        <f>+G48/G50</f>
        <v>5.9219143576826196</v>
      </c>
      <c r="H49" s="10">
        <f>+H48/H50</f>
        <v>4.916666666666667</v>
      </c>
      <c r="I49" s="3"/>
      <c r="J49" s="3"/>
      <c r="K49" s="10">
        <f>+K48/K50</f>
        <v>5.612658227848101</v>
      </c>
      <c r="L49" s="10">
        <f>+L48/L50</f>
        <v>4.2842639593908629</v>
      </c>
      <c r="M49" s="10" t="e">
        <f t="shared" ref="M49:AA49" si="9">+M48/M50</f>
        <v>#DIV/0!</v>
      </c>
      <c r="N49" s="10" t="e">
        <f t="shared" si="9"/>
        <v>#DIV/0!</v>
      </c>
      <c r="O49" s="10" t="e">
        <f t="shared" si="9"/>
        <v>#DIV/0!</v>
      </c>
      <c r="P49" s="10" t="e">
        <f t="shared" si="9"/>
        <v>#DIV/0!</v>
      </c>
      <c r="Q49" s="10" t="e">
        <f t="shared" si="9"/>
        <v>#DIV/0!</v>
      </c>
      <c r="R49" s="10" t="e">
        <f t="shared" si="9"/>
        <v>#DIV/0!</v>
      </c>
      <c r="S49" s="10" t="e">
        <f t="shared" si="9"/>
        <v>#DIV/0!</v>
      </c>
      <c r="T49" s="10" t="e">
        <f t="shared" si="9"/>
        <v>#DIV/0!</v>
      </c>
      <c r="U49" s="10" t="e">
        <f t="shared" si="9"/>
        <v>#DIV/0!</v>
      </c>
      <c r="V49" s="10">
        <f t="shared" si="9"/>
        <v>3.6068601583113455</v>
      </c>
      <c r="W49" s="10">
        <f t="shared" si="9"/>
        <v>5.6798941798941796</v>
      </c>
      <c r="X49" s="10" t="e">
        <f t="shared" si="9"/>
        <v>#DIV/0!</v>
      </c>
      <c r="Y49" s="10" t="e">
        <f t="shared" si="9"/>
        <v>#DIV/0!</v>
      </c>
      <c r="Z49" s="10">
        <f t="shared" si="9"/>
        <v>4.6032171581769434</v>
      </c>
      <c r="AA49" s="10">
        <f t="shared" si="9"/>
        <v>6.223719676549865</v>
      </c>
    </row>
    <row r="50" spans="2:27" s="1" customFormat="1" x14ac:dyDescent="0.25">
      <c r="B50" s="1" t="s">
        <v>1</v>
      </c>
      <c r="C50" s="3">
        <v>400</v>
      </c>
      <c r="D50" s="3"/>
      <c r="E50" s="3"/>
      <c r="F50" s="3"/>
      <c r="G50" s="3">
        <v>397</v>
      </c>
      <c r="H50" s="3">
        <v>396</v>
      </c>
      <c r="I50" s="3"/>
      <c r="J50" s="3"/>
      <c r="K50" s="3">
        <v>395</v>
      </c>
      <c r="L50" s="3">
        <v>394</v>
      </c>
      <c r="M50" s="3"/>
      <c r="N50" s="3"/>
      <c r="V50" s="1">
        <v>379</v>
      </c>
      <c r="W50" s="1">
        <v>378</v>
      </c>
      <c r="Z50" s="1">
        <v>373</v>
      </c>
      <c r="AA50" s="1">
        <v>371</v>
      </c>
    </row>
    <row r="51" spans="2:27" s="1" customFormat="1" x14ac:dyDescent="0.25"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</row>
    <row r="53" spans="2:27" x14ac:dyDescent="0.25">
      <c r="B53" t="s">
        <v>41</v>
      </c>
      <c r="K53" s="8">
        <f>K34/G34-1</f>
        <v>2.0493890020366612E-2</v>
      </c>
      <c r="L53" s="8">
        <f>L34/H34-1</f>
        <v>-2.9248683116163021E-2</v>
      </c>
    </row>
    <row r="54" spans="2:27" x14ac:dyDescent="0.25">
      <c r="B54" t="s">
        <v>42</v>
      </c>
      <c r="K54" s="8">
        <f t="shared" ref="K54:L55" si="10">K35/G35-1</f>
        <v>0.85414634146341473</v>
      </c>
      <c r="L54" s="8">
        <f t="shared" si="10"/>
        <v>0.92666342884895569</v>
      </c>
    </row>
    <row r="55" spans="2:27" s="4" customFormat="1" ht="13" x14ac:dyDescent="0.3">
      <c r="B55" s="4" t="s">
        <v>43</v>
      </c>
      <c r="C55" s="5"/>
      <c r="D55" s="5"/>
      <c r="E55" s="5"/>
      <c r="F55" s="5"/>
      <c r="G55" s="5"/>
      <c r="H55" s="5"/>
      <c r="I55" s="5"/>
      <c r="J55" s="5"/>
      <c r="K55" s="9">
        <f t="shared" si="10"/>
        <v>0.19301433474661822</v>
      </c>
      <c r="L55" s="9">
        <f t="shared" si="10"/>
        <v>0.18300442143858509</v>
      </c>
      <c r="M55" s="5"/>
      <c r="N55" s="5"/>
    </row>
    <row r="56" spans="2:27" x14ac:dyDescent="0.25">
      <c r="B56" t="s">
        <v>53</v>
      </c>
      <c r="G56" s="8">
        <f>(G34-G37)/G34</f>
        <v>0.57650203665987776</v>
      </c>
      <c r="H56" s="8">
        <f>(H34-H37)/H34</f>
        <v>0.53534793457166618</v>
      </c>
      <c r="K56" s="8">
        <f>(K34-K37)/K34</f>
        <v>0.55656729449918918</v>
      </c>
      <c r="L56" s="8">
        <f>(L34-L37)/L34</f>
        <v>0.49792945880336997</v>
      </c>
    </row>
    <row r="57" spans="2:27" x14ac:dyDescent="0.25">
      <c r="B57" t="s">
        <v>52</v>
      </c>
      <c r="G57" s="8">
        <f>(G35-G38)/G35</f>
        <v>0.33170731707317075</v>
      </c>
      <c r="H57" s="8">
        <f>(H35-H38)/H35</f>
        <v>0.32151529868868384</v>
      </c>
      <c r="K57" s="8">
        <f>(K35-K38)/K35</f>
        <v>0.26361483820047354</v>
      </c>
      <c r="L57" s="8">
        <f>(L35-L38)/L35</f>
        <v>0.28031257877489285</v>
      </c>
    </row>
    <row r="58" spans="2:27" x14ac:dyDescent="0.25">
      <c r="B58" t="s">
        <v>47</v>
      </c>
      <c r="G58" s="8">
        <f>+G40/G36</f>
        <v>0.5258429234807187</v>
      </c>
      <c r="H58" s="8">
        <f>+H40/H36</f>
        <v>0.48786800388223878</v>
      </c>
      <c r="K58" s="8">
        <f>+K40/K36</f>
        <v>0.46234557454730074</v>
      </c>
      <c r="L58" s="8">
        <f>+L40/L36</f>
        <v>0.41923427529626256</v>
      </c>
    </row>
    <row r="59" spans="2:27" s="4" customFormat="1" ht="13" x14ac:dyDescent="0.3">
      <c r="C59" s="5"/>
      <c r="D59" s="5"/>
      <c r="E59" s="5"/>
      <c r="F59" s="5"/>
      <c r="G59" s="5"/>
      <c r="H59" s="5"/>
      <c r="I59" s="5"/>
      <c r="J59" s="5"/>
      <c r="K59" s="5"/>
      <c r="L59" s="9"/>
      <c r="M59" s="5"/>
      <c r="N59" s="5"/>
    </row>
    <row r="60" spans="2:27" s="4" customFormat="1" ht="13" x14ac:dyDescent="0.3">
      <c r="C60" s="5"/>
      <c r="D60" s="5"/>
      <c r="E60" s="5"/>
      <c r="F60" s="5"/>
      <c r="G60" s="5"/>
      <c r="H60" s="5"/>
      <c r="I60" s="5"/>
      <c r="J60" s="5"/>
      <c r="K60" s="5"/>
      <c r="L60" s="9"/>
      <c r="M60" s="5"/>
      <c r="N60" s="5"/>
    </row>
    <row r="61" spans="2:27" x14ac:dyDescent="0.25">
      <c r="B61" t="s">
        <v>78</v>
      </c>
      <c r="G61" s="3">
        <f>G62-G72</f>
        <v>-13062</v>
      </c>
      <c r="H61" s="3">
        <f t="shared" ref="H61" si="11">H62-H72</f>
        <v>-11754</v>
      </c>
      <c r="K61" s="3">
        <f>K62-K72</f>
        <v>-30503</v>
      </c>
      <c r="L61" s="3">
        <f>L62-L72</f>
        <v>-28372</v>
      </c>
    </row>
    <row r="62" spans="2:27" s="1" customFormat="1" x14ac:dyDescent="0.25">
      <c r="B62" s="1" t="s">
        <v>3</v>
      </c>
      <c r="C62" s="3"/>
      <c r="D62" s="3"/>
      <c r="E62" s="3"/>
      <c r="F62" s="3"/>
      <c r="G62" s="3">
        <v>5583</v>
      </c>
      <c r="H62" s="3">
        <v>7023</v>
      </c>
      <c r="I62" s="3"/>
      <c r="J62" s="3"/>
      <c r="K62" s="3">
        <v>2752</v>
      </c>
      <c r="L62" s="3">
        <v>1888</v>
      </c>
      <c r="M62" s="3"/>
      <c r="N62" s="3"/>
    </row>
    <row r="63" spans="2:27" s="1" customFormat="1" x14ac:dyDescent="0.25">
      <c r="B63" s="1" t="s">
        <v>79</v>
      </c>
      <c r="C63" s="3"/>
      <c r="D63" s="3"/>
      <c r="E63" s="3"/>
      <c r="F63" s="3"/>
      <c r="G63" s="3">
        <v>5554</v>
      </c>
      <c r="H63" s="3">
        <v>5476</v>
      </c>
      <c r="I63" s="3"/>
      <c r="J63" s="3"/>
      <c r="K63" s="3">
        <v>7889</v>
      </c>
      <c r="L63" s="3">
        <v>7445</v>
      </c>
      <c r="M63" s="3"/>
      <c r="N63" s="3"/>
    </row>
    <row r="64" spans="2:27" s="1" customFormat="1" x14ac:dyDescent="0.25">
      <c r="B64" s="1" t="s">
        <v>24</v>
      </c>
      <c r="C64" s="3"/>
      <c r="D64" s="3"/>
      <c r="E64" s="3"/>
      <c r="F64" s="3"/>
      <c r="G64" s="3">
        <v>4342</v>
      </c>
      <c r="H64" s="3">
        <v>4625</v>
      </c>
      <c r="I64" s="3"/>
      <c r="J64" s="3"/>
      <c r="K64" s="3">
        <v>5483</v>
      </c>
      <c r="L64" s="3">
        <v>5668</v>
      </c>
      <c r="M64" s="3"/>
      <c r="N64" s="3"/>
    </row>
    <row r="65" spans="2:14" s="1" customFormat="1" x14ac:dyDescent="0.25">
      <c r="B65" s="1" t="s">
        <v>25</v>
      </c>
      <c r="C65" s="3"/>
      <c r="D65" s="3"/>
      <c r="E65" s="3"/>
      <c r="F65" s="3"/>
      <c r="G65" s="3">
        <v>783</v>
      </c>
      <c r="H65" s="3">
        <v>804</v>
      </c>
      <c r="I65" s="3"/>
      <c r="J65" s="3"/>
      <c r="K65" s="3">
        <v>1064</v>
      </c>
      <c r="L65" s="3">
        <v>1147</v>
      </c>
      <c r="M65" s="3"/>
      <c r="N65" s="3"/>
    </row>
    <row r="66" spans="2:14" s="1" customFormat="1" x14ac:dyDescent="0.25">
      <c r="B66" s="1" t="s">
        <v>26</v>
      </c>
      <c r="C66" s="3"/>
      <c r="D66" s="3"/>
      <c r="E66" s="3"/>
      <c r="F66" s="3"/>
      <c r="G66" s="3">
        <v>1423</v>
      </c>
      <c r="H66" s="3">
        <v>1332</v>
      </c>
      <c r="I66" s="3"/>
      <c r="J66" s="3"/>
      <c r="K66" s="3">
        <v>1588</v>
      </c>
      <c r="L66" s="3">
        <v>1652</v>
      </c>
      <c r="M66" s="3"/>
      <c r="N66" s="3"/>
    </row>
    <row r="67" spans="2:14" s="1" customFormat="1" x14ac:dyDescent="0.25">
      <c r="B67" s="1" t="s">
        <v>27</v>
      </c>
      <c r="C67" s="3"/>
      <c r="D67" s="3"/>
      <c r="E67" s="3"/>
      <c r="F67" s="3"/>
      <c r="G67" s="3">
        <v>6133</v>
      </c>
      <c r="H67" s="3">
        <v>6560</v>
      </c>
      <c r="I67" s="3"/>
      <c r="J67" s="3"/>
      <c r="K67" s="3">
        <v>8448</v>
      </c>
      <c r="L67" s="3">
        <v>8529</v>
      </c>
      <c r="M67" s="3"/>
      <c r="N67" s="3"/>
    </row>
    <row r="68" spans="2:14" s="1" customFormat="1" x14ac:dyDescent="0.25">
      <c r="B68" s="1" t="s">
        <v>28</v>
      </c>
      <c r="C68" s="3"/>
      <c r="D68" s="3"/>
      <c r="E68" s="3"/>
      <c r="F68" s="3"/>
      <c r="G68" s="3">
        <f>12831+26823</f>
        <v>39654</v>
      </c>
      <c r="H68" s="3">
        <f>12390+26904</f>
        <v>39294</v>
      </c>
      <c r="I68" s="3"/>
      <c r="J68" s="3"/>
      <c r="K68" s="3">
        <f>19378+41721</f>
        <v>61099</v>
      </c>
      <c r="L68" s="3">
        <f>18578+41066</f>
        <v>59644</v>
      </c>
      <c r="M68" s="3"/>
      <c r="N68" s="3"/>
    </row>
    <row r="69" spans="2:14" s="1" customFormat="1" x14ac:dyDescent="0.25">
      <c r="B69" s="1" t="s">
        <v>29</v>
      </c>
      <c r="C69" s="3"/>
      <c r="D69" s="3"/>
      <c r="E69" s="3"/>
      <c r="F69" s="3"/>
      <c r="G69" s="3">
        <v>2459</v>
      </c>
      <c r="H69" s="3">
        <v>2584</v>
      </c>
      <c r="I69" s="3"/>
      <c r="J69" s="3"/>
      <c r="K69" s="3">
        <v>4424</v>
      </c>
      <c r="L69" s="3">
        <v>4306</v>
      </c>
      <c r="M69" s="3"/>
      <c r="N69" s="3"/>
    </row>
    <row r="70" spans="2:14" s="1" customFormat="1" x14ac:dyDescent="0.25">
      <c r="B70" s="1" t="s">
        <v>30</v>
      </c>
      <c r="C70" s="3"/>
      <c r="D70" s="3"/>
      <c r="E70" s="3"/>
      <c r="F70" s="3"/>
      <c r="G70" s="3">
        <f>SUM(G62:G69)</f>
        <v>65931</v>
      </c>
      <c r="H70" s="3">
        <f t="shared" ref="H70" si="12">SUM(H62:H69)</f>
        <v>67698</v>
      </c>
      <c r="I70" s="3"/>
      <c r="J70" s="3"/>
      <c r="K70" s="3">
        <f>SUM(K62:K69)</f>
        <v>92747</v>
      </c>
      <c r="L70" s="3">
        <f>SUM(L62:L69)</f>
        <v>90279</v>
      </c>
      <c r="M70" s="3"/>
      <c r="N70" s="3"/>
    </row>
    <row r="72" spans="2:14" s="1" customFormat="1" x14ac:dyDescent="0.25">
      <c r="B72" s="1" t="s">
        <v>4</v>
      </c>
      <c r="C72" s="3"/>
      <c r="D72" s="3"/>
      <c r="E72" s="3"/>
      <c r="F72" s="3"/>
      <c r="G72" s="3">
        <f>4+18641</f>
        <v>18645</v>
      </c>
      <c r="H72" s="3">
        <f>4+18773</f>
        <v>18777</v>
      </c>
      <c r="I72" s="3"/>
      <c r="J72" s="3"/>
      <c r="K72" s="3">
        <f>1866+31389</f>
        <v>33255</v>
      </c>
      <c r="L72" s="3">
        <f>1010+29250</f>
        <v>30260</v>
      </c>
      <c r="M72" s="3"/>
      <c r="N72" s="3"/>
    </row>
    <row r="73" spans="2:14" s="1" customFormat="1" x14ac:dyDescent="0.25">
      <c r="B73" s="1" t="s">
        <v>31</v>
      </c>
      <c r="C73" s="3"/>
      <c r="D73" s="3"/>
      <c r="E73" s="3"/>
      <c r="F73" s="3"/>
      <c r="G73" s="3">
        <v>2146</v>
      </c>
      <c r="H73" s="3">
        <v>2098</v>
      </c>
      <c r="I73" s="3"/>
      <c r="J73" s="3"/>
      <c r="K73" s="3">
        <v>2667</v>
      </c>
      <c r="L73" s="3">
        <v>2586</v>
      </c>
      <c r="M73" s="3"/>
      <c r="N73" s="3"/>
    </row>
    <row r="74" spans="2:14" s="1" customFormat="1" x14ac:dyDescent="0.25">
      <c r="B74" s="1" t="s">
        <v>32</v>
      </c>
      <c r="C74" s="3"/>
      <c r="D74" s="3"/>
      <c r="E74" s="3"/>
      <c r="F74" s="3"/>
      <c r="G74" s="3">
        <v>1314</v>
      </c>
      <c r="H74" s="3">
        <v>1492</v>
      </c>
      <c r="I74" s="3"/>
      <c r="J74" s="3"/>
      <c r="K74" s="3">
        <v>1634</v>
      </c>
      <c r="L74" s="3">
        <v>1722</v>
      </c>
      <c r="M74" s="3"/>
      <c r="N74" s="3"/>
    </row>
    <row r="75" spans="2:14" s="1" customFormat="1" x14ac:dyDescent="0.25">
      <c r="B75" s="1" t="s">
        <v>25</v>
      </c>
      <c r="C75" s="3"/>
      <c r="D75" s="3"/>
      <c r="E75" s="3"/>
      <c r="F75" s="3"/>
      <c r="G75" s="3">
        <v>1396</v>
      </c>
      <c r="H75" s="3">
        <v>1470</v>
      </c>
      <c r="I75" s="3"/>
      <c r="J75" s="3"/>
      <c r="K75" s="3">
        <v>2871</v>
      </c>
      <c r="L75" s="3">
        <v>2722</v>
      </c>
      <c r="M75" s="3"/>
      <c r="N75" s="3"/>
    </row>
    <row r="76" spans="2:14" s="1" customFormat="1" x14ac:dyDescent="0.25">
      <c r="B76" s="1" t="s">
        <v>33</v>
      </c>
      <c r="C76" s="3"/>
      <c r="D76" s="3"/>
      <c r="E76" s="3"/>
      <c r="F76" s="3"/>
      <c r="G76" s="3">
        <v>2135</v>
      </c>
      <c r="H76" s="3">
        <v>1861</v>
      </c>
      <c r="I76" s="3"/>
      <c r="J76" s="3"/>
      <c r="K76" s="3">
        <v>3032</v>
      </c>
      <c r="L76" s="3">
        <v>2957</v>
      </c>
      <c r="M76" s="3"/>
      <c r="N76" s="3"/>
    </row>
    <row r="77" spans="2:14" s="1" customFormat="1" x14ac:dyDescent="0.25">
      <c r="B77" s="1" t="s">
        <v>34</v>
      </c>
      <c r="C77" s="3"/>
      <c r="D77" s="3"/>
      <c r="E77" s="3"/>
      <c r="F77" s="3"/>
      <c r="G77" s="3">
        <v>1885</v>
      </c>
      <c r="H77" s="3">
        <v>1632</v>
      </c>
      <c r="I77" s="3"/>
      <c r="J77" s="3"/>
      <c r="K77" s="3">
        <v>3493</v>
      </c>
      <c r="L77" s="3">
        <v>3327</v>
      </c>
      <c r="M77" s="3"/>
      <c r="N77" s="3"/>
    </row>
    <row r="78" spans="2:14" s="1" customFormat="1" x14ac:dyDescent="0.25">
      <c r="B78" s="1" t="s">
        <v>38</v>
      </c>
      <c r="C78" s="3"/>
      <c r="D78" s="3"/>
      <c r="E78" s="3"/>
      <c r="F78" s="3"/>
      <c r="G78" s="3">
        <v>3352</v>
      </c>
      <c r="H78" s="3">
        <v>3514</v>
      </c>
      <c r="I78" s="3"/>
      <c r="J78" s="3"/>
      <c r="K78" s="3">
        <v>4664</v>
      </c>
      <c r="L78" s="3">
        <v>4534</v>
      </c>
      <c r="M78" s="3"/>
      <c r="N78" s="3"/>
    </row>
    <row r="79" spans="2:14" s="1" customFormat="1" x14ac:dyDescent="0.25">
      <c r="B79" s="1" t="s">
        <v>37</v>
      </c>
      <c r="C79" s="3"/>
      <c r="D79" s="3"/>
      <c r="E79" s="3"/>
      <c r="F79" s="3"/>
      <c r="G79" s="3">
        <v>0</v>
      </c>
      <c r="H79" s="3">
        <v>0</v>
      </c>
      <c r="I79" s="3"/>
      <c r="J79" s="3"/>
      <c r="K79" s="3">
        <v>113</v>
      </c>
      <c r="L79" s="3">
        <v>117</v>
      </c>
      <c r="M79" s="3"/>
      <c r="N79" s="3"/>
    </row>
    <row r="80" spans="2:14" s="1" customFormat="1" x14ac:dyDescent="0.25">
      <c r="B80" s="1" t="s">
        <v>36</v>
      </c>
      <c r="C80" s="3"/>
      <c r="D80" s="3"/>
      <c r="E80" s="3"/>
      <c r="F80" s="3"/>
      <c r="G80" s="3">
        <v>35058</v>
      </c>
      <c r="H80" s="3">
        <v>36854</v>
      </c>
      <c r="I80" s="3"/>
      <c r="J80" s="3"/>
      <c r="K80" s="3">
        <v>41018</v>
      </c>
      <c r="L80" s="3">
        <v>42354</v>
      </c>
      <c r="M80" s="3"/>
      <c r="N80" s="3"/>
    </row>
    <row r="81" spans="2:14" s="1" customFormat="1" x14ac:dyDescent="0.25">
      <c r="B81" s="1" t="s">
        <v>35</v>
      </c>
      <c r="C81" s="3"/>
      <c r="D81" s="3"/>
      <c r="E81" s="3"/>
      <c r="F81" s="3"/>
      <c r="G81" s="3">
        <f>SUM(G72:G80)</f>
        <v>65931</v>
      </c>
      <c r="H81" s="3">
        <f t="shared" ref="H81" si="13">SUM(H72:H80)</f>
        <v>67698</v>
      </c>
      <c r="I81" s="3"/>
      <c r="J81" s="3"/>
      <c r="K81" s="3">
        <f>SUM(K72:K80)</f>
        <v>92747</v>
      </c>
      <c r="L81" s="3">
        <f>SUM(L72:L80)</f>
        <v>90579</v>
      </c>
      <c r="M81" s="3"/>
      <c r="N81" s="3"/>
    </row>
    <row r="83" spans="2:14" x14ac:dyDescent="0.25">
      <c r="B83" s="1" t="s">
        <v>80</v>
      </c>
      <c r="G83" s="3">
        <f>+G48</f>
        <v>2351</v>
      </c>
      <c r="H83" s="3">
        <f>+H48</f>
        <v>1947</v>
      </c>
      <c r="K83" s="3">
        <f>+K48</f>
        <v>2217</v>
      </c>
      <c r="L83" s="3">
        <f>+L48</f>
        <v>1688</v>
      </c>
    </row>
    <row r="84" spans="2:14" s="1" customFormat="1" x14ac:dyDescent="0.25">
      <c r="B84" s="1" t="s">
        <v>81</v>
      </c>
      <c r="C84" s="3"/>
      <c r="D84" s="3"/>
      <c r="E84" s="3"/>
      <c r="F84" s="3"/>
      <c r="G84" s="3">
        <v>2337</v>
      </c>
      <c r="H84" s="3">
        <f>4166-G84</f>
        <v>1829</v>
      </c>
      <c r="I84" s="3"/>
      <c r="J84" s="3"/>
      <c r="K84" s="3">
        <v>2220</v>
      </c>
      <c r="L84" s="3">
        <f>3888-K84</f>
        <v>1668</v>
      </c>
      <c r="M84" s="3"/>
      <c r="N84" s="3"/>
    </row>
    <row r="85" spans="2:14" s="1" customFormat="1" x14ac:dyDescent="0.25">
      <c r="B85" s="1" t="s">
        <v>88</v>
      </c>
      <c r="C85" s="3"/>
      <c r="D85" s="3"/>
      <c r="E85" s="3"/>
      <c r="F85" s="3"/>
      <c r="G85" s="3">
        <v>198</v>
      </c>
      <c r="H85" s="3">
        <f>409-G85</f>
        <v>211</v>
      </c>
      <c r="I85" s="3"/>
      <c r="J85" s="3"/>
      <c r="K85" s="3">
        <v>250</v>
      </c>
      <c r="L85" s="3">
        <f>486-K85</f>
        <v>236</v>
      </c>
      <c r="M85" s="3"/>
      <c r="N85" s="3"/>
    </row>
    <row r="86" spans="2:14" s="1" customFormat="1" x14ac:dyDescent="0.25">
      <c r="B86" s="1" t="s">
        <v>87</v>
      </c>
      <c r="C86" s="3"/>
      <c r="D86" s="3"/>
      <c r="E86" s="3"/>
      <c r="F86" s="3"/>
      <c r="G86" s="3">
        <v>423</v>
      </c>
      <c r="H86" s="3">
        <f>872-G86</f>
        <v>449</v>
      </c>
      <c r="I86" s="3"/>
      <c r="J86" s="3"/>
      <c r="K86" s="3">
        <v>609</v>
      </c>
      <c r="L86" s="3">
        <f>1209-K86</f>
        <v>600</v>
      </c>
      <c r="M86" s="3"/>
      <c r="N86" s="3"/>
    </row>
    <row r="87" spans="2:14" s="1" customFormat="1" x14ac:dyDescent="0.25">
      <c r="B87" s="1" t="s">
        <v>34</v>
      </c>
      <c r="C87" s="3"/>
      <c r="D87" s="3"/>
      <c r="E87" s="3"/>
      <c r="F87" s="3"/>
      <c r="G87" s="3">
        <v>24</v>
      </c>
      <c r="H87" s="3">
        <f>-307-G87</f>
        <v>-331</v>
      </c>
      <c r="I87" s="3"/>
      <c r="J87" s="3"/>
      <c r="K87" s="3">
        <v>-339</v>
      </c>
      <c r="L87" s="3">
        <f>-601-K87</f>
        <v>-262</v>
      </c>
      <c r="M87" s="3"/>
      <c r="N87" s="3"/>
    </row>
    <row r="88" spans="2:14" s="1" customFormat="1" x14ac:dyDescent="0.25">
      <c r="B88" s="1" t="s">
        <v>86</v>
      </c>
      <c r="C88" s="3"/>
      <c r="D88" s="3"/>
      <c r="E88" s="3"/>
      <c r="F88" s="3"/>
      <c r="G88" s="3">
        <v>197</v>
      </c>
      <c r="H88" s="3">
        <f>197-G88</f>
        <v>0</v>
      </c>
      <c r="I88" s="3"/>
      <c r="J88" s="3"/>
      <c r="K88" s="3">
        <v>26</v>
      </c>
      <c r="L88" s="3">
        <f>26-K88</f>
        <v>0</v>
      </c>
      <c r="M88" s="3"/>
      <c r="N88" s="3"/>
    </row>
    <row r="89" spans="2:14" s="1" customFormat="1" x14ac:dyDescent="0.25">
      <c r="B89" s="1" t="s">
        <v>85</v>
      </c>
      <c r="C89" s="3"/>
      <c r="D89" s="3"/>
      <c r="E89" s="3"/>
      <c r="F89" s="3"/>
      <c r="G89" s="3">
        <v>51</v>
      </c>
      <c r="H89" s="3">
        <f>102-G89</f>
        <v>51</v>
      </c>
      <c r="I89" s="3"/>
      <c r="J89" s="3"/>
      <c r="K89" s="3">
        <v>78</v>
      </c>
      <c r="L89" s="3">
        <f>155-K89</f>
        <v>77</v>
      </c>
      <c r="M89" s="3"/>
      <c r="N89" s="3"/>
    </row>
    <row r="90" spans="2:14" s="1" customFormat="1" x14ac:dyDescent="0.25">
      <c r="B90" s="1" t="s">
        <v>84</v>
      </c>
      <c r="C90" s="3"/>
      <c r="D90" s="3"/>
      <c r="E90" s="3"/>
      <c r="F90" s="3"/>
      <c r="G90" s="3">
        <v>69</v>
      </c>
      <c r="H90" s="3">
        <f>213-G90</f>
        <v>144</v>
      </c>
      <c r="I90" s="3"/>
      <c r="J90" s="3"/>
      <c r="K90" s="3">
        <v>233</v>
      </c>
      <c r="L90" s="3">
        <f>291-K90</f>
        <v>58</v>
      </c>
      <c r="M90" s="3"/>
      <c r="N90" s="3"/>
    </row>
    <row r="91" spans="2:14" s="1" customFormat="1" x14ac:dyDescent="0.25">
      <c r="B91" s="1" t="s">
        <v>83</v>
      </c>
      <c r="C91" s="3"/>
      <c r="D91" s="3"/>
      <c r="E91" s="3"/>
      <c r="F91" s="3"/>
      <c r="G91" s="3">
        <v>-1321</v>
      </c>
      <c r="H91" s="3">
        <f>-1447-G91</f>
        <v>-126</v>
      </c>
      <c r="I91" s="3"/>
      <c r="J91" s="3"/>
      <c r="K91" s="3">
        <v>-875</v>
      </c>
      <c r="L91" s="3">
        <f>-1724-K91</f>
        <v>-849</v>
      </c>
      <c r="M91" s="3"/>
      <c r="N91" s="3"/>
    </row>
    <row r="92" spans="2:14" s="1" customFormat="1" x14ac:dyDescent="0.25">
      <c r="B92" s="1" t="s">
        <v>82</v>
      </c>
      <c r="C92" s="3"/>
      <c r="D92" s="3"/>
      <c r="E92" s="3"/>
      <c r="F92" s="3"/>
      <c r="G92" s="3">
        <f>SUM(G84:G91)</f>
        <v>1978</v>
      </c>
      <c r="H92" s="3">
        <f>SUM(H84:H91)</f>
        <v>2227</v>
      </c>
      <c r="I92" s="3"/>
      <c r="J92" s="3"/>
      <c r="K92" s="3">
        <f>SUM(K84:K91)</f>
        <v>2202</v>
      </c>
      <c r="L92" s="3">
        <f>SUM(L84:L91)</f>
        <v>1528</v>
      </c>
      <c r="M92" s="3"/>
      <c r="N92" s="3"/>
    </row>
    <row r="94" spans="2:14" s="1" customFormat="1" x14ac:dyDescent="0.25">
      <c r="B94" s="1" t="s">
        <v>72</v>
      </c>
      <c r="C94" s="3"/>
      <c r="D94" s="3"/>
      <c r="E94" s="3"/>
      <c r="F94" s="3"/>
      <c r="G94" s="3">
        <v>-1343</v>
      </c>
      <c r="H94" s="3">
        <f>-1425-G94</f>
        <v>-82</v>
      </c>
      <c r="I94" s="3"/>
      <c r="J94" s="3"/>
      <c r="K94" s="3">
        <v>-40</v>
      </c>
      <c r="L94" s="3">
        <f>-40-K94</f>
        <v>0</v>
      </c>
      <c r="M94" s="3"/>
      <c r="N94" s="3"/>
    </row>
    <row r="95" spans="2:14" s="1" customFormat="1" x14ac:dyDescent="0.25">
      <c r="B95" s="1" t="s">
        <v>90</v>
      </c>
      <c r="C95" s="3"/>
      <c r="D95" s="3"/>
      <c r="E95" s="3"/>
      <c r="F95" s="3"/>
      <c r="G95" s="3">
        <v>-628</v>
      </c>
      <c r="H95" s="3">
        <f>-1168-G95</f>
        <v>-540</v>
      </c>
      <c r="I95" s="3"/>
      <c r="J95" s="3"/>
      <c r="K95" s="3">
        <v>-640</v>
      </c>
      <c r="L95" s="3">
        <f>-1146-K95</f>
        <v>-506</v>
      </c>
      <c r="M95" s="3"/>
      <c r="N95" s="3"/>
    </row>
    <row r="96" spans="2:14" s="1" customFormat="1" x14ac:dyDescent="0.25">
      <c r="B96" s="1" t="s">
        <v>91</v>
      </c>
      <c r="C96" s="3"/>
      <c r="D96" s="3"/>
      <c r="E96" s="3"/>
      <c r="F96" s="3"/>
      <c r="G96" s="3">
        <v>5</v>
      </c>
      <c r="H96" s="3">
        <f>5-G96</f>
        <v>0</v>
      </c>
      <c r="I96" s="3"/>
      <c r="J96" s="3"/>
      <c r="K96" s="3">
        <v>2</v>
      </c>
      <c r="L96" s="3">
        <f>14-K96</f>
        <v>12</v>
      </c>
      <c r="M96" s="3"/>
      <c r="N96" s="3"/>
    </row>
    <row r="97" spans="2:14" s="1" customFormat="1" x14ac:dyDescent="0.25">
      <c r="B97" s="1" t="s">
        <v>29</v>
      </c>
      <c r="C97" s="3"/>
      <c r="D97" s="3"/>
      <c r="E97" s="3"/>
      <c r="F97" s="3"/>
      <c r="G97" s="3">
        <v>-32</v>
      </c>
      <c r="H97" s="3">
        <f>-36-G97</f>
        <v>-4</v>
      </c>
      <c r="I97" s="3"/>
      <c r="J97" s="3"/>
      <c r="K97" s="3">
        <v>8</v>
      </c>
      <c r="L97" s="3">
        <f>83-K97</f>
        <v>75</v>
      </c>
      <c r="M97" s="3"/>
      <c r="N97" s="3"/>
    </row>
    <row r="98" spans="2:14" s="1" customFormat="1" x14ac:dyDescent="0.25">
      <c r="B98" s="1" t="s">
        <v>89</v>
      </c>
      <c r="C98" s="3"/>
      <c r="D98" s="3"/>
      <c r="E98" s="3"/>
      <c r="F98" s="3"/>
      <c r="G98" s="3">
        <f>SUM(G94:G97)</f>
        <v>-1998</v>
      </c>
      <c r="H98" s="3">
        <f>SUM(H94:H97)</f>
        <v>-626</v>
      </c>
      <c r="I98" s="3"/>
      <c r="J98" s="3"/>
      <c r="K98" s="3">
        <f>SUM(K94:K97)</f>
        <v>-670</v>
      </c>
      <c r="L98" s="3">
        <f>SUM(L94:L97)</f>
        <v>-419</v>
      </c>
      <c r="M98" s="3"/>
      <c r="N98" s="3"/>
    </row>
    <row r="100" spans="2:14" s="1" customFormat="1" x14ac:dyDescent="0.25">
      <c r="B100" s="1" t="s">
        <v>4</v>
      </c>
      <c r="C100" s="3"/>
      <c r="D100" s="3"/>
      <c r="E100" s="3"/>
      <c r="F100" s="3"/>
      <c r="G100" s="3">
        <v>-2803</v>
      </c>
      <c r="H100" s="3">
        <f>-2803-G100</f>
        <v>0</v>
      </c>
      <c r="I100" s="3"/>
      <c r="J100" s="3"/>
      <c r="K100" s="3">
        <f>-375+626-1259</f>
        <v>-1008</v>
      </c>
      <c r="L100" s="3">
        <f>-375+1032-3490-K100</f>
        <v>-1825</v>
      </c>
      <c r="M100" s="3"/>
      <c r="N100" s="3"/>
    </row>
    <row r="101" spans="2:14" s="1" customFormat="1" x14ac:dyDescent="0.25">
      <c r="B101" s="1" t="s">
        <v>92</v>
      </c>
      <c r="C101" s="3"/>
      <c r="D101" s="3"/>
      <c r="E101" s="3"/>
      <c r="F101" s="3"/>
      <c r="G101" s="3">
        <v>-2000</v>
      </c>
      <c r="H101" s="3">
        <f>-2000-G101</f>
        <v>0</v>
      </c>
      <c r="I101" s="3"/>
      <c r="J101" s="3"/>
      <c r="K101" s="3">
        <v>-2000</v>
      </c>
      <c r="L101" s="3">
        <f>-2000-K101</f>
        <v>0</v>
      </c>
      <c r="M101" s="3"/>
      <c r="N101" s="3"/>
    </row>
    <row r="102" spans="2:14" s="1" customFormat="1" x14ac:dyDescent="0.25">
      <c r="B102" s="1" t="s">
        <v>93</v>
      </c>
      <c r="C102" s="3"/>
      <c r="D102" s="3"/>
      <c r="E102" s="3"/>
      <c r="F102" s="3"/>
      <c r="G102" s="3">
        <v>-87</v>
      </c>
      <c r="H102" s="3">
        <f>-190-G102</f>
        <v>-103</v>
      </c>
      <c r="I102" s="3"/>
      <c r="J102" s="3"/>
      <c r="K102" s="3">
        <v>-103</v>
      </c>
      <c r="L102" s="3">
        <f>-220-K102</f>
        <v>-117</v>
      </c>
      <c r="M102" s="3"/>
      <c r="N102" s="3"/>
    </row>
    <row r="103" spans="2:14" s="1" customFormat="1" x14ac:dyDescent="0.25">
      <c r="B103" s="1" t="s">
        <v>94</v>
      </c>
      <c r="C103" s="3"/>
      <c r="D103" s="3"/>
      <c r="E103" s="3"/>
      <c r="F103" s="3"/>
      <c r="G103" s="3">
        <v>20</v>
      </c>
      <c r="H103" s="3">
        <f>72-G103</f>
        <v>52</v>
      </c>
      <c r="I103" s="3"/>
      <c r="J103" s="3"/>
      <c r="K103" s="3">
        <v>2</v>
      </c>
      <c r="L103" s="3">
        <f>51-K103</f>
        <v>49</v>
      </c>
      <c r="M103" s="3"/>
      <c r="N103" s="3"/>
    </row>
    <row r="104" spans="2:14" s="1" customFormat="1" x14ac:dyDescent="0.25">
      <c r="B104" s="1" t="s">
        <v>29</v>
      </c>
      <c r="C104" s="3"/>
      <c r="D104" s="3"/>
      <c r="E104" s="3"/>
      <c r="F104" s="3"/>
      <c r="G104" s="3">
        <v>20</v>
      </c>
      <c r="H104" s="3">
        <f>-5-G104</f>
        <v>-25</v>
      </c>
      <c r="I104" s="3"/>
      <c r="J104" s="3"/>
      <c r="K104" s="3">
        <v>-36</v>
      </c>
      <c r="L104" s="3">
        <f>-48-K104</f>
        <v>-12</v>
      </c>
      <c r="M104" s="3"/>
      <c r="N104" s="3"/>
    </row>
    <row r="105" spans="2:14" s="1" customFormat="1" x14ac:dyDescent="0.25">
      <c r="B105" s="1" t="s">
        <v>95</v>
      </c>
      <c r="C105" s="3"/>
      <c r="D105" s="3"/>
      <c r="E105" s="3"/>
      <c r="F105" s="3"/>
      <c r="G105" s="3">
        <f>SUM(G100:G104)</f>
        <v>-4850</v>
      </c>
      <c r="H105" s="3">
        <f>SUM(H100:H104)</f>
        <v>-76</v>
      </c>
      <c r="I105" s="3"/>
      <c r="J105" s="3"/>
      <c r="K105" s="3">
        <f>SUM(K100:K104)</f>
        <v>-3145</v>
      </c>
      <c r="L105" s="3">
        <f>SUM(L100:L104)</f>
        <v>-1905</v>
      </c>
      <c r="M105" s="3"/>
      <c r="N105" s="3"/>
    </row>
    <row r="107" spans="2:14" x14ac:dyDescent="0.25">
      <c r="B107" s="1" t="s">
        <v>97</v>
      </c>
      <c r="G107" s="2">
        <v>137</v>
      </c>
      <c r="H107" s="2">
        <f>44-G107</f>
        <v>-93</v>
      </c>
      <c r="K107" s="2">
        <v>-99</v>
      </c>
      <c r="L107" s="2">
        <f>-177-K107</f>
        <v>-78</v>
      </c>
    </row>
    <row r="108" spans="2:14" x14ac:dyDescent="0.25">
      <c r="B108" s="1" t="s">
        <v>96</v>
      </c>
      <c r="G108" s="3">
        <f>+G92+G98+G105+G107</f>
        <v>-4733</v>
      </c>
      <c r="H108" s="3">
        <f>+H92+H98+H105+H107</f>
        <v>1432</v>
      </c>
      <c r="K108" s="3">
        <f>+K92+K98+K105+K107</f>
        <v>-1712</v>
      </c>
      <c r="L108" s="3">
        <f>+L92+L98+L105+L107</f>
        <v>-874</v>
      </c>
    </row>
    <row r="110" spans="2:14" x14ac:dyDescent="0.25">
      <c r="B110" s="1" t="s">
        <v>98</v>
      </c>
      <c r="G110" s="3">
        <f>+G92+G95</f>
        <v>1350</v>
      </c>
      <c r="H110" s="3">
        <f>+H92+H95</f>
        <v>1687</v>
      </c>
      <c r="K110" s="3">
        <f>+K92+K95</f>
        <v>1562</v>
      </c>
      <c r="L110" s="3">
        <f>+L92+L95</f>
        <v>1022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2022-09-19T02:30:39Z</dcterms:created>
  <dcterms:modified xsi:type="dcterms:W3CDTF">2026-07-23T19:20:49Z</dcterms:modified>
</cp:coreProperties>
</file>