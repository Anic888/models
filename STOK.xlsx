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7E8656E6-B1C5-4808-B795-6BA31DD2341A}" xr6:coauthVersionLast="47" xr6:coauthVersionMax="47" xr10:uidLastSave="{00000000-0000-0000-0000-000000000000}"/>
  <bookViews>
    <workbookView xWindow="12920" yWindow="2910" windowWidth="22360" windowHeight="16580" activeTab="1" xr2:uid="{9024F15D-1557-4FE8-A373-5AE491D543C5}"/>
  </bookViews>
  <sheets>
    <sheet name="Main" sheetId="1" r:id="rId1"/>
    <sheet name="zorevuners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" i="1" l="1"/>
  <c r="J5" i="1"/>
  <c r="J4" i="1"/>
</calcChain>
</file>

<file path=xl/sharedStrings.xml><?xml version="1.0" encoding="utf-8"?>
<sst xmlns="http://schemas.openxmlformats.org/spreadsheetml/2006/main" count="22" uniqueCount="17">
  <si>
    <t>Price</t>
  </si>
  <si>
    <t>Shares</t>
  </si>
  <si>
    <t>MC</t>
  </si>
  <si>
    <t>Cash</t>
  </si>
  <si>
    <t>Debt</t>
  </si>
  <si>
    <t>EV</t>
  </si>
  <si>
    <t>Q126</t>
  </si>
  <si>
    <t>Name</t>
  </si>
  <si>
    <t>zorevunersen</t>
  </si>
  <si>
    <t>Indication</t>
  </si>
  <si>
    <t>Dravet</t>
  </si>
  <si>
    <t>Main</t>
  </si>
  <si>
    <t>Brand</t>
  </si>
  <si>
    <t>Generic</t>
  </si>
  <si>
    <t>Clinical Trials</t>
  </si>
  <si>
    <t>Phase III "EMPEROR"</t>
  </si>
  <si>
    <t>mid 2027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</si>
</sst>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u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1" fillId="0" borderId="0" xfId="0" applyFont="1" applyAlignment="1">
      <alignment horizontal="right"/>
    </xf>
    <xf numFmtId="3" fontId="1" fillId="0" borderId="0" xfId="0" applyNumberFormat="1" applyFont="1"/>
    <xf numFmtId="0" fontId="1" fillId="0" borderId="0" xfId="0" quotePrefix="1" applyFont="1"/>
    <xf numFmtId="0" fontId="3" fillId="0" borderId="0" xfId="0" applyFont="1"/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5A76-7908-4E4C-984A-36311566740E}">
  <dimension ref="B2:K7"/>
  <sheetViews>
    <sheetView zoomScale="160" zoomScaleNormal="160" workbookViewId="0">
      <selection activeCell="C3" sqref="C3"/>
    </sheetView>
  </sheetViews>
  <sheetFormatPr defaultRowHeight="12.5" x14ac:dyDescent="0.25"/>
  <cols>
    <col min="1" max="1" width="3.81640625" style="1" customWidth="1"/>
    <col min="2" max="2" width="11.54296875" style="1" bestFit="1" customWidth="1"/>
    <col min="3" max="16384" width="8.7265625" style="1"/>
  </cols>
  <sheetData>
    <row r="2" spans="2:11" x14ac:dyDescent="0.25">
      <c r="B2" s="1" t="s">
        <v>7</v>
      </c>
      <c r="C2" s="1" t="s">
        <v>9</v>
      </c>
      <c r="I2" s="1" t="s">
        <v>0</v>
      </c>
      <c r="J2" s="2">
        <v>29</v>
      </c>
    </row>
    <row r="3" spans="2:11" x14ac:dyDescent="0.25">
      <c r="B3" s="5" t="s">
        <v>8</v>
      </c>
      <c r="C3" s="1" t="s">
        <v>10</v>
      </c>
      <c r="I3" s="1" t="s">
        <v>1</v>
      </c>
      <c r="J3" s="4">
        <v>62.281655000000001</v>
      </c>
      <c r="K3" s="3" t="s">
        <v>6</v>
      </c>
    </row>
    <row r="4" spans="2:11" x14ac:dyDescent="0.25">
      <c r="I4" s="1" t="s">
        <v>2</v>
      </c>
      <c r="J4" s="4">
        <f>+J2*J3</f>
        <v>1806.167995</v>
      </c>
      <c r="K4" s="3"/>
    </row>
    <row r="5" spans="2:11" x14ac:dyDescent="0.25">
      <c r="I5" s="1" t="s">
        <v>3</v>
      </c>
      <c r="J5" s="4">
        <f>155.659+187.886+67.481</f>
        <v>411.02599999999995</v>
      </c>
      <c r="K5" s="3" t="s">
        <v>6</v>
      </c>
    </row>
    <row r="6" spans="2:11" x14ac:dyDescent="0.25">
      <c r="I6" s="1" t="s">
        <v>4</v>
      </c>
      <c r="J6" s="4">
        <v>0</v>
      </c>
      <c r="K6" s="3" t="s">
        <v>6</v>
      </c>
    </row>
    <row r="7" spans="2:11" x14ac:dyDescent="0.25">
      <c r="I7" s="1" t="s">
        <v>5</v>
      </c>
      <c r="J7" s="4">
        <f>+J4-J5+J6</f>
        <v>1395.141995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A6EB3-D284-4BC8-90D6-03614058EED3}">
  <dimension ref="A1:C7"/>
  <sheetViews>
    <sheetView tabSelected="1" zoomScale="175" zoomScaleNormal="175" workbookViewId="0">
      <selection activeCell="C8" sqref="C8"/>
    </sheetView>
  </sheetViews>
  <sheetFormatPr defaultRowHeight="12.5" x14ac:dyDescent="0.25"/>
  <cols>
    <col min="1" max="1" width="4.6328125" style="1" bestFit="1" customWidth="1"/>
    <col min="2" max="2" width="11.26953125" style="1" bestFit="1" customWidth="1"/>
    <col min="3" max="16384" width="8.7265625" style="1"/>
  </cols>
  <sheetData>
    <row r="1" spans="1:3" x14ac:dyDescent="0.25">
      <c r="A1" s="7" t="s">
        <v>11</v>
      </c>
    </row>
    <row r="2" spans="1:3" x14ac:dyDescent="0.25">
      <c r="B2" s="1" t="s">
        <v>12</v>
      </c>
    </row>
    <row r="3" spans="1:3" x14ac:dyDescent="0.25">
      <c r="B3" s="1" t="s">
        <v>13</v>
      </c>
      <c r="C3" s="5" t="s">
        <v>8</v>
      </c>
    </row>
    <row r="4" spans="1:3" x14ac:dyDescent="0.25">
      <c r="B4" s="1" t="s">
        <v>9</v>
      </c>
      <c r="C4" s="1" t="s">
        <v>10</v>
      </c>
    </row>
    <row r="5" spans="1:3" x14ac:dyDescent="0.25">
      <c r="B5" s="1" t="s">
        <v>14</v>
      </c>
    </row>
    <row r="6" spans="1:3" ht="13" x14ac:dyDescent="0.3">
      <c r="C6" s="6" t="s">
        <v>15</v>
      </c>
    </row>
    <row r="7" spans="1:3" x14ac:dyDescent="0.25">
      <c r="C7" s="1" t="s">
        <v>16</v>
      </c>
    </row>
  </sheetData>
  <hyperlinks>
    <hyperlink ref="A1" location="Main!A1" display="Main" xr:uid="{1DFC4FD3-DAC1-4C3D-95D9-AF980E39F9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zorevunersen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2026-07-15T15:08:03Z</dcterms:created>
  <dcterms:modified xsi:type="dcterms:W3CDTF">2026-07-15T15:14:13Z</dcterms:modified>
</cp:coreProperties>
</file>