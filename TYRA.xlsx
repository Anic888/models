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CFB6F2F0-CEA2-49AB-B121-801764F65BC1}" xr6:coauthVersionLast="47" xr6:coauthVersionMax="47" xr10:uidLastSave="{00000000-0000-0000-0000-000000000000}"/>
  <bookViews>
    <workbookView xWindow="13630" yWindow="4310" windowWidth="19050" windowHeight="16100" xr2:uid="{1AC557BE-EBE7-4E9D-B0E5-9BBE0B92BA2B}"/>
  </bookViews>
  <sheets>
    <sheet name="Main" sheetId="1" r:id="rId1"/>
    <sheet name="dabogratini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" i="1" l="1"/>
  <c r="I5" i="1"/>
  <c r="I4" i="1"/>
</calcChain>
</file>

<file path=xl/sharedStrings.xml><?xml version="1.0" encoding="utf-8"?>
<sst xmlns="http://schemas.openxmlformats.org/spreadsheetml/2006/main" count="32" uniqueCount="26">
  <si>
    <t>Price</t>
  </si>
  <si>
    <t>Shares</t>
  </si>
  <si>
    <t>MC</t>
  </si>
  <si>
    <t>Cash</t>
  </si>
  <si>
    <t>Debt</t>
  </si>
  <si>
    <t>EV</t>
  </si>
  <si>
    <t>Q126</t>
  </si>
  <si>
    <t>Name</t>
  </si>
  <si>
    <t>dabogratinib</t>
  </si>
  <si>
    <t>LG-UTUC, IR NMIBC, ACH</t>
  </si>
  <si>
    <t>Indication</t>
  </si>
  <si>
    <t>Main</t>
  </si>
  <si>
    <t>Brand</t>
  </si>
  <si>
    <t>Generic</t>
  </si>
  <si>
    <t>LG-UTUC</t>
  </si>
  <si>
    <t>Clinical Trials</t>
  </si>
  <si>
    <t>Phase III "SURF303"</t>
  </si>
  <si>
    <t>Phase II "BEACH301"</t>
  </si>
  <si>
    <t>MOA</t>
  </si>
  <si>
    <t>FGFR3 inhibitor</t>
  </si>
  <si>
    <t>Phase II "SURF302" IR NMIBC</t>
  </si>
  <si>
    <t>data by 1H26</t>
  </si>
  <si>
    <t>data 2H26</t>
  </si>
  <si>
    <t>Competition</t>
  </si>
  <si>
    <t>JNJ Balversa; LLY vepugratinib</t>
  </si>
  <si>
    <t>FGFR1-mediated hyperphosphatemia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</si>
</sst>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1" applyFont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4" fillId="0" borderId="1" xfId="1" quotePrefix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A85E6-26F1-4C87-ABB2-EC7BEAC876E9}">
  <dimension ref="B2:J7"/>
  <sheetViews>
    <sheetView tabSelected="1" zoomScale="145" zoomScaleNormal="145" workbookViewId="0">
      <selection activeCell="C5" sqref="C5"/>
    </sheetView>
  </sheetViews>
  <sheetFormatPr defaultRowHeight="12.5" x14ac:dyDescent="0.25"/>
  <cols>
    <col min="1" max="1" width="5" style="1" customWidth="1"/>
    <col min="2" max="2" width="10.6328125" style="1" bestFit="1" customWidth="1"/>
    <col min="3" max="3" width="22.81640625" style="1" bestFit="1" customWidth="1"/>
    <col min="4" max="16384" width="8.7265625" style="1"/>
  </cols>
  <sheetData>
    <row r="2" spans="2:10" x14ac:dyDescent="0.25">
      <c r="B2" s="11" t="s">
        <v>7</v>
      </c>
      <c r="C2" s="12" t="s">
        <v>10</v>
      </c>
      <c r="D2" s="12" t="s">
        <v>18</v>
      </c>
      <c r="E2" s="12"/>
      <c r="F2" s="13"/>
      <c r="H2" s="1" t="s">
        <v>0</v>
      </c>
      <c r="I2" s="1">
        <v>31.72</v>
      </c>
    </row>
    <row r="3" spans="2:10" x14ac:dyDescent="0.25">
      <c r="B3" s="14" t="s">
        <v>8</v>
      </c>
      <c r="C3" s="6" t="s">
        <v>9</v>
      </c>
      <c r="D3" s="6" t="s">
        <v>19</v>
      </c>
      <c r="E3" s="6"/>
      <c r="F3" s="7"/>
      <c r="H3" s="1" t="s">
        <v>1</v>
      </c>
      <c r="I3" s="2">
        <v>59.47</v>
      </c>
      <c r="J3" s="3" t="s">
        <v>6</v>
      </c>
    </row>
    <row r="4" spans="2:10" x14ac:dyDescent="0.25">
      <c r="B4" s="8"/>
      <c r="C4" s="9"/>
      <c r="D4" s="9"/>
      <c r="E4" s="9"/>
      <c r="F4" s="10"/>
      <c r="H4" s="1" t="s">
        <v>2</v>
      </c>
      <c r="I4" s="2">
        <f>+I2*I3</f>
        <v>1886.3883999999998</v>
      </c>
      <c r="J4" s="3"/>
    </row>
    <row r="5" spans="2:10" x14ac:dyDescent="0.25">
      <c r="H5" s="1" t="s">
        <v>3</v>
      </c>
      <c r="I5" s="2">
        <f>84.955+298.511</f>
        <v>383.46600000000001</v>
      </c>
      <c r="J5" s="3" t="s">
        <v>6</v>
      </c>
    </row>
    <row r="6" spans="2:10" x14ac:dyDescent="0.25">
      <c r="H6" s="1" t="s">
        <v>4</v>
      </c>
      <c r="I6" s="2">
        <v>0</v>
      </c>
      <c r="J6" s="3" t="s">
        <v>6</v>
      </c>
    </row>
    <row r="7" spans="2:10" x14ac:dyDescent="0.25">
      <c r="H7" s="1" t="s">
        <v>5</v>
      </c>
      <c r="I7" s="2">
        <f>+I4-I5+I6</f>
        <v>1502.9223999999999</v>
      </c>
    </row>
  </sheetData>
  <hyperlinks>
    <hyperlink ref="B3" location="dabogratinib!A1" display="dabogratinib" xr:uid="{4F5F248D-D466-4937-8968-FB53CD2F9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D2D8-2B4B-4002-858A-0A1F99323A27}">
  <dimension ref="A1:D16"/>
  <sheetViews>
    <sheetView zoomScale="160" zoomScaleNormal="160" workbookViewId="0">
      <selection activeCell="E11" sqref="E11"/>
    </sheetView>
  </sheetViews>
  <sheetFormatPr defaultRowHeight="12.5" x14ac:dyDescent="0.25"/>
  <cols>
    <col min="1" max="1" width="4.6328125" style="1" bestFit="1" customWidth="1"/>
    <col min="2" max="2" width="11.453125" style="1" bestFit="1" customWidth="1"/>
    <col min="3" max="16384" width="8.7265625" style="1"/>
  </cols>
  <sheetData>
    <row r="1" spans="1:4" x14ac:dyDescent="0.25">
      <c r="A1" s="5" t="s">
        <v>11</v>
      </c>
    </row>
    <row r="2" spans="1:4" x14ac:dyDescent="0.25">
      <c r="B2" s="1" t="s">
        <v>12</v>
      </c>
    </row>
    <row r="3" spans="1:4" x14ac:dyDescent="0.25">
      <c r="B3" s="1" t="s">
        <v>13</v>
      </c>
      <c r="C3" s="1" t="s">
        <v>8</v>
      </c>
    </row>
    <row r="4" spans="1:4" x14ac:dyDescent="0.25">
      <c r="B4" s="1" t="s">
        <v>10</v>
      </c>
      <c r="C4" s="1" t="s">
        <v>14</v>
      </c>
    </row>
    <row r="5" spans="1:4" x14ac:dyDescent="0.25">
      <c r="B5" s="1" t="s">
        <v>18</v>
      </c>
      <c r="C5" s="1" t="s">
        <v>19</v>
      </c>
    </row>
    <row r="6" spans="1:4" x14ac:dyDescent="0.25">
      <c r="B6" s="1" t="s">
        <v>23</v>
      </c>
      <c r="C6" s="1" t="s">
        <v>24</v>
      </c>
    </row>
    <row r="7" spans="1:4" x14ac:dyDescent="0.25">
      <c r="D7" s="1" t="s">
        <v>25</v>
      </c>
    </row>
    <row r="8" spans="1:4" x14ac:dyDescent="0.25">
      <c r="B8" s="1" t="s">
        <v>15</v>
      </c>
    </row>
    <row r="9" spans="1:4" ht="13" x14ac:dyDescent="0.3">
      <c r="C9" s="4" t="s">
        <v>16</v>
      </c>
    </row>
    <row r="11" spans="1:4" ht="13" x14ac:dyDescent="0.3">
      <c r="C11" s="4" t="s">
        <v>20</v>
      </c>
    </row>
    <row r="12" spans="1:4" x14ac:dyDescent="0.25">
      <c r="C12" s="1" t="s">
        <v>21</v>
      </c>
    </row>
    <row r="15" spans="1:4" ht="13" x14ac:dyDescent="0.3">
      <c r="C15" s="4" t="s">
        <v>17</v>
      </c>
    </row>
    <row r="16" spans="1:4" x14ac:dyDescent="0.25">
      <c r="C16" s="1" t="s">
        <v>22</v>
      </c>
    </row>
  </sheetData>
  <hyperlinks>
    <hyperlink ref="A1" location="Main!A1" display="Main" xr:uid="{FF7DF5F2-43AA-4EA8-AFE4-6FE5F6137A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dabogratinib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2026-07-27T14:05:45Z</dcterms:created>
  <dcterms:modified xsi:type="dcterms:W3CDTF">2026-07-27T14:27:26Z</dcterms:modified>
</cp:coreProperties>
</file>