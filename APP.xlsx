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3B94714-98A7-4C8D-9B1E-7DF40B3D1A85}" xr6:coauthVersionLast="47" xr6:coauthVersionMax="47" xr10:uidLastSave="{00000000-0000-0000-0000-000000000000}"/>
  <bookViews>
    <workbookView xWindow="15760" yWindow="650" windowWidth="22070" windowHeight="15460" activeTab="1" xr2:uid="{9D3513DD-3418-4219-8827-A91F6C35E82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2" l="1"/>
  <c r="W15" i="2"/>
  <c r="W10" i="2"/>
  <c r="W9" i="2"/>
  <c r="W8" i="2"/>
  <c r="W6" i="2"/>
  <c r="X13" i="2"/>
  <c r="Y13" i="2"/>
  <c r="W11" i="2"/>
  <c r="V11" i="2"/>
  <c r="V12" i="2" s="1"/>
  <c r="V14" i="2" s="1"/>
  <c r="V16" i="2" s="1"/>
  <c r="N10" i="2"/>
  <c r="O10" i="2" s="1"/>
  <c r="P10" i="2" s="1"/>
  <c r="Q10" i="2" s="1"/>
  <c r="R10" i="2" s="1"/>
  <c r="N9" i="2"/>
  <c r="O9" i="2" s="1"/>
  <c r="P9" i="2" s="1"/>
  <c r="Q9" i="2" s="1"/>
  <c r="R9" i="2" s="1"/>
  <c r="N8" i="2"/>
  <c r="O8" i="2" s="1"/>
  <c r="M43" i="2"/>
  <c r="M33" i="2"/>
  <c r="M35" i="2" s="1"/>
  <c r="Q5" i="2"/>
  <c r="Q7" i="2" s="1"/>
  <c r="Q6" i="2" s="1"/>
  <c r="P5" i="2"/>
  <c r="P7" i="2" s="1"/>
  <c r="O5" i="2"/>
  <c r="O7" i="2" s="1"/>
  <c r="Q20" i="2"/>
  <c r="P20" i="2"/>
  <c r="N5" i="2"/>
  <c r="R5" i="2" s="1"/>
  <c r="R20" i="2" s="1"/>
  <c r="X5" i="2"/>
  <c r="X20" i="2" s="1"/>
  <c r="N20" i="2"/>
  <c r="I20" i="2"/>
  <c r="G11" i="2"/>
  <c r="G7" i="2"/>
  <c r="K7" i="2"/>
  <c r="L24" i="2"/>
  <c r="M24" i="2" s="1"/>
  <c r="L23" i="2"/>
  <c r="L7" i="2"/>
  <c r="L21" i="2" s="1"/>
  <c r="K25" i="2"/>
  <c r="M23" i="2"/>
  <c r="N18" i="2"/>
  <c r="O18" i="2" s="1"/>
  <c r="K18" i="2"/>
  <c r="X18" i="2" s="1"/>
  <c r="M11" i="2"/>
  <c r="L11" i="2"/>
  <c r="K11" i="2"/>
  <c r="M7" i="2"/>
  <c r="M21" i="2" s="1"/>
  <c r="M20" i="2"/>
  <c r="W5" i="2"/>
  <c r="V5" i="2"/>
  <c r="D23" i="2"/>
  <c r="E23" i="2" s="1"/>
  <c r="F23" i="2" s="1"/>
  <c r="G20" i="2"/>
  <c r="H23" i="2"/>
  <c r="I23" i="2" s="1"/>
  <c r="J23" i="2" s="1"/>
  <c r="J25" i="2" s="1"/>
  <c r="K20" i="2"/>
  <c r="D13" i="2"/>
  <c r="D11" i="2"/>
  <c r="D7" i="2"/>
  <c r="H20" i="2"/>
  <c r="H7" i="2"/>
  <c r="H11" i="2"/>
  <c r="J20" i="2"/>
  <c r="F11" i="2"/>
  <c r="F7" i="2"/>
  <c r="J13" i="2"/>
  <c r="W13" i="2" s="1"/>
  <c r="J11" i="2"/>
  <c r="J7" i="2"/>
  <c r="I24" i="2"/>
  <c r="I7" i="2"/>
  <c r="I11" i="2"/>
  <c r="E11" i="2"/>
  <c r="E7" i="2"/>
  <c r="E12" i="2" s="1"/>
  <c r="E14" i="2" s="1"/>
  <c r="E16" i="2" s="1"/>
  <c r="E17" i="2" s="1"/>
  <c r="K4" i="1"/>
  <c r="K7" i="1" s="1"/>
  <c r="R7" i="2" l="1"/>
  <c r="R21" i="2" s="1"/>
  <c r="Y10" i="2"/>
  <c r="Y9" i="2"/>
  <c r="N11" i="2"/>
  <c r="W7" i="2"/>
  <c r="O6" i="2"/>
  <c r="O21" i="2"/>
  <c r="P8" i="2"/>
  <c r="Q8" i="2" s="1"/>
  <c r="R8" i="2" s="1"/>
  <c r="R11" i="2" s="1"/>
  <c r="R12" i="2" s="1"/>
  <c r="R14" i="2" s="1"/>
  <c r="R15" i="2" s="1"/>
  <c r="R16" i="2" s="1"/>
  <c r="Y8" i="2"/>
  <c r="Y11" i="2"/>
  <c r="P6" i="2"/>
  <c r="P21" i="2"/>
  <c r="P18" i="2"/>
  <c r="Q18" i="2" s="1"/>
  <c r="R18" i="2" s="1"/>
  <c r="Y18" i="2"/>
  <c r="X9" i="2"/>
  <c r="W12" i="2"/>
  <c r="W14" i="2" s="1"/>
  <c r="R6" i="2"/>
  <c r="P11" i="2"/>
  <c r="P12" i="2" s="1"/>
  <c r="P14" i="2" s="1"/>
  <c r="P15" i="2" s="1"/>
  <c r="P16" i="2" s="1"/>
  <c r="P17" i="2" s="1"/>
  <c r="M12" i="2"/>
  <c r="M14" i="2" s="1"/>
  <c r="M16" i="2" s="1"/>
  <c r="M17" i="2" s="1"/>
  <c r="O11" i="2"/>
  <c r="O12" i="2" s="1"/>
  <c r="O14" i="2" s="1"/>
  <c r="O15" i="2" s="1"/>
  <c r="X8" i="2"/>
  <c r="N7" i="2"/>
  <c r="Q21" i="2"/>
  <c r="Q11" i="2"/>
  <c r="Q12" i="2" s="1"/>
  <c r="Q14" i="2" s="1"/>
  <c r="Q15" i="2" s="1"/>
  <c r="Q16" i="2" s="1"/>
  <c r="Q17" i="2" s="1"/>
  <c r="X10" i="2"/>
  <c r="X11" i="2" s="1"/>
  <c r="W16" i="2"/>
  <c r="W17" i="2" s="1"/>
  <c r="Y5" i="2"/>
  <c r="Y20" i="2" s="1"/>
  <c r="M25" i="2"/>
  <c r="G12" i="2"/>
  <c r="G14" i="2" s="1"/>
  <c r="G16" i="2" s="1"/>
  <c r="O20" i="2"/>
  <c r="K12" i="2"/>
  <c r="K14" i="2" s="1"/>
  <c r="K16" i="2" s="1"/>
  <c r="K17" i="2" s="1"/>
  <c r="L12" i="2"/>
  <c r="L14" i="2" s="1"/>
  <c r="L16" i="2" s="1"/>
  <c r="L17" i="2" s="1"/>
  <c r="L25" i="2"/>
  <c r="H12" i="2"/>
  <c r="H14" i="2" s="1"/>
  <c r="H16" i="2" s="1"/>
  <c r="H17" i="2" s="1"/>
  <c r="W20" i="2"/>
  <c r="L20" i="2"/>
  <c r="X23" i="2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V23" i="2"/>
  <c r="V26" i="2" s="1"/>
  <c r="W23" i="2"/>
  <c r="W26" i="2" s="1"/>
  <c r="I25" i="2"/>
  <c r="D12" i="2"/>
  <c r="D14" i="2" s="1"/>
  <c r="D16" i="2" s="1"/>
  <c r="D17" i="2" s="1"/>
  <c r="J12" i="2"/>
  <c r="J14" i="2" s="1"/>
  <c r="J16" i="2" s="1"/>
  <c r="J17" i="2" s="1"/>
  <c r="I12" i="2"/>
  <c r="I14" i="2" s="1"/>
  <c r="I16" i="2" s="1"/>
  <c r="I17" i="2" s="1"/>
  <c r="F12" i="2"/>
  <c r="F14" i="2" s="1"/>
  <c r="F16" i="2" s="1"/>
  <c r="F17" i="2" s="1"/>
  <c r="R17" i="2" l="1"/>
  <c r="N6" i="2"/>
  <c r="X6" i="2" s="1"/>
  <c r="X7" i="2" s="1"/>
  <c r="N21" i="2"/>
  <c r="X12" i="2"/>
  <c r="X14" i="2" s="1"/>
  <c r="O16" i="2"/>
  <c r="O17" i="2" s="1"/>
  <c r="Y15" i="2"/>
  <c r="N12" i="2"/>
  <c r="N14" i="2" s="1"/>
  <c r="Y6" i="2"/>
  <c r="Y7" i="2" s="1"/>
  <c r="Y12" i="2" s="1"/>
  <c r="Y14" i="2" s="1"/>
  <c r="Y16" i="2" s="1"/>
  <c r="Y17" i="2" s="1"/>
  <c r="W27" i="2"/>
  <c r="X27" i="2"/>
  <c r="AN23" i="2"/>
  <c r="AO23" i="2" s="1"/>
  <c r="AP23" i="2" s="1"/>
  <c r="AQ23" i="2" s="1"/>
  <c r="AR23" i="2" s="1"/>
  <c r="AM29" i="2"/>
  <c r="AM30" i="2" s="1"/>
  <c r="AG29" i="2"/>
  <c r="AG30" i="2" s="1"/>
  <c r="N15" i="2" l="1"/>
  <c r="X15" i="2" s="1"/>
  <c r="X16" i="2"/>
  <c r="X17" i="2" s="1"/>
  <c r="AS23" i="2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AR29" i="2"/>
  <c r="AR30" i="2" s="1"/>
  <c r="N16" i="2" l="1"/>
  <c r="N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tc={636ED7F0-D535-4D24-970C-F779D782016A}</author>
    <author>tc={5B4B2F86-A43F-4ABE-B786-15E06723EA2A}</author>
    <author>tc={8776E06D-3F74-4C5D-B909-5F514E8271F4}</author>
    <author>tc={5A58F8D1-7321-4C11-BE33-FD86458168C1}</author>
    <author>tc={752097DE-873B-4560-9FF1-60771E356C8D}</author>
    <author>tc={B2402297-0375-440D-85FD-152BE469B558}</author>
    <author>tc={929DEE8D-5D3A-4FD8-BFD5-091C8EF151E0}</author>
    <author>tc={D5193C2B-86F7-43E5-BFE4-348824A0994B}</author>
    <author>tc={CFD90A10-95E1-4685-9737-744BC3CDE9F7}</author>
    <author>tc={E36349A3-74AB-4B42-A703-37C331ADDB42}</author>
    <author>tc={EE903976-C52D-4088-A73E-B356AF686565}</author>
    <author>tc={E2A2FECB-85E3-4500-AA7E-EE309E13D936}</author>
    <author>tc={4733732B-E8EF-4457-A19A-4F0F1DEF3D41}</author>
  </authors>
  <commentList>
    <comment ref="H5" authorId="0" shapeId="0" xr:uid="{636ED7F0-D535-4D24-970C-F779D782016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1080m</t>
      </text>
    </comment>
    <comment ref="I5" authorId="1" shapeId="0" xr:uid="{5B4B2F86-A43F-4ABE-B786-15E06723EA2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1198.235m</t>
      </text>
    </comment>
    <comment ref="K5" authorId="2" shapeId="0" xr:uid="{8776E06D-3F74-4C5D-B909-5F514E8271F4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1355-1385
5/7/25 consensus 1380
5/7/25 Godel eps 1.44, BB 1.46</t>
      </text>
    </comment>
    <comment ref="L5" authorId="3" shapeId="0" xr:uid="{5A58F8D1-7321-4C11-BE33-FD86458168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5/7/25 consensus: 1400m, BB 1390m
</t>
      </text>
    </comment>
    <comment ref="X5" authorId="4" shapeId="0" xr:uid="{752097DE-873B-4560-9FF1-60771E356C8D}">
      <text>
        <t>[Threaded comment]
Your version of Excel allows you to read this threaded comment; however, any edits to it will get removed if the file is opened in a newer version of Excel. Learn more: https://go.microsoft.com/fwlink/?linkid=870924
Comment:
    5/7/25 BB, GD consensus 5.63B</t>
      </text>
    </comment>
    <comment ref="H6" authorId="5" shapeId="0" xr:uid="{B2402297-0375-440D-85FD-152BE469B55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283m</t>
      </text>
    </comment>
    <comment ref="I6" authorId="6" shapeId="0" xr:uid="{929DEE8D-5D3A-4FD8-BFD5-091C8EF151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Was 269.659m </t>
      </text>
    </comment>
    <comment ref="H8" authorId="7" shapeId="0" xr:uid="{D5193C2B-86F7-43E5-BFE4-348824A0994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202m</t>
      </text>
    </comment>
    <comment ref="I8" authorId="8" shapeId="0" xr:uid="{CFD90A10-95E1-4685-9737-744BC3CDE9F7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206m</t>
      </text>
    </comment>
    <comment ref="H9" authorId="9" shapeId="0" xr:uid="{E36349A3-74AB-4B42-A703-37C331ADDB4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39m</t>
      </text>
    </comment>
    <comment ref="I9" authorId="10" shapeId="0" xr:uid="{EE903976-C52D-4088-A73E-B356AF68656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150m</t>
      </text>
    </comment>
    <comment ref="H10" authorId="11" shapeId="0" xr:uid="{E2A2FECB-85E3-4500-AA7E-EE309E13D93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41m</t>
      </text>
    </comment>
    <comment ref="I10" authorId="12" shapeId="0" xr:uid="{4733732B-E8EF-4457-A19A-4F0F1DEF3D4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38m?</t>
      </text>
    </comment>
  </commentList>
</comments>
</file>

<file path=xl/sharedStrings.xml><?xml version="1.0" encoding="utf-8"?>
<sst xmlns="http://schemas.openxmlformats.org/spreadsheetml/2006/main" count="62" uniqueCount="56">
  <si>
    <t>Price</t>
  </si>
  <si>
    <t>Shares</t>
  </si>
  <si>
    <t>MC</t>
  </si>
  <si>
    <t>Cash</t>
  </si>
  <si>
    <t>Debt</t>
  </si>
  <si>
    <t>EV</t>
  </si>
  <si>
    <t>Q324</t>
  </si>
  <si>
    <t>Main</t>
  </si>
  <si>
    <t>Revenue</t>
  </si>
  <si>
    <t>Q123</t>
  </si>
  <si>
    <t>Q223</t>
  </si>
  <si>
    <t>Q323</t>
  </si>
  <si>
    <t>Q423</t>
  </si>
  <si>
    <t>Q124</t>
  </si>
  <si>
    <t>Q224</t>
  </si>
  <si>
    <t>Q424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</si>
  <si>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</si>
  <si>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</si>
  <si>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</si>
  <si>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</si>
  <si>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</si>
  <si>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</si>
  <si>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</si>
  <si>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</si>
  <si>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</si>
  <si>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</si>
  <si>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</si>
  <si>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</si>
  <si>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Q125</t>
  </si>
  <si>
    <t>Q225</t>
  </si>
  <si>
    <t>Q325</t>
  </si>
  <si>
    <t>Q425</t>
  </si>
  <si>
    <t>Revenue y/y</t>
  </si>
  <si>
    <t>Apps</t>
  </si>
  <si>
    <t>Ads</t>
  </si>
  <si>
    <t>CFFO</t>
  </si>
  <si>
    <t>CX</t>
  </si>
  <si>
    <t>FCF</t>
  </si>
  <si>
    <t>CFFO margin</t>
  </si>
  <si>
    <t>Q126</t>
  </si>
  <si>
    <t>Q226</t>
  </si>
  <si>
    <t>Q326</t>
  </si>
  <si>
    <t>Q426</t>
  </si>
  <si>
    <t>Assets</t>
  </si>
  <si>
    <t>AR</t>
  </si>
  <si>
    <t>Prepaids</t>
  </si>
  <si>
    <t>PP&amp;E</t>
  </si>
  <si>
    <t>Goodwill</t>
  </si>
  <si>
    <t>ONCA</t>
  </si>
  <si>
    <t>L+SE</t>
  </si>
  <si>
    <t>SE</t>
  </si>
  <si>
    <t>AP</t>
  </si>
  <si>
    <t>AL</t>
  </si>
  <si>
    <t>DR</t>
  </si>
  <si>
    <t>ONCL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</si>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</sst>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CD55AD6-C227-4952-B4BF-3BB29D3C47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35600</xdr:colOff>
      <xdr:row>0</xdr:row>
      <xdr:rowOff>0</xdr:rowOff>
    </xdr:from>
    <xdr:to>
      <xdr:col>13</xdr:col>
      <xdr:colOff>35600</xdr:colOff>
      <xdr:row>44</xdr:row>
      <xdr:rowOff>138044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D647D5-FB81-9CB8-CC54-A6CE301CFBF7}"/>
            </a:ext>
          </a:extLst>
        </xdr:cNvPr>
        <xdr:cNvCxnSpPr/>
      </xdr:nvCxnSpPr>
      <xdr:spPr>
        <a:xfrm>
          <a:off x="8599817" y="0"/>
          <a:ext cx="0" cy="73549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36909</xdr:colOff>
      <xdr:row>0</xdr:row>
      <xdr:rowOff>0</xdr:rowOff>
    </xdr:from>
    <xdr:to>
      <xdr:col>23</xdr:col>
      <xdr:colOff>36909</xdr:colOff>
      <xdr:row>33</xdr:row>
      <xdr:rowOff>120025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E1D8CB-02FD-493A-A829-5E8834BBD1EA}"/>
            </a:ext>
          </a:extLst>
        </xdr:cNvPr>
        <xdr:cNvCxnSpPr/>
      </xdr:nvCxnSpPr>
      <xdr:spPr>
        <a:xfrm>
          <a:off x="11638083" y="0"/>
          <a:ext cx="0" cy="54153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DCF3CD3-C500-4AF0-9498-24228DD1F3D6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6-01-20T19:19:45.91" personId="{CDCF3CD3-C500-4AF0-9498-24228DD1F3D6}" id="{636ED7F0-D535-4D24-970C-F779D782016A}">
    <text>Was 1080m</text>
  </threadedComment>
  <threadedComment ref="I5" dT="2026-01-20T19:14:18.36" personId="{CDCF3CD3-C500-4AF0-9498-24228DD1F3D6}" id="{5B4B2F86-A43F-4ABE-B786-15E06723EA2A}">
    <text>Was 1198.235m</text>
  </threadedComment>
  <threadedComment ref="K5" dT="2025-05-07T17:42:44.05" personId="{CDCF3CD3-C500-4AF0-9498-24228DD1F3D6}" id="{8776E06D-3F74-4C5D-B909-5F514E8271F4}">
    <text>Q424 guidance: 1355-1385
5/7/25 consensus 1380
5/7/25 Godel eps 1.44, BB 1.46</text>
  </threadedComment>
  <threadedComment ref="L5" dT="2025-05-07T17:46:49.68" personId="{CDCF3CD3-C500-4AF0-9498-24228DD1F3D6}" id="{5A58F8D1-7321-4C11-BE33-FD86458168C1}">
    <text xml:space="preserve">5/7/25 consensus: 1400m, BB 1390m
</text>
  </threadedComment>
  <threadedComment ref="X5" dT="2025-05-07T17:47:14.90" personId="{CDCF3CD3-C500-4AF0-9498-24228DD1F3D6}" id="{752097DE-873B-4560-9FF1-60771E356C8D}">
    <text>5/7/25 BB, GD consensus 5.63B</text>
  </threadedComment>
  <threadedComment ref="H6" dT="2026-01-20T19:19:51.07" personId="{CDCF3CD3-C500-4AF0-9498-24228DD1F3D6}" id="{B2402297-0375-440D-85FD-152BE469B558}">
    <text>Was 283m</text>
  </threadedComment>
  <threadedComment ref="I6" dT="2026-01-20T19:14:37.14" personId="{CDCF3CD3-C500-4AF0-9498-24228DD1F3D6}" id="{929DEE8D-5D3A-4FD8-BFD5-091C8EF151E0}">
    <text xml:space="preserve">Was 269.659m </text>
  </threadedComment>
  <threadedComment ref="H8" dT="2026-01-20T19:19:57.89" personId="{CDCF3CD3-C500-4AF0-9498-24228DD1F3D6}" id="{D5193C2B-86F7-43E5-BFE4-348824A0994B}">
    <text>Was 202m</text>
  </threadedComment>
  <threadedComment ref="I8" dT="2026-01-20T19:14:46.40" personId="{CDCF3CD3-C500-4AF0-9498-24228DD1F3D6}" id="{CFD90A10-95E1-4685-9737-744BC3CDE9F7}">
    <text>Was 206m</text>
  </threadedComment>
  <threadedComment ref="H9" dT="2026-01-20T19:20:04.24" personId="{CDCF3CD3-C500-4AF0-9498-24228DD1F3D6}" id="{E36349A3-74AB-4B42-A703-37C331ADDB42}">
    <text>Was 39m</text>
  </threadedComment>
  <threadedComment ref="I9" dT="2026-01-20T19:14:53.03" personId="{CDCF3CD3-C500-4AF0-9498-24228DD1F3D6}" id="{EE903976-C52D-4088-A73E-B356AF686565}">
    <text>Was 150m</text>
  </threadedComment>
  <threadedComment ref="H10" dT="2026-01-20T19:20:28.08" personId="{CDCF3CD3-C500-4AF0-9498-24228DD1F3D6}" id="{E2A2FECB-85E3-4500-AA7E-EE309E13D936}">
    <text>Was 41m</text>
  </threadedComment>
  <threadedComment ref="I10" dT="2026-01-20T19:14:59.76" personId="{CDCF3CD3-C500-4AF0-9498-24228DD1F3D6}" id="{4733732B-E8EF-4457-A19A-4F0F1DEF3D41}">
    <text>Was 38m?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B4EB-6472-46BD-A0D3-B5A7B85DE441}">
  <dimension ref="J2:L7"/>
  <sheetViews>
    <sheetView zoomScale="145" zoomScaleNormal="145" workbookViewId="0"/>
  </sheetViews>
  <sheetFormatPr defaultRowHeight="12.5" x14ac:dyDescent="0.25"/>
  <sheetData>
    <row r="2" spans="10:12" x14ac:dyDescent="0.25">
      <c r="J2" t="s">
        <v>0</v>
      </c>
      <c r="K2" s="1">
        <v>563</v>
      </c>
    </row>
    <row r="3" spans="10:12" x14ac:dyDescent="0.25">
      <c r="J3" t="s">
        <v>1</v>
      </c>
      <c r="K3" s="2">
        <v>341</v>
      </c>
      <c r="L3" s="3" t="s">
        <v>30</v>
      </c>
    </row>
    <row r="4" spans="10:12" x14ac:dyDescent="0.25">
      <c r="J4" t="s">
        <v>2</v>
      </c>
      <c r="K4" s="2">
        <f>+K2*K3</f>
        <v>191983</v>
      </c>
    </row>
    <row r="5" spans="10:12" x14ac:dyDescent="0.25">
      <c r="J5" t="s">
        <v>3</v>
      </c>
      <c r="K5" s="2">
        <v>1667</v>
      </c>
      <c r="L5" s="3" t="s">
        <v>30</v>
      </c>
    </row>
    <row r="6" spans="10:12" x14ac:dyDescent="0.25">
      <c r="J6" t="s">
        <v>4</v>
      </c>
      <c r="K6" s="2">
        <v>3512</v>
      </c>
      <c r="L6" s="3" t="s">
        <v>30</v>
      </c>
    </row>
    <row r="7" spans="10:12" x14ac:dyDescent="0.25">
      <c r="J7" t="s">
        <v>5</v>
      </c>
      <c r="K7" s="2">
        <f>+K4-K5+K6</f>
        <v>193828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880E-57D9-4582-ABFA-84647DFD24DC}">
  <dimension ref="A1:CK43"/>
  <sheetViews>
    <sheetView tabSelected="1" zoomScale="115" zoomScaleNormal="11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M27" sqref="M27"/>
    </sheetView>
  </sheetViews>
  <sheetFormatPr defaultRowHeight="12.5" x14ac:dyDescent="0.25"/>
  <cols>
    <col min="1" max="1" width="5" bestFit="1" customWidth="1"/>
    <col min="2" max="2" width="18.1796875" bestFit="1" customWidth="1"/>
    <col min="3" max="10" width="9.1796875" style="3"/>
    <col min="25" max="25" width="9.26953125" customWidth="1"/>
    <col min="29" max="29" width="8.26953125" customWidth="1"/>
    <col min="33" max="33" width="10.08984375" bestFit="1" customWidth="1"/>
    <col min="39" max="39" width="10.08984375" bestFit="1" customWidth="1"/>
    <col min="44" max="44" width="11.54296875" bestFit="1" customWidth="1"/>
  </cols>
  <sheetData>
    <row r="1" spans="1:27" x14ac:dyDescent="0.25">
      <c r="A1" s="8" t="s">
        <v>7</v>
      </c>
    </row>
    <row r="2" spans="1:27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6</v>
      </c>
      <c r="J2" s="3" t="s">
        <v>15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39</v>
      </c>
      <c r="P2" s="3" t="s">
        <v>40</v>
      </c>
      <c r="Q2" s="3" t="s">
        <v>41</v>
      </c>
      <c r="R2" s="3" t="s">
        <v>42</v>
      </c>
      <c r="S2" s="3"/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</row>
    <row r="3" spans="1:27" s="2" customFormat="1" x14ac:dyDescent="0.25">
      <c r="B3" s="2" t="s">
        <v>34</v>
      </c>
      <c r="C3" s="5"/>
      <c r="D3" s="5"/>
      <c r="E3" s="5"/>
      <c r="F3" s="5">
        <v>576.48900000000003</v>
      </c>
      <c r="G3" s="5"/>
      <c r="H3" s="5"/>
      <c r="I3" s="5"/>
      <c r="J3" s="5">
        <v>999.48699999999997</v>
      </c>
      <c r="K3" s="5"/>
      <c r="L3" s="5">
        <v>1200</v>
      </c>
      <c r="M3" s="5"/>
      <c r="N3" s="5"/>
      <c r="O3" s="5"/>
      <c r="P3" s="5"/>
      <c r="Q3" s="5"/>
      <c r="R3" s="5"/>
      <c r="S3" s="5"/>
    </row>
    <row r="4" spans="1:27" s="2" customFormat="1" x14ac:dyDescent="0.25">
      <c r="B4" s="2" t="s">
        <v>33</v>
      </c>
      <c r="C4" s="5"/>
      <c r="D4" s="5"/>
      <c r="E4" s="5"/>
      <c r="F4" s="5">
        <v>376.77199999999999</v>
      </c>
      <c r="G4" s="5"/>
      <c r="H4" s="5"/>
      <c r="I4" s="5"/>
      <c r="J4" s="5">
        <v>373.29199999999997</v>
      </c>
      <c r="K4" s="5"/>
      <c r="L4" s="5">
        <v>300</v>
      </c>
      <c r="M4" s="5"/>
      <c r="N4" s="5"/>
      <c r="O4" s="5"/>
      <c r="P4" s="5"/>
      <c r="Q4" s="5"/>
      <c r="R4" s="5"/>
      <c r="S4" s="5"/>
    </row>
    <row r="5" spans="1:27" s="6" customFormat="1" ht="13" x14ac:dyDescent="0.3">
      <c r="B5" s="6" t="s">
        <v>8</v>
      </c>
      <c r="C5" s="7">
        <v>715.40499999999997</v>
      </c>
      <c r="D5" s="7">
        <v>750.16499999999996</v>
      </c>
      <c r="E5" s="7">
        <v>864.25599999999997</v>
      </c>
      <c r="F5" s="7">
        <v>953.26099999999997</v>
      </c>
      <c r="G5" s="7">
        <v>1058.115</v>
      </c>
      <c r="H5" s="7">
        <v>711.01499999999999</v>
      </c>
      <c r="I5" s="7">
        <v>835.18600000000004</v>
      </c>
      <c r="J5" s="7">
        <v>1372.779</v>
      </c>
      <c r="K5" s="6">
        <v>1484.021</v>
      </c>
      <c r="L5" s="6">
        <v>1258.7539999999999</v>
      </c>
      <c r="M5" s="6">
        <v>1405.0450000000001</v>
      </c>
      <c r="N5" s="6">
        <f>+J3*1.6</f>
        <v>1599.1792</v>
      </c>
      <c r="O5" s="6">
        <f>1100*1.5</f>
        <v>1650</v>
      </c>
      <c r="P5" s="6">
        <f>+L5*1.4</f>
        <v>1762.2555999999997</v>
      </c>
      <c r="Q5" s="6">
        <f>+M5*1.3</f>
        <v>1826.5585000000001</v>
      </c>
      <c r="R5" s="6">
        <f>+N5*1.5</f>
        <v>2398.7687999999998</v>
      </c>
      <c r="V5" s="6">
        <f>SUM(C5:F5)</f>
        <v>3283.087</v>
      </c>
      <c r="W5" s="6">
        <f>SUM(G5:J5)</f>
        <v>3977.0950000000003</v>
      </c>
      <c r="X5" s="6">
        <f>SUM(K5:N5)</f>
        <v>5746.9992000000002</v>
      </c>
      <c r="Y5" s="6">
        <f>SUM(O5:R5)</f>
        <v>7637.5828999999994</v>
      </c>
    </row>
    <row r="6" spans="1:27" s="2" customFormat="1" x14ac:dyDescent="0.25">
      <c r="B6" s="2" t="s">
        <v>16</v>
      </c>
      <c r="C6" s="5"/>
      <c r="D6" s="5">
        <v>258.57499999999999</v>
      </c>
      <c r="E6" s="5">
        <v>265.04899999999998</v>
      </c>
      <c r="F6" s="5">
        <v>273.60700000000003</v>
      </c>
      <c r="G6" s="5">
        <v>294.14800000000002</v>
      </c>
      <c r="H6" s="5">
        <v>121.759</v>
      </c>
      <c r="I6" s="5">
        <v>120.919</v>
      </c>
      <c r="J6" s="5">
        <v>320.452</v>
      </c>
      <c r="K6" s="2">
        <v>271.23200000000003</v>
      </c>
      <c r="L6" s="2">
        <v>155.07599999999999</v>
      </c>
      <c r="M6" s="2">
        <v>174.85499999999999</v>
      </c>
      <c r="N6" s="2">
        <f>+N5-N7</f>
        <v>191.90150399999993</v>
      </c>
      <c r="O6" s="2">
        <f t="shared" ref="O6:R6" si="0">+O5-O7</f>
        <v>198</v>
      </c>
      <c r="P6" s="2">
        <f t="shared" si="0"/>
        <v>211.47067199999992</v>
      </c>
      <c r="Q6" s="2">
        <f t="shared" si="0"/>
        <v>219.18702000000008</v>
      </c>
      <c r="R6" s="2">
        <f t="shared" si="0"/>
        <v>287.85225600000012</v>
      </c>
      <c r="W6" s="2">
        <f>SUM(G6:J6)</f>
        <v>857.27800000000002</v>
      </c>
      <c r="X6" s="2">
        <f>SUM(K6:N6)</f>
        <v>793.06450399999994</v>
      </c>
      <c r="Y6" s="2">
        <f>SUM(O6:R6)</f>
        <v>916.50994800000012</v>
      </c>
    </row>
    <row r="7" spans="1:27" s="2" customFormat="1" x14ac:dyDescent="0.25">
      <c r="B7" s="2" t="s">
        <v>17</v>
      </c>
      <c r="C7" s="5"/>
      <c r="D7" s="5">
        <f>+D5-D6</f>
        <v>491.59</v>
      </c>
      <c r="E7" s="5">
        <f>+E5-E6</f>
        <v>599.20699999999999</v>
      </c>
      <c r="F7" s="5">
        <f>+F5-F6</f>
        <v>679.654</v>
      </c>
      <c r="G7" s="2">
        <f>+G5-G6</f>
        <v>763.96699999999998</v>
      </c>
      <c r="H7" s="5">
        <f>+H5-H6</f>
        <v>589.25599999999997</v>
      </c>
      <c r="I7" s="5">
        <f>+I5-I6</f>
        <v>714.26700000000005</v>
      </c>
      <c r="J7" s="5">
        <f>+J5-J6</f>
        <v>1052.327</v>
      </c>
      <c r="K7" s="2">
        <f>+K5-K6</f>
        <v>1212.789</v>
      </c>
      <c r="L7" s="2">
        <f>+L5-L6</f>
        <v>1103.6779999999999</v>
      </c>
      <c r="M7" s="2">
        <f>+M5-M6</f>
        <v>1230.19</v>
      </c>
      <c r="N7" s="2">
        <f>+N5*0.88</f>
        <v>1407.2776960000001</v>
      </c>
      <c r="O7" s="2">
        <f t="shared" ref="O7:R7" si="1">+O5*0.88</f>
        <v>1452</v>
      </c>
      <c r="P7" s="2">
        <f t="shared" si="1"/>
        <v>1550.7849279999998</v>
      </c>
      <c r="Q7" s="2">
        <f t="shared" si="1"/>
        <v>1607.37148</v>
      </c>
      <c r="R7" s="2">
        <f t="shared" si="1"/>
        <v>2110.9165439999997</v>
      </c>
      <c r="W7" s="2">
        <f>+W5-W6</f>
        <v>3119.817</v>
      </c>
      <c r="X7" s="2">
        <f>+X5-X6</f>
        <v>4953.9346960000003</v>
      </c>
      <c r="Y7" s="2">
        <f>+Y5-Y6</f>
        <v>6721.0729519999995</v>
      </c>
    </row>
    <row r="8" spans="1:27" s="2" customFormat="1" x14ac:dyDescent="0.25">
      <c r="B8" s="2" t="s">
        <v>18</v>
      </c>
      <c r="C8" s="5"/>
      <c r="D8" s="5">
        <v>192.42699999999999</v>
      </c>
      <c r="E8" s="5">
        <v>212.352</v>
      </c>
      <c r="F8" s="5">
        <v>222.96299999999999</v>
      </c>
      <c r="G8" s="5">
        <v>226.68700000000001</v>
      </c>
      <c r="H8" s="5">
        <v>66.965000000000003</v>
      </c>
      <c r="I8" s="5">
        <v>62.984000000000002</v>
      </c>
      <c r="J8" s="5">
        <v>214.66200000000001</v>
      </c>
      <c r="K8" s="2">
        <v>182.95599999999999</v>
      </c>
      <c r="L8" s="2">
        <v>46.917000000000002</v>
      </c>
      <c r="M8" s="2">
        <v>48.575000000000003</v>
      </c>
      <c r="N8" s="2">
        <f>+M8</f>
        <v>48.575000000000003</v>
      </c>
      <c r="O8" s="2">
        <f t="shared" ref="O8:R8" si="2">+N8</f>
        <v>48.575000000000003</v>
      </c>
      <c r="P8" s="2">
        <f t="shared" si="2"/>
        <v>48.575000000000003</v>
      </c>
      <c r="Q8" s="2">
        <f t="shared" si="2"/>
        <v>48.575000000000003</v>
      </c>
      <c r="R8" s="2">
        <f t="shared" si="2"/>
        <v>48.575000000000003</v>
      </c>
      <c r="W8" s="2">
        <f t="shared" ref="W8:W10" si="3">SUM(G8:J8)</f>
        <v>571.298</v>
      </c>
      <c r="X8" s="2">
        <f t="shared" ref="X8:X10" si="4">SUM(K8:N8)</f>
        <v>327.02299999999997</v>
      </c>
      <c r="Y8" s="2">
        <f t="shared" ref="Y8:Y10" si="5">SUM(O8:R8)</f>
        <v>194.3</v>
      </c>
    </row>
    <row r="9" spans="1:27" s="2" customFormat="1" x14ac:dyDescent="0.25">
      <c r="B9" s="2" t="s">
        <v>19</v>
      </c>
      <c r="C9" s="5"/>
      <c r="D9" s="5">
        <v>137.42400000000001</v>
      </c>
      <c r="E9" s="5">
        <v>159.28800000000001</v>
      </c>
      <c r="F9" s="5">
        <v>150.82300000000001</v>
      </c>
      <c r="G9" s="5">
        <v>155.32300000000001</v>
      </c>
      <c r="H9" s="5">
        <v>99.123000000000005</v>
      </c>
      <c r="I9" s="5">
        <v>80.775999999999996</v>
      </c>
      <c r="J9" s="5">
        <v>169.48</v>
      </c>
      <c r="K9" s="2">
        <v>122.91800000000001</v>
      </c>
      <c r="L9" s="2">
        <v>44.031999999999996</v>
      </c>
      <c r="M9" s="2">
        <v>43.851999999999997</v>
      </c>
      <c r="N9" s="2">
        <f t="shared" ref="N9:R9" si="6">+M9</f>
        <v>43.851999999999997</v>
      </c>
      <c r="O9" s="2">
        <f t="shared" si="6"/>
        <v>43.851999999999997</v>
      </c>
      <c r="P9" s="2">
        <f t="shared" si="6"/>
        <v>43.851999999999997</v>
      </c>
      <c r="Q9" s="2">
        <f t="shared" si="6"/>
        <v>43.851999999999997</v>
      </c>
      <c r="R9" s="2">
        <f t="shared" si="6"/>
        <v>43.851999999999997</v>
      </c>
      <c r="W9" s="2">
        <f t="shared" si="3"/>
        <v>504.702</v>
      </c>
      <c r="X9" s="2">
        <f t="shared" si="4"/>
        <v>254.654</v>
      </c>
      <c r="Y9" s="2">
        <f t="shared" si="5"/>
        <v>175.40799999999999</v>
      </c>
    </row>
    <row r="10" spans="1:27" s="2" customFormat="1" x14ac:dyDescent="0.25">
      <c r="B10" s="2" t="s">
        <v>20</v>
      </c>
      <c r="C10" s="5"/>
      <c r="D10" s="5">
        <v>30.411000000000001</v>
      </c>
      <c r="E10" s="5">
        <v>41.249000000000002</v>
      </c>
      <c r="F10" s="5">
        <v>36.353999999999999</v>
      </c>
      <c r="G10" s="5">
        <v>42.398000000000003</v>
      </c>
      <c r="H10" s="5">
        <v>38.746000000000002</v>
      </c>
      <c r="I10" s="5">
        <v>36.207999999999998</v>
      </c>
      <c r="J10" s="5">
        <v>60.204999999999998</v>
      </c>
      <c r="K10" s="2">
        <v>54.500999999999998</v>
      </c>
      <c r="L10" s="2">
        <v>55.046999999999997</v>
      </c>
      <c r="M10" s="2">
        <v>58.756</v>
      </c>
      <c r="N10" s="2">
        <f t="shared" ref="N10:R10" si="7">+M10</f>
        <v>58.756</v>
      </c>
      <c r="O10" s="2">
        <f t="shared" si="7"/>
        <v>58.756</v>
      </c>
      <c r="P10" s="2">
        <f t="shared" si="7"/>
        <v>58.756</v>
      </c>
      <c r="Q10" s="2">
        <f t="shared" si="7"/>
        <v>58.756</v>
      </c>
      <c r="R10" s="2">
        <f t="shared" si="7"/>
        <v>58.756</v>
      </c>
      <c r="W10" s="2">
        <f t="shared" si="3"/>
        <v>177.55700000000002</v>
      </c>
      <c r="X10" s="2">
        <f t="shared" si="4"/>
        <v>227.06</v>
      </c>
      <c r="Y10" s="2">
        <f t="shared" si="5"/>
        <v>235.024</v>
      </c>
    </row>
    <row r="11" spans="1:27" s="2" customFormat="1" x14ac:dyDescent="0.25">
      <c r="B11" s="2" t="s">
        <v>21</v>
      </c>
      <c r="C11" s="5"/>
      <c r="D11" s="5">
        <f>+D10+D9+D8</f>
        <v>360.262</v>
      </c>
      <c r="E11" s="5">
        <f>+E10+E9+E8</f>
        <v>412.88900000000001</v>
      </c>
      <c r="F11" s="5">
        <f>+F10+F9+F8</f>
        <v>410.14</v>
      </c>
      <c r="G11" s="5">
        <f t="shared" ref="G11" si="8">+G10+G9+G8</f>
        <v>424.40800000000002</v>
      </c>
      <c r="H11" s="5">
        <f>+H10+H9+H8</f>
        <v>204.834</v>
      </c>
      <c r="I11" s="5">
        <f>+I10+I9+I8</f>
        <v>179.96799999999999</v>
      </c>
      <c r="J11" s="5">
        <f>+J10+J9+J8</f>
        <v>444.34699999999998</v>
      </c>
      <c r="K11" s="5">
        <f t="shared" ref="K11:N11" si="9">+K10+K9+K8</f>
        <v>360.375</v>
      </c>
      <c r="L11" s="5">
        <f t="shared" si="9"/>
        <v>145.99599999999998</v>
      </c>
      <c r="M11" s="5">
        <f t="shared" si="9"/>
        <v>151.18299999999999</v>
      </c>
      <c r="N11" s="5">
        <f t="shared" si="9"/>
        <v>151.18299999999999</v>
      </c>
      <c r="O11" s="5">
        <f t="shared" ref="O11" si="10">+O10+O9+O8</f>
        <v>151.18299999999999</v>
      </c>
      <c r="P11" s="5">
        <f t="shared" ref="P11" si="11">+P10+P9+P8</f>
        <v>151.18299999999999</v>
      </c>
      <c r="Q11" s="5">
        <f t="shared" ref="Q11" si="12">+Q10+Q9+Q8</f>
        <v>151.18299999999999</v>
      </c>
      <c r="R11" s="5">
        <f t="shared" ref="R11" si="13">+R10+R9+R8</f>
        <v>151.18299999999999</v>
      </c>
      <c r="V11" s="5">
        <f t="shared" ref="V11" si="14">+V10+V9+V8</f>
        <v>0</v>
      </c>
      <c r="W11" s="5">
        <f t="shared" ref="W11" si="15">+W10+W9+W8</f>
        <v>1253.557</v>
      </c>
      <c r="X11" s="5">
        <f t="shared" ref="X11" si="16">+X10+X9+X8</f>
        <v>808.73699999999997</v>
      </c>
      <c r="Y11" s="5">
        <f t="shared" ref="Y11" si="17">+Y10+Y9+Y8</f>
        <v>604.73199999999997</v>
      </c>
    </row>
    <row r="12" spans="1:27" s="2" customFormat="1" x14ac:dyDescent="0.25">
      <c r="B12" s="2" t="s">
        <v>22</v>
      </c>
      <c r="C12" s="5"/>
      <c r="D12" s="5">
        <f>+D7-D11</f>
        <v>131.32799999999997</v>
      </c>
      <c r="E12" s="5">
        <f>+E7-E11</f>
        <v>186.31799999999998</v>
      </c>
      <c r="F12" s="5">
        <f>+F7-F11</f>
        <v>269.51400000000001</v>
      </c>
      <c r="G12" s="5">
        <f t="shared" ref="G12" si="18">+G7-G11</f>
        <v>339.55899999999997</v>
      </c>
      <c r="H12" s="5">
        <f>+H7-H11</f>
        <v>384.42199999999997</v>
      </c>
      <c r="I12" s="5">
        <f>+I7-I11</f>
        <v>534.29900000000009</v>
      </c>
      <c r="J12" s="5">
        <f>+J7-J11</f>
        <v>607.98</v>
      </c>
      <c r="K12" s="5">
        <f t="shared" ref="K12:N12" si="19">+K7-K11</f>
        <v>852.41399999999999</v>
      </c>
      <c r="L12" s="5">
        <f t="shared" si="19"/>
        <v>957.6819999999999</v>
      </c>
      <c r="M12" s="5">
        <f t="shared" si="19"/>
        <v>1079.0070000000001</v>
      </c>
      <c r="N12" s="5">
        <f t="shared" si="19"/>
        <v>1256.0946960000001</v>
      </c>
      <c r="O12" s="5">
        <f t="shared" ref="O12" si="20">+O7-O11</f>
        <v>1300.817</v>
      </c>
      <c r="P12" s="5">
        <f t="shared" ref="P12" si="21">+P7-P11</f>
        <v>1399.6019279999998</v>
      </c>
      <c r="Q12" s="5">
        <f t="shared" ref="Q12" si="22">+Q7-Q11</f>
        <v>1456.18848</v>
      </c>
      <c r="R12" s="5">
        <f t="shared" ref="R12" si="23">+R7-R11</f>
        <v>1959.7335439999997</v>
      </c>
      <c r="V12" s="5">
        <f t="shared" ref="V12" si="24">+V7-V11</f>
        <v>0</v>
      </c>
      <c r="W12" s="5">
        <f t="shared" ref="W12" si="25">+W7-W11</f>
        <v>1866.26</v>
      </c>
      <c r="X12" s="5">
        <f t="shared" ref="X12" si="26">+X7-X11</f>
        <v>4145.1976960000002</v>
      </c>
      <c r="Y12" s="5">
        <f t="shared" ref="Y12" si="27">+Y7-Y11</f>
        <v>6116.3409519999996</v>
      </c>
    </row>
    <row r="13" spans="1:27" s="2" customFormat="1" x14ac:dyDescent="0.25">
      <c r="B13" s="2" t="s">
        <v>23</v>
      </c>
      <c r="C13" s="5"/>
      <c r="D13" s="5">
        <f>-50.987+15.461</f>
        <v>-35.526000000000003</v>
      </c>
      <c r="E13" s="5">
        <v>-77.093000000000004</v>
      </c>
      <c r="F13" s="5">
        <v>-71.584000000000003</v>
      </c>
      <c r="G13" s="5">
        <v>-74.182000000000002</v>
      </c>
      <c r="H13" s="5">
        <v>-74.418000000000006</v>
      </c>
      <c r="I13" s="5">
        <v>-74.936999999999998</v>
      </c>
      <c r="J13" s="5">
        <f>-94.199+1.343</f>
        <v>-92.855999999999995</v>
      </c>
      <c r="K13" s="2">
        <v>-52.887999999999998</v>
      </c>
      <c r="L13" s="2">
        <v>-51.408999999999999</v>
      </c>
      <c r="M13" s="2">
        <v>-51.429000000000002</v>
      </c>
      <c r="W13" s="2">
        <f t="shared" ref="W13" si="28">SUM(G13:J13)</f>
        <v>-316.39300000000003</v>
      </c>
      <c r="X13" s="2">
        <f t="shared" ref="X13:X15" si="29">SUM(K13:N13)</f>
        <v>-155.726</v>
      </c>
      <c r="Y13" s="2">
        <f t="shared" ref="Y13" si="30">SUM(O13:R13)</f>
        <v>0</v>
      </c>
    </row>
    <row r="14" spans="1:27" s="2" customFormat="1" x14ac:dyDescent="0.25">
      <c r="B14" s="2" t="s">
        <v>24</v>
      </c>
      <c r="C14" s="5"/>
      <c r="D14" s="5">
        <f>+D12+D13</f>
        <v>95.801999999999964</v>
      </c>
      <c r="E14" s="5">
        <f>+E12+E13</f>
        <v>109.22499999999998</v>
      </c>
      <c r="F14" s="5">
        <f>+F12+F13</f>
        <v>197.93</v>
      </c>
      <c r="G14" s="5">
        <f>+G12+G13</f>
        <v>265.37699999999995</v>
      </c>
      <c r="H14" s="5">
        <f>+H12+H13</f>
        <v>310.00399999999996</v>
      </c>
      <c r="I14" s="5">
        <f>+I12+I13</f>
        <v>459.36200000000008</v>
      </c>
      <c r="J14" s="5">
        <f>+J12+J13</f>
        <v>515.12400000000002</v>
      </c>
      <c r="K14" s="5">
        <f>+K12+K13</f>
        <v>799.52599999999995</v>
      </c>
      <c r="L14" s="5">
        <f>+L12+L13</f>
        <v>906.27299999999991</v>
      </c>
      <c r="M14" s="5">
        <f>+M12+M13</f>
        <v>1027.578</v>
      </c>
      <c r="N14" s="5">
        <f>+N12+N13</f>
        <v>1256.0946960000001</v>
      </c>
      <c r="O14" s="5">
        <f t="shared" ref="O14:R14" si="31">+O12+O13</f>
        <v>1300.817</v>
      </c>
      <c r="P14" s="5">
        <f t="shared" si="31"/>
        <v>1399.6019279999998</v>
      </c>
      <c r="Q14" s="5">
        <f t="shared" si="31"/>
        <v>1456.18848</v>
      </c>
      <c r="R14" s="5">
        <f t="shared" si="31"/>
        <v>1959.7335439999997</v>
      </c>
      <c r="V14" s="5">
        <f t="shared" ref="V14" si="32">+V12+V13</f>
        <v>0</v>
      </c>
      <c r="W14" s="5">
        <f t="shared" ref="W14" si="33">+W12+W13</f>
        <v>1549.867</v>
      </c>
      <c r="X14" s="5">
        <f t="shared" ref="X14" si="34">+X12+X13</f>
        <v>3989.4716960000001</v>
      </c>
      <c r="Y14" s="5">
        <f t="shared" ref="Y14" si="35">+Y12+Y13</f>
        <v>6116.3409519999996</v>
      </c>
    </row>
    <row r="15" spans="1:27" s="2" customFormat="1" x14ac:dyDescent="0.25">
      <c r="B15" s="2" t="s">
        <v>25</v>
      </c>
      <c r="C15" s="5"/>
      <c r="D15" s="5">
        <v>15.445</v>
      </c>
      <c r="E15" s="5">
        <v>0.58599999999999997</v>
      </c>
      <c r="F15" s="5">
        <v>6.6630000000000003</v>
      </c>
      <c r="G15" s="5">
        <v>31.762</v>
      </c>
      <c r="H15" s="5">
        <v>16.893999999999998</v>
      </c>
      <c r="I15" s="5">
        <v>34.655999999999999</v>
      </c>
      <c r="J15" s="5">
        <v>0</v>
      </c>
      <c r="K15" s="2">
        <v>41.975000000000001</v>
      </c>
      <c r="L15" s="2">
        <v>112.148</v>
      </c>
      <c r="M15" s="2">
        <v>185.40100000000001</v>
      </c>
      <c r="N15" s="2">
        <f>+N14*0.2</f>
        <v>251.21893920000002</v>
      </c>
      <c r="O15" s="2">
        <f t="shared" ref="O15:R15" si="36">+O14*0.2</f>
        <v>260.16340000000002</v>
      </c>
      <c r="P15" s="2">
        <f t="shared" si="36"/>
        <v>279.92038559999997</v>
      </c>
      <c r="Q15" s="2">
        <f t="shared" si="36"/>
        <v>291.23769600000003</v>
      </c>
      <c r="R15" s="2">
        <f t="shared" si="36"/>
        <v>391.94670879999995</v>
      </c>
      <c r="W15" s="2">
        <f t="shared" ref="W15" si="37">SUM(G15:J15)</f>
        <v>83.311999999999998</v>
      </c>
      <c r="X15" s="2">
        <f t="shared" si="29"/>
        <v>590.74293920000002</v>
      </c>
      <c r="Y15" s="2">
        <f t="shared" ref="Y15" si="38">SUM(O15:R15)</f>
        <v>1223.2681904000001</v>
      </c>
    </row>
    <row r="16" spans="1:27" s="2" customFormat="1" x14ac:dyDescent="0.25">
      <c r="B16" s="2" t="s">
        <v>26</v>
      </c>
      <c r="C16" s="5"/>
      <c r="D16" s="5">
        <f>+D14-D15</f>
        <v>80.356999999999971</v>
      </c>
      <c r="E16" s="5">
        <f>+E14-E15</f>
        <v>108.63899999999998</v>
      </c>
      <c r="F16" s="5">
        <f>+F14-F15</f>
        <v>191.267</v>
      </c>
      <c r="G16" s="5">
        <f>+G14-G15</f>
        <v>233.61499999999995</v>
      </c>
      <c r="H16" s="5">
        <f>+H14-H15</f>
        <v>293.10999999999996</v>
      </c>
      <c r="I16" s="5">
        <f>+I14-I15</f>
        <v>424.70600000000007</v>
      </c>
      <c r="J16" s="5">
        <f>+J14-J15</f>
        <v>515.12400000000002</v>
      </c>
      <c r="K16" s="5">
        <f>+K14-K15</f>
        <v>757.55099999999993</v>
      </c>
      <c r="L16" s="5">
        <f>+L14-L15</f>
        <v>794.12499999999989</v>
      </c>
      <c r="M16" s="5">
        <f>+M14-M15</f>
        <v>842.17699999999991</v>
      </c>
      <c r="N16" s="5">
        <f>+N14-N15</f>
        <v>1004.8757568000001</v>
      </c>
      <c r="O16" s="5">
        <f t="shared" ref="O16:R16" si="39">+O14-O15</f>
        <v>1040.6536000000001</v>
      </c>
      <c r="P16" s="5">
        <f t="shared" si="39"/>
        <v>1119.6815423999999</v>
      </c>
      <c r="Q16" s="5">
        <f t="shared" si="39"/>
        <v>1164.9507840000001</v>
      </c>
      <c r="R16" s="5">
        <f t="shared" si="39"/>
        <v>1567.7868351999998</v>
      </c>
      <c r="V16" s="5">
        <f t="shared" ref="V16" si="40">+V14-V15</f>
        <v>0</v>
      </c>
      <c r="W16" s="5">
        <f t="shared" ref="W16" si="41">+W14-W15</f>
        <v>1466.5550000000001</v>
      </c>
      <c r="X16" s="5">
        <f t="shared" ref="X16" si="42">+X14-X15</f>
        <v>3398.7287568000002</v>
      </c>
      <c r="Y16" s="5">
        <f t="shared" ref="Y16" si="43">+Y14-Y15</f>
        <v>4893.0727615999995</v>
      </c>
    </row>
    <row r="17" spans="2:89" x14ac:dyDescent="0.25">
      <c r="B17" s="2" t="s">
        <v>27</v>
      </c>
      <c r="D17" s="4">
        <f>+D16/D18</f>
        <v>0.21935071157546074</v>
      </c>
      <c r="E17" s="4">
        <f>+E16/E18</f>
        <v>0.30439088282411614</v>
      </c>
      <c r="F17" s="4">
        <f>+F16/F18</f>
        <v>0.55042130466312889</v>
      </c>
      <c r="H17" s="4">
        <f>+H16/H18</f>
        <v>0.84235676876426713</v>
      </c>
      <c r="I17" s="4">
        <f>+I16/I18</f>
        <v>1.2196309857132603</v>
      </c>
      <c r="J17" s="4">
        <f>+J16/J18</f>
        <v>1.4869761506719363</v>
      </c>
      <c r="K17" s="4">
        <f t="shared" ref="K17:N17" si="44">+K16/K18</f>
        <v>2.1867749705268555</v>
      </c>
      <c r="L17" s="4">
        <f t="shared" si="44"/>
        <v>2.3206835746506722</v>
      </c>
      <c r="M17" s="4">
        <f t="shared" si="44"/>
        <v>2.4699155947374285</v>
      </c>
      <c r="N17" s="4">
        <f t="shared" si="44"/>
        <v>2.9470744303084695</v>
      </c>
      <c r="O17" s="4">
        <f t="shared" ref="O17" si="45">+O16/O18</f>
        <v>3.0520027920017365</v>
      </c>
      <c r="P17" s="4">
        <f t="shared" ref="P17" si="46">+P16/P18</f>
        <v>3.2837739604779248</v>
      </c>
      <c r="Q17" s="4">
        <f t="shared" ref="Q17" si="47">+Q16/Q18</f>
        <v>3.4165384574776967</v>
      </c>
      <c r="R17" s="4">
        <f t="shared" ref="R17" si="48">+R16/R18</f>
        <v>4.5979659305401581</v>
      </c>
      <c r="W17" s="4">
        <f t="shared" ref="W17:Y17" si="49">+W16/W18</f>
        <v>4.2198445571152643</v>
      </c>
      <c r="X17" s="4">
        <f t="shared" si="49"/>
        <v>9.9191956023322021</v>
      </c>
      <c r="Y17" s="4">
        <f t="shared" si="49"/>
        <v>14.350281140497515</v>
      </c>
    </row>
    <row r="18" spans="2:89" s="2" customFormat="1" x14ac:dyDescent="0.25">
      <c r="B18" s="2" t="s">
        <v>1</v>
      </c>
      <c r="C18" s="5"/>
      <c r="D18" s="5">
        <v>366.34027500000002</v>
      </c>
      <c r="E18" s="5">
        <v>356.90622200000001</v>
      </c>
      <c r="F18" s="5">
        <v>347.49200000000002</v>
      </c>
      <c r="G18" s="5"/>
      <c r="H18" s="5">
        <v>347.964201</v>
      </c>
      <c r="I18" s="5">
        <v>348.22500000000002</v>
      </c>
      <c r="J18" s="5">
        <v>346.42384800000002</v>
      </c>
      <c r="K18" s="2">
        <f>+J18</f>
        <v>346.42384800000002</v>
      </c>
      <c r="L18" s="2">
        <v>342.194433</v>
      </c>
      <c r="M18" s="2">
        <v>340.97399999999999</v>
      </c>
      <c r="N18" s="2">
        <f>+M18</f>
        <v>340.97399999999999</v>
      </c>
      <c r="O18" s="2">
        <f t="shared" ref="O18:R18" si="50">+N18</f>
        <v>340.97399999999999</v>
      </c>
      <c r="P18" s="2">
        <f t="shared" si="50"/>
        <v>340.97399999999999</v>
      </c>
      <c r="Q18" s="2">
        <f t="shared" si="50"/>
        <v>340.97399999999999</v>
      </c>
      <c r="R18" s="2">
        <f t="shared" si="50"/>
        <v>340.97399999999999</v>
      </c>
      <c r="W18" s="2">
        <f>AVERAGE(G18:J18)</f>
        <v>347.53768300000002</v>
      </c>
      <c r="X18" s="2">
        <f>AVERAGE(K18:N18)</f>
        <v>342.64157024999997</v>
      </c>
      <c r="Y18" s="2">
        <f>AVERAGE(O18:R18)</f>
        <v>340.97399999999999</v>
      </c>
    </row>
    <row r="20" spans="2:89" s="11" customFormat="1" ht="13" x14ac:dyDescent="0.3">
      <c r="B20" s="6" t="s">
        <v>32</v>
      </c>
      <c r="C20" s="9"/>
      <c r="D20" s="9"/>
      <c r="E20" s="9"/>
      <c r="F20" s="9"/>
      <c r="G20" s="10">
        <f>+G5/C5-1</f>
        <v>0.47904333908764962</v>
      </c>
      <c r="H20" s="10">
        <f>+H5/D5-1</f>
        <v>-5.2188518525924321E-2</v>
      </c>
      <c r="I20" s="10">
        <f>+I5/E5-1</f>
        <v>-3.3635867150473842E-2</v>
      </c>
      <c r="J20" s="10">
        <f>+J5/F5-1</f>
        <v>0.44008723738829136</v>
      </c>
      <c r="K20" s="10">
        <f>+K5/G5-1</f>
        <v>0.40251390444327884</v>
      </c>
      <c r="L20" s="10">
        <f t="shared" ref="L20:M20" si="51">+L5/H5-1</f>
        <v>0.77036208800095629</v>
      </c>
      <c r="M20" s="10">
        <f t="shared" si="51"/>
        <v>0.68231387978246771</v>
      </c>
      <c r="N20" s="10">
        <f>+N5/J3-1</f>
        <v>0.60000000000000009</v>
      </c>
      <c r="O20" s="10">
        <f>+O5/K5-1</f>
        <v>0.1118441046319425</v>
      </c>
      <c r="P20" s="10">
        <f>+P5/L5-1</f>
        <v>0.39999999999999991</v>
      </c>
      <c r="Q20" s="10">
        <f>+Q5/M5-1</f>
        <v>0.30000000000000004</v>
      </c>
      <c r="R20" s="10">
        <f>+R5/N5-1</f>
        <v>0.49999999999999978</v>
      </c>
      <c r="S20" s="10"/>
      <c r="W20" s="12">
        <f>+W5/V5-1</f>
        <v>0.21138885445314126</v>
      </c>
      <c r="X20" s="12">
        <f>+X5/W5-1</f>
        <v>0.44502437080331236</v>
      </c>
      <c r="Y20" s="12">
        <f>+Y5/X5-1</f>
        <v>0.32896884690709527</v>
      </c>
    </row>
    <row r="21" spans="2:89" x14ac:dyDescent="0.25">
      <c r="B21" s="2" t="s">
        <v>55</v>
      </c>
      <c r="L21" s="13">
        <f>+L7/L5</f>
        <v>0.87680198037106538</v>
      </c>
      <c r="M21" s="13">
        <f>+M7/M5</f>
        <v>0.87555202858271441</v>
      </c>
      <c r="N21" s="13">
        <f t="shared" ref="N21:R21" si="52">+N7/N5</f>
        <v>0.88</v>
      </c>
      <c r="O21" s="13">
        <f t="shared" si="52"/>
        <v>0.88</v>
      </c>
      <c r="P21" s="13">
        <f t="shared" si="52"/>
        <v>0.88</v>
      </c>
      <c r="Q21" s="13">
        <f t="shared" si="52"/>
        <v>0.88</v>
      </c>
      <c r="R21" s="13">
        <f t="shared" si="52"/>
        <v>0.87999999999999989</v>
      </c>
    </row>
    <row r="23" spans="2:89" s="2" customFormat="1" x14ac:dyDescent="0.25">
      <c r="B23" s="2" t="s">
        <v>35</v>
      </c>
      <c r="C23" s="5">
        <v>288.66199999999998</v>
      </c>
      <c r="D23" s="5">
        <f>518.456-C23</f>
        <v>229.79400000000004</v>
      </c>
      <c r="E23" s="5">
        <f>717.522-D23-C23</f>
        <v>199.06600000000003</v>
      </c>
      <c r="F23" s="5">
        <f>1061.51-E23-D23-C23</f>
        <v>343.98799999999989</v>
      </c>
      <c r="G23" s="5">
        <v>392.779</v>
      </c>
      <c r="H23" s="5">
        <f>847.306-G23</f>
        <v>454.52700000000004</v>
      </c>
      <c r="I23" s="5">
        <f>1398.008-H23-G23</f>
        <v>550.702</v>
      </c>
      <c r="J23" s="5">
        <f>2099.011-I23-H23-G23</f>
        <v>701.00299999999993</v>
      </c>
      <c r="L23" s="2">
        <f>378.884-K23</f>
        <v>378.88400000000001</v>
      </c>
      <c r="M23" s="2">
        <f>2657.36-L23-K23</f>
        <v>2278.4760000000001</v>
      </c>
      <c r="V23" s="2">
        <f>SUM(C23:F23)</f>
        <v>1061.51</v>
      </c>
      <c r="W23" s="2">
        <f>SUM(G23:J23)</f>
        <v>2099.011</v>
      </c>
      <c r="X23" s="2">
        <f>+X5*X26</f>
        <v>2873.4996000000001</v>
      </c>
      <c r="Y23" s="2">
        <f>+X23*1.2</f>
        <v>3448.1995200000001</v>
      </c>
      <c r="Z23" s="2">
        <f t="shared" ref="Z23:CK23" si="53">+Y23*1.2</f>
        <v>4137.8394239999998</v>
      </c>
      <c r="AA23" s="2">
        <f t="shared" si="53"/>
        <v>4965.4073087999996</v>
      </c>
      <c r="AB23" s="2">
        <f t="shared" si="53"/>
        <v>5958.4887705599995</v>
      </c>
      <c r="AC23" s="2">
        <f t="shared" si="53"/>
        <v>7150.186524671999</v>
      </c>
      <c r="AD23" s="2">
        <f t="shared" si="53"/>
        <v>8580.2238296063988</v>
      </c>
      <c r="AE23" s="2">
        <f t="shared" si="53"/>
        <v>10296.268595527677</v>
      </c>
      <c r="AF23" s="2">
        <f t="shared" si="53"/>
        <v>12355.522314633212</v>
      </c>
      <c r="AG23" s="2">
        <f t="shared" si="53"/>
        <v>14826.626777559854</v>
      </c>
      <c r="AH23" s="2">
        <f t="shared" si="53"/>
        <v>17791.952133071823</v>
      </c>
      <c r="AI23" s="2">
        <f t="shared" si="53"/>
        <v>21350.342559686189</v>
      </c>
      <c r="AJ23" s="2">
        <f t="shared" si="53"/>
        <v>25620.411071623425</v>
      </c>
      <c r="AK23" s="2">
        <f t="shared" si="53"/>
        <v>30744.493285948109</v>
      </c>
      <c r="AL23" s="2">
        <f t="shared" si="53"/>
        <v>36893.391943137729</v>
      </c>
      <c r="AM23" s="2">
        <f t="shared" si="53"/>
        <v>44272.070331765273</v>
      </c>
      <c r="AN23" s="2">
        <f t="shared" si="53"/>
        <v>53126.484398118329</v>
      </c>
      <c r="AO23" s="2">
        <f t="shared" si="53"/>
        <v>63751.781277741989</v>
      </c>
      <c r="AP23" s="2">
        <f t="shared" si="53"/>
        <v>76502.137533290384</v>
      </c>
      <c r="AQ23" s="2">
        <f t="shared" si="53"/>
        <v>91802.565039948458</v>
      </c>
      <c r="AR23" s="2">
        <f t="shared" si="53"/>
        <v>110163.07804793815</v>
      </c>
      <c r="AS23" s="2">
        <f t="shared" si="53"/>
        <v>132195.69365752579</v>
      </c>
      <c r="AT23" s="2">
        <f t="shared" si="53"/>
        <v>158634.83238903093</v>
      </c>
      <c r="AU23" s="2">
        <f t="shared" si="53"/>
        <v>190361.79886683711</v>
      </c>
      <c r="AV23" s="2">
        <f t="shared" si="53"/>
        <v>228434.15864020452</v>
      </c>
      <c r="AW23" s="2">
        <f t="shared" si="53"/>
        <v>274120.9903682454</v>
      </c>
      <c r="AX23" s="2">
        <f t="shared" si="53"/>
        <v>328945.18844189448</v>
      </c>
      <c r="AY23" s="2">
        <f t="shared" si="53"/>
        <v>394734.22613027337</v>
      </c>
      <c r="AZ23" s="2">
        <f t="shared" si="53"/>
        <v>473681.07135632803</v>
      </c>
      <c r="BA23" s="2">
        <f t="shared" si="53"/>
        <v>568417.28562759364</v>
      </c>
      <c r="BB23" s="2">
        <f t="shared" si="53"/>
        <v>682100.74275311234</v>
      </c>
      <c r="BC23" s="2">
        <f t="shared" si="53"/>
        <v>818520.89130373474</v>
      </c>
      <c r="BD23" s="2">
        <f t="shared" si="53"/>
        <v>982225.06956448162</v>
      </c>
      <c r="BE23" s="2">
        <f t="shared" si="53"/>
        <v>1178670.0834773779</v>
      </c>
      <c r="BF23" s="2">
        <f t="shared" si="53"/>
        <v>1414404.1001728533</v>
      </c>
      <c r="BG23" s="2">
        <f t="shared" si="53"/>
        <v>1697284.9202074239</v>
      </c>
      <c r="BH23" s="2">
        <f t="shared" si="53"/>
        <v>2036741.9042489086</v>
      </c>
      <c r="BI23" s="2">
        <f t="shared" si="53"/>
        <v>2444090.2850986901</v>
      </c>
      <c r="BJ23" s="2">
        <f t="shared" si="53"/>
        <v>2932908.3421184281</v>
      </c>
      <c r="BK23" s="2">
        <f t="shared" si="53"/>
        <v>3519490.0105421138</v>
      </c>
      <c r="BL23" s="2">
        <f t="shared" si="53"/>
        <v>4223388.0126505364</v>
      </c>
      <c r="BM23" s="2">
        <f t="shared" si="53"/>
        <v>5068065.6151806433</v>
      </c>
      <c r="BN23" s="2">
        <f t="shared" si="53"/>
        <v>6081678.7382167717</v>
      </c>
      <c r="BO23" s="2">
        <f t="shared" si="53"/>
        <v>7298014.4858601261</v>
      </c>
      <c r="BP23" s="2">
        <f t="shared" si="53"/>
        <v>8757617.3830321506</v>
      </c>
      <c r="BQ23" s="2">
        <f t="shared" si="53"/>
        <v>10509140.859638581</v>
      </c>
      <c r="BR23" s="2">
        <f t="shared" si="53"/>
        <v>12610969.031566298</v>
      </c>
      <c r="BS23" s="2">
        <f t="shared" si="53"/>
        <v>15133162.837879557</v>
      </c>
      <c r="BT23" s="2">
        <f t="shared" si="53"/>
        <v>18159795.405455466</v>
      </c>
      <c r="BU23" s="2">
        <f t="shared" si="53"/>
        <v>21791754.486546557</v>
      </c>
      <c r="BV23" s="2">
        <f t="shared" si="53"/>
        <v>26150105.383855868</v>
      </c>
      <c r="BW23" s="2">
        <f t="shared" si="53"/>
        <v>31380126.460627042</v>
      </c>
      <c r="BX23" s="2">
        <f t="shared" si="53"/>
        <v>37656151.752752446</v>
      </c>
      <c r="BY23" s="2">
        <f t="shared" si="53"/>
        <v>45187382.103302933</v>
      </c>
      <c r="BZ23" s="2">
        <f t="shared" si="53"/>
        <v>54224858.523963518</v>
      </c>
      <c r="CA23" s="2">
        <f t="shared" si="53"/>
        <v>65069830.228756219</v>
      </c>
      <c r="CB23" s="2">
        <f t="shared" si="53"/>
        <v>78083796.274507463</v>
      </c>
      <c r="CC23" s="2">
        <f t="shared" si="53"/>
        <v>93700555.529408947</v>
      </c>
      <c r="CD23" s="2">
        <f t="shared" si="53"/>
        <v>112440666.63529073</v>
      </c>
      <c r="CE23" s="2">
        <f t="shared" si="53"/>
        <v>134928799.96234888</v>
      </c>
      <c r="CF23" s="2">
        <f t="shared" si="53"/>
        <v>161914559.95481864</v>
      </c>
      <c r="CG23" s="2">
        <f t="shared" si="53"/>
        <v>194297471.94578236</v>
      </c>
      <c r="CH23" s="2">
        <f t="shared" si="53"/>
        <v>233156966.33493882</v>
      </c>
      <c r="CI23" s="2">
        <f t="shared" si="53"/>
        <v>279788359.60192657</v>
      </c>
      <c r="CJ23" s="2">
        <f t="shared" si="53"/>
        <v>335746031.52231187</v>
      </c>
      <c r="CK23" s="2">
        <f t="shared" si="53"/>
        <v>402895237.82677424</v>
      </c>
    </row>
    <row r="24" spans="2:89" s="2" customFormat="1" x14ac:dyDescent="0.25">
      <c r="B24" s="2" t="s">
        <v>36</v>
      </c>
      <c r="C24" s="5"/>
      <c r="D24" s="5"/>
      <c r="E24" s="5"/>
      <c r="F24" s="5"/>
      <c r="G24" s="5"/>
      <c r="H24" s="5"/>
      <c r="I24" s="5">
        <f>-18.289-H24-G24</f>
        <v>-18.289000000000001</v>
      </c>
      <c r="J24" s="5"/>
      <c r="L24" s="2">
        <f>-11.807-K24</f>
        <v>-11.807</v>
      </c>
      <c r="M24" s="2">
        <f>-27.863-L24-K24</f>
        <v>-16.055999999999997</v>
      </c>
    </row>
    <row r="25" spans="2:89" s="2" customFormat="1" x14ac:dyDescent="0.25">
      <c r="B25" s="2" t="s">
        <v>37</v>
      </c>
      <c r="C25" s="5"/>
      <c r="D25" s="5"/>
      <c r="E25" s="5"/>
      <c r="F25" s="5"/>
      <c r="G25" s="5"/>
      <c r="H25" s="5"/>
      <c r="I25" s="5">
        <f>+I23+I24</f>
        <v>532.41300000000001</v>
      </c>
      <c r="J25" s="5">
        <f>+J23+J24</f>
        <v>701.00299999999993</v>
      </c>
      <c r="K25" s="5">
        <f t="shared" ref="K25:M25" si="54">+K23+K24</f>
        <v>0</v>
      </c>
      <c r="L25" s="5">
        <f t="shared" si="54"/>
        <v>367.077</v>
      </c>
      <c r="M25" s="5">
        <f t="shared" si="54"/>
        <v>2262.42</v>
      </c>
    </row>
    <row r="26" spans="2:89" x14ac:dyDescent="0.25">
      <c r="B26" s="2" t="s">
        <v>38</v>
      </c>
      <c r="V26" s="13">
        <f>+V23/V5</f>
        <v>0.32332679578701384</v>
      </c>
      <c r="W26" s="13">
        <f>+W23/W5</f>
        <v>0.52777492114219038</v>
      </c>
      <c r="X26" s="13">
        <v>0.5</v>
      </c>
    </row>
    <row r="27" spans="2:89" x14ac:dyDescent="0.25">
      <c r="W27" s="13">
        <f>+W23/V23-1</f>
        <v>0.97738221966820849</v>
      </c>
      <c r="X27" s="13">
        <f>+X23/W23-1</f>
        <v>0.368977866242721</v>
      </c>
    </row>
    <row r="28" spans="2:89" x14ac:dyDescent="0.25">
      <c r="W28" s="13"/>
      <c r="X28" s="13"/>
    </row>
    <row r="29" spans="2:89" x14ac:dyDescent="0.25">
      <c r="B29" s="2" t="s">
        <v>3</v>
      </c>
      <c r="M29" s="2">
        <v>1666.8989999999999</v>
      </c>
      <c r="Y29" s="1"/>
      <c r="AC29" s="1"/>
      <c r="AG29" s="1">
        <f>+AG23*20</f>
        <v>296532.53555119707</v>
      </c>
      <c r="AM29" s="1">
        <f>+AM23*20</f>
        <v>885441.4066353055</v>
      </c>
      <c r="AR29" s="1">
        <f>+AR23*20</f>
        <v>2203261.5609587631</v>
      </c>
    </row>
    <row r="30" spans="2:89" x14ac:dyDescent="0.25">
      <c r="B30" s="2" t="s">
        <v>44</v>
      </c>
      <c r="M30" s="2">
        <v>1603.953</v>
      </c>
      <c r="Y30" s="1"/>
      <c r="AC30" s="1"/>
      <c r="AG30" s="1">
        <f>PV(11%,9,0,-AG29)</f>
        <v>115921.91368477407</v>
      </c>
      <c r="AM30" s="1">
        <f>PV(11%,15,0,-AM29)</f>
        <v>185061.1026909512</v>
      </c>
      <c r="AR30" s="1">
        <f>PV(11%,20,0,-AR29)</f>
        <v>273279.13974614098</v>
      </c>
    </row>
    <row r="31" spans="2:89" x14ac:dyDescent="0.25">
      <c r="B31" s="2" t="s">
        <v>45</v>
      </c>
      <c r="M31" s="2">
        <v>216.714</v>
      </c>
    </row>
    <row r="32" spans="2:89" x14ac:dyDescent="0.25">
      <c r="B32" s="2" t="s">
        <v>46</v>
      </c>
      <c r="M32" s="2">
        <v>130.815</v>
      </c>
    </row>
    <row r="33" spans="2:13" x14ac:dyDescent="0.25">
      <c r="B33" s="2" t="s">
        <v>47</v>
      </c>
      <c r="M33" s="2">
        <f>1540.889+421.868</f>
        <v>1962.7569999999998</v>
      </c>
    </row>
    <row r="34" spans="2:13" x14ac:dyDescent="0.25">
      <c r="B34" s="2" t="s">
        <v>48</v>
      </c>
      <c r="M34" s="2">
        <v>761.89700000000005</v>
      </c>
    </row>
    <row r="35" spans="2:13" x14ac:dyDescent="0.25">
      <c r="B35" t="s">
        <v>43</v>
      </c>
      <c r="M35" s="2">
        <f>SUM(M29:M34)</f>
        <v>6343.0349999999999</v>
      </c>
    </row>
    <row r="37" spans="2:13" x14ac:dyDescent="0.25">
      <c r="B37" s="2" t="s">
        <v>51</v>
      </c>
      <c r="M37" s="2">
        <v>516.43799999999999</v>
      </c>
    </row>
    <row r="38" spans="2:13" x14ac:dyDescent="0.25">
      <c r="B38" s="2" t="s">
        <v>52</v>
      </c>
      <c r="M38" s="2">
        <v>510.947</v>
      </c>
    </row>
    <row r="39" spans="2:13" x14ac:dyDescent="0.25">
      <c r="B39" s="2" t="s">
        <v>53</v>
      </c>
      <c r="M39" s="2">
        <v>45.747999999999998</v>
      </c>
    </row>
    <row r="40" spans="2:13" x14ac:dyDescent="0.25">
      <c r="B40" s="2" t="s">
        <v>4</v>
      </c>
      <c r="M40" s="2">
        <v>3511.9650000000001</v>
      </c>
    </row>
    <row r="41" spans="2:13" x14ac:dyDescent="0.25">
      <c r="B41" s="2" t="s">
        <v>54</v>
      </c>
      <c r="M41" s="2">
        <v>284.017</v>
      </c>
    </row>
    <row r="42" spans="2:13" x14ac:dyDescent="0.25">
      <c r="B42" t="s">
        <v>50</v>
      </c>
      <c r="M42" s="2">
        <v>1473.92</v>
      </c>
    </row>
    <row r="43" spans="2:13" x14ac:dyDescent="0.25">
      <c r="B43" t="s">
        <v>49</v>
      </c>
      <c r="M43" s="2">
        <f>SUM(M37:M42)</f>
        <v>6343.0349999999999</v>
      </c>
    </row>
  </sheetData>
  <hyperlinks>
    <hyperlink ref="A1" location="Main!A1" display="Main" xr:uid="{00BC675E-771E-402D-B12F-64736781FF04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2024-12-09T16:54:55Z</dcterms:created>
  <dcterms:modified xsi:type="dcterms:W3CDTF">2026-01-20T19:33:28Z</dcterms:modified>
</cp:coreProperties>
</file>