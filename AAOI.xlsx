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CBB1EEF-CF0C-44C2-AB9C-31913D3ED09F}" xr6:coauthVersionLast="47" xr6:coauthVersionMax="47" xr10:uidLastSave="{00000000-0000-0000-0000-000000000000}"/>
  <bookViews>
    <workbookView xWindow="9480" yWindow="3230" windowWidth="19050" windowHeight="15940" xr2:uid="{DDBEC752-0B35-445A-A766-F3B42DC1258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2" i="2" l="1"/>
  <c r="I22" i="2"/>
  <c r="H22" i="2"/>
  <c r="K22" i="2"/>
  <c r="L22" i="2"/>
  <c r="R4" i="2"/>
  <c r="Q4" i="2"/>
  <c r="O4" i="2"/>
  <c r="N6" i="2"/>
  <c r="O3" i="2"/>
  <c r="P4" i="2"/>
  <c r="N3" i="2"/>
  <c r="M22" i="2"/>
  <c r="O11" i="2"/>
  <c r="P11" i="2" s="1"/>
  <c r="Q11" i="2" s="1"/>
  <c r="R11" i="2" s="1"/>
  <c r="O10" i="2"/>
  <c r="P10" i="2" s="1"/>
  <c r="Q10" i="2" s="1"/>
  <c r="R10" i="2" s="1"/>
  <c r="O9" i="2"/>
  <c r="P9" i="2" s="1"/>
  <c r="O5" i="2"/>
  <c r="P5" i="2" s="1"/>
  <c r="Q5" i="2" s="1"/>
  <c r="R5" i="2" s="1"/>
  <c r="R3" i="2"/>
  <c r="Q3" i="2"/>
  <c r="P3" i="2"/>
  <c r="N11" i="2"/>
  <c r="N10" i="2"/>
  <c r="N9" i="2"/>
  <c r="N12" i="2" s="1"/>
  <c r="N5" i="2"/>
  <c r="N22" i="2"/>
  <c r="M11" i="2"/>
  <c r="M10" i="2"/>
  <c r="M9" i="2"/>
  <c r="M12" i="2"/>
  <c r="M4" i="2"/>
  <c r="M5" i="2"/>
  <c r="M6" i="2"/>
  <c r="M8" i="2" s="1"/>
  <c r="K13" i="2"/>
  <c r="J13" i="2"/>
  <c r="I13" i="2"/>
  <c r="K12" i="2"/>
  <c r="J12" i="2"/>
  <c r="I12" i="2"/>
  <c r="H12" i="2"/>
  <c r="H13" i="2" s="1"/>
  <c r="G12" i="2"/>
  <c r="G13" i="2" s="1"/>
  <c r="F12" i="2"/>
  <c r="F13" i="2" s="1"/>
  <c r="E12" i="2"/>
  <c r="E13" i="2" s="1"/>
  <c r="D12" i="2"/>
  <c r="D13" i="2" s="1"/>
  <c r="C12" i="2"/>
  <c r="C13" i="2" s="1"/>
  <c r="L13" i="2"/>
  <c r="L12" i="2"/>
  <c r="C8" i="2"/>
  <c r="D8" i="2"/>
  <c r="E8" i="2"/>
  <c r="F8" i="2"/>
  <c r="G8" i="2"/>
  <c r="I8" i="2"/>
  <c r="J8" i="2"/>
  <c r="K8" i="2"/>
  <c r="C5" i="2"/>
  <c r="C6" i="2"/>
  <c r="D6" i="2"/>
  <c r="D5" i="2"/>
  <c r="E6" i="2"/>
  <c r="E5" i="2"/>
  <c r="F6" i="2"/>
  <c r="F5" i="2"/>
  <c r="G6" i="2"/>
  <c r="G5" i="2"/>
  <c r="H6" i="2"/>
  <c r="H5" i="2"/>
  <c r="I6" i="2"/>
  <c r="I5" i="2"/>
  <c r="J6" i="2"/>
  <c r="J5" i="2"/>
  <c r="K5" i="2"/>
  <c r="K6" i="2" s="1"/>
  <c r="L6" i="2"/>
  <c r="L5" i="2"/>
  <c r="L8" i="2"/>
  <c r="H8" i="2"/>
  <c r="J4" i="1"/>
  <c r="J7" i="1" s="1"/>
  <c r="O6" i="2" l="1"/>
  <c r="O22" i="2" s="1"/>
  <c r="P6" i="2"/>
  <c r="P22" i="2" s="1"/>
  <c r="P12" i="2"/>
  <c r="Q9" i="2"/>
  <c r="N8" i="2"/>
  <c r="N7" i="2" s="1"/>
  <c r="O12" i="2"/>
  <c r="O8" i="2"/>
  <c r="O13" i="2" s="1"/>
  <c r="N13" i="2"/>
  <c r="M7" i="2"/>
  <c r="M13" i="2"/>
  <c r="Q12" i="2" l="1"/>
  <c r="R9" i="2"/>
  <c r="R12" i="2" s="1"/>
  <c r="O7" i="2"/>
  <c r="P8" i="2"/>
  <c r="P13" i="2" s="1"/>
  <c r="R6" i="2"/>
  <c r="R22" i="2" s="1"/>
  <c r="Q6" i="2"/>
  <c r="Q22" i="2" s="1"/>
  <c r="Q8" i="2" l="1"/>
  <c r="Q13" i="2" s="1"/>
  <c r="Q7" i="2"/>
  <c r="R8" i="2"/>
  <c r="R13" i="2" s="1"/>
  <c r="P7" i="2"/>
  <c r="R7" i="2" l="1"/>
</calcChain>
</file>

<file path=xl/sharedStrings.xml><?xml version="1.0" encoding="utf-8"?>
<sst xmlns="http://schemas.openxmlformats.org/spreadsheetml/2006/main" count="38" uniqueCount="35">
  <si>
    <t>Price</t>
  </si>
  <si>
    <t>Shares</t>
  </si>
  <si>
    <t>MC</t>
  </si>
  <si>
    <t>Cash</t>
  </si>
  <si>
    <t>Debt</t>
  </si>
  <si>
    <t>EV</t>
  </si>
  <si>
    <t>Q226</t>
  </si>
  <si>
    <t>Main</t>
  </si>
  <si>
    <t>Revenue</t>
  </si>
  <si>
    <t>Q125</t>
  </si>
  <si>
    <t>Q225</t>
  </si>
  <si>
    <t>Q325</t>
  </si>
  <si>
    <t>Q425</t>
  </si>
  <si>
    <t>Q126</t>
  </si>
  <si>
    <t>Q326</t>
  </si>
  <si>
    <t>Q426</t>
  </si>
  <si>
    <t>CATV</t>
  </si>
  <si>
    <t>Datacenter</t>
  </si>
  <si>
    <t>Q124</t>
  </si>
  <si>
    <t>Q224</t>
  </si>
  <si>
    <t>Q324</t>
  </si>
  <si>
    <t>Q424</t>
  </si>
  <si>
    <t>Telecom/Other</t>
  </si>
  <si>
    <t>COGS</t>
  </si>
  <si>
    <t>Gross Profit</t>
  </si>
  <si>
    <t>Operating Income</t>
  </si>
  <si>
    <t>Operating Expenses</t>
  </si>
  <si>
    <t>G&amp;A</t>
  </si>
  <si>
    <t>S&amp;M</t>
  </si>
  <si>
    <t>R&amp;D</t>
  </si>
  <si>
    <t>Q127</t>
  </si>
  <si>
    <t>Q227</t>
  </si>
  <si>
    <t>Q327</t>
  </si>
  <si>
    <t>Q427</t>
  </si>
  <si>
    <t>Revenue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</si>
</sst>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</xdr:colOff>
      <xdr:row>0</xdr:row>
      <xdr:rowOff>76200</xdr:rowOff>
    </xdr:from>
    <xdr:to>
      <xdr:col>12</xdr:col>
      <xdr:colOff>25400</xdr:colOff>
      <xdr:row>41</xdr:row>
      <xdr:rowOff>139700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43310D6-AE51-7E22-1548-5FFBF898D993}"/>
            </a:ext>
          </a:extLst>
        </xdr:cNvPr>
        <xdr:cNvCxnSpPr/>
      </xdr:nvCxnSpPr>
      <xdr:spPr>
        <a:xfrm>
          <a:off x="7645400" y="76200"/>
          <a:ext cx="0" cy="6578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9577-5843-4B74-B24C-5F286602F104}">
  <dimension ref="I2:K7"/>
  <sheetViews>
    <sheetView tabSelected="1" zoomScale="160" zoomScaleNormal="160" workbookViewId="0"/>
  </sheetViews>
  <sheetFormatPr defaultRowHeight="12.5" x14ac:dyDescent="0.25"/>
  <cols>
    <col min="1" max="16384" width="8.7265625" style="1"/>
  </cols>
  <sheetData>
    <row r="2" spans="9:11" x14ac:dyDescent="0.25">
      <c r="I2" s="1" t="s">
        <v>0</v>
      </c>
      <c r="J2" s="2">
        <v>121</v>
      </c>
    </row>
    <row r="3" spans="9:11" x14ac:dyDescent="0.25">
      <c r="I3" s="1" t="s">
        <v>1</v>
      </c>
      <c r="J3" s="3">
        <v>84.569237000000001</v>
      </c>
      <c r="K3" s="4" t="s">
        <v>6</v>
      </c>
    </row>
    <row r="4" spans="9:11" x14ac:dyDescent="0.25">
      <c r="I4" s="1" t="s">
        <v>2</v>
      </c>
      <c r="J4" s="3">
        <f>+J2*J3</f>
        <v>10232.877677</v>
      </c>
    </row>
    <row r="5" spans="9:11" x14ac:dyDescent="0.25">
      <c r="I5" s="1" t="s">
        <v>3</v>
      </c>
      <c r="J5" s="3">
        <v>499.73700000000002</v>
      </c>
      <c r="K5" s="4" t="s">
        <v>6</v>
      </c>
    </row>
    <row r="6" spans="9:11" x14ac:dyDescent="0.25">
      <c r="I6" s="1" t="s">
        <v>4</v>
      </c>
      <c r="J6" s="3">
        <v>57.258000000000003</v>
      </c>
      <c r="K6" s="4" t="s">
        <v>6</v>
      </c>
    </row>
    <row r="7" spans="9:11" x14ac:dyDescent="0.25">
      <c r="I7" s="1" t="s">
        <v>5</v>
      </c>
      <c r="J7" s="3">
        <f>+J4-J5+J6</f>
        <v>9790.398677000001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CD28-8920-4F5E-A98D-87E316259699}">
  <dimension ref="A1:R22"/>
  <sheetViews>
    <sheetView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H22" sqref="H22"/>
    </sheetView>
  </sheetViews>
  <sheetFormatPr defaultRowHeight="12.5" x14ac:dyDescent="0.25"/>
  <cols>
    <col min="1" max="1" width="4.6328125" style="1" bestFit="1" customWidth="1"/>
    <col min="2" max="2" width="17.1796875" style="1" bestFit="1" customWidth="1"/>
    <col min="3" max="18" width="8.7265625" style="4"/>
    <col min="19" max="16384" width="8.7265625" style="1"/>
  </cols>
  <sheetData>
    <row r="1" spans="1:18" x14ac:dyDescent="0.25">
      <c r="A1" s="1" t="s">
        <v>7</v>
      </c>
    </row>
    <row r="2" spans="1:18" x14ac:dyDescent="0.25">
      <c r="C2" s="4" t="s">
        <v>18</v>
      </c>
      <c r="D2" s="4" t="s">
        <v>19</v>
      </c>
      <c r="E2" s="4" t="s">
        <v>20</v>
      </c>
      <c r="F2" s="4" t="s">
        <v>21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6</v>
      </c>
      <c r="M2" s="4" t="s">
        <v>14</v>
      </c>
      <c r="N2" s="4" t="s">
        <v>15</v>
      </c>
      <c r="O2" s="4" t="s">
        <v>30</v>
      </c>
      <c r="P2" s="4" t="s">
        <v>31</v>
      </c>
      <c r="Q2" s="4" t="s">
        <v>32</v>
      </c>
      <c r="R2" s="4" t="s">
        <v>33</v>
      </c>
    </row>
    <row r="3" spans="1:18" s="3" customFormat="1" x14ac:dyDescent="0.25">
      <c r="B3" s="3" t="s">
        <v>16</v>
      </c>
      <c r="C3" s="5">
        <v>8.7360000000000007</v>
      </c>
      <c r="D3" s="5">
        <v>5.8179999999999996</v>
      </c>
      <c r="E3" s="5">
        <v>20.946999999999999</v>
      </c>
      <c r="F3" s="5">
        <v>52.212000000000003</v>
      </c>
      <c r="G3" s="5">
        <v>64.501000000000005</v>
      </c>
      <c r="H3" s="5">
        <v>56.018999999999998</v>
      </c>
      <c r="I3" s="5">
        <v>70.602000000000004</v>
      </c>
      <c r="J3" s="5">
        <v>54.002000000000002</v>
      </c>
      <c r="K3" s="5">
        <v>66.840999999999994</v>
      </c>
      <c r="L3" s="5">
        <v>80.578000000000003</v>
      </c>
      <c r="M3" s="5">
        <v>105</v>
      </c>
      <c r="N3" s="5">
        <f>325-M3-L3-K3</f>
        <v>72.581000000000003</v>
      </c>
      <c r="O3" s="5">
        <f>+K3+30</f>
        <v>96.840999999999994</v>
      </c>
      <c r="P3" s="5">
        <f t="shared" ref="P3" si="0">+L3+20</f>
        <v>100.578</v>
      </c>
      <c r="Q3" s="5">
        <f t="shared" ref="Q3" si="1">+M3+20</f>
        <v>125</v>
      </c>
      <c r="R3" s="5">
        <f t="shared" ref="R3" si="2">+N3+20</f>
        <v>92.581000000000003</v>
      </c>
    </row>
    <row r="4" spans="1:18" s="3" customFormat="1" x14ac:dyDescent="0.25">
      <c r="B4" s="3" t="s">
        <v>17</v>
      </c>
      <c r="C4" s="5">
        <v>28.986000000000001</v>
      </c>
      <c r="D4" s="5">
        <v>34.351999999999997</v>
      </c>
      <c r="E4" s="5">
        <v>40.945</v>
      </c>
      <c r="F4" s="5">
        <v>44.241999999999997</v>
      </c>
      <c r="G4" s="5">
        <v>32.048999999999999</v>
      </c>
      <c r="H4" s="5">
        <v>44.790999999999997</v>
      </c>
      <c r="I4" s="5">
        <v>43.935000000000002</v>
      </c>
      <c r="J4" s="5">
        <v>74.876000000000005</v>
      </c>
      <c r="K4" s="5">
        <v>81.403999999999996</v>
      </c>
      <c r="L4" s="5">
        <v>107.66200000000001</v>
      </c>
      <c r="M4" s="5">
        <f>+L4+60</f>
        <v>167.66200000000001</v>
      </c>
      <c r="N4" s="5">
        <v>400</v>
      </c>
      <c r="O4" s="5">
        <f>+N4+20</f>
        <v>420</v>
      </c>
      <c r="P4" s="5">
        <f>+O4+70</f>
        <v>490</v>
      </c>
      <c r="Q4" s="5">
        <f>+P4+80</f>
        <v>570</v>
      </c>
      <c r="R4" s="5">
        <f>+Q4+80</f>
        <v>650</v>
      </c>
    </row>
    <row r="5" spans="1:18" s="3" customFormat="1" x14ac:dyDescent="0.25">
      <c r="B5" s="3" t="s">
        <v>22</v>
      </c>
      <c r="C5" s="5">
        <f>2.269+0.682</f>
        <v>2.9510000000000001</v>
      </c>
      <c r="D5" s="5">
        <f>2.379+0.721</f>
        <v>3.1</v>
      </c>
      <c r="E5" s="5">
        <f>2.798+0.461</f>
        <v>3.2589999999999999</v>
      </c>
      <c r="F5" s="5">
        <f>3.535+0.279</f>
        <v>3.8140000000000001</v>
      </c>
      <c r="G5" s="5">
        <f>2.937+0.372</f>
        <v>3.3089999999999997</v>
      </c>
      <c r="H5" s="5">
        <f>1.94+0.202</f>
        <v>2.1419999999999999</v>
      </c>
      <c r="I5" s="5">
        <f>3.742+0.351</f>
        <v>4.093</v>
      </c>
      <c r="J5" s="5">
        <f>5.111+0.285</f>
        <v>5.3959999999999999</v>
      </c>
      <c r="K5" s="5">
        <f>2.559+0.34</f>
        <v>2.899</v>
      </c>
      <c r="L5" s="5">
        <f>3.411+0.271</f>
        <v>3.6819999999999999</v>
      </c>
      <c r="M5" s="5">
        <f>+L5</f>
        <v>3.6819999999999999</v>
      </c>
      <c r="N5" s="5">
        <f t="shared" ref="N5:R5" si="3">+M5</f>
        <v>3.6819999999999999</v>
      </c>
      <c r="O5" s="5">
        <f t="shared" si="3"/>
        <v>3.6819999999999999</v>
      </c>
      <c r="P5" s="5">
        <f t="shared" si="3"/>
        <v>3.6819999999999999</v>
      </c>
      <c r="Q5" s="5">
        <f t="shared" si="3"/>
        <v>3.6819999999999999</v>
      </c>
      <c r="R5" s="5">
        <f t="shared" si="3"/>
        <v>3.6819999999999999</v>
      </c>
    </row>
    <row r="6" spans="1:18" s="6" customFormat="1" ht="13" x14ac:dyDescent="0.3">
      <c r="B6" s="6" t="s">
        <v>8</v>
      </c>
      <c r="C6" s="7">
        <f t="shared" ref="C6:I6" si="4">SUM(C3:C5)</f>
        <v>40.673000000000002</v>
      </c>
      <c r="D6" s="7">
        <f t="shared" si="4"/>
        <v>43.269999999999996</v>
      </c>
      <c r="E6" s="7">
        <f t="shared" si="4"/>
        <v>65.150999999999996</v>
      </c>
      <c r="F6" s="7">
        <f t="shared" si="4"/>
        <v>100.268</v>
      </c>
      <c r="G6" s="7">
        <f t="shared" si="4"/>
        <v>99.859000000000009</v>
      </c>
      <c r="H6" s="7">
        <f t="shared" si="4"/>
        <v>102.952</v>
      </c>
      <c r="I6" s="7">
        <f t="shared" si="4"/>
        <v>118.63000000000001</v>
      </c>
      <c r="J6" s="7">
        <f>SUM(J3:J5)</f>
        <v>134.274</v>
      </c>
      <c r="K6" s="7">
        <f>SUM(K3:K5)</f>
        <v>151.14400000000001</v>
      </c>
      <c r="L6" s="7">
        <f>SUM(L3:L5)</f>
        <v>191.922</v>
      </c>
      <c r="M6" s="7">
        <f>SUM(M3:M5)</f>
        <v>276.34400000000005</v>
      </c>
      <c r="N6" s="7">
        <f t="shared" ref="N6:O6" si="5">SUM(N3:N5)</f>
        <v>476.26300000000003</v>
      </c>
      <c r="O6" s="7">
        <f t="shared" si="5"/>
        <v>520.52300000000002</v>
      </c>
      <c r="P6" s="7">
        <f t="shared" ref="P6" si="6">SUM(P3:P5)</f>
        <v>594.26</v>
      </c>
      <c r="Q6" s="7">
        <f t="shared" ref="Q6" si="7">SUM(Q3:Q5)</f>
        <v>698.68200000000002</v>
      </c>
      <c r="R6" s="7">
        <f t="shared" ref="R6" si="8">SUM(R3:R5)</f>
        <v>746.26300000000003</v>
      </c>
    </row>
    <row r="7" spans="1:18" s="3" customFormat="1" x14ac:dyDescent="0.25">
      <c r="B7" s="3" t="s">
        <v>23</v>
      </c>
      <c r="C7" s="5">
        <v>33.082000000000001</v>
      </c>
      <c r="D7" s="5">
        <v>33.707999999999998</v>
      </c>
      <c r="E7" s="5">
        <v>49.234000000000002</v>
      </c>
      <c r="F7" s="5">
        <v>71.542000000000002</v>
      </c>
      <c r="G7" s="5">
        <v>69.314999999999998</v>
      </c>
      <c r="H7" s="5">
        <v>71.790000000000006</v>
      </c>
      <c r="I7" s="5">
        <v>85.367000000000004</v>
      </c>
      <c r="J7" s="5">
        <v>92.328999999999994</v>
      </c>
      <c r="K7" s="5">
        <v>107.22799999999999</v>
      </c>
      <c r="L7" s="5">
        <v>138.715</v>
      </c>
      <c r="M7" s="5">
        <f>+M6-M8</f>
        <v>193.44080000000002</v>
      </c>
      <c r="N7" s="5">
        <f t="shared" ref="N7" si="9">+N6-N8</f>
        <v>333.38409999999999</v>
      </c>
      <c r="O7" s="5">
        <f t="shared" ref="O7" si="10">+O6-O8</f>
        <v>364.36610000000002</v>
      </c>
      <c r="P7" s="5">
        <f t="shared" ref="P7" si="11">+P6-P8</f>
        <v>415.98199999999997</v>
      </c>
      <c r="Q7" s="5">
        <f t="shared" ref="Q7" si="12">+Q6-Q8</f>
        <v>489.07740000000001</v>
      </c>
      <c r="R7" s="5">
        <f t="shared" ref="R7" si="13">+R6-R8</f>
        <v>522.38409999999999</v>
      </c>
    </row>
    <row r="8" spans="1:18" s="3" customFormat="1" x14ac:dyDescent="0.25">
      <c r="B8" s="3" t="s">
        <v>24</v>
      </c>
      <c r="C8" s="5">
        <f>+C6-C7</f>
        <v>7.5910000000000011</v>
      </c>
      <c r="D8" s="5">
        <f>+D6-D7</f>
        <v>9.5619999999999976</v>
      </c>
      <c r="E8" s="5">
        <f>+E6-E7</f>
        <v>15.916999999999994</v>
      </c>
      <c r="F8" s="5">
        <f>+F6-F7</f>
        <v>28.725999999999999</v>
      </c>
      <c r="G8" s="5">
        <f>+G6-G7</f>
        <v>30.544000000000011</v>
      </c>
      <c r="H8" s="5">
        <f>+H6-H7</f>
        <v>31.161999999999992</v>
      </c>
      <c r="I8" s="5">
        <f>+I6-I7</f>
        <v>33.263000000000005</v>
      </c>
      <c r="J8" s="5">
        <f>+J6-J7</f>
        <v>41.945000000000007</v>
      </c>
      <c r="K8" s="5">
        <f>+K6-K7</f>
        <v>43.916000000000011</v>
      </c>
      <c r="L8" s="5">
        <f>+L6-L7</f>
        <v>53.206999999999994</v>
      </c>
      <c r="M8" s="5">
        <f>+M6*0.3</f>
        <v>82.903200000000012</v>
      </c>
      <c r="N8" s="5">
        <f t="shared" ref="N8:R8" si="14">+N6*0.3</f>
        <v>142.87890000000002</v>
      </c>
      <c r="O8" s="5">
        <f t="shared" si="14"/>
        <v>156.15690000000001</v>
      </c>
      <c r="P8" s="5">
        <f t="shared" si="14"/>
        <v>178.27799999999999</v>
      </c>
      <c r="Q8" s="5">
        <f t="shared" si="14"/>
        <v>209.6046</v>
      </c>
      <c r="R8" s="5">
        <f t="shared" si="14"/>
        <v>223.87890000000002</v>
      </c>
    </row>
    <row r="9" spans="1:18" s="3" customFormat="1" x14ac:dyDescent="0.25">
      <c r="B9" s="3" t="s">
        <v>29</v>
      </c>
      <c r="C9" s="5"/>
      <c r="D9" s="5"/>
      <c r="E9" s="5"/>
      <c r="F9" s="5"/>
      <c r="G9" s="5"/>
      <c r="H9" s="5"/>
      <c r="I9" s="5"/>
      <c r="J9" s="5"/>
      <c r="K9" s="5">
        <v>25.655999999999999</v>
      </c>
      <c r="L9" s="5">
        <v>34.871000000000002</v>
      </c>
      <c r="M9" s="5">
        <f>+L9</f>
        <v>34.871000000000002</v>
      </c>
      <c r="N9" s="5">
        <f t="shared" ref="N9:R11" si="15">+M9</f>
        <v>34.871000000000002</v>
      </c>
      <c r="O9" s="5">
        <f t="shared" si="15"/>
        <v>34.871000000000002</v>
      </c>
      <c r="P9" s="5">
        <f t="shared" si="15"/>
        <v>34.871000000000002</v>
      </c>
      <c r="Q9" s="5">
        <f t="shared" si="15"/>
        <v>34.871000000000002</v>
      </c>
      <c r="R9" s="5">
        <f t="shared" si="15"/>
        <v>34.871000000000002</v>
      </c>
    </row>
    <row r="10" spans="1:18" s="3" customFormat="1" x14ac:dyDescent="0.25">
      <c r="B10" s="3" t="s">
        <v>28</v>
      </c>
      <c r="C10" s="5"/>
      <c r="D10" s="5"/>
      <c r="E10" s="5"/>
      <c r="F10" s="5"/>
      <c r="G10" s="5"/>
      <c r="H10" s="5"/>
      <c r="I10" s="5"/>
      <c r="J10" s="5"/>
      <c r="K10" s="5">
        <v>6.3470000000000004</v>
      </c>
      <c r="L10" s="5">
        <v>11.49</v>
      </c>
      <c r="M10" s="5">
        <f>+L10</f>
        <v>11.49</v>
      </c>
      <c r="N10" s="5">
        <f t="shared" si="15"/>
        <v>11.49</v>
      </c>
      <c r="O10" s="5">
        <f t="shared" si="15"/>
        <v>11.49</v>
      </c>
      <c r="P10" s="5">
        <f t="shared" si="15"/>
        <v>11.49</v>
      </c>
      <c r="Q10" s="5">
        <f t="shared" si="15"/>
        <v>11.49</v>
      </c>
      <c r="R10" s="5">
        <f t="shared" si="15"/>
        <v>11.49</v>
      </c>
    </row>
    <row r="11" spans="1:18" s="3" customFormat="1" x14ac:dyDescent="0.25">
      <c r="B11" s="3" t="s">
        <v>27</v>
      </c>
      <c r="C11" s="5"/>
      <c r="D11" s="5"/>
      <c r="E11" s="5"/>
      <c r="F11" s="5"/>
      <c r="G11" s="5"/>
      <c r="H11" s="5"/>
      <c r="I11" s="5"/>
      <c r="J11" s="5"/>
      <c r="K11" s="5">
        <v>24.904</v>
      </c>
      <c r="L11" s="5">
        <v>31.573</v>
      </c>
      <c r="M11" s="5">
        <f>+L11</f>
        <v>31.573</v>
      </c>
      <c r="N11" s="5">
        <f t="shared" si="15"/>
        <v>31.573</v>
      </c>
      <c r="O11" s="5">
        <f t="shared" si="15"/>
        <v>31.573</v>
      </c>
      <c r="P11" s="5">
        <f t="shared" si="15"/>
        <v>31.573</v>
      </c>
      <c r="Q11" s="5">
        <f t="shared" si="15"/>
        <v>31.573</v>
      </c>
      <c r="R11" s="5">
        <f t="shared" si="15"/>
        <v>31.573</v>
      </c>
    </row>
    <row r="12" spans="1:18" s="3" customFormat="1" x14ac:dyDescent="0.25">
      <c r="B12" s="3" t="s">
        <v>26</v>
      </c>
      <c r="C12" s="5">
        <f t="shared" ref="C12:K12" si="16">SUM(C9:C11)</f>
        <v>0</v>
      </c>
      <c r="D12" s="5">
        <f t="shared" si="16"/>
        <v>0</v>
      </c>
      <c r="E12" s="5">
        <f t="shared" si="16"/>
        <v>0</v>
      </c>
      <c r="F12" s="5">
        <f t="shared" si="16"/>
        <v>0</v>
      </c>
      <c r="G12" s="5">
        <f t="shared" si="16"/>
        <v>0</v>
      </c>
      <c r="H12" s="5">
        <f t="shared" si="16"/>
        <v>0</v>
      </c>
      <c r="I12" s="5">
        <f t="shared" si="16"/>
        <v>0</v>
      </c>
      <c r="J12" s="5">
        <f t="shared" si="16"/>
        <v>0</v>
      </c>
      <c r="K12" s="5">
        <f t="shared" si="16"/>
        <v>56.906999999999996</v>
      </c>
      <c r="L12" s="5">
        <f>SUM(L9:L11)</f>
        <v>77.933999999999997</v>
      </c>
      <c r="M12" s="5">
        <f>SUM(M9:M11)</f>
        <v>77.933999999999997</v>
      </c>
      <c r="N12" s="5">
        <f t="shared" ref="N12" si="17">SUM(N9:N11)</f>
        <v>77.933999999999997</v>
      </c>
      <c r="O12" s="5">
        <f t="shared" ref="O12" si="18">SUM(O9:O11)</f>
        <v>77.933999999999997</v>
      </c>
      <c r="P12" s="5">
        <f t="shared" ref="P12" si="19">SUM(P9:P11)</f>
        <v>77.933999999999997</v>
      </c>
      <c r="Q12" s="5">
        <f t="shared" ref="Q12" si="20">SUM(Q9:Q11)</f>
        <v>77.933999999999997</v>
      </c>
      <c r="R12" s="5">
        <f t="shared" ref="R12" si="21">SUM(R9:R11)</f>
        <v>77.933999999999997</v>
      </c>
    </row>
    <row r="13" spans="1:18" s="3" customFormat="1" x14ac:dyDescent="0.25">
      <c r="B13" s="3" t="s">
        <v>25</v>
      </c>
      <c r="C13" s="5">
        <f t="shared" ref="C13:K13" si="22">+C8-C12</f>
        <v>7.5910000000000011</v>
      </c>
      <c r="D13" s="5">
        <f t="shared" si="22"/>
        <v>9.5619999999999976</v>
      </c>
      <c r="E13" s="5">
        <f t="shared" si="22"/>
        <v>15.916999999999994</v>
      </c>
      <c r="F13" s="5">
        <f t="shared" si="22"/>
        <v>28.725999999999999</v>
      </c>
      <c r="G13" s="5">
        <f t="shared" si="22"/>
        <v>30.544000000000011</v>
      </c>
      <c r="H13" s="5">
        <f t="shared" si="22"/>
        <v>31.161999999999992</v>
      </c>
      <c r="I13" s="5">
        <f t="shared" si="22"/>
        <v>33.263000000000005</v>
      </c>
      <c r="J13" s="5">
        <f t="shared" si="22"/>
        <v>41.945000000000007</v>
      </c>
      <c r="K13" s="5">
        <f t="shared" si="22"/>
        <v>-12.990999999999985</v>
      </c>
      <c r="L13" s="5">
        <f>+L8-L12</f>
        <v>-24.727000000000004</v>
      </c>
      <c r="M13" s="5">
        <f>+M8-M12</f>
        <v>4.9692000000000149</v>
      </c>
      <c r="N13" s="5">
        <f t="shared" ref="N13" si="23">+N8-N12</f>
        <v>64.944900000000018</v>
      </c>
      <c r="O13" s="5">
        <f t="shared" ref="O13" si="24">+O8-O12</f>
        <v>78.22290000000001</v>
      </c>
      <c r="P13" s="5">
        <f t="shared" ref="P13" si="25">+P8-P12</f>
        <v>100.34399999999999</v>
      </c>
      <c r="Q13" s="5">
        <f t="shared" ref="Q13" si="26">+Q8-Q12</f>
        <v>131.67060000000001</v>
      </c>
      <c r="R13" s="5">
        <f t="shared" ref="R13" si="27">+R8-R12</f>
        <v>145.94490000000002</v>
      </c>
    </row>
    <row r="22" spans="2:18" x14ac:dyDescent="0.25">
      <c r="B22" s="1" t="s">
        <v>34</v>
      </c>
      <c r="H22" s="8">
        <f t="shared" ref="H22:J22" si="28">H6/D6-1</f>
        <v>1.379292812572221</v>
      </c>
      <c r="I22" s="8">
        <f t="shared" si="28"/>
        <v>0.82084695553406717</v>
      </c>
      <c r="J22" s="8">
        <f t="shared" si="28"/>
        <v>0.33915107511868192</v>
      </c>
      <c r="K22" s="8">
        <f>K6/G6-1</f>
        <v>0.5135741395367468</v>
      </c>
      <c r="L22" s="8">
        <f>L6/H6-1</f>
        <v>0.86418913668505715</v>
      </c>
      <c r="M22" s="8">
        <f>M6/I6-1</f>
        <v>1.3294613504172639</v>
      </c>
      <c r="N22" s="8">
        <f t="shared" ref="N22:R22" si="29">N6/J6-1</f>
        <v>2.5469487763826208</v>
      </c>
      <c r="O22" s="8">
        <f t="shared" si="29"/>
        <v>2.4438879479172182</v>
      </c>
      <c r="P22" s="8">
        <f t="shared" si="29"/>
        <v>2.0963620637550671</v>
      </c>
      <c r="Q22" s="8">
        <f t="shared" si="29"/>
        <v>1.528305300639782</v>
      </c>
      <c r="R22" s="8">
        <f t="shared" si="29"/>
        <v>0.56691365904972679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2026-08-06T20:37:20Z</dcterms:created>
  <dcterms:modified xsi:type="dcterms:W3CDTF">2026-08-07T00:01:51Z</dcterms:modified>
</cp:coreProperties>
</file>