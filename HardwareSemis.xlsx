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31F89572-0BA2-4DAD-80EE-AC1F5956AE99}" xr6:coauthVersionLast="47" xr6:coauthVersionMax="47" xr10:uidLastSave="{00000000-0000-0000-0000-000000000000}"/>
  <bookViews>
    <workbookView xWindow="500" yWindow="1650" windowWidth="20990" windowHeight="18600" firstSheet="2" activeTab="7" xr2:uid="{98D8347A-DFA4-427C-8784-96E5573B433C}"/>
  </bookViews>
  <sheets>
    <sheet name="Semiconductors" sheetId="1" r:id="rId1"/>
    <sheet name="Memory" sheetId="7" r:id="rId2"/>
    <sheet name="CapEquiment" sheetId="8" r:id="rId3"/>
    <sheet name="Optical" sheetId="6" r:id="rId4"/>
    <sheet name="Quantum" sheetId="5" r:id="rId5"/>
    <sheet name="Networking" sheetId="3" r:id="rId6"/>
    <sheet name="Electronics-Computers" sheetId="2" r:id="rId7"/>
    <sheet name="FX" sheetId="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CNY">FX!$B$4</definedName>
    <definedName name="JPY">FX!$C$6</definedName>
    <definedName name="KRW">FX!$C$3</definedName>
    <definedName name="None">FX!$B$4</definedName>
    <definedName name="NTD">FX!$C$2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0" i="6" l="1"/>
  <c r="I10" i="6"/>
  <c r="F10" i="6" s="1"/>
  <c r="H10" i="6" s="1"/>
  <c r="G6" i="7"/>
  <c r="I6" i="7"/>
  <c r="F6" i="7" s="1"/>
  <c r="G7" i="7"/>
  <c r="I7" i="7"/>
  <c r="F7" i="7" s="1"/>
  <c r="H7" i="7" l="1"/>
  <c r="H6" i="7"/>
  <c r="G5" i="6"/>
  <c r="I5" i="6"/>
  <c r="F5" i="6" s="1"/>
  <c r="H5" i="6" l="1"/>
  <c r="V3" i="6"/>
  <c r="W3" i="6" s="1"/>
  <c r="O3" i="6"/>
  <c r="P3" i="6" s="1"/>
  <c r="Q3" i="6" s="1"/>
  <c r="V3" i="7"/>
  <c r="W3" i="7" s="1"/>
  <c r="O3" i="7"/>
  <c r="P3" i="7" s="1"/>
  <c r="Q3" i="7" s="1"/>
  <c r="F12" i="1"/>
  <c r="H12" i="1"/>
  <c r="F17" i="1" l="1"/>
  <c r="H17" i="1"/>
  <c r="F16" i="1"/>
  <c r="H16" i="1"/>
  <c r="F9" i="1"/>
  <c r="H9" i="1"/>
  <c r="E9" i="1" s="1"/>
  <c r="G9" i="1" l="1"/>
  <c r="G4" i="7"/>
  <c r="I4" i="7"/>
  <c r="F4" i="7" s="1"/>
  <c r="H4" i="7" l="1"/>
  <c r="E10" i="7" a="1"/>
  <c r="E10" i="7" s="1"/>
  <c r="E9" i="7" a="1"/>
  <c r="E9" i="7" s="1"/>
  <c r="E8" i="7" a="1"/>
  <c r="E8" i="7" s="1"/>
  <c r="F15" i="1"/>
  <c r="H15" i="1"/>
  <c r="D17" i="1" a="1"/>
  <c r="D17" i="1" s="1"/>
  <c r="E17" i="1" s="1"/>
  <c r="G17" i="1" s="1"/>
  <c r="D15" i="1" a="1"/>
  <c r="D15" i="1" s="1"/>
  <c r="E15" i="1" s="1"/>
  <c r="D12" i="1" a="1"/>
  <c r="D12" i="1" s="1"/>
  <c r="E12" i="1" s="1"/>
  <c r="G12" i="1" s="1"/>
  <c r="D13" i="1" a="1"/>
  <c r="D13" i="1" s="1"/>
  <c r="D16" i="1" a="1"/>
  <c r="D16" i="1" s="1"/>
  <c r="E16" i="1" s="1"/>
  <c r="G16" i="1" s="1"/>
  <c r="D14" i="1" a="1"/>
  <c r="D14" i="1" s="1"/>
  <c r="D8" i="1" a="1"/>
  <c r="D8" i="1" s="1"/>
  <c r="C5" i="1" a="1"/>
  <c r="C5" i="1" s="1"/>
  <c r="C6" i="1" a="1"/>
  <c r="C6" i="1" s="1"/>
  <c r="C8" i="1" a="1"/>
  <c r="C8" i="1" s="1"/>
  <c r="C11" i="1" a="1"/>
  <c r="C11" i="1" s="1"/>
  <c r="D6" i="1" a="1"/>
  <c r="D6" i="1" s="1"/>
  <c r="D5" i="1" a="1"/>
  <c r="D5" i="1" s="1"/>
  <c r="G15" i="1" l="1"/>
  <c r="G5" i="8" l="1"/>
  <c r="H4" i="8"/>
  <c r="F4" i="8"/>
  <c r="G4" i="8" s="1"/>
  <c r="H3" i="8"/>
  <c r="E3" i="8" s="1"/>
  <c r="F3" i="8"/>
  <c r="I8" i="7"/>
  <c r="F8" i="7" s="1"/>
  <c r="G8" i="7"/>
  <c r="I5" i="7"/>
  <c r="F5" i="7" s="1"/>
  <c r="G5" i="7"/>
  <c r="AA3" i="1"/>
  <c r="Z6" i="1"/>
  <c r="H8" i="7" l="1"/>
  <c r="G3" i="8"/>
  <c r="L4" i="8"/>
  <c r="N4" i="8"/>
  <c r="M4" i="8"/>
  <c r="H5" i="7"/>
  <c r="Z7" i="1"/>
  <c r="Z3" i="1" s="1"/>
  <c r="R5" i="7" l="1"/>
  <c r="N5" i="7"/>
  <c r="Q5" i="7"/>
  <c r="O5" i="7"/>
  <c r="M5" i="7"/>
  <c r="P5" i="7"/>
  <c r="F6" i="1"/>
  <c r="F7" i="1"/>
  <c r="E18" i="1"/>
  <c r="E23" i="1"/>
  <c r="E49" i="1"/>
  <c r="E51" i="1"/>
  <c r="E55" i="1"/>
  <c r="N4" i="1"/>
  <c r="O4" i="1" s="1"/>
  <c r="P4" i="1" s="1"/>
  <c r="T4" i="1"/>
  <c r="U4" i="1" s="1"/>
  <c r="V4" i="1" s="1"/>
  <c r="F56" i="2" l="1"/>
  <c r="H56" i="2"/>
  <c r="E56" i="2" s="1"/>
  <c r="F62" i="1"/>
  <c r="H62" i="1"/>
  <c r="E62" i="1" s="1"/>
  <c r="E5" i="2"/>
  <c r="G5" i="2" s="1"/>
  <c r="F4" i="2"/>
  <c r="H4" i="2"/>
  <c r="E4" i="2" s="1" a="1"/>
  <c r="E4" i="2" s="1"/>
  <c r="G56" i="2" l="1"/>
  <c r="G4" i="2"/>
  <c r="G62" i="1"/>
  <c r="F5" i="5"/>
  <c r="H5" i="5"/>
  <c r="E5" i="5" s="1"/>
  <c r="G5" i="5" l="1"/>
  <c r="H6" i="5" l="1"/>
  <c r="E6" i="5" s="1"/>
  <c r="F6" i="5"/>
  <c r="G6" i="5" l="1"/>
  <c r="F8" i="5"/>
  <c r="H8" i="5"/>
  <c r="E8" i="5" s="1"/>
  <c r="J7" i="1"/>
  <c r="I7" i="1"/>
  <c r="G8" i="5" l="1"/>
  <c r="F14" i="1" l="1"/>
  <c r="H14" i="1"/>
  <c r="E14" i="1" s="1"/>
  <c r="G14" i="1" l="1"/>
  <c r="F61" i="1" l="1"/>
  <c r="H61" i="1"/>
  <c r="E61" i="1" s="1"/>
  <c r="G61" i="1" l="1"/>
  <c r="F60" i="1"/>
  <c r="H60" i="1"/>
  <c r="E60" i="1" s="1"/>
  <c r="G60" i="1" l="1"/>
  <c r="F24" i="1"/>
  <c r="H24" i="1"/>
  <c r="E24" i="1" s="1"/>
  <c r="G24" i="1" l="1"/>
  <c r="F52" i="2" l="1"/>
  <c r="H52" i="2"/>
  <c r="E52" i="2" s="1"/>
  <c r="F51" i="2"/>
  <c r="H51" i="2"/>
  <c r="E51" i="2" s="1"/>
  <c r="F8" i="1"/>
  <c r="H8" i="1"/>
  <c r="E8" i="1" s="1"/>
  <c r="G8" i="1" l="1"/>
  <c r="N8" i="1" s="1"/>
  <c r="G52" i="2"/>
  <c r="G51" i="2"/>
  <c r="H7" i="1"/>
  <c r="E7" i="1" s="1"/>
  <c r="H6" i="1"/>
  <c r="E6" i="1" s="1"/>
  <c r="M8" i="1" l="1"/>
  <c r="L8" i="1"/>
  <c r="G6" i="1"/>
  <c r="G7" i="1"/>
  <c r="N6" i="1" l="1"/>
  <c r="L6" i="1"/>
  <c r="M6" i="1"/>
  <c r="F10" i="1"/>
  <c r="H10" i="1"/>
  <c r="E10" i="1" s="1"/>
  <c r="H11" i="1"/>
  <c r="E11" i="1" s="1"/>
  <c r="G10" i="1" l="1"/>
  <c r="M10" i="1" l="1"/>
  <c r="L10" i="1"/>
  <c r="N10" i="1"/>
  <c r="F13" i="1"/>
  <c r="H13" i="1"/>
  <c r="E13" i="1" s="1"/>
  <c r="F11" i="1" l="1"/>
  <c r="G11" i="1" s="1"/>
  <c r="G13" i="1"/>
  <c r="F5" i="1"/>
  <c r="H5" i="1"/>
  <c r="E5" i="1" s="1"/>
  <c r="L11" i="1" l="1"/>
  <c r="M11" i="1"/>
  <c r="N11" i="1"/>
  <c r="G5" i="1"/>
  <c r="L5" i="1" s="1"/>
  <c r="N3" i="2"/>
  <c r="M3" i="2"/>
  <c r="F3" i="2"/>
  <c r="H3" i="2"/>
  <c r="E3" i="2" s="1"/>
  <c r="O5" i="1" l="1"/>
  <c r="N5" i="1"/>
  <c r="N2" i="1" s="1"/>
  <c r="M5" i="1"/>
  <c r="M2" i="1" s="1"/>
  <c r="G3" i="2"/>
  <c r="K3" i="2" l="1"/>
  <c r="L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tc={154242C3-2513-48BF-A6D9-D4A0AF6D462E}</author>
    <author>tc={1D20DD93-FEBE-47F7-BD0B-671BE5F1EC3A}</author>
  </authors>
  <commentList>
    <comment ref="U5" authorId="0" shapeId="0" xr:uid="{154242C3-2513-48BF-A6D9-D4A0AF6D462E}">
      <text>
        <t>[Threaded comment]
Your version of Excel allows you to read this threaded comment; however, any edits to it will get removed if the file is opened in a newer version of Excel. Learn more: https://go.microsoft.com/fwlink/?linkid=870924
Comment:
    Was 57.10</t>
      </text>
    </comment>
    <comment ref="V5" authorId="1" shapeId="0" xr:uid="{1D20DD93-FEBE-47F7-BD0B-671BE5F1EC3A}">
      <text>
        <t>[Threaded comment]
Your version of Excel allows you to read this threaded comment; however, any edits to it will get removed if the file is opened in a newer version of Excel. Learn more: https://go.microsoft.com/fwlink/?linkid=870924
Comment:
    Was  95.65</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6"/>
        </ext>
      </extLst>
    </bk>
    <bk>
      <extLst>
        <ext uri="{3e2802c4-a4d2-4d8b-9148-e3be6c30e623}">
          <xlrd:rvb i="19"/>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0"/>
        </ext>
      </extLst>
    </bk>
    <bk>
      <extLst>
        <ext uri="{3e2802c4-a4d2-4d8b-9148-e3be6c30e623}">
          <xlrd:rvb i="43"/>
        </ext>
      </extLst>
    </bk>
    <bk>
      <extLst>
        <ext uri="{3e2802c4-a4d2-4d8b-9148-e3be6c30e623}">
          <xlrd:rvb i="49"/>
        </ext>
      </extLst>
    </bk>
  </futureMetadata>
  <cellMetadata count="1">
    <bk>
      <rc t="1" v="0"/>
    </bk>
  </cellMetadata>
  <valueMetadata count="15">
    <bk>
      <rc t="2" v="0"/>
    </bk>
    <bk>
      <rc t="2" v="1"/>
    </bk>
    <bk>
      <rc t="2" v="2"/>
    </bk>
    <bk>
      <rc t="2" v="3"/>
    </bk>
    <bk>
      <rc t="2" v="4"/>
    </bk>
    <bk>
      <rc t="2" v="5"/>
    </bk>
    <bk>
      <rc t="2" v="6"/>
    </bk>
    <bk>
      <rc t="2" v="7"/>
    </bk>
    <bk>
      <rc t="2" v="8"/>
    </bk>
    <bk>
      <rc t="2" v="9"/>
    </bk>
    <bk>
      <rc t="2" v="10"/>
    </bk>
    <bk>
      <rc t="2" v="11"/>
    </bk>
    <bk>
      <rc t="2" v="12"/>
    </bk>
    <bk>
      <rc t="2" v="13"/>
    </bk>
    <bk>
      <rc t="2" v="14"/>
    </bk>
  </valueMetadata>
</metadata>
</file>

<file path=xl/sharedStrings.xml><?xml version="1.0" encoding="utf-8"?>
<sst xmlns="http://schemas.openxmlformats.org/spreadsheetml/2006/main" count="606" uniqueCount="367">
  <si>
    <t>Name</t>
  </si>
  <si>
    <t>Ticker</t>
  </si>
  <si>
    <t>Price</t>
  </si>
  <si>
    <t>MC</t>
  </si>
  <si>
    <t>AMD</t>
  </si>
  <si>
    <t>TXN</t>
  </si>
  <si>
    <t>Taiwan Semi</t>
  </si>
  <si>
    <t>Apple</t>
  </si>
  <si>
    <t>Samsung</t>
  </si>
  <si>
    <t>Micron</t>
  </si>
  <si>
    <t>MU</t>
  </si>
  <si>
    <t>AAPL</t>
  </si>
  <si>
    <t>Xiaomi</t>
  </si>
  <si>
    <t>Dell</t>
  </si>
  <si>
    <t>HP</t>
  </si>
  <si>
    <t>Lenovo</t>
  </si>
  <si>
    <t>2330 TT</t>
  </si>
  <si>
    <t>005930 KS</t>
  </si>
  <si>
    <t>ASML</t>
  </si>
  <si>
    <t>CSCO</t>
  </si>
  <si>
    <t>Cisco</t>
  </si>
  <si>
    <t>QCOM</t>
  </si>
  <si>
    <t>Applied Materials</t>
  </si>
  <si>
    <t>AMAT</t>
  </si>
  <si>
    <t>ADI</t>
  </si>
  <si>
    <t>Diligent Robotics</t>
  </si>
  <si>
    <t>NC</t>
  </si>
  <si>
    <t>EV</t>
  </si>
  <si>
    <t>S/O</t>
  </si>
  <si>
    <t>Update</t>
  </si>
  <si>
    <t>Last</t>
  </si>
  <si>
    <t>NPV</t>
  </si>
  <si>
    <t>Upside</t>
  </si>
  <si>
    <t>Discount</t>
  </si>
  <si>
    <t>Terminal</t>
  </si>
  <si>
    <t>ROIC</t>
  </si>
  <si>
    <t>x</t>
  </si>
  <si>
    <t>Longi Green</t>
  </si>
  <si>
    <t>601012 CH</t>
  </si>
  <si>
    <t>Lam Research</t>
  </si>
  <si>
    <t>LRCX</t>
  </si>
  <si>
    <t>Midea Group</t>
  </si>
  <si>
    <t>000333 CH</t>
  </si>
  <si>
    <t>SK Hynix</t>
  </si>
  <si>
    <t>000660 KS</t>
  </si>
  <si>
    <t>Tokyo Electron</t>
  </si>
  <si>
    <t>8035 JP</t>
  </si>
  <si>
    <t>KLA Corp</t>
  </si>
  <si>
    <t>KLAC</t>
  </si>
  <si>
    <t>Hon Hai</t>
  </si>
  <si>
    <t>2317 TT</t>
  </si>
  <si>
    <t>Shin-Etsu Chemical</t>
  </si>
  <si>
    <t>4063 JP</t>
  </si>
  <si>
    <t>Private</t>
  </si>
  <si>
    <t>Nothing</t>
  </si>
  <si>
    <t>Razer</t>
  </si>
  <si>
    <t>Hitachi</t>
  </si>
  <si>
    <t>6501 JP</t>
  </si>
  <si>
    <t>Hangzhou Hikvision</t>
  </si>
  <si>
    <t>002415 CH</t>
  </si>
  <si>
    <t>NXP Semiconductor</t>
  </si>
  <si>
    <t>NXPI</t>
  </si>
  <si>
    <t>1810 HK</t>
  </si>
  <si>
    <t>Motorola</t>
  </si>
  <si>
    <t>MSI</t>
  </si>
  <si>
    <t>Marvel</t>
  </si>
  <si>
    <t>MRVL</t>
  </si>
  <si>
    <t>2454 TT</t>
  </si>
  <si>
    <t>Microchip</t>
  </si>
  <si>
    <t>MCHP</t>
  </si>
  <si>
    <t>Hoya</t>
  </si>
  <si>
    <t>7741 JP</t>
  </si>
  <si>
    <t>HPQ</t>
  </si>
  <si>
    <t>DELL</t>
  </si>
  <si>
    <t>Arista</t>
  </si>
  <si>
    <t>ANET</t>
  </si>
  <si>
    <t>Infineon</t>
  </si>
  <si>
    <t>IFX GR</t>
  </si>
  <si>
    <t>Canon</t>
  </si>
  <si>
    <t>7751 JP</t>
  </si>
  <si>
    <t>STMicro</t>
  </si>
  <si>
    <t>STM</t>
  </si>
  <si>
    <t>Foxconn</t>
  </si>
  <si>
    <t>601138 CH</t>
  </si>
  <si>
    <t>FujiFilm</t>
  </si>
  <si>
    <t>4901 JP</t>
  </si>
  <si>
    <t>TCL Zhonghuan</t>
  </si>
  <si>
    <t>002129 CH</t>
  </si>
  <si>
    <t>Fujitsu</t>
  </si>
  <si>
    <t>6702 JP</t>
  </si>
  <si>
    <t>Nokia</t>
  </si>
  <si>
    <t>NOKIA FH</t>
  </si>
  <si>
    <t>GlobalFoundries</t>
  </si>
  <si>
    <t>GFS</t>
  </si>
  <si>
    <t>Pasqal</t>
  </si>
  <si>
    <t>Cerebras</t>
  </si>
  <si>
    <t>On Semiconductor</t>
  </si>
  <si>
    <t>ON</t>
  </si>
  <si>
    <t>SMIC</t>
  </si>
  <si>
    <t>981 HK</t>
  </si>
  <si>
    <t>Ericsson</t>
  </si>
  <si>
    <t>ERICB SS</t>
  </si>
  <si>
    <t>SO</t>
  </si>
  <si>
    <t>Q322</t>
  </si>
  <si>
    <t>Founded</t>
  </si>
  <si>
    <t>ARM</t>
  </si>
  <si>
    <t>Q224</t>
  </si>
  <si>
    <t>IonQ</t>
  </si>
  <si>
    <t>Rigetti</t>
  </si>
  <si>
    <t>IONQ</t>
  </si>
  <si>
    <t>QBTS</t>
  </si>
  <si>
    <t>D-Wave</t>
  </si>
  <si>
    <t>RGTI</t>
  </si>
  <si>
    <t>IBM</t>
  </si>
  <si>
    <t>Q423</t>
  </si>
  <si>
    <t>Main</t>
  </si>
  <si>
    <t>Jabil</t>
  </si>
  <si>
    <t>JBL</t>
  </si>
  <si>
    <t>Super Micro</t>
  </si>
  <si>
    <t>SMCI</t>
  </si>
  <si>
    <t>Enphase Energy</t>
  </si>
  <si>
    <t>ENPH</t>
  </si>
  <si>
    <t>Mobileye</t>
  </si>
  <si>
    <t>MBLY</t>
  </si>
  <si>
    <t>Quantinuum</t>
  </si>
  <si>
    <t>Quantum Computing Inc</t>
  </si>
  <si>
    <t>QUBT</t>
  </si>
  <si>
    <t>Multiverse Computing</t>
  </si>
  <si>
    <t>IQM Quantum Computers</t>
  </si>
  <si>
    <t>Infleqtion</t>
  </si>
  <si>
    <t>Quantum Brilliance</t>
  </si>
  <si>
    <t>Nu Quantum</t>
  </si>
  <si>
    <t>BlueQubit</t>
  </si>
  <si>
    <t>Alice &amp; Bob</t>
  </si>
  <si>
    <t>Quanscient</t>
  </si>
  <si>
    <t>Quantum Circuits</t>
  </si>
  <si>
    <t>Qblox</t>
  </si>
  <si>
    <t>Quantum Motion</t>
  </si>
  <si>
    <t>Quobly</t>
  </si>
  <si>
    <t>Quantum Machines</t>
  </si>
  <si>
    <t>BTQ</t>
  </si>
  <si>
    <t>Classiq Technologies</t>
  </si>
  <si>
    <t>Diraq</t>
  </si>
  <si>
    <t>PQShield</t>
  </si>
  <si>
    <t>Q-CTRL</t>
  </si>
  <si>
    <t>QuSecure</t>
  </si>
  <si>
    <t>GTN</t>
  </si>
  <si>
    <t>Quintessence Labs</t>
  </si>
  <si>
    <t>Xanadu</t>
  </si>
  <si>
    <t>Quibtekk</t>
  </si>
  <si>
    <t>Zapata Computing</t>
  </si>
  <si>
    <t>ZPTA</t>
  </si>
  <si>
    <t>UbiQD</t>
  </si>
  <si>
    <t>T-Rize Group</t>
  </si>
  <si>
    <t>Algorithmiq</t>
  </si>
  <si>
    <t>Fabric Cryptography</t>
  </si>
  <si>
    <t>Oxford Quantum Circuits</t>
  </si>
  <si>
    <t>planqc</t>
  </si>
  <si>
    <t>Terra Quantum</t>
  </si>
  <si>
    <t>SemiQon</t>
  </si>
  <si>
    <t>PsiQuantum</t>
  </si>
  <si>
    <t>BosonQ Psi</t>
  </si>
  <si>
    <t>Quantum Source</t>
  </si>
  <si>
    <t>Quandela</t>
  </si>
  <si>
    <t>Arctic Instruments</t>
  </si>
  <si>
    <t>QC Ware</t>
  </si>
  <si>
    <t>SeeQC</t>
  </si>
  <si>
    <t>Photonic</t>
  </si>
  <si>
    <t>QunaSys</t>
  </si>
  <si>
    <t>Oxford Ionics</t>
  </si>
  <si>
    <t>Agnostiq</t>
  </si>
  <si>
    <t>Phasecraft</t>
  </si>
  <si>
    <t>Origin Quantum</t>
  </si>
  <si>
    <t>PASQAL</t>
  </si>
  <si>
    <t>Silicon Quantum Computing</t>
  </si>
  <si>
    <t>Riverlane</t>
  </si>
  <si>
    <t>InVisage Technologies</t>
  </si>
  <si>
    <t>Cambridge Quantum Computing</t>
  </si>
  <si>
    <t>Q324</t>
  </si>
  <si>
    <t>NTD</t>
  </si>
  <si>
    <t>SealSQ</t>
  </si>
  <si>
    <t>LAES</t>
  </si>
  <si>
    <t>Q424</t>
  </si>
  <si>
    <t>Semis</t>
  </si>
  <si>
    <t>Motorola Solutions</t>
  </si>
  <si>
    <t>Advantest</t>
  </si>
  <si>
    <t>6857 JP</t>
  </si>
  <si>
    <t>Hygon Information Technology</t>
  </si>
  <si>
    <t>688041 CH</t>
  </si>
  <si>
    <t>Delta Electronics Thai</t>
  </si>
  <si>
    <t>DELTA TB</t>
  </si>
  <si>
    <t>Garmin</t>
  </si>
  <si>
    <t>GRMN</t>
  </si>
  <si>
    <t>Cambricon</t>
  </si>
  <si>
    <t>688256 CH</t>
  </si>
  <si>
    <t>Monolithic</t>
  </si>
  <si>
    <t>MPWR</t>
  </si>
  <si>
    <t>Disco</t>
  </si>
  <si>
    <t>6146 JP</t>
  </si>
  <si>
    <t>Delta Electronics</t>
  </si>
  <si>
    <t>2308 TT</t>
  </si>
  <si>
    <t>Quanta</t>
  </si>
  <si>
    <t>2382 TT</t>
  </si>
  <si>
    <t>KRW</t>
  </si>
  <si>
    <t>CNY</t>
  </si>
  <si>
    <t>Renesas</t>
  </si>
  <si>
    <t>6723 JP</t>
  </si>
  <si>
    <t>Naura</t>
  </si>
  <si>
    <t>002371 CH</t>
  </si>
  <si>
    <t>ASM International</t>
  </si>
  <si>
    <t>ASM NA</t>
  </si>
  <si>
    <t>Panasonic</t>
  </si>
  <si>
    <t>6752 JP</t>
  </si>
  <si>
    <t>HPE</t>
  </si>
  <si>
    <t>HP Enterprise</t>
  </si>
  <si>
    <t>NEC</t>
  </si>
  <si>
    <t>6701 JP</t>
  </si>
  <si>
    <t>ZTE</t>
  </si>
  <si>
    <t>000063 CH</t>
  </si>
  <si>
    <t>NetApp</t>
  </si>
  <si>
    <t>NTAP</t>
  </si>
  <si>
    <t>Western Digital</t>
  </si>
  <si>
    <t>WDC</t>
  </si>
  <si>
    <t>BOE Technology</t>
  </si>
  <si>
    <t>200725 CH</t>
  </si>
  <si>
    <t>ASE Technology</t>
  </si>
  <si>
    <t>3711 TT</t>
  </si>
  <si>
    <t>Will Semiconductor</t>
  </si>
  <si>
    <t>603501 CH</t>
  </si>
  <si>
    <t>ACM Research</t>
  </si>
  <si>
    <t>ACMR</t>
  </si>
  <si>
    <t>Q125</t>
  </si>
  <si>
    <t>TDK</t>
  </si>
  <si>
    <t>6762 JP</t>
  </si>
  <si>
    <t>Astera</t>
  </si>
  <si>
    <t>ALAB</t>
  </si>
  <si>
    <t>Celestica</t>
  </si>
  <si>
    <t>CLS</t>
  </si>
  <si>
    <t>Q225</t>
  </si>
  <si>
    <t>EPS</t>
  </si>
  <si>
    <t>Silicon Spin Qubits</t>
  </si>
  <si>
    <t>3661 TT</t>
  </si>
  <si>
    <t>AIchip</t>
  </si>
  <si>
    <t>Global Unichip</t>
  </si>
  <si>
    <t>3443 TT</t>
  </si>
  <si>
    <t>Faraday</t>
  </si>
  <si>
    <t>3035 TT</t>
  </si>
  <si>
    <t>TWD</t>
  </si>
  <si>
    <t>JPY</t>
  </si>
  <si>
    <t>Fremont</t>
  </si>
  <si>
    <t>California</t>
  </si>
  <si>
    <t>United States</t>
  </si>
  <si>
    <t>INFQ</t>
  </si>
  <si>
    <t>Infeqtion</t>
  </si>
  <si>
    <t>Q126</t>
  </si>
  <si>
    <t>Sandisk</t>
  </si>
  <si>
    <t>SNDK</t>
  </si>
  <si>
    <t>EV/E</t>
  </si>
  <si>
    <t>Average</t>
  </si>
  <si>
    <t>Q425</t>
  </si>
  <si>
    <t>CEO Salary</t>
  </si>
  <si>
    <t>CTO Salary</t>
  </si>
  <si>
    <t>Country</t>
  </si>
  <si>
    <t>State</t>
  </si>
  <si>
    <t>City</t>
  </si>
  <si>
    <t>EUR</t>
  </si>
  <si>
    <t>Coherent</t>
  </si>
  <si>
    <t>COHR</t>
  </si>
  <si>
    <t>Kioxia</t>
  </si>
  <si>
    <t>285A JP</t>
  </si>
  <si>
    <t>Seagate</t>
  </si>
  <si>
    <t>STX</t>
  </si>
  <si>
    <t>Palo Alto</t>
  </si>
  <si>
    <t>PANW</t>
  </si>
  <si>
    <t>Sony</t>
  </si>
  <si>
    <t>6758 JP</t>
  </si>
  <si>
    <t>CBRS</t>
  </si>
  <si>
    <t>Zhongji Innolight</t>
  </si>
  <si>
    <t>300308 CH</t>
  </si>
  <si>
    <t>Amphenol</t>
  </si>
  <si>
    <t>APH</t>
  </si>
  <si>
    <t>Murata Manufacturing</t>
  </si>
  <si>
    <t>6981 JP</t>
  </si>
  <si>
    <t>Lumentum</t>
  </si>
  <si>
    <t>LITE</t>
  </si>
  <si>
    <t>Eoptolink</t>
  </si>
  <si>
    <t>300502 CH</t>
  </si>
  <si>
    <t>Credo</t>
  </si>
  <si>
    <t>CRDO</t>
  </si>
  <si>
    <t>Ubiquiti</t>
  </si>
  <si>
    <t>UI</t>
  </si>
  <si>
    <t>Tower Semiconductor</t>
  </si>
  <si>
    <t>TSEM</t>
  </si>
  <si>
    <t>BE Semi</t>
  </si>
  <si>
    <t>BESI</t>
  </si>
  <si>
    <t>763 HK</t>
  </si>
  <si>
    <t>QNT</t>
  </si>
  <si>
    <t>Lattice</t>
  </si>
  <si>
    <t>LSCC</t>
  </si>
  <si>
    <t>Asustek</t>
  </si>
  <si>
    <t>2357 HK</t>
  </si>
  <si>
    <t>Logitech</t>
  </si>
  <si>
    <t>LOGN</t>
  </si>
  <si>
    <t>992 HK</t>
  </si>
  <si>
    <t>Fortinet</t>
  </si>
  <si>
    <t>FTNT</t>
  </si>
  <si>
    <t>Samsung Electro-Mechanics</t>
  </si>
  <si>
    <t>009150 KS</t>
  </si>
  <si>
    <t>Synaptics</t>
  </si>
  <si>
    <t>SYNA</t>
  </si>
  <si>
    <t>Hamamatsu</t>
  </si>
  <si>
    <t>6965 JP</t>
  </si>
  <si>
    <t>Seiko Epson</t>
  </si>
  <si>
    <t>6724 JP</t>
  </si>
  <si>
    <t>GigaDevice</t>
  </si>
  <si>
    <t>3986 HK</t>
  </si>
  <si>
    <t>United Micro</t>
  </si>
  <si>
    <t>2303 TT</t>
  </si>
  <si>
    <t>Luxshare</t>
  </si>
  <si>
    <t>002475 CH</t>
  </si>
  <si>
    <t>Fujikura</t>
  </si>
  <si>
    <t>5803 JP</t>
  </si>
  <si>
    <t>Suzhou Dongshan Precision Manufacturing</t>
  </si>
  <si>
    <t>002384 CH</t>
  </si>
  <si>
    <t>Yageo Corporation</t>
  </si>
  <si>
    <t>2327 TT</t>
  </si>
  <si>
    <t>Sanmina</t>
  </si>
  <si>
    <t>SANM</t>
  </si>
  <si>
    <t>Teradyne</t>
  </si>
  <si>
    <t>TER</t>
  </si>
  <si>
    <t>Ciena</t>
  </si>
  <si>
    <t>CIEN</t>
  </si>
  <si>
    <t>Keysight</t>
  </si>
  <si>
    <t>KEYS</t>
  </si>
  <si>
    <t>TE Connectivity</t>
  </si>
  <si>
    <t>TEL</t>
  </si>
  <si>
    <t>Flex</t>
  </si>
  <si>
    <t>FLEX</t>
  </si>
  <si>
    <t>Suzhou TFC Optical Communication</t>
  </si>
  <si>
    <t>300394 CH</t>
  </si>
  <si>
    <t xml:space="preserve">Yangtze Optical Fibre and Cable </t>
  </si>
  <si>
    <t>6869 HK</t>
  </si>
  <si>
    <t>Fabrinet</t>
  </si>
  <si>
    <t>FN</t>
  </si>
  <si>
    <t>Victory Giant Technology</t>
  </si>
  <si>
    <t>2476 HK</t>
  </si>
  <si>
    <t>Nanya</t>
  </si>
  <si>
    <t>2408 HK</t>
  </si>
  <si>
    <t>3037 TT</t>
  </si>
  <si>
    <t>Unimicron</t>
  </si>
  <si>
    <t>Shennan Circuit Co</t>
  </si>
  <si>
    <t>002916 CH</t>
  </si>
  <si>
    <t>IBIDEN</t>
  </si>
  <si>
    <t>4062 JP</t>
  </si>
  <si>
    <t>Accton Technology Corp.</t>
  </si>
  <si>
    <t>2345 TT</t>
  </si>
  <si>
    <t>Chaozhou Three-Circle</t>
  </si>
  <si>
    <t>300408 CH</t>
  </si>
  <si>
    <t>Q226</t>
  </si>
  <si>
    <t>nLIGHT</t>
  </si>
  <si>
    <t>LASR</t>
  </si>
  <si>
    <t>Maxlinear</t>
  </si>
  <si>
    <t>MXL</t>
  </si>
  <si>
    <t>Bloom Energy</t>
  </si>
  <si>
    <t>BE</t>
  </si>
  <si>
    <t>Applied Optoelectronics</t>
  </si>
  <si>
    <t>AAOI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</si>
</sst>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412]#,##0"/>
    <numFmt numFmtId="166" formatCode="[$¥-804]#,##0.00"/>
    <numFmt numFmtId="167" formatCode="0\x"/>
    <numFmt numFmtId="168" formatCode="[$¥-411]#,##0"/>
  </numFmts>
  <fonts count="4" x14ac:knownFonts="1">
    <font>
      <sz val="10"/>
      <color theme="1"/>
      <name val="Arial"/>
      <family val="2"/>
    </font>
    <font>
      <u/>
      <sz val="10"/>
      <color theme="10"/>
      <name val="Arial"/>
      <family val="2"/>
    </font>
    <font>
      <b/>
      <u/>
      <sz val="10"/>
      <color theme="1"/>
      <name val="Arial"/>
      <family val="2"/>
    </font>
    <font>
      <sz val="10"/>
      <color theme="1"/>
      <name val="Arial"/>
      <family val="2"/>
    </font>
  </fonts>
  <fills count="2">
    <fill>
      <patternFill patternType="none"/>
    </fill>
    <fill>
      <patternFill patternType="gray125"/>
    </fill>
  </fills>
  <borders count="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1" fillId="0" borderId="0" xfId="1"/>
    <xf numFmtId="4" fontId="0" fillId="0" borderId="0" xfId="0" applyNumberFormat="1"/>
    <xf numFmtId="0" fontId="0" fillId="0" borderId="0" xfId="0" applyAlignment="1">
      <alignment horizontal="right"/>
    </xf>
    <xf numFmtId="4" fontId="0" fillId="0" borderId="0" xfId="0" applyNumberFormat="1" applyAlignment="1">
      <alignment horizontal="right"/>
    </xf>
    <xf numFmtId="14" fontId="0" fillId="0" borderId="0" xfId="0" applyNumberFormat="1"/>
    <xf numFmtId="3" fontId="0" fillId="0" borderId="0" xfId="0" applyNumberFormat="1" applyAlignment="1">
      <alignment horizontal="right"/>
    </xf>
    <xf numFmtId="9" fontId="0" fillId="0" borderId="0" xfId="0" applyNumberFormat="1"/>
    <xf numFmtId="164" fontId="0" fillId="0" borderId="0" xfId="0" applyNumberFormat="1"/>
    <xf numFmtId="0" fontId="2" fillId="0" borderId="0" xfId="0" applyFont="1"/>
    <xf numFmtId="14" fontId="0" fillId="0" borderId="0" xfId="0" applyNumberFormat="1" applyAlignment="1">
      <alignment horizontal="right"/>
    </xf>
    <xf numFmtId="0" fontId="0" fillId="0" borderId="0" xfId="0" applyAlignment="1">
      <alignment horizontal="center"/>
    </xf>
    <xf numFmtId="3" fontId="0" fillId="0" borderId="0" xfId="0" applyNumberFormat="1" applyAlignment="1">
      <alignment horizontal="center"/>
    </xf>
    <xf numFmtId="3" fontId="0" fillId="0" borderId="0" xfId="0" applyNumberFormat="1"/>
    <xf numFmtId="165" fontId="0" fillId="0" borderId="0" xfId="0" applyNumberFormat="1" applyAlignment="1">
      <alignment horizontal="right"/>
    </xf>
    <xf numFmtId="166" fontId="0" fillId="0" borderId="0" xfId="0" applyNumberFormat="1" applyAlignment="1">
      <alignment horizontal="right"/>
    </xf>
    <xf numFmtId="0" fontId="0" fillId="0" borderId="1" xfId="0" applyBorder="1" applyAlignment="1">
      <alignment horizontal="right"/>
    </xf>
    <xf numFmtId="0" fontId="0" fillId="0" borderId="1" xfId="0" applyBorder="1"/>
    <xf numFmtId="0" fontId="0" fillId="0" borderId="2" xfId="0" applyBorder="1"/>
    <xf numFmtId="167" fontId="0" fillId="0" borderId="1" xfId="0" applyNumberFormat="1" applyBorder="1"/>
    <xf numFmtId="167" fontId="0" fillId="0" borderId="0" xfId="0" applyNumberFormat="1"/>
    <xf numFmtId="4" fontId="0" fillId="0" borderId="1" xfId="0" applyNumberFormat="1" applyBorder="1"/>
    <xf numFmtId="0" fontId="0" fillId="0" borderId="0" xfId="0" quotePrefix="1"/>
    <xf numFmtId="0" fontId="3" fillId="0" borderId="0" xfId="0" applyFont="1"/>
    <xf numFmtId="0" fontId="3" fillId="0" borderId="0" xfId="1" applyFont="1"/>
    <xf numFmtId="167" fontId="0" fillId="0" borderId="2" xfId="0" applyNumberFormat="1" applyBorder="1"/>
    <xf numFmtId="0" fontId="0" fillId="0" borderId="0" xfId="0" applyAlignment="1">
      <alignment horizontal="left"/>
    </xf>
    <xf numFmtId="4" fontId="0" fillId="0" borderId="0" xfId="0" applyNumberFormat="1" applyAlignment="1">
      <alignment horizontal="left"/>
    </xf>
    <xf numFmtId="168" fontId="0" fillId="0" borderId="0" xfId="0" applyNumberFormat="1" applyAlignment="1">
      <alignment horizontal="right"/>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6DCA3146-CED7-46CE-A0BC-0D6A48096DA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9" Type="http://schemas.openxmlformats.org/officeDocument/2006/relationships/styles" Target="styles.xml"/><Relationship Id="rId21" Type="http://schemas.openxmlformats.org/officeDocument/2006/relationships/externalLink" Target="externalLinks/externalLink13.xml"/><Relationship Id="rId34" Type="http://schemas.openxmlformats.org/officeDocument/2006/relationships/externalLink" Target="externalLinks/externalLink26.xml"/><Relationship Id="rId42" Type="http://schemas.microsoft.com/office/2017/06/relationships/rdRichValue" Target="richData/rdrichvalue.xml"/><Relationship Id="rId47"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externalLink" Target="externalLinks/externalLink21.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40" Type="http://schemas.openxmlformats.org/officeDocument/2006/relationships/sharedStrings" Target="sharedStrings.xml"/><Relationship Id="rId45"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4"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43" Type="http://schemas.microsoft.com/office/2017/06/relationships/rdRichValueStructure" Target="richData/rdrichvaluestructure.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theme" Target="theme/theme1.xml"/><Relationship Id="rId46" Type="http://schemas.microsoft.com/office/2017/06/relationships/rdSupportingPropertyBag" Target="richData/rdsupportingpropertybag.xml"/><Relationship Id="rId20" Type="http://schemas.openxmlformats.org/officeDocument/2006/relationships/externalLink" Target="externalLinks/externalLink12.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tin%20Shkreli%20-%20DL\models\NVDA.xlsx" TargetMode="External"/><Relationship Id="rId1" Type="http://schemas.openxmlformats.org/officeDocument/2006/relationships/externalLinkPath" Target="NVD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artin%20Shkreli\code\models\TSM.xlsx" TargetMode="External"/><Relationship Id="rId1" Type="http://schemas.openxmlformats.org/officeDocument/2006/relationships/externalLinkPath" Target="TSM.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artin%20Shkreli%20-%20DL\models\AVGO.xlsx" TargetMode="External"/><Relationship Id="rId1" Type="http://schemas.openxmlformats.org/officeDocument/2006/relationships/externalLinkPath" Target="AVGO.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artin%20Shkreli%20-%20DL\models\005930%20Samsung.xlsx" TargetMode="External"/><Relationship Id="rId1" Type="http://schemas.openxmlformats.org/officeDocument/2006/relationships/externalLinkPath" Target="005930%20Samsung.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artin%20Shkreli%20-%20DL\models\AMD.xlsx" TargetMode="External"/><Relationship Id="rId1" Type="http://schemas.openxmlformats.org/officeDocument/2006/relationships/externalLinkPath" Target="AM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artin%20Shkreli%20-%20DL\models\INTC.xlsx" TargetMode="External"/><Relationship Id="rId1" Type="http://schemas.openxmlformats.org/officeDocument/2006/relationships/externalLinkPath" Target="INTC.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artin%20Shkreli%20-%20DL\models\ARM.xlsx" TargetMode="External"/><Relationship Id="rId1" Type="http://schemas.openxmlformats.org/officeDocument/2006/relationships/externalLinkPath" Target="ARM.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shkre\code\models\TXN.xlsx" TargetMode="External"/><Relationship Id="rId1" Type="http://schemas.openxmlformats.org/officeDocument/2006/relationships/externalLinkPath" Target="TXN.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Martin%20Shkreli%20-%20DL\models\QCOM.xlsx" TargetMode="External"/><Relationship Id="rId1" Type="http://schemas.openxmlformats.org/officeDocument/2006/relationships/externalLinkPath" Target="QCOM.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Martin%20Shkreli%20-%20DL\models\MRVL.xlsx" TargetMode="External"/><Relationship Id="rId1" Type="http://schemas.openxmlformats.org/officeDocument/2006/relationships/externalLinkPath" Target="MRVL.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Martin%20Shkreli%20-%20DL\models\ADI.xlsx" TargetMode="External"/><Relationship Id="rId1" Type="http://schemas.openxmlformats.org/officeDocument/2006/relationships/externalLinkPath" Target="ADI.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Martin%20Shkreli%20-%20DL\models\2454%20TT%20MediaTek.xlsx" TargetMode="External"/><Relationship Id="rId1" Type="http://schemas.openxmlformats.org/officeDocument/2006/relationships/externalLinkPath" Target="2454%20TT%20MediaTek.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shkre\code\models\SMCI.xlsx" TargetMode="External"/><Relationship Id="rId1" Type="http://schemas.openxmlformats.org/officeDocument/2006/relationships/externalLinkPath" Target="SMCI.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shkre\code\models\ENPH.xlsx" TargetMode="External"/><Relationship Id="rId1" Type="http://schemas.openxmlformats.org/officeDocument/2006/relationships/externalLinkPath" Target="ENPH.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shkre\code\models\MBLY.xlsx" TargetMode="External"/><Relationship Id="rId1" Type="http://schemas.openxmlformats.org/officeDocument/2006/relationships/externalLinkPath" Target="MBLY.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Users\Martin%20Shkreli\code\models\ACMR.xlsx" TargetMode="External"/><Relationship Id="rId1" Type="http://schemas.openxmlformats.org/officeDocument/2006/relationships/externalLinkPath" Target="ACMR.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Martin%20Shkreli%20-%20DL\models\MU.xlsx" TargetMode="External"/><Relationship Id="rId1" Type="http://schemas.openxmlformats.org/officeDocument/2006/relationships/externalLinkPath" Target="MU.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Users\Martin%20Shkreli%20-%20DL\models\000600%20SK%20Hynix.xlsx" TargetMode="External"/><Relationship Id="rId1" Type="http://schemas.openxmlformats.org/officeDocument/2006/relationships/externalLinkPath" Target="000600%20SK%20Hynix.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C:\Users\Martin%20Shkreli%20-%20DL\models\285A%20Kioxia.xlsx" TargetMode="External"/><Relationship Id="rId1" Type="http://schemas.openxmlformats.org/officeDocument/2006/relationships/externalLinkPath" Target="285A%20Kioxia.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C:\Users\Martin%20Shkreli%20-%20DL\models\SNDK.xlsx" TargetMode="External"/><Relationship Id="rId1" Type="http://schemas.openxmlformats.org/officeDocument/2006/relationships/externalLinkPath" Target="SNDK.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C:\Users\Martin%20Shkreli%20-%20DL\models\ASML.xlsx" TargetMode="External"/><Relationship Id="rId1" Type="http://schemas.openxmlformats.org/officeDocument/2006/relationships/externalLinkPath" Target="ASML.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C:\Users\Martin%20Shkreli%20-%20DL\models\AMAT.xlsx" TargetMode="External"/><Relationship Id="rId1" Type="http://schemas.openxmlformats.org/officeDocument/2006/relationships/externalLinkPath" Target="AMAT.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Users\Martin%20Shkreli%20-%20DL\models\LITE.xlsx" TargetMode="External"/><Relationship Id="rId1" Type="http://schemas.openxmlformats.org/officeDocument/2006/relationships/externalLinkPath" Target="LITE.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C:\Users\Martin%20Shkreli%20-%20DL\models\AAOI.xlsx" TargetMode="External"/><Relationship Id="rId1" Type="http://schemas.openxmlformats.org/officeDocument/2006/relationships/externalLinkPath" Target="AAOI.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C:\Users\Martin%20Shkreli%20-%20DL\models\IONQ.xlsx" TargetMode="External"/><Relationship Id="rId1" Type="http://schemas.openxmlformats.org/officeDocument/2006/relationships/externalLinkPath" Target="IONQ.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C:\Users\Martin%20Shkreli%20-%20DL\models\RGTI.xlsx" TargetMode="External"/><Relationship Id="rId1" Type="http://schemas.openxmlformats.org/officeDocument/2006/relationships/externalLinkPath" Target="RGTI.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C:\Users\Martin%20Shkreli%20-%20DL\models\QBTS.xlsx" TargetMode="External"/><Relationship Id="rId1" Type="http://schemas.openxmlformats.org/officeDocument/2006/relationships/externalLinkPath" Target="QBTS.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C:\Users\Martin%20Shkreli%20-%20DL\models\AAPL.xlsx" TargetMode="External"/><Relationship Id="rId1" Type="http://schemas.openxmlformats.org/officeDocument/2006/relationships/externalLinkPath" Target="AAPL.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file:///C:\Users\Martin%20Shkreli%20-%20DL\models\CLS.xlsx" TargetMode="External"/><Relationship Id="rId1" Type="http://schemas.openxmlformats.org/officeDocument/2006/relationships/externalLinkPath" Target="C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Q424 Quarterly Earnings Preview"/>
      <sheetName val="Q1 Quarterly Earnings Preview"/>
    </sheetNames>
    <sheetDataSet>
      <sheetData sheetId="0">
        <row r="3">
          <cell r="K3">
            <v>24300</v>
          </cell>
        </row>
        <row r="5">
          <cell r="K5">
            <v>56791</v>
          </cell>
        </row>
        <row r="6">
          <cell r="K6">
            <v>8466</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4">
          <cell r="J4">
            <v>25931</v>
          </cell>
        </row>
        <row r="7">
          <cell r="J7">
            <v>94986</v>
          </cell>
        </row>
        <row r="8">
          <cell r="J8">
            <v>2900034</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4888</v>
          </cell>
        </row>
        <row r="5">
          <cell r="J5">
            <v>14174</v>
          </cell>
        </row>
        <row r="6">
          <cell r="J6">
            <v>66057</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6758.9192499999999</v>
          </cell>
        </row>
        <row r="5">
          <cell r="K5">
            <v>201997.7</v>
          </cell>
        </row>
        <row r="6">
          <cell r="K6">
            <v>28138.799999999999</v>
          </cell>
        </row>
      </sheetData>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M3">
            <v>1641</v>
          </cell>
        </row>
        <row r="5">
          <cell r="M5">
            <v>7243</v>
          </cell>
        </row>
        <row r="6">
          <cell r="M6">
            <v>3220</v>
          </cell>
        </row>
      </sheetData>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14th"/>
      <sheetName val="IP"/>
      <sheetName val="Semiconductors"/>
    </sheetNames>
    <sheetDataSet>
      <sheetData sheetId="0">
        <row r="3">
          <cell r="L3">
            <v>5104</v>
          </cell>
        </row>
        <row r="5">
          <cell r="L5">
            <v>38137</v>
          </cell>
        </row>
        <row r="6">
          <cell r="L6">
            <v>50537</v>
          </cell>
        </row>
      </sheetData>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1044.497032</v>
          </cell>
        </row>
        <row r="5">
          <cell r="L5">
            <v>3664</v>
          </cell>
        </row>
        <row r="6">
          <cell r="L6">
            <v>0</v>
          </cell>
        </row>
      </sheetData>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907.57171200000005</v>
          </cell>
        </row>
        <row r="5">
          <cell r="K5">
            <v>9090</v>
          </cell>
        </row>
        <row r="6">
          <cell r="K6">
            <v>7937</v>
          </cell>
        </row>
      </sheetData>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1114</v>
          </cell>
        </row>
        <row r="5">
          <cell r="L5">
            <v>13032</v>
          </cell>
        </row>
        <row r="6">
          <cell r="L6">
            <v>14554</v>
          </cell>
        </row>
      </sheetData>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H3">
            <v>874.8</v>
          </cell>
        </row>
        <row r="5">
          <cell r="H5">
            <v>3843.6</v>
          </cell>
        </row>
        <row r="6">
          <cell r="H6">
            <v>4961.3</v>
          </cell>
        </row>
      </sheetData>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487.08704</v>
          </cell>
        </row>
        <row r="5">
          <cell r="J5">
            <v>3439.308</v>
          </cell>
        </row>
        <row r="6">
          <cell r="J6">
            <v>8134.6509999999998</v>
          </cell>
        </row>
      </sheetData>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1603</v>
          </cell>
        </row>
        <row r="5">
          <cell r="K5">
            <v>335855</v>
          </cell>
        </row>
        <row r="6">
          <cell r="K6">
            <v>16560</v>
          </cell>
        </row>
      </sheetData>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M3">
            <v>640</v>
          </cell>
        </row>
        <row r="5">
          <cell r="M5">
            <v>1670</v>
          </cell>
        </row>
        <row r="6">
          <cell r="M6">
            <v>2174</v>
          </cell>
        </row>
      </sheetData>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135.42215899999999</v>
          </cell>
        </row>
        <row r="5">
          <cell r="J5">
            <v>1646.404</v>
          </cell>
        </row>
        <row r="6">
          <cell r="J6">
            <v>1199.432</v>
          </cell>
        </row>
      </sheetData>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811.04812700000002</v>
          </cell>
        </row>
        <row r="5">
          <cell r="K5">
            <v>1203</v>
          </cell>
        </row>
        <row r="6">
          <cell r="K6">
            <v>0</v>
          </cell>
        </row>
      </sheetData>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63.864503999999997</v>
          </cell>
        </row>
        <row r="5">
          <cell r="J5">
            <v>522.64</v>
          </cell>
        </row>
        <row r="6">
          <cell r="J6">
            <v>227.42599999999999</v>
          </cell>
        </row>
      </sheetData>
      <sheetData sheetId="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1145</v>
          </cell>
        </row>
        <row r="5">
          <cell r="J5">
            <v>31025</v>
          </cell>
        </row>
        <row r="6">
          <cell r="J6">
            <v>5722</v>
          </cell>
        </row>
      </sheetData>
      <sheetData sheetId="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712</v>
          </cell>
        </row>
        <row r="5">
          <cell r="L5">
            <v>87960000</v>
          </cell>
        </row>
        <row r="6">
          <cell r="L6">
            <v>18590000</v>
          </cell>
        </row>
      </sheetData>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541.45541700000001</v>
          </cell>
        </row>
        <row r="5">
          <cell r="J5">
            <v>705225</v>
          </cell>
        </row>
        <row r="6">
          <cell r="J6">
            <v>1047568</v>
          </cell>
        </row>
      </sheetData>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148.08975799999999</v>
          </cell>
        </row>
        <row r="5">
          <cell r="L5">
            <v>3735</v>
          </cell>
        </row>
        <row r="6">
          <cell r="L6">
            <v>0</v>
          </cell>
        </row>
      </sheetData>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393.5</v>
          </cell>
        </row>
        <row r="5">
          <cell r="L5">
            <v>6021.2000000000007</v>
          </cell>
        </row>
        <row r="6">
          <cell r="L6">
            <v>4608.2</v>
          </cell>
        </row>
      </sheetData>
      <sheetData sheetId="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799</v>
          </cell>
        </row>
        <row r="5">
          <cell r="K5">
            <v>13479</v>
          </cell>
        </row>
        <row r="6">
          <cell r="K6">
            <v>6553</v>
          </cell>
        </row>
      </sheetData>
      <sheetData sheetId="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I3">
            <v>96.2</v>
          </cell>
        </row>
        <row r="5">
          <cell r="I5">
            <v>3172.3</v>
          </cell>
        </row>
        <row r="6">
          <cell r="I6">
            <v>3281.7999999999997</v>
          </cell>
        </row>
      </sheetData>
      <sheetData sheetId="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84.569237000000001</v>
          </cell>
        </row>
        <row r="5">
          <cell r="J5">
            <v>499.73700000000002</v>
          </cell>
        </row>
        <row r="6">
          <cell r="J6">
            <v>57.258000000000003</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Presentation"/>
      <sheetName val="Papers"/>
      <sheetName val="Glossary"/>
    </sheetNames>
    <sheetDataSet>
      <sheetData sheetId="0">
        <row r="3">
          <cell r="J3">
            <v>371</v>
          </cell>
        </row>
        <row r="5">
          <cell r="J5">
            <v>3091.8959999999997</v>
          </cell>
        </row>
        <row r="6">
          <cell r="J6">
            <v>0</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Gates"/>
      <sheetName val="Bubbles"/>
      <sheetName val="TOPS"/>
      <sheetName val="DNA"/>
    </sheetNames>
    <sheetDataSet>
      <sheetData sheetId="0">
        <row r="3">
          <cell r="L3">
            <v>283.54687100000001</v>
          </cell>
        </row>
        <row r="5">
          <cell r="L5">
            <v>217</v>
          </cell>
        </row>
        <row r="6">
          <cell r="L6">
            <v>0</v>
          </cell>
        </row>
      </sheetData>
      <sheetData sheetId="1"/>
      <sheetData sheetId="2"/>
      <sheetData sheetId="3"/>
      <sheetData sheetId="4"/>
      <sheetData sheetId="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QUBO"/>
    </sheetNames>
    <sheetDataSet>
      <sheetData sheetId="0">
        <row r="3">
          <cell r="L3">
            <v>346.71858099999997</v>
          </cell>
        </row>
        <row r="5">
          <cell r="L5">
            <v>836.23099999999999</v>
          </cell>
        </row>
        <row r="6">
          <cell r="L6">
            <v>32.198</v>
          </cell>
        </row>
      </sheetData>
      <sheetData sheetId="1"/>
      <sheetData sheetId="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iPhone"/>
    </sheetNames>
    <sheetDataSet>
      <sheetData sheetId="0">
        <row r="3">
          <cell r="O3">
            <v>14948</v>
          </cell>
        </row>
        <row r="5">
          <cell r="O5">
            <v>132986</v>
          </cell>
        </row>
        <row r="6">
          <cell r="O6">
            <v>101698</v>
          </cell>
        </row>
      </sheetData>
      <sheetData sheetId="1">
        <row r="36">
          <cell r="CE36">
            <v>4.1953407917453944E-2</v>
          </cell>
        </row>
        <row r="37">
          <cell r="CE37">
            <v>3.632000000000013E-2</v>
          </cell>
        </row>
        <row r="39">
          <cell r="CE39">
            <v>0.46906012207980208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I3">
            <v>115.959118</v>
          </cell>
        </row>
        <row r="5">
          <cell r="I5">
            <v>423.3</v>
          </cell>
        </row>
        <row r="6">
          <cell r="I6">
            <v>796.7</v>
          </cell>
        </row>
      </sheetData>
      <sheetData sheetId="1"/>
    </sheetDataSet>
  </externalBook>
</externalLink>
</file>

<file path=xl/persons/person.xml><?xml version="1.0" encoding="utf-8"?>
<personList xmlns="http://schemas.microsoft.com/office/spreadsheetml/2018/threadedcomments" xmlns:x="http://schemas.openxmlformats.org/spreadsheetml/2006/main">
  <person displayName="Martin Shkreli" id="{A1E0C133-7285-4698-B154-62333ECFCACF}" userId="9ffda80931a57275"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0">
  <rv s="0">
    <v>https://www.bing.com/financeapi/forcetrigger?t=a1yv52&amp;q=XNAS%3aNVDA&amp;form=skydnc</v>
    <v>Learn more on Bing</v>
  </rv>
  <rv s="1">
    <v>en-US</v>
    <v>a1yv52</v>
    <v>268435456</v>
    <v>1</v>
    <v>Powered by Refinitiv</v>
    <v>0</v>
    <v>NVIDIA CORPORATION (XNAS:NVDA)</v>
    <v>2</v>
    <v>3</v>
    <v>Finance</v>
    <v>4</v>
    <v>236.54</v>
    <v>164.07</v>
    <v>2.2162999999999999</v>
    <v>-0.14000000000000001</v>
    <v>-6.2140000000000003E-4</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227.49</v>
    <v>Semiconductors &amp; Semiconductor Equipment</v>
    <v>Stock</v>
    <v>46248.999991816403</v>
    <v>0</v>
    <v>224.5</v>
    <v>5448872000000</v>
    <v>NVIDIA CORPORATION</v>
    <v>NVIDIA CORPORATION</v>
    <v>226.76499999999999</v>
    <v>34.481000000000002</v>
    <v>225.3</v>
    <v>225.16</v>
    <v>24200000000</v>
    <v>NVDA</v>
    <v>NVIDIA CORPORATION (XNAS:NVDA)</v>
    <v>1067548</v>
    <v>124706636</v>
    <v>1998</v>
  </rv>
  <rv s="2">
    <v>1</v>
  </rv>
  <rv s="0">
    <v>https://www.bing.com/financeapi/forcetrigger?t=a24kjc&amp;q=XNYS%3aTSM&amp;form=skydnc</v>
    <v>Learn more on Bing</v>
  </rv>
  <rv s="1">
    <v>en-US</v>
    <v>a24kjc</v>
    <v>268435456</v>
    <v>1</v>
    <v>Powered by Refinitiv</v>
    <v>0</v>
    <v>Taiwan Semiconductor Manufacturing Company Limited (XNYS:TSM)</v>
    <v>2</v>
    <v>3</v>
    <v>Finance</v>
    <v>4</v>
    <v>479</v>
    <v>223.7</v>
    <v>1.3936999999999999</v>
    <v>-4.1399999999999997</v>
    <v>-9.6170000000000005E-3</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429.26990000000001</v>
    <v>Semiconductors &amp; Semiconductor Equipment</v>
    <v>Stock</v>
    <v>46248.999969455472</v>
    <v>3</v>
    <v>424.1</v>
    <v>2211253189900</v>
    <v>Taiwan Semiconductor Manufacturing Company Limited</v>
    <v>Taiwan Semiconductor Manufacturing Company Limited</v>
    <v>429.2</v>
    <v>31.009899999999998</v>
    <v>430.49</v>
    <v>426.35</v>
    <v>5186474000</v>
    <v>TSM</v>
    <v>Taiwan Semiconductor Manufacturing Company Limited (XNYS:TSM)</v>
    <v>104829</v>
    <v>13980925</v>
    <v>1987</v>
  </rv>
  <rv s="2">
    <v>4</v>
  </rv>
  <rv s="0">
    <v>https://www.bing.com/financeapi/forcetrigger?t=a1nz8m&amp;q=XNAS%3aAVGO&amp;form=skydnc</v>
    <v>Learn more on Bing</v>
  </rv>
  <rv s="1">
    <v>en-US</v>
    <v>a1nz8m</v>
    <v>268435456</v>
    <v>1</v>
    <v>Powered by Refinitiv</v>
    <v>0</v>
    <v>BROADCOM INC. (XNAS:AVGO)</v>
    <v>2</v>
    <v>3</v>
    <v>Finance</v>
    <v>4</v>
    <v>495</v>
    <v>281.87</v>
    <v>1.4547000000000001</v>
    <v>-24.83</v>
    <v>-5.9428000000000002E-2</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412.5</v>
    <v>Semiconductors &amp; Semiconductor Equipment</v>
    <v>Stock</v>
    <v>46248.999961191403</v>
    <v>6</v>
    <v>388.5</v>
    <v>1869681364200</v>
    <v>BROADCOM INC.</v>
    <v>BROADCOM INC.</v>
    <v>411.96</v>
    <v>65.460400000000007</v>
    <v>417.82</v>
    <v>392.99</v>
    <v>4757580000</v>
    <v>AVGO</v>
    <v>BROADCOM INC. (XNAS:AVGO)</v>
    <v>282329</v>
    <v>18062656</v>
    <v>2018</v>
  </rv>
  <rv s="2">
    <v>7</v>
  </rv>
  <rv s="0">
    <v>https://www.bing.com/financeapi/forcetrigger?t=a1ndww&amp;q=XNAS%3aAMD&amp;form=skydnc</v>
    <v>Learn more on Bing</v>
  </rv>
  <rv s="1">
    <v>en-US</v>
    <v>a1ndww</v>
    <v>268435456</v>
    <v>1</v>
    <v>Powered by Refinitiv</v>
    <v>0</v>
    <v>ADVANCED MICRO DEVICES, INC. (XNAS:AMD)</v>
    <v>2</v>
    <v>3</v>
    <v>Finance</v>
    <v>4</v>
    <v>584.73</v>
    <v>149.22</v>
    <v>2.4801000000000002</v>
    <v>31.38</v>
    <v>6.4967999999999998E-2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514.66999999999996</v>
    <v>Semiconductors &amp; Semiconductor Equipment</v>
    <v>Stock</v>
    <v>46248.999995057813</v>
    <v>9</v>
    <v>483.2</v>
    <v>839728815250</v>
    <v>ADVANCED MICRO DEVICES, INC.</v>
    <v>ADVANCED MICRO DEVICES, INC.</v>
    <v>487.6</v>
    <v>131.28489999999999</v>
    <v>483.01</v>
    <v>514.39</v>
    <v>1632475000</v>
    <v>AMD</v>
    <v>ADVANCED MICRO DEVICES, INC. (XNAS:AMD)</v>
    <v>317829</v>
    <v>27855532</v>
    <v>1969</v>
  </rv>
  <rv s="2">
    <v>10</v>
  </rv>
  <rv s="0">
    <v>https://www.bing.com/financeapi/forcetrigger?t=a1vmf2&amp;q=XNAS%3aINTC&amp;form=skydnc</v>
    <v>Learn more on Bing</v>
  </rv>
  <rv s="1">
    <v>en-US</v>
    <v>a1vmf2</v>
    <v>268435456</v>
    <v>1</v>
    <v>Powered by Refinitiv</v>
    <v>0</v>
    <v>INTEL CORPORATION (XNAS:INTC)</v>
    <v>2</v>
    <v>3</v>
    <v>Finance</v>
    <v>4</v>
    <v>142.35</v>
    <v>22.774999999999999</v>
    <v>2.2505999999999999</v>
    <v>-2.06</v>
    <v>-1.9702000000000001E-2</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82300</v>
    <v>Nasdaq Stock Market</v>
    <v>XNAS</v>
    <v>XNAS</v>
    <v>2200 Mission College Blvd, Rnb-4-151, SANTA CLARA, CA, 95054 US</v>
    <v>106.87</v>
    <v>Semiconductors &amp; Semiconductor Equipment</v>
    <v>Stock</v>
    <v>46248.999990392971</v>
    <v>12</v>
    <v>102.05</v>
    <v>541719572500</v>
    <v>INTEL CORPORATION</v>
    <v>INTEL CORPORATION</v>
    <v>104.48</v>
    <v>0</v>
    <v>104.56</v>
    <v>102.5</v>
    <v>5285069000</v>
    <v>INTC</v>
    <v>INTEL CORPORATION (XNAS:INTC)</v>
    <v>1805557</v>
    <v>116349255</v>
    <v>1989</v>
  </rv>
  <rv s="2">
    <v>13</v>
  </rv>
  <rv s="3">
    <v>en-US</v>
    <v>cau7bh</v>
    <v>268435456</v>
    <v>1</v>
    <v>Powered by Refinitiv</v>
    <v>5</v>
    <v>ARM HOLDINGS PLC (XNAS:ARM)</v>
    <v>6</v>
    <v>3</v>
    <v>Finance</v>
    <v>4</v>
    <v>452.7</v>
    <v>100.02</v>
    <v>1.2010000000000001</v>
    <v>0.79</v>
    <v>2.8349999999999998E-3</v>
    <v>USD</v>
    <v>Arm Holdings plc is a United Kingdom-based company. The Company is engaged in the design of central processing units (CPUs) and compute platforms for semiconductor chips. It develops and licenses CPU products and related technology. Its cloud and data center solutions include Arm AGI CPU and Arm Neoverse Compute Subsystems. The Arm Agentic Generalized Infrastructure (AGI) CPU is a production-ready system on a chip (SoC) for artificial intelligence (AI) data centers, delivering compute at scale. The Arm Neoverse Compute Subsystems (CSS) are pre-validated, performance-optimized compute platforms designed to accelerate infrastructure silicon development. The Company's primary markets include smartphone applications, processors and other chips used in mobile phones, consumer electronics, networking equipment, cloud and data center servers, automotive applications, Internet of Things (loT) and other embedded computing devices.</v>
    <v>9584</v>
    <v>Nasdaq Stock Market</v>
    <v>XNAS</v>
    <v>XNAS</v>
    <v>110 Fulbourn Road, CAMBRIDGE, CAMBRIDGESHIRE, CB1 9NJ GB</v>
    <v>281.66989999999998</v>
    <v>Semiconductors &amp; Semiconductor Equipment</v>
    <v>Stock</v>
    <v>46248.999313182816</v>
    <v>274.45499999999998</v>
    <v>298441920000</v>
    <v>ARM HOLDINGS PLC</v>
    <v>ARM HOLDINGS PLC</v>
    <v>278.23</v>
    <v>330.1551</v>
    <v>278.64999999999998</v>
    <v>279.44</v>
    <v>1068000000</v>
    <v>ARM</v>
    <v>ARM HOLDINGS PLC (XNAS:ARM)</v>
    <v>63691</v>
    <v>5734365</v>
    <v>2018</v>
  </rv>
  <rv s="2">
    <v>15</v>
  </rv>
  <rv s="0">
    <v>https://www.bing.com/financeapi/forcetrigger?t=a24p1h&amp;q=XNAS%3aTXN&amp;form=skydnc</v>
    <v>Learn more on Bing</v>
  </rv>
  <rv s="1">
    <v>en-US</v>
    <v>a24p1h</v>
    <v>268435456</v>
    <v>1</v>
    <v>Powered by Refinitiv</v>
    <v>0</v>
    <v>TEXAS INSTRUMENTS INCORPORATED (XNAS:TXN)</v>
    <v>2</v>
    <v>3</v>
    <v>Finance</v>
    <v>4</v>
    <v>334.03</v>
    <v>152.72999999999999</v>
    <v>1.3169999999999999</v>
    <v>6.15</v>
    <v>2.2492000000000002E-2</v>
    <v>USD</v>
    <v>Texas Instruments Incorporated is engaged in the design and manufacture of semiconductors. The Company operates through two segments, which include Analog and Embedded Processing. Its Analog segment semiconductors are used to manage power in all electronic equipment by converting, distributing, storing, discharging, isolating, and measuring electrical energy. It consists of two products, which include Power and Signal Chain. The Analog segment includes product lines, such as Power and Signal Chain. Power includes products that help customers manage power in electronic systems. Signal Chain products include amplifiers, data converters, interface products, motor drives, clocks, logic, and sensing products. Its portfolio is designed to manage power requirements across different voltage levels. The Embedded Processing segment products are designed to handle specific tasks and can be optimized for various combinations of performance, power, and cost, depending on the application.</v>
    <v>33000</v>
    <v>Nasdaq Stock Market</v>
    <v>XNAS</v>
    <v>XNAS</v>
    <v>12500 T I Blvd, DALLAS, TX, 75243-0592 US</v>
    <v>280.27499999999998</v>
    <v>Semiconductors &amp; Semiconductor Equipment</v>
    <v>Stock</v>
    <v>46248.996138448434</v>
    <v>17</v>
    <v>272.51</v>
    <v>255325791966</v>
    <v>TEXAS INSTRUMENTS INCORPORATED</v>
    <v>TEXAS INSTRUMENTS INCORPORATED</v>
    <v>273.62</v>
    <v>42.523800000000001</v>
    <v>273.43</v>
    <v>279.58</v>
    <v>913247700</v>
    <v>TXN</v>
    <v>TEXAS INSTRUMENTS INCORPORATED (XNAS:TXN)</v>
    <v>19954</v>
    <v>7530819</v>
    <v>1938</v>
  </rv>
  <rv s="2">
    <v>18</v>
  </rv>
  <rv s="0">
    <v>http://en.wikipedia.org/wiki/Public_domain</v>
    <v>Public domain</v>
  </rv>
  <rv s="0">
    <v>http://en.wikipedia.org/wiki/Qualcomm</v>
    <v>Wikipedia</v>
  </rv>
  <rv s="4">
    <v>20</v>
    <v>21</v>
  </rv>
  <rv s="5">
    <v>11</v>
    <v>https://www.bing.com/th?id=AMMS_2b1c176dae370ecc0d55a1517537f595&amp;qlt=95</v>
    <v>22</v>
    <v>0</v>
    <v>https://www.bing.com/images/search?form=xlimg&amp;q=qualcomm</v>
    <v>Image of QUALCOMM INCORPORATED</v>
  </rv>
  <rv s="0">
    <v>https://www.bing.com/financeapi/forcetrigger?t=a21k2w&amp;q=XNAS%3aQCOM&amp;form=skydnc</v>
    <v>Learn more on Bing</v>
  </rv>
  <rv s="6">
    <v>en-US</v>
    <v>a21k2w</v>
    <v>268435456</v>
    <v>1</v>
    <v>Powered by Refinitiv</v>
    <v>7</v>
    <v>QUALCOMM INCORPORATED (XNAS:QCOM)</v>
    <v>9</v>
    <v>10</v>
    <v>Finance</v>
    <v>4</v>
    <v>259.92</v>
    <v>121.99</v>
    <v>1.6787000000000001</v>
    <v>1</v>
    <v>6.0680000000000005E-3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166.965</v>
    <v>23</v>
    <v>Semiconductors &amp; Semiconductor Equipment</v>
    <v>Stock</v>
    <v>46248.999833332811</v>
    <v>24</v>
    <v>163.18</v>
    <v>174079500000</v>
    <v>QUALCOMM INCORPORATED</v>
    <v>QUALCOMM INCORPORATED</v>
    <v>165.63</v>
    <v>19.187799999999999</v>
    <v>164.79</v>
    <v>165.79</v>
    <v>1050000000</v>
    <v>QCOM</v>
    <v>QUALCOMM INCORPORATED (XNAS:QCOM)</v>
    <v>77209</v>
    <v>12005333</v>
    <v>1991</v>
  </rv>
  <rv s="2">
    <v>25</v>
  </rv>
  <rv s="0">
    <v>https://www.bing.com/financeapi/forcetrigger?t=a1xygh&amp;q=XNAS%3aMRVL&amp;form=skydnc</v>
    <v>Learn more on Bing</v>
  </rv>
  <rv s="1">
    <v>en-US</v>
    <v>a1xygh</v>
    <v>268435456</v>
    <v>1</v>
    <v>Powered by Refinitiv</v>
    <v>0</v>
    <v>MARVELL TECHNOLOGY, INC. (XNAS:MRVL)</v>
    <v>2</v>
    <v>3</v>
    <v>Finance</v>
    <v>4</v>
    <v>329.88</v>
    <v>61.44</v>
    <v>2.2650999999999999</v>
    <v>-0.16</v>
    <v>-7.2009999999999999E-4</v>
    <v>USD</v>
    <v>Marvell Technology, Inc. together with its consolidated subsidiaries, is a supplier of data infrastructure semiconductor solutions, spanning the data center core to network edge. It is engaged in the design, development and sale of integrated circuits. Its product offerings include custom application-specific integrated circuits (ASICs), interconnects, ethernet solutions, fiber channel adapters, processors and storage controllers. In addition, it is also developing Ultra Accelerator LinkTM (UALinkTM) switches and ethernet for scale-up networking (ESUN) switches for the emerging scale-out artificial intelligence market. Its solutions integrate multiple analogs, mixed-signal and digital intellectual property components incorporating hardware, firmware and software technologies and its system knowledge to provide its customers with integrated solutions for their end products. It designs and manufactures photonic integrated circuits for ultra-high-bandwidth and low-power applications.</v>
    <v>7480</v>
    <v>Nasdaq Stock Market</v>
    <v>XNAS</v>
    <v>XNAS</v>
    <v>1000 N. West Street, Suite 1200, WILMINGTON, DE, 19801 US</v>
    <v>223.5179</v>
    <v>Semiconductors &amp; Semiconductor Equipment</v>
    <v>Stock</v>
    <v>46248.999992534373</v>
    <v>27</v>
    <v>217.1</v>
    <v>194437656128</v>
    <v>MARVELL TECHNOLOGY, INC.</v>
    <v>MARVELL TECHNOLOGY, INC.</v>
    <v>221.39500000000001</v>
    <v>76.046499999999995</v>
    <v>222.18</v>
    <v>222.02</v>
    <v>875766400</v>
    <v>MRVL</v>
    <v>MARVELL TECHNOLOGY, INC. (XNAS:MRVL)</v>
    <v>434213</v>
    <v>23016247</v>
    <v>2020</v>
  </rv>
  <rv s="2">
    <v>28</v>
  </rv>
  <rv s="0">
    <v>https://www.bing.com/financeapi/forcetrigger?t=a1mvjc&amp;q=XNAS%3aADI&amp;form=skydnc</v>
    <v>Learn more on Bing</v>
  </rv>
  <rv s="1">
    <v>en-US</v>
    <v>a1mvjc</v>
    <v>268435456</v>
    <v>1</v>
    <v>Powered by Refinitiv</v>
    <v>0</v>
    <v>ANALOG DEVICES, INC. (XNAS:ADI)</v>
    <v>2</v>
    <v>3</v>
    <v>Finance</v>
    <v>4</v>
    <v>445.91</v>
    <v>223.47</v>
    <v>1.2131000000000001</v>
    <v>8.2200000000000006</v>
    <v>2.1564999999999997E-2</v>
    <v>USD</v>
    <v>Analog Devices, Inc. is a global semiconductor company. It combines analog, digital, artificial intelligence (AI), and software technologies into solutions that combat climate change, reliably connect humans and the world, and help drive advancements in automation and robotics, mobility, healthcare, energy and data centers. It designs, manufactures, tests and markets a portfolio of solutions, including integrated circuits (ICs), software and subsystems that leverage high-performance analog, mixed-signal and digital signal processing technologies. Its product portfolio, domain specialization and advanced manufacturing capabilities extend across high-performance precision and high-speed mixed-signal, power management and processing technologies, including data converters, amplifiers, power management, power management, radio frequency ICs, edge processors and other sensors. Its IC product portfolio includes both general-purpose products used by a range of customers and applications.</v>
    <v>24500</v>
    <v>Nasdaq Stock Market</v>
    <v>XNAS</v>
    <v>XNAS</v>
    <v>One Analog Way, WILMINGTON, MA, 01887 US</v>
    <v>389.45</v>
    <v>Semiconductors &amp; Semiconductor Equipment</v>
    <v>Stock</v>
    <v>46248.999139803127</v>
    <v>30</v>
    <v>380.12</v>
    <v>189666806930</v>
    <v>ANALOG DEVICES, INC.</v>
    <v>ANALOG DEVICES, INC.</v>
    <v>381.98</v>
    <v>55.368699999999997</v>
    <v>381.17</v>
    <v>389.39</v>
    <v>487087000</v>
    <v>ADI</v>
    <v>ANALOG DEVICES, INC. (XNAS:ADI)</v>
    <v>12239</v>
    <v>3705752</v>
    <v>1965</v>
  </rv>
  <rv s="2">
    <v>31</v>
  </rv>
  <rv s="0">
    <v>https://www.bing.com/financeapi/forcetrigger?t=anb9sm&amp;q=XTAI%3a2454&amp;form=skydnc</v>
    <v>Learn more on Bing</v>
  </rv>
  <rv s="1">
    <v>en-US</v>
    <v>anb9sm</v>
    <v>268435456</v>
    <v>1</v>
    <v>Powered by Refinitiv</v>
    <v>0</v>
    <v>MediaTek Inc. (XTAI:2454)</v>
    <v>2</v>
    <v>12</v>
    <v>Finance</v>
    <v>13</v>
    <v>4970</v>
    <v>1130</v>
    <v>2.1334</v>
    <v>-160</v>
    <v>-3.8004999999999997E-2</v>
    <v>TWD</v>
    <v>MediaTek Inc is a Taiwan-based company principally engaged in the research, development, manufacture and distribution of multimedia integrated circuit (IC) chipsets. The main products including mobile communication chipsets, tablet computer chips, bluetooth chips, wireless local area network (WLAN) chips, global positioning system (GPS) chips, optical storage chipsets, artificial intelligence Internet of Things device single chips, automotive electronic chipsets and others. The Company is also involved in the provision of related design, testing, maintenance and technological consultancy services. The Company's products are mainly used in mobile phones, digital TVs, personal computer systems, digital home appliances, wearable devices and Internet of Things products. The Company mainly distributes its products in domestic and overseas markets.</v>
    <v>6999</v>
    <v>Taiwan Stock Exchange</v>
    <v>XTAI</v>
    <v>XTAI</v>
    <v>No. 1, Dusing 1st Road, Hsinchu Science Park, HSINCHU, HSINCHU, 300 TW</v>
    <v>4225</v>
    <v>Semiconductors &amp; Semiconductor Equipment</v>
    <v>Stock</v>
    <v>46251.395613425928</v>
    <v>33</v>
    <v>4025</v>
    <v>6495774750000</v>
    <v>MediaTek Inc.</v>
    <v>MediaTek Inc.</v>
    <v>4205</v>
    <v>66.743600000000001</v>
    <v>4210</v>
    <v>4050</v>
    <v>1603895000</v>
    <v>2454</v>
    <v>MediaTek Inc. (XTAI:2454)</v>
    <v>10559715</v>
    <v>9415060</v>
    <v>1997</v>
  </rv>
  <rv s="2">
    <v>34</v>
  </rv>
  <rv s="0">
    <v>https://www.bing.com/financeapi/forcetrigger?t=a1y4oc&amp;q=XNAS%3aMU&amp;form=skydnc</v>
    <v>Learn more on Bing</v>
  </rv>
  <rv s="1">
    <v>en-US</v>
    <v>a1y4oc</v>
    <v>268435456</v>
    <v>1</v>
    <v>Powered by Refinitiv</v>
    <v>0</v>
    <v>MICRON TECHNOLOGY, INC. (XNAS:MU)</v>
    <v>2</v>
    <v>3</v>
    <v>Finance</v>
    <v>4</v>
    <v>1255</v>
    <v>113.46</v>
    <v>2.2261000000000002</v>
    <v>21.83</v>
    <v>2.2982999999999996E-2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984</v>
    <v>Semiconductors &amp; Semiconductor Equipment</v>
    <v>Stock</v>
    <v>46248.999982233596</v>
    <v>36</v>
    <v>956.2</v>
    <v>1097386002380</v>
    <v>MICRON TECHNOLOGY, INC.</v>
    <v>MICRON TECHNOLOGY, INC.</v>
    <v>979.32</v>
    <v>21.9971</v>
    <v>949.83</v>
    <v>971.66</v>
    <v>1129393000</v>
    <v>MU</v>
    <v>MICRON TECHNOLOGY, INC. (XNAS:MU)</v>
    <v>1141250</v>
    <v>42986433</v>
    <v>1984</v>
  </rv>
  <rv s="2">
    <v>37</v>
  </rv>
  <rv s="3">
    <v>en-US</v>
    <v>cfwqww</v>
    <v>268435456</v>
    <v>1</v>
    <v>Powered by Refinitiv</v>
    <v>5</v>
    <v>SANDISK CORPORATION (XNAS:SNDK)</v>
    <v>6</v>
    <v>3</v>
    <v>Finance</v>
    <v>4</v>
    <v>2354.3899000000001</v>
    <v>43.201599999999999</v>
    <v>2.59</v>
    <v>113</v>
    <v>7.3948E-2</v>
    <v>USD</v>
    <v>SanDisk Corporation is a developer, manufacturer and provider of data storage devices and solutions based on NAND flash technology and has consumer brands and franchises globally. The Company's solutions include a range of solid state drives (SSDs) embedded products, removable cards, universal serial bus (USB) drives, and wafers and components. Its broad portfolio of technology and products addresses multiple end markets of Datacenter, Edge and Consumer. Its Datacenter end market is composed primarily of products for public or private cloud environments and enterprise customers. The Company, through the Edge end market, provides original equipment manufacturer and channel customers a broad array of high-performance flash solutions across personal computer, mobile, gaming, automotive, virtual reality headsets, at-home entertainment, and industrial spaces. The Company serves the Consumer end market with a broad range of retail and other end-user products.</v>
    <v>11000</v>
    <v>Nasdaq Stock Market</v>
    <v>XNAS</v>
    <v>XNAS</v>
    <v>951 Sandisk Drive, MILPITAS, CA, 95035 US</v>
    <v>1667.19</v>
    <v>Computers, Phones &amp; Household Electronics</v>
    <v>Stock</v>
    <v>46248.999993043748</v>
    <v>1565</v>
    <v>239602060000</v>
    <v>SANDISK CORPORATION</v>
    <v>SANDISK CORPORATION</v>
    <v>1646.93</v>
    <v>22.248899999999999</v>
    <v>1528.11</v>
    <v>1641.11</v>
    <v>146000000</v>
    <v>SNDK</v>
    <v>SANDISK CORPORATION (XNAS:SNDK)</v>
    <v>726071</v>
    <v>16258976</v>
    <v>2024</v>
  </rv>
  <rv s="2">
    <v>39</v>
  </rv>
  <rv s="0">
    <v>https://www.bing.com/financeapi/forcetrigger?t=a23rjc&amp;q=XNAS%3aSTX&amp;form=skydnc</v>
    <v>Learn more on Bing</v>
  </rv>
  <rv s="1">
    <v>en-US</v>
    <v>a23rjc</v>
    <v>268435456</v>
    <v>1</v>
    <v>Powered by Refinitiv</v>
    <v>0</v>
    <v>SEAGATE TECHNOLOGY HOLDINGS PUBLIC LIMITED COMPANY (XNAS:STX)</v>
    <v>2</v>
    <v>3</v>
    <v>Finance</v>
    <v>4</v>
    <v>1145</v>
    <v>152.5</v>
    <v>2.1078000000000001</v>
    <v>52.07</v>
    <v>5.6513999999999995E-2</v>
    <v>USD</v>
    <v>Seagate Technology Holdings plc provides mass-data storage infrastructure solution. The Company’s principal products are hard disk drives, commonly referred to as disk drives, hard drives (HDDs). In addition to HDDs, the Company produces a range of data storage products, including solid state drives (SSDs), solid state hybrid drives, storage subsystems, as well as a scalable edge-to-cloud mass data platform. Its HDD products are designed for mass capacity storage and legacy markets. Mass capacity storage involves use cases, such as hyperscale data centers and public clouds, as well as emerging use cases. The Company’s HDD and SSD product portfolio includes Serial Advanced Technology Attachment, Serial Attached SCSI and Non-Volatile Memory Express based designs to support a variety of mass capacity and legacy applications. Its systems portfolio includes storage subsystems for enterprises, cloud service providers, scale-out storage servers and original equipment manufacturers.</v>
    <v>30000</v>
    <v>Nasdaq Stock Market</v>
    <v>XNAS</v>
    <v>XNAS</v>
    <v>121 Woodlands Avenue 5, 739009 SG</v>
    <v>990.61</v>
    <v>Computers, Phones &amp; Household Electronics</v>
    <v>Stock</v>
    <v>46248.999947071097</v>
    <v>41</v>
    <v>920</v>
    <v>220624822080</v>
    <v>SEAGATE TECHNOLOGY HOLDINGS PUBLIC LIMITED COMPANY</v>
    <v>SEAGATE TECHNOLOGY HOLDINGS PUBLIC LIMITED COMPANY</v>
    <v>941.26</v>
    <v>70.011899999999997</v>
    <v>921.37</v>
    <v>973.44</v>
    <v>226644500</v>
    <v>STX</v>
    <v>SEAGATE TECHNOLOGY HOLDINGS PUBLIC LIMITED COMPANY (XNAS:STX)</v>
    <v>45190</v>
    <v>5399379</v>
    <v>2017</v>
  </rv>
  <rv s="2">
    <v>42</v>
  </rv>
  <rv s="0">
    <v>http://en.wikipedia.org/wiki/Western_Digital</v>
    <v>Wikipedia</v>
  </rv>
  <rv s="4">
    <v>20</v>
    <v>44</v>
  </rv>
  <rv s="5">
    <v>11</v>
    <v>https://www.bing.com/th?id=AMMS_b9efb984265253a027f300c3dcbbcbc0&amp;qlt=95</v>
    <v>45</v>
    <v>0</v>
    <v>https://www.bing.com/images/search?form=xlimg&amp;q=western+digital</v>
    <v>Image of WESTERN DIGITAL CORPORATION</v>
  </rv>
  <rv s="0">
    <v>https://www.bing.com/financeapi/forcetrigger?t=a25rnm&amp;q=XNAS%3aWDC&amp;form=skydnc</v>
    <v>Learn more on Bing</v>
  </rv>
  <rv s="6">
    <v>en-US</v>
    <v>a25rnm</v>
    <v>268435456</v>
    <v>1</v>
    <v>Powered by Refinitiv</v>
    <v>7</v>
    <v>WESTERN DIGITAL CORPORATION (XNAS:WDC)</v>
    <v>9</v>
    <v>10</v>
    <v>Finance</v>
    <v>4</v>
    <v>799.87</v>
    <v>73.14</v>
    <v>2.1255000000000002</v>
    <v>21.51</v>
    <v>4.4142000000000001E-2</v>
    <v>USD</v>
    <v>Western Digital Corporation is a developer, manufacturer and provider of data storage devices and solutions on hard disk drives (HDD) technologies. The Company manufactures, markets, and sells data storage devices and solutions through its sales personnel, dealers, distributors, retailers, and subsidiaries. Its portfolio of technology and products addresses end markets: Cloud, Client, and Consumer. Cloud is comprised primarily of products for public or private cloud environments and enterprise customers. Through the Client end market, the Company provides its original equipment manufacturer (OEM) and channel customers with a broad array of high-performance HDD solutions across desktops and notebooks. The Consumer end market offers a range of retail and other end-user products. Its product portfolio includes Internal HDD, Data Center Drives, Data Center Platforms, External Drives, Portable Drives, network-attached storage (NAS) for Home and Office, and Accessories.</v>
    <v>40000</v>
    <v>Nasdaq Stock Market</v>
    <v>XNAS</v>
    <v>XNAS</v>
    <v>5601 Great Oaks Parkway, SAN JOSE, CA, 95119 US</v>
    <v>516.35</v>
    <v>46</v>
    <v>Computers, Phones &amp; Household Electronics</v>
    <v>Stock</v>
    <v>46248.999964988281</v>
    <v>47</v>
    <v>487.1</v>
    <v>175374252480</v>
    <v>WESTERN DIGITAL CORPORATION</v>
    <v>WESTERN DIGITAL CORPORATION</v>
    <v>503.5</v>
    <v>20.955500000000001</v>
    <v>487.29</v>
    <v>508.8</v>
    <v>344682100</v>
    <v>WDC</v>
    <v>WESTERN DIGITAL CORPORATION (XNAS:WDC)</v>
    <v>145110</v>
    <v>7971077</v>
    <v>2000</v>
  </rv>
  <rv s="2">
    <v>48</v>
  </rv>
</rvData>
</file>

<file path=xl/richData/rdrichvaluestructure.xml><?xml version="1.0" encoding="utf-8"?>
<rvStructures xmlns="http://schemas.microsoft.com/office/spreadsheetml/2017/richdata" count="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4">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v>
      <v>Name</v>
    </spb>
    <spb s="6">
      <v>1</v>
      <v>1</v>
      <v>1</v>
    </spb>
    <spb s="0">
      <v>2</v>
      <v>Name</v>
      <v>LearnMoreOnLink</v>
    </spb>
    <spb s="7">
      <v>0</v>
      <v>0</v>
    </spb>
    <spb s="8">
      <v>8</v>
      <v>1</v>
      <v>1</v>
      <v>1</v>
      <v>1</v>
    </spb>
    <spb s="9">
      <v>1</v>
      <v>2</v>
      <v>2</v>
      <v>1</v>
      <v>3</v>
      <v>1</v>
      <v>10</v>
      <v>1</v>
      <v>1</v>
      <v>4</v>
      <v>4</v>
      <v>5</v>
      <v>6</v>
      <v>1</v>
      <v>1</v>
      <v>1</v>
      <v>4</v>
      <v>7</v>
      <v>8</v>
      <v>9</v>
      <v>4</v>
    </spb>
    <spb s="10">
      <v>Powered by Refinitiv</v>
    </spb>
    <spb s="3">
      <v>11</v>
      <v>2</v>
      <v>2</v>
      <v>11</v>
      <v>3</v>
      <v>11</v>
      <v>11</v>
      <v>11</v>
      <v>4</v>
      <v>4</v>
      <v>5</v>
      <v>12</v>
      <v>11</v>
      <v>11</v>
      <v>11</v>
      <v>4</v>
      <v>7</v>
      <v>8</v>
      <v>9</v>
      <v>4</v>
    </spb>
    <spb s="4">
      <v>Delayed 20 minutes</v>
      <v>from previous close</v>
      <v>from previous close</v>
      <v>Source: TWSE</v>
      <v>GMT</v>
    </spb>
  </spbData>
</supportingPropertyBags>
</file>

<file path=xl/richData/rdsupportingpropertybagstructure.xml><?xml version="1.0" encoding="utf-8"?>
<spbStructures xmlns="http://schemas.microsoft.com/office/spreadsheetml/2017/richdata2" count="11">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Order" t="spba"/>
    <k n="TitleProperty" t="s"/>
  </s>
  <s>
    <k n="ExchangeID" t="spb"/>
    <k n="UniqueName" t="spb"/>
    <k n="`%ProviderInfo" t="spb"/>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m/d/yyyy\ h:mm"/>
    </x:dxf>
    <x:dxf>
      <x:numFmt numFmtId="1" formatCode="0"/>
    </x:dxf>
    <x:dxf>
      <x:numFmt numFmtId="2" formatCode="0.00"/>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rpv i="2">1</rpv>
    </rSty>
    <rSty dxfid="0">
      <rpv i="0">_-[$NT$-zh-TW]* #,##0.00_-;-[$NT$-zh-TW]* #,##0.00_-;_-[$NT$-zh-TW]* "-"??_-;_-@_-</rpv>
    </rSty>
    <rSty dxfid="0">
      <rpv i="0">_-[$NT$-zh-TW]* #,##0_-;-[$NT$-zh-TW]* #,##0_-;_-[$NT$-zh-TW]* "-"_-;_-@_-</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5" dT="2026-07-11T14:13:23.22" personId="{A1E0C133-7285-4698-B154-62333ECFCACF}" id="{154242C3-2513-48BF-A6D9-D4A0AF6D462E}">
    <text>Was 57.10</text>
  </threadedComment>
  <threadedComment ref="V5" dT="2026-07-11T14:13:33.10" personId="{A1E0C133-7285-4698-B154-62333ECFCACF}" id="{1D20DD93-FEBE-47F7-BD0B-671BE5F1EC3A}">
    <text>Was  95.65</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QCOM.xlsx" TargetMode="External"/><Relationship Id="rId13" Type="http://schemas.openxmlformats.org/officeDocument/2006/relationships/hyperlink" Target="NVDA.xlsx" TargetMode="External"/><Relationship Id="rId18" Type="http://schemas.openxmlformats.org/officeDocument/2006/relationships/hyperlink" Target="CBRS.xlsx" TargetMode="External"/><Relationship Id="rId3" Type="http://schemas.openxmlformats.org/officeDocument/2006/relationships/hyperlink" Target="ENPH.xlsx" TargetMode="External"/><Relationship Id="rId7" Type="http://schemas.openxmlformats.org/officeDocument/2006/relationships/hyperlink" Target="TXN.xlsx" TargetMode="External"/><Relationship Id="rId12" Type="http://schemas.openxmlformats.org/officeDocument/2006/relationships/hyperlink" Target="TSM.xlsx" TargetMode="External"/><Relationship Id="rId17" Type="http://schemas.openxmlformats.org/officeDocument/2006/relationships/hyperlink" Target="2454%20TT%20MediaTek.xlsx" TargetMode="External"/><Relationship Id="rId2" Type="http://schemas.openxmlformats.org/officeDocument/2006/relationships/hyperlink" Target="SMCI.xlsx" TargetMode="External"/><Relationship Id="rId16" Type="http://schemas.openxmlformats.org/officeDocument/2006/relationships/hyperlink" Target="ADI.xlsx" TargetMode="External"/><Relationship Id="rId1" Type="http://schemas.openxmlformats.org/officeDocument/2006/relationships/hyperlink" Target="TSM.xlsx" TargetMode="External"/><Relationship Id="rId6" Type="http://schemas.openxmlformats.org/officeDocument/2006/relationships/hyperlink" Target="MRVL.xlsx" TargetMode="External"/><Relationship Id="rId11" Type="http://schemas.openxmlformats.org/officeDocument/2006/relationships/hyperlink" Target="AMD.xlsx" TargetMode="External"/><Relationship Id="rId5" Type="http://schemas.openxmlformats.org/officeDocument/2006/relationships/hyperlink" Target="ACMR.xlsx" TargetMode="External"/><Relationship Id="rId15" Type="http://schemas.openxmlformats.org/officeDocument/2006/relationships/hyperlink" Target="ARM.xlsx" TargetMode="External"/><Relationship Id="rId10" Type="http://schemas.openxmlformats.org/officeDocument/2006/relationships/hyperlink" Target="AVGO.xlsx" TargetMode="External"/><Relationship Id="rId4" Type="http://schemas.openxmlformats.org/officeDocument/2006/relationships/hyperlink" Target="MBLY.xlsx" TargetMode="External"/><Relationship Id="rId9" Type="http://schemas.openxmlformats.org/officeDocument/2006/relationships/hyperlink" Target="INTC.xlsx" TargetMode="External"/><Relationship Id="rId14" Type="http://schemas.openxmlformats.org/officeDocument/2006/relationships/hyperlink" Target="005930%20Samsung.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005930%20Samsung.xlsx" TargetMode="External"/><Relationship Id="rId13" Type="http://schemas.openxmlformats.org/officeDocument/2006/relationships/vmlDrawing" Target="../drawings/vmlDrawing1.vml"/><Relationship Id="rId3" Type="http://schemas.openxmlformats.org/officeDocument/2006/relationships/hyperlink" Target="NVDA.xlsx" TargetMode="External"/><Relationship Id="rId7" Type="http://schemas.openxmlformats.org/officeDocument/2006/relationships/hyperlink" Target="005930%20Samsung.xlsx" TargetMode="External"/><Relationship Id="rId12" Type="http://schemas.openxmlformats.org/officeDocument/2006/relationships/hyperlink" Target="285A%20Kioxia.xlsx" TargetMode="External"/><Relationship Id="rId2" Type="http://schemas.openxmlformats.org/officeDocument/2006/relationships/hyperlink" Target="NVDA.xlsx" TargetMode="External"/><Relationship Id="rId1" Type="http://schemas.openxmlformats.org/officeDocument/2006/relationships/hyperlink" Target="MU.xlsx" TargetMode="External"/><Relationship Id="rId6" Type="http://schemas.openxmlformats.org/officeDocument/2006/relationships/hyperlink" Target="NVDA.xlsx" TargetMode="External"/><Relationship Id="rId11" Type="http://schemas.openxmlformats.org/officeDocument/2006/relationships/hyperlink" Target="SNDK.xlsx" TargetMode="External"/><Relationship Id="rId5" Type="http://schemas.openxmlformats.org/officeDocument/2006/relationships/hyperlink" Target="NVDA.xlsx" TargetMode="External"/><Relationship Id="rId15" Type="http://schemas.microsoft.com/office/2017/10/relationships/threadedComment" Target="../threadedComments/threadedComment1.xml"/><Relationship Id="rId10" Type="http://schemas.openxmlformats.org/officeDocument/2006/relationships/hyperlink" Target="MU.xlsx" TargetMode="External"/><Relationship Id="rId4" Type="http://schemas.openxmlformats.org/officeDocument/2006/relationships/hyperlink" Target="NVDA.xlsx" TargetMode="External"/><Relationship Id="rId9" Type="http://schemas.openxmlformats.org/officeDocument/2006/relationships/hyperlink" Target="000600%20SK%20Hynix.xlsx" TargetMode="Externa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AMAT.xlsx" TargetMode="External"/><Relationship Id="rId2" Type="http://schemas.openxmlformats.org/officeDocument/2006/relationships/hyperlink" Target="LRCX.xlsx" TargetMode="External"/><Relationship Id="rId1" Type="http://schemas.openxmlformats.org/officeDocument/2006/relationships/hyperlink" Target="ASML.xlsx"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AAOI.xlsx" TargetMode="External"/><Relationship Id="rId1" Type="http://schemas.openxmlformats.org/officeDocument/2006/relationships/hyperlink" Target="LITE.xlsx"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QUBT.xlsx" TargetMode="External"/><Relationship Id="rId2" Type="http://schemas.openxmlformats.org/officeDocument/2006/relationships/hyperlink" Target="RGTI.xlsx" TargetMode="External"/><Relationship Id="rId1" Type="http://schemas.openxmlformats.org/officeDocument/2006/relationships/hyperlink" Target="IONQ.xlsx" TargetMode="External"/><Relationship Id="rId4" Type="http://schemas.openxmlformats.org/officeDocument/2006/relationships/hyperlink" Target="QBTS.xls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CSCO.xlsx"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CLS.xlsx" TargetMode="External"/><Relationship Id="rId3" Type="http://schemas.openxmlformats.org/officeDocument/2006/relationships/hyperlink" Target="JBL.xlsx" TargetMode="External"/><Relationship Id="rId7" Type="http://schemas.openxmlformats.org/officeDocument/2006/relationships/hyperlink" Target="005930%20Samsung.xlsx" TargetMode="External"/><Relationship Id="rId2" Type="http://schemas.openxmlformats.org/officeDocument/2006/relationships/hyperlink" Target="IONQ.xlsx" TargetMode="External"/><Relationship Id="rId1" Type="http://schemas.openxmlformats.org/officeDocument/2006/relationships/hyperlink" Target="AAPL.xlsx" TargetMode="External"/><Relationship Id="rId6" Type="http://schemas.openxmlformats.org/officeDocument/2006/relationships/hyperlink" Target="IBM.xlsx" TargetMode="External"/><Relationship Id="rId5" Type="http://schemas.openxmlformats.org/officeDocument/2006/relationships/hyperlink" Target="QBTS.xlsx" TargetMode="External"/><Relationship Id="rId4" Type="http://schemas.openxmlformats.org/officeDocument/2006/relationships/hyperlink" Target="RGTI.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F9E42-3F4A-4F5B-8F7C-4C05A85AC67E}">
  <dimension ref="A2:AA66"/>
  <sheetViews>
    <sheetView zoomScale="145" zoomScaleNormal="145" workbookViewId="0">
      <pane xSplit="2" ySplit="4" topLeftCell="C5" activePane="bottomRight" state="frozen"/>
      <selection pane="topRight" activeCell="C1" sqref="C1"/>
      <selection pane="bottomLeft" activeCell="A3" sqref="A3"/>
      <selection pane="bottomRight" activeCell="E12" sqref="E12"/>
    </sheetView>
  </sheetViews>
  <sheetFormatPr defaultColWidth="8.81640625" defaultRowHeight="12.5" x14ac:dyDescent="0.25"/>
  <cols>
    <col min="1" max="1" width="2.453125" customWidth="1"/>
    <col min="2" max="2" width="17.7265625" bestFit="1" customWidth="1"/>
    <col min="3" max="3" width="11" customWidth="1"/>
    <col min="4" max="4" width="9.1796875" style="3"/>
    <col min="5" max="7" width="9.54296875" style="3" bestFit="1" customWidth="1"/>
    <col min="8" max="9" width="9.1796875" style="3"/>
    <col min="10" max="10" width="11.81640625" style="3" customWidth="1"/>
    <col min="12" max="12" width="7.453125" style="17" customWidth="1"/>
    <col min="13" max="15" width="7.453125" customWidth="1"/>
    <col min="16" max="16" width="7.453125" style="18" customWidth="1"/>
    <col min="17" max="17" width="7.90625" style="17" customWidth="1"/>
    <col min="18" max="21" width="7.90625" customWidth="1"/>
    <col min="22" max="22" width="7.90625" style="18" customWidth="1"/>
  </cols>
  <sheetData>
    <row r="2" spans="1:27" x14ac:dyDescent="0.25">
      <c r="B2" t="s">
        <v>258</v>
      </c>
      <c r="M2" s="20">
        <f ca="1">AVERAGE(M5:M17)</f>
        <v>53.942377174027911</v>
      </c>
      <c r="N2" s="20">
        <f ca="1">AVERAGE(N5:N17)</f>
        <v>35.702808889974321</v>
      </c>
    </row>
    <row r="3" spans="1:27" x14ac:dyDescent="0.25">
      <c r="L3" s="29" t="s">
        <v>257</v>
      </c>
      <c r="M3" s="30"/>
      <c r="N3" s="30"/>
      <c r="O3" s="30"/>
      <c r="P3" s="31"/>
      <c r="Q3" s="29" t="s">
        <v>239</v>
      </c>
      <c r="R3" s="30"/>
      <c r="S3" s="30"/>
      <c r="T3" s="30"/>
      <c r="U3" s="30"/>
      <c r="V3" s="31"/>
      <c r="Z3" s="13">
        <f>AVERAGE(Z5:Z33)</f>
        <v>1052549.8109809407</v>
      </c>
      <c r="AA3" s="13">
        <f>AVERAGE(AA5:AA33)</f>
        <v>792600.5</v>
      </c>
    </row>
    <row r="4" spans="1:27" x14ac:dyDescent="0.25">
      <c r="B4" t="s">
        <v>0</v>
      </c>
      <c r="C4" t="s">
        <v>1</v>
      </c>
      <c r="D4" s="3" t="s">
        <v>2</v>
      </c>
      <c r="E4" s="3" t="s">
        <v>3</v>
      </c>
      <c r="F4" s="3" t="s">
        <v>26</v>
      </c>
      <c r="G4" s="3" t="s">
        <v>27</v>
      </c>
      <c r="H4" s="3" t="s">
        <v>102</v>
      </c>
      <c r="I4" s="3" t="s">
        <v>29</v>
      </c>
      <c r="J4" s="3" t="s">
        <v>30</v>
      </c>
      <c r="K4" s="3" t="s">
        <v>104</v>
      </c>
      <c r="L4" s="17">
        <v>2025</v>
      </c>
      <c r="M4">
        <v>2026</v>
      </c>
      <c r="N4">
        <f>+M4+1</f>
        <v>2027</v>
      </c>
      <c r="O4">
        <f>+N4+1</f>
        <v>2028</v>
      </c>
      <c r="P4" s="18">
        <f>+O4+1</f>
        <v>2029</v>
      </c>
      <c r="Q4" s="16">
        <v>2024</v>
      </c>
      <c r="R4">
        <v>2025</v>
      </c>
      <c r="S4">
        <v>2026</v>
      </c>
      <c r="T4">
        <f>+S4+1</f>
        <v>2027</v>
      </c>
      <c r="U4">
        <f>+T4+1</f>
        <v>2028</v>
      </c>
      <c r="V4" s="18">
        <f>+U4+1</f>
        <v>2029</v>
      </c>
      <c r="W4" t="s">
        <v>264</v>
      </c>
      <c r="X4" t="s">
        <v>263</v>
      </c>
      <c r="Y4" t="s">
        <v>262</v>
      </c>
      <c r="Z4" t="s">
        <v>260</v>
      </c>
      <c r="AA4" t="s">
        <v>261</v>
      </c>
    </row>
    <row r="5" spans="1:27" x14ac:dyDescent="0.25">
      <c r="A5" t="s">
        <v>36</v>
      </c>
      <c r="B5" s="1" t="e" vm="1">
        <v>#VALUE!</v>
      </c>
      <c r="C5" t="str" cm="1">
        <f t="array" aca="1" ref="C5" ca="1">_FV(B5,"Ticker symbol",TRUE)</f>
        <v>NVDA</v>
      </c>
      <c r="D5" s="4" cm="1">
        <f t="array" aca="1" ref="D5" ca="1">_FV(B5,"Price")</f>
        <v>225.16</v>
      </c>
      <c r="E5" s="6">
        <f ca="1">+D5*H5</f>
        <v>5471388</v>
      </c>
      <c r="F5" s="6">
        <f>+[1]Main!$K$5-[1]Main!$K$6</f>
        <v>48325</v>
      </c>
      <c r="G5" s="6">
        <f t="shared" ref="G5:G16" ca="1" si="0">+E5-F5</f>
        <v>5423063</v>
      </c>
      <c r="H5" s="6">
        <f>+[1]Main!$K$3</f>
        <v>24300</v>
      </c>
      <c r="I5" s="3" t="s">
        <v>254</v>
      </c>
      <c r="J5" s="10">
        <v>46101</v>
      </c>
      <c r="K5">
        <v>1993</v>
      </c>
      <c r="L5" s="19">
        <f ca="1">($G5/$H5)/R5</f>
        <v>75.908611181097953</v>
      </c>
      <c r="M5" s="20">
        <f ca="1">($G$5/$H$5)/S5</f>
        <v>45.545166708658769</v>
      </c>
      <c r="N5" s="20">
        <f ca="1">($G$5/$H$5)/T5</f>
        <v>26.953057593288406</v>
      </c>
      <c r="O5" s="20">
        <f ca="1">($G$5/$H$5)/U5</f>
        <v>20.051331255384362</v>
      </c>
      <c r="P5" s="20"/>
      <c r="Q5" s="21">
        <v>1.19</v>
      </c>
      <c r="R5" s="2">
        <v>2.94</v>
      </c>
      <c r="S5" s="2">
        <v>4.9000000000000004</v>
      </c>
      <c r="T5" s="2">
        <v>8.2799999999999994</v>
      </c>
      <c r="U5" s="2">
        <v>11.13</v>
      </c>
      <c r="Z5" s="13">
        <v>1486199</v>
      </c>
      <c r="AA5" s="13">
        <v>844087</v>
      </c>
    </row>
    <row r="6" spans="1:27" x14ac:dyDescent="0.25">
      <c r="A6" t="s">
        <v>36</v>
      </c>
      <c r="B6" s="1" t="e" vm="2">
        <v>#VALUE!</v>
      </c>
      <c r="C6" t="str" cm="1">
        <f t="array" aca="1" ref="C6" ca="1">_FV(B6,"Ticker symbol",TRUE)</f>
        <v>TSM</v>
      </c>
      <c r="D6" s="4" cm="1">
        <f t="array" aca="1" ref="D6" ca="1">_FV(B6,"Price")</f>
        <v>426.35</v>
      </c>
      <c r="E6" s="6">
        <f ca="1">+D6*H6/5</f>
        <v>2211136.37</v>
      </c>
      <c r="F6" s="6">
        <f>([2]Main!$J$7-[2]Main!$J$8)/FX!C5</f>
        <v>-87685.151609878085</v>
      </c>
      <c r="G6" s="6">
        <f t="shared" ca="1" si="0"/>
        <v>2298821.5216098782</v>
      </c>
      <c r="H6" s="6">
        <f>+[2]Main!$J$4</f>
        <v>25931</v>
      </c>
      <c r="I6" s="3" t="s">
        <v>178</v>
      </c>
      <c r="J6" s="10">
        <v>45652</v>
      </c>
      <c r="L6" s="19">
        <f ca="1">($G6/$H6)/R6*5</f>
        <v>41.698720488334793</v>
      </c>
      <c r="M6" s="20">
        <f ca="1">($G6/$H6)/S6*5</f>
        <v>28.377554340012733</v>
      </c>
      <c r="N6" s="20">
        <f ca="1">($G6/$H6)/T6*5</f>
        <v>22.649841532498662</v>
      </c>
      <c r="Q6" s="17">
        <v>7.04</v>
      </c>
      <c r="R6">
        <v>10.63</v>
      </c>
      <c r="S6">
        <v>15.62</v>
      </c>
      <c r="T6">
        <v>19.57</v>
      </c>
      <c r="Z6" s="13">
        <f>17000000/NTD</f>
        <v>520195.83843329252</v>
      </c>
      <c r="AA6" s="13"/>
    </row>
    <row r="7" spans="1:27" x14ac:dyDescent="0.25">
      <c r="A7" t="s">
        <v>36</v>
      </c>
      <c r="B7" s="1" t="s">
        <v>6</v>
      </c>
      <c r="C7" s="23" t="s">
        <v>16</v>
      </c>
      <c r="D7" s="4">
        <v>2375</v>
      </c>
      <c r="E7" s="6">
        <f>+D7*H7/FX!C2</f>
        <v>1884520.3488372094</v>
      </c>
      <c r="F7" s="6">
        <f>([2]Main!$J$7-[2]Main!$J$8)/FX!C5</f>
        <v>-87685.151609878085</v>
      </c>
      <c r="G7" s="6">
        <f t="shared" si="0"/>
        <v>1972205.5004470875</v>
      </c>
      <c r="H7" s="6">
        <f>+[2]Main!$J$4</f>
        <v>25931</v>
      </c>
      <c r="I7" s="3" t="str">
        <f>+I6</f>
        <v>Q324</v>
      </c>
      <c r="J7" s="10">
        <f>+J6</f>
        <v>45652</v>
      </c>
      <c r="Z7" s="13">
        <f>+Z6</f>
        <v>520195.83843329252</v>
      </c>
      <c r="AA7" s="13"/>
    </row>
    <row r="8" spans="1:27" x14ac:dyDescent="0.25">
      <c r="A8" t="s">
        <v>36</v>
      </c>
      <c r="B8" s="1" t="e" vm="3">
        <v>#VALUE!</v>
      </c>
      <c r="C8" t="str" cm="1">
        <f t="array" aca="1" ref="C8" ca="1">_FV(B8,"Ticker symbol",TRUE)</f>
        <v>AVGO</v>
      </c>
      <c r="D8" s="4" cm="1">
        <f t="array" aca="1" ref="D8" ca="1">_FV(B8,"Price")</f>
        <v>392.99</v>
      </c>
      <c r="E8" s="6">
        <f ca="1">+D8*H8</f>
        <v>1920935.12</v>
      </c>
      <c r="F8" s="6">
        <f>+[3]Main!$J$5-[3]Main!$J$6</f>
        <v>-51883</v>
      </c>
      <c r="G8" s="6">
        <f t="shared" ca="1" si="0"/>
        <v>1972818.12</v>
      </c>
      <c r="H8" s="6">
        <f>+[3]Main!$J$3</f>
        <v>4888</v>
      </c>
      <c r="I8" s="3" t="s">
        <v>106</v>
      </c>
      <c r="J8" s="10">
        <v>45722</v>
      </c>
      <c r="L8" s="19">
        <f t="shared" ref="L8:N10" ca="1" si="1">($G8/$H8)/R8</f>
        <v>84.613073732102251</v>
      </c>
      <c r="M8" s="20">
        <f t="shared" ca="1" si="1"/>
        <v>35.654095556725061</v>
      </c>
      <c r="N8" s="20">
        <f t="shared" ca="1" si="1"/>
        <v>22.434928388111601</v>
      </c>
      <c r="O8" s="20"/>
      <c r="Q8" s="17">
        <v>1.23</v>
      </c>
      <c r="R8">
        <v>4.7699999999999996</v>
      </c>
      <c r="S8">
        <v>11.32</v>
      </c>
      <c r="T8">
        <v>17.989999999999998</v>
      </c>
      <c r="Z8" s="13">
        <v>1200000</v>
      </c>
      <c r="AA8" s="13">
        <v>721000</v>
      </c>
    </row>
    <row r="9" spans="1:27" x14ac:dyDescent="0.25">
      <c r="A9" t="s">
        <v>36</v>
      </c>
      <c r="B9" s="1" t="s">
        <v>8</v>
      </c>
      <c r="C9" t="s">
        <v>17</v>
      </c>
      <c r="D9" s="6">
        <v>277500</v>
      </c>
      <c r="E9" s="6">
        <f>+D9*H9/KRW</f>
        <v>1291958.0450318581</v>
      </c>
      <c r="F9" s="6">
        <f>+([4]Main!$K$5-[4]Main!$K$6)/KRW*1000</f>
        <v>119758.15395212676</v>
      </c>
      <c r="G9" s="6">
        <f t="shared" si="0"/>
        <v>1172199.8910797313</v>
      </c>
      <c r="H9" s="6">
        <f>+[4]Main!$K$3</f>
        <v>6758.9192499999999</v>
      </c>
      <c r="I9" s="3" t="s">
        <v>254</v>
      </c>
      <c r="J9" s="10">
        <v>46211</v>
      </c>
      <c r="Z9" s="13"/>
      <c r="AA9" s="13"/>
    </row>
    <row r="10" spans="1:27" x14ac:dyDescent="0.25">
      <c r="A10" t="s">
        <v>36</v>
      </c>
      <c r="B10" s="1" t="e" vm="4">
        <v>#VALUE!</v>
      </c>
      <c r="C10" t="s">
        <v>4</v>
      </c>
      <c r="D10" s="4">
        <v>484</v>
      </c>
      <c r="E10" s="6">
        <f t="shared" ref="E10:E16" si="2">+D10*H10</f>
        <v>794244</v>
      </c>
      <c r="F10" s="6">
        <f>+[5]Main!$M$5-[5]Main!$M$6</f>
        <v>4023</v>
      </c>
      <c r="G10" s="6">
        <f t="shared" si="0"/>
        <v>790221</v>
      </c>
      <c r="H10" s="6">
        <f>+[5]Main!$M$3</f>
        <v>1641</v>
      </c>
      <c r="I10" s="3" t="s">
        <v>238</v>
      </c>
      <c r="J10" s="10">
        <v>45939</v>
      </c>
      <c r="K10">
        <v>1969</v>
      </c>
      <c r="L10" s="19">
        <f t="shared" si="1"/>
        <v>181.71639474319616</v>
      </c>
      <c r="M10" s="20">
        <f t="shared" si="1"/>
        <v>70.299043221820412</v>
      </c>
      <c r="N10" s="20">
        <f t="shared" si="1"/>
        <v>42.918756334177345</v>
      </c>
      <c r="O10" s="20"/>
      <c r="Q10" s="21">
        <v>1</v>
      </c>
      <c r="R10" s="2">
        <v>2.65</v>
      </c>
      <c r="S10" s="2">
        <v>6.85</v>
      </c>
      <c r="T10" s="2">
        <v>11.22</v>
      </c>
      <c r="Z10" s="13">
        <v>1291258</v>
      </c>
      <c r="AA10" s="13">
        <v>820000</v>
      </c>
    </row>
    <row r="11" spans="1:27" x14ac:dyDescent="0.25">
      <c r="A11" t="s">
        <v>36</v>
      </c>
      <c r="B11" s="1" t="e" vm="5">
        <v>#VALUE!</v>
      </c>
      <c r="C11" t="str" cm="1">
        <f t="array" aca="1" ref="C11" ca="1">_FV(B11,"Ticker symbol",TRUE)</f>
        <v>INTC</v>
      </c>
      <c r="D11" s="4">
        <v>91</v>
      </c>
      <c r="E11" s="6">
        <f t="shared" si="2"/>
        <v>464464</v>
      </c>
      <c r="F11" s="6">
        <f>+[6]Main!$L$5-[6]Main!$L$6</f>
        <v>-12400</v>
      </c>
      <c r="G11" s="6">
        <f t="shared" si="0"/>
        <v>476864</v>
      </c>
      <c r="H11" s="6">
        <f>+[6]Main!$L$3</f>
        <v>5104</v>
      </c>
      <c r="I11" s="3" t="s">
        <v>254</v>
      </c>
      <c r="J11" s="10">
        <v>46198</v>
      </c>
      <c r="L11" s="19">
        <f t="shared" ref="L11:N11" si="3">($G11/$H11)/R11</f>
        <v>-1557.1577847439917</v>
      </c>
      <c r="M11" s="20">
        <f t="shared" si="3"/>
        <v>89.836026042922597</v>
      </c>
      <c r="N11" s="20">
        <f t="shared" si="3"/>
        <v>63.557460601795576</v>
      </c>
      <c r="Q11" s="17">
        <v>-4.38</v>
      </c>
      <c r="R11">
        <v>-0.06</v>
      </c>
      <c r="S11">
        <v>1.04</v>
      </c>
      <c r="T11">
        <v>1.47</v>
      </c>
      <c r="Z11" s="13">
        <v>1000000</v>
      </c>
      <c r="AA11" s="13">
        <v>1000000</v>
      </c>
    </row>
    <row r="12" spans="1:27" x14ac:dyDescent="0.25">
      <c r="A12" t="s">
        <v>36</v>
      </c>
      <c r="B12" s="1" t="e" vm="6">
        <v>#VALUE!</v>
      </c>
      <c r="C12" t="s">
        <v>105</v>
      </c>
      <c r="D12" s="4" cm="1">
        <f t="array" aca="1" ref="D12" ca="1">_FV(B12,"Price")</f>
        <v>279.44</v>
      </c>
      <c r="E12" s="6">
        <f ca="1">+D12*H12</f>
        <v>291874.25062208</v>
      </c>
      <c r="F12" s="6">
        <f>+[7]Main!$L$5-[7]Main!$L$6</f>
        <v>3664</v>
      </c>
      <c r="G12" s="6">
        <f ca="1">+E12-F12</f>
        <v>288210.25062208</v>
      </c>
      <c r="H12" s="6">
        <f>+[7]Main!$L$3</f>
        <v>1044.497032</v>
      </c>
      <c r="I12" s="3" t="s">
        <v>182</v>
      </c>
      <c r="AA12" s="13">
        <v>1350000</v>
      </c>
    </row>
    <row r="13" spans="1:27" x14ac:dyDescent="0.25">
      <c r="A13" t="s">
        <v>36</v>
      </c>
      <c r="B13" s="1" t="e" vm="7">
        <v>#VALUE!</v>
      </c>
      <c r="C13" t="s">
        <v>5</v>
      </c>
      <c r="D13" s="4" cm="1">
        <f t="array" aca="1" ref="D13" ca="1">_FV(B13,"Price")</f>
        <v>279.58</v>
      </c>
      <c r="E13" s="6">
        <f t="shared" ca="1" si="2"/>
        <v>253738.89924095999</v>
      </c>
      <c r="F13" s="6">
        <f>+[8]Main!$K$5-[8]Main!$K$6</f>
        <v>1153</v>
      </c>
      <c r="G13" s="6">
        <f t="shared" ca="1" si="0"/>
        <v>252585.89924095999</v>
      </c>
      <c r="H13" s="6">
        <f>+[8]Main!$K$3</f>
        <v>907.57171200000005</v>
      </c>
      <c r="I13" s="3" t="s">
        <v>103</v>
      </c>
      <c r="J13" s="10">
        <v>44946</v>
      </c>
      <c r="AA13" s="13">
        <v>830000</v>
      </c>
    </row>
    <row r="14" spans="1:27" x14ac:dyDescent="0.25">
      <c r="A14" t="s">
        <v>36</v>
      </c>
      <c r="B14" s="1" t="e" vm="8">
        <v>#VALUE!</v>
      </c>
      <c r="C14" t="s">
        <v>21</v>
      </c>
      <c r="D14" s="4" cm="1">
        <f t="array" aca="1" ref="D14" ca="1">_FV(B14,"Price")</f>
        <v>165.79</v>
      </c>
      <c r="E14" s="6">
        <f t="shared" ca="1" si="2"/>
        <v>184690.06</v>
      </c>
      <c r="F14" s="6">
        <f>+[9]Main!$L$5-[9]Main!$L$6</f>
        <v>-1522</v>
      </c>
      <c r="G14" s="6">
        <f t="shared" ca="1" si="0"/>
        <v>186212.06</v>
      </c>
      <c r="H14" s="6">
        <f>+[9]Main!$L$3</f>
        <v>1114</v>
      </c>
      <c r="I14" s="3" t="s">
        <v>106</v>
      </c>
      <c r="J14" s="10">
        <v>45581</v>
      </c>
      <c r="Z14" s="13">
        <v>1350000</v>
      </c>
      <c r="AA14" s="13">
        <v>800000</v>
      </c>
    </row>
    <row r="15" spans="1:27" x14ac:dyDescent="0.25">
      <c r="A15" t="s">
        <v>36</v>
      </c>
      <c r="B15" s="1" t="e" vm="9">
        <v>#VALUE!</v>
      </c>
      <c r="C15" t="s">
        <v>66</v>
      </c>
      <c r="D15" s="4" cm="1">
        <f t="array" aca="1" ref="D15" ca="1">_FV(B15,"Price")</f>
        <v>222.02</v>
      </c>
      <c r="E15" s="6">
        <f t="shared" ca="1" si="2"/>
        <v>194223.09599999999</v>
      </c>
      <c r="F15" s="6">
        <f>+[10]Main!$H$5-[10]Main!$H$6</f>
        <v>-1117.7000000000003</v>
      </c>
      <c r="G15" s="6">
        <f t="shared" ca="1" si="0"/>
        <v>195340.796</v>
      </c>
      <c r="H15" s="6">
        <f>[10]Main!$H$3</f>
        <v>874.8</v>
      </c>
      <c r="I15" s="3" t="s">
        <v>254</v>
      </c>
      <c r="J15" s="10">
        <v>46203</v>
      </c>
    </row>
    <row r="16" spans="1:27" x14ac:dyDescent="0.25">
      <c r="A16" t="s">
        <v>36</v>
      </c>
      <c r="B16" s="1" t="e" vm="10">
        <v>#VALUE!</v>
      </c>
      <c r="C16" t="s">
        <v>24</v>
      </c>
      <c r="D16" s="4" cm="1">
        <f t="array" aca="1" ref="D16" ca="1">_FV(B16,"Price")</f>
        <v>389.39</v>
      </c>
      <c r="E16" s="6">
        <f t="shared" ca="1" si="2"/>
        <v>189666.82250559999</v>
      </c>
      <c r="F16" s="6">
        <f>+[11]Main!$J$5-[11]Main!$J$6</f>
        <v>-4695.3429999999998</v>
      </c>
      <c r="G16" s="6">
        <f t="shared" ca="1" si="0"/>
        <v>194362.16550559999</v>
      </c>
      <c r="H16" s="6">
        <f>+[11]Main!$J$3</f>
        <v>487.08704</v>
      </c>
      <c r="I16" s="3" t="s">
        <v>254</v>
      </c>
      <c r="J16" s="10">
        <v>46211</v>
      </c>
      <c r="AA16" s="13">
        <v>700000</v>
      </c>
    </row>
    <row r="17" spans="1:27" x14ac:dyDescent="0.25">
      <c r="A17" t="s">
        <v>36</v>
      </c>
      <c r="B17" s="1" t="e" vm="11">
        <v>#VALUE!</v>
      </c>
      <c r="C17" t="s">
        <v>67</v>
      </c>
      <c r="D17" s="4" cm="1">
        <f t="array" aca="1" ref="D17" ca="1">_FV(B17,"Price")</f>
        <v>4050</v>
      </c>
      <c r="E17" s="6">
        <f ca="1">+D17*H17/FX!C5</f>
        <v>202943.10722100656</v>
      </c>
      <c r="F17" s="6">
        <f>([12]Main!$K$5-[12]Main!$K$6)/FX!C5</f>
        <v>9981.0878399499852</v>
      </c>
      <c r="G17" s="6">
        <f ca="1">+E17-F17</f>
        <v>192962.01938105657</v>
      </c>
      <c r="H17" s="6">
        <f>+[12]Main!$K$3</f>
        <v>1603</v>
      </c>
      <c r="I17" s="3" t="s">
        <v>254</v>
      </c>
      <c r="J17" s="10">
        <v>46213</v>
      </c>
      <c r="K17">
        <v>1997</v>
      </c>
    </row>
    <row r="18" spans="1:27" x14ac:dyDescent="0.25">
      <c r="A18" t="s">
        <v>36</v>
      </c>
      <c r="B18" t="s">
        <v>45</v>
      </c>
      <c r="C18" t="s">
        <v>46</v>
      </c>
      <c r="D18" s="6">
        <v>41720</v>
      </c>
      <c r="E18" s="6">
        <f>124700</f>
        <v>124700</v>
      </c>
    </row>
    <row r="19" spans="1:27" x14ac:dyDescent="0.25">
      <c r="A19" t="s">
        <v>36</v>
      </c>
      <c r="B19" t="s">
        <v>185</v>
      </c>
      <c r="C19" t="s">
        <v>186</v>
      </c>
      <c r="D19" s="6">
        <v>25535</v>
      </c>
      <c r="E19" s="6">
        <v>119990</v>
      </c>
    </row>
    <row r="20" spans="1:27" x14ac:dyDescent="0.25">
      <c r="B20" t="s">
        <v>51</v>
      </c>
      <c r="C20" t="s">
        <v>52</v>
      </c>
      <c r="D20" s="6">
        <v>6226</v>
      </c>
      <c r="E20" s="6">
        <v>73070</v>
      </c>
    </row>
    <row r="21" spans="1:27" x14ac:dyDescent="0.25">
      <c r="A21" t="s">
        <v>36</v>
      </c>
      <c r="B21" t="s">
        <v>60</v>
      </c>
      <c r="C21" t="s">
        <v>61</v>
      </c>
      <c r="D21" s="4">
        <v>209.6</v>
      </c>
      <c r="E21" s="6">
        <v>52970</v>
      </c>
      <c r="AA21">
        <v>580000</v>
      </c>
    </row>
    <row r="22" spans="1:27" x14ac:dyDescent="0.25">
      <c r="A22" t="s">
        <v>36</v>
      </c>
      <c r="B22" t="s">
        <v>68</v>
      </c>
      <c r="C22" t="s">
        <v>69</v>
      </c>
      <c r="D22" s="3">
        <v>67.91</v>
      </c>
      <c r="E22" s="6">
        <v>36740</v>
      </c>
      <c r="AA22">
        <v>280918</v>
      </c>
    </row>
    <row r="23" spans="1:27" x14ac:dyDescent="0.25">
      <c r="B23" t="s">
        <v>37</v>
      </c>
      <c r="C23" t="s">
        <v>38</v>
      </c>
      <c r="D23" s="3">
        <v>17.760000000000002</v>
      </c>
      <c r="E23" s="6">
        <f>134230/CNY</f>
        <v>19175.714285714286</v>
      </c>
    </row>
    <row r="24" spans="1:27" x14ac:dyDescent="0.25">
      <c r="A24" t="s">
        <v>36</v>
      </c>
      <c r="B24" s="1" t="s">
        <v>118</v>
      </c>
      <c r="C24" t="s">
        <v>119</v>
      </c>
      <c r="D24" s="4">
        <v>20.65</v>
      </c>
      <c r="E24" s="6">
        <f>+D24*H24</f>
        <v>13216</v>
      </c>
      <c r="F24" s="6">
        <f>+[13]Main!$M$5-[13]Main!$M$6</f>
        <v>-504</v>
      </c>
      <c r="G24" s="6">
        <f>+E24-F24</f>
        <v>13720</v>
      </c>
      <c r="H24" s="6">
        <f>+[13]Main!$M$3</f>
        <v>640</v>
      </c>
      <c r="I24" s="3" t="s">
        <v>106</v>
      </c>
      <c r="J24" s="10">
        <v>45560</v>
      </c>
    </row>
    <row r="25" spans="1:27" x14ac:dyDescent="0.25">
      <c r="B25" t="s">
        <v>187</v>
      </c>
      <c r="C25" t="s">
        <v>188</v>
      </c>
    </row>
    <row r="26" spans="1:27" x14ac:dyDescent="0.25">
      <c r="B26" t="s">
        <v>193</v>
      </c>
      <c r="C26" t="s">
        <v>194</v>
      </c>
    </row>
    <row r="27" spans="1:27" x14ac:dyDescent="0.25">
      <c r="A27" t="s">
        <v>36</v>
      </c>
      <c r="B27" t="s">
        <v>285</v>
      </c>
      <c r="C27" t="s">
        <v>286</v>
      </c>
    </row>
    <row r="28" spans="1:27" x14ac:dyDescent="0.25">
      <c r="B28" t="s">
        <v>70</v>
      </c>
      <c r="C28" t="s">
        <v>71</v>
      </c>
    </row>
    <row r="29" spans="1:27" x14ac:dyDescent="0.25">
      <c r="B29" t="s">
        <v>306</v>
      </c>
      <c r="C29" t="s">
        <v>307</v>
      </c>
    </row>
    <row r="30" spans="1:27" x14ac:dyDescent="0.25">
      <c r="A30" t="s">
        <v>36</v>
      </c>
      <c r="B30" t="s">
        <v>76</v>
      </c>
      <c r="C30" t="s">
        <v>77</v>
      </c>
    </row>
    <row r="31" spans="1:27" x14ac:dyDescent="0.25">
      <c r="B31" s="1" t="s">
        <v>95</v>
      </c>
      <c r="C31" t="s">
        <v>276</v>
      </c>
      <c r="D31" s="4">
        <v>220</v>
      </c>
    </row>
    <row r="32" spans="1:27" x14ac:dyDescent="0.25">
      <c r="A32" t="s">
        <v>36</v>
      </c>
      <c r="B32" t="s">
        <v>195</v>
      </c>
      <c r="C32" t="s">
        <v>196</v>
      </c>
    </row>
    <row r="33" spans="1:27" x14ac:dyDescent="0.25">
      <c r="A33" t="s">
        <v>36</v>
      </c>
      <c r="B33" t="s">
        <v>80</v>
      </c>
      <c r="C33" t="s">
        <v>81</v>
      </c>
      <c r="D33" s="3">
        <v>32.51</v>
      </c>
      <c r="E33" s="6">
        <v>28890</v>
      </c>
    </row>
    <row r="34" spans="1:27" x14ac:dyDescent="0.25">
      <c r="A34" t="s">
        <v>36</v>
      </c>
      <c r="B34" t="s">
        <v>197</v>
      </c>
      <c r="C34" t="s">
        <v>198</v>
      </c>
    </row>
    <row r="35" spans="1:27" x14ac:dyDescent="0.25">
      <c r="A35" t="s">
        <v>36</v>
      </c>
      <c r="B35" t="s">
        <v>205</v>
      </c>
      <c r="C35" t="s">
        <v>206</v>
      </c>
    </row>
    <row r="36" spans="1:27" x14ac:dyDescent="0.25">
      <c r="A36" t="s">
        <v>36</v>
      </c>
      <c r="B36" t="s">
        <v>316</v>
      </c>
      <c r="C36" t="s">
        <v>317</v>
      </c>
    </row>
    <row r="37" spans="1:27" x14ac:dyDescent="0.25">
      <c r="A37" t="s">
        <v>36</v>
      </c>
      <c r="B37" t="s">
        <v>234</v>
      </c>
      <c r="C37" t="s">
        <v>235</v>
      </c>
      <c r="D37" s="3">
        <v>118.63</v>
      </c>
      <c r="AA37">
        <v>615000</v>
      </c>
    </row>
    <row r="38" spans="1:27" x14ac:dyDescent="0.25">
      <c r="A38" t="s">
        <v>36</v>
      </c>
      <c r="B38" t="s">
        <v>207</v>
      </c>
      <c r="C38" t="s">
        <v>208</v>
      </c>
    </row>
    <row r="39" spans="1:27" x14ac:dyDescent="0.25">
      <c r="A39" t="s">
        <v>36</v>
      </c>
      <c r="B39" t="s">
        <v>209</v>
      </c>
      <c r="C39" t="s">
        <v>210</v>
      </c>
      <c r="D39" s="4">
        <v>717</v>
      </c>
      <c r="E39" s="6">
        <v>41130</v>
      </c>
    </row>
    <row r="40" spans="1:27" x14ac:dyDescent="0.25">
      <c r="A40" t="s">
        <v>36</v>
      </c>
      <c r="B40" t="s">
        <v>314</v>
      </c>
      <c r="C40" t="s">
        <v>315</v>
      </c>
      <c r="D40" s="4"/>
      <c r="E40" s="6"/>
    </row>
    <row r="41" spans="1:27" x14ac:dyDescent="0.25">
      <c r="A41" t="s">
        <v>36</v>
      </c>
      <c r="B41" t="s">
        <v>225</v>
      </c>
      <c r="C41" t="s">
        <v>226</v>
      </c>
      <c r="D41" s="4">
        <v>353.5</v>
      </c>
    </row>
    <row r="42" spans="1:27" x14ac:dyDescent="0.25">
      <c r="A42" t="s">
        <v>36</v>
      </c>
      <c r="B42" t="s">
        <v>291</v>
      </c>
      <c r="C42" t="s">
        <v>292</v>
      </c>
      <c r="D42" s="4"/>
    </row>
    <row r="43" spans="1:27" x14ac:dyDescent="0.25">
      <c r="A43" t="s">
        <v>36</v>
      </c>
      <c r="B43" t="s">
        <v>297</v>
      </c>
      <c r="C43" t="s">
        <v>298</v>
      </c>
      <c r="D43" s="4"/>
    </row>
    <row r="44" spans="1:27" x14ac:dyDescent="0.25">
      <c r="A44" t="s">
        <v>36</v>
      </c>
      <c r="B44" t="s">
        <v>293</v>
      </c>
      <c r="C44" t="s">
        <v>294</v>
      </c>
      <c r="D44" s="4"/>
    </row>
    <row r="45" spans="1:27" x14ac:dyDescent="0.25">
      <c r="A45" t="s">
        <v>36</v>
      </c>
      <c r="B45" t="s">
        <v>308</v>
      </c>
      <c r="C45" t="s">
        <v>309</v>
      </c>
      <c r="D45" s="4"/>
    </row>
    <row r="46" spans="1:27" x14ac:dyDescent="0.25">
      <c r="A46" t="s">
        <v>36</v>
      </c>
      <c r="B46" t="s">
        <v>332</v>
      </c>
      <c r="C46" t="s">
        <v>333</v>
      </c>
      <c r="D46" s="4"/>
    </row>
    <row r="47" spans="1:27" x14ac:dyDescent="0.25">
      <c r="A47" t="s">
        <v>36</v>
      </c>
      <c r="B47" t="s">
        <v>328</v>
      </c>
      <c r="C47" t="s">
        <v>329</v>
      </c>
      <c r="D47" s="4"/>
    </row>
    <row r="48" spans="1:27" x14ac:dyDescent="0.25">
      <c r="A48" t="s">
        <v>36</v>
      </c>
      <c r="B48" t="s">
        <v>310</v>
      </c>
      <c r="C48" t="s">
        <v>311</v>
      </c>
      <c r="D48" s="4"/>
    </row>
    <row r="49" spans="1:27" x14ac:dyDescent="0.25">
      <c r="A49" t="s">
        <v>36</v>
      </c>
      <c r="B49" t="s">
        <v>242</v>
      </c>
      <c r="C49" t="s">
        <v>241</v>
      </c>
      <c r="D49" s="4">
        <v>3270</v>
      </c>
      <c r="E49" s="6">
        <f>264920/FX!$C$5</f>
        <v>8281.337918099407</v>
      </c>
    </row>
    <row r="50" spans="1:27" x14ac:dyDescent="0.25">
      <c r="B50" t="s">
        <v>227</v>
      </c>
      <c r="C50" t="s">
        <v>228</v>
      </c>
    </row>
    <row r="51" spans="1:27" x14ac:dyDescent="0.25">
      <c r="A51" t="s">
        <v>36</v>
      </c>
      <c r="B51" t="s">
        <v>243</v>
      </c>
      <c r="C51" t="s">
        <v>244</v>
      </c>
      <c r="D51" s="4">
        <v>2355</v>
      </c>
      <c r="E51" s="6">
        <f>315600/FX!$C$5</f>
        <v>9865.5829946858394</v>
      </c>
    </row>
    <row r="52" spans="1:27" x14ac:dyDescent="0.25">
      <c r="A52" t="s">
        <v>36</v>
      </c>
      <c r="B52" t="s">
        <v>346</v>
      </c>
      <c r="C52" t="s">
        <v>347</v>
      </c>
      <c r="D52" s="4"/>
      <c r="E52" s="6"/>
    </row>
    <row r="53" spans="1:27" x14ac:dyDescent="0.25">
      <c r="B53" t="s">
        <v>359</v>
      </c>
      <c r="C53" t="s">
        <v>360</v>
      </c>
      <c r="D53" s="4"/>
      <c r="E53" s="6"/>
    </row>
    <row r="54" spans="1:27" x14ac:dyDescent="0.25">
      <c r="B54" t="s">
        <v>361</v>
      </c>
      <c r="C54" t="s">
        <v>362</v>
      </c>
      <c r="D54" s="4"/>
      <c r="E54" s="6"/>
    </row>
    <row r="55" spans="1:27" x14ac:dyDescent="0.25">
      <c r="B55" t="s">
        <v>245</v>
      </c>
      <c r="C55" t="s">
        <v>246</v>
      </c>
      <c r="D55" s="4">
        <v>159</v>
      </c>
      <c r="E55" s="6">
        <f>41430/FX!$C$5</f>
        <v>1295.0922163175994</v>
      </c>
    </row>
    <row r="56" spans="1:27" x14ac:dyDescent="0.25">
      <c r="B56" t="s">
        <v>86</v>
      </c>
      <c r="C56" t="s">
        <v>87</v>
      </c>
      <c r="D56" s="4">
        <v>9.8000000000000007</v>
      </c>
    </row>
    <row r="57" spans="1:27" x14ac:dyDescent="0.25">
      <c r="A57" t="s">
        <v>36</v>
      </c>
      <c r="B57" t="s">
        <v>92</v>
      </c>
      <c r="C57" t="s">
        <v>93</v>
      </c>
      <c r="D57" s="3">
        <v>47.15</v>
      </c>
      <c r="E57" s="6">
        <v>26330</v>
      </c>
    </row>
    <row r="58" spans="1:27" x14ac:dyDescent="0.25">
      <c r="A58" t="s">
        <v>36</v>
      </c>
      <c r="B58" t="s">
        <v>96</v>
      </c>
      <c r="C58" t="s">
        <v>97</v>
      </c>
      <c r="D58" s="3">
        <v>60.46</v>
      </c>
      <c r="E58" s="6">
        <v>23800</v>
      </c>
      <c r="AA58">
        <v>600000</v>
      </c>
    </row>
    <row r="59" spans="1:27" x14ac:dyDescent="0.25">
      <c r="A59" t="s">
        <v>36</v>
      </c>
      <c r="B59" t="s">
        <v>98</v>
      </c>
      <c r="C59" t="s">
        <v>99</v>
      </c>
      <c r="D59" s="4">
        <v>61.5</v>
      </c>
    </row>
    <row r="60" spans="1:27" x14ac:dyDescent="0.25">
      <c r="B60" s="1" t="s">
        <v>120</v>
      </c>
      <c r="C60" t="s">
        <v>121</v>
      </c>
      <c r="D60" s="4">
        <v>112</v>
      </c>
      <c r="E60" s="6">
        <f>+D60*H60</f>
        <v>15167.281808</v>
      </c>
      <c r="F60" s="6">
        <f>+[14]Main!$J$5-[14]Main!$J$6</f>
        <v>446.97199999999998</v>
      </c>
      <c r="G60" s="6">
        <f>+E60-F60</f>
        <v>14720.309808</v>
      </c>
      <c r="H60" s="6">
        <f>+[14]Main!$J$3</f>
        <v>135.42215899999999</v>
      </c>
      <c r="I60" s="3" t="s">
        <v>106</v>
      </c>
      <c r="J60" s="10">
        <v>45561</v>
      </c>
    </row>
    <row r="61" spans="1:27" x14ac:dyDescent="0.25">
      <c r="B61" s="1" t="s">
        <v>122</v>
      </c>
      <c r="C61" t="s">
        <v>123</v>
      </c>
      <c r="D61" s="4">
        <v>13</v>
      </c>
      <c r="E61" s="6">
        <f>+D61*H61</f>
        <v>10543.625651</v>
      </c>
      <c r="F61" s="6">
        <f>+[15]Main!$K$5-[15]Main!$K$6</f>
        <v>1203</v>
      </c>
      <c r="G61" s="6">
        <f>+E61-F61</f>
        <v>9340.6256510000003</v>
      </c>
      <c r="H61" s="6">
        <f>+[15]Main!$K$3</f>
        <v>811.04812700000002</v>
      </c>
      <c r="I61" s="3" t="s">
        <v>106</v>
      </c>
      <c r="J61" s="10">
        <v>45561</v>
      </c>
      <c r="AA61">
        <v>752335</v>
      </c>
    </row>
    <row r="62" spans="1:27" x14ac:dyDescent="0.25">
      <c r="B62" s="1" t="s">
        <v>229</v>
      </c>
      <c r="C62" t="s">
        <v>230</v>
      </c>
      <c r="D62" s="4">
        <v>42.96</v>
      </c>
      <c r="E62" s="6">
        <f>+D62*H62</f>
        <v>2743.6190918399998</v>
      </c>
      <c r="F62" s="6">
        <f>+[16]Main!$J$5-[16]Main!$J$6</f>
        <v>295.214</v>
      </c>
      <c r="G62" s="6">
        <f>+E62-F62</f>
        <v>2448.4050918399998</v>
      </c>
      <c r="H62" s="6">
        <f>+[16]Main!$J$3</f>
        <v>63.864503999999997</v>
      </c>
      <c r="I62" s="3" t="s">
        <v>231</v>
      </c>
      <c r="J62" s="10">
        <v>45796</v>
      </c>
    </row>
    <row r="64" spans="1:27" x14ac:dyDescent="0.25">
      <c r="B64" t="s">
        <v>53</v>
      </c>
    </row>
    <row r="65" spans="1:3" x14ac:dyDescent="0.25">
      <c r="B65" t="s">
        <v>94</v>
      </c>
    </row>
    <row r="66" spans="1:3" x14ac:dyDescent="0.25">
      <c r="A66" t="s">
        <v>36</v>
      </c>
      <c r="B66" t="s">
        <v>95</v>
      </c>
      <c r="C66" t="s">
        <v>276</v>
      </c>
    </row>
  </sheetData>
  <mergeCells count="2">
    <mergeCell ref="L3:P3"/>
    <mergeCell ref="Q3:V3"/>
  </mergeCells>
  <hyperlinks>
    <hyperlink ref="B7" r:id="rId1" xr:uid="{DD4F0CC9-D485-4053-9B41-DE6F39511946}"/>
    <hyperlink ref="B24" r:id="rId2" xr:uid="{CF0C3BE9-553F-4E6A-8F72-3B6D86F868FC}"/>
    <hyperlink ref="B60" r:id="rId3" xr:uid="{35D78F35-BD1B-401F-9830-193EF147D21A}"/>
    <hyperlink ref="B61" r:id="rId4" xr:uid="{8FC74BE2-2095-4EFE-8F49-C1E00A6EF2C6}"/>
    <hyperlink ref="B62" r:id="rId5" xr:uid="{3A48277A-E40F-4BB9-B4C3-9290548C0B09}"/>
    <hyperlink ref="B15" r:id="rId6" display="MRVL.xlsx" xr:uid="{1346A1F9-3F01-40BA-A797-A622F2C17A6A}"/>
    <hyperlink ref="B13" r:id="rId7" display="TXN.xlsx" xr:uid="{10F4C2CB-9810-4405-A79E-26F565F087F6}"/>
    <hyperlink ref="B14" r:id="rId8" display="QCOM.xlsx" xr:uid="{DBD42285-D260-40E8-9D57-8F45E1D61BC2}"/>
    <hyperlink ref="B11" r:id="rId9" display="INTC.xlsx" xr:uid="{EA99702A-557B-4C65-A8FA-275B178299EA}"/>
    <hyperlink ref="B8" r:id="rId10" display="AVGO.xlsx" xr:uid="{92BA26BA-5ED7-4BD4-9536-704B3CD0F70A}"/>
    <hyperlink ref="B10" r:id="rId11" display="AMD.xlsx" xr:uid="{EC67840E-18D2-4F0F-A5A8-854E99F5F539}"/>
    <hyperlink ref="B6" r:id="rId12" display="TSM.xlsx" xr:uid="{66699C44-5CD6-4D6C-A702-88C22BFBCBDD}"/>
    <hyperlink ref="B5" r:id="rId13" display="NVDA.xlsx" xr:uid="{41959447-08BC-4124-91C7-5621BE11E295}"/>
    <hyperlink ref="B9" r:id="rId14" xr:uid="{2B90458D-E570-4287-BE8C-6AA1527B1BCB}"/>
    <hyperlink ref="B12" r:id="rId15" display="ARM.xlsx" xr:uid="{EDFF8EAA-F0C0-4AD9-A9CE-06C5F0CECDD4}"/>
    <hyperlink ref="B16" r:id="rId16" display="ADI.xlsx" xr:uid="{E9120624-73BC-4C1B-A57B-3C4288B30E7A}"/>
    <hyperlink ref="B17" r:id="rId17" display="2454 TT MediaTek.xlsx" xr:uid="{0CFD06DE-D7B0-479F-91F4-5C68224B7360}"/>
    <hyperlink ref="B31" r:id="rId18" xr:uid="{4F99BC6E-8FE4-433A-BBB2-9A9D616089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85977-16E5-412D-BE16-996917CEEE32}">
  <dimension ref="A1:AC10"/>
  <sheetViews>
    <sheetView zoomScale="160" zoomScaleNormal="160" workbookViewId="0">
      <pane xSplit="3" ySplit="3" topLeftCell="D4" activePane="bottomRight" state="frozen"/>
      <selection pane="topRight" activeCell="D1" sqref="D1"/>
      <selection pane="bottomLeft" activeCell="A4" sqref="A4"/>
      <selection pane="bottomRight" activeCell="E4" sqref="E4"/>
    </sheetView>
  </sheetViews>
  <sheetFormatPr defaultRowHeight="12.5" x14ac:dyDescent="0.25"/>
  <cols>
    <col min="1" max="1" width="5.81640625" bestFit="1" customWidth="1"/>
    <col min="2" max="2" width="0.1796875" customWidth="1"/>
    <col min="3" max="3" width="13.54296875" customWidth="1"/>
    <col min="4" max="4" width="9.81640625" bestFit="1" customWidth="1"/>
    <col min="5" max="5" width="11.1796875" style="3" customWidth="1"/>
    <col min="6" max="6" width="9.81640625" style="3" customWidth="1"/>
    <col min="7" max="7" width="8.7265625" style="3"/>
    <col min="8" max="8" width="9.54296875" style="3" customWidth="1"/>
    <col min="9" max="10" width="8.7265625" style="3"/>
    <col min="11" max="11" width="9.36328125" style="3" customWidth="1"/>
    <col min="13" max="13" width="8.7265625" style="17"/>
    <col min="18" max="18" width="8.7265625" style="18"/>
    <col min="24" max="24" width="8.7265625" style="18"/>
  </cols>
  <sheetData>
    <row r="1" spans="1:29" x14ac:dyDescent="0.25">
      <c r="A1" s="1" t="s">
        <v>183</v>
      </c>
    </row>
    <row r="2" spans="1:29" ht="13" x14ac:dyDescent="0.3">
      <c r="M2" s="32" t="s">
        <v>257</v>
      </c>
      <c r="N2" s="33"/>
      <c r="O2" s="33"/>
      <c r="P2" s="33"/>
      <c r="Q2" s="33"/>
      <c r="R2" s="34"/>
      <c r="S2" s="32" t="s">
        <v>239</v>
      </c>
      <c r="T2" s="33"/>
      <c r="U2" s="33"/>
      <c r="V2" s="33"/>
      <c r="W2" s="33"/>
      <c r="X2" s="34"/>
    </row>
    <row r="3" spans="1:29" x14ac:dyDescent="0.25">
      <c r="B3" t="s">
        <v>0</v>
      </c>
      <c r="C3" t="s">
        <v>0</v>
      </c>
      <c r="D3" t="s">
        <v>1</v>
      </c>
      <c r="E3" s="3" t="s">
        <v>2</v>
      </c>
      <c r="F3" s="3" t="s">
        <v>3</v>
      </c>
      <c r="G3" s="3" t="s">
        <v>26</v>
      </c>
      <c r="H3" s="3" t="s">
        <v>27</v>
      </c>
      <c r="I3" s="3" t="s">
        <v>102</v>
      </c>
      <c r="J3" s="3" t="s">
        <v>29</v>
      </c>
      <c r="K3" s="3" t="s">
        <v>30</v>
      </c>
      <c r="L3" s="3" t="s">
        <v>104</v>
      </c>
      <c r="M3" s="17">
        <v>2025</v>
      </c>
      <c r="N3">
        <v>2026</v>
      </c>
      <c r="O3">
        <f>+N3+1</f>
        <v>2027</v>
      </c>
      <c r="P3">
        <f>+O3+1</f>
        <v>2028</v>
      </c>
      <c r="Q3">
        <f>+P3+1</f>
        <v>2029</v>
      </c>
      <c r="R3" s="18">
        <v>2030</v>
      </c>
      <c r="S3">
        <v>2025</v>
      </c>
      <c r="T3">
        <v>2026</v>
      </c>
      <c r="U3">
        <v>2027</v>
      </c>
      <c r="V3">
        <f>+U3+1</f>
        <v>2028</v>
      </c>
      <c r="W3">
        <f>+V3+1</f>
        <v>2029</v>
      </c>
      <c r="X3" s="18">
        <v>2030</v>
      </c>
    </row>
    <row r="4" spans="1:29" x14ac:dyDescent="0.25">
      <c r="A4" t="s">
        <v>36</v>
      </c>
      <c r="B4" s="1" t="s">
        <v>8</v>
      </c>
      <c r="C4" s="1" t="s">
        <v>8</v>
      </c>
      <c r="D4" t="s">
        <v>17</v>
      </c>
      <c r="E4" s="14">
        <v>285000</v>
      </c>
      <c r="F4" s="6">
        <f>+E4*I4/KRW</f>
        <v>1326875.8300327191</v>
      </c>
      <c r="G4" s="6">
        <f>([4]Main!$K$5-[4]Main!$K$6)/KRW*1000</f>
        <v>119758.15395212676</v>
      </c>
      <c r="H4" s="6">
        <f>+F4-G4</f>
        <v>1207117.6760805922</v>
      </c>
      <c r="I4" s="6">
        <f>+[4]Main!$K$3</f>
        <v>6758.9192499999999</v>
      </c>
      <c r="J4" s="3" t="s">
        <v>182</v>
      </c>
      <c r="K4" s="10">
        <v>46207</v>
      </c>
      <c r="AB4" s="13"/>
      <c r="AC4" s="13"/>
    </row>
    <row r="5" spans="1:29" x14ac:dyDescent="0.25">
      <c r="A5" t="s">
        <v>36</v>
      </c>
      <c r="B5" s="1" t="e" vm="12">
        <v>#VALUE!</v>
      </c>
      <c r="C5" s="1" t="s">
        <v>9</v>
      </c>
      <c r="D5" t="s">
        <v>10</v>
      </c>
      <c r="E5" s="4">
        <v>830</v>
      </c>
      <c r="F5" s="6">
        <f>+E5*I5</f>
        <v>950350</v>
      </c>
      <c r="G5" s="6">
        <f>+[17]Main!$J$5-[17]Main!$J$6</f>
        <v>25303</v>
      </c>
      <c r="H5" s="6">
        <f>+F5-G5</f>
        <v>925047</v>
      </c>
      <c r="I5" s="6">
        <f>+[17]Main!$J$3</f>
        <v>1145</v>
      </c>
      <c r="J5" s="3" t="s">
        <v>358</v>
      </c>
      <c r="K5" s="10">
        <v>46207</v>
      </c>
      <c r="L5">
        <v>1978</v>
      </c>
      <c r="M5" s="19">
        <f t="shared" ref="M5:R5" si="0">($H5/$I5)/S5</f>
        <v>1154.1447286338116</v>
      </c>
      <c r="N5" s="20">
        <f t="shared" si="0"/>
        <v>106.44286034830937</v>
      </c>
      <c r="O5" s="20">
        <f t="shared" si="0"/>
        <v>11.045957205956633</v>
      </c>
      <c r="P5" s="20">
        <f t="shared" si="0"/>
        <v>5.2952828868300985</v>
      </c>
      <c r="Q5" s="20">
        <f t="shared" si="0"/>
        <v>9.0877537687701686</v>
      </c>
      <c r="R5" s="25">
        <f t="shared" si="0"/>
        <v>12.916088090226509</v>
      </c>
      <c r="S5" s="2">
        <v>0.7</v>
      </c>
      <c r="T5" s="2">
        <v>7.59</v>
      </c>
      <c r="U5" s="2">
        <v>73.14</v>
      </c>
      <c r="V5" s="2">
        <v>152.57</v>
      </c>
      <c r="W5" s="2">
        <v>88.9</v>
      </c>
      <c r="X5" s="18">
        <v>62.55</v>
      </c>
      <c r="AB5" s="13">
        <v>1446185</v>
      </c>
      <c r="AC5" s="13">
        <v>749323</v>
      </c>
    </row>
    <row r="6" spans="1:29" x14ac:dyDescent="0.25">
      <c r="A6" t="s">
        <v>36</v>
      </c>
      <c r="B6" s="1" t="s">
        <v>43</v>
      </c>
      <c r="C6" s="1" t="s">
        <v>43</v>
      </c>
      <c r="D6" t="s">
        <v>44</v>
      </c>
      <c r="E6" s="14">
        <v>1816000</v>
      </c>
      <c r="F6" s="6">
        <f>+E6*I6/KRW</f>
        <v>890643.70587222313</v>
      </c>
      <c r="G6" s="6">
        <f>([18]Main!$L$5-[18]Main!$L$6)/KRW</f>
        <v>47783.709316342349</v>
      </c>
      <c r="H6" s="6">
        <f>+F6-G6</f>
        <v>842859.99655588076</v>
      </c>
      <c r="I6" s="6">
        <f>+[18]Main!$L$3</f>
        <v>712</v>
      </c>
      <c r="J6" s="3" t="s">
        <v>254</v>
      </c>
      <c r="K6" s="10">
        <v>46230</v>
      </c>
      <c r="AB6" s="13"/>
      <c r="AC6" s="13"/>
    </row>
    <row r="7" spans="1:29" x14ac:dyDescent="0.25">
      <c r="A7" t="s">
        <v>36</v>
      </c>
      <c r="B7" s="1" t="s">
        <v>268</v>
      </c>
      <c r="C7" s="1" t="s">
        <v>268</v>
      </c>
      <c r="D7" t="s">
        <v>269</v>
      </c>
      <c r="E7" s="28">
        <v>54550</v>
      </c>
      <c r="F7" s="6">
        <f>+E7*I7/JPY</f>
        <v>187342.33792559939</v>
      </c>
      <c r="G7" s="6">
        <f>([19]Main!$J$5-[19]Main!$J$6)/JPY</f>
        <v>-2171.4004820499808</v>
      </c>
      <c r="H7" s="6">
        <f>+F7-G7</f>
        <v>189513.73840764936</v>
      </c>
      <c r="I7" s="6">
        <f>+[19]Main!$J$3</f>
        <v>541.45541700000001</v>
      </c>
      <c r="J7" s="3" t="s">
        <v>254</v>
      </c>
      <c r="K7" s="10">
        <v>46230</v>
      </c>
      <c r="AB7" s="13"/>
      <c r="AC7" s="13"/>
    </row>
    <row r="8" spans="1:29" x14ac:dyDescent="0.25">
      <c r="A8" t="s">
        <v>36</v>
      </c>
      <c r="B8" s="1" t="e" vm="13">
        <v>#VALUE!</v>
      </c>
      <c r="C8" s="1" t="s">
        <v>255</v>
      </c>
      <c r="D8" t="s">
        <v>256</v>
      </c>
      <c r="E8" s="4" cm="1">
        <f t="array" aca="1" ref="E8" ca="1">_FV(B8,"Price")</f>
        <v>1641.11</v>
      </c>
      <c r="F8" s="6">
        <f ca="1">+E8*I8</f>
        <v>243031.58275137996</v>
      </c>
      <c r="G8" s="6">
        <f>+[20]Main!$L$5-[20]Main!$L$6</f>
        <v>3735</v>
      </c>
      <c r="H8" s="6">
        <f ca="1">+F8-G8</f>
        <v>239296.58275137996</v>
      </c>
      <c r="I8" s="6">
        <f>+[20]Main!$L$3</f>
        <v>148.08975799999999</v>
      </c>
      <c r="J8" s="3" t="s">
        <v>254</v>
      </c>
      <c r="K8" s="10">
        <v>46230</v>
      </c>
      <c r="AC8">
        <v>625000</v>
      </c>
    </row>
    <row r="9" spans="1:29" x14ac:dyDescent="0.25">
      <c r="A9" t="s">
        <v>36</v>
      </c>
      <c r="B9" s="1" t="e" vm="14">
        <v>#VALUE!</v>
      </c>
      <c r="C9" s="24" t="s">
        <v>270</v>
      </c>
      <c r="D9" t="s">
        <v>271</v>
      </c>
      <c r="E9" s="4" cm="1">
        <f t="array" aca="1" ref="E9" ca="1">_FV(B9,"Price")</f>
        <v>973.44</v>
      </c>
      <c r="F9" s="6"/>
    </row>
    <row r="10" spans="1:29" x14ac:dyDescent="0.25">
      <c r="A10" t="s">
        <v>36</v>
      </c>
      <c r="B10" s="1" t="e" vm="15">
        <v>#VALUE!</v>
      </c>
      <c r="C10" s="24" t="s">
        <v>221</v>
      </c>
      <c r="D10" t="s">
        <v>222</v>
      </c>
      <c r="E10" s="4" cm="1">
        <f t="array" aca="1" ref="E10" ca="1">_FV(B10,"Price")</f>
        <v>508.8</v>
      </c>
      <c r="F10" s="6"/>
    </row>
  </sheetData>
  <mergeCells count="2">
    <mergeCell ref="M2:R2"/>
    <mergeCell ref="S2:X2"/>
  </mergeCells>
  <hyperlinks>
    <hyperlink ref="B5" r:id="rId1" display="MU.xlsx" xr:uid="{C50FA289-6EE1-4DAA-B344-2AFF21D7BBD1}"/>
    <hyperlink ref="B6" r:id="rId2" display="NVDA.xlsx" xr:uid="{BB28EC67-A86C-4D67-BB7A-EC0D785C32BB}"/>
    <hyperlink ref="B7" r:id="rId3" display="NVDA.xlsx" xr:uid="{F58E2C92-B174-41FA-9008-D56DC0490143}"/>
    <hyperlink ref="B8" r:id="rId4" display="NVDA.xlsx" xr:uid="{189BA126-A6AA-4682-BBEF-32377A1B9453}"/>
    <hyperlink ref="B9" r:id="rId5" display="NVDA.xlsx" xr:uid="{57AC8EC0-51DD-418F-B632-90A83298F5CA}"/>
    <hyperlink ref="B10" r:id="rId6" display="NVDA.xlsx" xr:uid="{08079C4F-8AB3-4A9B-9015-3E26D655952F}"/>
    <hyperlink ref="B4" r:id="rId7" xr:uid="{B27CF321-7BF4-4270-AEE8-B748F0C4C26B}"/>
    <hyperlink ref="C4" r:id="rId8" xr:uid="{1029B44D-CEA0-4D67-8448-8B6C9BD51C81}"/>
    <hyperlink ref="C6" r:id="rId9" xr:uid="{CFBBFB6B-8B2B-4FFB-8BF8-C48FB7738363}"/>
    <hyperlink ref="C5" r:id="rId10" xr:uid="{7B5B4C89-03CC-4E5D-A0CC-890BDE26B1A6}"/>
    <hyperlink ref="C8" r:id="rId11" xr:uid="{C3511D7D-1F0E-40D4-818C-166E2D5CD881}"/>
    <hyperlink ref="C7" r:id="rId12" xr:uid="{C0505EF0-56E9-43B0-B007-1F1B2EA5EB23}"/>
    <hyperlink ref="A1" location="Semiconductors!A1" display="Semis" xr:uid="{DA0360A2-4C16-4960-A6E7-02CAD873B77C}"/>
  </hyperlinks>
  <pageMargins left="0.7" right="0.7" top="0.75" bottom="0.75" header="0.3" footer="0.3"/>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9E08-EB45-4F3D-9705-50DBCEAD455F}">
  <dimension ref="B2:AA6"/>
  <sheetViews>
    <sheetView zoomScale="145" zoomScaleNormal="145" workbookViewId="0">
      <pane xSplit="1" ySplit="2" topLeftCell="B3" activePane="bottomRight" state="frozen"/>
      <selection pane="topRight" activeCell="B1" sqref="B1"/>
      <selection pane="bottomLeft" activeCell="A3" sqref="A3"/>
      <selection pane="bottomRight" activeCell="B3" sqref="B3"/>
    </sheetView>
  </sheetViews>
  <sheetFormatPr defaultRowHeight="12.5" x14ac:dyDescent="0.25"/>
  <cols>
    <col min="1" max="1" width="5.6328125" customWidth="1"/>
    <col min="2" max="2" width="14.7265625" bestFit="1" customWidth="1"/>
    <col min="10" max="10" width="9.90625" bestFit="1" customWidth="1"/>
  </cols>
  <sheetData>
    <row r="2" spans="2:27" x14ac:dyDescent="0.25">
      <c r="B2" t="s">
        <v>0</v>
      </c>
      <c r="C2" t="s">
        <v>0</v>
      </c>
      <c r="D2" t="s">
        <v>1</v>
      </c>
      <c r="E2" s="3" t="s">
        <v>2</v>
      </c>
      <c r="F2" s="3" t="s">
        <v>3</v>
      </c>
      <c r="G2" s="3" t="s">
        <v>26</v>
      </c>
      <c r="H2" s="3" t="s">
        <v>27</v>
      </c>
      <c r="I2" s="3" t="s">
        <v>102</v>
      </c>
      <c r="J2" s="3" t="s">
        <v>29</v>
      </c>
      <c r="K2" s="3" t="s">
        <v>30</v>
      </c>
      <c r="L2" s="3" t="s">
        <v>104</v>
      </c>
    </row>
    <row r="3" spans="2:27" x14ac:dyDescent="0.25">
      <c r="B3" s="1" t="s">
        <v>18</v>
      </c>
      <c r="C3" t="s">
        <v>18</v>
      </c>
      <c r="D3" s="4">
        <v>1348</v>
      </c>
      <c r="E3" s="6">
        <f>+D3*H3</f>
        <v>530438</v>
      </c>
      <c r="F3" s="6">
        <f>+[21]Main!$L$5-[21]Main!$L$6</f>
        <v>1413.0000000000009</v>
      </c>
      <c r="G3" s="6">
        <f>+E3-F3</f>
        <v>529025</v>
      </c>
      <c r="H3" s="6">
        <f>+[21]Main!$L$3</f>
        <v>393.5</v>
      </c>
      <c r="I3" s="3" t="s">
        <v>106</v>
      </c>
      <c r="J3" s="10">
        <v>45581</v>
      </c>
      <c r="L3" s="17"/>
      <c r="P3" s="18"/>
      <c r="Q3" s="17"/>
      <c r="V3" s="18"/>
      <c r="Z3" s="13"/>
      <c r="AA3" s="13">
        <v>784000</v>
      </c>
    </row>
    <row r="4" spans="2:27" x14ac:dyDescent="0.25">
      <c r="B4" s="1" t="s">
        <v>22</v>
      </c>
      <c r="C4" t="s">
        <v>23</v>
      </c>
      <c r="D4" s="4">
        <v>360</v>
      </c>
      <c r="E4" s="6">
        <v>267520</v>
      </c>
      <c r="F4" s="6">
        <f>+[22]Main!$K$5-[22]Main!$K$6</f>
        <v>6926</v>
      </c>
      <c r="G4" s="6">
        <f>+E4-F4</f>
        <v>260594</v>
      </c>
      <c r="H4" s="6">
        <f>+[22]Main!$K$3</f>
        <v>799</v>
      </c>
      <c r="I4" s="3" t="s">
        <v>259</v>
      </c>
      <c r="J4" s="3"/>
      <c r="L4" s="19">
        <f>($G4/$H4)/R4</f>
        <v>37.661684495920134</v>
      </c>
      <c r="M4" s="20">
        <f>($G4/$H4)/S4</f>
        <v>29.462528250647548</v>
      </c>
      <c r="N4" s="20">
        <f>($G4/$H4)/T4</f>
        <v>23.082108119934066</v>
      </c>
      <c r="P4" s="18"/>
      <c r="Q4" s="17">
        <v>8.61</v>
      </c>
      <c r="R4">
        <v>8.66</v>
      </c>
      <c r="S4">
        <v>11.07</v>
      </c>
      <c r="T4">
        <v>14.13</v>
      </c>
      <c r="V4" s="18"/>
      <c r="Z4" s="13">
        <v>1030000</v>
      </c>
      <c r="AA4" s="13">
        <v>665000</v>
      </c>
    </row>
    <row r="5" spans="2:27" x14ac:dyDescent="0.25">
      <c r="B5" s="1" t="s">
        <v>39</v>
      </c>
      <c r="C5" t="s">
        <v>40</v>
      </c>
      <c r="D5" s="4">
        <v>226</v>
      </c>
      <c r="E5" s="6">
        <v>260830</v>
      </c>
      <c r="F5" s="3"/>
      <c r="G5" s="6">
        <f>E5-F5</f>
        <v>260830</v>
      </c>
      <c r="H5" s="3"/>
      <c r="I5" s="3"/>
      <c r="J5" s="10">
        <v>46089</v>
      </c>
      <c r="K5">
        <v>1980</v>
      </c>
      <c r="L5" s="17"/>
      <c r="P5" s="18"/>
      <c r="Q5" s="17"/>
      <c r="V5" s="18"/>
      <c r="W5" t="s">
        <v>249</v>
      </c>
      <c r="X5" t="s">
        <v>250</v>
      </c>
      <c r="Y5" t="s">
        <v>251</v>
      </c>
      <c r="Z5" s="13">
        <v>1236539</v>
      </c>
      <c r="AA5" s="13">
        <v>714596</v>
      </c>
    </row>
    <row r="6" spans="2:27" x14ac:dyDescent="0.25">
      <c r="B6" t="s">
        <v>47</v>
      </c>
      <c r="C6" t="s">
        <v>48</v>
      </c>
      <c r="D6" s="4">
        <v>1462</v>
      </c>
      <c r="E6" s="6">
        <v>182590</v>
      </c>
      <c r="F6" s="3"/>
      <c r="G6" s="3"/>
      <c r="H6" s="3"/>
      <c r="I6" s="3"/>
      <c r="J6" s="3"/>
      <c r="L6" s="17"/>
      <c r="P6" s="18"/>
      <c r="Q6" s="17"/>
      <c r="V6" s="18"/>
      <c r="AA6" s="13">
        <v>750000</v>
      </c>
    </row>
  </sheetData>
  <hyperlinks>
    <hyperlink ref="B3" r:id="rId1" xr:uid="{3EEE25FB-8581-4AA9-ADEF-37DC0B2F3F4D}"/>
    <hyperlink ref="B5" r:id="rId2" xr:uid="{0E1B41B2-39E3-482E-80B4-4D069EE9643C}"/>
    <hyperlink ref="B4" r:id="rId3" xr:uid="{5BA02E53-CE6F-4CB1-A08A-138D1B40007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C6BF-D4BF-4479-9128-495AD030DB4E}">
  <dimension ref="A3:X10"/>
  <sheetViews>
    <sheetView zoomScale="130" zoomScaleNormal="130" workbookViewId="0">
      <pane xSplit="2" ySplit="3" topLeftCell="C4" activePane="bottomRight" state="frozen"/>
      <selection pane="topRight" activeCell="C1" sqref="C1"/>
      <selection pane="bottomLeft" activeCell="A4" sqref="A4"/>
      <selection pane="bottomRight" activeCell="B5" sqref="B5"/>
    </sheetView>
  </sheetViews>
  <sheetFormatPr defaultRowHeight="12.5" x14ac:dyDescent="0.25"/>
  <cols>
    <col min="1" max="1" width="4.90625" customWidth="1"/>
    <col min="2" max="2" width="29.81640625" bestFit="1" customWidth="1"/>
    <col min="3" max="3" width="9.81640625" bestFit="1" customWidth="1"/>
    <col min="4" max="4" width="8.7265625" style="26"/>
    <col min="6" max="8" width="8.7265625" style="13"/>
    <col min="10" max="10" width="8.90625" style="3" bestFit="1" customWidth="1"/>
    <col min="11" max="11" width="8.90625" bestFit="1" customWidth="1"/>
  </cols>
  <sheetData>
    <row r="3" spans="1:24" x14ac:dyDescent="0.25">
      <c r="B3" t="s">
        <v>0</v>
      </c>
      <c r="C3" t="s">
        <v>0</v>
      </c>
      <c r="D3" s="26" t="s">
        <v>1</v>
      </c>
      <c r="E3" s="3" t="s">
        <v>2</v>
      </c>
      <c r="F3" s="6" t="s">
        <v>3</v>
      </c>
      <c r="G3" s="6" t="s">
        <v>26</v>
      </c>
      <c r="H3" s="6" t="s">
        <v>27</v>
      </c>
      <c r="I3" s="3" t="s">
        <v>102</v>
      </c>
      <c r="J3" s="3" t="s">
        <v>29</v>
      </c>
      <c r="K3" s="3" t="s">
        <v>30</v>
      </c>
      <c r="L3" s="3" t="s">
        <v>104</v>
      </c>
      <c r="M3" s="17">
        <v>2025</v>
      </c>
      <c r="N3">
        <v>2026</v>
      </c>
      <c r="O3">
        <f>+N3+1</f>
        <v>2027</v>
      </c>
      <c r="P3">
        <f>+O3+1</f>
        <v>2028</v>
      </c>
      <c r="Q3">
        <f>+P3+1</f>
        <v>2029</v>
      </c>
      <c r="R3" s="18">
        <v>2030</v>
      </c>
      <c r="S3">
        <v>2025</v>
      </c>
      <c r="T3">
        <v>2026</v>
      </c>
      <c r="U3">
        <v>2027</v>
      </c>
      <c r="V3">
        <f>+U3+1</f>
        <v>2028</v>
      </c>
      <c r="W3">
        <f>+V3+1</f>
        <v>2029</v>
      </c>
      <c r="X3" s="18">
        <v>2030</v>
      </c>
    </row>
    <row r="4" spans="1:24" x14ac:dyDescent="0.25">
      <c r="A4" t="s">
        <v>36</v>
      </c>
      <c r="B4" t="s">
        <v>266</v>
      </c>
      <c r="C4" t="s">
        <v>266</v>
      </c>
      <c r="D4" s="26" t="s">
        <v>267</v>
      </c>
      <c r="E4" s="3"/>
      <c r="F4" s="6"/>
      <c r="G4" s="6"/>
      <c r="H4" s="6"/>
      <c r="I4" s="3"/>
      <c r="L4" s="17"/>
      <c r="P4" s="18"/>
      <c r="Q4" s="17"/>
      <c r="V4" s="18"/>
    </row>
    <row r="5" spans="1:24" x14ac:dyDescent="0.25">
      <c r="A5" t="s">
        <v>36</v>
      </c>
      <c r="B5" s="1" t="s">
        <v>283</v>
      </c>
      <c r="C5" t="s">
        <v>283</v>
      </c>
      <c r="D5" s="27" t="s">
        <v>284</v>
      </c>
      <c r="E5" s="4">
        <v>819</v>
      </c>
      <c r="F5" s="6">
        <f>+E5*I5</f>
        <v>78787.8</v>
      </c>
      <c r="G5" s="6">
        <f>+[23]Main!$I$5-[23]Main!$I$6</f>
        <v>-109.49999999999955</v>
      </c>
      <c r="H5" s="6">
        <f>+F5-G5</f>
        <v>78897.3</v>
      </c>
      <c r="I5" s="6">
        <f>+[23]Main!$I$3</f>
        <v>96.2</v>
      </c>
      <c r="J5" s="10" t="s">
        <v>254</v>
      </c>
      <c r="K5" s="10">
        <v>46217</v>
      </c>
      <c r="L5" s="17"/>
      <c r="P5" s="18"/>
      <c r="Q5" s="17"/>
      <c r="V5" s="18"/>
    </row>
    <row r="6" spans="1:24" x14ac:dyDescent="0.25">
      <c r="A6" t="s">
        <v>36</v>
      </c>
      <c r="B6" t="s">
        <v>287</v>
      </c>
      <c r="C6" t="s">
        <v>287</v>
      </c>
      <c r="D6" s="27" t="s">
        <v>288</v>
      </c>
      <c r="E6" s="3"/>
      <c r="F6" s="6"/>
      <c r="G6" s="6"/>
      <c r="H6" s="6"/>
      <c r="I6" s="3"/>
      <c r="L6" s="17"/>
      <c r="P6" s="18"/>
      <c r="Q6" s="17"/>
      <c r="V6" s="18"/>
    </row>
    <row r="7" spans="1:24" x14ac:dyDescent="0.25">
      <c r="A7" t="s">
        <v>36</v>
      </c>
      <c r="B7" t="s">
        <v>338</v>
      </c>
      <c r="C7" t="s">
        <v>339</v>
      </c>
    </row>
    <row r="8" spans="1:24" x14ac:dyDescent="0.25">
      <c r="A8" t="s">
        <v>36</v>
      </c>
      <c r="B8" s="22" t="s">
        <v>340</v>
      </c>
      <c r="C8" t="s">
        <v>341</v>
      </c>
    </row>
    <row r="9" spans="1:24" x14ac:dyDescent="0.25">
      <c r="A9" t="s">
        <v>36</v>
      </c>
      <c r="B9" t="s">
        <v>342</v>
      </c>
      <c r="C9" t="s">
        <v>343</v>
      </c>
    </row>
    <row r="10" spans="1:24" x14ac:dyDescent="0.25">
      <c r="B10" s="1" t="s">
        <v>365</v>
      </c>
      <c r="C10" t="s">
        <v>365</v>
      </c>
      <c r="D10" s="26" t="s">
        <v>366</v>
      </c>
      <c r="E10" s="2">
        <v>118</v>
      </c>
      <c r="F10" s="13">
        <f>+E10*I10</f>
        <v>9979.1699659999995</v>
      </c>
      <c r="G10" s="13">
        <f>+[24]Main!$J$5-[24]Main!$J$6</f>
        <v>442.47900000000004</v>
      </c>
      <c r="H10" s="13">
        <f>+F10-G10</f>
        <v>9536.6909660000001</v>
      </c>
      <c r="I10" s="13">
        <f>+[24]Main!$J$3</f>
        <v>84.569237000000001</v>
      </c>
      <c r="J10" s="3" t="s">
        <v>358</v>
      </c>
      <c r="K10" s="5">
        <v>46240</v>
      </c>
    </row>
  </sheetData>
  <hyperlinks>
    <hyperlink ref="B5" r:id="rId1" xr:uid="{452462D9-D5E5-4B84-A36E-3B9E33E85711}"/>
    <hyperlink ref="B10" r:id="rId2" xr:uid="{6252A5C0-F9AD-44A9-B030-C369CEBBED4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B36B-DEE6-4982-80A3-7EB4D6794539}">
  <dimension ref="A1:K63"/>
  <sheetViews>
    <sheetView zoomScale="160" zoomScaleNormal="160" workbookViewId="0">
      <pane xSplit="2" ySplit="2" topLeftCell="C3" activePane="bottomRight" state="frozen"/>
      <selection pane="topRight" activeCell="C1" sqref="C1"/>
      <selection pane="bottomLeft" activeCell="A3" sqref="A3"/>
      <selection pane="bottomRight" activeCell="C3" sqref="C3"/>
    </sheetView>
  </sheetViews>
  <sheetFormatPr defaultRowHeight="12.5" x14ac:dyDescent="0.25"/>
  <cols>
    <col min="1" max="1" width="5" bestFit="1" customWidth="1"/>
    <col min="2" max="2" width="23.26953125" customWidth="1"/>
    <col min="10" max="10" width="9" bestFit="1" customWidth="1"/>
  </cols>
  <sheetData>
    <row r="1" spans="1:11" x14ac:dyDescent="0.25">
      <c r="A1" t="s">
        <v>115</v>
      </c>
    </row>
    <row r="2" spans="1:11" x14ac:dyDescent="0.25">
      <c r="B2" t="s">
        <v>0</v>
      </c>
      <c r="C2" t="s">
        <v>1</v>
      </c>
      <c r="D2" s="3" t="s">
        <v>2</v>
      </c>
      <c r="E2" s="3" t="s">
        <v>3</v>
      </c>
      <c r="F2" s="3" t="s">
        <v>26</v>
      </c>
      <c r="G2" s="3" t="s">
        <v>27</v>
      </c>
      <c r="H2" s="3" t="s">
        <v>102</v>
      </c>
      <c r="I2" s="3" t="s">
        <v>29</v>
      </c>
      <c r="J2" s="3" t="s">
        <v>30</v>
      </c>
      <c r="K2" s="3" t="s">
        <v>104</v>
      </c>
    </row>
    <row r="3" spans="1:11" x14ac:dyDescent="0.25">
      <c r="B3" t="s">
        <v>124</v>
      </c>
      <c r="C3" t="s">
        <v>296</v>
      </c>
      <c r="D3" s="3">
        <v>56.14</v>
      </c>
      <c r="E3" s="6">
        <v>20000</v>
      </c>
      <c r="F3" s="3"/>
      <c r="G3" s="3"/>
      <c r="H3" s="3"/>
      <c r="I3" s="3"/>
      <c r="J3" s="3"/>
      <c r="K3" s="3"/>
    </row>
    <row r="4" spans="1:11" x14ac:dyDescent="0.25">
      <c r="B4" t="s">
        <v>160</v>
      </c>
      <c r="C4" t="s">
        <v>53</v>
      </c>
      <c r="D4" s="3"/>
      <c r="E4" s="6">
        <v>16000</v>
      </c>
      <c r="F4" s="3"/>
      <c r="G4" s="3"/>
      <c r="H4" s="3"/>
      <c r="I4" s="3"/>
      <c r="J4" s="3"/>
      <c r="K4" s="3"/>
    </row>
    <row r="5" spans="1:11" x14ac:dyDescent="0.25">
      <c r="B5" s="1" t="s">
        <v>107</v>
      </c>
      <c r="C5" t="s">
        <v>109</v>
      </c>
      <c r="D5" s="2">
        <v>37</v>
      </c>
      <c r="E5" s="13">
        <f>+D5*H5</f>
        <v>13727</v>
      </c>
      <c r="F5" s="13">
        <f>+[25]Main!$J$5-[25]Main!$J$6</f>
        <v>3091.8959999999997</v>
      </c>
      <c r="G5" s="13">
        <f>+E5-F5</f>
        <v>10635.103999999999</v>
      </c>
      <c r="H5" s="13">
        <f>+[25]Main!$J$3</f>
        <v>371</v>
      </c>
      <c r="I5" s="3" t="s">
        <v>254</v>
      </c>
      <c r="J5" s="5">
        <v>46230</v>
      </c>
    </row>
    <row r="6" spans="1:11" x14ac:dyDescent="0.25">
      <c r="B6" s="1" t="s">
        <v>108</v>
      </c>
      <c r="C6" t="s">
        <v>112</v>
      </c>
      <c r="D6">
        <v>14.95</v>
      </c>
      <c r="E6" s="13">
        <f>+D6*H6</f>
        <v>4239.0257214499998</v>
      </c>
      <c r="F6" s="13">
        <f>+[26]Main!$L$5-[26]Main!$L$6</f>
        <v>217</v>
      </c>
      <c r="G6" s="13">
        <f>E6-F6</f>
        <v>4022.0257214499998</v>
      </c>
      <c r="H6" s="13">
        <f>+[26]Main!$L$3</f>
        <v>283.54687100000001</v>
      </c>
      <c r="I6" s="3" t="s">
        <v>178</v>
      </c>
      <c r="J6" s="5">
        <v>45664</v>
      </c>
    </row>
    <row r="7" spans="1:11" x14ac:dyDescent="0.25">
      <c r="B7" s="1" t="s">
        <v>125</v>
      </c>
      <c r="C7" t="s">
        <v>126</v>
      </c>
      <c r="D7" s="2">
        <v>7.15</v>
      </c>
      <c r="E7" s="13">
        <v>2000</v>
      </c>
    </row>
    <row r="8" spans="1:11" x14ac:dyDescent="0.25">
      <c r="B8" s="1" t="s">
        <v>111</v>
      </c>
      <c r="C8" t="s">
        <v>110</v>
      </c>
      <c r="D8" s="2">
        <v>15.75</v>
      </c>
      <c r="E8" s="13">
        <f>+D8*H8</f>
        <v>5460.8176507499993</v>
      </c>
      <c r="F8" s="13">
        <f>+[27]Main!$L$5-[27]Main!$L$6</f>
        <v>804.03300000000002</v>
      </c>
      <c r="G8" s="13">
        <f>+E8-F8</f>
        <v>4656.7846507499989</v>
      </c>
      <c r="H8" s="13">
        <f>+[27]Main!$L$3</f>
        <v>346.71858099999997</v>
      </c>
      <c r="I8" s="3" t="s">
        <v>178</v>
      </c>
      <c r="J8" s="5">
        <v>45663</v>
      </c>
    </row>
    <row r="9" spans="1:11" x14ac:dyDescent="0.25">
      <c r="B9" t="s">
        <v>180</v>
      </c>
      <c r="C9" t="s">
        <v>181</v>
      </c>
      <c r="D9" s="2">
        <v>3.03</v>
      </c>
    </row>
    <row r="10" spans="1:11" x14ac:dyDescent="0.25">
      <c r="B10" t="s">
        <v>253</v>
      </c>
      <c r="C10" t="s">
        <v>252</v>
      </c>
      <c r="D10" s="2">
        <v>8.93</v>
      </c>
    </row>
    <row r="12" spans="1:11" x14ac:dyDescent="0.25">
      <c r="B12" t="s">
        <v>148</v>
      </c>
    </row>
    <row r="13" spans="1:11" x14ac:dyDescent="0.25">
      <c r="B13" t="s">
        <v>128</v>
      </c>
    </row>
    <row r="14" spans="1:11" x14ac:dyDescent="0.25">
      <c r="B14" t="s">
        <v>127</v>
      </c>
    </row>
    <row r="15" spans="1:11" x14ac:dyDescent="0.25">
      <c r="B15" t="s">
        <v>129</v>
      </c>
    </row>
    <row r="16" spans="1:11" x14ac:dyDescent="0.25">
      <c r="B16" t="s">
        <v>130</v>
      </c>
    </row>
    <row r="17" spans="2:2" x14ac:dyDescent="0.25">
      <c r="B17" t="s">
        <v>131</v>
      </c>
    </row>
    <row r="18" spans="2:2" x14ac:dyDescent="0.25">
      <c r="B18" t="s">
        <v>132</v>
      </c>
    </row>
    <row r="19" spans="2:2" x14ac:dyDescent="0.25">
      <c r="B19" t="s">
        <v>133</v>
      </c>
    </row>
    <row r="20" spans="2:2" x14ac:dyDescent="0.25">
      <c r="B20" t="s">
        <v>134</v>
      </c>
    </row>
    <row r="21" spans="2:2" x14ac:dyDescent="0.25">
      <c r="B21" t="s">
        <v>135</v>
      </c>
    </row>
    <row r="22" spans="2:2" x14ac:dyDescent="0.25">
      <c r="B22" t="s">
        <v>136</v>
      </c>
    </row>
    <row r="23" spans="2:2" x14ac:dyDescent="0.25">
      <c r="B23" t="s">
        <v>137</v>
      </c>
    </row>
    <row r="24" spans="2:2" x14ac:dyDescent="0.25">
      <c r="B24" t="s">
        <v>138</v>
      </c>
    </row>
    <row r="25" spans="2:2" x14ac:dyDescent="0.25">
      <c r="B25" t="s">
        <v>139</v>
      </c>
    </row>
    <row r="26" spans="2:2" x14ac:dyDescent="0.25">
      <c r="B26" t="s">
        <v>140</v>
      </c>
    </row>
    <row r="27" spans="2:2" x14ac:dyDescent="0.25">
      <c r="B27" t="s">
        <v>141</v>
      </c>
    </row>
    <row r="28" spans="2:2" x14ac:dyDescent="0.25">
      <c r="B28" t="s">
        <v>142</v>
      </c>
    </row>
    <row r="29" spans="2:2" x14ac:dyDescent="0.25">
      <c r="B29" t="s">
        <v>143</v>
      </c>
    </row>
    <row r="30" spans="2:2" x14ac:dyDescent="0.25">
      <c r="B30" t="s">
        <v>144</v>
      </c>
    </row>
    <row r="31" spans="2:2" x14ac:dyDescent="0.25">
      <c r="B31" t="s">
        <v>145</v>
      </c>
    </row>
    <row r="32" spans="2:2" x14ac:dyDescent="0.25">
      <c r="B32" t="s">
        <v>146</v>
      </c>
    </row>
    <row r="33" spans="2:3" x14ac:dyDescent="0.25">
      <c r="B33" t="s">
        <v>147</v>
      </c>
    </row>
    <row r="34" spans="2:3" x14ac:dyDescent="0.25">
      <c r="B34" t="s">
        <v>149</v>
      </c>
    </row>
    <row r="35" spans="2:3" x14ac:dyDescent="0.25">
      <c r="B35" t="s">
        <v>150</v>
      </c>
      <c r="C35" t="s">
        <v>151</v>
      </c>
    </row>
    <row r="36" spans="2:3" x14ac:dyDescent="0.25">
      <c r="B36" t="s">
        <v>152</v>
      </c>
    </row>
    <row r="37" spans="2:3" x14ac:dyDescent="0.25">
      <c r="B37" t="s">
        <v>153</v>
      </c>
    </row>
    <row r="38" spans="2:3" x14ac:dyDescent="0.25">
      <c r="B38" t="s">
        <v>154</v>
      </c>
    </row>
    <row r="39" spans="2:3" x14ac:dyDescent="0.25">
      <c r="B39" t="s">
        <v>155</v>
      </c>
    </row>
    <row r="40" spans="2:3" x14ac:dyDescent="0.25">
      <c r="B40" t="s">
        <v>156</v>
      </c>
    </row>
    <row r="41" spans="2:3" x14ac:dyDescent="0.25">
      <c r="B41" t="s">
        <v>157</v>
      </c>
    </row>
    <row r="42" spans="2:3" x14ac:dyDescent="0.25">
      <c r="B42" t="s">
        <v>158</v>
      </c>
    </row>
    <row r="43" spans="2:3" x14ac:dyDescent="0.25">
      <c r="B43" t="s">
        <v>159</v>
      </c>
    </row>
    <row r="45" spans="2:3" x14ac:dyDescent="0.25">
      <c r="B45" t="s">
        <v>161</v>
      </c>
    </row>
    <row r="46" spans="2:3" x14ac:dyDescent="0.25">
      <c r="B46" t="s">
        <v>162</v>
      </c>
    </row>
    <row r="47" spans="2:3" x14ac:dyDescent="0.25">
      <c r="B47" t="s">
        <v>163</v>
      </c>
    </row>
    <row r="48" spans="2:3" x14ac:dyDescent="0.25">
      <c r="B48" t="s">
        <v>164</v>
      </c>
    </row>
    <row r="49" spans="2:2" x14ac:dyDescent="0.25">
      <c r="B49" t="s">
        <v>165</v>
      </c>
    </row>
    <row r="50" spans="2:2" x14ac:dyDescent="0.25">
      <c r="B50" t="s">
        <v>166</v>
      </c>
    </row>
    <row r="51" spans="2:2" x14ac:dyDescent="0.25">
      <c r="B51" t="s">
        <v>167</v>
      </c>
    </row>
    <row r="52" spans="2:2" x14ac:dyDescent="0.25">
      <c r="B52" t="s">
        <v>168</v>
      </c>
    </row>
    <row r="53" spans="2:2" x14ac:dyDescent="0.25">
      <c r="B53" t="s">
        <v>169</v>
      </c>
    </row>
    <row r="54" spans="2:2" x14ac:dyDescent="0.25">
      <c r="B54" t="s">
        <v>170</v>
      </c>
    </row>
    <row r="55" spans="2:2" x14ac:dyDescent="0.25">
      <c r="B55" t="s">
        <v>171</v>
      </c>
    </row>
    <row r="56" spans="2:2" x14ac:dyDescent="0.25">
      <c r="B56" t="s">
        <v>172</v>
      </c>
    </row>
    <row r="57" spans="2:2" x14ac:dyDescent="0.25">
      <c r="B57" t="s">
        <v>173</v>
      </c>
    </row>
    <row r="58" spans="2:2" x14ac:dyDescent="0.25">
      <c r="B58" t="s">
        <v>174</v>
      </c>
    </row>
    <row r="59" spans="2:2" x14ac:dyDescent="0.25">
      <c r="B59" t="s">
        <v>175</v>
      </c>
    </row>
    <row r="60" spans="2:2" x14ac:dyDescent="0.25">
      <c r="B60" t="s">
        <v>176</v>
      </c>
    </row>
    <row r="61" spans="2:2" x14ac:dyDescent="0.25">
      <c r="B61" t="s">
        <v>177</v>
      </c>
    </row>
    <row r="63" spans="2:2" x14ac:dyDescent="0.25">
      <c r="B63" t="s">
        <v>240</v>
      </c>
    </row>
  </sheetData>
  <hyperlinks>
    <hyperlink ref="B5" r:id="rId1" xr:uid="{48212D98-F0E3-4509-96A5-6BB9683E0B25}"/>
    <hyperlink ref="B6" r:id="rId2" xr:uid="{F1FD0F3E-AA09-4EA5-ABFA-C8FDF989BBD7}"/>
    <hyperlink ref="B7" r:id="rId3" xr:uid="{31AE1ADD-F109-4DDC-933D-81406D33D7B1}"/>
    <hyperlink ref="B8" r:id="rId4" xr:uid="{222626AB-8AD1-4B96-B080-994B3561591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CD82-B069-4824-8BA4-1B2E25134518}">
  <dimension ref="A2:K15"/>
  <sheetViews>
    <sheetView zoomScale="190" zoomScaleNormal="190" workbookViewId="0">
      <pane xSplit="2" ySplit="2" topLeftCell="C3" activePane="bottomRight" state="frozen"/>
      <selection pane="topRight" activeCell="C1" sqref="C1"/>
      <selection pane="bottomLeft" activeCell="A3" sqref="A3"/>
      <selection pane="bottomRight" activeCell="B15" sqref="B15"/>
    </sheetView>
  </sheetViews>
  <sheetFormatPr defaultColWidth="8.81640625" defaultRowHeight="12.5" x14ac:dyDescent="0.25"/>
  <cols>
    <col min="1" max="1" width="2" bestFit="1" customWidth="1"/>
    <col min="2" max="2" width="15.08984375" customWidth="1"/>
    <col min="4" max="5" width="9.1796875" style="11"/>
  </cols>
  <sheetData>
    <row r="2" spans="1:11" x14ac:dyDescent="0.25">
      <c r="B2" t="s">
        <v>0</v>
      </c>
      <c r="C2" t="s">
        <v>1</v>
      </c>
      <c r="D2" s="11" t="s">
        <v>2</v>
      </c>
      <c r="E2" s="11" t="s">
        <v>3</v>
      </c>
      <c r="F2" t="s">
        <v>26</v>
      </c>
      <c r="G2" t="s">
        <v>27</v>
      </c>
      <c r="H2" t="s">
        <v>102</v>
      </c>
      <c r="I2" t="s">
        <v>29</v>
      </c>
      <c r="J2" t="s">
        <v>30</v>
      </c>
      <c r="K2" t="s">
        <v>104</v>
      </c>
    </row>
    <row r="3" spans="1:11" x14ac:dyDescent="0.25">
      <c r="A3" t="s">
        <v>36</v>
      </c>
      <c r="B3" s="1" t="s">
        <v>20</v>
      </c>
      <c r="C3" t="s">
        <v>19</v>
      </c>
      <c r="D3" s="11">
        <v>48.51</v>
      </c>
      <c r="E3" s="12">
        <v>199280</v>
      </c>
    </row>
    <row r="4" spans="1:11" x14ac:dyDescent="0.25">
      <c r="A4" t="s">
        <v>36</v>
      </c>
      <c r="B4" t="s">
        <v>74</v>
      </c>
      <c r="C4" t="s">
        <v>75</v>
      </c>
    </row>
    <row r="5" spans="1:11" x14ac:dyDescent="0.25">
      <c r="A5" t="s">
        <v>36</v>
      </c>
      <c r="B5" t="s">
        <v>65</v>
      </c>
      <c r="C5" t="s">
        <v>66</v>
      </c>
    </row>
    <row r="6" spans="1:11" x14ac:dyDescent="0.25">
      <c r="A6" t="s">
        <v>36</v>
      </c>
      <c r="B6" t="s">
        <v>272</v>
      </c>
      <c r="C6" t="s">
        <v>273</v>
      </c>
    </row>
    <row r="7" spans="1:11" x14ac:dyDescent="0.25">
      <c r="A7" t="s">
        <v>36</v>
      </c>
      <c r="B7" t="s">
        <v>63</v>
      </c>
      <c r="C7" t="s">
        <v>64</v>
      </c>
    </row>
    <row r="8" spans="1:11" x14ac:dyDescent="0.25">
      <c r="A8" t="s">
        <v>36</v>
      </c>
      <c r="B8" t="s">
        <v>90</v>
      </c>
      <c r="C8" t="s">
        <v>91</v>
      </c>
    </row>
    <row r="9" spans="1:11" x14ac:dyDescent="0.25">
      <c r="A9" t="s">
        <v>36</v>
      </c>
      <c r="B9" t="s">
        <v>100</v>
      </c>
      <c r="C9" t="s">
        <v>101</v>
      </c>
    </row>
    <row r="10" spans="1:11" x14ac:dyDescent="0.25">
      <c r="A10" t="s">
        <v>36</v>
      </c>
      <c r="B10" t="s">
        <v>217</v>
      </c>
      <c r="C10" t="s">
        <v>218</v>
      </c>
    </row>
    <row r="11" spans="1:11" x14ac:dyDescent="0.25">
      <c r="A11" t="s">
        <v>36</v>
      </c>
      <c r="B11" t="s">
        <v>217</v>
      </c>
      <c r="C11" t="s">
        <v>295</v>
      </c>
    </row>
    <row r="12" spans="1:11" x14ac:dyDescent="0.25">
      <c r="A12" t="s">
        <v>36</v>
      </c>
      <c r="B12" t="s">
        <v>289</v>
      </c>
      <c r="C12" t="s">
        <v>290</v>
      </c>
    </row>
    <row r="13" spans="1:11" x14ac:dyDescent="0.25">
      <c r="A13" t="s">
        <v>36</v>
      </c>
      <c r="B13" t="s">
        <v>304</v>
      </c>
      <c r="C13" t="s">
        <v>305</v>
      </c>
    </row>
    <row r="14" spans="1:11" x14ac:dyDescent="0.25">
      <c r="A14" t="s">
        <v>36</v>
      </c>
      <c r="B14" t="s">
        <v>330</v>
      </c>
      <c r="C14" t="s">
        <v>331</v>
      </c>
    </row>
    <row r="15" spans="1:11" x14ac:dyDescent="0.25">
      <c r="A15" t="s">
        <v>36</v>
      </c>
      <c r="B15" s="22" t="s">
        <v>354</v>
      </c>
      <c r="C15" t="s">
        <v>355</v>
      </c>
    </row>
  </sheetData>
  <hyperlinks>
    <hyperlink ref="B3" r:id="rId1" xr:uid="{EE41E817-AF60-42C7-BDB7-7DF881DC614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ECA54-B59D-4EDC-8BE7-0C63EA165B15}">
  <dimension ref="A1:P63"/>
  <sheetViews>
    <sheetView zoomScale="130" zoomScaleNormal="130" workbookViewId="0">
      <pane xSplit="2" ySplit="2" topLeftCell="C3" activePane="bottomRight" state="frozen"/>
      <selection pane="topRight" activeCell="C1" sqref="C1"/>
      <selection pane="bottomLeft" activeCell="A3" sqref="A3"/>
      <selection pane="bottomRight"/>
    </sheetView>
  </sheetViews>
  <sheetFormatPr defaultColWidth="8.81640625" defaultRowHeight="12.5" x14ac:dyDescent="0.25"/>
  <cols>
    <col min="1" max="1" width="6.1796875" customWidth="1"/>
    <col min="2" max="2" width="15.1796875" bestFit="1" customWidth="1"/>
    <col min="3" max="3" width="10.7265625" customWidth="1"/>
    <col min="4" max="4" width="9.1796875" style="3"/>
    <col min="5" max="5" width="10.453125" style="3" customWidth="1"/>
    <col min="6" max="6" width="9.26953125" style="3" customWidth="1"/>
    <col min="7" max="7" width="10" style="3" customWidth="1"/>
    <col min="8" max="8" width="9.1796875" style="3"/>
    <col min="9" max="9" width="9.7265625" style="3" customWidth="1"/>
    <col min="10" max="10" width="9.453125" bestFit="1" customWidth="1"/>
  </cols>
  <sheetData>
    <row r="1" spans="1:16" x14ac:dyDescent="0.25">
      <c r="A1" s="1" t="s">
        <v>183</v>
      </c>
    </row>
    <row r="2" spans="1:16" x14ac:dyDescent="0.25">
      <c r="B2" t="s">
        <v>0</v>
      </c>
      <c r="C2" t="s">
        <v>1</v>
      </c>
      <c r="D2" s="3" t="s">
        <v>2</v>
      </c>
      <c r="E2" s="3" t="s">
        <v>3</v>
      </c>
      <c r="F2" s="3" t="s">
        <v>26</v>
      </c>
      <c r="G2" s="3" t="s">
        <v>27</v>
      </c>
      <c r="H2" s="3" t="s">
        <v>28</v>
      </c>
      <c r="I2" s="3" t="s">
        <v>29</v>
      </c>
      <c r="J2" s="3" t="s">
        <v>30</v>
      </c>
      <c r="K2" s="3" t="s">
        <v>31</v>
      </c>
      <c r="L2" s="3" t="s">
        <v>32</v>
      </c>
      <c r="M2" s="3" t="s">
        <v>33</v>
      </c>
      <c r="N2" s="3" t="s">
        <v>34</v>
      </c>
      <c r="O2" s="3" t="s">
        <v>35</v>
      </c>
      <c r="P2" s="3" t="s">
        <v>104</v>
      </c>
    </row>
    <row r="3" spans="1:16" x14ac:dyDescent="0.25">
      <c r="A3" t="s">
        <v>36</v>
      </c>
      <c r="B3" s="1" t="s">
        <v>7</v>
      </c>
      <c r="C3" t="s">
        <v>11</v>
      </c>
      <c r="D3" s="4">
        <v>334.36</v>
      </c>
      <c r="E3" s="6">
        <f>+D3*H3</f>
        <v>4998013.28</v>
      </c>
      <c r="F3" s="6">
        <f>+[28]Main!$O$5-[28]Main!$O$6</f>
        <v>31288</v>
      </c>
      <c r="G3" s="6">
        <f>+E3-F3</f>
        <v>4966725.28</v>
      </c>
      <c r="H3" s="6">
        <f>+[28]Main!$O$3</f>
        <v>14948</v>
      </c>
      <c r="I3" s="3" t="s">
        <v>182</v>
      </c>
      <c r="J3" s="5">
        <v>45750</v>
      </c>
      <c r="K3" s="2">
        <f>[28]Model!$CE$39</f>
        <v>0.46906012207980208</v>
      </c>
      <c r="L3" s="7">
        <f>+K3/D3-1</f>
        <v>-0.99859714044120174</v>
      </c>
      <c r="M3" s="8">
        <f>+[28]Model!$CE$36</f>
        <v>4.1953407917453944E-2</v>
      </c>
      <c r="N3" s="8">
        <f>+[28]Model!$CE$37</f>
        <v>3.632000000000013E-2</v>
      </c>
      <c r="O3" s="8">
        <v>0</v>
      </c>
      <c r="P3">
        <v>1977</v>
      </c>
    </row>
    <row r="4" spans="1:16" x14ac:dyDescent="0.25">
      <c r="A4" t="s">
        <v>36</v>
      </c>
      <c r="B4" s="1" t="s">
        <v>8</v>
      </c>
      <c r="C4" t="s">
        <v>17</v>
      </c>
      <c r="D4" s="14">
        <v>57600</v>
      </c>
      <c r="E4" s="6" cm="1">
        <f t="array" ref="E4">+D4*H4/KRW</f>
        <v>268168.58880661271</v>
      </c>
      <c r="F4" s="6">
        <f>([4]Main!$K$5-[4]Main!$K$6)/KRW</f>
        <v>119.75815395212676</v>
      </c>
      <c r="G4" s="6">
        <f>+E4-F4</f>
        <v>268048.83065266057</v>
      </c>
      <c r="H4" s="6">
        <f>+[4]Main!$K$3</f>
        <v>6758.9192499999999</v>
      </c>
      <c r="I4" s="3" t="s">
        <v>182</v>
      </c>
      <c r="J4" s="5">
        <v>45750</v>
      </c>
    </row>
    <row r="5" spans="1:16" x14ac:dyDescent="0.25">
      <c r="B5" t="s">
        <v>41</v>
      </c>
      <c r="C5" t="s">
        <v>42</v>
      </c>
      <c r="D5" s="15">
        <v>73.36</v>
      </c>
      <c r="E5" s="6">
        <f>+D5*H5/CNY</f>
        <v>79962.400000000009</v>
      </c>
      <c r="G5" s="6">
        <f>+E5-F5</f>
        <v>79962.400000000009</v>
      </c>
      <c r="H5" s="6">
        <v>7630</v>
      </c>
    </row>
    <row r="6" spans="1:16" x14ac:dyDescent="0.25">
      <c r="B6" t="s">
        <v>363</v>
      </c>
      <c r="C6" t="s">
        <v>364</v>
      </c>
      <c r="D6" s="15"/>
      <c r="E6" s="6"/>
      <c r="G6" s="6"/>
      <c r="H6" s="6"/>
    </row>
    <row r="7" spans="1:16" x14ac:dyDescent="0.25">
      <c r="A7" t="s">
        <v>36</v>
      </c>
      <c r="B7" t="s">
        <v>49</v>
      </c>
      <c r="C7" t="s">
        <v>50</v>
      </c>
    </row>
    <row r="8" spans="1:16" x14ac:dyDescent="0.25">
      <c r="B8" t="s">
        <v>56</v>
      </c>
      <c r="C8" t="s">
        <v>57</v>
      </c>
    </row>
    <row r="9" spans="1:16" x14ac:dyDescent="0.25">
      <c r="A9" t="s">
        <v>36</v>
      </c>
      <c r="B9" t="s">
        <v>58</v>
      </c>
      <c r="C9" t="s">
        <v>59</v>
      </c>
    </row>
    <row r="10" spans="1:16" x14ac:dyDescent="0.25">
      <c r="A10" t="s">
        <v>36</v>
      </c>
      <c r="B10" t="s">
        <v>12</v>
      </c>
      <c r="C10" t="s">
        <v>62</v>
      </c>
    </row>
    <row r="11" spans="1:16" x14ac:dyDescent="0.25">
      <c r="A11" t="s">
        <v>36</v>
      </c>
      <c r="B11" t="s">
        <v>14</v>
      </c>
      <c r="C11" t="s">
        <v>72</v>
      </c>
    </row>
    <row r="12" spans="1:16" x14ac:dyDescent="0.25">
      <c r="A12" t="s">
        <v>36</v>
      </c>
      <c r="B12" t="s">
        <v>214</v>
      </c>
      <c r="C12" t="s">
        <v>213</v>
      </c>
    </row>
    <row r="13" spans="1:16" x14ac:dyDescent="0.25">
      <c r="A13" t="s">
        <v>36</v>
      </c>
      <c r="B13" t="s">
        <v>13</v>
      </c>
      <c r="C13" t="s">
        <v>73</v>
      </c>
    </row>
    <row r="14" spans="1:16" x14ac:dyDescent="0.25">
      <c r="A14" t="s">
        <v>36</v>
      </c>
      <c r="B14" t="s">
        <v>279</v>
      </c>
      <c r="C14" t="s">
        <v>280</v>
      </c>
    </row>
    <row r="15" spans="1:16" x14ac:dyDescent="0.25">
      <c r="A15" t="s">
        <v>36</v>
      </c>
      <c r="B15" t="s">
        <v>281</v>
      </c>
      <c r="C15" t="s">
        <v>282</v>
      </c>
    </row>
    <row r="16" spans="1:16" x14ac:dyDescent="0.25">
      <c r="A16" t="s">
        <v>36</v>
      </c>
      <c r="B16" t="s">
        <v>184</v>
      </c>
      <c r="C16" t="s">
        <v>64</v>
      </c>
    </row>
    <row r="17" spans="1:3" x14ac:dyDescent="0.25">
      <c r="A17" t="s">
        <v>36</v>
      </c>
      <c r="B17" t="s">
        <v>78</v>
      </c>
      <c r="C17" t="s">
        <v>79</v>
      </c>
    </row>
    <row r="18" spans="1:3" x14ac:dyDescent="0.25">
      <c r="A18" t="s">
        <v>36</v>
      </c>
      <c r="B18" t="s">
        <v>82</v>
      </c>
      <c r="C18" t="s">
        <v>83</v>
      </c>
    </row>
    <row r="19" spans="1:3" x14ac:dyDescent="0.25">
      <c r="A19" t="s">
        <v>36</v>
      </c>
      <c r="B19" t="s">
        <v>189</v>
      </c>
      <c r="C19" t="s">
        <v>190</v>
      </c>
    </row>
    <row r="20" spans="1:3" x14ac:dyDescent="0.25">
      <c r="A20" t="s">
        <v>36</v>
      </c>
      <c r="B20" t="s">
        <v>199</v>
      </c>
      <c r="C20" t="s">
        <v>200</v>
      </c>
    </row>
    <row r="21" spans="1:3" x14ac:dyDescent="0.25">
      <c r="A21" t="s">
        <v>36</v>
      </c>
      <c r="B21" t="s">
        <v>191</v>
      </c>
      <c r="C21" t="s">
        <v>192</v>
      </c>
    </row>
    <row r="22" spans="1:3" x14ac:dyDescent="0.25">
      <c r="A22" t="s">
        <v>36</v>
      </c>
      <c r="B22" t="s">
        <v>277</v>
      </c>
      <c r="C22" t="s">
        <v>278</v>
      </c>
    </row>
    <row r="23" spans="1:3" x14ac:dyDescent="0.25">
      <c r="A23" t="s">
        <v>36</v>
      </c>
      <c r="B23" t="s">
        <v>201</v>
      </c>
      <c r="C23" t="s">
        <v>202</v>
      </c>
    </row>
    <row r="24" spans="1:3" x14ac:dyDescent="0.25">
      <c r="A24" t="s">
        <v>36</v>
      </c>
      <c r="B24" t="s">
        <v>274</v>
      </c>
      <c r="C24" t="s">
        <v>275</v>
      </c>
    </row>
    <row r="25" spans="1:3" x14ac:dyDescent="0.25">
      <c r="A25" t="s">
        <v>36</v>
      </c>
      <c r="B25" t="s">
        <v>211</v>
      </c>
      <c r="C25" t="s">
        <v>212</v>
      </c>
    </row>
    <row r="26" spans="1:3" x14ac:dyDescent="0.25">
      <c r="A26" t="s">
        <v>36</v>
      </c>
      <c r="B26" t="s">
        <v>215</v>
      </c>
      <c r="C26" t="s">
        <v>216</v>
      </c>
    </row>
    <row r="27" spans="1:3" x14ac:dyDescent="0.25">
      <c r="A27" t="s">
        <v>36</v>
      </c>
      <c r="B27" s="22" t="s">
        <v>324</v>
      </c>
      <c r="C27" t="s">
        <v>325</v>
      </c>
    </row>
    <row r="28" spans="1:3" x14ac:dyDescent="0.25">
      <c r="A28" t="s">
        <v>36</v>
      </c>
      <c r="B28" s="22" t="s">
        <v>344</v>
      </c>
      <c r="C28" t="s">
        <v>345</v>
      </c>
    </row>
    <row r="29" spans="1:3" x14ac:dyDescent="0.25">
      <c r="A29" t="s">
        <v>36</v>
      </c>
      <c r="B29" s="22" t="s">
        <v>349</v>
      </c>
      <c r="C29" t="s">
        <v>348</v>
      </c>
    </row>
    <row r="30" spans="1:3" x14ac:dyDescent="0.25">
      <c r="A30" t="s">
        <v>36</v>
      </c>
      <c r="B30" t="s">
        <v>219</v>
      </c>
      <c r="C30" t="s">
        <v>220</v>
      </c>
    </row>
    <row r="31" spans="1:3" x14ac:dyDescent="0.25">
      <c r="A31" t="s">
        <v>36</v>
      </c>
      <c r="B31" t="s">
        <v>84</v>
      </c>
      <c r="C31" t="s">
        <v>85</v>
      </c>
    </row>
    <row r="32" spans="1:3" x14ac:dyDescent="0.25">
      <c r="A32" t="s">
        <v>36</v>
      </c>
      <c r="B32" t="s">
        <v>320</v>
      </c>
      <c r="C32" t="s">
        <v>321</v>
      </c>
    </row>
    <row r="33" spans="1:3" x14ac:dyDescent="0.25">
      <c r="A33" t="s">
        <v>36</v>
      </c>
      <c r="B33" t="s">
        <v>336</v>
      </c>
      <c r="C33" t="s">
        <v>337</v>
      </c>
    </row>
    <row r="34" spans="1:3" x14ac:dyDescent="0.25">
      <c r="A34" t="s">
        <v>36</v>
      </c>
      <c r="B34" t="s">
        <v>334</v>
      </c>
      <c r="C34" t="s">
        <v>335</v>
      </c>
    </row>
    <row r="35" spans="1:3" x14ac:dyDescent="0.25">
      <c r="A35" t="s">
        <v>36</v>
      </c>
      <c r="B35" s="22" t="s">
        <v>322</v>
      </c>
      <c r="C35" s="22" t="s">
        <v>323</v>
      </c>
    </row>
    <row r="36" spans="1:3" x14ac:dyDescent="0.25">
      <c r="A36" t="s">
        <v>36</v>
      </c>
      <c r="B36" t="s">
        <v>221</v>
      </c>
      <c r="C36" t="s">
        <v>222</v>
      </c>
    </row>
    <row r="37" spans="1:3" x14ac:dyDescent="0.25">
      <c r="A37" t="s">
        <v>36</v>
      </c>
      <c r="B37" t="s">
        <v>223</v>
      </c>
      <c r="C37" t="s">
        <v>224</v>
      </c>
    </row>
    <row r="38" spans="1:3" x14ac:dyDescent="0.25">
      <c r="A38" t="s">
        <v>36</v>
      </c>
      <c r="B38" s="22" t="s">
        <v>356</v>
      </c>
      <c r="C38" s="22" t="s">
        <v>357</v>
      </c>
    </row>
    <row r="39" spans="1:3" x14ac:dyDescent="0.25">
      <c r="B39" t="s">
        <v>232</v>
      </c>
      <c r="C39" t="s">
        <v>233</v>
      </c>
    </row>
    <row r="40" spans="1:3" x14ac:dyDescent="0.25">
      <c r="A40" t="s">
        <v>36</v>
      </c>
      <c r="B40" t="s">
        <v>318</v>
      </c>
      <c r="C40" s="22" t="s">
        <v>319</v>
      </c>
    </row>
    <row r="41" spans="1:3" x14ac:dyDescent="0.25">
      <c r="A41" t="s">
        <v>36</v>
      </c>
      <c r="B41" t="s">
        <v>118</v>
      </c>
      <c r="C41" t="s">
        <v>119</v>
      </c>
    </row>
    <row r="42" spans="1:3" x14ac:dyDescent="0.25">
      <c r="A42" t="s">
        <v>36</v>
      </c>
      <c r="B42" t="s">
        <v>312</v>
      </c>
      <c r="C42" t="s">
        <v>313</v>
      </c>
    </row>
    <row r="43" spans="1:3" x14ac:dyDescent="0.25">
      <c r="A43" t="s">
        <v>36</v>
      </c>
      <c r="B43" t="s">
        <v>326</v>
      </c>
      <c r="C43" t="s">
        <v>327</v>
      </c>
    </row>
    <row r="44" spans="1:3" x14ac:dyDescent="0.25">
      <c r="A44" t="s">
        <v>36</v>
      </c>
      <c r="B44" t="s">
        <v>299</v>
      </c>
      <c r="C44" t="s">
        <v>300</v>
      </c>
    </row>
    <row r="45" spans="1:3" x14ac:dyDescent="0.25">
      <c r="A45" t="s">
        <v>36</v>
      </c>
      <c r="B45" s="22" t="s">
        <v>350</v>
      </c>
      <c r="C45" t="s">
        <v>351</v>
      </c>
    </row>
    <row r="46" spans="1:3" x14ac:dyDescent="0.25">
      <c r="A46" t="s">
        <v>36</v>
      </c>
      <c r="B46" s="22" t="s">
        <v>352</v>
      </c>
      <c r="C46" t="s">
        <v>353</v>
      </c>
    </row>
    <row r="47" spans="1:3" x14ac:dyDescent="0.25">
      <c r="A47" t="s">
        <v>36</v>
      </c>
      <c r="B47" t="s">
        <v>88</v>
      </c>
      <c r="C47" t="s">
        <v>89</v>
      </c>
    </row>
    <row r="48" spans="1:3" x14ac:dyDescent="0.25">
      <c r="A48" t="s">
        <v>36</v>
      </c>
      <c r="B48" t="s">
        <v>301</v>
      </c>
      <c r="C48" t="s">
        <v>302</v>
      </c>
    </row>
    <row r="49" spans="1:10" x14ac:dyDescent="0.25">
      <c r="A49" t="s">
        <v>36</v>
      </c>
      <c r="B49" t="s">
        <v>124</v>
      </c>
      <c r="C49" t="s">
        <v>296</v>
      </c>
    </row>
    <row r="50" spans="1:10" x14ac:dyDescent="0.25">
      <c r="A50" t="s">
        <v>36</v>
      </c>
      <c r="B50" t="s">
        <v>15</v>
      </c>
      <c r="C50" t="s">
        <v>303</v>
      </c>
    </row>
    <row r="51" spans="1:10" x14ac:dyDescent="0.25">
      <c r="A51" t="s">
        <v>36</v>
      </c>
      <c r="B51" s="1" t="s">
        <v>107</v>
      </c>
      <c r="C51" t="s">
        <v>109</v>
      </c>
      <c r="D51" s="4">
        <v>39</v>
      </c>
      <c r="E51" s="6">
        <f>+D51*H51</f>
        <v>14469</v>
      </c>
      <c r="F51" s="6">
        <f>+[25]Main!$J$5-[25]Main!$J$6</f>
        <v>3091.8959999999997</v>
      </c>
      <c r="G51" s="6">
        <f>+E51-F51</f>
        <v>11377.103999999999</v>
      </c>
      <c r="H51" s="6">
        <f>+[25]Main!$J$3</f>
        <v>371</v>
      </c>
      <c r="I51" s="3" t="s">
        <v>114</v>
      </c>
      <c r="J51" s="5">
        <v>45534</v>
      </c>
    </row>
    <row r="52" spans="1:10" x14ac:dyDescent="0.25">
      <c r="A52" t="s">
        <v>36</v>
      </c>
      <c r="B52" s="1" t="s">
        <v>108</v>
      </c>
      <c r="C52" t="s">
        <v>112</v>
      </c>
      <c r="D52" s="3">
        <v>8.51</v>
      </c>
      <c r="E52" s="6">
        <f>+D52*H52</f>
        <v>2412.9838722099998</v>
      </c>
      <c r="F52" s="6">
        <f>+[26]Main!$L$5-[26]Main!$L$6</f>
        <v>217</v>
      </c>
      <c r="G52" s="6">
        <f>+E52-F52</f>
        <v>2195.9838722099998</v>
      </c>
      <c r="H52" s="6">
        <f>+[26]Main!$L$3</f>
        <v>283.54687100000001</v>
      </c>
      <c r="I52" s="3" t="s">
        <v>106</v>
      </c>
      <c r="J52" s="5">
        <v>45534</v>
      </c>
    </row>
    <row r="53" spans="1:10" x14ac:dyDescent="0.25">
      <c r="A53" t="s">
        <v>36</v>
      </c>
      <c r="B53" s="1" t="s">
        <v>111</v>
      </c>
      <c r="C53" t="s">
        <v>110</v>
      </c>
    </row>
    <row r="54" spans="1:10" x14ac:dyDescent="0.25">
      <c r="A54" t="s">
        <v>36</v>
      </c>
      <c r="B54" s="1" t="s">
        <v>113</v>
      </c>
      <c r="C54" t="s">
        <v>113</v>
      </c>
    </row>
    <row r="55" spans="1:10" x14ac:dyDescent="0.25">
      <c r="A55" t="s">
        <v>36</v>
      </c>
      <c r="B55" s="1" t="s">
        <v>116</v>
      </c>
      <c r="C55" t="s">
        <v>117</v>
      </c>
      <c r="D55" s="3">
        <v>101.64</v>
      </c>
    </row>
    <row r="56" spans="1:10" x14ac:dyDescent="0.25">
      <c r="A56" t="s">
        <v>36</v>
      </c>
      <c r="B56" s="1" t="s">
        <v>236</v>
      </c>
      <c r="C56" t="s">
        <v>237</v>
      </c>
      <c r="D56" s="4">
        <v>247</v>
      </c>
      <c r="E56" s="6">
        <f>+D56*H56</f>
        <v>28641.902146</v>
      </c>
      <c r="F56" s="6">
        <f>+[29]Main!$I$5-[29]Main!$I$6</f>
        <v>-373.40000000000003</v>
      </c>
      <c r="G56" s="6">
        <f>+E56-F56</f>
        <v>29015.302146000002</v>
      </c>
      <c r="H56" s="6">
        <f>+[29]Main!$I$3</f>
        <v>115.959118</v>
      </c>
      <c r="I56" s="3" t="s">
        <v>231</v>
      </c>
      <c r="J56" s="5">
        <v>45915</v>
      </c>
    </row>
    <row r="60" spans="1:10" ht="13" x14ac:dyDescent="0.3">
      <c r="B60" s="9" t="s">
        <v>53</v>
      </c>
    </row>
    <row r="61" spans="1:10" x14ac:dyDescent="0.25">
      <c r="B61" t="s">
        <v>55</v>
      </c>
      <c r="E61" s="3">
        <v>200</v>
      </c>
    </row>
    <row r="62" spans="1:10" x14ac:dyDescent="0.25">
      <c r="B62" t="s">
        <v>54</v>
      </c>
      <c r="E62" s="3">
        <v>150</v>
      </c>
    </row>
    <row r="63" spans="1:10" x14ac:dyDescent="0.25">
      <c r="B63" t="s">
        <v>25</v>
      </c>
    </row>
  </sheetData>
  <hyperlinks>
    <hyperlink ref="B3" r:id="rId1" xr:uid="{CD056E5E-713C-45E7-82FC-EFD06739D880}"/>
    <hyperlink ref="B51" r:id="rId2" xr:uid="{E138C484-1EF3-497D-8DD8-4398C67AAB14}"/>
    <hyperlink ref="B55" r:id="rId3" xr:uid="{17EE0F28-0CA3-4454-8659-59421816F562}"/>
    <hyperlink ref="A1" location="Semiconductors!A1" display="Semis" xr:uid="{3EBFEA52-93DD-4F50-8A15-3931D4DD8A3B}"/>
    <hyperlink ref="B52" r:id="rId4" xr:uid="{B849A3EA-637F-401B-9004-B19AC4384C38}"/>
    <hyperlink ref="B53" r:id="rId5" xr:uid="{B3FD8109-CF06-4F67-80CA-74CB8FA3899F}"/>
    <hyperlink ref="B54" r:id="rId6" xr:uid="{41CB0E3A-9A33-4B05-90FA-F5D94D41DCCA}"/>
    <hyperlink ref="B4" r:id="rId7" xr:uid="{080EF83F-F30F-4A70-B656-61CF4AB15DF7}"/>
    <hyperlink ref="B56" r:id="rId8" xr:uid="{0A91E701-42A1-47EB-A9B9-A7A56A38658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FDEE-60E0-4B9B-AACF-AB184FD947A1}">
  <dimension ref="B2:C7"/>
  <sheetViews>
    <sheetView tabSelected="1" zoomScale="265" zoomScaleNormal="265" workbookViewId="0">
      <selection activeCell="B7" sqref="B7"/>
    </sheetView>
  </sheetViews>
  <sheetFormatPr defaultRowHeight="12.5" x14ac:dyDescent="0.25"/>
  <cols>
    <col min="2" max="2" width="10.1796875" customWidth="1"/>
  </cols>
  <sheetData>
    <row r="2" spans="2:3" x14ac:dyDescent="0.25">
      <c r="B2" t="s">
        <v>179</v>
      </c>
      <c r="C2">
        <v>32.68</v>
      </c>
    </row>
    <row r="3" spans="2:3" x14ac:dyDescent="0.25">
      <c r="B3" t="s">
        <v>203</v>
      </c>
      <c r="C3" s="2">
        <v>1451.75</v>
      </c>
    </row>
    <row r="4" spans="2:3" x14ac:dyDescent="0.25">
      <c r="B4" s="2">
        <v>7</v>
      </c>
      <c r="C4" s="2" t="s">
        <v>204</v>
      </c>
    </row>
    <row r="5" spans="2:3" x14ac:dyDescent="0.25">
      <c r="B5" t="s">
        <v>247</v>
      </c>
      <c r="C5">
        <v>31.99</v>
      </c>
    </row>
    <row r="6" spans="2:3" x14ac:dyDescent="0.25">
      <c r="B6" t="s">
        <v>248</v>
      </c>
      <c r="C6">
        <v>157.66</v>
      </c>
    </row>
    <row r="7" spans="2:3" x14ac:dyDescent="0.25">
      <c r="B7"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Semiconductors</vt:lpstr>
      <vt:lpstr>Memory</vt:lpstr>
      <vt:lpstr>CapEquiment</vt:lpstr>
      <vt:lpstr>Optical</vt:lpstr>
      <vt:lpstr>Quantum</vt:lpstr>
      <vt:lpstr>Networking</vt:lpstr>
      <vt:lpstr>Electronics-Computers</vt:lpstr>
      <vt:lpstr>FX</vt:lpstr>
      <vt:lpstr>CNY</vt:lpstr>
      <vt:lpstr>JPY</vt:lpstr>
      <vt:lpstr>KRW</vt:lpstr>
      <vt:lpstr>None</vt:lpstr>
      <vt:lpstr>NTD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2022-07-16T21:03:38Z</dcterms:created>
  <dcterms:modified xsi:type="dcterms:W3CDTF">2026-08-17T11:41:58Z</dcterms:modified>
</cp:coreProperties>
</file>