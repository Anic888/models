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7397E997-0A71-4C71-8D0E-9B377DADC876}" xr6:coauthVersionLast="47" xr6:coauthVersionMax="47" xr10:uidLastSave="{00000000-0000-0000-0000-000000000000}"/>
  <bookViews>
    <workbookView xWindow="10830" yWindow="5560" windowWidth="22360" windowHeight="11660" activeTab="1" xr2:uid="{7EAA9F4B-2180-43E9-BF31-83948DE28599}"/>
  </bookViews>
  <sheets>
    <sheet name="Main" sheetId="1" r:id="rId1"/>
    <sheet name="Model" sheetId="2" r:id="rId2"/>
    <sheet name="Crysvita" sheetId="3" r:id="rId3"/>
    <sheet name="apazunerse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AR23" i="2"/>
  <c r="AR19" i="2"/>
  <c r="AQ33" i="2"/>
  <c r="AU10" i="2"/>
  <c r="AV10" i="2" s="1"/>
  <c r="AT10" i="2"/>
  <c r="AT16" i="2"/>
  <c r="AT20" i="2" s="1"/>
  <c r="AS16" i="2"/>
  <c r="AS20" i="2" s="1"/>
  <c r="AR16" i="2"/>
  <c r="AR20" i="2" s="1"/>
  <c r="AQ16" i="2"/>
  <c r="AB23" i="2"/>
  <c r="AC23" i="2"/>
  <c r="AH8" i="2"/>
  <c r="AG8" i="2"/>
  <c r="AF8" i="2"/>
  <c r="AQ8" i="2" s="1"/>
  <c r="AH7" i="2"/>
  <c r="AG7" i="2"/>
  <c r="AF7" i="2"/>
  <c r="AQ7" i="2" s="1"/>
  <c r="AH6" i="2"/>
  <c r="AG6" i="2"/>
  <c r="AF6" i="2"/>
  <c r="AQ6" i="2" s="1"/>
  <c r="AH5" i="2"/>
  <c r="AG5" i="2"/>
  <c r="AF5" i="2"/>
  <c r="AQ5" i="2" s="1"/>
  <c r="AH4" i="2"/>
  <c r="AG4" i="2"/>
  <c r="AF4" i="2"/>
  <c r="AQ4" i="2" s="1"/>
  <c r="AH3" i="2"/>
  <c r="AG3" i="2"/>
  <c r="AF3" i="2"/>
  <c r="AF13" i="2" s="1"/>
  <c r="AD23" i="2"/>
  <c r="AE23" i="2"/>
  <c r="AE21" i="2"/>
  <c r="AE14" i="2"/>
  <c r="AE13" i="2"/>
  <c r="AE16" i="2" s="1"/>
  <c r="AE18" i="2" s="1"/>
  <c r="AP25" i="2"/>
  <c r="AO25" i="2"/>
  <c r="AN25" i="2"/>
  <c r="AM25" i="2"/>
  <c r="AO23" i="2"/>
  <c r="AM23" i="2"/>
  <c r="AO20" i="2"/>
  <c r="AN20" i="2"/>
  <c r="AM20" i="2"/>
  <c r="AO19" i="2"/>
  <c r="AN19" i="2"/>
  <c r="AM19" i="2"/>
  <c r="AM21" i="2" s="1"/>
  <c r="AO17" i="2"/>
  <c r="AN17" i="2"/>
  <c r="AM17" i="2"/>
  <c r="AM28" i="2"/>
  <c r="AN28" i="2"/>
  <c r="AO28" i="2"/>
  <c r="AP20" i="2"/>
  <c r="AQ20" i="2" s="1"/>
  <c r="AP19" i="2"/>
  <c r="AQ19" i="2" s="1"/>
  <c r="AX15" i="2"/>
  <c r="AW15" i="2"/>
  <c r="AV15" i="2"/>
  <c r="AU15" i="2"/>
  <c r="AT15" i="2"/>
  <c r="AS15" i="2"/>
  <c r="AR15" i="2"/>
  <c r="AQ15" i="2"/>
  <c r="AM12" i="2"/>
  <c r="AM8" i="2"/>
  <c r="AM7" i="2"/>
  <c r="AM6" i="2"/>
  <c r="AM4" i="2"/>
  <c r="AM15" i="2"/>
  <c r="AM3" i="2"/>
  <c r="AN12" i="2"/>
  <c r="AN8" i="2"/>
  <c r="AN7" i="2"/>
  <c r="AN6" i="2"/>
  <c r="AN5" i="2"/>
  <c r="AN4" i="2"/>
  <c r="AN15" i="2"/>
  <c r="AN14" i="2"/>
  <c r="AN3" i="2"/>
  <c r="AR2" i="2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AP12" i="2"/>
  <c r="AP8" i="2"/>
  <c r="AO8" i="2"/>
  <c r="AO7" i="2"/>
  <c r="AO6" i="2"/>
  <c r="AO5" i="2"/>
  <c r="AO4" i="2"/>
  <c r="AO3" i="2"/>
  <c r="AP15" i="2"/>
  <c r="AO15" i="2"/>
  <c r="AO12" i="2"/>
  <c r="AA14" i="2"/>
  <c r="AA13" i="2"/>
  <c r="Z14" i="2"/>
  <c r="Y14" i="2"/>
  <c r="Z13" i="2"/>
  <c r="Y13" i="2"/>
  <c r="AA16" i="2"/>
  <c r="AD21" i="2"/>
  <c r="AC21" i="2"/>
  <c r="AB21" i="2"/>
  <c r="AA21" i="2"/>
  <c r="Z21" i="2"/>
  <c r="Y21" i="2"/>
  <c r="I15" i="2"/>
  <c r="I14" i="2"/>
  <c r="I13" i="2"/>
  <c r="M14" i="2"/>
  <c r="M13" i="2"/>
  <c r="N15" i="2"/>
  <c r="M15" i="2"/>
  <c r="N14" i="2"/>
  <c r="N13" i="2"/>
  <c r="O14" i="2"/>
  <c r="O13" i="2"/>
  <c r="P21" i="2"/>
  <c r="P14" i="2"/>
  <c r="P13" i="2"/>
  <c r="P16" i="2" s="1"/>
  <c r="Q5" i="2"/>
  <c r="AM5" i="2" s="1"/>
  <c r="Q14" i="2"/>
  <c r="Q13" i="2"/>
  <c r="U14" i="2"/>
  <c r="U13" i="2"/>
  <c r="R14" i="2"/>
  <c r="R13" i="2"/>
  <c r="V14" i="2"/>
  <c r="V13" i="2"/>
  <c r="V16" i="2" s="1"/>
  <c r="T23" i="2"/>
  <c r="AN23" i="2" s="1"/>
  <c r="T21" i="2"/>
  <c r="T14" i="2"/>
  <c r="T13" i="2"/>
  <c r="X21" i="2"/>
  <c r="X14" i="2"/>
  <c r="X13" i="2"/>
  <c r="S21" i="2"/>
  <c r="S14" i="2"/>
  <c r="S13" i="2"/>
  <c r="W14" i="2"/>
  <c r="W13" i="2"/>
  <c r="W21" i="2"/>
  <c r="V21" i="2"/>
  <c r="U21" i="2"/>
  <c r="R21" i="2"/>
  <c r="Q21" i="2"/>
  <c r="O21" i="2"/>
  <c r="N21" i="2"/>
  <c r="M21" i="2"/>
  <c r="L21" i="2"/>
  <c r="L22" i="2" s="1"/>
  <c r="L24" i="2" s="1"/>
  <c r="L26" i="2" s="1"/>
  <c r="L27" i="2" s="1"/>
  <c r="K21" i="2"/>
  <c r="K22" i="2" s="1"/>
  <c r="K24" i="2" s="1"/>
  <c r="K26" i="2" s="1"/>
  <c r="K27" i="2" s="1"/>
  <c r="J21" i="2"/>
  <c r="J22" i="2" s="1"/>
  <c r="J24" i="2" s="1"/>
  <c r="J26" i="2" s="1"/>
  <c r="J27" i="2" s="1"/>
  <c r="I21" i="2"/>
  <c r="H21" i="2"/>
  <c r="H22" i="2" s="1"/>
  <c r="G21" i="2"/>
  <c r="G22" i="2" s="1"/>
  <c r="F21" i="2"/>
  <c r="F22" i="2" s="1"/>
  <c r="E21" i="2"/>
  <c r="E22" i="2" s="1"/>
  <c r="D21" i="2"/>
  <c r="D22" i="2" s="1"/>
  <c r="C21" i="2"/>
  <c r="C22" i="2" s="1"/>
  <c r="L4" i="1"/>
  <c r="L7" i="1" s="1"/>
  <c r="AW10" i="2" l="1"/>
  <c r="AV11" i="2"/>
  <c r="AW11" i="2" s="1"/>
  <c r="AX11" i="2" s="1"/>
  <c r="AY11" i="2" s="1"/>
  <c r="AZ11" i="2" s="1"/>
  <c r="AU16" i="2"/>
  <c r="AU20" i="2" s="1"/>
  <c r="R16" i="2"/>
  <c r="R18" i="2" s="1"/>
  <c r="R31" i="2" s="1"/>
  <c r="AQ3" i="2"/>
  <c r="AR8" i="2"/>
  <c r="AS8" i="2" s="1"/>
  <c r="AT8" i="2" s="1"/>
  <c r="AU8" i="2" s="1"/>
  <c r="AV8" i="2" s="1"/>
  <c r="AW8" i="2" s="1"/>
  <c r="AX8" i="2" s="1"/>
  <c r="AY8" i="2" s="1"/>
  <c r="AZ8" i="2" s="1"/>
  <c r="AO14" i="2"/>
  <c r="AN13" i="2"/>
  <c r="AN16" i="2" s="1"/>
  <c r="AN21" i="2"/>
  <c r="AO21" i="2"/>
  <c r="AE22" i="2"/>
  <c r="AE24" i="2" s="1"/>
  <c r="AE26" i="2" s="1"/>
  <c r="AE31" i="2"/>
  <c r="AO13" i="2"/>
  <c r="AO16" i="2" s="1"/>
  <c r="S16" i="2"/>
  <c r="AM14" i="2"/>
  <c r="O16" i="2"/>
  <c r="O18" i="2" s="1"/>
  <c r="O31" i="2" s="1"/>
  <c r="AF14" i="2"/>
  <c r="AF16" i="2"/>
  <c r="AG13" i="2"/>
  <c r="AG14" i="2"/>
  <c r="AH14" i="2"/>
  <c r="AH13" i="2"/>
  <c r="AH16" i="2" s="1"/>
  <c r="AH31" i="2" s="1"/>
  <c r="AE30" i="2"/>
  <c r="AE27" i="2"/>
  <c r="AM13" i="2"/>
  <c r="AM16" i="2" s="1"/>
  <c r="AM18" i="2" s="1"/>
  <c r="AM22" i="2" s="1"/>
  <c r="AM24" i="2" s="1"/>
  <c r="AM26" i="2" s="1"/>
  <c r="AM27" i="2" s="1"/>
  <c r="AZ15" i="2"/>
  <c r="AQ21" i="2"/>
  <c r="AN18" i="2"/>
  <c r="AN22" i="2" s="1"/>
  <c r="AN24" i="2" s="1"/>
  <c r="AN26" i="2" s="1"/>
  <c r="AN27" i="2" s="1"/>
  <c r="AP5" i="2"/>
  <c r="AR5" i="2" s="1"/>
  <c r="AS5" i="2" s="1"/>
  <c r="AT5" i="2" s="1"/>
  <c r="AU5" i="2" s="1"/>
  <c r="AV5" i="2" s="1"/>
  <c r="AW5" i="2" s="1"/>
  <c r="AX5" i="2" s="1"/>
  <c r="AY5" i="2" s="1"/>
  <c r="AZ5" i="2" s="1"/>
  <c r="AP6" i="2"/>
  <c r="AP7" i="2"/>
  <c r="AR7" i="2" s="1"/>
  <c r="AS7" i="2" s="1"/>
  <c r="AT7" i="2" s="1"/>
  <c r="AU7" i="2" s="1"/>
  <c r="AV7" i="2" s="1"/>
  <c r="AW7" i="2" s="1"/>
  <c r="AX7" i="2" s="1"/>
  <c r="AY7" i="2" s="1"/>
  <c r="AZ7" i="2" s="1"/>
  <c r="U16" i="2"/>
  <c r="U18" i="2" s="1"/>
  <c r="AY15" i="2"/>
  <c r="AP23" i="2"/>
  <c r="AQ23" i="2" s="1"/>
  <c r="AP21" i="2"/>
  <c r="AP28" i="2"/>
  <c r="AQ28" i="2" s="1"/>
  <c r="AR28" i="2" s="1"/>
  <c r="AS28" i="2" s="1"/>
  <c r="AT28" i="2" s="1"/>
  <c r="AU28" i="2" s="1"/>
  <c r="AV28" i="2" s="1"/>
  <c r="AW28" i="2" s="1"/>
  <c r="AX28" i="2" s="1"/>
  <c r="AY28" i="2" s="1"/>
  <c r="AZ28" i="2" s="1"/>
  <c r="I16" i="2"/>
  <c r="I18" i="2" s="1"/>
  <c r="Q16" i="2"/>
  <c r="Q18" i="2" s="1"/>
  <c r="AB14" i="2"/>
  <c r="M16" i="2"/>
  <c r="M18" i="2" s="1"/>
  <c r="AC13" i="2"/>
  <c r="AC14" i="2"/>
  <c r="V18" i="2"/>
  <c r="AB13" i="2"/>
  <c r="X16" i="2"/>
  <c r="X18" i="2" s="1"/>
  <c r="R22" i="2"/>
  <c r="R24" i="2" s="1"/>
  <c r="R26" i="2" s="1"/>
  <c r="R27" i="2" s="1"/>
  <c r="N16" i="2"/>
  <c r="N18" i="2" s="1"/>
  <c r="N31" i="2" s="1"/>
  <c r="T16" i="2"/>
  <c r="T18" i="2" s="1"/>
  <c r="Y16" i="2"/>
  <c r="Z16" i="2"/>
  <c r="Z18" i="2" s="1"/>
  <c r="AA18" i="2"/>
  <c r="R30" i="2"/>
  <c r="N22" i="2"/>
  <c r="N24" i="2" s="1"/>
  <c r="N26" i="2" s="1"/>
  <c r="N27" i="2" s="1"/>
  <c r="P18" i="2"/>
  <c r="P31" i="2" s="1"/>
  <c r="P22" i="2"/>
  <c r="P24" i="2" s="1"/>
  <c r="P26" i="2" s="1"/>
  <c r="P27" i="2" s="1"/>
  <c r="S18" i="2"/>
  <c r="W16" i="2"/>
  <c r="W18" i="2" s="1"/>
  <c r="AV16" i="2" l="1"/>
  <c r="AV20" i="2" s="1"/>
  <c r="AX10" i="2"/>
  <c r="AW16" i="2"/>
  <c r="AW20" i="2" s="1"/>
  <c r="V30" i="2"/>
  <c r="O22" i="2"/>
  <c r="O24" i="2" s="1"/>
  <c r="O26" i="2" s="1"/>
  <c r="O27" i="2" s="1"/>
  <c r="AN30" i="2"/>
  <c r="Z30" i="2"/>
  <c r="S30" i="2"/>
  <c r="U22" i="2"/>
  <c r="U24" i="2" s="1"/>
  <c r="U26" i="2" s="1"/>
  <c r="U27" i="2" s="1"/>
  <c r="U31" i="2"/>
  <c r="AA22" i="2"/>
  <c r="AA24" i="2" s="1"/>
  <c r="AA26" i="2" s="1"/>
  <c r="AA27" i="2" s="1"/>
  <c r="AA31" i="2"/>
  <c r="Z22" i="2"/>
  <c r="Z24" i="2" s="1"/>
  <c r="Z26" i="2" s="1"/>
  <c r="Z27" i="2" s="1"/>
  <c r="Z31" i="2"/>
  <c r="I22" i="2"/>
  <c r="I24" i="2" s="1"/>
  <c r="I26" i="2" s="1"/>
  <c r="I27" i="2" s="1"/>
  <c r="I31" i="2"/>
  <c r="W22" i="2"/>
  <c r="W24" i="2" s="1"/>
  <c r="W26" i="2" s="1"/>
  <c r="W27" i="2" s="1"/>
  <c r="W31" i="2"/>
  <c r="S22" i="2"/>
  <c r="S24" i="2" s="1"/>
  <c r="S26" i="2" s="1"/>
  <c r="S27" i="2" s="1"/>
  <c r="S31" i="2"/>
  <c r="T22" i="2"/>
  <c r="T24" i="2" s="1"/>
  <c r="T26" i="2" s="1"/>
  <c r="T27" i="2" s="1"/>
  <c r="T31" i="2"/>
  <c r="X22" i="2"/>
  <c r="X24" i="2" s="1"/>
  <c r="X26" i="2" s="1"/>
  <c r="X27" i="2" s="1"/>
  <c r="X31" i="2"/>
  <c r="Q22" i="2"/>
  <c r="Q24" i="2" s="1"/>
  <c r="Q26" i="2" s="1"/>
  <c r="Q27" i="2" s="1"/>
  <c r="Q31" i="2"/>
  <c r="V22" i="2"/>
  <c r="V24" i="2" s="1"/>
  <c r="V26" i="2" s="1"/>
  <c r="V27" i="2" s="1"/>
  <c r="V31" i="2"/>
  <c r="M22" i="2"/>
  <c r="M24" i="2" s="1"/>
  <c r="M26" i="2" s="1"/>
  <c r="M27" i="2" s="1"/>
  <c r="M31" i="2"/>
  <c r="AF31" i="2"/>
  <c r="AG16" i="2"/>
  <c r="AG31" i="2" s="1"/>
  <c r="AO18" i="2"/>
  <c r="AO22" i="2" s="1"/>
  <c r="AO24" i="2" s="1"/>
  <c r="AO26" i="2" s="1"/>
  <c r="AO27" i="2" s="1"/>
  <c r="U30" i="2"/>
  <c r="AA30" i="2"/>
  <c r="AB16" i="2"/>
  <c r="AB30" i="2" s="1"/>
  <c r="Q30" i="2"/>
  <c r="AD14" i="2"/>
  <c r="AP4" i="2"/>
  <c r="AD13" i="2"/>
  <c r="AP3" i="2"/>
  <c r="AR21" i="2"/>
  <c r="AR6" i="2"/>
  <c r="AO30" i="2"/>
  <c r="T30" i="2"/>
  <c r="X30" i="2"/>
  <c r="AC16" i="2"/>
  <c r="Y30" i="2"/>
  <c r="Y18" i="2"/>
  <c r="W30" i="2"/>
  <c r="AX16" i="2" l="1"/>
  <c r="AX20" i="2" s="1"/>
  <c r="AY10" i="2"/>
  <c r="Y22" i="2"/>
  <c r="Y24" i="2" s="1"/>
  <c r="Y26" i="2" s="1"/>
  <c r="Y27" i="2" s="1"/>
  <c r="Y31" i="2"/>
  <c r="AB18" i="2"/>
  <c r="AB22" i="2"/>
  <c r="AB24" i="2" s="1"/>
  <c r="AB26" i="2" s="1"/>
  <c r="AB27" i="2" s="1"/>
  <c r="AB31" i="2"/>
  <c r="AF30" i="2"/>
  <c r="AG30" i="2"/>
  <c r="AD16" i="2"/>
  <c r="AH30" i="2" s="1"/>
  <c r="AS21" i="2"/>
  <c r="AP13" i="2"/>
  <c r="AP14" i="2"/>
  <c r="AS6" i="2"/>
  <c r="AC18" i="2"/>
  <c r="AD18" i="2"/>
  <c r="AD30" i="2"/>
  <c r="AC30" i="2"/>
  <c r="AZ10" i="2" l="1"/>
  <c r="AZ16" i="2" s="1"/>
  <c r="AZ20" i="2" s="1"/>
  <c r="AY16" i="2"/>
  <c r="AY20" i="2" s="1"/>
  <c r="AC22" i="2"/>
  <c r="AC24" i="2" s="1"/>
  <c r="AC26" i="2" s="1"/>
  <c r="AC27" i="2" s="1"/>
  <c r="AC31" i="2"/>
  <c r="AD22" i="2"/>
  <c r="AD24" i="2" s="1"/>
  <c r="AD26" i="2" s="1"/>
  <c r="AD27" i="2" s="1"/>
  <c r="AD31" i="2"/>
  <c r="AR4" i="2"/>
  <c r="AP16" i="2"/>
  <c r="AR3" i="2"/>
  <c r="AT21" i="2"/>
  <c r="AT6" i="2"/>
  <c r="AU21" i="2" l="1"/>
  <c r="AP17" i="2"/>
  <c r="AP18" i="2" s="1"/>
  <c r="AP22" i="2" s="1"/>
  <c r="AP24" i="2" s="1"/>
  <c r="AP26" i="2" s="1"/>
  <c r="AP27" i="2" s="1"/>
  <c r="AP30" i="2"/>
  <c r="AQ17" i="2"/>
  <c r="AQ18" i="2" s="1"/>
  <c r="AQ22" i="2" s="1"/>
  <c r="AQ24" i="2" s="1"/>
  <c r="AQ26" i="2" s="1"/>
  <c r="AQ27" i="2" s="1"/>
  <c r="AQ30" i="2"/>
  <c r="AS3" i="2"/>
  <c r="AS4" i="2"/>
  <c r="AU6" i="2"/>
  <c r="AR17" i="2" l="1"/>
  <c r="AR18" i="2" s="1"/>
  <c r="AR22" i="2" s="1"/>
  <c r="AR24" i="2" s="1"/>
  <c r="AT4" i="2"/>
  <c r="AT3" i="2"/>
  <c r="AV21" i="2"/>
  <c r="AV6" i="2"/>
  <c r="AR26" i="2" l="1"/>
  <c r="AR27" i="2" s="1"/>
  <c r="AR33" i="2"/>
  <c r="AS23" i="2" s="1"/>
  <c r="AR30" i="2"/>
  <c r="AS30" i="2"/>
  <c r="AS17" i="2"/>
  <c r="AS18" i="2" s="1"/>
  <c r="AS22" i="2" s="1"/>
  <c r="AU3" i="2"/>
  <c r="AW21" i="2"/>
  <c r="AU4" i="2"/>
  <c r="AW6" i="2"/>
  <c r="AS24" i="2" l="1"/>
  <c r="AS25" i="2" s="1"/>
  <c r="AV4" i="2"/>
  <c r="AX21" i="2"/>
  <c r="AV3" i="2"/>
  <c r="AX6" i="2"/>
  <c r="AS33" i="2" l="1"/>
  <c r="AT23" i="2" s="1"/>
  <c r="AS26" i="2"/>
  <c r="AS27" i="2" s="1"/>
  <c r="AU30" i="2"/>
  <c r="AU17" i="2"/>
  <c r="AU18" i="2" s="1"/>
  <c r="AU22" i="2" s="1"/>
  <c r="AW3" i="2"/>
  <c r="AT17" i="2"/>
  <c r="AT18" i="2" s="1"/>
  <c r="AT22" i="2" s="1"/>
  <c r="AT24" i="2" s="1"/>
  <c r="AT30" i="2"/>
  <c r="AZ21" i="2"/>
  <c r="AY21" i="2"/>
  <c r="AW4" i="2"/>
  <c r="AY6" i="2"/>
  <c r="AT25" i="2" l="1"/>
  <c r="AT26" i="2" s="1"/>
  <c r="AT27" i="2" s="1"/>
  <c r="AT33" i="2"/>
  <c r="AX4" i="2"/>
  <c r="AX3" i="2"/>
  <c r="AZ6" i="2"/>
  <c r="AU23" i="2" l="1"/>
  <c r="AU24" i="2" s="1"/>
  <c r="AV17" i="2"/>
  <c r="AV18" i="2" s="1"/>
  <c r="AV22" i="2" s="1"/>
  <c r="AV30" i="2"/>
  <c r="AY4" i="2"/>
  <c r="AW17" i="2"/>
  <c r="AW18" i="2" s="1"/>
  <c r="AW22" i="2" s="1"/>
  <c r="AW30" i="2"/>
  <c r="AY3" i="2"/>
  <c r="AU25" i="2" l="1"/>
  <c r="AU26" i="2" s="1"/>
  <c r="AU27" i="2" s="1"/>
  <c r="AU33" i="2"/>
  <c r="AV23" i="2" s="1"/>
  <c r="AV24" i="2" s="1"/>
  <c r="AX30" i="2"/>
  <c r="AX17" i="2"/>
  <c r="AX18" i="2" s="1"/>
  <c r="AX22" i="2" s="1"/>
  <c r="AZ3" i="2"/>
  <c r="AZ4" i="2"/>
  <c r="AV25" i="2" l="1"/>
  <c r="AV26" i="2" s="1"/>
  <c r="AV27" i="2" s="1"/>
  <c r="AV33" i="2"/>
  <c r="AY30" i="2"/>
  <c r="AW23" i="2" l="1"/>
  <c r="AW24" i="2" s="1"/>
  <c r="AY17" i="2"/>
  <c r="AY18" i="2" s="1"/>
  <c r="AY22" i="2" s="1"/>
  <c r="AZ30" i="2"/>
  <c r="AZ17" i="2"/>
  <c r="AZ18" i="2" s="1"/>
  <c r="AZ22" i="2" s="1"/>
  <c r="AW25" i="2" l="1"/>
  <c r="AW26" i="2" s="1"/>
  <c r="AW27" i="2" s="1"/>
  <c r="AW33" i="2"/>
  <c r="AX23" i="2" l="1"/>
  <c r="AX24" i="2" s="1"/>
  <c r="AX33" i="2"/>
  <c r="AY23" i="2" l="1"/>
  <c r="AY24" i="2" s="1"/>
  <c r="AY33" i="2"/>
  <c r="AX25" i="2"/>
  <c r="AX26" i="2" s="1"/>
  <c r="AX27" i="2" s="1"/>
  <c r="AZ23" i="2" l="1"/>
  <c r="AZ24" i="2" s="1"/>
  <c r="AY25" i="2"/>
  <c r="AY26" i="2" s="1"/>
  <c r="AY27" i="2" s="1"/>
  <c r="AZ25" i="2" l="1"/>
  <c r="AZ26" i="2" s="1"/>
  <c r="AZ33" i="2"/>
  <c r="AZ27" i="2" l="1"/>
  <c r="BA26" i="2"/>
  <c r="BB26" i="2" s="1"/>
  <c r="BC26" i="2" s="1"/>
  <c r="BD26" i="2" s="1"/>
  <c r="BE26" i="2" s="1"/>
  <c r="BF26" i="2" s="1"/>
  <c r="BG26" i="2" s="1"/>
  <c r="BH26" i="2" s="1"/>
  <c r="BI26" i="2" s="1"/>
  <c r="BJ26" i="2" s="1"/>
  <c r="BK26" i="2" s="1"/>
  <c r="BL26" i="2" s="1"/>
  <c r="BM26" i="2" s="1"/>
  <c r="BN26" i="2" s="1"/>
  <c r="BO26" i="2" s="1"/>
  <c r="BP26" i="2" s="1"/>
  <c r="BQ26" i="2" s="1"/>
  <c r="BR26" i="2" s="1"/>
  <c r="BS26" i="2" s="1"/>
  <c r="BT26" i="2" s="1"/>
  <c r="BU26" i="2" s="1"/>
  <c r="BV26" i="2" s="1"/>
  <c r="BW26" i="2" s="1"/>
  <c r="BX26" i="2" s="1"/>
  <c r="BY26" i="2" s="1"/>
  <c r="BZ26" i="2" s="1"/>
  <c r="CA26" i="2" s="1"/>
  <c r="CB26" i="2" s="1"/>
  <c r="CC26" i="2" s="1"/>
  <c r="CD26" i="2" s="1"/>
  <c r="CE26" i="2" s="1"/>
  <c r="CF26" i="2" s="1"/>
  <c r="CG26" i="2" s="1"/>
  <c r="CH26" i="2" s="1"/>
  <c r="CI26" i="2" s="1"/>
  <c r="CJ26" i="2" s="1"/>
  <c r="CK26" i="2" s="1"/>
  <c r="CL26" i="2" s="1"/>
  <c r="CM26" i="2" s="1"/>
  <c r="CN26" i="2" s="1"/>
  <c r="CO26" i="2" s="1"/>
  <c r="CP26" i="2" s="1"/>
  <c r="CQ26" i="2" s="1"/>
  <c r="CR26" i="2" s="1"/>
  <c r="CS26" i="2" s="1"/>
  <c r="CT26" i="2" s="1"/>
  <c r="CU26" i="2" s="1"/>
  <c r="CV26" i="2" s="1"/>
  <c r="CW26" i="2" s="1"/>
  <c r="CX26" i="2" s="1"/>
  <c r="CY26" i="2" s="1"/>
  <c r="CZ26" i="2" s="1"/>
  <c r="DA26" i="2" s="1"/>
  <c r="DB26" i="2" s="1"/>
  <c r="DC26" i="2" s="1"/>
  <c r="DD26" i="2" s="1"/>
  <c r="DE26" i="2" s="1"/>
  <c r="DF26" i="2" s="1"/>
  <c r="DG26" i="2" s="1"/>
  <c r="DH26" i="2" s="1"/>
  <c r="DI26" i="2" s="1"/>
  <c r="DJ26" i="2" s="1"/>
  <c r="DK26" i="2" s="1"/>
  <c r="DL26" i="2" s="1"/>
  <c r="BC34" i="2" s="1"/>
  <c r="BC35" i="2" s="1"/>
</calcChain>
</file>

<file path=xl/sharedStrings.xml><?xml version="1.0" encoding="utf-8"?>
<sst xmlns="http://schemas.openxmlformats.org/spreadsheetml/2006/main" count="128" uniqueCount="106">
  <si>
    <t>Price</t>
  </si>
  <si>
    <t>Shares</t>
  </si>
  <si>
    <t>MC</t>
  </si>
  <si>
    <t>Cash</t>
  </si>
  <si>
    <t>Debt</t>
  </si>
  <si>
    <t>EV</t>
  </si>
  <si>
    <t>Q124</t>
  </si>
  <si>
    <t>Name</t>
  </si>
  <si>
    <t>UX701</t>
  </si>
  <si>
    <t>Wilson's Disease</t>
  </si>
  <si>
    <t>Phase</t>
  </si>
  <si>
    <t>II</t>
  </si>
  <si>
    <t>GTX-102</t>
  </si>
  <si>
    <t>Angelman Syndrome</t>
  </si>
  <si>
    <t>Crysvita</t>
  </si>
  <si>
    <t>Dojolvi</t>
  </si>
  <si>
    <t>Mepsevii</t>
  </si>
  <si>
    <t>Evkeeza</t>
  </si>
  <si>
    <t>UX143 (setrusumab)</t>
  </si>
  <si>
    <t>Osteogenesis Imperfecta</t>
  </si>
  <si>
    <t>UX111</t>
  </si>
  <si>
    <t>MOA</t>
  </si>
  <si>
    <t>GT</t>
  </si>
  <si>
    <t>Sclerostin</t>
  </si>
  <si>
    <t>DTX401</t>
  </si>
  <si>
    <t>GSDIa</t>
  </si>
  <si>
    <t>DTX301</t>
  </si>
  <si>
    <t>OTC Deficiency</t>
  </si>
  <si>
    <t>III</t>
  </si>
  <si>
    <t>Main</t>
  </si>
  <si>
    <t>Product</t>
  </si>
  <si>
    <t>Royalty</t>
  </si>
  <si>
    <t>Collab</t>
  </si>
  <si>
    <t>Revenue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</si>
  <si>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</si>
  <si>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</si>
  <si>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</si>
  <si>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</si>
  <si>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</si>
  <si>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</si>
  <si>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</si>
  <si>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</si>
  <si>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</si>
  <si>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</si>
  <si>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</si>
  <si>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</si>
  <si>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</si>
  <si>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</si>
  <si>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</si>
  <si>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</si>
  <si>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</si>
  <si>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</si>
  <si>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</si>
  <si>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</si>
  <si>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Q224</t>
  </si>
  <si>
    <t>Q324</t>
  </si>
  <si>
    <t>Q424</t>
  </si>
  <si>
    <t>Operating Expenses</t>
  </si>
  <si>
    <t>Operating Income</t>
  </si>
  <si>
    <t>COGS</t>
  </si>
  <si>
    <t>Gross Margin</t>
  </si>
  <si>
    <t>R&amp;D</t>
  </si>
  <si>
    <t>SG&amp;A</t>
  </si>
  <si>
    <t>EPS</t>
  </si>
  <si>
    <t>Net Income</t>
  </si>
  <si>
    <t>Taxes</t>
  </si>
  <si>
    <t>Pretax Income</t>
  </si>
  <si>
    <t>Interest Income</t>
  </si>
  <si>
    <t>Revenue y/y</t>
  </si>
  <si>
    <t>Crysvita EU Royalty</t>
  </si>
  <si>
    <t>Daiichi</t>
  </si>
  <si>
    <t>Q125</t>
  </si>
  <si>
    <t>Q225</t>
  </si>
  <si>
    <t>Q325</t>
  </si>
  <si>
    <t>Q425</t>
  </si>
  <si>
    <t>Maturity</t>
  </si>
  <si>
    <t>Discount</t>
  </si>
  <si>
    <t>NPV</t>
  </si>
  <si>
    <t>Share</t>
  </si>
  <si>
    <t>Indication</t>
  </si>
  <si>
    <t>X-linked Hypophosphatemia</t>
  </si>
  <si>
    <t>Approved</t>
  </si>
  <si>
    <t>Brand</t>
  </si>
  <si>
    <t>Generic</t>
  </si>
  <si>
    <t>burosumab</t>
  </si>
  <si>
    <t>X-Linked Hypophosphatemia</t>
  </si>
  <si>
    <t>Economics</t>
  </si>
  <si>
    <t>Kyowa 2013 deal. Sold economics of OMERS &amp; RPI</t>
  </si>
  <si>
    <t>Q126</t>
  </si>
  <si>
    <t>Q226</t>
  </si>
  <si>
    <t>Q326</t>
  </si>
  <si>
    <t>Q426</t>
  </si>
  <si>
    <t>GTX-102 (apazunersen)</t>
  </si>
  <si>
    <t>apazunersen</t>
  </si>
  <si>
    <t>antisense</t>
  </si>
  <si>
    <t>Clinical Trials</t>
  </si>
  <si>
    <t>Phase I/II n=74</t>
  </si>
  <si>
    <t>Phase III "ASPIRE" n=129 UBE3A full mutations - data 2H26</t>
  </si>
  <si>
    <t>DTX401 (pariglasgene brecaparvovec)</t>
  </si>
  <si>
    <t>UX111 (rebisufligene etisparvovec)</t>
  </si>
  <si>
    <t>Sanfilippo A/MPS IIIA</t>
  </si>
  <si>
    <t>Filed</t>
  </si>
  <si>
    <t>Filed, 8/23/26 PDUFA</t>
  </si>
  <si>
    <t>Crysvita LatAm/Turkey</t>
  </si>
  <si>
    <t>Crysvita US/Canada</t>
  </si>
  <si>
    <t>ROIC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</si>
</sst>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quotePrefix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2" fillId="0" borderId="0" xfId="1"/>
    <xf numFmtId="4" fontId="0" fillId="0" borderId="0" xfId="0" applyNumberFormat="1"/>
    <xf numFmtId="9" fontId="0" fillId="0" borderId="0" xfId="0" applyNumberFormat="1"/>
    <xf numFmtId="14" fontId="0" fillId="0" borderId="0" xfId="0" applyNumberFormat="1"/>
    <xf numFmtId="0" fontId="3" fillId="0" borderId="0" xfId="0" applyFont="1"/>
    <xf numFmtId="0" fontId="4" fillId="0" borderId="1" xfId="0" quotePrefix="1" applyFont="1" applyBorder="1"/>
    <xf numFmtId="0" fontId="4" fillId="0" borderId="0" xfId="0" applyFont="1"/>
    <xf numFmtId="0" fontId="4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CB7F824-F76B-4310-9E38-4777C8DCA59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34584</xdr:colOff>
      <xdr:row>0</xdr:row>
      <xdr:rowOff>0</xdr:rowOff>
    </xdr:from>
    <xdr:to>
      <xdr:col>31</xdr:col>
      <xdr:colOff>34584</xdr:colOff>
      <xdr:row>74</xdr:row>
      <xdr:rowOff>110434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388BCCE-8C41-AD98-4CB0-2BB69FDAFBAC}"/>
            </a:ext>
          </a:extLst>
        </xdr:cNvPr>
        <xdr:cNvCxnSpPr/>
      </xdr:nvCxnSpPr>
      <xdr:spPr>
        <a:xfrm>
          <a:off x="20208534" y="0"/>
          <a:ext cx="0" cy="1154678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53910</xdr:colOff>
      <xdr:row>0</xdr:row>
      <xdr:rowOff>0</xdr:rowOff>
    </xdr:from>
    <xdr:to>
      <xdr:col>42</xdr:col>
      <xdr:colOff>53910</xdr:colOff>
      <xdr:row>74</xdr:row>
      <xdr:rowOff>110434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C05283F-9AC2-4834-8467-7265BBADC95C}"/>
            </a:ext>
          </a:extLst>
        </xdr:cNvPr>
        <xdr:cNvCxnSpPr/>
      </xdr:nvCxnSpPr>
      <xdr:spPr>
        <a:xfrm>
          <a:off x="26933460" y="0"/>
          <a:ext cx="0" cy="1186428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2020-BC36-4BFD-8C36-D62E271332A9}">
  <dimension ref="B2:M13"/>
  <sheetViews>
    <sheetView zoomScale="115" zoomScaleNormal="115" workbookViewId="0">
      <selection activeCell="M3" sqref="M3"/>
    </sheetView>
  </sheetViews>
  <sheetFormatPr defaultRowHeight="12.5" x14ac:dyDescent="0.25"/>
  <cols>
    <col min="1" max="1" width="3.26953125" customWidth="1"/>
    <col min="2" max="2" width="32.6328125" customWidth="1"/>
    <col min="3" max="3" width="22.1796875" bestFit="1" customWidth="1"/>
    <col min="4" max="4" width="8.90625" bestFit="1" customWidth="1"/>
  </cols>
  <sheetData>
    <row r="2" spans="2:13" x14ac:dyDescent="0.25">
      <c r="B2" s="8" t="s">
        <v>7</v>
      </c>
      <c r="C2" s="9" t="s">
        <v>79</v>
      </c>
      <c r="D2" s="9" t="s">
        <v>81</v>
      </c>
      <c r="E2" s="9"/>
      <c r="F2" s="9"/>
      <c r="G2" s="9"/>
      <c r="H2" s="9"/>
      <c r="I2" s="10"/>
      <c r="K2" t="s">
        <v>0</v>
      </c>
      <c r="L2" s="21">
        <v>31</v>
      </c>
    </row>
    <row r="3" spans="2:13" x14ac:dyDescent="0.25">
      <c r="B3" s="3" t="s">
        <v>14</v>
      </c>
      <c r="C3" t="s">
        <v>80</v>
      </c>
      <c r="D3" s="23">
        <v>43207</v>
      </c>
      <c r="I3" s="4"/>
      <c r="K3" t="s">
        <v>1</v>
      </c>
      <c r="L3" s="1">
        <v>98.489223999999993</v>
      </c>
      <c r="M3" s="2" t="s">
        <v>88</v>
      </c>
    </row>
    <row r="4" spans="2:13" x14ac:dyDescent="0.25">
      <c r="B4" s="3" t="s">
        <v>15</v>
      </c>
      <c r="I4" s="4"/>
      <c r="K4" t="s">
        <v>2</v>
      </c>
      <c r="L4" s="1">
        <f>+L2*L3</f>
        <v>3053.1659439999999</v>
      </c>
    </row>
    <row r="5" spans="2:13" x14ac:dyDescent="0.25">
      <c r="B5" s="3" t="s">
        <v>17</v>
      </c>
      <c r="I5" s="4"/>
      <c r="K5" t="s">
        <v>3</v>
      </c>
      <c r="L5" s="1">
        <f>175+238+121</f>
        <v>534</v>
      </c>
      <c r="M5" s="2" t="s">
        <v>88</v>
      </c>
    </row>
    <row r="6" spans="2:13" x14ac:dyDescent="0.25">
      <c r="B6" s="3" t="s">
        <v>16</v>
      </c>
      <c r="I6" s="4"/>
      <c r="K6" t="s">
        <v>4</v>
      </c>
      <c r="L6" s="1">
        <v>1128</v>
      </c>
      <c r="M6" s="2" t="s">
        <v>88</v>
      </c>
    </row>
    <row r="7" spans="2:13" x14ac:dyDescent="0.25">
      <c r="B7" s="8"/>
      <c r="C7" s="9"/>
      <c r="D7" s="12" t="s">
        <v>10</v>
      </c>
      <c r="E7" s="12" t="s">
        <v>21</v>
      </c>
      <c r="F7" s="12"/>
      <c r="G7" s="12"/>
      <c r="H7" s="12"/>
      <c r="I7" s="10"/>
      <c r="K7" t="s">
        <v>5</v>
      </c>
      <c r="L7" s="1">
        <f>+L4-L5+L6</f>
        <v>3647.1659439999999</v>
      </c>
    </row>
    <row r="8" spans="2:13" x14ac:dyDescent="0.25">
      <c r="B8" s="3" t="s">
        <v>8</v>
      </c>
      <c r="C8" t="s">
        <v>9</v>
      </c>
      <c r="D8" s="13" t="s">
        <v>11</v>
      </c>
      <c r="E8" s="13" t="s">
        <v>22</v>
      </c>
      <c r="F8" s="13"/>
      <c r="G8" s="13"/>
      <c r="H8" s="13"/>
      <c r="I8" s="4"/>
    </row>
    <row r="9" spans="2:13" x14ac:dyDescent="0.25">
      <c r="B9" s="3" t="s">
        <v>92</v>
      </c>
      <c r="C9" t="s">
        <v>13</v>
      </c>
      <c r="D9" s="13"/>
      <c r="E9" s="13"/>
      <c r="F9" s="13"/>
      <c r="G9" s="13"/>
      <c r="H9" s="13"/>
      <c r="I9" s="4"/>
    </row>
    <row r="10" spans="2:13" ht="13" x14ac:dyDescent="0.3">
      <c r="B10" s="25" t="s">
        <v>18</v>
      </c>
      <c r="C10" s="26" t="s">
        <v>19</v>
      </c>
      <c r="D10" s="27" t="s">
        <v>11</v>
      </c>
      <c r="E10" s="27" t="s">
        <v>23</v>
      </c>
      <c r="F10" s="13"/>
      <c r="G10" s="13"/>
      <c r="H10" s="13"/>
      <c r="I10" s="4"/>
    </row>
    <row r="11" spans="2:13" x14ac:dyDescent="0.25">
      <c r="B11" s="11" t="s">
        <v>98</v>
      </c>
      <c r="C11" t="s">
        <v>25</v>
      </c>
      <c r="D11" s="13" t="s">
        <v>102</v>
      </c>
      <c r="E11" s="13"/>
      <c r="F11" s="13"/>
      <c r="G11" s="13"/>
      <c r="H11" s="13"/>
      <c r="I11" s="4"/>
    </row>
    <row r="12" spans="2:13" x14ac:dyDescent="0.25">
      <c r="B12" s="11" t="s">
        <v>26</v>
      </c>
      <c r="C12" t="s">
        <v>27</v>
      </c>
      <c r="D12" s="13" t="s">
        <v>28</v>
      </c>
      <c r="E12" s="13" t="s">
        <v>22</v>
      </c>
      <c r="F12" s="13"/>
      <c r="G12" s="13"/>
      <c r="H12" s="13"/>
      <c r="I12" s="4"/>
    </row>
    <row r="13" spans="2:13" x14ac:dyDescent="0.25">
      <c r="B13" s="5" t="s">
        <v>99</v>
      </c>
      <c r="C13" s="6" t="s">
        <v>100</v>
      </c>
      <c r="D13" s="14" t="s">
        <v>101</v>
      </c>
      <c r="E13" s="14" t="s">
        <v>22</v>
      </c>
      <c r="F13" s="14"/>
      <c r="G13" s="14"/>
      <c r="H13" s="14"/>
      <c r="I1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52C2-6B65-42EA-86D4-7E669CBFF9A5}">
  <dimension ref="A1:DL35"/>
  <sheetViews>
    <sheetView tabSelected="1" zoomScaleNormal="100" workbookViewId="0">
      <pane xSplit="2" ySplit="2" topLeftCell="AP17" activePane="bottomRight" state="frozen"/>
      <selection pane="topRight" activeCell="C1" sqref="C1"/>
      <selection pane="bottomLeft" activeCell="A3" sqref="A3"/>
      <selection pane="bottomRight" activeCell="BD35" sqref="BD35"/>
    </sheetView>
  </sheetViews>
  <sheetFormatPr defaultRowHeight="12.5" x14ac:dyDescent="0.25"/>
  <cols>
    <col min="1" max="1" width="5" bestFit="1" customWidth="1"/>
    <col min="2" max="2" width="19.81640625" customWidth="1"/>
    <col min="3" max="26" width="9.1796875" style="2"/>
    <col min="55" max="55" width="9.6328125" bestFit="1" customWidth="1"/>
  </cols>
  <sheetData>
    <row r="1" spans="1:57" x14ac:dyDescent="0.25">
      <c r="A1" s="20" t="s">
        <v>29</v>
      </c>
    </row>
    <row r="2" spans="1:57" x14ac:dyDescent="0.25"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2" t="s">
        <v>50</v>
      </c>
      <c r="T2" s="2" t="s">
        <v>51</v>
      </c>
      <c r="U2" s="2" t="s">
        <v>52</v>
      </c>
      <c r="V2" s="2" t="s">
        <v>53</v>
      </c>
      <c r="W2" s="2" t="s">
        <v>6</v>
      </c>
      <c r="X2" s="2" t="s">
        <v>54</v>
      </c>
      <c r="Y2" s="2" t="s">
        <v>55</v>
      </c>
      <c r="Z2" s="2" t="s">
        <v>56</v>
      </c>
      <c r="AA2" s="2" t="s">
        <v>71</v>
      </c>
      <c r="AB2" s="2" t="s">
        <v>72</v>
      </c>
      <c r="AC2" s="2" t="s">
        <v>73</v>
      </c>
      <c r="AD2" s="2" t="s">
        <v>74</v>
      </c>
      <c r="AE2" s="2" t="s">
        <v>88</v>
      </c>
      <c r="AF2" s="2" t="s">
        <v>89</v>
      </c>
      <c r="AG2" s="2" t="s">
        <v>90</v>
      </c>
      <c r="AH2" s="2" t="s">
        <v>91</v>
      </c>
      <c r="AJ2">
        <v>2019</v>
      </c>
      <c r="AK2">
        <v>2020</v>
      </c>
      <c r="AL2">
        <v>2021</v>
      </c>
      <c r="AM2">
        <v>2022</v>
      </c>
      <c r="AN2">
        <v>2023</v>
      </c>
      <c r="AO2">
        <v>2024</v>
      </c>
      <c r="AP2">
        <v>2025</v>
      </c>
      <c r="AQ2">
        <v>2026</v>
      </c>
      <c r="AR2">
        <f>+AQ2+1</f>
        <v>2027</v>
      </c>
      <c r="AS2">
        <f t="shared" ref="AS2:BE2" si="0">+AR2+1</f>
        <v>2028</v>
      </c>
      <c r="AT2">
        <f t="shared" si="0"/>
        <v>2029</v>
      </c>
      <c r="AU2">
        <f t="shared" si="0"/>
        <v>2030</v>
      </c>
      <c r="AV2">
        <f t="shared" si="0"/>
        <v>2031</v>
      </c>
      <c r="AW2">
        <f t="shared" si="0"/>
        <v>2032</v>
      </c>
      <c r="AX2">
        <f t="shared" si="0"/>
        <v>2033</v>
      </c>
      <c r="AY2">
        <f t="shared" si="0"/>
        <v>2034</v>
      </c>
      <c r="AZ2">
        <f t="shared" si="0"/>
        <v>2035</v>
      </c>
      <c r="BA2">
        <f t="shared" si="0"/>
        <v>2036</v>
      </c>
      <c r="BB2">
        <f t="shared" si="0"/>
        <v>2037</v>
      </c>
      <c r="BC2">
        <f t="shared" si="0"/>
        <v>2038</v>
      </c>
      <c r="BD2">
        <f t="shared" si="0"/>
        <v>2039</v>
      </c>
      <c r="BE2">
        <f t="shared" si="0"/>
        <v>2040</v>
      </c>
    </row>
    <row r="3" spans="1:57" s="1" customFormat="1" x14ac:dyDescent="0.25">
      <c r="B3" t="s">
        <v>103</v>
      </c>
      <c r="C3" s="15"/>
      <c r="D3" s="15"/>
      <c r="E3" s="15"/>
      <c r="F3" s="15"/>
      <c r="G3" s="15"/>
      <c r="H3" s="15"/>
      <c r="I3" s="15">
        <v>3.2770000000000001</v>
      </c>
      <c r="J3" s="15"/>
      <c r="K3" s="15"/>
      <c r="L3" s="15"/>
      <c r="M3" s="15">
        <v>7.3780000000000001</v>
      </c>
      <c r="N3" s="15">
        <v>5.2720000000000002</v>
      </c>
      <c r="O3" s="15">
        <v>9.3940000000000001</v>
      </c>
      <c r="P3" s="15">
        <v>12.401999999999999</v>
      </c>
      <c r="Q3" s="15">
        <v>13.183999999999999</v>
      </c>
      <c r="R3" s="15">
        <v>7.6980000000000004</v>
      </c>
      <c r="S3" s="15">
        <v>21.234000000000002</v>
      </c>
      <c r="T3" s="15">
        <v>16.884</v>
      </c>
      <c r="U3" s="15">
        <v>19.2</v>
      </c>
      <c r="V3" s="15">
        <v>18.379000000000001</v>
      </c>
      <c r="W3" s="15">
        <v>36.241</v>
      </c>
      <c r="X3" s="15">
        <v>40.448999999999998</v>
      </c>
      <c r="Y3" s="15">
        <v>35.603999999999999</v>
      </c>
      <c r="Z3" s="15">
        <v>22.414999999999999</v>
      </c>
      <c r="AA3" s="1">
        <v>55.08</v>
      </c>
      <c r="AB3" s="1">
        <v>34.726999999999997</v>
      </c>
      <c r="AC3" s="1">
        <v>47</v>
      </c>
      <c r="AD3" s="1">
        <v>40</v>
      </c>
      <c r="AE3" s="2">
        <v>46</v>
      </c>
      <c r="AF3" s="1">
        <f>+AB3</f>
        <v>34.726999999999997</v>
      </c>
      <c r="AG3" s="1">
        <f t="shared" ref="AG3:AG8" si="1">+AC3</f>
        <v>47</v>
      </c>
      <c r="AH3" s="1">
        <f t="shared" ref="AH3:AH8" si="2">+AD3</f>
        <v>40</v>
      </c>
      <c r="AM3" s="1">
        <f>SUM(O3:R3)</f>
        <v>42.677999999999997</v>
      </c>
      <c r="AN3" s="1">
        <f>SUM(S3:V3)</f>
        <v>75.697000000000003</v>
      </c>
      <c r="AO3" s="1">
        <f t="shared" ref="AO3:AO8" si="3">SUM(W3:Z3)</f>
        <v>134.709</v>
      </c>
      <c r="AP3" s="1">
        <f t="shared" ref="AP3:AP12" si="4">SUM(AA3:AD3)</f>
        <v>176.80699999999999</v>
      </c>
      <c r="AQ3" s="1">
        <f>SUM(AE3:AH3)</f>
        <v>167.727</v>
      </c>
      <c r="AR3" s="1">
        <f t="shared" ref="AR3:AZ3" si="5">+AQ3</f>
        <v>167.727</v>
      </c>
      <c r="AS3" s="1">
        <f t="shared" si="5"/>
        <v>167.727</v>
      </c>
      <c r="AT3" s="1">
        <f t="shared" si="5"/>
        <v>167.727</v>
      </c>
      <c r="AU3" s="1">
        <f t="shared" si="5"/>
        <v>167.727</v>
      </c>
      <c r="AV3" s="1">
        <f t="shared" si="5"/>
        <v>167.727</v>
      </c>
      <c r="AW3" s="1">
        <f t="shared" si="5"/>
        <v>167.727</v>
      </c>
      <c r="AX3" s="1">
        <f t="shared" si="5"/>
        <v>167.727</v>
      </c>
      <c r="AY3" s="1">
        <f t="shared" si="5"/>
        <v>167.727</v>
      </c>
      <c r="AZ3" s="1">
        <f t="shared" si="5"/>
        <v>167.727</v>
      </c>
    </row>
    <row r="4" spans="1:57" s="1" customFormat="1" x14ac:dyDescent="0.25">
      <c r="B4" s="1" t="s">
        <v>104</v>
      </c>
      <c r="C4" s="15"/>
      <c r="D4" s="15"/>
      <c r="E4" s="15"/>
      <c r="F4" s="15"/>
      <c r="G4" s="15"/>
      <c r="H4" s="15"/>
      <c r="I4" s="15">
        <v>34.058</v>
      </c>
      <c r="J4" s="15"/>
      <c r="K4" s="15"/>
      <c r="L4" s="15"/>
      <c r="M4" s="15">
        <v>42.970999999999997</v>
      </c>
      <c r="N4" s="15">
        <v>50.210999999999999</v>
      </c>
      <c r="O4" s="15">
        <v>45.164000000000001</v>
      </c>
      <c r="P4" s="15">
        <v>51.609000000000002</v>
      </c>
      <c r="Q4" s="15">
        <v>5.3730000000000002</v>
      </c>
      <c r="R4" s="15">
        <v>66.903000000000006</v>
      </c>
      <c r="S4" s="15">
        <v>49.905999999999999</v>
      </c>
      <c r="T4" s="15">
        <v>61.314</v>
      </c>
      <c r="U4" s="15">
        <v>50.23</v>
      </c>
      <c r="V4" s="15">
        <v>70.123999999999995</v>
      </c>
      <c r="W4" s="15">
        <v>40.402000000000001</v>
      </c>
      <c r="X4" s="15">
        <v>67.045000000000002</v>
      </c>
      <c r="Y4" s="15">
        <v>55.984999999999999</v>
      </c>
      <c r="Z4" s="15">
        <v>85.534000000000006</v>
      </c>
      <c r="AA4" s="1">
        <v>40.853000000000002</v>
      </c>
      <c r="AB4" s="1">
        <v>79.082999999999998</v>
      </c>
      <c r="AC4" s="1">
        <v>57</v>
      </c>
      <c r="AD4" s="1">
        <v>97</v>
      </c>
      <c r="AE4" s="1">
        <v>39</v>
      </c>
      <c r="AF4" s="1">
        <f t="shared" ref="AF4:AF8" si="6">+AB4</f>
        <v>79.082999999999998</v>
      </c>
      <c r="AG4" s="1">
        <f t="shared" si="1"/>
        <v>57</v>
      </c>
      <c r="AH4" s="1">
        <f t="shared" si="2"/>
        <v>97</v>
      </c>
      <c r="AM4" s="1">
        <f t="shared" ref="AM4:AM12" si="7">SUM(O4:R4)</f>
        <v>169.04900000000001</v>
      </c>
      <c r="AN4" s="1">
        <f t="shared" ref="AN4:AN12" si="8">SUM(S4:V4)</f>
        <v>231.57399999999998</v>
      </c>
      <c r="AO4" s="1">
        <f t="shared" si="3"/>
        <v>248.96600000000001</v>
      </c>
      <c r="AP4" s="1">
        <f t="shared" si="4"/>
        <v>273.93600000000004</v>
      </c>
      <c r="AQ4" s="1">
        <f>SUM(AE4:AH4)</f>
        <v>272.08299999999997</v>
      </c>
      <c r="AR4" s="1">
        <f t="shared" ref="AR4:AZ4" si="9">+AQ4</f>
        <v>272.08299999999997</v>
      </c>
      <c r="AS4" s="1">
        <f t="shared" si="9"/>
        <v>272.08299999999997</v>
      </c>
      <c r="AT4" s="1">
        <f t="shared" si="9"/>
        <v>272.08299999999997</v>
      </c>
      <c r="AU4" s="1">
        <f t="shared" si="9"/>
        <v>272.08299999999997</v>
      </c>
      <c r="AV4" s="1">
        <f t="shared" si="9"/>
        <v>272.08299999999997</v>
      </c>
      <c r="AW4" s="1">
        <f t="shared" si="9"/>
        <v>272.08299999999997</v>
      </c>
      <c r="AX4" s="1">
        <f t="shared" si="9"/>
        <v>272.08299999999997</v>
      </c>
      <c r="AY4" s="1">
        <f t="shared" si="9"/>
        <v>272.08299999999997</v>
      </c>
      <c r="AZ4" s="1">
        <f t="shared" si="9"/>
        <v>272.08299999999997</v>
      </c>
    </row>
    <row r="5" spans="1:57" s="1" customFormat="1" x14ac:dyDescent="0.25">
      <c r="B5" s="1" t="s">
        <v>69</v>
      </c>
      <c r="C5" s="15"/>
      <c r="D5" s="15"/>
      <c r="E5" s="15"/>
      <c r="F5" s="15"/>
      <c r="G5" s="15"/>
      <c r="H5" s="15"/>
      <c r="I5" s="15">
        <v>3.331</v>
      </c>
      <c r="J5" s="15"/>
      <c r="K5" s="15"/>
      <c r="L5" s="15"/>
      <c r="M5" s="15">
        <v>4.665</v>
      </c>
      <c r="N5" s="15">
        <v>4.7409999999999997</v>
      </c>
      <c r="O5" s="15">
        <v>4.8380000000000001</v>
      </c>
      <c r="P5" s="15">
        <v>5.423</v>
      </c>
      <c r="Q5" s="15">
        <f>51.348</f>
        <v>51.347999999999999</v>
      </c>
      <c r="R5" s="15">
        <v>6.0579999999999998</v>
      </c>
      <c r="S5" s="15">
        <v>4.8819999999999997</v>
      </c>
      <c r="T5" s="15">
        <v>4.8159999999999998</v>
      </c>
      <c r="U5" s="15">
        <v>5.4729999999999999</v>
      </c>
      <c r="V5" s="15">
        <v>5.6120000000000001</v>
      </c>
      <c r="W5" s="15">
        <v>5.9420000000000002</v>
      </c>
      <c r="X5" s="15">
        <v>6.1760000000000002</v>
      </c>
      <c r="Y5" s="15">
        <v>6.258</v>
      </c>
      <c r="Z5" s="15">
        <v>7.4729999999999999</v>
      </c>
      <c r="AA5" s="1">
        <v>6.9320000000000004</v>
      </c>
      <c r="AB5" s="1">
        <v>6.5960000000000001</v>
      </c>
      <c r="AC5" s="1">
        <v>8</v>
      </c>
      <c r="AD5" s="1">
        <v>8</v>
      </c>
      <c r="AE5" s="1">
        <v>8</v>
      </c>
      <c r="AF5" s="1">
        <f t="shared" si="6"/>
        <v>6.5960000000000001</v>
      </c>
      <c r="AG5" s="1">
        <f t="shared" si="1"/>
        <v>8</v>
      </c>
      <c r="AH5" s="1">
        <f t="shared" si="2"/>
        <v>8</v>
      </c>
      <c r="AM5" s="1">
        <f t="shared" si="7"/>
        <v>67.667000000000002</v>
      </c>
      <c r="AN5" s="1">
        <f t="shared" si="8"/>
        <v>20.783000000000001</v>
      </c>
      <c r="AO5" s="1">
        <f t="shared" si="3"/>
        <v>25.849</v>
      </c>
      <c r="AP5" s="1">
        <f t="shared" si="4"/>
        <v>29.527999999999999</v>
      </c>
      <c r="AQ5" s="1">
        <f>SUM(AE5:AH5)</f>
        <v>30.596</v>
      </c>
      <c r="AR5" s="1">
        <f t="shared" ref="AR5:AZ5" si="10">+AQ5</f>
        <v>30.596</v>
      </c>
      <c r="AS5" s="1">
        <f t="shared" si="10"/>
        <v>30.596</v>
      </c>
      <c r="AT5" s="1">
        <f t="shared" si="10"/>
        <v>30.596</v>
      </c>
      <c r="AU5" s="1">
        <f t="shared" si="10"/>
        <v>30.596</v>
      </c>
      <c r="AV5" s="1">
        <f t="shared" si="10"/>
        <v>30.596</v>
      </c>
      <c r="AW5" s="1">
        <f t="shared" si="10"/>
        <v>30.596</v>
      </c>
      <c r="AX5" s="1">
        <f t="shared" si="10"/>
        <v>30.596</v>
      </c>
      <c r="AY5" s="1">
        <f t="shared" si="10"/>
        <v>30.596</v>
      </c>
      <c r="AZ5" s="1">
        <f t="shared" si="10"/>
        <v>30.596</v>
      </c>
    </row>
    <row r="6" spans="1:57" s="1" customFormat="1" x14ac:dyDescent="0.25">
      <c r="B6" s="1" t="s">
        <v>15</v>
      </c>
      <c r="C6" s="15"/>
      <c r="D6" s="15"/>
      <c r="E6" s="15"/>
      <c r="F6" s="15"/>
      <c r="G6" s="15"/>
      <c r="H6" s="15"/>
      <c r="I6" s="15">
        <v>3.8620000000000001</v>
      </c>
      <c r="J6" s="15"/>
      <c r="K6" s="15"/>
      <c r="L6" s="15"/>
      <c r="M6" s="15">
        <v>10.654</v>
      </c>
      <c r="N6" s="15">
        <v>11.824999999999999</v>
      </c>
      <c r="O6" s="15">
        <v>12.429</v>
      </c>
      <c r="P6" s="15">
        <v>13.497</v>
      </c>
      <c r="Q6" s="15">
        <v>13.273999999999999</v>
      </c>
      <c r="R6" s="15">
        <v>16.411999999999999</v>
      </c>
      <c r="S6" s="15">
        <v>14.303000000000001</v>
      </c>
      <c r="T6" s="15">
        <v>16.491</v>
      </c>
      <c r="U6" s="15">
        <v>16.553000000000001</v>
      </c>
      <c r="V6" s="15">
        <v>23.286000000000001</v>
      </c>
      <c r="W6" s="15">
        <v>16.361999999999998</v>
      </c>
      <c r="X6" s="15">
        <v>19.355</v>
      </c>
      <c r="Y6" s="15">
        <v>21.373999999999999</v>
      </c>
      <c r="Z6" s="15">
        <v>31.103000000000002</v>
      </c>
      <c r="AA6" s="1">
        <v>17.009</v>
      </c>
      <c r="AB6" s="1">
        <v>23.207000000000001</v>
      </c>
      <c r="AC6" s="1">
        <v>24</v>
      </c>
      <c r="AD6" s="1">
        <v>32</v>
      </c>
      <c r="AE6" s="1">
        <v>18</v>
      </c>
      <c r="AF6" s="1">
        <f t="shared" si="6"/>
        <v>23.207000000000001</v>
      </c>
      <c r="AG6" s="1">
        <f t="shared" si="1"/>
        <v>24</v>
      </c>
      <c r="AH6" s="1">
        <f t="shared" si="2"/>
        <v>32</v>
      </c>
      <c r="AM6" s="1">
        <f t="shared" si="7"/>
        <v>55.612000000000002</v>
      </c>
      <c r="AN6" s="1">
        <f t="shared" si="8"/>
        <v>70.63300000000001</v>
      </c>
      <c r="AO6" s="1">
        <f t="shared" si="3"/>
        <v>88.193999999999988</v>
      </c>
      <c r="AP6" s="1">
        <f t="shared" si="4"/>
        <v>96.216000000000008</v>
      </c>
      <c r="AQ6" s="1">
        <f>SUM(AE6:AH6)</f>
        <v>97.206999999999994</v>
      </c>
      <c r="AR6" s="1">
        <f t="shared" ref="AR6:AZ6" si="11">+AQ6*1.01</f>
        <v>98.179069999999996</v>
      </c>
      <c r="AS6" s="1">
        <f t="shared" si="11"/>
        <v>99.160860700000001</v>
      </c>
      <c r="AT6" s="1">
        <f t="shared" si="11"/>
        <v>100.152469307</v>
      </c>
      <c r="AU6" s="1">
        <f t="shared" si="11"/>
        <v>101.15399400007</v>
      </c>
      <c r="AV6" s="1">
        <f t="shared" si="11"/>
        <v>102.1655339400707</v>
      </c>
      <c r="AW6" s="1">
        <f t="shared" si="11"/>
        <v>103.18718927947141</v>
      </c>
      <c r="AX6" s="1">
        <f t="shared" si="11"/>
        <v>104.21906117226612</v>
      </c>
      <c r="AY6" s="1">
        <f t="shared" si="11"/>
        <v>105.26125178398878</v>
      </c>
      <c r="AZ6" s="1">
        <f t="shared" si="11"/>
        <v>106.31386430182867</v>
      </c>
    </row>
    <row r="7" spans="1:57" s="1" customFormat="1" x14ac:dyDescent="0.25">
      <c r="B7" s="1" t="s">
        <v>16</v>
      </c>
      <c r="C7" s="15"/>
      <c r="D7" s="15"/>
      <c r="E7" s="15"/>
      <c r="F7" s="15"/>
      <c r="G7" s="15"/>
      <c r="H7" s="15"/>
      <c r="I7" s="15">
        <v>4.0759999999999996</v>
      </c>
      <c r="J7" s="15"/>
      <c r="K7" s="15"/>
      <c r="L7" s="15"/>
      <c r="M7" s="15">
        <v>3.9180000000000001</v>
      </c>
      <c r="N7" s="15">
        <v>3.1110000000000002</v>
      </c>
      <c r="O7" s="15">
        <v>4.8609999999999998</v>
      </c>
      <c r="P7" s="15">
        <v>4.9329999999999998</v>
      </c>
      <c r="Q7" s="15">
        <v>6.0449999999999999</v>
      </c>
      <c r="R7" s="15">
        <v>4.798</v>
      </c>
      <c r="S7" s="15">
        <v>8.48</v>
      </c>
      <c r="T7" s="15">
        <v>8.4390000000000001</v>
      </c>
      <c r="U7" s="15">
        <v>5.633</v>
      </c>
      <c r="V7" s="15">
        <v>7.8890000000000002</v>
      </c>
      <c r="W7" s="15">
        <v>6.6109999999999998</v>
      </c>
      <c r="X7" s="15">
        <v>6.1449999999999996</v>
      </c>
      <c r="Y7" s="15">
        <v>9.6159999999999997</v>
      </c>
      <c r="Z7" s="15">
        <v>7.9779999999999998</v>
      </c>
      <c r="AA7" s="1">
        <v>8.3870000000000005</v>
      </c>
      <c r="AB7" s="1">
        <v>8.31</v>
      </c>
      <c r="AC7" s="1">
        <v>7</v>
      </c>
      <c r="AD7" s="1">
        <v>13</v>
      </c>
      <c r="AE7" s="1">
        <v>7</v>
      </c>
      <c r="AF7" s="1">
        <f t="shared" si="6"/>
        <v>8.31</v>
      </c>
      <c r="AG7" s="1">
        <f t="shared" si="1"/>
        <v>7</v>
      </c>
      <c r="AH7" s="1">
        <f t="shared" si="2"/>
        <v>13</v>
      </c>
      <c r="AM7" s="1">
        <f t="shared" si="7"/>
        <v>20.637</v>
      </c>
      <c r="AN7" s="1">
        <f t="shared" si="8"/>
        <v>30.440999999999999</v>
      </c>
      <c r="AO7" s="1">
        <f t="shared" si="3"/>
        <v>30.35</v>
      </c>
      <c r="AP7" s="1">
        <f t="shared" si="4"/>
        <v>36.697000000000003</v>
      </c>
      <c r="AQ7" s="1">
        <f>SUM(AE7:AH7)</f>
        <v>35.31</v>
      </c>
      <c r="AR7" s="1">
        <f t="shared" ref="AR7:AZ7" si="12">+AQ7*1.01</f>
        <v>35.6631</v>
      </c>
      <c r="AS7" s="1">
        <f t="shared" si="12"/>
        <v>36.019731</v>
      </c>
      <c r="AT7" s="1">
        <f t="shared" si="12"/>
        <v>36.379928310000004</v>
      </c>
      <c r="AU7" s="1">
        <f t="shared" si="12"/>
        <v>36.743727593100004</v>
      </c>
      <c r="AV7" s="1">
        <f t="shared" si="12"/>
        <v>37.111164869031008</v>
      </c>
      <c r="AW7" s="1">
        <f t="shared" si="12"/>
        <v>37.482276517721317</v>
      </c>
      <c r="AX7" s="1">
        <f t="shared" si="12"/>
        <v>37.857099282898531</v>
      </c>
      <c r="AY7" s="1">
        <f t="shared" si="12"/>
        <v>38.235670275727514</v>
      </c>
      <c r="AZ7" s="1">
        <f t="shared" si="12"/>
        <v>38.618026978484792</v>
      </c>
    </row>
    <row r="8" spans="1:57" s="1" customFormat="1" x14ac:dyDescent="0.25">
      <c r="B8" s="1" t="s">
        <v>17</v>
      </c>
      <c r="C8" s="15"/>
      <c r="D8" s="15"/>
      <c r="E8" s="15"/>
      <c r="F8" s="15"/>
      <c r="G8" s="15"/>
      <c r="H8" s="15"/>
      <c r="I8" s="15">
        <v>0</v>
      </c>
      <c r="J8" s="15"/>
      <c r="K8" s="15"/>
      <c r="L8" s="15"/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0.21199999999999999</v>
      </c>
      <c r="T8" s="15">
        <v>0.36499999999999999</v>
      </c>
      <c r="U8" s="15">
        <v>0.96299999999999997</v>
      </c>
      <c r="V8" s="15">
        <v>2.1019999999999999</v>
      </c>
      <c r="W8" s="15">
        <v>3.2749999999999999</v>
      </c>
      <c r="X8" s="15">
        <v>7.8559999999999999</v>
      </c>
      <c r="Y8" s="15">
        <v>10.657</v>
      </c>
      <c r="Z8" s="15">
        <v>10.374000000000001</v>
      </c>
      <c r="AA8" s="1">
        <v>11.031000000000001</v>
      </c>
      <c r="AB8" s="1">
        <v>14.573</v>
      </c>
      <c r="AC8" s="1">
        <v>17</v>
      </c>
      <c r="AD8" s="1">
        <v>17</v>
      </c>
      <c r="AE8" s="1">
        <v>18</v>
      </c>
      <c r="AF8" s="1">
        <f t="shared" si="6"/>
        <v>14.573</v>
      </c>
      <c r="AG8" s="1">
        <f t="shared" si="1"/>
        <v>17</v>
      </c>
      <c r="AH8" s="1">
        <f t="shared" si="2"/>
        <v>17</v>
      </c>
      <c r="AM8" s="1">
        <f t="shared" si="7"/>
        <v>0</v>
      </c>
      <c r="AN8" s="1">
        <f t="shared" si="8"/>
        <v>3.6419999999999999</v>
      </c>
      <c r="AO8" s="1">
        <f t="shared" si="3"/>
        <v>32.161999999999999</v>
      </c>
      <c r="AP8" s="1">
        <f t="shared" si="4"/>
        <v>59.603999999999999</v>
      </c>
      <c r="AQ8" s="1">
        <f>SUM(AE8:AH8)</f>
        <v>66.573000000000008</v>
      </c>
      <c r="AR8" s="1">
        <f t="shared" ref="AR8:AZ8" si="13">+AQ8*1.01</f>
        <v>67.238730000000004</v>
      </c>
      <c r="AS8" s="1">
        <f t="shared" si="13"/>
        <v>67.911117300000001</v>
      </c>
      <c r="AT8" s="1">
        <f t="shared" si="13"/>
        <v>68.590228472999996</v>
      </c>
      <c r="AU8" s="1">
        <f t="shared" si="13"/>
        <v>69.276130757730002</v>
      </c>
      <c r="AV8" s="1">
        <f t="shared" si="13"/>
        <v>69.968892065307301</v>
      </c>
      <c r="AW8" s="1">
        <f t="shared" si="13"/>
        <v>70.668580985960375</v>
      </c>
      <c r="AX8" s="1">
        <f t="shared" si="13"/>
        <v>71.375266795819982</v>
      </c>
      <c r="AY8" s="1">
        <f t="shared" si="13"/>
        <v>72.089019463778186</v>
      </c>
      <c r="AZ8" s="1">
        <f t="shared" si="13"/>
        <v>72.809909658415975</v>
      </c>
    </row>
    <row r="9" spans="1:57" s="1" customFormat="1" x14ac:dyDescent="0.25">
      <c r="B9" s="1" t="s">
        <v>12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57" s="1" customFormat="1" x14ac:dyDescent="0.25">
      <c r="B10" s="1" t="s">
        <v>24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Q10" s="1">
        <v>5</v>
      </c>
      <c r="AR10" s="1">
        <v>50</v>
      </c>
      <c r="AS10" s="1">
        <v>100</v>
      </c>
      <c r="AT10" s="1">
        <f>+AS10*1.01</f>
        <v>101</v>
      </c>
      <c r="AU10" s="1">
        <f t="shared" ref="AU9:AZ10" si="14">+AT10*1.01</f>
        <v>102.01</v>
      </c>
      <c r="AV10" s="1">
        <f t="shared" si="14"/>
        <v>103.0301</v>
      </c>
      <c r="AW10" s="1">
        <f t="shared" si="14"/>
        <v>104.060401</v>
      </c>
      <c r="AX10" s="1">
        <f t="shared" si="14"/>
        <v>105.10100500999999</v>
      </c>
      <c r="AY10" s="1">
        <f t="shared" si="14"/>
        <v>106.1520150601</v>
      </c>
      <c r="AZ10" s="1">
        <f t="shared" si="14"/>
        <v>107.213535210701</v>
      </c>
    </row>
    <row r="11" spans="1:57" s="1" customFormat="1" x14ac:dyDescent="0.25">
      <c r="B11" s="1" t="s">
        <v>20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Q11" s="1">
        <v>5</v>
      </c>
      <c r="AR11" s="1">
        <v>50</v>
      </c>
      <c r="AS11" s="1">
        <v>100</v>
      </c>
      <c r="AT11" s="1">
        <v>150</v>
      </c>
      <c r="AU11" s="1">
        <v>200</v>
      </c>
      <c r="AV11" s="1">
        <f t="shared" ref="AT11:AZ11" si="15">+AU11*1.01</f>
        <v>202</v>
      </c>
      <c r="AW11" s="1">
        <f t="shared" si="15"/>
        <v>204.02</v>
      </c>
      <c r="AX11" s="1">
        <f t="shared" si="15"/>
        <v>206.06020000000001</v>
      </c>
      <c r="AY11" s="1">
        <f t="shared" si="15"/>
        <v>208.120802</v>
      </c>
      <c r="AZ11" s="1">
        <f t="shared" si="15"/>
        <v>210.20201001999999</v>
      </c>
    </row>
    <row r="12" spans="1:57" s="1" customFormat="1" x14ac:dyDescent="0.25">
      <c r="B12" s="1" t="s">
        <v>70</v>
      </c>
      <c r="C12" s="15"/>
      <c r="D12" s="15"/>
      <c r="E12" s="15"/>
      <c r="F12" s="15"/>
      <c r="G12" s="15"/>
      <c r="H12" s="15"/>
      <c r="I12" s="15">
        <v>32.866</v>
      </c>
      <c r="J12" s="15"/>
      <c r="K12" s="15"/>
      <c r="L12" s="15"/>
      <c r="M12" s="15">
        <v>12.061</v>
      </c>
      <c r="N12" s="15">
        <v>8.2289999999999992</v>
      </c>
      <c r="O12" s="15">
        <v>3.2490000000000001</v>
      </c>
      <c r="P12" s="15">
        <v>1.4790000000000001</v>
      </c>
      <c r="Q12" s="15">
        <v>1.4790000000000001</v>
      </c>
      <c r="R12" s="15">
        <v>1.4790000000000001</v>
      </c>
      <c r="S12" s="15">
        <v>1.4790000000000001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">
        <v>0</v>
      </c>
      <c r="AB12" s="1">
        <v>0</v>
      </c>
      <c r="AC12" s="1">
        <v>0</v>
      </c>
      <c r="AD12" s="1">
        <v>0</v>
      </c>
      <c r="AM12" s="1">
        <f t="shared" si="7"/>
        <v>7.6859999999999999</v>
      </c>
      <c r="AN12" s="1">
        <f t="shared" si="8"/>
        <v>1.4790000000000001</v>
      </c>
      <c r="AO12" s="1">
        <f t="shared" ref="AO12:AO15" si="16">SUM(W12:Z12)</f>
        <v>0</v>
      </c>
      <c r="AP12" s="1">
        <f t="shared" si="4"/>
        <v>0</v>
      </c>
    </row>
    <row r="13" spans="1:57" s="1" customFormat="1" x14ac:dyDescent="0.25">
      <c r="B13" s="1" t="s">
        <v>30</v>
      </c>
      <c r="C13" s="15"/>
      <c r="D13" s="15"/>
      <c r="E13" s="15"/>
      <c r="F13" s="15"/>
      <c r="G13" s="15"/>
      <c r="H13" s="15"/>
      <c r="I13" s="15">
        <f t="shared" ref="I13" si="17">+I3+I6+I7+I8</f>
        <v>11.215</v>
      </c>
      <c r="J13" s="15"/>
      <c r="K13" s="15"/>
      <c r="L13" s="15"/>
      <c r="M13" s="15">
        <f t="shared" ref="M13" si="18">+M3+M6+M7+M8</f>
        <v>21.95</v>
      </c>
      <c r="N13" s="15">
        <f t="shared" ref="N13:O13" si="19">+N3+N6+N7+N8</f>
        <v>20.208000000000002</v>
      </c>
      <c r="O13" s="15">
        <f t="shared" si="19"/>
        <v>26.684000000000001</v>
      </c>
      <c r="P13" s="15">
        <f>+P3+P6+P7+P8</f>
        <v>30.832000000000001</v>
      </c>
      <c r="Q13" s="15">
        <f>+Q3+Q6+Q7+Q8</f>
        <v>32.503</v>
      </c>
      <c r="R13" s="15">
        <f>+R3+R6+R7+R8</f>
        <v>28.908000000000001</v>
      </c>
      <c r="S13" s="15">
        <f>+S3+S6+S7+S8</f>
        <v>44.229000000000013</v>
      </c>
      <c r="T13" s="15">
        <f>T3+T6+T7+T8</f>
        <v>42.179000000000002</v>
      </c>
      <c r="U13" s="15">
        <f>+U3+U6+U7+U8</f>
        <v>42.349000000000004</v>
      </c>
      <c r="V13" s="15">
        <f>+V3+V6+V7+V8</f>
        <v>51.656000000000006</v>
      </c>
      <c r="W13" s="15">
        <f>+W3+W6+W7+W8</f>
        <v>62.48899999999999</v>
      </c>
      <c r="X13" s="15">
        <f>X3+X6+X7+X8</f>
        <v>73.804999999999993</v>
      </c>
      <c r="Y13" s="15">
        <f>Y3+Y6+Y7+Y8</f>
        <v>77.250999999999991</v>
      </c>
      <c r="Z13" s="15">
        <f>Z3+Z6+Z7+Z8</f>
        <v>71.87</v>
      </c>
      <c r="AA13" s="15">
        <f>AA3+AA6+AA7+AA8</f>
        <v>91.507000000000005</v>
      </c>
      <c r="AB13" s="15">
        <f>AB3+AB6+AB7+AB8</f>
        <v>80.817000000000007</v>
      </c>
      <c r="AC13" s="15">
        <f>AC3+AC6+AC7+AC8</f>
        <v>95</v>
      </c>
      <c r="AD13" s="15">
        <f>AD3+AD6+AD7+AD8</f>
        <v>102</v>
      </c>
      <c r="AE13" s="15">
        <f>AE3+AE6+AE7+AE8</f>
        <v>89</v>
      </c>
      <c r="AF13" s="15">
        <f t="shared" ref="AF13:AH13" si="20">AF3+AF6+AF7+AF8</f>
        <v>80.817000000000007</v>
      </c>
      <c r="AG13" s="15">
        <f t="shared" si="20"/>
        <v>95</v>
      </c>
      <c r="AH13" s="15">
        <f t="shared" si="20"/>
        <v>102</v>
      </c>
      <c r="AM13" s="15">
        <f>AM3+AM6+AM7+AM8+AM11</f>
        <v>118.92699999999999</v>
      </c>
      <c r="AN13" s="15">
        <f t="shared" ref="AN13:AZ13" si="21">AN3+AN6+AN7+AN8+AN11</f>
        <v>180.41300000000001</v>
      </c>
      <c r="AO13" s="15">
        <f t="shared" si="21"/>
        <v>285.41499999999996</v>
      </c>
      <c r="AP13" s="15">
        <f t="shared" si="21"/>
        <v>369.32400000000001</v>
      </c>
      <c r="AQ13" s="15"/>
      <c r="AR13" s="15"/>
      <c r="AS13" s="15"/>
      <c r="AT13" s="15"/>
      <c r="AU13" s="15"/>
      <c r="AV13" s="15"/>
      <c r="AW13" s="15"/>
      <c r="AX13" s="15"/>
      <c r="AY13" s="15"/>
      <c r="AZ13" s="15"/>
    </row>
    <row r="14" spans="1:57" s="1" customFormat="1" x14ac:dyDescent="0.25">
      <c r="B14" s="1" t="s">
        <v>31</v>
      </c>
      <c r="C14" s="15"/>
      <c r="D14" s="15"/>
      <c r="E14" s="15"/>
      <c r="F14" s="15"/>
      <c r="G14" s="15"/>
      <c r="H14" s="15"/>
      <c r="I14" s="15">
        <f t="shared" ref="I14" si="22">+I4+I5</f>
        <v>37.389000000000003</v>
      </c>
      <c r="J14" s="15"/>
      <c r="K14" s="15"/>
      <c r="L14" s="15"/>
      <c r="M14" s="15">
        <f t="shared" ref="M14" si="23">+M4+M5</f>
        <v>47.635999999999996</v>
      </c>
      <c r="N14" s="15">
        <f t="shared" ref="N14:O14" si="24">+N4+N5</f>
        <v>54.951999999999998</v>
      </c>
      <c r="O14" s="15">
        <f t="shared" si="24"/>
        <v>50.002000000000002</v>
      </c>
      <c r="P14" s="15">
        <f t="shared" ref="P14:AA14" si="25">+P4+P5</f>
        <v>57.032000000000004</v>
      </c>
      <c r="Q14" s="15">
        <f t="shared" si="25"/>
        <v>56.720999999999997</v>
      </c>
      <c r="R14" s="15">
        <f t="shared" si="25"/>
        <v>72.961000000000013</v>
      </c>
      <c r="S14" s="15">
        <f t="shared" si="25"/>
        <v>54.787999999999997</v>
      </c>
      <c r="T14" s="15">
        <f t="shared" si="25"/>
        <v>66.13</v>
      </c>
      <c r="U14" s="15">
        <f t="shared" si="25"/>
        <v>55.702999999999996</v>
      </c>
      <c r="V14" s="15">
        <f t="shared" si="25"/>
        <v>75.73599999999999</v>
      </c>
      <c r="W14" s="15">
        <f t="shared" si="25"/>
        <v>46.344000000000001</v>
      </c>
      <c r="X14" s="15">
        <f t="shared" si="25"/>
        <v>73.221000000000004</v>
      </c>
      <c r="Y14" s="15">
        <f t="shared" si="25"/>
        <v>62.243000000000002</v>
      </c>
      <c r="Z14" s="15">
        <f t="shared" si="25"/>
        <v>93.007000000000005</v>
      </c>
      <c r="AA14" s="15">
        <f t="shared" si="25"/>
        <v>47.785000000000004</v>
      </c>
      <c r="AB14" s="15">
        <f t="shared" ref="AB14:AE14" si="26">+AB4+AB5</f>
        <v>85.679000000000002</v>
      </c>
      <c r="AC14" s="15">
        <f t="shared" si="26"/>
        <v>65</v>
      </c>
      <c r="AD14" s="15">
        <f t="shared" si="26"/>
        <v>105</v>
      </c>
      <c r="AE14" s="15">
        <f t="shared" si="26"/>
        <v>47</v>
      </c>
      <c r="AF14" s="15">
        <f t="shared" ref="AF14:AH14" si="27">+AF4+AF5</f>
        <v>85.679000000000002</v>
      </c>
      <c r="AG14" s="15">
        <f t="shared" si="27"/>
        <v>65</v>
      </c>
      <c r="AH14" s="15">
        <f t="shared" si="27"/>
        <v>105</v>
      </c>
      <c r="AM14" s="15">
        <f t="shared" ref="AM14" si="28">+AM4+AM5</f>
        <v>236.71600000000001</v>
      </c>
      <c r="AN14" s="15">
        <f t="shared" ref="AN14" si="29">+AN4+AN5</f>
        <v>252.35699999999997</v>
      </c>
      <c r="AO14" s="15">
        <f t="shared" ref="AO14:AP14" si="30">+AO4+AO5</f>
        <v>274.815</v>
      </c>
      <c r="AP14" s="15">
        <f t="shared" si="30"/>
        <v>303.46400000000006</v>
      </c>
      <c r="AQ14" s="15"/>
      <c r="AR14" s="15"/>
      <c r="AS14" s="15"/>
      <c r="AT14" s="15"/>
      <c r="AU14" s="15"/>
      <c r="AV14" s="15"/>
      <c r="AW14" s="15"/>
      <c r="AX14" s="15"/>
      <c r="AY14" s="15"/>
      <c r="AZ14" s="15"/>
    </row>
    <row r="15" spans="1:57" s="1" customFormat="1" x14ac:dyDescent="0.25">
      <c r="B15" s="1" t="s">
        <v>32</v>
      </c>
      <c r="C15" s="15"/>
      <c r="D15" s="15"/>
      <c r="E15" s="15"/>
      <c r="F15" s="15"/>
      <c r="G15" s="15"/>
      <c r="H15" s="15"/>
      <c r="I15" s="15">
        <f>+I12</f>
        <v>32.866</v>
      </c>
      <c r="J15" s="15"/>
      <c r="K15" s="15"/>
      <c r="L15" s="15"/>
      <c r="M15" s="15">
        <f>+M12</f>
        <v>12.061</v>
      </c>
      <c r="N15" s="15">
        <f>+N12</f>
        <v>8.2289999999999992</v>
      </c>
      <c r="O15" s="15">
        <v>3.2490000000000001</v>
      </c>
      <c r="P15" s="15">
        <v>1.4790000000000001</v>
      </c>
      <c r="Q15" s="15">
        <v>1.4790000000000001</v>
      </c>
      <c r="R15" s="15">
        <v>1.4790000000000001</v>
      </c>
      <c r="S15" s="15">
        <v>1.4790000000000001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M15" s="1">
        <f t="shared" ref="AM15" si="31">SUM(U15:X15)</f>
        <v>0</v>
      </c>
      <c r="AN15" s="1">
        <f t="shared" ref="AN15" si="32">SUM(V15:Y15)</f>
        <v>0</v>
      </c>
      <c r="AO15" s="1">
        <f t="shared" si="16"/>
        <v>0</v>
      </c>
      <c r="AP15" s="1">
        <f t="shared" ref="AP15" si="33">SUM(X15:AA15)</f>
        <v>0</v>
      </c>
      <c r="AQ15" s="1">
        <f t="shared" ref="AQ15" si="34">SUM(Y15:AB15)</f>
        <v>0</v>
      </c>
      <c r="AR15" s="1">
        <f t="shared" ref="AR15" si="35">SUM(Z15:AC15)</f>
        <v>0</v>
      </c>
      <c r="AS15" s="1">
        <f t="shared" ref="AS15" si="36">SUM(AA15:AD15)</f>
        <v>0</v>
      </c>
      <c r="AT15" s="1">
        <f t="shared" ref="AT15" si="37">SUM(AB15:AE15)</f>
        <v>0</v>
      </c>
      <c r="AU15" s="1">
        <f t="shared" ref="AU15" si="38">SUM(AC15:AF15)</f>
        <v>0</v>
      </c>
      <c r="AV15" s="1">
        <f t="shared" ref="AV15" si="39">SUM(AD15:AG15)</f>
        <v>0</v>
      </c>
      <c r="AW15" s="1">
        <f t="shared" ref="AW15" si="40">SUM(AE15:AH15)</f>
        <v>0</v>
      </c>
      <c r="AX15" s="1">
        <f t="shared" ref="AX15" si="41">SUM(AF15:AI15)</f>
        <v>0</v>
      </c>
      <c r="AY15" s="1">
        <f t="shared" ref="AY15" si="42">SUM(AG15:AM15)</f>
        <v>0</v>
      </c>
      <c r="AZ15" s="1">
        <f t="shared" ref="AZ15" si="43">SUM(AH15:AN15)</f>
        <v>0</v>
      </c>
    </row>
    <row r="16" spans="1:57" s="16" customFormat="1" ht="13" x14ac:dyDescent="0.3">
      <c r="B16" s="16" t="s">
        <v>33</v>
      </c>
      <c r="C16" s="17"/>
      <c r="D16" s="17"/>
      <c r="E16" s="17"/>
      <c r="F16" s="17"/>
      <c r="G16" s="17"/>
      <c r="H16" s="17"/>
      <c r="I16" s="17">
        <f t="shared" ref="I16" si="44">SUM(I13:I15)</f>
        <v>81.47</v>
      </c>
      <c r="J16" s="17"/>
      <c r="K16" s="17"/>
      <c r="L16" s="17"/>
      <c r="M16" s="17">
        <f t="shared" ref="M16:P16" si="45">SUM(M13:M15)</f>
        <v>81.646999999999991</v>
      </c>
      <c r="N16" s="17">
        <f t="shared" si="45"/>
        <v>83.388999999999996</v>
      </c>
      <c r="O16" s="17">
        <f t="shared" si="45"/>
        <v>79.935000000000002</v>
      </c>
      <c r="P16" s="17">
        <f t="shared" si="45"/>
        <v>89.343000000000004</v>
      </c>
      <c r="Q16" s="17">
        <f t="shared" ref="Q16:U16" si="46">SUM(Q13:Q15)</f>
        <v>90.702999999999989</v>
      </c>
      <c r="R16" s="17">
        <f t="shared" si="46"/>
        <v>103.34800000000001</v>
      </c>
      <c r="S16" s="17">
        <f t="shared" si="46"/>
        <v>100.49600000000001</v>
      </c>
      <c r="T16" s="17">
        <f t="shared" ref="T16:W16" si="47">SUM(T13:T15)</f>
        <v>108.309</v>
      </c>
      <c r="U16" s="17">
        <f t="shared" si="46"/>
        <v>98.051999999999992</v>
      </c>
      <c r="V16" s="17">
        <f t="shared" si="47"/>
        <v>127.392</v>
      </c>
      <c r="W16" s="17">
        <f t="shared" si="47"/>
        <v>108.833</v>
      </c>
      <c r="X16" s="17">
        <f t="shared" ref="X16:AH16" si="48">SUM(X13:X15)</f>
        <v>147.02600000000001</v>
      </c>
      <c r="Y16" s="17">
        <f t="shared" si="48"/>
        <v>139.494</v>
      </c>
      <c r="Z16" s="17">
        <f t="shared" si="48"/>
        <v>164.87700000000001</v>
      </c>
      <c r="AA16" s="17">
        <f t="shared" si="48"/>
        <v>139.292</v>
      </c>
      <c r="AB16" s="17">
        <f t="shared" si="48"/>
        <v>166.49600000000001</v>
      </c>
      <c r="AC16" s="17">
        <f t="shared" si="48"/>
        <v>160</v>
      </c>
      <c r="AD16" s="17">
        <f t="shared" si="48"/>
        <v>207</v>
      </c>
      <c r="AE16" s="17">
        <f t="shared" si="48"/>
        <v>136</v>
      </c>
      <c r="AF16" s="17">
        <f t="shared" si="48"/>
        <v>166.49600000000001</v>
      </c>
      <c r="AG16" s="17">
        <f t="shared" si="48"/>
        <v>160</v>
      </c>
      <c r="AH16" s="17">
        <f t="shared" si="48"/>
        <v>207</v>
      </c>
      <c r="AM16" s="17">
        <f t="shared" ref="AM16" si="49">SUM(AM13:AM15)</f>
        <v>355.64300000000003</v>
      </c>
      <c r="AN16" s="17">
        <f t="shared" ref="AN16" si="50">SUM(AN13:AN15)</f>
        <v>432.77</v>
      </c>
      <c r="AO16" s="17">
        <f>SUM(AO13:AO15)</f>
        <v>560.23</v>
      </c>
      <c r="AP16" s="17">
        <f>SUM(AP13:AP15)</f>
        <v>672.78800000000001</v>
      </c>
      <c r="AQ16" s="17">
        <f>SUM(AQ3:AQ11)</f>
        <v>679.49599999999998</v>
      </c>
      <c r="AR16" s="17">
        <f t="shared" ref="AR16:AZ16" si="51">SUM(AR3:AR11)</f>
        <v>771.48689999999999</v>
      </c>
      <c r="AS16" s="17">
        <f t="shared" si="51"/>
        <v>873.49770899999999</v>
      </c>
      <c r="AT16" s="17">
        <f t="shared" si="51"/>
        <v>926.52862608999999</v>
      </c>
      <c r="AU16" s="17">
        <f t="shared" si="51"/>
        <v>979.58985235089995</v>
      </c>
      <c r="AV16" s="17">
        <f t="shared" si="51"/>
        <v>984.68169087440879</v>
      </c>
      <c r="AW16" s="17">
        <f t="shared" si="51"/>
        <v>989.824447783153</v>
      </c>
      <c r="AX16" s="17">
        <f t="shared" si="51"/>
        <v>995.01863226098453</v>
      </c>
      <c r="AY16" s="17">
        <f t="shared" si="51"/>
        <v>1000.2647585835945</v>
      </c>
      <c r="AZ16" s="17">
        <f t="shared" si="51"/>
        <v>1005.5633461694304</v>
      </c>
    </row>
    <row r="17" spans="2:116" s="1" customFormat="1" x14ac:dyDescent="0.25">
      <c r="B17" s="1" t="s">
        <v>59</v>
      </c>
      <c r="C17" s="15"/>
      <c r="D17" s="15"/>
      <c r="E17" s="15"/>
      <c r="F17" s="15"/>
      <c r="G17" s="15"/>
      <c r="H17" s="15"/>
      <c r="I17" s="15">
        <v>2.3479999999999999</v>
      </c>
      <c r="J17" s="15"/>
      <c r="K17" s="15"/>
      <c r="L17" s="15"/>
      <c r="M17" s="15">
        <v>4.1749999999999998</v>
      </c>
      <c r="N17" s="15">
        <v>3.5089999999999999</v>
      </c>
      <c r="O17" s="15">
        <v>6.1</v>
      </c>
      <c r="P17" s="15">
        <v>8.27</v>
      </c>
      <c r="Q17" s="15">
        <v>8.6310000000000002</v>
      </c>
      <c r="R17" s="15">
        <v>5.319</v>
      </c>
      <c r="S17" s="15">
        <v>12.257</v>
      </c>
      <c r="T17" s="15">
        <v>9.9139999999999997</v>
      </c>
      <c r="U17" s="15">
        <v>10.987</v>
      </c>
      <c r="V17" s="15">
        <v>12.051</v>
      </c>
      <c r="W17" s="15">
        <v>17.533000000000001</v>
      </c>
      <c r="X17" s="15">
        <v>21.28</v>
      </c>
      <c r="Y17" s="15">
        <v>21.021000000000001</v>
      </c>
      <c r="Z17" s="15">
        <v>16.893999999999998</v>
      </c>
      <c r="AA17" s="1">
        <v>28.661999999999999</v>
      </c>
      <c r="AB17" s="1">
        <v>23.001999999999999</v>
      </c>
      <c r="AC17" s="1">
        <v>27.991</v>
      </c>
      <c r="AD17" s="1">
        <v>29</v>
      </c>
      <c r="AE17" s="1">
        <v>30</v>
      </c>
      <c r="AM17" s="1">
        <f t="shared" ref="AM17" si="52">SUM(O17:R17)</f>
        <v>28.319999999999997</v>
      </c>
      <c r="AN17" s="1">
        <f t="shared" ref="AN17" si="53">SUM(S17:V17)</f>
        <v>45.209000000000003</v>
      </c>
      <c r="AO17" s="1">
        <f>SUM(W17:Z17)</f>
        <v>76.728000000000009</v>
      </c>
      <c r="AP17" s="1">
        <f>+AP16*0.1</f>
        <v>67.278800000000004</v>
      </c>
      <c r="AQ17" s="1">
        <f t="shared" ref="AQ17:AZ17" si="54">+AQ16*0.1</f>
        <v>67.949600000000004</v>
      </c>
      <c r="AR17" s="1">
        <f t="shared" si="54"/>
        <v>77.148690000000002</v>
      </c>
      <c r="AS17" s="1">
        <f t="shared" si="54"/>
        <v>87.34977090000001</v>
      </c>
      <c r="AT17" s="1">
        <f t="shared" si="54"/>
        <v>92.65286260900001</v>
      </c>
      <c r="AU17" s="1">
        <f t="shared" si="54"/>
        <v>97.958985235089997</v>
      </c>
      <c r="AV17" s="1">
        <f t="shared" si="54"/>
        <v>98.468169087440884</v>
      </c>
      <c r="AW17" s="1">
        <f t="shared" si="54"/>
        <v>98.982444778315312</v>
      </c>
      <c r="AX17" s="1">
        <f t="shared" si="54"/>
        <v>99.501863226098465</v>
      </c>
      <c r="AY17" s="1">
        <f t="shared" si="54"/>
        <v>100.02647585835945</v>
      </c>
      <c r="AZ17" s="1">
        <f t="shared" si="54"/>
        <v>100.55633461694305</v>
      </c>
    </row>
    <row r="18" spans="2:116" s="1" customFormat="1" x14ac:dyDescent="0.25">
      <c r="B18" s="1" t="s">
        <v>60</v>
      </c>
      <c r="C18" s="15"/>
      <c r="D18" s="15"/>
      <c r="E18" s="15"/>
      <c r="F18" s="15"/>
      <c r="G18" s="15"/>
      <c r="H18" s="15"/>
      <c r="I18" s="15">
        <f>+I16-I17</f>
        <v>79.122</v>
      </c>
      <c r="J18" s="15"/>
      <c r="K18" s="15"/>
      <c r="L18" s="15"/>
      <c r="M18" s="15">
        <f t="shared" ref="M18:X18" si="55">+M16-M17</f>
        <v>77.471999999999994</v>
      </c>
      <c r="N18" s="15">
        <f t="shared" si="55"/>
        <v>79.88</v>
      </c>
      <c r="O18" s="15">
        <f t="shared" si="55"/>
        <v>73.835000000000008</v>
      </c>
      <c r="P18" s="15">
        <f t="shared" si="55"/>
        <v>81.073000000000008</v>
      </c>
      <c r="Q18" s="15">
        <f t="shared" si="55"/>
        <v>82.071999999999989</v>
      </c>
      <c r="R18" s="15">
        <f t="shared" si="55"/>
        <v>98.029000000000011</v>
      </c>
      <c r="S18" s="15">
        <f t="shared" si="55"/>
        <v>88.239000000000004</v>
      </c>
      <c r="T18" s="15">
        <f t="shared" si="55"/>
        <v>98.394999999999996</v>
      </c>
      <c r="U18" s="15">
        <f t="shared" si="55"/>
        <v>87.064999999999998</v>
      </c>
      <c r="V18" s="15">
        <f t="shared" si="55"/>
        <v>115.34099999999999</v>
      </c>
      <c r="W18" s="15">
        <f t="shared" si="55"/>
        <v>91.3</v>
      </c>
      <c r="X18" s="15">
        <f t="shared" si="55"/>
        <v>125.74600000000001</v>
      </c>
      <c r="Y18" s="15">
        <f t="shared" ref="Y18" si="56">+Y16-Y17</f>
        <v>118.473</v>
      </c>
      <c r="Z18" s="15">
        <f t="shared" ref="Z18" si="57">+Z16-Z17</f>
        <v>147.983</v>
      </c>
      <c r="AA18" s="15">
        <f t="shared" ref="AA18" si="58">+AA16-AA17</f>
        <v>110.63</v>
      </c>
      <c r="AB18" s="15">
        <f t="shared" ref="AB18" si="59">+AB16-AB17</f>
        <v>143.494</v>
      </c>
      <c r="AC18" s="15">
        <f t="shared" ref="AC18" si="60">+AC16-AC17</f>
        <v>132.00900000000001</v>
      </c>
      <c r="AD18" s="15">
        <f t="shared" ref="AD18" si="61">+AD16-AD17</f>
        <v>178</v>
      </c>
      <c r="AE18" s="1">
        <f>+AE16-AE17</f>
        <v>106</v>
      </c>
      <c r="AM18" s="1">
        <f>+AM16-AM17</f>
        <v>327.32300000000004</v>
      </c>
      <c r="AN18" s="1">
        <f>+AN16-AN17</f>
        <v>387.56099999999998</v>
      </c>
      <c r="AO18" s="1">
        <f>+AO16-AO17</f>
        <v>483.50200000000001</v>
      </c>
      <c r="AP18" s="1">
        <f>+AP16-AP17</f>
        <v>605.50919999999996</v>
      </c>
      <c r="AQ18" s="1">
        <f t="shared" ref="AQ18:AZ18" si="62">+AQ16-AQ17</f>
        <v>611.54639999999995</v>
      </c>
      <c r="AR18" s="1">
        <f t="shared" si="62"/>
        <v>694.33821</v>
      </c>
      <c r="AS18" s="1">
        <f t="shared" si="62"/>
        <v>786.14793809999992</v>
      </c>
      <c r="AT18" s="1">
        <f t="shared" si="62"/>
        <v>833.87576348099992</v>
      </c>
      <c r="AU18" s="1">
        <f t="shared" si="62"/>
        <v>881.63086711580991</v>
      </c>
      <c r="AV18" s="1">
        <f t="shared" si="62"/>
        <v>886.21352178696793</v>
      </c>
      <c r="AW18" s="1">
        <f t="shared" si="62"/>
        <v>890.84200300483769</v>
      </c>
      <c r="AX18" s="1">
        <f t="shared" si="62"/>
        <v>895.51676903488601</v>
      </c>
      <c r="AY18" s="1">
        <f t="shared" si="62"/>
        <v>900.23828272523497</v>
      </c>
      <c r="AZ18" s="1">
        <f t="shared" si="62"/>
        <v>905.00701155248726</v>
      </c>
    </row>
    <row r="19" spans="2:116" s="1" customFormat="1" x14ac:dyDescent="0.25">
      <c r="B19" s="1" t="s">
        <v>61</v>
      </c>
      <c r="C19" s="15"/>
      <c r="D19" s="15"/>
      <c r="E19" s="15"/>
      <c r="F19" s="15"/>
      <c r="G19" s="15"/>
      <c r="H19" s="15"/>
      <c r="I19" s="15">
        <v>87.313999999999993</v>
      </c>
      <c r="J19" s="15"/>
      <c r="K19" s="15"/>
      <c r="L19" s="15"/>
      <c r="M19" s="15">
        <v>113.417</v>
      </c>
      <c r="N19" s="15">
        <v>123.01300000000001</v>
      </c>
      <c r="O19" s="15">
        <v>143.155</v>
      </c>
      <c r="P19" s="15">
        <v>154.529</v>
      </c>
      <c r="Q19" s="15">
        <v>237.297</v>
      </c>
      <c r="R19" s="15">
        <v>170.80799999999999</v>
      </c>
      <c r="S19" s="15">
        <v>164.94900000000001</v>
      </c>
      <c r="T19" s="15">
        <v>164.94900000000001</v>
      </c>
      <c r="U19" s="15">
        <v>157.245</v>
      </c>
      <c r="V19" s="15">
        <v>160.55699999999999</v>
      </c>
      <c r="W19" s="15">
        <v>178.48699999999999</v>
      </c>
      <c r="X19" s="15">
        <v>161.50299999999999</v>
      </c>
      <c r="Y19" s="15">
        <v>170.10900000000001</v>
      </c>
      <c r="Z19" s="15">
        <v>187.76599999999999</v>
      </c>
      <c r="AA19" s="1">
        <v>165.77199999999999</v>
      </c>
      <c r="AB19" s="1">
        <v>164.73599999999999</v>
      </c>
      <c r="AC19" s="1">
        <v>216.21199999999999</v>
      </c>
      <c r="AD19" s="1">
        <v>203</v>
      </c>
      <c r="AE19" s="1">
        <v>187</v>
      </c>
      <c r="AM19" s="1">
        <f t="shared" ref="AM19:AM20" si="63">SUM(O19:R19)</f>
        <v>705.78899999999999</v>
      </c>
      <c r="AN19" s="1">
        <f t="shared" ref="AN19:AN20" si="64">SUM(S19:V19)</f>
        <v>647.70000000000005</v>
      </c>
      <c r="AO19" s="1">
        <f>SUM(W19:Z19)</f>
        <v>697.86500000000001</v>
      </c>
      <c r="AP19" s="1">
        <f t="shared" ref="AP19:AP20" si="65">SUM(AA19:AD19)</f>
        <v>749.72</v>
      </c>
      <c r="AQ19" s="1">
        <f>+AP19*0.9</f>
        <v>674.74800000000005</v>
      </c>
      <c r="AR19" s="1">
        <f>+AQ19*0.1</f>
        <v>67.474800000000002</v>
      </c>
    </row>
    <row r="20" spans="2:116" s="1" customFormat="1" x14ac:dyDescent="0.25">
      <c r="B20" s="1" t="s">
        <v>62</v>
      </c>
      <c r="C20" s="15"/>
      <c r="D20" s="15"/>
      <c r="E20" s="15"/>
      <c r="F20" s="15"/>
      <c r="G20" s="15"/>
      <c r="H20" s="15"/>
      <c r="I20" s="15">
        <v>42.122999999999998</v>
      </c>
      <c r="J20" s="15"/>
      <c r="K20" s="15"/>
      <c r="L20" s="15"/>
      <c r="M20" s="15">
        <v>53.883000000000003</v>
      </c>
      <c r="N20" s="15">
        <v>59.430999999999997</v>
      </c>
      <c r="O20" s="15">
        <v>67.311999999999998</v>
      </c>
      <c r="P20" s="15">
        <v>68.137</v>
      </c>
      <c r="Q20" s="15">
        <v>69.840999999999994</v>
      </c>
      <c r="R20" s="15">
        <v>72.849000000000004</v>
      </c>
      <c r="S20" s="15"/>
      <c r="T20" s="15">
        <v>81.403000000000006</v>
      </c>
      <c r="U20" s="15">
        <v>74.917000000000002</v>
      </c>
      <c r="V20" s="15">
        <v>76.832999999999998</v>
      </c>
      <c r="W20" s="15">
        <v>78.16</v>
      </c>
      <c r="X20" s="15">
        <v>80.603999999999999</v>
      </c>
      <c r="Y20" s="15">
        <v>80.350999999999999</v>
      </c>
      <c r="Z20" s="15">
        <v>82.495000000000005</v>
      </c>
      <c r="AA20" s="1">
        <v>87.796999999999997</v>
      </c>
      <c r="AB20" s="1">
        <v>86.646000000000001</v>
      </c>
      <c r="AC20" s="1">
        <v>86.62</v>
      </c>
      <c r="AD20" s="1">
        <v>89</v>
      </c>
      <c r="AE20" s="1">
        <v>88</v>
      </c>
      <c r="AM20" s="1">
        <f t="shared" si="63"/>
        <v>278.13900000000001</v>
      </c>
      <c r="AN20" s="1">
        <f t="shared" si="64"/>
        <v>233.15299999999999</v>
      </c>
      <c r="AO20" s="1">
        <f>SUM(W20:Z20)</f>
        <v>321.61</v>
      </c>
      <c r="AP20" s="1">
        <f t="shared" si="65"/>
        <v>350.06299999999999</v>
      </c>
      <c r="AQ20" s="1">
        <f t="shared" ref="AQ20:AZ20" si="66">+AP20*0.9</f>
        <v>315.05669999999998</v>
      </c>
      <c r="AR20" s="1">
        <f>+AR16*0.25</f>
        <v>192.871725</v>
      </c>
      <c r="AS20" s="1">
        <f t="shared" ref="AS20:AZ20" si="67">+AS16*0.25</f>
        <v>218.37442725</v>
      </c>
      <c r="AT20" s="1">
        <f t="shared" si="67"/>
        <v>231.6321565225</v>
      </c>
      <c r="AU20" s="1">
        <f t="shared" si="67"/>
        <v>244.89746308772499</v>
      </c>
      <c r="AV20" s="1">
        <f t="shared" si="67"/>
        <v>246.1704227186022</v>
      </c>
      <c r="AW20" s="1">
        <f t="shared" si="67"/>
        <v>247.45611194578825</v>
      </c>
      <c r="AX20" s="1">
        <f t="shared" si="67"/>
        <v>248.75465806524613</v>
      </c>
      <c r="AY20" s="1">
        <f t="shared" si="67"/>
        <v>250.06618964589862</v>
      </c>
      <c r="AZ20" s="1">
        <f t="shared" si="67"/>
        <v>251.39083654235759</v>
      </c>
    </row>
    <row r="21" spans="2:116" s="1" customFormat="1" x14ac:dyDescent="0.25">
      <c r="B21" s="1" t="s">
        <v>57</v>
      </c>
      <c r="C21" s="15">
        <f t="shared" ref="C21:W21" si="68">+C19+C20</f>
        <v>0</v>
      </c>
      <c r="D21" s="15">
        <f t="shared" si="68"/>
        <v>0</v>
      </c>
      <c r="E21" s="15">
        <f t="shared" si="68"/>
        <v>0</v>
      </c>
      <c r="F21" s="15">
        <f t="shared" si="68"/>
        <v>0</v>
      </c>
      <c r="G21" s="15">
        <f t="shared" si="68"/>
        <v>0</v>
      </c>
      <c r="H21" s="15">
        <f t="shared" si="68"/>
        <v>0</v>
      </c>
      <c r="I21" s="15">
        <f t="shared" si="68"/>
        <v>129.43699999999998</v>
      </c>
      <c r="J21" s="15">
        <f t="shared" si="68"/>
        <v>0</v>
      </c>
      <c r="K21" s="15">
        <f t="shared" si="68"/>
        <v>0</v>
      </c>
      <c r="L21" s="15">
        <f t="shared" si="68"/>
        <v>0</v>
      </c>
      <c r="M21" s="15">
        <f t="shared" si="68"/>
        <v>167.3</v>
      </c>
      <c r="N21" s="15">
        <f t="shared" si="68"/>
        <v>182.44400000000002</v>
      </c>
      <c r="O21" s="15">
        <f t="shared" si="68"/>
        <v>210.46699999999998</v>
      </c>
      <c r="P21" s="15">
        <f t="shared" ref="P21" si="69">+P19+P20</f>
        <v>222.666</v>
      </c>
      <c r="Q21" s="15">
        <f t="shared" si="68"/>
        <v>307.13799999999998</v>
      </c>
      <c r="R21" s="15">
        <f t="shared" si="68"/>
        <v>243.65699999999998</v>
      </c>
      <c r="S21" s="15">
        <f>+S19+S20</f>
        <v>164.94900000000001</v>
      </c>
      <c r="T21" s="15">
        <f>+T19+T20</f>
        <v>246.35200000000003</v>
      </c>
      <c r="U21" s="15">
        <f t="shared" si="68"/>
        <v>232.16200000000001</v>
      </c>
      <c r="V21" s="15">
        <f t="shared" si="68"/>
        <v>237.39</v>
      </c>
      <c r="W21" s="15">
        <f t="shared" si="68"/>
        <v>256.64699999999999</v>
      </c>
      <c r="X21" s="15">
        <f>+X19+X20</f>
        <v>242.10699999999997</v>
      </c>
      <c r="Y21" s="15">
        <f t="shared" ref="Y21:AE21" si="70">+Y19+Y20</f>
        <v>250.46</v>
      </c>
      <c r="Z21" s="15">
        <f t="shared" si="70"/>
        <v>270.26099999999997</v>
      </c>
      <c r="AA21" s="15">
        <f t="shared" si="70"/>
        <v>253.56899999999999</v>
      </c>
      <c r="AB21" s="15">
        <f t="shared" si="70"/>
        <v>251.38200000000001</v>
      </c>
      <c r="AC21" s="15">
        <f t="shared" si="70"/>
        <v>302.83199999999999</v>
      </c>
      <c r="AD21" s="15">
        <f t="shared" si="70"/>
        <v>292</v>
      </c>
      <c r="AE21" s="15">
        <f t="shared" si="70"/>
        <v>275</v>
      </c>
      <c r="AM21" s="15">
        <f t="shared" ref="AM21" si="71">+AM19+AM20</f>
        <v>983.928</v>
      </c>
      <c r="AN21" s="15">
        <f t="shared" ref="AN21" si="72">+AN19+AN20</f>
        <v>880.85300000000007</v>
      </c>
      <c r="AO21" s="15">
        <f t="shared" ref="AO21" si="73">+AO19+AO20</f>
        <v>1019.475</v>
      </c>
      <c r="AP21" s="15">
        <f t="shared" ref="AP21" si="74">+AP19+AP20</f>
        <v>1099.7829999999999</v>
      </c>
      <c r="AQ21" s="15">
        <f t="shared" ref="AQ21" si="75">+AQ19+AQ20</f>
        <v>989.80470000000003</v>
      </c>
      <c r="AR21" s="15">
        <f t="shared" ref="AR21" si="76">+AR19+AR20</f>
        <v>260.34652499999999</v>
      </c>
      <c r="AS21" s="15">
        <f t="shared" ref="AS21" si="77">+AS19+AS20</f>
        <v>218.37442725</v>
      </c>
      <c r="AT21" s="15">
        <f t="shared" ref="AT21" si="78">+AT19+AT20</f>
        <v>231.6321565225</v>
      </c>
      <c r="AU21" s="15">
        <f t="shared" ref="AU21" si="79">+AU19+AU20</f>
        <v>244.89746308772499</v>
      </c>
      <c r="AV21" s="15">
        <f t="shared" ref="AV21" si="80">+AV19+AV20</f>
        <v>246.1704227186022</v>
      </c>
      <c r="AW21" s="15">
        <f t="shared" ref="AW21" si="81">+AW19+AW20</f>
        <v>247.45611194578825</v>
      </c>
      <c r="AX21" s="15">
        <f t="shared" ref="AX21" si="82">+AX19+AX20</f>
        <v>248.75465806524613</v>
      </c>
      <c r="AY21" s="15">
        <f t="shared" ref="AY21" si="83">+AY19+AY20</f>
        <v>250.06618964589862</v>
      </c>
      <c r="AZ21" s="15">
        <f t="shared" ref="AZ21" si="84">+AZ19+AZ20</f>
        <v>251.39083654235759</v>
      </c>
    </row>
    <row r="22" spans="2:116" s="1" customFormat="1" x14ac:dyDescent="0.25">
      <c r="B22" s="1" t="s">
        <v>58</v>
      </c>
      <c r="C22" s="15">
        <f t="shared" ref="C22:W22" si="85">+C18-C21</f>
        <v>0</v>
      </c>
      <c r="D22" s="15">
        <f t="shared" si="85"/>
        <v>0</v>
      </c>
      <c r="E22" s="15">
        <f t="shared" si="85"/>
        <v>0</v>
      </c>
      <c r="F22" s="15">
        <f t="shared" si="85"/>
        <v>0</v>
      </c>
      <c r="G22" s="15">
        <f t="shared" si="85"/>
        <v>0</v>
      </c>
      <c r="H22" s="15">
        <f t="shared" si="85"/>
        <v>0</v>
      </c>
      <c r="I22" s="15">
        <f t="shared" si="85"/>
        <v>-50.314999999999984</v>
      </c>
      <c r="J22" s="15">
        <f t="shared" si="85"/>
        <v>0</v>
      </c>
      <c r="K22" s="15">
        <f t="shared" si="85"/>
        <v>0</v>
      </c>
      <c r="L22" s="15">
        <f t="shared" si="85"/>
        <v>0</v>
      </c>
      <c r="M22" s="15">
        <f t="shared" si="85"/>
        <v>-89.828000000000017</v>
      </c>
      <c r="N22" s="15">
        <f t="shared" si="85"/>
        <v>-102.56400000000002</v>
      </c>
      <c r="O22" s="15">
        <f t="shared" si="85"/>
        <v>-136.63199999999998</v>
      </c>
      <c r="P22" s="15">
        <f t="shared" ref="P22" si="86">+P18-P21</f>
        <v>-141.59299999999999</v>
      </c>
      <c r="Q22" s="15">
        <f t="shared" si="85"/>
        <v>-225.06599999999997</v>
      </c>
      <c r="R22" s="15">
        <f t="shared" si="85"/>
        <v>-145.62799999999999</v>
      </c>
      <c r="S22" s="15">
        <f>+S18-S21</f>
        <v>-76.710000000000008</v>
      </c>
      <c r="T22" s="15">
        <f>+T18-T21</f>
        <v>-147.95700000000005</v>
      </c>
      <c r="U22" s="15">
        <f t="shared" si="85"/>
        <v>-145.09700000000001</v>
      </c>
      <c r="V22" s="15">
        <f t="shared" si="85"/>
        <v>-122.04899999999999</v>
      </c>
      <c r="W22" s="15">
        <f t="shared" si="85"/>
        <v>-165.34699999999998</v>
      </c>
      <c r="X22" s="15">
        <f>+X18-X21</f>
        <v>-116.36099999999996</v>
      </c>
      <c r="Y22" s="15">
        <f t="shared" ref="Y22:AE22" si="87">+Y18-Y21</f>
        <v>-131.98700000000002</v>
      </c>
      <c r="Z22" s="15">
        <f t="shared" si="87"/>
        <v>-122.27799999999996</v>
      </c>
      <c r="AA22" s="15">
        <f t="shared" si="87"/>
        <v>-142.93899999999999</v>
      </c>
      <c r="AB22" s="15">
        <f t="shared" si="87"/>
        <v>-107.88800000000001</v>
      </c>
      <c r="AC22" s="15">
        <f t="shared" si="87"/>
        <v>-170.82299999999998</v>
      </c>
      <c r="AD22" s="15">
        <f t="shared" si="87"/>
        <v>-114</v>
      </c>
      <c r="AE22" s="15">
        <f t="shared" si="87"/>
        <v>-169</v>
      </c>
      <c r="AM22" s="15">
        <f t="shared" ref="AM22" si="88">+AM18-AM21</f>
        <v>-656.60500000000002</v>
      </c>
      <c r="AN22" s="15">
        <f t="shared" ref="AN22" si="89">+AN18-AN21</f>
        <v>-493.29200000000009</v>
      </c>
      <c r="AO22" s="15">
        <f t="shared" ref="AO22" si="90">+AO18-AO21</f>
        <v>-535.97299999999996</v>
      </c>
      <c r="AP22" s="15">
        <f t="shared" ref="AP22" si="91">+AP18-AP21</f>
        <v>-494.27379999999994</v>
      </c>
      <c r="AQ22" s="15">
        <f t="shared" ref="AQ22" si="92">+AQ18-AQ21</f>
        <v>-378.25830000000008</v>
      </c>
      <c r="AR22" s="15">
        <f t="shared" ref="AR22" si="93">+AR18-AR21</f>
        <v>433.99168500000002</v>
      </c>
      <c r="AS22" s="15">
        <f t="shared" ref="AS22" si="94">+AS18-AS21</f>
        <v>567.77351084999987</v>
      </c>
      <c r="AT22" s="15">
        <f t="shared" ref="AT22" si="95">+AT18-AT21</f>
        <v>602.24360695849987</v>
      </c>
      <c r="AU22" s="15">
        <f t="shared" ref="AU22" si="96">+AU18-AU21</f>
        <v>636.73340402808492</v>
      </c>
      <c r="AV22" s="15">
        <f t="shared" ref="AV22" si="97">+AV18-AV21</f>
        <v>640.04309906836579</v>
      </c>
      <c r="AW22" s="15">
        <f t="shared" ref="AW22" si="98">+AW18-AW21</f>
        <v>643.38589105904941</v>
      </c>
      <c r="AX22" s="15">
        <f t="shared" ref="AX22" si="99">+AX18-AX21</f>
        <v>646.76211096963993</v>
      </c>
      <c r="AY22" s="15">
        <f t="shared" ref="AY22" si="100">+AY18-AY21</f>
        <v>650.17209307933638</v>
      </c>
      <c r="AZ22" s="15">
        <f t="shared" ref="AZ22" si="101">+AZ18-AZ21</f>
        <v>653.61617501012961</v>
      </c>
    </row>
    <row r="23" spans="2:116" s="1" customFormat="1" x14ac:dyDescent="0.25">
      <c r="B23" s="1" t="s">
        <v>67</v>
      </c>
      <c r="C23" s="15"/>
      <c r="D23" s="15"/>
      <c r="E23" s="15"/>
      <c r="F23" s="15"/>
      <c r="G23" s="15"/>
      <c r="H23" s="15"/>
      <c r="I23" s="15">
        <v>1.885</v>
      </c>
      <c r="J23" s="15"/>
      <c r="K23" s="15"/>
      <c r="L23" s="15"/>
      <c r="M23" s="15">
        <v>-7.0000000000000001E-3</v>
      </c>
      <c r="N23" s="15">
        <v>0.03</v>
      </c>
      <c r="O23" s="15">
        <v>0.78300000000000003</v>
      </c>
      <c r="P23" s="15">
        <v>-3.1E-2</v>
      </c>
      <c r="Q23" s="15">
        <v>2.3780000000000001</v>
      </c>
      <c r="R23" s="15">
        <v>6.3780000000000001</v>
      </c>
      <c r="S23" s="15">
        <v>3.9750000000000001</v>
      </c>
      <c r="T23" s="15">
        <f>-15.375+3.975</f>
        <v>-11.4</v>
      </c>
      <c r="U23" s="15">
        <v>5.1820000000000004</v>
      </c>
      <c r="V23" s="15">
        <v>10.596</v>
      </c>
      <c r="W23" s="15">
        <v>7.2190000000000003</v>
      </c>
      <c r="X23" s="15">
        <v>5.5720000000000001</v>
      </c>
      <c r="Y23" s="15">
        <v>13.808</v>
      </c>
      <c r="Z23" s="15">
        <v>5.944</v>
      </c>
      <c r="AA23" s="1">
        <v>7.6680000000000001</v>
      </c>
      <c r="AB23" s="1">
        <f>-14.041+7.934</f>
        <v>-6.1070000000000002</v>
      </c>
      <c r="AC23" s="1">
        <f>-14.148+4.82</f>
        <v>-9.3279999999999994</v>
      </c>
      <c r="AD23" s="1">
        <f>-19+5</f>
        <v>-14</v>
      </c>
      <c r="AE23" s="1">
        <f>-21+6</f>
        <v>-15</v>
      </c>
      <c r="AM23" s="1">
        <f t="shared" ref="AM23" si="102">SUM(O23:R23)</f>
        <v>9.5079999999999991</v>
      </c>
      <c r="AN23" s="1">
        <f t="shared" ref="AN23" si="103">SUM(S23:V23)</f>
        <v>8.3529999999999998</v>
      </c>
      <c r="AO23" s="1">
        <f>SUM(W23:Z23)</f>
        <v>32.542999999999999</v>
      </c>
      <c r="AP23" s="1">
        <f>SUM(AA23:AD23)</f>
        <v>-21.766999999999999</v>
      </c>
      <c r="AQ23" s="1">
        <f>+AP23</f>
        <v>-21.766999999999999</v>
      </c>
      <c r="AR23" s="1">
        <f>+AQ33*$BC$31</f>
        <v>8.1487349999999967</v>
      </c>
      <c r="AS23" s="1">
        <f t="shared" ref="AS23:AZ23" si="104">+AR33*$BC$31</f>
        <v>30.255755999999998</v>
      </c>
      <c r="AT23" s="1">
        <f t="shared" si="104"/>
        <v>60.157219342499992</v>
      </c>
      <c r="AU23" s="1">
        <f t="shared" si="104"/>
        <v>93.277260657549988</v>
      </c>
      <c r="AV23" s="1">
        <f t="shared" si="104"/>
        <v>129.77779389183172</v>
      </c>
      <c r="AW23" s="1">
        <f t="shared" si="104"/>
        <v>168.2688385398416</v>
      </c>
      <c r="AX23" s="1">
        <f t="shared" si="104"/>
        <v>208.85157501978617</v>
      </c>
      <c r="AY23" s="1">
        <f t="shared" si="104"/>
        <v>251.63225931925746</v>
      </c>
      <c r="AZ23" s="1">
        <f t="shared" si="104"/>
        <v>296.72247693918717</v>
      </c>
    </row>
    <row r="24" spans="2:116" s="1" customFormat="1" x14ac:dyDescent="0.25">
      <c r="B24" s="1" t="s">
        <v>66</v>
      </c>
      <c r="C24" s="15"/>
      <c r="D24" s="15"/>
      <c r="E24" s="15"/>
      <c r="F24" s="15"/>
      <c r="G24" s="15"/>
      <c r="H24" s="15"/>
      <c r="I24" s="15">
        <f t="shared" ref="I24:M24" si="105">+I22+I23</f>
        <v>-48.429999999999986</v>
      </c>
      <c r="J24" s="15">
        <f t="shared" si="105"/>
        <v>0</v>
      </c>
      <c r="K24" s="15">
        <f t="shared" si="105"/>
        <v>0</v>
      </c>
      <c r="L24" s="15">
        <f t="shared" si="105"/>
        <v>0</v>
      </c>
      <c r="M24" s="15">
        <f t="shared" si="105"/>
        <v>-89.835000000000022</v>
      </c>
      <c r="N24" s="15">
        <f t="shared" ref="N24:X24" si="106">+N22+N23</f>
        <v>-102.53400000000002</v>
      </c>
      <c r="O24" s="15">
        <f t="shared" si="106"/>
        <v>-135.84899999999999</v>
      </c>
      <c r="P24" s="15">
        <f t="shared" si="106"/>
        <v>-141.624</v>
      </c>
      <c r="Q24" s="15">
        <f t="shared" si="106"/>
        <v>-222.68799999999999</v>
      </c>
      <c r="R24" s="15">
        <f t="shared" si="106"/>
        <v>-139.25</v>
      </c>
      <c r="S24" s="15">
        <f t="shared" si="106"/>
        <v>-72.735000000000014</v>
      </c>
      <c r="T24" s="15">
        <f t="shared" si="106"/>
        <v>-159.35700000000006</v>
      </c>
      <c r="U24" s="15">
        <f t="shared" si="106"/>
        <v>-139.91500000000002</v>
      </c>
      <c r="V24" s="15">
        <f t="shared" si="106"/>
        <v>-111.45299999999999</v>
      </c>
      <c r="W24" s="15">
        <f t="shared" si="106"/>
        <v>-158.12799999999999</v>
      </c>
      <c r="X24" s="15">
        <f t="shared" si="106"/>
        <v>-110.78899999999996</v>
      </c>
      <c r="Y24" s="15">
        <f t="shared" ref="Y24" si="107">+Y22+Y23</f>
        <v>-118.17900000000003</v>
      </c>
      <c r="Z24" s="15">
        <f t="shared" ref="Z24" si="108">+Z22+Z23</f>
        <v>-116.33399999999996</v>
      </c>
      <c r="AA24" s="15">
        <f t="shared" ref="AA24" si="109">+AA22+AA23</f>
        <v>-135.27099999999999</v>
      </c>
      <c r="AB24" s="15">
        <f t="shared" ref="AB24" si="110">+AB22+AB23</f>
        <v>-113.995</v>
      </c>
      <c r="AC24" s="15">
        <f t="shared" ref="AC24" si="111">+AC22+AC23</f>
        <v>-180.15099999999998</v>
      </c>
      <c r="AD24" s="15">
        <f t="shared" ref="AD24:AE24" si="112">+AD22+AD23</f>
        <v>-128</v>
      </c>
      <c r="AE24" s="15">
        <f t="shared" si="112"/>
        <v>-184</v>
      </c>
      <c r="AM24" s="15">
        <f t="shared" ref="AM24" si="113">+AM22+AM23</f>
        <v>-647.09699999999998</v>
      </c>
      <c r="AN24" s="15">
        <f t="shared" ref="AN24" si="114">+AN22+AN23</f>
        <v>-484.93900000000008</v>
      </c>
      <c r="AO24" s="15">
        <f t="shared" ref="AO24" si="115">+AO22+AO23</f>
        <v>-503.42999999999995</v>
      </c>
      <c r="AP24" s="15">
        <f t="shared" ref="AP24" si="116">+AP22+AP23</f>
        <v>-516.04079999999999</v>
      </c>
      <c r="AQ24" s="15">
        <f t="shared" ref="AQ24" si="117">+AQ22+AQ23</f>
        <v>-400.02530000000007</v>
      </c>
      <c r="AR24" s="15">
        <f t="shared" ref="AR24" si="118">+AR22+AR23</f>
        <v>442.14042000000001</v>
      </c>
      <c r="AS24" s="15">
        <f t="shared" ref="AS24" si="119">+AS22+AS23</f>
        <v>598.02926684999989</v>
      </c>
      <c r="AT24" s="15">
        <f t="shared" ref="AT24" si="120">+AT22+AT23</f>
        <v>662.40082630099982</v>
      </c>
      <c r="AU24" s="15">
        <f t="shared" ref="AU24" si="121">+AU22+AU23</f>
        <v>730.01066468563488</v>
      </c>
      <c r="AV24" s="15">
        <f t="shared" ref="AV24" si="122">+AV22+AV23</f>
        <v>769.82089296019751</v>
      </c>
      <c r="AW24" s="15">
        <f t="shared" ref="AW24" si="123">+AW22+AW23</f>
        <v>811.65472959889098</v>
      </c>
      <c r="AX24" s="15">
        <f t="shared" ref="AX24" si="124">+AX22+AX23</f>
        <v>855.61368598942613</v>
      </c>
      <c r="AY24" s="15">
        <f t="shared" ref="AY24" si="125">+AY22+AY23</f>
        <v>901.80435239859389</v>
      </c>
      <c r="AZ24" s="15">
        <f t="shared" ref="AZ24" si="126">+AZ22+AZ23</f>
        <v>950.33865194931673</v>
      </c>
    </row>
    <row r="25" spans="2:116" s="1" customFormat="1" x14ac:dyDescent="0.25">
      <c r="B25" s="1" t="s">
        <v>65</v>
      </c>
      <c r="C25" s="15"/>
      <c r="D25" s="15"/>
      <c r="E25" s="15"/>
      <c r="F25" s="15"/>
      <c r="G25" s="15"/>
      <c r="H25" s="15"/>
      <c r="I25" s="15">
        <v>-0.313</v>
      </c>
      <c r="J25" s="15"/>
      <c r="K25" s="15"/>
      <c r="L25" s="15"/>
      <c r="M25" s="15">
        <v>0.182</v>
      </c>
      <c r="N25" s="15">
        <v>0.02</v>
      </c>
      <c r="O25" s="15">
        <v>0.55800000000000005</v>
      </c>
      <c r="P25" s="15">
        <v>0.30199999999999999</v>
      </c>
      <c r="Q25" s="15">
        <v>6.2869999999999999</v>
      </c>
      <c r="R25" s="15">
        <v>-1.4510000000000001</v>
      </c>
      <c r="S25" s="15">
        <v>0.73199999999999998</v>
      </c>
      <c r="T25" s="15">
        <v>0.73199999999999998</v>
      </c>
      <c r="U25" s="15">
        <v>0.65</v>
      </c>
      <c r="V25" s="15">
        <v>-3.702</v>
      </c>
      <c r="W25" s="15">
        <v>0.45500000000000002</v>
      </c>
      <c r="X25" s="15">
        <v>0.85799999999999998</v>
      </c>
      <c r="Y25" s="15">
        <v>-0.30299999999999999</v>
      </c>
      <c r="Z25" s="15">
        <v>0</v>
      </c>
      <c r="AA25" s="1">
        <v>0</v>
      </c>
      <c r="AB25" s="1">
        <v>0.94699999999999995</v>
      </c>
      <c r="AC25" s="1">
        <v>0.873</v>
      </c>
      <c r="AD25" s="1">
        <v>1</v>
      </c>
      <c r="AE25" s="1">
        <v>1</v>
      </c>
      <c r="AM25" s="1">
        <f t="shared" ref="AM25" si="127">SUM(O25:R25)</f>
        <v>5.6959999999999997</v>
      </c>
      <c r="AN25" s="1">
        <f t="shared" ref="AN25" si="128">SUM(S25:V25)</f>
        <v>-1.5880000000000001</v>
      </c>
      <c r="AO25" s="1">
        <f>SUM(W25:Z25)</f>
        <v>1.01</v>
      </c>
      <c r="AP25" s="1">
        <f>SUM(AA25:AD25)</f>
        <v>2.82</v>
      </c>
      <c r="AQ25" s="1">
        <v>0</v>
      </c>
      <c r="AR25" s="1">
        <v>0</v>
      </c>
      <c r="AS25" s="1">
        <f>+AS24*0.1</f>
        <v>59.802926684999989</v>
      </c>
      <c r="AT25" s="1">
        <f t="shared" ref="AT25:AZ25" si="129">+AT24*0.1</f>
        <v>66.240082630099991</v>
      </c>
      <c r="AU25" s="1">
        <f t="shared" si="129"/>
        <v>73.001066468563494</v>
      </c>
      <c r="AV25" s="1">
        <f t="shared" si="129"/>
        <v>76.982089296019751</v>
      </c>
      <c r="AW25" s="1">
        <f t="shared" si="129"/>
        <v>81.165472959889101</v>
      </c>
      <c r="AX25" s="1">
        <f t="shared" si="129"/>
        <v>85.561368598942622</v>
      </c>
      <c r="AY25" s="1">
        <f t="shared" si="129"/>
        <v>90.180435239859392</v>
      </c>
      <c r="AZ25" s="1">
        <f t="shared" si="129"/>
        <v>95.033865194931678</v>
      </c>
    </row>
    <row r="26" spans="2:116" s="1" customFormat="1" x14ac:dyDescent="0.25">
      <c r="B26" s="1" t="s">
        <v>64</v>
      </c>
      <c r="C26" s="15"/>
      <c r="D26" s="15"/>
      <c r="E26" s="15"/>
      <c r="F26" s="15"/>
      <c r="G26" s="15"/>
      <c r="H26" s="15"/>
      <c r="I26" s="15">
        <f t="shared" ref="I26:M26" si="130">+I24-I25</f>
        <v>-48.116999999999983</v>
      </c>
      <c r="J26" s="15">
        <f t="shared" si="130"/>
        <v>0</v>
      </c>
      <c r="K26" s="15">
        <f t="shared" si="130"/>
        <v>0</v>
      </c>
      <c r="L26" s="15">
        <f t="shared" si="130"/>
        <v>0</v>
      </c>
      <c r="M26" s="15">
        <f t="shared" si="130"/>
        <v>-90.017000000000024</v>
      </c>
      <c r="N26" s="15">
        <f t="shared" ref="N26:X26" si="131">+N24-N25</f>
        <v>-102.55400000000002</v>
      </c>
      <c r="O26" s="15">
        <f t="shared" si="131"/>
        <v>-136.40699999999998</v>
      </c>
      <c r="P26" s="15">
        <f t="shared" si="131"/>
        <v>-141.92599999999999</v>
      </c>
      <c r="Q26" s="15">
        <f t="shared" si="131"/>
        <v>-228.97499999999999</v>
      </c>
      <c r="R26" s="15">
        <f t="shared" si="131"/>
        <v>-137.79900000000001</v>
      </c>
      <c r="S26" s="15">
        <f t="shared" si="131"/>
        <v>-73.467000000000013</v>
      </c>
      <c r="T26" s="15">
        <f t="shared" si="131"/>
        <v>-160.08900000000006</v>
      </c>
      <c r="U26" s="15">
        <f t="shared" si="131"/>
        <v>-140.56500000000003</v>
      </c>
      <c r="V26" s="15">
        <f t="shared" si="131"/>
        <v>-107.75099999999999</v>
      </c>
      <c r="W26" s="15">
        <f t="shared" si="131"/>
        <v>-158.583</v>
      </c>
      <c r="X26" s="15">
        <f t="shared" si="131"/>
        <v>-111.64699999999996</v>
      </c>
      <c r="Y26" s="15">
        <f t="shared" ref="Y26" si="132">+Y24-Y25</f>
        <v>-117.87600000000003</v>
      </c>
      <c r="Z26" s="15">
        <f t="shared" ref="Z26" si="133">+Z24-Z25</f>
        <v>-116.33399999999996</v>
      </c>
      <c r="AA26" s="15">
        <f t="shared" ref="AA26" si="134">+AA24-AA25</f>
        <v>-135.27099999999999</v>
      </c>
      <c r="AB26" s="15">
        <f t="shared" ref="AB26" si="135">+AB24-AB25</f>
        <v>-114.94200000000001</v>
      </c>
      <c r="AC26" s="15">
        <f t="shared" ref="AC26" si="136">+AC24-AC25</f>
        <v>-181.02399999999997</v>
      </c>
      <c r="AD26" s="15">
        <f t="shared" ref="AD26:AE26" si="137">+AD24-AD25</f>
        <v>-129</v>
      </c>
      <c r="AE26" s="15">
        <f t="shared" si="137"/>
        <v>-185</v>
      </c>
      <c r="AM26" s="1">
        <f>+-AM24-AM25</f>
        <v>641.40099999999995</v>
      </c>
      <c r="AN26" s="1">
        <f>+-AN24-AN25</f>
        <v>486.5270000000001</v>
      </c>
      <c r="AO26" s="1">
        <f>+-AO24-AO25</f>
        <v>502.41999999999996</v>
      </c>
      <c r="AP26" s="1">
        <f>+-AP24-AP25</f>
        <v>513.22079999999994</v>
      </c>
      <c r="AQ26" s="1">
        <f>+AQ24-AQ25</f>
        <v>-400.02530000000007</v>
      </c>
      <c r="AR26" s="1">
        <f t="shared" ref="AR26:AZ26" si="138">+AR24-AR25</f>
        <v>442.14042000000001</v>
      </c>
      <c r="AS26" s="1">
        <f t="shared" si="138"/>
        <v>538.2263401649999</v>
      </c>
      <c r="AT26" s="1">
        <f t="shared" si="138"/>
        <v>596.16074367089982</v>
      </c>
      <c r="AU26" s="1">
        <f t="shared" si="138"/>
        <v>657.00959821707136</v>
      </c>
      <c r="AV26" s="1">
        <f t="shared" si="138"/>
        <v>692.8388036641777</v>
      </c>
      <c r="AW26" s="1">
        <f t="shared" si="138"/>
        <v>730.48925663900184</v>
      </c>
      <c r="AX26" s="1">
        <f t="shared" si="138"/>
        <v>770.05231739048349</v>
      </c>
      <c r="AY26" s="1">
        <f t="shared" si="138"/>
        <v>811.62391715873446</v>
      </c>
      <c r="AZ26" s="1">
        <f t="shared" si="138"/>
        <v>855.30478675438508</v>
      </c>
      <c r="BA26" s="1">
        <f>+AZ26*(1+$BC$32)</f>
        <v>812.53954741666576</v>
      </c>
      <c r="BB26" s="1">
        <f t="shared" ref="BB26:DL26" si="139">+BA26*(1+$BC$32)</f>
        <v>771.91257004583247</v>
      </c>
      <c r="BC26" s="1">
        <f t="shared" si="139"/>
        <v>733.31694154354079</v>
      </c>
      <c r="BD26" s="1">
        <f t="shared" si="139"/>
        <v>696.6510944663637</v>
      </c>
      <c r="BE26" s="1">
        <f t="shared" si="139"/>
        <v>661.81853974304545</v>
      </c>
      <c r="BF26" s="1">
        <f t="shared" si="139"/>
        <v>628.72761275589312</v>
      </c>
      <c r="BG26" s="1">
        <f t="shared" si="139"/>
        <v>597.29123211809849</v>
      </c>
      <c r="BH26" s="1">
        <f t="shared" si="139"/>
        <v>567.4266705121936</v>
      </c>
      <c r="BI26" s="1">
        <f t="shared" si="139"/>
        <v>539.05533698658394</v>
      </c>
      <c r="BJ26" s="1">
        <f t="shared" si="139"/>
        <v>512.1025701372547</v>
      </c>
      <c r="BK26" s="1">
        <f t="shared" si="139"/>
        <v>486.49744163039196</v>
      </c>
      <c r="BL26" s="1">
        <f t="shared" si="139"/>
        <v>462.17256954887233</v>
      </c>
      <c r="BM26" s="1">
        <f t="shared" si="139"/>
        <v>439.0639410714287</v>
      </c>
      <c r="BN26" s="1">
        <f t="shared" si="139"/>
        <v>417.11074401785726</v>
      </c>
      <c r="BO26" s="1">
        <f t="shared" si="139"/>
        <v>396.2552068169644</v>
      </c>
      <c r="BP26" s="1">
        <f t="shared" si="139"/>
        <v>376.44244647611617</v>
      </c>
      <c r="BQ26" s="1">
        <f t="shared" si="139"/>
        <v>357.62032415231033</v>
      </c>
      <c r="BR26" s="1">
        <f t="shared" si="139"/>
        <v>339.73930794469481</v>
      </c>
      <c r="BS26" s="1">
        <f t="shared" si="139"/>
        <v>322.75234254746005</v>
      </c>
      <c r="BT26" s="1">
        <f t="shared" si="139"/>
        <v>306.61472542008704</v>
      </c>
      <c r="BU26" s="1">
        <f t="shared" si="139"/>
        <v>291.28398914908269</v>
      </c>
      <c r="BV26" s="1">
        <f t="shared" si="139"/>
        <v>276.71978969162853</v>
      </c>
      <c r="BW26" s="1">
        <f t="shared" si="139"/>
        <v>262.8838002070471</v>
      </c>
      <c r="BX26" s="1">
        <f t="shared" si="139"/>
        <v>249.73961019669474</v>
      </c>
      <c r="BY26" s="1">
        <f t="shared" si="139"/>
        <v>237.25262968685999</v>
      </c>
      <c r="BZ26" s="1">
        <f t="shared" si="139"/>
        <v>225.38999820251698</v>
      </c>
      <c r="CA26" s="1">
        <f t="shared" si="139"/>
        <v>214.12049829239112</v>
      </c>
      <c r="CB26" s="1">
        <f t="shared" si="139"/>
        <v>203.41447337777154</v>
      </c>
      <c r="CC26" s="1">
        <f t="shared" si="139"/>
        <v>193.24374970888294</v>
      </c>
      <c r="CD26" s="1">
        <f t="shared" si="139"/>
        <v>183.58156222343879</v>
      </c>
      <c r="CE26" s="1">
        <f t="shared" si="139"/>
        <v>174.40248411226685</v>
      </c>
      <c r="CF26" s="1">
        <f t="shared" si="139"/>
        <v>165.68235990665349</v>
      </c>
      <c r="CG26" s="1">
        <f t="shared" si="139"/>
        <v>157.39824191132081</v>
      </c>
      <c r="CH26" s="1">
        <f t="shared" si="139"/>
        <v>149.52832981575477</v>
      </c>
      <c r="CI26" s="1">
        <f t="shared" si="139"/>
        <v>142.05191332496702</v>
      </c>
      <c r="CJ26" s="1">
        <f t="shared" si="139"/>
        <v>134.94931765871866</v>
      </c>
      <c r="CK26" s="1">
        <f t="shared" si="139"/>
        <v>128.20185177578273</v>
      </c>
      <c r="CL26" s="1">
        <f t="shared" si="139"/>
        <v>121.79175918699359</v>
      </c>
      <c r="CM26" s="1">
        <f t="shared" si="139"/>
        <v>115.7021712276439</v>
      </c>
      <c r="CN26" s="1">
        <f t="shared" si="139"/>
        <v>109.9170626662617</v>
      </c>
      <c r="CO26" s="1">
        <f t="shared" si="139"/>
        <v>104.42120953294861</v>
      </c>
      <c r="CP26" s="1">
        <f t="shared" si="139"/>
        <v>99.200149056301171</v>
      </c>
      <c r="CQ26" s="1">
        <f t="shared" si="139"/>
        <v>94.240141603486109</v>
      </c>
      <c r="CR26" s="1">
        <f t="shared" si="139"/>
        <v>89.528134523311806</v>
      </c>
      <c r="CS26" s="1">
        <f t="shared" si="139"/>
        <v>85.051727797146214</v>
      </c>
      <c r="CT26" s="1">
        <f t="shared" si="139"/>
        <v>80.7991414072889</v>
      </c>
      <c r="CU26" s="1">
        <f t="shared" si="139"/>
        <v>76.759184336924449</v>
      </c>
      <c r="CV26" s="1">
        <f t="shared" si="139"/>
        <v>72.921225120078219</v>
      </c>
      <c r="CW26" s="1">
        <f t="shared" si="139"/>
        <v>69.275163864074301</v>
      </c>
      <c r="CX26" s="1">
        <f t="shared" si="139"/>
        <v>65.811405670870585</v>
      </c>
      <c r="CY26" s="1">
        <f t="shared" si="139"/>
        <v>62.520835387327054</v>
      </c>
      <c r="CZ26" s="1">
        <f t="shared" si="139"/>
        <v>59.394793617960701</v>
      </c>
      <c r="DA26" s="1">
        <f t="shared" si="139"/>
        <v>56.425053937062664</v>
      </c>
      <c r="DB26" s="1">
        <f t="shared" si="139"/>
        <v>53.603801240209528</v>
      </c>
      <c r="DC26" s="1">
        <f t="shared" si="139"/>
        <v>50.923611178199046</v>
      </c>
      <c r="DD26" s="1">
        <f t="shared" si="139"/>
        <v>48.377430619289093</v>
      </c>
      <c r="DE26" s="1">
        <f t="shared" si="139"/>
        <v>45.958559088324634</v>
      </c>
      <c r="DF26" s="1">
        <f t="shared" si="139"/>
        <v>43.660631133908403</v>
      </c>
      <c r="DG26" s="1">
        <f t="shared" si="139"/>
        <v>41.477599577212978</v>
      </c>
      <c r="DH26" s="1">
        <f t="shared" si="139"/>
        <v>39.403719598352325</v>
      </c>
      <c r="DI26" s="1">
        <f t="shared" si="139"/>
        <v>37.433533618434709</v>
      </c>
      <c r="DJ26" s="1">
        <f t="shared" si="139"/>
        <v>35.561856937512971</v>
      </c>
      <c r="DK26" s="1">
        <f t="shared" si="139"/>
        <v>33.78376409063732</v>
      </c>
      <c r="DL26" s="1">
        <f t="shared" si="139"/>
        <v>32.094575886105453</v>
      </c>
    </row>
    <row r="27" spans="2:116" x14ac:dyDescent="0.25">
      <c r="B27" t="s">
        <v>63</v>
      </c>
      <c r="I27" s="18">
        <f t="shared" ref="I27:M27" si="140">+I26/I28</f>
        <v>-0.79286930746506767</v>
      </c>
      <c r="J27" s="18" t="e">
        <f t="shared" si="140"/>
        <v>#DIV/0!</v>
      </c>
      <c r="K27" s="18" t="e">
        <f t="shared" si="140"/>
        <v>#DIV/0!</v>
      </c>
      <c r="L27" s="18" t="e">
        <f t="shared" si="140"/>
        <v>#DIV/0!</v>
      </c>
      <c r="M27" s="18">
        <f t="shared" si="140"/>
        <v>-1.3262102185737119</v>
      </c>
      <c r="N27" s="18">
        <f t="shared" ref="N27:X27" si="141">+N26/N28</f>
        <v>-1.4955984162646163</v>
      </c>
      <c r="O27" s="18">
        <f t="shared" si="141"/>
        <v>-1.9622200534697662</v>
      </c>
      <c r="P27" s="18">
        <f t="shared" si="141"/>
        <v>-2.0296785609592445</v>
      </c>
      <c r="Q27" s="18">
        <f t="shared" si="141"/>
        <v>-3.2685419039919288</v>
      </c>
      <c r="R27" s="18">
        <f t="shared" si="141"/>
        <v>-1.9642864473857069</v>
      </c>
      <c r="S27" s="18">
        <f t="shared" si="141"/>
        <v>-1.0362352862720752</v>
      </c>
      <c r="T27" s="18">
        <f t="shared" si="141"/>
        <v>-2.2580188485171608</v>
      </c>
      <c r="U27" s="18">
        <f t="shared" si="141"/>
        <v>-1.9614315836993368</v>
      </c>
      <c r="V27" s="18">
        <f t="shared" si="141"/>
        <v>-1.3283098743248072</v>
      </c>
      <c r="W27" s="18">
        <f t="shared" si="141"/>
        <v>-1.8814803242263878</v>
      </c>
      <c r="X27" s="18">
        <f t="shared" si="141"/>
        <v>-1.2895164542562898</v>
      </c>
      <c r="Y27" s="18">
        <f t="shared" ref="Y27" si="142">+Y26/Y28</f>
        <v>-1.2343812693732079</v>
      </c>
      <c r="Z27" s="18">
        <f t="shared" ref="Z27" si="143">+Z26/Z28</f>
        <v>-1.2158469461337911</v>
      </c>
      <c r="AA27" s="18">
        <f t="shared" ref="AA27" si="144">+AA26/AA28</f>
        <v>-1.404848858094905</v>
      </c>
      <c r="AB27" s="18">
        <f t="shared" ref="AB27" si="145">+AB26/AB28</f>
        <v>-1.1673926519426152</v>
      </c>
      <c r="AC27" s="18">
        <f t="shared" ref="AC27" si="146">+AC26/AC28</f>
        <v>-1.814389563363098</v>
      </c>
      <c r="AD27" s="18">
        <f t="shared" ref="AD27:AE27" si="147">+AD26/AD28</f>
        <v>-1.2912912912912913</v>
      </c>
      <c r="AE27" s="18">
        <f t="shared" si="147"/>
        <v>-1.8389662027833003</v>
      </c>
      <c r="AM27" s="21">
        <f>+AM26/AM28</f>
        <v>9.1743921387339569</v>
      </c>
      <c r="AN27" s="21">
        <f>+AN26/AN28</f>
        <v>6.6063965896210775</v>
      </c>
      <c r="AO27" s="21">
        <f>+AO26/AO28</f>
        <v>5.5509542663742391</v>
      </c>
      <c r="AP27" s="21">
        <f>+AP26/AP28</f>
        <v>5.2048099987690284</v>
      </c>
      <c r="AQ27" s="21">
        <f>+AQ26/AQ28</f>
        <v>-4.056841969773207</v>
      </c>
      <c r="AR27" s="21">
        <f t="shared" ref="AR27:AZ27" si="148">+AR26/AR28</f>
        <v>4.4839509210771231</v>
      </c>
      <c r="AS27" s="21">
        <f t="shared" si="148"/>
        <v>5.458402771071734</v>
      </c>
      <c r="AT27" s="21">
        <f t="shared" si="148"/>
        <v>6.0459424082809576</v>
      </c>
      <c r="AU27" s="21">
        <f t="shared" si="148"/>
        <v>6.6630388442702158</v>
      </c>
      <c r="AV27" s="21">
        <f t="shared" si="148"/>
        <v>7.0263994227172484</v>
      </c>
      <c r="AW27" s="21">
        <f t="shared" si="148"/>
        <v>7.4082301164489675</v>
      </c>
      <c r="AX27" s="21">
        <f t="shared" si="148"/>
        <v>7.8094574520932323</v>
      </c>
      <c r="AY27" s="21">
        <f t="shared" si="148"/>
        <v>8.2310543128179283</v>
      </c>
      <c r="AZ27" s="21">
        <f t="shared" si="148"/>
        <v>8.6740422564600568</v>
      </c>
    </row>
    <row r="28" spans="2:116" s="1" customFormat="1" x14ac:dyDescent="0.25">
      <c r="B28" s="1" t="s">
        <v>1</v>
      </c>
      <c r="C28" s="15"/>
      <c r="D28" s="15"/>
      <c r="E28" s="15"/>
      <c r="F28" s="15"/>
      <c r="G28" s="15"/>
      <c r="H28" s="15"/>
      <c r="I28" s="15">
        <v>60.687176999999998</v>
      </c>
      <c r="J28" s="15"/>
      <c r="K28" s="15"/>
      <c r="L28" s="15"/>
      <c r="M28" s="15">
        <v>67.875362999999993</v>
      </c>
      <c r="N28" s="15">
        <v>68.570545999999993</v>
      </c>
      <c r="O28" s="15">
        <v>69.516667999999996</v>
      </c>
      <c r="P28" s="15">
        <v>69.925358000000003</v>
      </c>
      <c r="Q28" s="15">
        <v>70.054173000000006</v>
      </c>
      <c r="R28" s="15">
        <v>70.152191999999999</v>
      </c>
      <c r="S28" s="15">
        <v>70.897991000000005</v>
      </c>
      <c r="T28" s="15">
        <v>70.897991000000005</v>
      </c>
      <c r="U28" s="15">
        <v>71.664492999999993</v>
      </c>
      <c r="V28" s="15">
        <v>81.118872999999994</v>
      </c>
      <c r="W28" s="15">
        <v>84.286292000000003</v>
      </c>
      <c r="X28" s="15">
        <v>86.580516000000003</v>
      </c>
      <c r="Y28" s="15">
        <v>95.493995999999996</v>
      </c>
      <c r="Z28" s="15">
        <v>95.681450999999996</v>
      </c>
      <c r="AA28" s="1">
        <v>96.288650000000004</v>
      </c>
      <c r="AB28" s="1">
        <v>98.460445000000007</v>
      </c>
      <c r="AC28" s="1">
        <v>99.771297000000004</v>
      </c>
      <c r="AD28" s="1">
        <v>99.9</v>
      </c>
      <c r="AE28" s="1">
        <v>100.6</v>
      </c>
      <c r="AM28" s="1">
        <f>AVERAGE(O28:R28)</f>
        <v>69.912097750000001</v>
      </c>
      <c r="AN28" s="1">
        <f>AVERAGE(S28:V28)</f>
        <v>73.644836999999995</v>
      </c>
      <c r="AO28" s="1">
        <f>AVERAGE(W28:Z28)</f>
        <v>90.510563749999989</v>
      </c>
      <c r="AP28" s="1">
        <f>AVERAGE(AA28:AD28)</f>
        <v>98.605097999999998</v>
      </c>
      <c r="AQ28" s="1">
        <f>+AP28</f>
        <v>98.605097999999998</v>
      </c>
      <c r="AR28" s="1">
        <f t="shared" ref="AR28:AZ28" si="149">+AQ28</f>
        <v>98.605097999999998</v>
      </c>
      <c r="AS28" s="1">
        <f t="shared" si="149"/>
        <v>98.605097999999998</v>
      </c>
      <c r="AT28" s="1">
        <f t="shared" si="149"/>
        <v>98.605097999999998</v>
      </c>
      <c r="AU28" s="1">
        <f t="shared" si="149"/>
        <v>98.605097999999998</v>
      </c>
      <c r="AV28" s="1">
        <f t="shared" si="149"/>
        <v>98.605097999999998</v>
      </c>
      <c r="AW28" s="1">
        <f t="shared" si="149"/>
        <v>98.605097999999998</v>
      </c>
      <c r="AX28" s="1">
        <f t="shared" si="149"/>
        <v>98.605097999999998</v>
      </c>
      <c r="AY28" s="1">
        <f t="shared" si="149"/>
        <v>98.605097999999998</v>
      </c>
      <c r="AZ28" s="1">
        <f t="shared" si="149"/>
        <v>98.605097999999998</v>
      </c>
    </row>
    <row r="30" spans="2:116" x14ac:dyDescent="0.25">
      <c r="B30" s="1" t="s">
        <v>68</v>
      </c>
      <c r="Q30" s="19">
        <f t="shared" ref="Q30:X30" si="150">+Q16/M16-1</f>
        <v>0.11091650642399586</v>
      </c>
      <c r="R30" s="19">
        <f t="shared" si="150"/>
        <v>0.23934811545887369</v>
      </c>
      <c r="S30" s="19">
        <f t="shared" si="150"/>
        <v>0.25722149246262593</v>
      </c>
      <c r="T30" s="19">
        <f t="shared" si="150"/>
        <v>0.21228299922769533</v>
      </c>
      <c r="U30" s="19">
        <f t="shared" si="150"/>
        <v>8.102267841195987E-2</v>
      </c>
      <c r="V30" s="19">
        <f t="shared" si="150"/>
        <v>0.2326508495568369</v>
      </c>
      <c r="W30" s="19">
        <f t="shared" si="150"/>
        <v>8.2958525712466091E-2</v>
      </c>
      <c r="X30" s="19">
        <f t="shared" si="150"/>
        <v>0.35746798511665712</v>
      </c>
      <c r="Y30" s="19">
        <f t="shared" ref="Y30" si="151">+Y16/U16-1</f>
        <v>0.4226532860115042</v>
      </c>
      <c r="Z30" s="19">
        <f t="shared" ref="Z30" si="152">+Z16/V16-1</f>
        <v>0.29424924642049755</v>
      </c>
      <c r="AA30" s="19">
        <f t="shared" ref="AA30" si="153">+AA16/W16-1</f>
        <v>0.27986915733279427</v>
      </c>
      <c r="AB30" s="19">
        <f t="shared" ref="AB30" si="154">+AB16/X16-1</f>
        <v>0.1324255573844082</v>
      </c>
      <c r="AC30" s="19">
        <f t="shared" ref="AC30" si="155">+AC16/Y16-1</f>
        <v>0.147002738469038</v>
      </c>
      <c r="AD30" s="19">
        <f t="shared" ref="AD30:AH30" si="156">+AD16/Z16-1</f>
        <v>0.25548135883112866</v>
      </c>
      <c r="AE30" s="19">
        <f t="shared" si="156"/>
        <v>-2.3633805243660766E-2</v>
      </c>
      <c r="AF30" s="19">
        <f t="shared" si="156"/>
        <v>0</v>
      </c>
      <c r="AG30" s="19">
        <f t="shared" si="156"/>
        <v>0</v>
      </c>
      <c r="AH30" s="19">
        <f t="shared" si="156"/>
        <v>0</v>
      </c>
      <c r="AN30" s="22">
        <f>+AN16/AM16-1</f>
        <v>0.21686635193157167</v>
      </c>
      <c r="AO30" s="22">
        <f>+AO16/AN16-1</f>
        <v>0.29452133927952495</v>
      </c>
      <c r="AP30" s="22">
        <f>+AP16/AO16-1</f>
        <v>0.2009139103582458</v>
      </c>
      <c r="AQ30" s="22">
        <f t="shared" ref="AQ30:AZ30" si="157">+AQ16/AP16-1</f>
        <v>9.970451316016371E-3</v>
      </c>
      <c r="AR30" s="22">
        <f t="shared" si="157"/>
        <v>0.13538107656262888</v>
      </c>
      <c r="AS30" s="22">
        <f t="shared" si="157"/>
        <v>0.13222623611625806</v>
      </c>
      <c r="AT30" s="22">
        <f t="shared" si="157"/>
        <v>6.0710997342753092E-2</v>
      </c>
      <c r="AU30" s="22">
        <f t="shared" si="157"/>
        <v>5.7268847142717183E-2</v>
      </c>
      <c r="AV30" s="22">
        <f t="shared" si="157"/>
        <v>5.1979290223240771E-3</v>
      </c>
      <c r="AW30" s="22">
        <f t="shared" si="157"/>
        <v>5.2227607727501901E-3</v>
      </c>
      <c r="AX30" s="22">
        <f t="shared" si="157"/>
        <v>5.2475815175758722E-3</v>
      </c>
      <c r="AY30" s="22">
        <f t="shared" si="157"/>
        <v>5.2723900362439124E-3</v>
      </c>
      <c r="AZ30" s="22">
        <f t="shared" si="157"/>
        <v>5.2971851106089485E-3</v>
      </c>
    </row>
    <row r="31" spans="2:116" x14ac:dyDescent="0.25">
      <c r="B31" t="s">
        <v>60</v>
      </c>
      <c r="C31" s="22"/>
      <c r="D31" s="22"/>
      <c r="E31" s="22"/>
      <c r="F31" s="22"/>
      <c r="G31" s="22"/>
      <c r="H31" s="22"/>
      <c r="I31" s="22">
        <f t="shared" ref="I31:AA31" si="158">+I18/I16</f>
        <v>0.97117957530379284</v>
      </c>
      <c r="J31" s="22"/>
      <c r="K31" s="22"/>
      <c r="L31" s="22"/>
      <c r="M31" s="22">
        <f t="shared" si="158"/>
        <v>0.94886523693460878</v>
      </c>
      <c r="N31" s="22">
        <f t="shared" si="158"/>
        <v>0.95792010936694283</v>
      </c>
      <c r="O31" s="22">
        <f t="shared" si="158"/>
        <v>0.92368799649715405</v>
      </c>
      <c r="P31" s="22">
        <f t="shared" si="158"/>
        <v>0.90743538945412627</v>
      </c>
      <c r="Q31" s="22">
        <f t="shared" si="158"/>
        <v>0.90484327971511413</v>
      </c>
      <c r="R31" s="22">
        <f t="shared" si="158"/>
        <v>0.94853311142934549</v>
      </c>
      <c r="S31" s="22">
        <f t="shared" si="158"/>
        <v>0.87803494666454385</v>
      </c>
      <c r="T31" s="22">
        <f t="shared" si="158"/>
        <v>0.90846559381030201</v>
      </c>
      <c r="U31" s="22">
        <f t="shared" si="158"/>
        <v>0.88794721168359647</v>
      </c>
      <c r="V31" s="22">
        <f t="shared" si="158"/>
        <v>0.90540222305953277</v>
      </c>
      <c r="W31" s="22">
        <f t="shared" si="158"/>
        <v>0.83889996600295869</v>
      </c>
      <c r="X31" s="22">
        <f t="shared" si="158"/>
        <v>0.85526369485669207</v>
      </c>
      <c r="Y31" s="22">
        <f t="shared" si="158"/>
        <v>0.84930534646651468</v>
      </c>
      <c r="Z31" s="22">
        <f t="shared" si="158"/>
        <v>0.89753573876283532</v>
      </c>
      <c r="AA31" s="22">
        <f t="shared" si="158"/>
        <v>0.79423082445510151</v>
      </c>
      <c r="AB31" s="22">
        <f>+AB18/AB16</f>
        <v>0.86184653084758789</v>
      </c>
      <c r="AC31" s="22">
        <f t="shared" ref="AC31:AH31" si="159">+AC18/AC16</f>
        <v>0.82505625000000005</v>
      </c>
      <c r="AD31" s="22">
        <f t="shared" si="159"/>
        <v>0.85990338164251212</v>
      </c>
      <c r="AE31" s="22">
        <f t="shared" si="159"/>
        <v>0.77941176470588236</v>
      </c>
      <c r="AF31" s="22">
        <f t="shared" si="159"/>
        <v>0</v>
      </c>
      <c r="AG31" s="22">
        <f t="shared" si="159"/>
        <v>0</v>
      </c>
      <c r="AH31" s="22">
        <f t="shared" si="159"/>
        <v>0</v>
      </c>
      <c r="BB31" t="s">
        <v>105</v>
      </c>
      <c r="BC31" s="22">
        <v>0.05</v>
      </c>
    </row>
    <row r="32" spans="2:116" x14ac:dyDescent="0.25">
      <c r="BB32" t="s">
        <v>75</v>
      </c>
      <c r="BC32" s="22">
        <v>-0.05</v>
      </c>
    </row>
    <row r="33" spans="2:55" x14ac:dyDescent="0.25">
      <c r="B33" t="s">
        <v>3</v>
      </c>
      <c r="AP33">
        <v>563</v>
      </c>
      <c r="AQ33" s="1">
        <f>+AP33+AQ24</f>
        <v>162.97469999999993</v>
      </c>
      <c r="AR33" s="1">
        <f t="shared" ref="AR33:AZ33" si="160">+AQ33+AR24</f>
        <v>605.11511999999993</v>
      </c>
      <c r="AS33" s="1">
        <f t="shared" si="160"/>
        <v>1203.1443868499998</v>
      </c>
      <c r="AT33" s="1">
        <f t="shared" si="160"/>
        <v>1865.5452131509996</v>
      </c>
      <c r="AU33" s="1">
        <f t="shared" si="160"/>
        <v>2595.5558778366344</v>
      </c>
      <c r="AV33" s="1">
        <f t="shared" si="160"/>
        <v>3365.3767707968318</v>
      </c>
      <c r="AW33" s="1">
        <f t="shared" si="160"/>
        <v>4177.031500395723</v>
      </c>
      <c r="AX33" s="1">
        <f t="shared" si="160"/>
        <v>5032.6451863851489</v>
      </c>
      <c r="AY33" s="1">
        <f t="shared" si="160"/>
        <v>5934.4495387837433</v>
      </c>
      <c r="AZ33" s="1">
        <f t="shared" si="160"/>
        <v>6884.7881907330602</v>
      </c>
      <c r="BB33" t="s">
        <v>76</v>
      </c>
      <c r="BC33" s="22">
        <v>0.09</v>
      </c>
    </row>
    <row r="34" spans="2:55" x14ac:dyDescent="0.25">
      <c r="BB34" t="s">
        <v>77</v>
      </c>
      <c r="BC34" s="1">
        <f>NPV(BC33,AQ26:DV26)</f>
        <v>5655.5086485243</v>
      </c>
    </row>
    <row r="35" spans="2:55" x14ac:dyDescent="0.25">
      <c r="BB35" t="s">
        <v>78</v>
      </c>
      <c r="BC35" s="21">
        <f>BC34/Main!L3</f>
        <v>57.422613549318861</v>
      </c>
    </row>
  </sheetData>
  <hyperlinks>
    <hyperlink ref="A1" location="Main!A1" display="Main" xr:uid="{74030F7E-4FAD-4277-B06A-F1F43FD70CFA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2A8F-273D-40F0-975B-DB1EB69656E8}">
  <dimension ref="A1:C5"/>
  <sheetViews>
    <sheetView zoomScale="205" zoomScaleNormal="205" workbookViewId="0"/>
  </sheetViews>
  <sheetFormatPr defaultRowHeight="12.5" x14ac:dyDescent="0.25"/>
  <cols>
    <col min="1" max="1" width="4.6328125" bestFit="1" customWidth="1"/>
    <col min="2" max="2" width="9.6328125" bestFit="1" customWidth="1"/>
  </cols>
  <sheetData>
    <row r="1" spans="1:3" x14ac:dyDescent="0.25">
      <c r="A1" s="20" t="s">
        <v>29</v>
      </c>
    </row>
    <row r="2" spans="1:3" x14ac:dyDescent="0.25">
      <c r="B2" t="s">
        <v>82</v>
      </c>
      <c r="C2" t="s">
        <v>14</v>
      </c>
    </row>
    <row r="3" spans="1:3" x14ac:dyDescent="0.25">
      <c r="B3" t="s">
        <v>83</v>
      </c>
      <c r="C3" t="s">
        <v>84</v>
      </c>
    </row>
    <row r="4" spans="1:3" x14ac:dyDescent="0.25">
      <c r="B4" t="s">
        <v>79</v>
      </c>
      <c r="C4" t="s">
        <v>85</v>
      </c>
    </row>
    <row r="5" spans="1:3" x14ac:dyDescent="0.25">
      <c r="B5" t="s">
        <v>86</v>
      </c>
      <c r="C5" t="s">
        <v>87</v>
      </c>
    </row>
  </sheetData>
  <hyperlinks>
    <hyperlink ref="A1" location="Main!A1" display="Main" xr:uid="{10B81E42-3B64-4532-9A15-C712EECB3B4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2DAE-5442-4967-96EF-C6DAC0DEE9A0}">
  <dimension ref="A1:C10"/>
  <sheetViews>
    <sheetView zoomScale="160" zoomScaleNormal="160" workbookViewId="0">
      <selection activeCell="C8" sqref="C8"/>
    </sheetView>
  </sheetViews>
  <sheetFormatPr defaultRowHeight="12.5" x14ac:dyDescent="0.25"/>
  <cols>
    <col min="1" max="1" width="4.6328125" bestFit="1" customWidth="1"/>
    <col min="2" max="2" width="11.453125" bestFit="1" customWidth="1"/>
  </cols>
  <sheetData>
    <row r="1" spans="1:3" x14ac:dyDescent="0.25">
      <c r="A1" s="20" t="s">
        <v>29</v>
      </c>
    </row>
    <row r="2" spans="1:3" x14ac:dyDescent="0.25">
      <c r="B2" t="s">
        <v>82</v>
      </c>
      <c r="C2" t="s">
        <v>12</v>
      </c>
    </row>
    <row r="3" spans="1:3" x14ac:dyDescent="0.25">
      <c r="B3" t="s">
        <v>83</v>
      </c>
      <c r="C3" t="s">
        <v>93</v>
      </c>
    </row>
    <row r="4" spans="1:3" x14ac:dyDescent="0.25">
      <c r="B4" t="s">
        <v>79</v>
      </c>
      <c r="C4" t="s">
        <v>13</v>
      </c>
    </row>
    <row r="5" spans="1:3" x14ac:dyDescent="0.25">
      <c r="B5" t="s">
        <v>21</v>
      </c>
      <c r="C5" t="s">
        <v>94</v>
      </c>
    </row>
    <row r="6" spans="1:3" x14ac:dyDescent="0.25">
      <c r="B6" t="s">
        <v>95</v>
      </c>
    </row>
    <row r="7" spans="1:3" ht="13" x14ac:dyDescent="0.3">
      <c r="C7" s="24" t="s">
        <v>97</v>
      </c>
    </row>
    <row r="10" spans="1:3" ht="13" x14ac:dyDescent="0.3">
      <c r="C10" s="24" t="s">
        <v>96</v>
      </c>
    </row>
  </sheetData>
  <hyperlinks>
    <hyperlink ref="A1" location="Main!A1" display="Main" xr:uid="{F096C687-6F3C-4C65-83D9-148929991E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Crysvita</vt:lpstr>
      <vt:lpstr>apazunersen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2024-10-06T12:52:59Z</dcterms:created>
  <dcterms:modified xsi:type="dcterms:W3CDTF">2026-07-16T15:05:06Z</dcterms:modified>
</cp:coreProperties>
</file>