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D3DF4D5-B842-4DCC-BEA8-735CDE6D9A70}" xr6:coauthVersionLast="47" xr6:coauthVersionMax="47" xr10:uidLastSave="{00000000-0000-0000-0000-000000000000}"/>
  <bookViews>
    <workbookView xWindow="11050" yWindow="2100" windowWidth="22360" windowHeight="13470" xr2:uid="{9D0624F1-83E7-49DD-A406-977B87DBFDC8}"/>
  </bookViews>
  <sheets>
    <sheet name="Main" sheetId="1" r:id="rId1"/>
    <sheet name="Model" sheetId="2" r:id="rId2"/>
    <sheet name="Nuplazid" sheetId="3" r:id="rId3"/>
    <sheet name="Dayb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2" l="1"/>
  <c r="AG4" i="2"/>
  <c r="AD3" i="2"/>
  <c r="AC3" i="2"/>
  <c r="AC17" i="2"/>
  <c r="AD17" i="2" s="1"/>
  <c r="AB16" i="2"/>
  <c r="AB17" i="2"/>
  <c r="AB14" i="2"/>
  <c r="AA14" i="2"/>
  <c r="AB15" i="2"/>
  <c r="AB13" i="2"/>
  <c r="AO10" i="2"/>
  <c r="AN10" i="2"/>
  <c r="AJ9" i="2"/>
  <c r="AK9" i="2" s="1"/>
  <c r="AH9" i="2"/>
  <c r="AI9" i="2"/>
  <c r="AI10" i="2" s="1"/>
  <c r="AG9" i="2"/>
  <c r="AF9" i="2"/>
  <c r="AE9" i="2"/>
  <c r="AC9" i="2"/>
  <c r="AD9" i="2"/>
  <c r="AD10" i="2" s="1"/>
  <c r="AB9" i="2"/>
  <c r="AJ10" i="2"/>
  <c r="AH10" i="2"/>
  <c r="AG10" i="2"/>
  <c r="AE10" i="2"/>
  <c r="AC10" i="2"/>
  <c r="AB10" i="2"/>
  <c r="AB11" i="2" s="1"/>
  <c r="AB7" i="2"/>
  <c r="AB6" i="2"/>
  <c r="AD5" i="2"/>
  <c r="AD6" i="2" s="1"/>
  <c r="AD7" i="2" s="1"/>
  <c r="AC5" i="2"/>
  <c r="AC6" i="2" s="1"/>
  <c r="AC7" i="2" s="1"/>
  <c r="AB5" i="2"/>
  <c r="AI4" i="2"/>
  <c r="AJ4" i="2" s="1"/>
  <c r="AK4" i="2" s="1"/>
  <c r="AL4" i="2" s="1"/>
  <c r="AM4" i="2" s="1"/>
  <c r="AN4" i="2" s="1"/>
  <c r="AO4" i="2" s="1"/>
  <c r="AF4" i="2"/>
  <c r="AE4" i="2"/>
  <c r="AD4" i="2"/>
  <c r="AC4" i="2"/>
  <c r="AB4" i="2"/>
  <c r="AE3" i="2"/>
  <c r="AB3" i="2"/>
  <c r="AA3" i="2"/>
  <c r="AA5" i="2" s="1"/>
  <c r="AA7" i="2" s="1"/>
  <c r="Z16" i="2"/>
  <c r="Y16" i="2"/>
  <c r="AA17" i="2"/>
  <c r="Z17" i="2"/>
  <c r="Y17" i="2"/>
  <c r="Z15" i="2"/>
  <c r="Y15" i="2"/>
  <c r="Z13" i="2"/>
  <c r="Y13" i="2"/>
  <c r="AA10" i="2"/>
  <c r="Z10" i="2"/>
  <c r="Z11" i="2" s="1"/>
  <c r="Y10" i="2"/>
  <c r="Y11" i="2" s="1"/>
  <c r="AA9" i="2"/>
  <c r="Z9" i="2"/>
  <c r="Y9" i="2"/>
  <c r="AA8" i="2"/>
  <c r="Z8" i="2"/>
  <c r="Y8" i="2"/>
  <c r="Z7" i="2"/>
  <c r="Y7" i="2"/>
  <c r="AA6" i="2"/>
  <c r="Z6" i="2"/>
  <c r="Y6" i="2"/>
  <c r="Z5" i="2"/>
  <c r="Y5" i="2"/>
  <c r="AA4" i="2"/>
  <c r="Z4" i="2"/>
  <c r="Y4" i="2"/>
  <c r="Z3" i="2"/>
  <c r="Y3" i="2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Z2" i="2"/>
  <c r="V9" i="2"/>
  <c r="U9" i="2"/>
  <c r="T9" i="2"/>
  <c r="V19" i="2"/>
  <c r="U19" i="2"/>
  <c r="T19" i="2"/>
  <c r="V17" i="2"/>
  <c r="U17" i="2"/>
  <c r="T17" i="2"/>
  <c r="V10" i="2"/>
  <c r="V11" i="2" s="1"/>
  <c r="V13" i="2" s="1"/>
  <c r="V15" i="2" s="1"/>
  <c r="V16" i="2" s="1"/>
  <c r="U10" i="2"/>
  <c r="U11" i="2" s="1"/>
  <c r="U13" i="2" s="1"/>
  <c r="U15" i="2" s="1"/>
  <c r="U16" i="2" s="1"/>
  <c r="T10" i="2"/>
  <c r="T11" i="2" s="1"/>
  <c r="T13" i="2" s="1"/>
  <c r="T15" i="2" s="1"/>
  <c r="T16" i="2" s="1"/>
  <c r="V6" i="2"/>
  <c r="V7" i="2" s="1"/>
  <c r="U6" i="2"/>
  <c r="U7" i="2" s="1"/>
  <c r="T7" i="2"/>
  <c r="T6" i="2"/>
  <c r="V4" i="2"/>
  <c r="U4" i="2"/>
  <c r="T4" i="2"/>
  <c r="V3" i="2"/>
  <c r="U3" i="2"/>
  <c r="T3" i="2"/>
  <c r="R19" i="2"/>
  <c r="Q19" i="2"/>
  <c r="P19" i="2"/>
  <c r="O19" i="2"/>
  <c r="N19" i="2"/>
  <c r="S19" i="2"/>
  <c r="Q7" i="2"/>
  <c r="L7" i="2"/>
  <c r="R10" i="2"/>
  <c r="R11" i="2" s="1"/>
  <c r="R13" i="2" s="1"/>
  <c r="R15" i="2" s="1"/>
  <c r="R16" i="2" s="1"/>
  <c r="Q10" i="2"/>
  <c r="Q11" i="2" s="1"/>
  <c r="Q13" i="2" s="1"/>
  <c r="Q15" i="2" s="1"/>
  <c r="Q16" i="2" s="1"/>
  <c r="P10" i="2"/>
  <c r="O10" i="2"/>
  <c r="N10" i="2"/>
  <c r="R7" i="2"/>
  <c r="S11" i="2"/>
  <c r="S13" i="2" s="1"/>
  <c r="S15" i="2" s="1"/>
  <c r="S16" i="2" s="1"/>
  <c r="S10" i="2"/>
  <c r="S7" i="2"/>
  <c r="V5" i="2"/>
  <c r="U5" i="2"/>
  <c r="T5" i="2"/>
  <c r="S5" i="2"/>
  <c r="R5" i="2"/>
  <c r="Q5" i="2"/>
  <c r="P5" i="2"/>
  <c r="P7" i="2" s="1"/>
  <c r="O5" i="2"/>
  <c r="O7" i="2" s="1"/>
  <c r="N5" i="2"/>
  <c r="N7" i="2" s="1"/>
  <c r="M5" i="2"/>
  <c r="M7" i="2" s="1"/>
  <c r="AF3" i="2" l="1"/>
  <c r="AE5" i="2"/>
  <c r="AE6" i="2" s="1"/>
  <c r="AE7" i="2" s="1"/>
  <c r="AC11" i="2"/>
  <c r="AC13" i="2" s="1"/>
  <c r="AE11" i="2"/>
  <c r="AE13" i="2" s="1"/>
  <c r="AD11" i="2"/>
  <c r="AD13" i="2" s="1"/>
  <c r="AE17" i="2"/>
  <c r="AL9" i="2"/>
  <c r="AK10" i="2"/>
  <c r="AF10" i="2"/>
  <c r="AA11" i="2"/>
  <c r="AA13" i="2" s="1"/>
  <c r="AA15" i="2" s="1"/>
  <c r="AA16" i="2" s="1"/>
  <c r="O11" i="2"/>
  <c r="O13" i="2" s="1"/>
  <c r="O15" i="2" s="1"/>
  <c r="O16" i="2" s="1"/>
  <c r="P11" i="2"/>
  <c r="P13" i="2" s="1"/>
  <c r="P15" i="2" s="1"/>
  <c r="P16" i="2" s="1"/>
  <c r="N11" i="2"/>
  <c r="N13" i="2" s="1"/>
  <c r="N15" i="2" s="1"/>
  <c r="N16" i="2" s="1"/>
  <c r="F16" i="2"/>
  <c r="F15" i="2"/>
  <c r="F13" i="2"/>
  <c r="F12" i="2"/>
  <c r="F10" i="2"/>
  <c r="F11" i="2" s="1"/>
  <c r="F7" i="2"/>
  <c r="J16" i="2"/>
  <c r="J7" i="2"/>
  <c r="F5" i="2"/>
  <c r="E5" i="2"/>
  <c r="D5" i="2"/>
  <c r="C5" i="2"/>
  <c r="G12" i="2"/>
  <c r="K12" i="2"/>
  <c r="I13" i="2"/>
  <c r="I15" i="2" s="1"/>
  <c r="G10" i="2"/>
  <c r="K7" i="2"/>
  <c r="K5" i="2"/>
  <c r="J5" i="2"/>
  <c r="I5" i="2"/>
  <c r="G5" i="2"/>
  <c r="G7" i="2" s="1"/>
  <c r="H12" i="2"/>
  <c r="L12" i="2"/>
  <c r="M10" i="2"/>
  <c r="M11" i="2" s="1"/>
  <c r="M13" i="2" s="1"/>
  <c r="M15" i="2" s="1"/>
  <c r="M16" i="2" s="1"/>
  <c r="L10" i="2"/>
  <c r="K10" i="2"/>
  <c r="J10" i="2"/>
  <c r="I10" i="2"/>
  <c r="I11" i="2" s="1"/>
  <c r="H10" i="2"/>
  <c r="H5" i="2"/>
  <c r="H7" i="2" s="1"/>
  <c r="H11" i="2" s="1"/>
  <c r="L5" i="2"/>
  <c r="K4" i="1"/>
  <c r="K7" i="1" s="1"/>
  <c r="AD14" i="2" l="1"/>
  <c r="AD15" i="2" s="1"/>
  <c r="AC14" i="2"/>
  <c r="AC15" i="2" s="1"/>
  <c r="AE14" i="2"/>
  <c r="AE15" i="2"/>
  <c r="AG3" i="2"/>
  <c r="AF5" i="2"/>
  <c r="AF6" i="2" s="1"/>
  <c r="AF7" i="2" s="1"/>
  <c r="AF11" i="2" s="1"/>
  <c r="AF13" i="2" s="1"/>
  <c r="AF17" i="2"/>
  <c r="AE16" i="2"/>
  <c r="AM9" i="2"/>
  <c r="AL10" i="2"/>
  <c r="J11" i="2"/>
  <c r="J13" i="2" s="1"/>
  <c r="J15" i="2" s="1"/>
  <c r="G11" i="2"/>
  <c r="H13" i="2"/>
  <c r="H15" i="2" s="1"/>
  <c r="H16" i="2" s="1"/>
  <c r="K11" i="2"/>
  <c r="K13" i="2" s="1"/>
  <c r="K15" i="2" s="1"/>
  <c r="K16" i="2" s="1"/>
  <c r="G13" i="2"/>
  <c r="G15" i="2" s="1"/>
  <c r="G16" i="2" s="1"/>
  <c r="L11" i="2"/>
  <c r="L13" i="2" s="1"/>
  <c r="L15" i="2" s="1"/>
  <c r="L16" i="2" s="1"/>
  <c r="AD16" i="2" l="1"/>
  <c r="AF14" i="2"/>
  <c r="AF15" i="2" s="1"/>
  <c r="AC16" i="2"/>
  <c r="AH3" i="2"/>
  <c r="AG5" i="2"/>
  <c r="AG6" i="2" s="1"/>
  <c r="AG7" i="2" s="1"/>
  <c r="AG11" i="2" s="1"/>
  <c r="AG13" i="2" s="1"/>
  <c r="AG17" i="2"/>
  <c r="AN9" i="2"/>
  <c r="AO9" i="2" s="1"/>
  <c r="AM10" i="2"/>
  <c r="AF16" i="2" l="1"/>
  <c r="AI3" i="2"/>
  <c r="AH5" i="2"/>
  <c r="AH6" i="2" s="1"/>
  <c r="AH7" i="2" s="1"/>
  <c r="AH11" i="2" s="1"/>
  <c r="AH13" i="2" s="1"/>
  <c r="AG14" i="2"/>
  <c r="AG15" i="2" s="1"/>
  <c r="AG16" i="2" s="1"/>
  <c r="AH17" i="2"/>
  <c r="AH14" i="2" l="1"/>
  <c r="AH15" i="2"/>
  <c r="AJ3" i="2"/>
  <c r="AI5" i="2"/>
  <c r="AI6" i="2" s="1"/>
  <c r="AI7" i="2" s="1"/>
  <c r="AI11" i="2" s="1"/>
  <c r="AI13" i="2" s="1"/>
  <c r="AI17" i="2"/>
  <c r="AH16" i="2"/>
  <c r="AI14" i="2" l="1"/>
  <c r="AI15" i="2" s="1"/>
  <c r="AI16" i="2" s="1"/>
  <c r="AK3" i="2"/>
  <c r="AJ5" i="2"/>
  <c r="AJ6" i="2" s="1"/>
  <c r="AJ7" i="2" s="1"/>
  <c r="AJ11" i="2" s="1"/>
  <c r="AJ13" i="2" s="1"/>
  <c r="AJ17" i="2"/>
  <c r="AJ14" i="2" l="1"/>
  <c r="AJ15" i="2" s="1"/>
  <c r="AJ16" i="2" s="1"/>
  <c r="AL3" i="2"/>
  <c r="AK5" i="2"/>
  <c r="AK6" i="2" s="1"/>
  <c r="AK7" i="2" s="1"/>
  <c r="AK11" i="2" s="1"/>
  <c r="AK13" i="2" s="1"/>
  <c r="AK14" i="2" s="1"/>
  <c r="AK15" i="2" s="1"/>
  <c r="AK17" i="2"/>
  <c r="AM3" i="2" l="1"/>
  <c r="AL5" i="2"/>
  <c r="AL6" i="2" s="1"/>
  <c r="AL7" i="2" s="1"/>
  <c r="AL11" i="2" s="1"/>
  <c r="AL13" i="2" s="1"/>
  <c r="AL17" i="2"/>
  <c r="AK16" i="2"/>
  <c r="AL14" i="2" l="1"/>
  <c r="AL15" i="2" s="1"/>
  <c r="AL16" i="2" s="1"/>
  <c r="AN3" i="2"/>
  <c r="AM5" i="2"/>
  <c r="AM6" i="2" s="1"/>
  <c r="AM7" i="2" s="1"/>
  <c r="AM11" i="2" s="1"/>
  <c r="AM13" i="2" s="1"/>
  <c r="AM17" i="2"/>
  <c r="AM14" i="2" l="1"/>
  <c r="AM15" i="2"/>
  <c r="AO3" i="2"/>
  <c r="AO5" i="2" s="1"/>
  <c r="AO6" i="2" s="1"/>
  <c r="AO7" i="2" s="1"/>
  <c r="AO11" i="2" s="1"/>
  <c r="AO13" i="2" s="1"/>
  <c r="AN5" i="2"/>
  <c r="AN6" i="2" s="1"/>
  <c r="AN7" i="2" s="1"/>
  <c r="AN11" i="2" s="1"/>
  <c r="AN13" i="2" s="1"/>
  <c r="AN17" i="2"/>
  <c r="AM16" i="2"/>
  <c r="AN14" i="2" l="1"/>
  <c r="AN15" i="2" s="1"/>
  <c r="AN16" i="2" s="1"/>
  <c r="AO14" i="2"/>
  <c r="AO15" i="2" s="1"/>
  <c r="AG20" i="2" s="1"/>
  <c r="AG21" i="2" s="1"/>
  <c r="AO17" i="2"/>
  <c r="AO16" i="2" l="1"/>
</calcChain>
</file>

<file path=xl/sharedStrings.xml><?xml version="1.0" encoding="utf-8"?>
<sst xmlns="http://schemas.openxmlformats.org/spreadsheetml/2006/main" count="84" uniqueCount="69">
  <si>
    <t>Price</t>
  </si>
  <si>
    <t>Shares</t>
  </si>
  <si>
    <t>MC</t>
  </si>
  <si>
    <t>Cash</t>
  </si>
  <si>
    <t>Debt</t>
  </si>
  <si>
    <t>EV</t>
  </si>
  <si>
    <t>Brand</t>
  </si>
  <si>
    <t>Nuplazid</t>
  </si>
  <si>
    <t>Daybue</t>
  </si>
  <si>
    <t>Q224</t>
  </si>
  <si>
    <t>Main</t>
  </si>
  <si>
    <t>Revenue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</si>
  <si>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</si>
  <si>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</si>
  <si>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</si>
  <si>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</si>
  <si>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</si>
  <si>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</si>
  <si>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</si>
  <si>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</si>
  <si>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</si>
  <si>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R&amp;D</t>
  </si>
  <si>
    <t>SG&amp;A</t>
  </si>
  <si>
    <t>Operating Expenses</t>
  </si>
  <si>
    <t>Operating Income</t>
  </si>
  <si>
    <t>Interest</t>
  </si>
  <si>
    <t>Pretax Income</t>
  </si>
  <si>
    <t>Taxes</t>
  </si>
  <si>
    <t>Net Income</t>
  </si>
  <si>
    <t>EPS</t>
  </si>
  <si>
    <t>Head of R&amp;D: Elizabeth Thompson</t>
  </si>
  <si>
    <t>Q122</t>
  </si>
  <si>
    <t>Q222</t>
  </si>
  <si>
    <t>Q322</t>
  </si>
  <si>
    <t>Q422</t>
  </si>
  <si>
    <t>Q125</t>
  </si>
  <si>
    <t>Q225</t>
  </si>
  <si>
    <t>Q325</t>
  </si>
  <si>
    <t>Q425</t>
  </si>
  <si>
    <t>Q126</t>
  </si>
  <si>
    <t>Q226</t>
  </si>
  <si>
    <t>Q326</t>
  </si>
  <si>
    <t>Q426</t>
  </si>
  <si>
    <t>Daybue (trofinetide)</t>
  </si>
  <si>
    <t>Rett Syndrome</t>
  </si>
  <si>
    <t>Indication</t>
  </si>
  <si>
    <t>CEO: Catherine Owen Adams replaced Steve Davis</t>
  </si>
  <si>
    <t>intranasal carbetocin (ACP-101)</t>
  </si>
  <si>
    <t>ACP-711 (SAN711)</t>
  </si>
  <si>
    <t>Essential Tremor</t>
  </si>
  <si>
    <t>Economics</t>
  </si>
  <si>
    <t>Saniona</t>
  </si>
  <si>
    <t>Revenue y/y</t>
  </si>
  <si>
    <t>Generic</t>
  </si>
  <si>
    <t>pimavanserin</t>
  </si>
  <si>
    <t>IP</t>
  </si>
  <si>
    <t>7659285 expires 8/24/26</t>
  </si>
  <si>
    <t>7732615 expires 6/3/28</t>
  </si>
  <si>
    <t>7601740 expires 4/9/30</t>
  </si>
  <si>
    <t>10449185 expires 8/27/38</t>
  </si>
  <si>
    <t>10646480 expires 8/27/38</t>
  </si>
  <si>
    <t>10849891 expires 8/27/38</t>
  </si>
  <si>
    <t>11452721 expires 8/27/38</t>
  </si>
  <si>
    <t>trofinetide</t>
  </si>
  <si>
    <t>9212204 expires 2032</t>
  </si>
  <si>
    <t>11370755 expires 2040</t>
  </si>
  <si>
    <t>Discount</t>
  </si>
  <si>
    <t>NPV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</si>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</sst>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  <xf numFmtId="9" fontId="0" fillId="0" borderId="0" xfId="0" applyNumberFormat="1" applyFont="1"/>
    <xf numFmtId="4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BE39D21-24FD-4ADB-84CF-71337FA189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16328</xdr:colOff>
      <xdr:row>0</xdr:row>
      <xdr:rowOff>0</xdr:rowOff>
    </xdr:from>
    <xdr:to>
      <xdr:col>19</xdr:col>
      <xdr:colOff>16328</xdr:colOff>
      <xdr:row>32</xdr:row>
      <xdr:rowOff>48985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A20807-084E-D1D3-D2AE-97A15AEC4598}"/>
            </a:ext>
          </a:extLst>
        </xdr:cNvPr>
        <xdr:cNvCxnSpPr/>
      </xdr:nvCxnSpPr>
      <xdr:spPr>
        <a:xfrm>
          <a:off x="12385024" y="0"/>
          <a:ext cx="0" cy="51786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41729</xdr:colOff>
      <xdr:row>0</xdr:row>
      <xdr:rowOff>0</xdr:rowOff>
    </xdr:from>
    <xdr:to>
      <xdr:col>26</xdr:col>
      <xdr:colOff>41729</xdr:colOff>
      <xdr:row>32</xdr:row>
      <xdr:rowOff>48985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76DF63F-3337-4902-93DF-2D1D301B0CEE}"/>
            </a:ext>
          </a:extLst>
        </xdr:cNvPr>
        <xdr:cNvCxnSpPr/>
      </xdr:nvCxnSpPr>
      <xdr:spPr>
        <a:xfrm>
          <a:off x="16662164" y="0"/>
          <a:ext cx="0" cy="51786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5F47-B4A7-49F2-A301-0AC0FA10AAA8}">
  <dimension ref="B2:L12"/>
  <sheetViews>
    <sheetView tabSelected="1" zoomScale="145" zoomScaleNormal="145" workbookViewId="0">
      <selection activeCell="C9" sqref="C9"/>
    </sheetView>
  </sheetViews>
  <sheetFormatPr defaultRowHeight="12.5" x14ac:dyDescent="0.25"/>
  <sheetData>
    <row r="2" spans="2:12" x14ac:dyDescent="0.25">
      <c r="B2" s="8" t="s">
        <v>6</v>
      </c>
      <c r="C2" s="9" t="s">
        <v>45</v>
      </c>
      <c r="D2" s="9"/>
      <c r="E2" s="9"/>
      <c r="F2" s="9"/>
      <c r="G2" s="9"/>
      <c r="H2" s="10"/>
      <c r="J2" t="s">
        <v>0</v>
      </c>
      <c r="K2">
        <v>25.76</v>
      </c>
    </row>
    <row r="3" spans="2:12" x14ac:dyDescent="0.25">
      <c r="B3" s="3" t="s">
        <v>7</v>
      </c>
      <c r="H3" s="4"/>
      <c r="J3" t="s">
        <v>1</v>
      </c>
      <c r="K3" s="1">
        <v>166.17400000000001</v>
      </c>
      <c r="L3" s="2" t="s">
        <v>39</v>
      </c>
    </row>
    <row r="4" spans="2:12" x14ac:dyDescent="0.25">
      <c r="B4" s="3" t="s">
        <v>43</v>
      </c>
      <c r="C4" t="s">
        <v>44</v>
      </c>
      <c r="H4" s="4"/>
      <c r="J4" t="s">
        <v>2</v>
      </c>
      <c r="K4" s="1">
        <f>+K2*K3</f>
        <v>4280.6422400000001</v>
      </c>
    </row>
    <row r="5" spans="2:12" x14ac:dyDescent="0.25">
      <c r="B5" s="3"/>
      <c r="H5" s="4"/>
      <c r="J5" t="s">
        <v>3</v>
      </c>
      <c r="K5" s="1">
        <v>851</v>
      </c>
      <c r="L5" s="2" t="s">
        <v>39</v>
      </c>
    </row>
    <row r="6" spans="2:12" x14ac:dyDescent="0.25">
      <c r="B6" s="3"/>
      <c r="H6" s="4"/>
      <c r="J6" t="s">
        <v>4</v>
      </c>
      <c r="K6" s="1">
        <v>0</v>
      </c>
      <c r="L6" s="2" t="s">
        <v>39</v>
      </c>
    </row>
    <row r="7" spans="2:12" x14ac:dyDescent="0.25">
      <c r="B7" s="8"/>
      <c r="C7" s="9"/>
      <c r="D7" s="9"/>
      <c r="E7" s="9" t="s">
        <v>50</v>
      </c>
      <c r="F7" s="9"/>
      <c r="G7" s="9"/>
      <c r="H7" s="10"/>
      <c r="J7" t="s">
        <v>5</v>
      </c>
      <c r="K7" s="1">
        <f>+K4-K5+K6</f>
        <v>3429.6422400000001</v>
      </c>
    </row>
    <row r="8" spans="2:12" x14ac:dyDescent="0.25">
      <c r="B8" s="3" t="s">
        <v>47</v>
      </c>
      <c r="H8" s="4"/>
    </row>
    <row r="9" spans="2:12" x14ac:dyDescent="0.25">
      <c r="B9" s="3" t="s">
        <v>48</v>
      </c>
      <c r="C9" t="s">
        <v>49</v>
      </c>
      <c r="E9" t="s">
        <v>51</v>
      </c>
      <c r="H9" s="4"/>
    </row>
    <row r="10" spans="2:12" x14ac:dyDescent="0.25">
      <c r="B10" s="3"/>
      <c r="H10" s="4"/>
      <c r="J10" t="s">
        <v>30</v>
      </c>
    </row>
    <row r="11" spans="2:12" x14ac:dyDescent="0.25">
      <c r="B11" s="3"/>
      <c r="H11" s="4"/>
      <c r="J11" t="s">
        <v>46</v>
      </c>
    </row>
    <row r="12" spans="2:12" x14ac:dyDescent="0.25">
      <c r="B12" s="5"/>
      <c r="C12" s="6"/>
      <c r="D12" s="6"/>
      <c r="E12" s="6"/>
      <c r="F12" s="6"/>
      <c r="G12" s="6"/>
      <c r="H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2181-CCBF-40AB-B946-20062AA1E0B5}">
  <dimension ref="A1:AP21"/>
  <sheetViews>
    <sheetView zoomScale="115" zoomScaleNormal="115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AH4" sqref="AH4"/>
    </sheetView>
  </sheetViews>
  <sheetFormatPr defaultRowHeight="12.5" x14ac:dyDescent="0.25"/>
  <cols>
    <col min="1" max="1" width="5" bestFit="1" customWidth="1"/>
    <col min="2" max="2" width="18.54296875" customWidth="1"/>
    <col min="3" max="14" width="9.1796875" style="2"/>
    <col min="33" max="33" width="9.6328125" bestFit="1" customWidth="1"/>
  </cols>
  <sheetData>
    <row r="1" spans="1:42" x14ac:dyDescent="0.25">
      <c r="A1" s="14" t="s">
        <v>10</v>
      </c>
    </row>
    <row r="2" spans="1:42" x14ac:dyDescent="0.25">
      <c r="C2" s="2" t="s">
        <v>31</v>
      </c>
      <c r="D2" s="2" t="s">
        <v>32</v>
      </c>
      <c r="E2" s="2" t="s">
        <v>33</v>
      </c>
      <c r="F2" s="2" t="s">
        <v>34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9</v>
      </c>
      <c r="M2" s="2" t="s">
        <v>17</v>
      </c>
      <c r="N2" s="2" t="s">
        <v>18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Y2">
        <v>2024</v>
      </c>
      <c r="Z2">
        <f>+Y2+1</f>
        <v>2025</v>
      </c>
      <c r="AA2">
        <f t="shared" ref="AA2:AP2" si="0">+Z2+1</f>
        <v>2026</v>
      </c>
      <c r="AB2">
        <f t="shared" si="0"/>
        <v>2027</v>
      </c>
      <c r="AC2">
        <f t="shared" si="0"/>
        <v>2028</v>
      </c>
      <c r="AD2">
        <f t="shared" si="0"/>
        <v>2029</v>
      </c>
      <c r="AE2">
        <f t="shared" si="0"/>
        <v>2030</v>
      </c>
      <c r="AF2">
        <f t="shared" si="0"/>
        <v>2031</v>
      </c>
      <c r="AG2">
        <f t="shared" si="0"/>
        <v>2032</v>
      </c>
      <c r="AH2">
        <f t="shared" si="0"/>
        <v>2033</v>
      </c>
      <c r="AI2">
        <f t="shared" si="0"/>
        <v>2034</v>
      </c>
      <c r="AJ2">
        <f t="shared" si="0"/>
        <v>2035</v>
      </c>
      <c r="AK2">
        <f t="shared" si="0"/>
        <v>2036</v>
      </c>
      <c r="AL2">
        <f t="shared" si="0"/>
        <v>2037</v>
      </c>
      <c r="AM2">
        <f t="shared" si="0"/>
        <v>2038</v>
      </c>
      <c r="AN2">
        <f t="shared" si="0"/>
        <v>2039</v>
      </c>
      <c r="AO2">
        <f t="shared" si="0"/>
        <v>2040</v>
      </c>
      <c r="AP2">
        <f t="shared" si="0"/>
        <v>2041</v>
      </c>
    </row>
    <row r="3" spans="1:42" s="1" customFormat="1" x14ac:dyDescent="0.25">
      <c r="B3" s="1" t="s">
        <v>7</v>
      </c>
      <c r="C3" s="11"/>
      <c r="D3" s="11"/>
      <c r="E3" s="11"/>
      <c r="F3" s="11">
        <v>136.5</v>
      </c>
      <c r="G3" s="11">
        <v>118.5</v>
      </c>
      <c r="H3" s="11">
        <v>142</v>
      </c>
      <c r="I3" s="11"/>
      <c r="J3" s="11">
        <v>143.9</v>
      </c>
      <c r="K3" s="11">
        <v>129.9</v>
      </c>
      <c r="L3" s="11">
        <v>157.4</v>
      </c>
      <c r="M3" s="11">
        <v>159.19999999999999</v>
      </c>
      <c r="N3" s="11">
        <v>162.9</v>
      </c>
      <c r="O3" s="1">
        <v>159.69999999999999</v>
      </c>
      <c r="P3" s="1">
        <v>168.1</v>
      </c>
      <c r="Q3" s="1">
        <v>177.5</v>
      </c>
      <c r="R3" s="1">
        <v>174</v>
      </c>
      <c r="S3" s="1">
        <v>167</v>
      </c>
      <c r="T3" s="1">
        <f>+P3*1.1</f>
        <v>184.91</v>
      </c>
      <c r="U3" s="1">
        <f t="shared" ref="U3:U4" si="1">+Q3*1.1</f>
        <v>195.25000000000003</v>
      </c>
      <c r="V3" s="1">
        <f t="shared" ref="V3:V4" si="2">+R3*1.1</f>
        <v>191.4</v>
      </c>
      <c r="Y3" s="1">
        <f>SUM(K3:N3)</f>
        <v>609.4</v>
      </c>
      <c r="Z3" s="1">
        <f>SUM(O3:R3)</f>
        <v>679.3</v>
      </c>
      <c r="AA3" s="1">
        <f>SUM(S3:V3)</f>
        <v>738.56</v>
      </c>
      <c r="AB3" s="1">
        <f>+AA3*1.1</f>
        <v>812.41600000000005</v>
      </c>
      <c r="AC3" s="1">
        <f>+AB3*1.1</f>
        <v>893.65760000000012</v>
      </c>
      <c r="AD3" s="1">
        <f>+AC3*1.1</f>
        <v>983.02336000000025</v>
      </c>
      <c r="AE3" s="1">
        <f t="shared" ref="AE3:AO4" si="3">+AD3*0.2</f>
        <v>196.60467200000005</v>
      </c>
      <c r="AF3" s="1">
        <f t="shared" si="3"/>
        <v>39.320934400000013</v>
      </c>
      <c r="AG3" s="1">
        <f t="shared" si="3"/>
        <v>7.8641868800000028</v>
      </c>
      <c r="AH3" s="1">
        <f t="shared" si="3"/>
        <v>1.5728373760000007</v>
      </c>
      <c r="AI3" s="1">
        <f t="shared" si="3"/>
        <v>0.31456747520000017</v>
      </c>
      <c r="AJ3" s="1">
        <f t="shared" si="3"/>
        <v>6.2913495040000031E-2</v>
      </c>
      <c r="AK3" s="1">
        <f t="shared" si="3"/>
        <v>1.2582699008000006E-2</v>
      </c>
      <c r="AL3" s="1">
        <f t="shared" si="3"/>
        <v>2.5165398016000016E-3</v>
      </c>
      <c r="AM3" s="1">
        <f t="shared" si="3"/>
        <v>5.0330796032000032E-4</v>
      </c>
      <c r="AN3" s="1">
        <f t="shared" si="3"/>
        <v>1.0066159206400007E-4</v>
      </c>
      <c r="AO3" s="1">
        <f t="shared" si="3"/>
        <v>2.0132318412800016E-5</v>
      </c>
    </row>
    <row r="4" spans="1:42" s="1" customFormat="1" x14ac:dyDescent="0.25">
      <c r="B4" s="1" t="s">
        <v>8</v>
      </c>
      <c r="C4" s="11"/>
      <c r="D4" s="11"/>
      <c r="E4" s="11"/>
      <c r="F4" s="11">
        <v>0</v>
      </c>
      <c r="G4" s="11">
        <v>0</v>
      </c>
      <c r="H4" s="11">
        <v>23.2</v>
      </c>
      <c r="I4" s="11"/>
      <c r="J4" s="11">
        <v>87.1</v>
      </c>
      <c r="K4" s="11">
        <v>75.900000000000006</v>
      </c>
      <c r="L4" s="11">
        <v>84.6</v>
      </c>
      <c r="M4" s="11">
        <v>91.2</v>
      </c>
      <c r="N4" s="11">
        <v>96.7</v>
      </c>
      <c r="O4" s="1">
        <v>84.6</v>
      </c>
      <c r="P4" s="1">
        <v>96.1</v>
      </c>
      <c r="Q4" s="1">
        <v>101.1</v>
      </c>
      <c r="R4" s="1">
        <v>110</v>
      </c>
      <c r="S4" s="1">
        <v>101</v>
      </c>
      <c r="T4" s="1">
        <f t="shared" ref="T4" si="4">+P4*1.1</f>
        <v>105.71000000000001</v>
      </c>
      <c r="U4" s="1">
        <f t="shared" si="1"/>
        <v>111.21000000000001</v>
      </c>
      <c r="V4" s="1">
        <f t="shared" si="2"/>
        <v>121.00000000000001</v>
      </c>
      <c r="Y4" s="1">
        <f t="shared" ref="Y4" si="5">SUM(K4:N4)</f>
        <v>348.4</v>
      </c>
      <c r="Z4" s="1">
        <f t="shared" ref="Z4" si="6">SUM(O4:R4)</f>
        <v>391.79999999999995</v>
      </c>
      <c r="AA4" s="1">
        <f t="shared" ref="AA4" si="7">SUM(S4:V4)</f>
        <v>438.92</v>
      </c>
      <c r="AB4" s="1">
        <f>+AA4*1.1</f>
        <v>482.81200000000007</v>
      </c>
      <c r="AC4" s="1">
        <f>+AB4*1.1</f>
        <v>531.09320000000014</v>
      </c>
      <c r="AD4" s="1">
        <f>+AC4*1.1</f>
        <v>584.20252000000016</v>
      </c>
      <c r="AE4" s="1">
        <f>+AD4*1.1</f>
        <v>642.62277200000028</v>
      </c>
      <c r="AF4" s="1">
        <f>+AE4*1.1</f>
        <v>706.88504920000037</v>
      </c>
      <c r="AG4" s="1">
        <f>+AF4*1.1</f>
        <v>777.57355412000049</v>
      </c>
      <c r="AH4" s="1">
        <f>+AG4*1.1</f>
        <v>855.33090953200065</v>
      </c>
      <c r="AI4" s="1">
        <f t="shared" si="3"/>
        <v>171.06618190640015</v>
      </c>
      <c r="AJ4" s="1">
        <f t="shared" si="3"/>
        <v>34.213236381280034</v>
      </c>
      <c r="AK4" s="1">
        <f t="shared" si="3"/>
        <v>6.8426472762560069</v>
      </c>
      <c r="AL4" s="1">
        <f t="shared" si="3"/>
        <v>1.3685294552512015</v>
      </c>
      <c r="AM4" s="1">
        <f t="shared" si="3"/>
        <v>0.27370589105024029</v>
      </c>
      <c r="AN4" s="1">
        <f t="shared" si="3"/>
        <v>5.4741178210048064E-2</v>
      </c>
      <c r="AO4" s="1">
        <f t="shared" si="3"/>
        <v>1.0948235642009613E-2</v>
      </c>
    </row>
    <row r="5" spans="1:42" s="12" customFormat="1" ht="13" x14ac:dyDescent="0.3">
      <c r="B5" s="12" t="s">
        <v>11</v>
      </c>
      <c r="C5" s="13">
        <f t="shared" ref="C5:F5" si="8">+C3+C4</f>
        <v>0</v>
      </c>
      <c r="D5" s="13">
        <f t="shared" si="8"/>
        <v>0</v>
      </c>
      <c r="E5" s="13">
        <f t="shared" si="8"/>
        <v>0</v>
      </c>
      <c r="F5" s="13">
        <f t="shared" si="8"/>
        <v>136.5</v>
      </c>
      <c r="G5" s="13">
        <f t="shared" ref="G5:L5" si="9">+G3+G4</f>
        <v>118.5</v>
      </c>
      <c r="H5" s="13">
        <f t="shared" si="9"/>
        <v>165.2</v>
      </c>
      <c r="I5" s="13">
        <f t="shared" si="9"/>
        <v>0</v>
      </c>
      <c r="J5" s="13">
        <f t="shared" si="9"/>
        <v>231</v>
      </c>
      <c r="K5" s="13">
        <f t="shared" si="9"/>
        <v>205.8</v>
      </c>
      <c r="L5" s="13">
        <f t="shared" si="9"/>
        <v>242</v>
      </c>
      <c r="M5" s="13">
        <f t="shared" ref="M5" si="10">+M3+M4</f>
        <v>250.39999999999998</v>
      </c>
      <c r="N5" s="13">
        <f t="shared" ref="N5" si="11">+N3+N4</f>
        <v>259.60000000000002</v>
      </c>
      <c r="O5" s="13">
        <f t="shared" ref="O5" si="12">+O3+O4</f>
        <v>244.29999999999998</v>
      </c>
      <c r="P5" s="13">
        <f t="shared" ref="P5" si="13">+P3+P4</f>
        <v>264.2</v>
      </c>
      <c r="Q5" s="13">
        <f t="shared" ref="Q5" si="14">+Q3+Q4</f>
        <v>278.60000000000002</v>
      </c>
      <c r="R5" s="13">
        <f t="shared" ref="R5" si="15">+R3+R4</f>
        <v>284</v>
      </c>
      <c r="S5" s="13">
        <f t="shared" ref="S5" si="16">+S3+S4</f>
        <v>268</v>
      </c>
      <c r="T5" s="13">
        <f t="shared" ref="T5" si="17">+T3+T4</f>
        <v>290.62</v>
      </c>
      <c r="U5" s="13">
        <f t="shared" ref="U5" si="18">+U3+U4</f>
        <v>306.46000000000004</v>
      </c>
      <c r="V5" s="13">
        <f t="shared" ref="V5" si="19">+V3+V4</f>
        <v>312.40000000000003</v>
      </c>
      <c r="Y5" s="12">
        <f>+Y4+Y3</f>
        <v>957.8</v>
      </c>
      <c r="Z5" s="12">
        <f>+Z4+Z3</f>
        <v>1071.0999999999999</v>
      </c>
      <c r="AA5" s="12">
        <f>+AA4+AA3</f>
        <v>1177.48</v>
      </c>
      <c r="AB5" s="12">
        <f t="shared" ref="AB5:AO5" si="20">+AB4+AB3</f>
        <v>1295.2280000000001</v>
      </c>
      <c r="AC5" s="12">
        <f t="shared" si="20"/>
        <v>1424.7508000000003</v>
      </c>
      <c r="AD5" s="12">
        <f t="shared" si="20"/>
        <v>1567.2258800000004</v>
      </c>
      <c r="AE5" s="12">
        <f t="shared" si="20"/>
        <v>839.22744400000033</v>
      </c>
      <c r="AF5" s="12">
        <f t="shared" si="20"/>
        <v>746.20598360000042</v>
      </c>
      <c r="AG5" s="12">
        <f t="shared" si="20"/>
        <v>785.43774100000053</v>
      </c>
      <c r="AH5" s="12">
        <f t="shared" si="20"/>
        <v>856.9037469080007</v>
      </c>
      <c r="AI5" s="12">
        <f t="shared" si="20"/>
        <v>171.38074938160014</v>
      </c>
      <c r="AJ5" s="12">
        <f t="shared" si="20"/>
        <v>34.276149876320034</v>
      </c>
      <c r="AK5" s="12">
        <f t="shared" si="20"/>
        <v>6.8552299752640069</v>
      </c>
      <c r="AL5" s="12">
        <f t="shared" si="20"/>
        <v>1.3710459950528016</v>
      </c>
      <c r="AM5" s="12">
        <f t="shared" si="20"/>
        <v>0.27420919901056029</v>
      </c>
      <c r="AN5" s="12">
        <f t="shared" si="20"/>
        <v>5.4841839802112061E-2</v>
      </c>
      <c r="AO5" s="12">
        <f t="shared" si="20"/>
        <v>1.0968367960422413E-2</v>
      </c>
    </row>
    <row r="6" spans="1:42" x14ac:dyDescent="0.25">
      <c r="B6" t="s">
        <v>19</v>
      </c>
      <c r="C6" s="11"/>
      <c r="D6" s="11"/>
      <c r="E6" s="11"/>
      <c r="F6" s="11">
        <v>2.4129999999999998</v>
      </c>
      <c r="G6" s="11">
        <v>1.667</v>
      </c>
      <c r="H6" s="11">
        <v>7.4589999999999996</v>
      </c>
      <c r="I6" s="11"/>
      <c r="J6" s="11">
        <v>17.890999999999998</v>
      </c>
      <c r="K6" s="11">
        <v>22.951000000000001</v>
      </c>
      <c r="L6" s="11">
        <v>18.23</v>
      </c>
      <c r="M6" s="11">
        <v>18.856999999999999</v>
      </c>
      <c r="N6" s="11">
        <v>21.803000000000001</v>
      </c>
      <c r="O6" s="1">
        <v>20.391999999999999</v>
      </c>
      <c r="P6" s="1">
        <v>20.734000000000002</v>
      </c>
      <c r="Q6" s="1">
        <v>21.646999999999998</v>
      </c>
      <c r="R6" s="1">
        <v>26.225000000000001</v>
      </c>
      <c r="S6" s="1">
        <v>24.791</v>
      </c>
      <c r="T6" s="1">
        <f>+T5*0.1</f>
        <v>29.062000000000001</v>
      </c>
      <c r="U6" s="1">
        <f t="shared" ref="U6:V6" si="21">+U5*0.1</f>
        <v>30.646000000000004</v>
      </c>
      <c r="V6" s="1">
        <f t="shared" si="21"/>
        <v>31.240000000000006</v>
      </c>
      <c r="Y6" s="1">
        <f t="shared" ref="Y6" si="22">SUM(K6:N6)</f>
        <v>81.840999999999994</v>
      </c>
      <c r="Z6" s="1">
        <f t="shared" ref="Z6" si="23">SUM(O6:R6)</f>
        <v>88.998000000000005</v>
      </c>
      <c r="AA6" s="1">
        <f t="shared" ref="AA6" si="24">SUM(S6:V6)</f>
        <v>115.73900000000002</v>
      </c>
      <c r="AB6" s="1">
        <f>+AB5*0.1</f>
        <v>129.52280000000002</v>
      </c>
      <c r="AC6" s="1">
        <f t="shared" ref="AC6:AM6" si="25">+AC5*0.1</f>
        <v>142.47508000000002</v>
      </c>
      <c r="AD6" s="1">
        <f t="shared" si="25"/>
        <v>156.72258800000006</v>
      </c>
      <c r="AE6" s="1">
        <f t="shared" si="25"/>
        <v>83.922744400000042</v>
      </c>
      <c r="AF6" s="1">
        <f t="shared" si="25"/>
        <v>74.620598360000045</v>
      </c>
      <c r="AG6" s="1">
        <f t="shared" si="25"/>
        <v>78.543774100000064</v>
      </c>
      <c r="AH6" s="1">
        <f t="shared" si="25"/>
        <v>85.69037469080007</v>
      </c>
      <c r="AI6" s="1">
        <f t="shared" si="25"/>
        <v>17.138074938160013</v>
      </c>
      <c r="AJ6" s="1">
        <f t="shared" si="25"/>
        <v>3.4276149876320035</v>
      </c>
      <c r="AK6" s="1">
        <f t="shared" si="25"/>
        <v>0.68552299752640078</v>
      </c>
      <c r="AL6" s="1">
        <f t="shared" si="25"/>
        <v>0.13710459950528017</v>
      </c>
      <c r="AM6" s="1">
        <f t="shared" si="25"/>
        <v>2.742091990105603E-2</v>
      </c>
      <c r="AN6" s="1">
        <f t="shared" ref="AN6" si="26">+AN5*0.1</f>
        <v>5.4841839802112066E-3</v>
      </c>
      <c r="AO6" s="1">
        <f t="shared" ref="AO6" si="27">+AO5*0.1</f>
        <v>1.0968367960422414E-3</v>
      </c>
    </row>
    <row r="7" spans="1:42" x14ac:dyDescent="0.25">
      <c r="B7" t="s">
        <v>20</v>
      </c>
      <c r="C7" s="11"/>
      <c r="D7" s="11"/>
      <c r="E7" s="11"/>
      <c r="F7" s="11">
        <f>+F5-F6</f>
        <v>134.08699999999999</v>
      </c>
      <c r="G7" s="11">
        <f>+G5-G6</f>
        <v>116.833</v>
      </c>
      <c r="H7" s="11">
        <f>+H5-H6</f>
        <v>157.74099999999999</v>
      </c>
      <c r="I7" s="11"/>
      <c r="J7" s="11">
        <f>+J5-J6</f>
        <v>213.10900000000001</v>
      </c>
      <c r="K7" s="11">
        <f>+K5-K6</f>
        <v>182.84900000000002</v>
      </c>
      <c r="L7" s="1">
        <f t="shared" ref="L7:Q7" si="28">+L5-L6</f>
        <v>223.77</v>
      </c>
      <c r="M7" s="1">
        <f t="shared" si="28"/>
        <v>231.54299999999998</v>
      </c>
      <c r="N7" s="1">
        <f t="shared" si="28"/>
        <v>237.79700000000003</v>
      </c>
      <c r="O7" s="1">
        <f t="shared" si="28"/>
        <v>223.90799999999999</v>
      </c>
      <c r="P7" s="1">
        <f t="shared" si="28"/>
        <v>243.46599999999998</v>
      </c>
      <c r="Q7" s="1">
        <f t="shared" si="28"/>
        <v>256.95300000000003</v>
      </c>
      <c r="R7" s="1">
        <f>+R5-R6</f>
        <v>257.77499999999998</v>
      </c>
      <c r="S7" s="1">
        <f>+S5-S6</f>
        <v>243.209</v>
      </c>
      <c r="T7" s="1">
        <f>+T5-T6</f>
        <v>261.55799999999999</v>
      </c>
      <c r="U7" s="1">
        <f t="shared" ref="U7:V7" si="29">+U5-U6</f>
        <v>275.81400000000002</v>
      </c>
      <c r="V7" s="1">
        <f t="shared" si="29"/>
        <v>281.16000000000003</v>
      </c>
      <c r="Y7" s="1">
        <f>+Y5-Y6</f>
        <v>875.95899999999995</v>
      </c>
      <c r="Z7" s="1">
        <f>+Z5-Z6</f>
        <v>982.10199999999986</v>
      </c>
      <c r="AA7" s="1">
        <f>+AA5-AA6</f>
        <v>1061.741</v>
      </c>
      <c r="AB7" s="1">
        <f>+AB5-AB6</f>
        <v>1165.7052000000001</v>
      </c>
      <c r="AC7" s="1">
        <f t="shared" ref="AC7:AM7" si="30">+AC5-AC6</f>
        <v>1282.2757200000003</v>
      </c>
      <c r="AD7" s="1">
        <f t="shared" si="30"/>
        <v>1410.5032920000003</v>
      </c>
      <c r="AE7" s="1">
        <f t="shared" si="30"/>
        <v>755.30469960000028</v>
      </c>
      <c r="AF7" s="1">
        <f t="shared" si="30"/>
        <v>671.58538524000039</v>
      </c>
      <c r="AG7" s="1">
        <f t="shared" si="30"/>
        <v>706.89396690000046</v>
      </c>
      <c r="AH7" s="1">
        <f t="shared" si="30"/>
        <v>771.21337221720069</v>
      </c>
      <c r="AI7" s="1">
        <f t="shared" si="30"/>
        <v>154.24267444344014</v>
      </c>
      <c r="AJ7" s="1">
        <f t="shared" si="30"/>
        <v>30.848534888688029</v>
      </c>
      <c r="AK7" s="1">
        <f t="shared" si="30"/>
        <v>6.1697069777376061</v>
      </c>
      <c r="AL7" s="1">
        <f t="shared" si="30"/>
        <v>1.2339413955475214</v>
      </c>
      <c r="AM7" s="1">
        <f t="shared" si="30"/>
        <v>0.24678827910950427</v>
      </c>
      <c r="AN7" s="1">
        <f t="shared" ref="AN7" si="31">+AN5-AN6</f>
        <v>4.9357655821900853E-2</v>
      </c>
      <c r="AO7" s="1">
        <f t="shared" ref="AO7" si="32">+AO5-AO6</f>
        <v>9.871531164380172E-3</v>
      </c>
    </row>
    <row r="8" spans="1:42" x14ac:dyDescent="0.25">
      <c r="B8" t="s">
        <v>21</v>
      </c>
      <c r="C8" s="11"/>
      <c r="D8" s="11"/>
      <c r="E8" s="11"/>
      <c r="F8" s="11">
        <v>75.738</v>
      </c>
      <c r="G8" s="11">
        <v>69.144000000000005</v>
      </c>
      <c r="H8" s="11">
        <v>58.771000000000001</v>
      </c>
      <c r="I8" s="11"/>
      <c r="J8" s="11">
        <v>66.741</v>
      </c>
      <c r="K8" s="11">
        <v>59.679000000000002</v>
      </c>
      <c r="L8" s="11">
        <v>76.233000000000004</v>
      </c>
      <c r="M8" s="11">
        <v>66.605999999999995</v>
      </c>
      <c r="N8" s="11">
        <v>100.73099999999999</v>
      </c>
      <c r="O8" s="1">
        <v>78.265000000000001</v>
      </c>
      <c r="P8" s="1">
        <v>77.950999999999993</v>
      </c>
      <c r="Q8" s="1">
        <v>87.828999999999994</v>
      </c>
      <c r="R8" s="1">
        <v>84.757000000000005</v>
      </c>
      <c r="S8" s="1">
        <v>76.867999999999995</v>
      </c>
      <c r="T8" s="1"/>
      <c r="U8" s="1"/>
      <c r="V8" s="1"/>
      <c r="Y8" s="1">
        <f t="shared" ref="Y8:Y9" si="33">SUM(K8:N8)</f>
        <v>303.24900000000002</v>
      </c>
      <c r="Z8" s="1">
        <f t="shared" ref="Z8:Z9" si="34">SUM(O8:R8)</f>
        <v>328.80200000000002</v>
      </c>
      <c r="AA8" s="1">
        <f t="shared" ref="AA8:AB9" si="35">SUM(S8:V8)</f>
        <v>76.867999999999995</v>
      </c>
    </row>
    <row r="9" spans="1:42" x14ac:dyDescent="0.25">
      <c r="B9" t="s">
        <v>22</v>
      </c>
      <c r="C9" s="11"/>
      <c r="D9" s="11"/>
      <c r="E9" s="11"/>
      <c r="F9" s="11">
        <v>104.402</v>
      </c>
      <c r="G9" s="11">
        <v>101.235</v>
      </c>
      <c r="H9" s="11">
        <v>95.968000000000004</v>
      </c>
      <c r="I9" s="11"/>
      <c r="J9" s="11">
        <v>111.465</v>
      </c>
      <c r="K9" s="11">
        <v>107.991</v>
      </c>
      <c r="L9" s="11">
        <v>117.063</v>
      </c>
      <c r="M9" s="11">
        <v>133.29400000000001</v>
      </c>
      <c r="N9" s="11">
        <v>130.08000000000001</v>
      </c>
      <c r="O9" s="1">
        <v>126.37</v>
      </c>
      <c r="P9" s="1">
        <v>133.50700000000001</v>
      </c>
      <c r="Q9" s="1">
        <v>133.40100000000001</v>
      </c>
      <c r="R9" s="1">
        <v>155.61600000000001</v>
      </c>
      <c r="S9" s="1">
        <v>171.01900000000001</v>
      </c>
      <c r="T9" s="1">
        <f>+S9</f>
        <v>171.01900000000001</v>
      </c>
      <c r="U9" s="1">
        <f>+T9</f>
        <v>171.01900000000001</v>
      </c>
      <c r="V9" s="1">
        <f>+U9</f>
        <v>171.01900000000001</v>
      </c>
      <c r="Y9" s="1">
        <f t="shared" si="33"/>
        <v>488.428</v>
      </c>
      <c r="Z9" s="1">
        <f t="shared" si="34"/>
        <v>548.89400000000001</v>
      </c>
      <c r="AA9" s="1">
        <f t="shared" si="35"/>
        <v>684.07600000000002</v>
      </c>
      <c r="AB9" s="1">
        <f>+AA9*1.01</f>
        <v>690.91676000000007</v>
      </c>
      <c r="AC9" s="1">
        <f>+AB9*0.5</f>
        <v>345.45838000000003</v>
      </c>
      <c r="AD9" s="1">
        <f>+AC9*1.01</f>
        <v>348.91296380000006</v>
      </c>
      <c r="AE9" s="1">
        <f t="shared" ref="AE9:AF9" si="36">+AD9*1.01</f>
        <v>352.40209343800007</v>
      </c>
      <c r="AF9" s="1">
        <f>+AE9*0.5</f>
        <v>176.20104671900003</v>
      </c>
      <c r="AG9" s="1">
        <f>+AF9*0.5</f>
        <v>88.100523359500016</v>
      </c>
      <c r="AH9" s="1">
        <f>+AG9*0.5</f>
        <v>44.050261679750008</v>
      </c>
      <c r="AI9" s="1">
        <f>+AH9*0.5</f>
        <v>22.025130839875004</v>
      </c>
      <c r="AJ9" s="1">
        <f t="shared" ref="AJ9:AO9" si="37">+AI9*0.5</f>
        <v>11.012565419937502</v>
      </c>
      <c r="AK9" s="1">
        <f t="shared" si="37"/>
        <v>5.506282709968751</v>
      </c>
      <c r="AL9" s="1">
        <f t="shared" si="37"/>
        <v>2.7531413549843755</v>
      </c>
      <c r="AM9" s="1">
        <f t="shared" si="37"/>
        <v>1.3765706774921878</v>
      </c>
      <c r="AN9" s="1">
        <f t="shared" si="37"/>
        <v>0.68828533874609388</v>
      </c>
      <c r="AO9" s="1">
        <f t="shared" si="37"/>
        <v>0.34414266937304694</v>
      </c>
    </row>
    <row r="10" spans="1:42" x14ac:dyDescent="0.25">
      <c r="B10" t="s">
        <v>23</v>
      </c>
      <c r="C10" s="11"/>
      <c r="D10" s="11"/>
      <c r="E10" s="11"/>
      <c r="F10" s="11">
        <f t="shared" ref="F10" si="38">+F8+F9</f>
        <v>180.14</v>
      </c>
      <c r="G10" s="11">
        <f t="shared" ref="G10" si="39">+G8+G9</f>
        <v>170.37900000000002</v>
      </c>
      <c r="H10" s="11">
        <f>+H8+H9</f>
        <v>154.739</v>
      </c>
      <c r="I10" s="11">
        <f t="shared" ref="I10:L10" si="40">+I8+I9</f>
        <v>0</v>
      </c>
      <c r="J10" s="11">
        <f t="shared" si="40"/>
        <v>178.20600000000002</v>
      </c>
      <c r="K10" s="11">
        <f t="shared" si="40"/>
        <v>167.67000000000002</v>
      </c>
      <c r="L10" s="11">
        <f t="shared" si="40"/>
        <v>193.29599999999999</v>
      </c>
      <c r="M10" s="11">
        <f t="shared" ref="M10:R10" si="41">+M8+M9</f>
        <v>199.9</v>
      </c>
      <c r="N10" s="1">
        <f t="shared" si="41"/>
        <v>230.81100000000001</v>
      </c>
      <c r="O10" s="1">
        <f t="shared" si="41"/>
        <v>204.63499999999999</v>
      </c>
      <c r="P10" s="1">
        <f t="shared" si="41"/>
        <v>211.458</v>
      </c>
      <c r="Q10" s="1">
        <f t="shared" si="41"/>
        <v>221.23000000000002</v>
      </c>
      <c r="R10" s="1">
        <f t="shared" si="41"/>
        <v>240.37300000000002</v>
      </c>
      <c r="S10" s="1">
        <f>+S8+S9</f>
        <v>247.887</v>
      </c>
      <c r="T10" s="1">
        <f t="shared" ref="T10:V10" si="42">+T8+T9</f>
        <v>171.01900000000001</v>
      </c>
      <c r="U10" s="1">
        <f t="shared" si="42"/>
        <v>171.01900000000001</v>
      </c>
      <c r="V10" s="1">
        <f t="shared" si="42"/>
        <v>171.01900000000001</v>
      </c>
      <c r="Y10" s="1">
        <f t="shared" ref="Y10:AA10" si="43">+Y8+Y9</f>
        <v>791.67700000000002</v>
      </c>
      <c r="Z10" s="1">
        <f t="shared" si="43"/>
        <v>877.69600000000003</v>
      </c>
      <c r="AA10" s="1">
        <f t="shared" si="43"/>
        <v>760.94399999999996</v>
      </c>
      <c r="AB10" s="1">
        <f t="shared" ref="AB10" si="44">+AB8+AB9</f>
        <v>690.91676000000007</v>
      </c>
      <c r="AC10" s="1">
        <f t="shared" ref="AC10" si="45">+AC8+AC9</f>
        <v>345.45838000000003</v>
      </c>
      <c r="AD10" s="1">
        <f t="shared" ref="AD10" si="46">+AD8+AD9</f>
        <v>348.91296380000006</v>
      </c>
      <c r="AE10" s="1">
        <f t="shared" ref="AE10" si="47">+AE8+AE9</f>
        <v>352.40209343800007</v>
      </c>
      <c r="AF10" s="1">
        <f t="shared" ref="AF10" si="48">+AF8+AF9</f>
        <v>176.20104671900003</v>
      </c>
      <c r="AG10" s="1">
        <f t="shared" ref="AG10" si="49">+AG8+AG9</f>
        <v>88.100523359500016</v>
      </c>
      <c r="AH10" s="1">
        <f t="shared" ref="AH10" si="50">+AH8+AH9</f>
        <v>44.050261679750008</v>
      </c>
      <c r="AI10" s="1">
        <f t="shared" ref="AI10" si="51">+AI8+AI9</f>
        <v>22.025130839875004</v>
      </c>
      <c r="AJ10" s="1">
        <f t="shared" ref="AJ10" si="52">+AJ8+AJ9</f>
        <v>11.012565419937502</v>
      </c>
      <c r="AK10" s="1">
        <f t="shared" ref="AK10" si="53">+AK8+AK9</f>
        <v>5.506282709968751</v>
      </c>
      <c r="AL10" s="1">
        <f t="shared" ref="AL10" si="54">+AL8+AL9</f>
        <v>2.7531413549843755</v>
      </c>
      <c r="AM10" s="1">
        <f t="shared" ref="AM10" si="55">+AM8+AM9</f>
        <v>1.3765706774921878</v>
      </c>
      <c r="AN10" s="1">
        <f t="shared" ref="AN10" si="56">+AN8+AN9</f>
        <v>0.68828533874609388</v>
      </c>
      <c r="AO10" s="1">
        <f t="shared" ref="AO10" si="57">+AO8+AO9</f>
        <v>0.34414266937304694</v>
      </c>
    </row>
    <row r="11" spans="1:42" x14ac:dyDescent="0.25">
      <c r="B11" t="s">
        <v>24</v>
      </c>
      <c r="C11" s="11"/>
      <c r="D11" s="11"/>
      <c r="E11" s="11"/>
      <c r="F11" s="11">
        <f t="shared" ref="F11" si="58">+F7-F10</f>
        <v>-46.052999999999997</v>
      </c>
      <c r="G11" s="11">
        <f t="shared" ref="G11" si="59">+G7-G10</f>
        <v>-53.546000000000021</v>
      </c>
      <c r="H11" s="11">
        <f>+H7-H10</f>
        <v>3.0019999999999811</v>
      </c>
      <c r="I11" s="11">
        <f t="shared" ref="I11:L11" si="60">+I7-I10</f>
        <v>0</v>
      </c>
      <c r="J11" s="11">
        <f t="shared" si="60"/>
        <v>34.902999999999992</v>
      </c>
      <c r="K11" s="11">
        <f t="shared" si="60"/>
        <v>15.179000000000002</v>
      </c>
      <c r="L11" s="11">
        <f t="shared" si="60"/>
        <v>30.474000000000018</v>
      </c>
      <c r="M11" s="11">
        <f t="shared" ref="M11:R11" si="61">+M7-M10</f>
        <v>31.642999999999972</v>
      </c>
      <c r="N11" s="1">
        <f t="shared" si="61"/>
        <v>6.9860000000000184</v>
      </c>
      <c r="O11" s="1">
        <f t="shared" si="61"/>
        <v>19.272999999999996</v>
      </c>
      <c r="P11" s="1">
        <f t="shared" si="61"/>
        <v>32.007999999999981</v>
      </c>
      <c r="Q11" s="1">
        <f t="shared" si="61"/>
        <v>35.723000000000013</v>
      </c>
      <c r="R11" s="1">
        <f t="shared" si="61"/>
        <v>17.401999999999958</v>
      </c>
      <c r="S11" s="1">
        <f>+S7-S10</f>
        <v>-4.6779999999999973</v>
      </c>
      <c r="T11" s="1">
        <f t="shared" ref="T11:V11" si="62">+T7-T10</f>
        <v>90.538999999999987</v>
      </c>
      <c r="U11" s="1">
        <f t="shared" si="62"/>
        <v>104.79500000000002</v>
      </c>
      <c r="V11" s="1">
        <f t="shared" si="62"/>
        <v>110.14100000000002</v>
      </c>
      <c r="Y11" s="1">
        <f t="shared" ref="Y11:AA11" si="63">+Y7-Y10</f>
        <v>84.281999999999925</v>
      </c>
      <c r="Z11" s="1">
        <f t="shared" si="63"/>
        <v>104.40599999999984</v>
      </c>
      <c r="AA11" s="1">
        <f t="shared" si="63"/>
        <v>300.79700000000003</v>
      </c>
      <c r="AB11" s="1">
        <f t="shared" ref="AB11" si="64">+AB7-AB10</f>
        <v>474.78844000000004</v>
      </c>
      <c r="AC11" s="1">
        <f t="shared" ref="AC11" si="65">+AC7-AC10</f>
        <v>936.81734000000029</v>
      </c>
      <c r="AD11" s="1">
        <f t="shared" ref="AD11" si="66">+AD7-AD10</f>
        <v>1061.5903282000004</v>
      </c>
      <c r="AE11" s="1">
        <f t="shared" ref="AE11" si="67">+AE7-AE10</f>
        <v>402.90260616200021</v>
      </c>
      <c r="AF11" s="1">
        <f t="shared" ref="AF11" si="68">+AF7-AF10</f>
        <v>495.38433852100036</v>
      </c>
      <c r="AG11" s="1">
        <f t="shared" ref="AG11" si="69">+AG7-AG10</f>
        <v>618.79344354050045</v>
      </c>
      <c r="AH11" s="1">
        <f t="shared" ref="AH11" si="70">+AH7-AH10</f>
        <v>727.16311053745062</v>
      </c>
      <c r="AI11" s="1">
        <f t="shared" ref="AI11" si="71">+AI7-AI10</f>
        <v>132.21754360356513</v>
      </c>
      <c r="AJ11" s="1">
        <f t="shared" ref="AJ11" si="72">+AJ7-AJ10</f>
        <v>19.835969468750527</v>
      </c>
      <c r="AK11" s="1">
        <f t="shared" ref="AK11" si="73">+AK7-AK10</f>
        <v>0.6634242677688551</v>
      </c>
      <c r="AL11" s="1">
        <f t="shared" ref="AL11" si="74">+AL7-AL10</f>
        <v>-1.5191999594368542</v>
      </c>
      <c r="AM11" s="1">
        <f t="shared" ref="AM11" si="75">+AM7-AM10</f>
        <v>-1.1297823983826836</v>
      </c>
      <c r="AN11" s="1">
        <f t="shared" ref="AN11" si="76">+AN7-AN10</f>
        <v>-0.638927682924193</v>
      </c>
      <c r="AO11" s="1">
        <f t="shared" ref="AO11" si="77">+AO7-AO10</f>
        <v>-0.33427113820866677</v>
      </c>
    </row>
    <row r="12" spans="1:42" x14ac:dyDescent="0.25">
      <c r="B12" t="s">
        <v>25</v>
      </c>
      <c r="C12" s="11"/>
      <c r="D12" s="11"/>
      <c r="E12" s="11"/>
      <c r="F12" s="11">
        <f>3.63+1.543</f>
        <v>5.173</v>
      </c>
      <c r="G12" s="11">
        <f>3.8+4.845</f>
        <v>8.6449999999999996</v>
      </c>
      <c r="H12" s="11">
        <f>4.55-1.244</f>
        <v>3.306</v>
      </c>
      <c r="I12" s="11"/>
      <c r="J12" s="11">
        <v>4.7590000000000003</v>
      </c>
      <c r="K12" s="11">
        <f>5.506+0.286</f>
        <v>5.7919999999999998</v>
      </c>
      <c r="L12" s="11">
        <f>6.359+0.386</f>
        <v>6.7450000000000001</v>
      </c>
      <c r="M12" s="11">
        <v>6.5860000000000003</v>
      </c>
      <c r="N12" s="11">
        <v>7.0069999999999997</v>
      </c>
      <c r="O12" s="1">
        <v>7.9009999999999998</v>
      </c>
      <c r="P12" s="1">
        <v>7.2430000000000003</v>
      </c>
      <c r="Q12" s="1">
        <v>8.2460000000000004</v>
      </c>
      <c r="R12" s="1">
        <v>8.3320000000000007</v>
      </c>
      <c r="S12" s="1">
        <v>8.0549999999999997</v>
      </c>
      <c r="T12" s="1"/>
      <c r="U12" s="1"/>
      <c r="V12" s="1"/>
    </row>
    <row r="13" spans="1:42" x14ac:dyDescent="0.25">
      <c r="B13" t="s">
        <v>26</v>
      </c>
      <c r="C13" s="11"/>
      <c r="D13" s="11"/>
      <c r="E13" s="11"/>
      <c r="F13" s="11">
        <f>+F11+F12</f>
        <v>-40.879999999999995</v>
      </c>
      <c r="G13" s="11">
        <f>+G11+G12</f>
        <v>-44.901000000000025</v>
      </c>
      <c r="H13" s="11">
        <f>+H11+H12</f>
        <v>6.3079999999999812</v>
      </c>
      <c r="I13" s="11">
        <f t="shared" ref="I13:V13" si="78">+I11+I12</f>
        <v>0</v>
      </c>
      <c r="J13" s="11">
        <f t="shared" si="78"/>
        <v>39.661999999999992</v>
      </c>
      <c r="K13" s="11">
        <f t="shared" si="78"/>
        <v>20.971000000000004</v>
      </c>
      <c r="L13" s="11">
        <f t="shared" si="78"/>
        <v>37.219000000000015</v>
      </c>
      <c r="M13" s="11">
        <f t="shared" si="78"/>
        <v>38.228999999999971</v>
      </c>
      <c r="N13" s="11">
        <f t="shared" si="78"/>
        <v>13.993000000000018</v>
      </c>
      <c r="O13" s="11">
        <f t="shared" si="78"/>
        <v>27.173999999999996</v>
      </c>
      <c r="P13" s="11">
        <f t="shared" si="78"/>
        <v>39.250999999999983</v>
      </c>
      <c r="Q13" s="11">
        <f t="shared" si="78"/>
        <v>43.969000000000015</v>
      </c>
      <c r="R13" s="11">
        <f t="shared" si="78"/>
        <v>25.733999999999959</v>
      </c>
      <c r="S13" s="11">
        <f t="shared" si="78"/>
        <v>3.3770000000000024</v>
      </c>
      <c r="T13" s="11">
        <f t="shared" si="78"/>
        <v>90.538999999999987</v>
      </c>
      <c r="U13" s="11">
        <f t="shared" si="78"/>
        <v>104.79500000000002</v>
      </c>
      <c r="V13" s="11">
        <f t="shared" si="78"/>
        <v>110.14100000000002</v>
      </c>
      <c r="Y13" s="11">
        <f t="shared" ref="Y13:AO13" si="79">+Y11+Y12</f>
        <v>84.281999999999925</v>
      </c>
      <c r="Z13" s="11">
        <f t="shared" si="79"/>
        <v>104.40599999999984</v>
      </c>
      <c r="AA13" s="11">
        <f t="shared" si="79"/>
        <v>300.79700000000003</v>
      </c>
      <c r="AB13" s="11">
        <f t="shared" si="79"/>
        <v>474.78844000000004</v>
      </c>
      <c r="AC13" s="11">
        <f t="shared" si="79"/>
        <v>936.81734000000029</v>
      </c>
      <c r="AD13" s="11">
        <f t="shared" si="79"/>
        <v>1061.5903282000004</v>
      </c>
      <c r="AE13" s="11">
        <f t="shared" si="79"/>
        <v>402.90260616200021</v>
      </c>
      <c r="AF13" s="11">
        <f t="shared" si="79"/>
        <v>495.38433852100036</v>
      </c>
      <c r="AG13" s="11">
        <f t="shared" si="79"/>
        <v>618.79344354050045</v>
      </c>
      <c r="AH13" s="11">
        <f t="shared" si="79"/>
        <v>727.16311053745062</v>
      </c>
      <c r="AI13" s="11">
        <f t="shared" si="79"/>
        <v>132.21754360356513</v>
      </c>
      <c r="AJ13" s="11">
        <f t="shared" si="79"/>
        <v>19.835969468750527</v>
      </c>
      <c r="AK13" s="11">
        <f t="shared" si="79"/>
        <v>0.6634242677688551</v>
      </c>
      <c r="AL13" s="11">
        <f t="shared" si="79"/>
        <v>-1.5191999594368542</v>
      </c>
      <c r="AM13" s="11">
        <f t="shared" si="79"/>
        <v>-1.1297823983826836</v>
      </c>
      <c r="AN13" s="11">
        <f t="shared" si="79"/>
        <v>-0.638927682924193</v>
      </c>
      <c r="AO13" s="11">
        <f t="shared" si="79"/>
        <v>-0.33427113820866677</v>
      </c>
    </row>
    <row r="14" spans="1:42" x14ac:dyDescent="0.25">
      <c r="B14" t="s">
        <v>27</v>
      </c>
      <c r="C14" s="11"/>
      <c r="D14" s="11"/>
      <c r="E14" s="11"/>
      <c r="F14" s="11">
        <v>0.83499999999999996</v>
      </c>
      <c r="G14" s="11">
        <v>-1.9179999999999999</v>
      </c>
      <c r="H14" s="11">
        <v>5.2290000000000001</v>
      </c>
      <c r="I14" s="11"/>
      <c r="J14" s="11">
        <v>-6.0940000000000003</v>
      </c>
      <c r="K14" s="11">
        <v>4.4470000000000001</v>
      </c>
      <c r="L14" s="11">
        <v>3.7930000000000001</v>
      </c>
      <c r="M14" s="11">
        <v>6.0410000000000004</v>
      </c>
      <c r="N14" s="11">
        <v>17.343</v>
      </c>
      <c r="O14" s="1">
        <v>8.7922999999999991</v>
      </c>
      <c r="P14" s="1">
        <v>13.545</v>
      </c>
      <c r="Q14" s="1">
        <v>0</v>
      </c>
      <c r="R14" s="1">
        <v>0</v>
      </c>
      <c r="S14" s="1">
        <v>0.34399999999999997</v>
      </c>
      <c r="T14" s="1"/>
      <c r="U14" s="1"/>
      <c r="V14" s="1"/>
      <c r="AA14" s="1">
        <f>+AA13*0.1</f>
        <v>30.079700000000003</v>
      </c>
      <c r="AB14" s="1">
        <f t="shared" ref="AB14:AO14" si="80">+AB13*0.1</f>
        <v>47.478844000000009</v>
      </c>
      <c r="AC14" s="1">
        <f t="shared" si="80"/>
        <v>93.681734000000034</v>
      </c>
      <c r="AD14" s="1">
        <f t="shared" si="80"/>
        <v>106.15903282000005</v>
      </c>
      <c r="AE14" s="1">
        <f t="shared" si="80"/>
        <v>40.290260616200023</v>
      </c>
      <c r="AF14" s="1">
        <f t="shared" si="80"/>
        <v>49.538433852100042</v>
      </c>
      <c r="AG14" s="1">
        <f t="shared" si="80"/>
        <v>61.879344354050048</v>
      </c>
      <c r="AH14" s="1">
        <f t="shared" si="80"/>
        <v>72.716311053745059</v>
      </c>
      <c r="AI14" s="1">
        <f t="shared" si="80"/>
        <v>13.221754360356513</v>
      </c>
      <c r="AJ14" s="1">
        <f t="shared" si="80"/>
        <v>1.9835969468750527</v>
      </c>
      <c r="AK14" s="1">
        <f t="shared" si="80"/>
        <v>6.634242677688551E-2</v>
      </c>
      <c r="AL14" s="1">
        <f t="shared" si="80"/>
        <v>-0.15191999594368544</v>
      </c>
      <c r="AM14" s="1">
        <f t="shared" si="80"/>
        <v>-0.11297823983826837</v>
      </c>
      <c r="AN14" s="1">
        <f t="shared" si="80"/>
        <v>-6.38927682924193E-2</v>
      </c>
      <c r="AO14" s="1">
        <f t="shared" si="80"/>
        <v>-3.3427113820866682E-2</v>
      </c>
    </row>
    <row r="15" spans="1:42" x14ac:dyDescent="0.25">
      <c r="B15" t="s">
        <v>28</v>
      </c>
      <c r="C15" s="11"/>
      <c r="D15" s="11"/>
      <c r="E15" s="11"/>
      <c r="F15" s="11">
        <f>+F13-F14</f>
        <v>-41.714999999999996</v>
      </c>
      <c r="G15" s="11">
        <f>+G13-G14</f>
        <v>-42.983000000000025</v>
      </c>
      <c r="H15" s="11">
        <f>+H13-H14</f>
        <v>1.0789999999999811</v>
      </c>
      <c r="I15" s="11">
        <f t="shared" ref="I15:V15" si="81">+I13-I14</f>
        <v>0</v>
      </c>
      <c r="J15" s="11">
        <f t="shared" si="81"/>
        <v>45.755999999999993</v>
      </c>
      <c r="K15" s="11">
        <f t="shared" si="81"/>
        <v>16.524000000000004</v>
      </c>
      <c r="L15" s="11">
        <f t="shared" si="81"/>
        <v>33.426000000000016</v>
      </c>
      <c r="M15" s="11">
        <f t="shared" si="81"/>
        <v>32.187999999999974</v>
      </c>
      <c r="N15" s="11">
        <f t="shared" si="81"/>
        <v>-3.3499999999999819</v>
      </c>
      <c r="O15" s="11">
        <f t="shared" si="81"/>
        <v>18.381699999999995</v>
      </c>
      <c r="P15" s="11">
        <f t="shared" si="81"/>
        <v>25.705999999999982</v>
      </c>
      <c r="Q15" s="11">
        <f t="shared" si="81"/>
        <v>43.969000000000015</v>
      </c>
      <c r="R15" s="11">
        <f t="shared" si="81"/>
        <v>25.733999999999959</v>
      </c>
      <c r="S15" s="11">
        <f t="shared" si="81"/>
        <v>3.0330000000000026</v>
      </c>
      <c r="T15" s="11">
        <f t="shared" si="81"/>
        <v>90.538999999999987</v>
      </c>
      <c r="U15" s="11">
        <f t="shared" si="81"/>
        <v>104.79500000000002</v>
      </c>
      <c r="V15" s="11">
        <f t="shared" si="81"/>
        <v>110.14100000000002</v>
      </c>
      <c r="Y15" s="11">
        <f t="shared" ref="Y15:AO15" si="82">+Y13-Y14</f>
        <v>84.281999999999925</v>
      </c>
      <c r="Z15" s="11">
        <f t="shared" si="82"/>
        <v>104.40599999999984</v>
      </c>
      <c r="AA15" s="11">
        <f t="shared" si="82"/>
        <v>270.71730000000002</v>
      </c>
      <c r="AB15" s="11">
        <f t="shared" si="82"/>
        <v>427.30959600000006</v>
      </c>
      <c r="AC15" s="11">
        <f t="shared" si="82"/>
        <v>843.13560600000028</v>
      </c>
      <c r="AD15" s="11">
        <f t="shared" si="82"/>
        <v>955.43129538000039</v>
      </c>
      <c r="AE15" s="11">
        <f t="shared" si="82"/>
        <v>362.61234554580017</v>
      </c>
      <c r="AF15" s="11">
        <f t="shared" si="82"/>
        <v>445.84590466890029</v>
      </c>
      <c r="AG15" s="11">
        <f t="shared" si="82"/>
        <v>556.91409918645036</v>
      </c>
      <c r="AH15" s="11">
        <f t="shared" si="82"/>
        <v>654.4467994837056</v>
      </c>
      <c r="AI15" s="11">
        <f t="shared" si="82"/>
        <v>118.99578924320862</v>
      </c>
      <c r="AJ15" s="11">
        <f t="shared" si="82"/>
        <v>17.852372521875473</v>
      </c>
      <c r="AK15" s="11">
        <f t="shared" si="82"/>
        <v>0.59708184099196959</v>
      </c>
      <c r="AL15" s="11">
        <f t="shared" si="82"/>
        <v>-1.3672799634931687</v>
      </c>
      <c r="AM15" s="11">
        <f t="shared" si="82"/>
        <v>-1.0168041585444152</v>
      </c>
      <c r="AN15" s="11">
        <f t="shared" si="82"/>
        <v>-0.5750349146317737</v>
      </c>
      <c r="AO15" s="11">
        <f t="shared" si="82"/>
        <v>-0.30084402438780011</v>
      </c>
    </row>
    <row r="16" spans="1:42" x14ac:dyDescent="0.25">
      <c r="B16" t="s">
        <v>29</v>
      </c>
      <c r="C16" s="15"/>
      <c r="D16" s="15"/>
      <c r="F16" s="15">
        <f>+F15/F17</f>
        <v>-0.25751907548707309</v>
      </c>
      <c r="G16" s="15">
        <f>+G15/G17</f>
        <v>-0.26489711147951178</v>
      </c>
      <c r="H16" s="15">
        <f>+H15/H17</f>
        <v>6.5375713437464773E-3</v>
      </c>
      <c r="J16" s="15">
        <f>+J15/J17</f>
        <v>0.27479430664824933</v>
      </c>
      <c r="K16" s="15">
        <f>+K15/K17</f>
        <v>9.916998253542432E-2</v>
      </c>
      <c r="L16" s="15">
        <f>+L15/L17</f>
        <v>0.20115060117707953</v>
      </c>
      <c r="M16" s="15">
        <f t="shared" ref="M16:S16" si="83">+M15/M17</f>
        <v>0.19369591642696371</v>
      </c>
      <c r="N16" s="15">
        <f t="shared" si="83"/>
        <v>-2.0096463022507931E-2</v>
      </c>
      <c r="O16" s="15">
        <f t="shared" si="83"/>
        <v>0.10963153374525846</v>
      </c>
      <c r="P16" s="15">
        <f t="shared" si="83"/>
        <v>0.15239416413229695</v>
      </c>
      <c r="Q16" s="15">
        <f t="shared" si="83"/>
        <v>0.25765602109581021</v>
      </c>
      <c r="R16" s="15">
        <f t="shared" si="83"/>
        <v>0.15017594640491574</v>
      </c>
      <c r="S16" s="15">
        <f t="shared" si="83"/>
        <v>1.7561636538394744E-2</v>
      </c>
      <c r="T16" s="15">
        <f t="shared" ref="T16" si="84">+T15/T17</f>
        <v>0.52423772190890872</v>
      </c>
      <c r="U16" s="15">
        <f t="shared" ref="U16" si="85">+U15/U17</f>
        <v>0.60678262480747647</v>
      </c>
      <c r="V16" s="15">
        <f t="shared" ref="V16" si="86">+V15/V17</f>
        <v>0.6377369633944393</v>
      </c>
      <c r="Y16" s="19">
        <f>+Y15/Y17</f>
        <v>0.50644838065650999</v>
      </c>
      <c r="Z16" s="19">
        <f>+Z15/Z17</f>
        <v>0.61563952956993107</v>
      </c>
      <c r="AA16" s="19">
        <f>+AA15/AA17</f>
        <v>1.5675037346704808</v>
      </c>
      <c r="AB16" s="19">
        <f>+AB15/AB17</f>
        <v>2.4742023786087346</v>
      </c>
      <c r="AC16" s="19">
        <f t="shared" ref="AC16:AO16" si="87">+AC15/AC17</f>
        <v>4.8819126492420661</v>
      </c>
      <c r="AD16" s="19">
        <f t="shared" si="87"/>
        <v>5.532125666624208</v>
      </c>
      <c r="AE16" s="19">
        <f t="shared" si="87"/>
        <v>2.0995932135872533</v>
      </c>
      <c r="AF16" s="19">
        <f t="shared" si="87"/>
        <v>2.581531068225194</v>
      </c>
      <c r="AG16" s="19">
        <f t="shared" si="87"/>
        <v>3.2246366610682338</v>
      </c>
      <c r="AH16" s="19">
        <f t="shared" si="87"/>
        <v>3.7893692140615012</v>
      </c>
      <c r="AI16" s="19">
        <f t="shared" si="87"/>
        <v>0.68900784711132579</v>
      </c>
      <c r="AJ16" s="19">
        <f t="shared" si="87"/>
        <v>0.10336857157177791</v>
      </c>
      <c r="AK16" s="19">
        <f t="shared" si="87"/>
        <v>3.4572153891119571E-3</v>
      </c>
      <c r="AL16" s="19">
        <f t="shared" si="87"/>
        <v>-7.9168063847994217E-3</v>
      </c>
      <c r="AM16" s="19">
        <f t="shared" si="87"/>
        <v>-5.8874860082707911E-3</v>
      </c>
      <c r="AN16" s="19">
        <f t="shared" si="87"/>
        <v>-3.3295595673096113E-3</v>
      </c>
      <c r="AO16" s="19">
        <f t="shared" si="87"/>
        <v>-1.7419430962896491E-3</v>
      </c>
    </row>
    <row r="17" spans="2:41" x14ac:dyDescent="0.25">
      <c r="B17" t="s">
        <v>1</v>
      </c>
      <c r="C17" s="11"/>
      <c r="D17" s="11"/>
      <c r="E17" s="11"/>
      <c r="F17" s="11">
        <v>161.988</v>
      </c>
      <c r="G17" s="11">
        <v>162.26300000000001</v>
      </c>
      <c r="H17" s="11">
        <v>165.04599999999999</v>
      </c>
      <c r="I17" s="11"/>
      <c r="J17" s="11">
        <v>166.51</v>
      </c>
      <c r="K17" s="11">
        <v>166.62299999999999</v>
      </c>
      <c r="L17" s="11">
        <v>166.17400000000001</v>
      </c>
      <c r="M17" s="11">
        <v>166.178</v>
      </c>
      <c r="N17" s="11">
        <v>166.696</v>
      </c>
      <c r="O17" s="1">
        <v>167.66800000000001</v>
      </c>
      <c r="P17" s="1">
        <v>168.68100000000001</v>
      </c>
      <c r="Q17" s="1">
        <v>170.65</v>
      </c>
      <c r="R17" s="1">
        <v>171.35900000000001</v>
      </c>
      <c r="S17" s="1">
        <v>172.70599999999999</v>
      </c>
      <c r="T17" s="1">
        <f>+S17</f>
        <v>172.70599999999999</v>
      </c>
      <c r="U17" s="1">
        <f>+T17</f>
        <v>172.70599999999999</v>
      </c>
      <c r="V17" s="1">
        <f>+U17</f>
        <v>172.70599999999999</v>
      </c>
      <c r="Y17" s="1">
        <f>AVERAGE(K17:N17)</f>
        <v>166.41775000000001</v>
      </c>
      <c r="Z17" s="1">
        <f>AVERAGE(O17:R17)</f>
        <v>169.58950000000002</v>
      </c>
      <c r="AA17" s="1">
        <f>AVERAGE(S17:V17)</f>
        <v>172.70599999999999</v>
      </c>
      <c r="AB17" s="1">
        <f>+AA17</f>
        <v>172.70599999999999</v>
      </c>
      <c r="AC17" s="1">
        <f t="shared" ref="AC17:AO17" si="88">+AB17</f>
        <v>172.70599999999999</v>
      </c>
      <c r="AD17" s="1">
        <f t="shared" si="88"/>
        <v>172.70599999999999</v>
      </c>
      <c r="AE17" s="1">
        <f t="shared" si="88"/>
        <v>172.70599999999999</v>
      </c>
      <c r="AF17" s="1">
        <f t="shared" si="88"/>
        <v>172.70599999999999</v>
      </c>
      <c r="AG17" s="1">
        <f t="shared" si="88"/>
        <v>172.70599999999999</v>
      </c>
      <c r="AH17" s="1">
        <f t="shared" si="88"/>
        <v>172.70599999999999</v>
      </c>
      <c r="AI17" s="1">
        <f t="shared" si="88"/>
        <v>172.70599999999999</v>
      </c>
      <c r="AJ17" s="1">
        <f t="shared" si="88"/>
        <v>172.70599999999999</v>
      </c>
      <c r="AK17" s="1">
        <f t="shared" si="88"/>
        <v>172.70599999999999</v>
      </c>
      <c r="AL17" s="1">
        <f t="shared" si="88"/>
        <v>172.70599999999999</v>
      </c>
      <c r="AM17" s="1">
        <f t="shared" si="88"/>
        <v>172.70599999999999</v>
      </c>
      <c r="AN17" s="1">
        <f t="shared" si="88"/>
        <v>172.70599999999999</v>
      </c>
      <c r="AO17" s="1">
        <f t="shared" si="88"/>
        <v>172.70599999999999</v>
      </c>
    </row>
    <row r="19" spans="2:41" s="16" customFormat="1" x14ac:dyDescent="0.25">
      <c r="B19" s="16" t="s">
        <v>52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>
        <f t="shared" ref="N19:R19" si="89">+N5/J5-1</f>
        <v>0.12380952380952381</v>
      </c>
      <c r="O19" s="18">
        <f t="shared" si="89"/>
        <v>0.18707482993197266</v>
      </c>
      <c r="P19" s="18">
        <f t="shared" si="89"/>
        <v>9.1735537190082539E-2</v>
      </c>
      <c r="Q19" s="18">
        <f t="shared" si="89"/>
        <v>0.11261980830670937</v>
      </c>
      <c r="R19" s="18">
        <f t="shared" si="89"/>
        <v>9.3990755007704152E-2</v>
      </c>
      <c r="S19" s="18">
        <f>+S5/O5-1</f>
        <v>9.701187065083916E-2</v>
      </c>
      <c r="T19" s="18">
        <f t="shared" ref="T19:V19" si="90">+T5/P5-1</f>
        <v>0.10000000000000009</v>
      </c>
      <c r="U19" s="18">
        <f t="shared" si="90"/>
        <v>0.10000000000000009</v>
      </c>
      <c r="V19" s="18">
        <f t="shared" si="90"/>
        <v>0.10000000000000009</v>
      </c>
      <c r="AF19" s="16" t="s">
        <v>66</v>
      </c>
      <c r="AG19" s="18">
        <v>0.08</v>
      </c>
    </row>
    <row r="20" spans="2:41" x14ac:dyDescent="0.25">
      <c r="AF20" t="s">
        <v>67</v>
      </c>
      <c r="AG20" s="1">
        <f>NPV(AG19,AB15:AO15)+AA15+Main!K5-Main!K6</f>
        <v>4373.652150414192</v>
      </c>
    </row>
    <row r="21" spans="2:41" x14ac:dyDescent="0.25">
      <c r="AF21" t="s">
        <v>68</v>
      </c>
      <c r="AG21" s="19">
        <f>+AG20/Main!K3</f>
        <v>26.319713977001165</v>
      </c>
    </row>
  </sheetData>
  <hyperlinks>
    <hyperlink ref="A1" location="Main!A1" display="Main" xr:uid="{28B93BE8-7DF5-44A9-B947-4E6DC91D2FC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19DD-24ED-44EF-AA1A-24A7EF2739C4}">
  <dimension ref="A1:C10"/>
  <sheetViews>
    <sheetView zoomScale="190" zoomScaleNormal="190" workbookViewId="0">
      <selection activeCell="C11" sqref="C11"/>
    </sheetView>
  </sheetViews>
  <sheetFormatPr defaultRowHeight="12.5" x14ac:dyDescent="0.25"/>
  <cols>
    <col min="1" max="1" width="4.6328125" bestFit="1" customWidth="1"/>
  </cols>
  <sheetData>
    <row r="1" spans="1:3" x14ac:dyDescent="0.25">
      <c r="A1" s="14" t="s">
        <v>10</v>
      </c>
    </row>
    <row r="2" spans="1:3" x14ac:dyDescent="0.25">
      <c r="B2" t="s">
        <v>6</v>
      </c>
      <c r="C2" t="s">
        <v>7</v>
      </c>
    </row>
    <row r="3" spans="1:3" x14ac:dyDescent="0.25">
      <c r="B3" t="s">
        <v>53</v>
      </c>
      <c r="C3" t="s">
        <v>54</v>
      </c>
    </row>
    <row r="4" spans="1:3" x14ac:dyDescent="0.25">
      <c r="B4" t="s">
        <v>55</v>
      </c>
      <c r="C4" s="20" t="s">
        <v>56</v>
      </c>
    </row>
    <row r="5" spans="1:3" x14ac:dyDescent="0.25">
      <c r="C5" s="20" t="s">
        <v>57</v>
      </c>
    </row>
    <row r="6" spans="1:3" x14ac:dyDescent="0.25">
      <c r="C6" s="20" t="s">
        <v>58</v>
      </c>
    </row>
    <row r="7" spans="1:3" x14ac:dyDescent="0.25">
      <c r="C7" s="20" t="s">
        <v>59</v>
      </c>
    </row>
    <row r="8" spans="1:3" x14ac:dyDescent="0.25">
      <c r="C8" s="20" t="s">
        <v>60</v>
      </c>
    </row>
    <row r="9" spans="1:3" x14ac:dyDescent="0.25">
      <c r="C9" s="20" t="s">
        <v>61</v>
      </c>
    </row>
    <row r="10" spans="1:3" x14ac:dyDescent="0.25">
      <c r="C10" s="20" t="s">
        <v>62</v>
      </c>
    </row>
  </sheetData>
  <hyperlinks>
    <hyperlink ref="A1" location="Main!A1" display="Main" xr:uid="{5A33B6ED-9797-4DF7-B0F1-74E22C96A8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886B-22EF-47EC-9861-3FAE1BB1DB84}">
  <dimension ref="A1:C6"/>
  <sheetViews>
    <sheetView zoomScale="220" zoomScaleNormal="220" workbookViewId="0">
      <selection activeCell="C7" sqref="C7"/>
    </sheetView>
  </sheetViews>
  <sheetFormatPr defaultRowHeight="12.5" x14ac:dyDescent="0.25"/>
  <cols>
    <col min="1" max="1" width="4.6328125" bestFit="1" customWidth="1"/>
  </cols>
  <sheetData>
    <row r="1" spans="1:3" x14ac:dyDescent="0.25">
      <c r="A1" s="14" t="s">
        <v>10</v>
      </c>
    </row>
    <row r="2" spans="1:3" x14ac:dyDescent="0.25">
      <c r="B2" t="s">
        <v>6</v>
      </c>
      <c r="C2" t="s">
        <v>8</v>
      </c>
    </row>
    <row r="3" spans="1:3" x14ac:dyDescent="0.25">
      <c r="B3" t="s">
        <v>53</v>
      </c>
      <c r="C3" s="20" t="s">
        <v>63</v>
      </c>
    </row>
    <row r="4" spans="1:3" x14ac:dyDescent="0.25">
      <c r="B4" t="s">
        <v>45</v>
      </c>
      <c r="C4" t="s">
        <v>44</v>
      </c>
    </row>
    <row r="5" spans="1:3" x14ac:dyDescent="0.25">
      <c r="B5" t="s">
        <v>55</v>
      </c>
      <c r="C5" s="20" t="s">
        <v>64</v>
      </c>
    </row>
    <row r="6" spans="1:3" x14ac:dyDescent="0.25">
      <c r="C6" s="20" t="s">
        <v>65</v>
      </c>
    </row>
  </sheetData>
  <hyperlinks>
    <hyperlink ref="A1" location="Main!A1" display="Main" xr:uid="{A7CD2F4C-AC99-41CE-B628-9A109E5413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Nuplazid</vt:lpstr>
      <vt:lpstr>Daybue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2024-09-06T05:09:59Z</dcterms:created>
  <dcterms:modified xsi:type="dcterms:W3CDTF">2026-07-07T14:03:27Z</dcterms:modified>
</cp:coreProperties>
</file>