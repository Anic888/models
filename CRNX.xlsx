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C50BD072-ACF7-43E7-8048-3044E45038CA}" xr6:coauthVersionLast="47" xr6:coauthVersionMax="47" xr10:uidLastSave="{00000000-0000-0000-0000-000000000000}"/>
  <bookViews>
    <workbookView xWindow="11310" yWindow="3220" windowWidth="22360" windowHeight="16580" xr2:uid="{EA18D026-99EE-4713-84A0-1F6E24C2FB50}"/>
  </bookViews>
  <sheets>
    <sheet name="Main" sheetId="1" r:id="rId1"/>
    <sheet name="Model" sheetId="2" r:id="rId2"/>
    <sheet name="paltusotine" sheetId="3" r:id="rId3"/>
    <sheet name="atumelna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" i="1" l="1"/>
  <c r="L4" i="1"/>
  <c r="L7" i="1" s="1"/>
</calcChain>
</file>

<file path=xl/sharedStrings.xml><?xml version="1.0" encoding="utf-8"?>
<sst xmlns="http://schemas.openxmlformats.org/spreadsheetml/2006/main" count="37" uniqueCount="27">
  <si>
    <t>Price</t>
  </si>
  <si>
    <t>Shares</t>
  </si>
  <si>
    <t>MC</t>
  </si>
  <si>
    <t>Cash</t>
  </si>
  <si>
    <t>Debt</t>
  </si>
  <si>
    <t>EV</t>
  </si>
  <si>
    <t>Q126</t>
  </si>
  <si>
    <t>Name</t>
  </si>
  <si>
    <t>Palsonify (paltusotine)</t>
  </si>
  <si>
    <t>Indication</t>
  </si>
  <si>
    <t>Acromegaly</t>
  </si>
  <si>
    <t>atumelnant</t>
  </si>
  <si>
    <t>CAH, ADCS</t>
  </si>
  <si>
    <t>CRN09682</t>
  </si>
  <si>
    <t>Main</t>
  </si>
  <si>
    <t>Revenue</t>
  </si>
  <si>
    <t>Q226</t>
  </si>
  <si>
    <t>Q326</t>
  </si>
  <si>
    <t>Q426</t>
  </si>
  <si>
    <t>Q425</t>
  </si>
  <si>
    <t>paltusotine</t>
  </si>
  <si>
    <t>Brand</t>
  </si>
  <si>
    <t>36,000 US, 11.5k actively managed</t>
  </si>
  <si>
    <t>Carcinoid</t>
  </si>
  <si>
    <t>MOA</t>
  </si>
  <si>
    <t>ACTH antagonist</t>
  </si>
  <si>
    <t>Cushing's, CAH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</si>
</sst>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2" fillId="0" borderId="0" xfId="1"/>
    <xf numFmtId="0" fontId="1" fillId="0" borderId="0" xfId="0" quotePrefix="1" applyFont="1"/>
    <xf numFmtId="0" fontId="3" fillId="0" borderId="0" xfId="1" applyFont="1"/>
    <xf numFmtId="4" fontId="1" fillId="0" borderId="0" xfId="0" applyNumberFormat="1" applyFont="1"/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CEFA-720A-449F-AB37-04B95FA89B0D}">
  <dimension ref="B2:M7"/>
  <sheetViews>
    <sheetView tabSelected="1" workbookViewId="0">
      <selection activeCell="C3" sqref="C3"/>
    </sheetView>
  </sheetViews>
  <sheetFormatPr defaultRowHeight="12.5" x14ac:dyDescent="0.25"/>
  <cols>
    <col min="1" max="1" width="8.7265625" style="1"/>
    <col min="2" max="2" width="20" style="1" customWidth="1"/>
    <col min="3" max="3" width="10.453125" style="1" bestFit="1" customWidth="1"/>
    <col min="4" max="16384" width="8.7265625" style="1"/>
  </cols>
  <sheetData>
    <row r="2" spans="2:13" x14ac:dyDescent="0.25">
      <c r="B2" s="15" t="s">
        <v>7</v>
      </c>
      <c r="C2" s="16" t="s">
        <v>9</v>
      </c>
      <c r="D2" s="16"/>
      <c r="E2" s="16"/>
      <c r="F2" s="16"/>
      <c r="G2" s="16"/>
      <c r="H2" s="17"/>
      <c r="K2" s="1" t="s">
        <v>0</v>
      </c>
      <c r="L2" s="8">
        <v>42</v>
      </c>
    </row>
    <row r="3" spans="2:13" x14ac:dyDescent="0.25">
      <c r="B3" s="9" t="s">
        <v>8</v>
      </c>
      <c r="C3" s="10" t="s">
        <v>10</v>
      </c>
      <c r="D3" s="10"/>
      <c r="E3" s="10"/>
      <c r="F3" s="10"/>
      <c r="G3" s="10"/>
      <c r="H3" s="11"/>
      <c r="K3" s="1" t="s">
        <v>1</v>
      </c>
      <c r="L3" s="2">
        <v>105.44</v>
      </c>
      <c r="M3" s="3" t="s">
        <v>6</v>
      </c>
    </row>
    <row r="4" spans="2:13" x14ac:dyDescent="0.25">
      <c r="B4" s="9"/>
      <c r="C4" s="10"/>
      <c r="D4" s="10"/>
      <c r="E4" s="10"/>
      <c r="F4" s="10"/>
      <c r="G4" s="10"/>
      <c r="H4" s="11"/>
      <c r="K4" s="1" t="s">
        <v>2</v>
      </c>
      <c r="L4" s="2">
        <f>+L2*L3</f>
        <v>4428.4799999999996</v>
      </c>
    </row>
    <row r="5" spans="2:13" x14ac:dyDescent="0.25">
      <c r="B5" s="9" t="s">
        <v>11</v>
      </c>
      <c r="C5" s="10" t="s">
        <v>12</v>
      </c>
      <c r="D5" s="10"/>
      <c r="E5" s="10"/>
      <c r="F5" s="10"/>
      <c r="G5" s="10"/>
      <c r="H5" s="11"/>
      <c r="K5" s="1" t="s">
        <v>3</v>
      </c>
      <c r="L5" s="2">
        <f>114.341+1176.965</f>
        <v>1291.3059999999998</v>
      </c>
      <c r="M5" s="3" t="s">
        <v>6</v>
      </c>
    </row>
    <row r="6" spans="2:13" x14ac:dyDescent="0.25">
      <c r="B6" s="9" t="s">
        <v>13</v>
      </c>
      <c r="C6" s="10"/>
      <c r="D6" s="10"/>
      <c r="E6" s="10"/>
      <c r="F6" s="10"/>
      <c r="G6" s="10"/>
      <c r="H6" s="11"/>
      <c r="K6" s="1" t="s">
        <v>4</v>
      </c>
      <c r="L6" s="2">
        <v>0</v>
      </c>
      <c r="M6" s="3" t="s">
        <v>6</v>
      </c>
    </row>
    <row r="7" spans="2:13" x14ac:dyDescent="0.25">
      <c r="B7" s="12"/>
      <c r="C7" s="13"/>
      <c r="D7" s="13"/>
      <c r="E7" s="13"/>
      <c r="F7" s="13"/>
      <c r="G7" s="13"/>
      <c r="H7" s="14"/>
      <c r="K7" s="1" t="s">
        <v>5</v>
      </c>
      <c r="L7" s="2">
        <f>+L4-L5+L6</f>
        <v>3137.174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F13B-E71B-4233-87B9-5B97EB06A5B8}">
  <dimension ref="A1:G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3" sqref="E3"/>
    </sheetView>
  </sheetViews>
  <sheetFormatPr defaultRowHeight="12.5" x14ac:dyDescent="0.25"/>
  <cols>
    <col min="1" max="1" width="4.6328125" style="1" bestFit="1" customWidth="1"/>
    <col min="2" max="2" width="8.7265625" style="1"/>
    <col min="3" max="7" width="8.7265625" style="3"/>
    <col min="8" max="16384" width="8.7265625" style="1"/>
  </cols>
  <sheetData>
    <row r="1" spans="1:7" ht="14.5" x14ac:dyDescent="0.35">
      <c r="A1" s="5" t="s">
        <v>14</v>
      </c>
    </row>
    <row r="2" spans="1:7" x14ac:dyDescent="0.25">
      <c r="C2" s="3" t="s">
        <v>19</v>
      </c>
      <c r="D2" s="3" t="s">
        <v>6</v>
      </c>
      <c r="E2" s="3" t="s">
        <v>16</v>
      </c>
      <c r="F2" s="3" t="s">
        <v>17</v>
      </c>
      <c r="G2" s="3" t="s">
        <v>18</v>
      </c>
    </row>
    <row r="3" spans="1:7" s="2" customFormat="1" x14ac:dyDescent="0.25">
      <c r="B3" s="2" t="s">
        <v>15</v>
      </c>
      <c r="C3" s="4">
        <v>5.42</v>
      </c>
      <c r="D3" s="4">
        <v>10.305999999999999</v>
      </c>
      <c r="E3" s="4"/>
      <c r="F3" s="4"/>
      <c r="G3" s="4"/>
    </row>
    <row r="4" spans="1:7" s="2" customFormat="1" x14ac:dyDescent="0.25">
      <c r="C4" s="4"/>
      <c r="D4" s="4"/>
      <c r="E4" s="4"/>
      <c r="F4" s="4"/>
      <c r="G4" s="4"/>
    </row>
  </sheetData>
  <hyperlinks>
    <hyperlink ref="A1" location="Main!A1" display="Main" xr:uid="{BEA8EA1B-DD71-4D20-BDFA-B35AF1F85AB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DEB2F-0DE6-47E2-87A6-6DEDD06C105D}">
  <dimension ref="A1:D5"/>
  <sheetViews>
    <sheetView workbookViewId="0">
      <selection activeCell="D5" sqref="D5"/>
    </sheetView>
  </sheetViews>
  <sheetFormatPr defaultRowHeight="12.5" x14ac:dyDescent="0.25"/>
  <cols>
    <col min="1" max="1" width="4.6328125" style="1" bestFit="1" customWidth="1"/>
    <col min="2" max="16384" width="8.7265625" style="1"/>
  </cols>
  <sheetData>
    <row r="1" spans="1:4" x14ac:dyDescent="0.25">
      <c r="A1" s="1" t="s">
        <v>14</v>
      </c>
    </row>
    <row r="2" spans="1:4" x14ac:dyDescent="0.25">
      <c r="B2" s="1" t="s">
        <v>21</v>
      </c>
      <c r="C2" s="1" t="s">
        <v>20</v>
      </c>
    </row>
    <row r="3" spans="1:4" x14ac:dyDescent="0.25">
      <c r="B3" s="1" t="s">
        <v>9</v>
      </c>
      <c r="C3" s="1" t="s">
        <v>10</v>
      </c>
    </row>
    <row r="4" spans="1:4" x14ac:dyDescent="0.25">
      <c r="D4" s="1" t="s">
        <v>22</v>
      </c>
    </row>
    <row r="5" spans="1:4" x14ac:dyDescent="0.25">
      <c r="C5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ABDC-F1DA-4171-B272-9C53CA5B2556}">
  <dimension ref="A1:C4"/>
  <sheetViews>
    <sheetView workbookViewId="0"/>
  </sheetViews>
  <sheetFormatPr defaultRowHeight="12.5" x14ac:dyDescent="0.25"/>
  <cols>
    <col min="1" max="1" width="4.6328125" style="1" bestFit="1" customWidth="1"/>
    <col min="2" max="16384" width="8.7265625" style="1"/>
  </cols>
  <sheetData>
    <row r="1" spans="1:3" x14ac:dyDescent="0.25">
      <c r="A1" s="7" t="s">
        <v>14</v>
      </c>
    </row>
    <row r="2" spans="1:3" x14ac:dyDescent="0.25">
      <c r="B2" s="1" t="s">
        <v>21</v>
      </c>
      <c r="C2" s="6" t="s">
        <v>11</v>
      </c>
    </row>
    <row r="3" spans="1:3" x14ac:dyDescent="0.25">
      <c r="B3" s="1" t="s">
        <v>24</v>
      </c>
      <c r="C3" s="1" t="s">
        <v>25</v>
      </c>
    </row>
    <row r="4" spans="1:3" x14ac:dyDescent="0.25">
      <c r="B4" s="1" t="s">
        <v>9</v>
      </c>
      <c r="C4" s="1" t="s">
        <v>26</v>
      </c>
    </row>
  </sheetData>
  <hyperlinks>
    <hyperlink ref="A1" location="Main!A1" display="Main" xr:uid="{E82A2F99-E270-47A9-88EF-0322312DF2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paltusotine</vt:lpstr>
      <vt:lpstr>atumelnant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2026-06-06T17:21:51Z</dcterms:created>
  <dcterms:modified xsi:type="dcterms:W3CDTF">2026-07-06T19:03:29Z</dcterms:modified>
</cp:coreProperties>
</file>