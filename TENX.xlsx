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artin Shkreli - DL\models\"/>
    </mc:Choice>
  </mc:AlternateContent>
  <xr:revisionPtr revIDLastSave="0" documentId="13_ncr:1_{8DFC7C79-2361-4D85-A7DA-506C0E6BFD8C}" xr6:coauthVersionLast="47" xr6:coauthVersionMax="47" xr10:uidLastSave="{00000000-0000-0000-0000-000000000000}"/>
  <bookViews>
    <workbookView xWindow="14400" yWindow="4630" windowWidth="21060" windowHeight="13820" xr2:uid="{BBC30BB9-D7B0-4373-B99D-63A7B7F28A5A}"/>
  </bookViews>
  <sheets>
    <sheet name="Main" sheetId="1" r:id="rId1"/>
    <sheet name="levosimendan " sheetId="2" r:id="rId2"/>
    <sheet name="6MW in HF" sheetId="5" r:id="rId3"/>
    <sheet name="Papers" sheetId="3" r:id="rId4"/>
    <sheet name="inotrope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5" l="1"/>
  <c r="E28" i="5"/>
  <c r="J26" i="5"/>
  <c r="J25" i="5"/>
  <c r="E26" i="5"/>
  <c r="E25" i="5"/>
  <c r="J20" i="5"/>
  <c r="J19" i="5"/>
  <c r="J18" i="5"/>
  <c r="J17" i="5"/>
  <c r="E20" i="5"/>
  <c r="E19" i="5"/>
  <c r="E18" i="5"/>
  <c r="E17" i="5"/>
  <c r="E16" i="5"/>
  <c r="E15" i="5"/>
  <c r="E14" i="5"/>
  <c r="E13" i="5"/>
  <c r="J14" i="5"/>
  <c r="J13" i="5"/>
  <c r="E12" i="5"/>
  <c r="E11" i="5"/>
  <c r="J11" i="5"/>
  <c r="J12" i="5"/>
  <c r="K10" i="5"/>
  <c r="K9" i="5"/>
  <c r="F10" i="5"/>
  <c r="F9" i="5"/>
  <c r="E8" i="5"/>
  <c r="F8" i="5" s="1"/>
  <c r="E7" i="5"/>
  <c r="F7" i="5"/>
  <c r="G6" i="5" l="1"/>
  <c r="K4" i="5"/>
  <c r="K3" i="5"/>
  <c r="K5" i="5"/>
  <c r="F5" i="5"/>
  <c r="F3" i="5"/>
  <c r="F4" i="5"/>
  <c r="K27" i="1"/>
  <c r="E27" i="1"/>
  <c r="G28" i="1"/>
  <c r="H28" i="1" s="1"/>
  <c r="L28" i="1"/>
  <c r="L27" i="1"/>
  <c r="H27" i="1"/>
  <c r="E28" i="1"/>
  <c r="F23" i="1"/>
  <c r="F22" i="1"/>
  <c r="F21" i="1"/>
  <c r="F20" i="1"/>
  <c r="F19" i="1"/>
  <c r="F18" i="1"/>
  <c r="F17" i="1"/>
  <c r="F16" i="1"/>
  <c r="F15" i="1"/>
  <c r="F14" i="1"/>
  <c r="F13" i="1"/>
  <c r="F12" i="1"/>
  <c r="L23" i="1"/>
  <c r="L22" i="1"/>
  <c r="M22" i="1" s="1"/>
  <c r="L21" i="1"/>
  <c r="L20" i="1"/>
  <c r="L19" i="1"/>
  <c r="L18" i="1"/>
  <c r="L17" i="1"/>
  <c r="L16" i="1"/>
  <c r="L15" i="1"/>
  <c r="M15" i="1" s="1"/>
  <c r="L14" i="1"/>
  <c r="L13" i="1"/>
  <c r="L12" i="1"/>
  <c r="M12" i="1" s="1"/>
  <c r="K23" i="1"/>
  <c r="K22" i="1"/>
  <c r="K21" i="1"/>
  <c r="K20" i="1"/>
  <c r="K19" i="1"/>
  <c r="K18" i="1"/>
  <c r="K17" i="1"/>
  <c r="K16" i="1"/>
  <c r="K15" i="1"/>
  <c r="K14" i="1"/>
  <c r="K13" i="1"/>
  <c r="K12" i="1"/>
  <c r="E22" i="1"/>
  <c r="E21" i="1"/>
  <c r="E20" i="1"/>
  <c r="E19" i="1"/>
  <c r="E18" i="1"/>
  <c r="E17" i="1"/>
  <c r="E16" i="1"/>
  <c r="E15" i="1"/>
  <c r="E14" i="1"/>
  <c r="E13" i="1"/>
  <c r="E12" i="1"/>
  <c r="E23" i="1"/>
  <c r="B23" i="1"/>
  <c r="B22" i="1"/>
  <c r="B21" i="1"/>
  <c r="B20" i="1"/>
  <c r="B19" i="1"/>
  <c r="B18" i="1"/>
  <c r="B17" i="1"/>
  <c r="B16" i="1"/>
  <c r="B15" i="1"/>
  <c r="B14" i="1"/>
  <c r="B13" i="1"/>
  <c r="K4" i="1"/>
  <c r="K7" i="1" s="1"/>
  <c r="M23" i="1" l="1"/>
  <c r="G23" i="1"/>
  <c r="G22" i="1"/>
  <c r="G21" i="1"/>
  <c r="G20" i="1"/>
  <c r="G19" i="1"/>
  <c r="G18" i="1"/>
  <c r="G17" i="1"/>
  <c r="G16" i="1"/>
  <c r="G15" i="1"/>
  <c r="G14" i="1"/>
  <c r="G13" i="1"/>
  <c r="G12" i="1"/>
  <c r="M21" i="1"/>
  <c r="M20" i="1"/>
  <c r="M19" i="1"/>
  <c r="M18" i="1"/>
  <c r="M17" i="1"/>
  <c r="M16" i="1"/>
  <c r="M14" i="1"/>
  <c r="M13" i="1"/>
  <c r="E29" i="1"/>
  <c r="M28" i="1"/>
  <c r="I28" i="1"/>
  <c r="M27" i="1"/>
  <c r="M29" i="1" s="1"/>
  <c r="I27" i="1"/>
  <c r="I29" i="1"/>
</calcChain>
</file>

<file path=xl/sharedStrings.xml><?xml version="1.0" encoding="utf-8"?>
<sst xmlns="http://schemas.openxmlformats.org/spreadsheetml/2006/main" count="2235" uniqueCount="2043">
  <si>
    <t>Price</t>
  </si>
  <si>
    <t>Shares</t>
  </si>
  <si>
    <t>MC</t>
  </si>
  <si>
    <t>Cash</t>
  </si>
  <si>
    <t>Debt</t>
  </si>
  <si>
    <t>EV</t>
  </si>
  <si>
    <t>Name</t>
  </si>
  <si>
    <t xml:space="preserve">levosimendan </t>
  </si>
  <si>
    <t>Indication</t>
  </si>
  <si>
    <t>PH-HFpEF</t>
  </si>
  <si>
    <t>MOA</t>
  </si>
  <si>
    <t>K+ channel</t>
  </si>
  <si>
    <t>Main</t>
  </si>
  <si>
    <t>Brand</t>
  </si>
  <si>
    <t>Generic</t>
  </si>
  <si>
    <t>levosimendan</t>
  </si>
  <si>
    <t>inotrope</t>
  </si>
  <si>
    <t>Q126</t>
  </si>
  <si>
    <t>Clinical Trials</t>
  </si>
  <si>
    <t>Phase III "LEVEL-2"</t>
  </si>
  <si>
    <t>August 21 2026</t>
  </si>
  <si>
    <t>CALLS</t>
  </si>
  <si>
    <t>PUTS</t>
  </si>
  <si>
    <t>BID</t>
  </si>
  <si>
    <t>ASK</t>
  </si>
  <si>
    <t>MID</t>
  </si>
  <si>
    <t>Value</t>
  </si>
  <si>
    <t>Return</t>
  </si>
  <si>
    <t>binds cardiac troponin C?</t>
  </si>
  <si>
    <t>opens ATP-sensitive potassium channels?</t>
  </si>
  <si>
    <t>AUG 7.5P</t>
  </si>
  <si>
    <t>FAILURE</t>
  </si>
  <si>
    <t>SUCCESS</t>
  </si>
  <si>
    <t>AUG 25 C</t>
  </si>
  <si>
    <t>Administration</t>
  </si>
  <si>
    <t>oral</t>
  </si>
  <si>
    <t>Phase III "LEVEL" n=230 PH-HFpEF - NCT05983250 August results</t>
  </si>
  <si>
    <t>Phase III "REVIVE" n=600</t>
  </si>
  <si>
    <t>composite improvement score p=0.015</t>
  </si>
  <si>
    <t>increased adjunctive therapy in placebo (79 vs. 45)</t>
  </si>
  <si>
    <t>more frequent hypotension &amp; arrhythmias</t>
  </si>
  <si>
    <t>numerically higher death (49 vs 40)</t>
  </si>
  <si>
    <t>long hospital stays: 23% in placebo, 16% for drug</t>
  </si>
  <si>
    <t>PK</t>
  </si>
  <si>
    <t>n=8, T_1/2 0.83-1.77hr, VC=8.5-14.1L, VSS=12.8-28.4L</t>
  </si>
  <si>
    <t>increase in EF R^2=0.33</t>
  </si>
  <si>
    <t>OR-1259</t>
  </si>
  <si>
    <t>2: Sravan Kumar J, Patel J, Brahmaroutu R, Masaniya J, Chatterjee A, Chaudhary J, Haranal M. Comparison of Hemodynamic Effects of Milrinone, Levosimendan, and Dobutamine in Bidirectional Cavopulmonary Connection Surgery. World J Pediatr Congenit Heart Surg. 2026 Jul 21:21501351261458326. doi: 10.1177/21501351261458326. Epub ahead of print. PMID: 42478722.</t>
  </si>
  <si>
    <t>1: Khan MS, Borlaug BA, Butler J, Gomberg-Maitland M, Humbert M, Lam CSP, Reddy YNV, Stone GW, Zannad F, Tedford RJ. Pulmonary Hypertension Associated With Left Heart Disease: Challenges, Emerging Strategies, and Future Directions. J Am Coll Cardiol. 2026 Jul 28;88(4):454-488. doi: 10.1016/j.jacc.2026.01.024. Epub 2026 Mar 11. PMID: 41811276.</t>
  </si>
  <si>
    <t>72: Ollosu M, Tripodi VF, Aresu C, Ledda G, Manai F, Marini C, Musu M, Ippolito M, Cortegiani A, Finco G, Sardo S. Efficacy and Safety of Pulmonary Vasodilator and Inodilator Drugs in Congenital Heart Disease Surgery: A Systematic Review and Network Meta-Analysis of Randomized Controlled Trials. J Cardiothorac Vasc Anesth. 2026 Jan;40(1):333-346. doi: 10.1053/j.jvca.2025.08.053. Epub 2025 Aug 27. PMID: 40968005.</t>
  </si>
  <si>
    <t>84: Gapizov A, Mohammad A, Sadiq A, Singla B, Singla S, Kumari S, Kumawat S, Iqbal A. Sepsis-Induced Myocardial Dysfunction and Its Prognostic Implications for Mortality in the Intensive Care Unit: A Systematic Review. Cureus. 2025 Nov 15;17(11):e96887. doi: 10.7759/cureus.96887. PMID: 41404203; PMCID: PMC12703546.</t>
  </si>
  <si>
    <t>122: Bhadange R, Dagar N, Gaikwad AB. Levosimendan mitigates renal fibrosis via TGF-β1/Smad axis modulation in UUO rats. Biomed Pharmacother. 2025 Jun;187:118124. doi: 10.1016/j.biopha.2025.118124. Epub 2025 May 3. PMID: 40319657</t>
  </si>
  <si>
    <t>193: Zhang X, Wang Z, Zhang L, Zhao X, Han Y. Comparative Effectiveness and Safety of Intermittent, Repeated, or Continuous Use of Levosimendan, Milrinone, or Dobutamine in Patients With Advanced Heart Failure: A Network and Single-Arm Meta-analysis. J Cardiovasc Pharmacol. 2024 Jul 1;84(1):92-100. doi: 10.1097/FJC.0000000000001561. PMID: 38547524.</t>
  </si>
  <si>
    <t>190: Meng W, Shu C, Gao H. Levosimendan Ameliorates Hypoxia-Induced Brain Injury in Rats by Modulating PTEN/Akt Signaling Pathway-Mediated Ferroptosis. Discov Med. 2024 Jul;36(186):1453-1463. doi: 10.24976/Discov.Med.202436186.135. PMID: 39054716</t>
  </si>
  <si>
    <t>200: Xie Y, Xing Z, Wei J, Sun X, Zhao B, Chen Y, Geng Y, Jia Z, Zou H. Levosimendan Postconditioning Attenuates Cardiomyocyte Apoptosis after Myocardial Infarction. J Healthc Eng. 2022 Jan 29;2022:2988756. doi: 10.1155/2022/2988756. Retraction in: J Healthc Eng. 2023 Aug 9;2023:9758474. doi: 10.1155/2023/9758474. PMID: 35132355; PMCID: PMC8817859.</t>
  </si>
  <si>
    <t>199: Zang H, Yan W, Xie W. Comment on "The direct comparison of inhaled versus intravenous levosimendan in children with pulmonary hypertension undergoing on-cardiopulmonary bypass cardiac surgery: A randomized, controlled, non-inferiority study". J Clin Anesth. 2022 Feb;76:110572. doi: 10.1016/j.jclinane.2021.110572. Epub 2021 Nov 8. PMID: 34763274.</t>
  </si>
  <si>
    <t>197: Kaddoura R, Mohamed Ibrahim MI, Omar A. Levosimendan for VA-ECMO weaning: the silver lining. ESC Heart Fail. 2022 Feb;9(1):236-240. doi:10.1002/ehf2.13751. Epub 2021 Dec 6. PMID: 34873878; PMCID: PMC8788139.</t>
  </si>
  <si>
    <t>196: Shi J, Chen Y, Zhi H, An H, Hu Z. Levosimendan protects from sepsis-inducing cardiac dysfunction by suppressing inflammation, oxidative stress and regulating cardiac mitophagy via the PINK-1-Parkin pathway in mice. Ann Transl Med. 2022 Feb;10(4):212. doi: 10.21037/atm-22-483. PMID: 35280364; PMCID: PMC8908175.</t>
  </si>
  <si>
    <t>195: Ghariani A, Dhiab L, Ferhi F, Abdessalem MA, Mahdhaoui A, Jazia KB, Jeridi G. Inverted Takotsubo Following a Ruptured Ectopic Pregnancy, Treated with Levosimendan. Indian J Crit Care Med. 2022 Feb;26(2):228-230. doi: 10.5005/jp-journals-10071-24118. PMID: 35712733; PMCID: PMC8857714.</t>
  </si>
  <si>
    <t>192: Stefanelli G, Bellisario A, Meli M, Chiurlia E, Barbieri A, Weltert L. Outcomes after surgical ventricular restoration for ischemic cardiomyopathy. J Thorac Cardiovasc Surg. 2022 Mar;163(3):1058-1067. doi:10.1016/j.jtcvs.2020.04.167. Epub 2020 May 23. PMID: 32653287.</t>
  </si>
  <si>
    <t>191: Elsherbini H, Soliman O, Zijderhand C, Lenzen M, Hoeks SE, Kaddoura R, Izham M, Alkhulaifi A, Omar AS, Caliskan K. Intermittent levosimendan infusion in ambulatory patients with end-stage heart failure: a systematic review and meta-analysis of 984 patients. Heart Fail Rev. 2022 Mar;27(2):493-505. doi:10.1007/s10741-021-10101-0. Epub 2021 Apr 11. Erratum in: Heart Fail Rev. 2021 Nov;26(6):1525. doi: 10.1007/s10741-021-10130-9. PMID: 33839989; PMCID: PMC8898255.</t>
  </si>
  <si>
    <t>190: Silvetti S, Belletti A, Bianzina S, Momeni M. Effect of Levosimendan Treatment in Pediatric Patients With Cardiac Dysfunction: An Update of a Systematic Review and Meta-Analysis of Randomized Controlled Trials. J Cardiothorac Vasc Anesth. 2022 Mar;36(3):657-664. doi:10.1053/j.jvca.2021.09.018. Epub 2021 Sep 17. PMID: 34656399.</t>
  </si>
  <si>
    <t>189: Tycińska A, Gierlotka M, Bartuś S, Gąsior M, Główczyńska R, Grześk G, Jaguszewski M, Kasprzak JD, Kubica J, Legutko J, Leszek P, Nessler J, Pacileo G, Ponikowski P, Sobkowicz B, Stępińska J, Straburzyńska-Migaj E, Wojakowski W, Zawiślak B, Zymliński R; LEIA-HF Investigators. Repetitive use of Levosimendan in Ambulatory Heart Failure patients (LEIA-HF) - The rationale and study design. Adv Med Sci. 2022 Mar;67(1):18-22. doi: 10.1016/j.advms.2021.10.001. Epub 2021 Oct 14. PMID: 34656873.</t>
  </si>
  <si>
    <t>188: Apostolo A, Vignati C, Della Rocca M, De Martino F, Berna G, Campodonico J, Contini M, Muratori M, Palermo P, Mapelli M, Alimento M, Pezzuto B, Agostoni P. Why Levosimendan Improves the Clinical Condition of Patients With Advanced Heart Failure: A Holistic Approach. J Card Fail. 2022 Mar;28(3):509-514. doi:10.1016/j.cardfail.2021.10.009. Epub 2021 Nov 8. PMID: 34763079.</t>
  </si>
  <si>
    <t>187: Staudt GE, Londergan BP, Eagle SS. Take It or Levo It: An Updated Look at the Use of Levosimendan to Prevent Low Cardiac Output Syndrome in Pediatric Patients. J Cardiothorac Vasc Anesth. 2022 Mar;36(3):665-666. doi:10.1053/j.jvca.2021.10.041. Epub 2021 Nov 2. PMID: 34819260.</t>
  </si>
  <si>
    <t>186: Qu C, Feng W, Zhao Q, Liu Q, Luo X, Wang G, Sun M, Yao Z, Sun Y, Hou S, Zhao C, Zhang R, Qu X. Effect of Levosimendan on Acute Decompensated Right Heart Failure in Patients With Connective Tissue Disease-Associated Pulmonary Arterial Hypertension. Front Med (Lausanne). 2022 Mar 4;9:778620. doi:10.3389/fmed.2022.778620. PMID: 35308558; PMCID: PMC8931274.</t>
  </si>
  <si>
    <t>185: Liu Y, Liu L, Yan F. Levosimendan improves postoperative heart function recovery and prognosis in patients with heart disease. Am J Transl Res. 2022 Mar 15;14(3):2092-2100. PMID: 35422928; PMCID: PMC8991159.</t>
  </si>
  <si>
    <t>184: Guo J, Zhang X, Zhu Y, Cheng Q. Comparison of dobutamine and levosimendan for treatment of sepsis-induced cardiac dysfunction: A protocol for systematic review and meta-analysis. Medicine (Baltimore). 2022 Mar 18;101(11):e29092. doi:10.1097/MD.0000000000029092. PMID: 35356941; PMCID: PMC10684197.</t>
  </si>
  <si>
    <t>200: Wang A, Cui C, Fan Y, Zi J, Zhang J, Wang G, Wang F, Wang J, Tan Q. Prophylactic use of levosimendan in pediatric patients undergoing cardiac surgery: a prospective randomized controlled trial. Crit Care. 2019 Dec 30;23(1):428. doi: 10.1186/s13054-019-2704-2. PMID: 31888711; PMCID: PMC6937718.</t>
  </si>
  <si>
    <t>199: Terbeck S, Heinisch PP, Lenz A, Friess JO, Guensch D, Carrel T, Eberle B, Erdoes G. Levosimendan and systemic vascular resistance in cardiac surgery patients: a systematic review and meta-analysis. Sci Rep. 2019 Dec 30;9(1):20343. doi: 10.1038/s41598-019-56831-y. PMID: 31889123; PMCID: PMC6937247.</t>
  </si>
  <si>
    <t>198: Kocabeyoglu SS, Kervan U, Sert DE, Karahan M, Aygun E, Beyazal OF, Unal EU, Akin Y, Demirkan B, Pac M. Optimization with levosimendan improves outcomes after left ventricular assist device implantation. Eur J Cardiothorac Surg. 2020 Jan 1;57(1):176-182. doi: 10.1093/ejcts/ezz159. PMID: 31155645.</t>
  </si>
  <si>
    <t>196: Schranz D. Pharmacological Heart Failure Therapy in Children: Focus on Inotropic Support. Handb Exp Pharmacol. 2020;261:177-192. doi:10.1007/164_2019_267. PMID: 31707469.</t>
  </si>
  <si>
    <t>195: Buttà C, Roberto M, Tuttolomondo A, Petrantoni R, Miceli G, Zappia L, Pinto A. Old and New Drugs for Treatment of Advanced Heart Failure. Curr Pharm Des. 2020;26(14):1571-1583. doi: 10.2174/1381612826666191226165402. PMID: 31878852.</t>
  </si>
  <si>
    <t>194: Guo N, Wang Z, Bow LM, Cui X, Zhang L, Xian W, Sun H, Tian J. Cardiac Inotropes Offer Protection of Renal Function in Patients with Kidney Transplantation. Kidney Blood Press Res. 2020;45(2):331-338. doi:10.1159/000504543. Epub 2020 Jan 24. PMID: 31982885.</t>
  </si>
  <si>
    <t>193: Li H, Duan Y, Chen B, Zhao Y, Su W, Wang S, Wu J, Lu L. New pharmacological treatments for heart failure with reduced ejection fraction (HFrEF): A Bayesian network meta-analysis. Medicine (Baltimore). 2020 Jan;99(5):e18341. doi:10.1097/MD.0000000000018341. PMID: 32000355; PMCID: PMC7004768.</t>
  </si>
  <si>
    <t>191: Gazizova VP, Vlasova EE, Dzybinskaya EV, Gramovich VV, Stukalova OV, Shiryaev AA, Akchurin RS. [The possibilities of using levosimendan in medical preparation to Coronary Artery Bypass Grafting in coronary artery disease patients with low left ventricular ejection fraction]. Ter Arkh. 2020 Jan 15;92(1):43-48. Russian. doi: 10.26442/00403660.2020.01.000492. PMID: 32598662.</t>
  </si>
  <si>
    <t>190: Ferro B, Tofani R, Vegnuti L, Borelli G, Gargani L, Roncucci P. Correction to: A case of intracoronary and endovenous levosimendan as a rescue therapy for refractory cardiac arrest. Intensive Care Med Exp. 2020 Jan 21;8(1):4. doi:10.1186/s40635-019-0289-3. Erratum for: Intensive Care Med Exp. 2019 Sep 27;7(Suppl 3):55. doi: 10.1186/s40635-019-0265-y. PMID: 31965386; PMCID: PMC6973955.</t>
  </si>
  <si>
    <t>189: Grossini E, Farruggio S, Pierelli D, Bolzani V, Rossi L, Pollesello P, Monaco C. Levosimendan Improves Oxidative Balance in Cardiogenic Shock/Low Cardiac Output Patients. J Clin Med. 2020 Jan 30;9(2):373. doi: 10.3390/jcm9020373. PMID: 32019057; PMCID: PMC7073614.</t>
  </si>
  <si>
    <t>188: Fredholm M, Jörgensen K, Houltz E, Ricksten SE. Levosimendan or milrinone for right ventricular inotropic treatment?-A secondary analysis of a randomized trial. Acta Anaesthesiol Scand. 2020 Feb;64(2):193-201. doi: 10.1111/aas.13486. Epub 2019 Oct 17. PMID: 31556095.</t>
  </si>
  <si>
    <t>185: Efentakis P, Varela A, Chavdoula E, Sigala F, Sanoudou D, Tenta R, Gioti K, Kostomitsopoulos N, Papapetropoulos A, Tasouli A, Farmakis D, Davos CH, Klinakis A, Suter T, Cokkinos DV, Iliodromitis EK, Wenzel P, Andreadou I. Levosimendan prevents doxorubicin-induced cardiotoxicity in time- and dose-dependent manner: implications for inotropy. Cardiovasc Res. 2020 Mar 1;116(3):576-591. doi: 10.1093/cvr/cvz163. PMID: 31228183.</t>
  </si>
  <si>
    <t>184: Beretta-Piccoli X, Biarent D, De Bels D, Honore PM, Redant S. Prophylactic use of levosimendan in pediatric patients undergoing cardiac surgery: the jury is still out. Crit Care. 2020 Mar 23;24(1):113. doi: 10.1186/s13054-020-2812-z. PMID: 32204717; PMCID: PMC7092602.</t>
  </si>
  <si>
    <t>183: Dabrowski W, Siwicka-Gieroba D, Piasek E, Schlegel TT, Jaroszynski A. Successful Combination of Landiolol and Levosimendan in Patients with Decompensated Heart Failure. Int Heart J. 2020 Mar 28;61(2):384-389. doi: 10.1536/ihj.19-420. Epub 2020 Mar 4. PMID: 32132321.</t>
  </si>
  <si>
    <t>182: Zhang YN, Jia M, Pan Y, Lin JR, Cao JL, Lin Y, Qiu Q. [Influencing factors of postoperative acute kidney injury in patients undergoing cardiac surgery]. Zhonghua Yi Xue Za Zhi. 2020 Mar 31;100(12):928-932. Chinese. doi:10.3760/cma.j.cn112137-20190712-01555. PMID: 32234168.</t>
  </si>
  <si>
    <t>181: Yan SB, Wang XY, Shang GK, Wang ZH, Deng QM, Song JW, Sai WW, Song M, Zhong M, Zhang W. Impact of Perioperative Levosimendan Administration on Risk of Bleeding After Cardiac Surgery: A Meta-analysis of Randomized Controlled Trials. Am J Cardiovasc Drugs. 2020 Apr;20(2):149-160. doi: 10.1007/s40256-019-00372-2. PMID: 31523760.</t>
  </si>
  <si>
    <t>187: Omar A, Eldegwy M, Allam M, Rouchdy A, Soliman SAH, Dawou O, Elshihy E. Comparison of Levosimendan Versus IABP in Patients with Poor Left Ventricular Function Undergoing Coronary Artery Bypass Graft Surgery. Heart Surg Forum. 2020 Feb 27;23(1):E093-E097. doi: 10.1532/hsf.2731. PMID: 32118551.</t>
  </si>
  <si>
    <t>186: Sieweke JT, Pfeffer TJ, Berliner D, König T, Hallbaum M, Napp LC, Tongers J, Kühn C, Schmitto JD, Hilfiker-Kleiner D, Schäfer A, Bauersachs J. Cardiogenic shock complicating peripartum cardiomyopathy: Importance of early left ventricular unloading and bromocriptine therapy. Eur Heart J Acute Cardiovasc Care. 2020 Mar;9(2):173-182. doi: 10.1177/2048872618777876. Epub 2018 May 24. PMID: 29792513.</t>
  </si>
  <si>
    <t>180: Belletti A, Landoni G, Lomivorotov VV, Oriani A, Ajello S. Adrenergic Downregulation in Critical Care: Molecular Mechanisms and Therapeutic Evidence. J Cardiothorac Vasc Anesth. 2020 Apr;34(4):1023-1041. doi:10.1053/j.jvca.2019.10.017. Epub 2019 Oct 16. PMID: 31839459.</t>
  </si>
  <si>
    <t>179: Iacobelli R, Ricci Z, Marinari E, Haiberger R, Di Molfetta A, Toscano A, Di Chiara L. Effects of levosimendan on ventriculo-arterial coupling and cardiac efficiency in paediatric patients with single-ventricle physiology after surgical palliation: retrospective study. Interact Cardiovasc Thorac Surg. 2020 Apr 1;30(4):623-629. doi: 10.1093/icvts/ivz319. PMID: 31986196.</t>
  </si>
  <si>
    <t>178: Abdelrahman AM, Al Salam S, Al Suleimani Y, Ashique M, Manoj P, Ali BH. Effect of levosimendan, an inodilator, on streptozotocin-induced diabetic nephropathy in rats. Eur J Pharmacol. 2020 Apr 15;873:172960. doi:10.1016/j.ejphar.2020.172960. Epub 2020 Jan 27. PMID: 32001219.</t>
  </si>
  <si>
    <t>176: Manito Lorite N, Rubio-Rodríguez D, González Costello J, Díez López C, Enjuanes Grau C, Segovia-Cubero J, Delgado Jimenez JF, Campo Sien C, Rubio-Terrés C, Comín-Colet J; LION-HEART study researchers; Additional researchers in the LION-HEART Group. Economic analysis of intermittent intravenous outpatient treatment with levosimendan in advanced heart failure in Spain. Rev Esp Cardiol (Engl Ed). 2020 May;73(5):361-367. English, Spanish. doi:10.1016/j.rec.2019.06.020. Epub 2019 Dec 30. PMID: 31899185.</t>
  </si>
  <si>
    <t>177: Yalcin YC, Caliskan K. Intermittent levosimendan treatment for late onset right ventricular failure in a patient supported with a left ventricular assist device. Artif Organs. 2020 May;44(5):533-534. doi: 10.1111/aor.13608. Epub 2019 Dec 15. PMID: 31838742.</t>
  </si>
  <si>
    <t>165: Onorati F, Veraldi G, Faggian G. Commentary: The quest for the holy grail continues: Is levosimendan the best choice to support patients with cardiomyopathy requiring cardiac surgery? J Thorac Cardiovasc Surg. 2020 Jun;159(6):2312-2313. doi: 10.1016/j.jtcvs.2019.06.136. Epub 2019 Sep 21. PMID: 31653416</t>
  </si>
  <si>
    <t>164: Sangalli F, Bellani G, Affronti A, Volpi F, Feri M, Marini M, Quacquarelli A, Vitale D, Guarracino F. Levosimendan to facilitate weaning from cardiorespiratory support in critically ill patients: current evidence and future directions. Minerva Anestesiol. 2020 Jun;86(6):645-651. doi:10.23736/S0375-9393.20.14219-6. Epub 2020 Jan 30. PMID: 32013333.</t>
  </si>
  <si>
    <t>162: Tritapepe L. Does levosimendan improve weaning outcome? It does much more. Minerva Anestesiol. 2020 Jun;86(6):589-591. doi: 10.23736/S0375-9393.20.14462-6. Epub 2020 Mar 6. PMID: 32154688.</t>
  </si>
  <si>
    <t>161: Wang YB, Yu YH, Gong SJ, Yan J, Wang Y. [Efficacy and safety of levosimendan in elderly patients with severe heart failure]. Zhonghua Nei Ke Za Zhi. 2020 Jun 1;59(6):433-438. Chinese. doi: 10.3760/cma.j.cn112138-20190827-00587. PMID: 32486583.</t>
  </si>
  <si>
    <t>159: Ospina-Tascón GA, Calderón-Tapia LE. Inodilators in septic shock: should these be used? Ann Transl Med. 2020 Jun;8(12):796. doi: 10.21037/atm.2020.04.43. PMID: 32647721; PMCID: PMC7333155.</t>
  </si>
  <si>
    <t>158: Li LL, Wei L, Zhang N, Wei WY, Hu C, Deng W, Tang QZ. Levosimendan Protects against Doxorubicin-Induced Cardiotoxicity by Regulating the PTEN/Akt Pathway. Biomed Res Int. 2020 Jun 7;2020:8593617. doi: 10.1155/2020/8593617. PMID: 32596387; PMCID: PMC7298255.</t>
  </si>
  <si>
    <t>157: Wang CH, Chang WT, Tsai MS, Huang CH, Chen WJ. Synergistic Effects of Moderate Therapeutic Hypothermia and Levosimendan on Cardiac Function and Survival After Asphyxia-Induced Cardiac Arrest in Rats. J Am Heart Assoc. 2020 Jun 16;9(12):e016139. doi: 10.1161/JAHA.120.016139. Epub 2020 Jun 1. PMID: 32476598; PMCID: PMC7429058.</t>
  </si>
  <si>
    <t>155: Karami M, Hemradj VV, Ouweneel DM, den Uil CA, Limpens J, Otterspoor LC, Vlaar AP, Lagrand WK, Henriques JPS. Vasopressors and Inotropes in Acute Myocardial Infarction Related Cardiogenic Shock: A Systematic Review and Meta-Analysis. J Clin Med. 2020 Jun 30;9(7):2051. doi: 10.3390/jcm9072051. PMID: 32629772; PMCID: PMC7408805.</t>
  </si>
  <si>
    <t>154: Kurdi M, Pollesello P, Booz GW. Levosimendan Comes of Age: 20 Years of Clinical Use. J Cardiovasc Pharmacol. 2020 Jul;76(1):1-3. doi:10.1097/FJC.0000000000000850. PMID: 32433361.</t>
  </si>
  <si>
    <t>156: Koutsoukis A, Fard D, Gallet R, Boukantar M, Teiger E, Nguyen A, Huguet R, Lim P. MitraClip Implantation for Functional Mitral Regurgitation With Coaptation Gap Facilitated by Levosimendan Treatment. JACC Case Rep. 2020 Jun 17;2(6):862-865. doi: 10.1016/j.jaccas.2020.04.017. PMID: 34317368; PMCID: PMC8302007.</t>
  </si>
  <si>
    <t>80: Kumar D, Yadava OP, Ahlawat V, Kundu A, Yadav A, Prakash A. Pre-bypass levosimendan in ventricular dysfunction-effect on right ventricle. Asian Cardiovasc Thorac Ann. 2021 May;29(4):260-267. doi: 10.1177/0218492320972891. Epub 2020 Nov 3. PMID: 33143432.</t>
  </si>
  <si>
    <t>81: Torregroza C, Yueksel B, Ruske R, Stroethoff M, Raupach A, Heinen A, Hollmann MW, Huhn R, Feige K. Combination of Cyclosporine A and Levosimendan Induces Cardioprotection under Acute Hyperglycemia. Int J Mol Sci. 2021 Apr 26;22(9):4517. doi: 10.3390/ijms22094517. PMID: 33926009; PMCID: PMC8123582.</t>
  </si>
  <si>
    <t>82: Andrade J, Freitas A, Costa S, Baptista R. Acute heart failure: on the track of a rare disease. BMJ Case Rep. 2021 Apr 14;14(4):e239550. doi: 10.1136/bcr-2020-239550. PMID: 33853814; PMCID: PMC8054047.</t>
  </si>
  <si>
    <t>83: Liu K, Wang H, Yu SJ, Tu GW, Luo Z. Inhaled pulmonary vasodilators: a narrative review. Ann Transl Med. 2021 Apr;9(7):597. doi: 10.21037/atm-20-4895. PMID: 33987295; PMCID: PMC8105872.</t>
  </si>
  <si>
    <t>79: Cotinet PA, Bizouarn P, Roux F, Rozec B. Management of cardiogenic shock by circulatory support during reverse Tako-Tsubo following amphetamine exposure: A report of two cases. Heart Lung. 2021 May-Jun;50(3):465-469. doi:10.1016/j.hrtlng.2020.10.007. Epub 2020 Nov 24. PMID: 33243478.</t>
  </si>
  <si>
    <t>78: Burkhoff D, Borlaug BA, Shah SJ, Zolty R, Tedford RJ, Thenappan T, Zamanian RT, Mazurek JA, Rich JD, Simon MA, Chung ES, Raza F, Majure DT, Lewis GD, Preston IR, Rich S. Levosimendan Improves Hemodynamics and Exercise Tolerance in PH-HFpEF: Results of the Randomized Placebo-Controlled HELP Trial. JACC Heart Fail. 2021 May;9(5):360-370. doi: 10.1016/j.jchf.2021.01.015. Epub 2021 Apr 7. PMID: 33839076.</t>
  </si>
  <si>
    <t>77: Immohr MB, Akhyari P, Boettger C, Erbel S, Westenfeld R, Scheiber D, Tudorache I, Aubin H, Lichtenberg A, Boeken U. Levosimendan for Treatment of Primary Graft Dysfunction After Heart Transplantation: Optimal Timing of Application. Exp Clin Transplant. 2021 May;19(5):473-480. doi:10.6002/ect.2020.0342. Epub 2021 Apr 16. PMID: 33877035.</t>
  </si>
  <si>
    <t>76: Ravi Kiran G, RajKumar C, Chandrasekhar P. Clinical and echocardiographic predictors of outcomes in patients with peripartum cardiomyopathy: A single centre, six month follow-up study. Indian Heart J. 2021 May-Jun;73(3):319-324. doi: 10.1016/j.ihj.2021.01.009. Epub 2021 Jan 6. PMID: 34154749; PMCID: PMC8322746.</t>
  </si>
  <si>
    <t>75: John B, Babu M, Shaji S, Abraham S, Abdullakutty J. Clinical outcomes of levosimendan versus dobutamine in patients with acute decompensated heart failure with reduced ejection fraction and impaired renal function. Indian Heart J. 2021 May-Jun;73(3):372-375. doi: 10.1016/j.ihj.2021.02.010. Epub 2021 Feb 17. PMID: 34154760; PMCID: PMC8322823.</t>
  </si>
  <si>
    <t>73: Häberle HA. Zwanzig Jahre Levosimendan [Levosimendan - a 20-Year Experience]. Anasthesiol Intensivmed Notfallmed Schmerzther. 2021 Jun;56(6):414-426. German. doi: 10.1055/a-1214-4485. Epub 2021 Jun 29. PMID: 34187074</t>
  </si>
  <si>
    <t>72: Egedal JM, Carter-Storch R, Støving RK. [Takotsubo cardiomyopathy as a result of refeeding syndrome in a patient with anorexia nervosa]. Ugeskr Laeger. 2021 Jun 7;183(23):V01210093. Danish. PMID: 34120682.</t>
  </si>
  <si>
    <t>70: Tholén M, Ricksten SE, Lannemyr L. Effects of levosimendan on renal blood flow and glomerular filtration in patients with acute kidney injury after cardiac surgery: a double blind, randomized placebo-controlled study. Crit Care. 2021 Jun 12;25(1):207. doi: 10.1186/s13054-021-03628-z. PMID: 34118980; PMCID: PMC8199833.</t>
  </si>
  <si>
    <t>71: Brennan CA, Osei-Bonsu P, McClenaghan RE, Nassar A, Forget P, Kaye C, Ramsay G. Vasoactive agents in acute mesenteric ischaemia in critical care.  A systematic review. F1000Res. 2021 Jun 8;10:453. doi: 10.12688/f1000research.52782.2. PMID: 34621507; PMCID: PMC8459625.</t>
  </si>
  <si>
    <t>69: Jaguszewski MJ, Gasecka A, Filipiak KJ, Szarpak L. Levosimendan or dobutamine in patients with low cardiac output syndrome: Results from meta-analysis. Int J Cardiol. 2021 Jun 15;333:145. doi: 10.1016/j.ijcard.2021.02.050. Epub 2021 Feb 24. PMID: 33639185.</t>
  </si>
  <si>
    <t>68: Keskin G, Uysal A, Erturk E, Hafız E, Dogan OF. Urgent Percutaneous Coronary Artery Intervention and Coronary Artery Bypass Grafting in STEMI Patients with Confirmed COVID-19. Heart Surg Forum. 2021 Jun 23;24(3):E564-E574. doi:10.1532/hsf.3567. PMID: 34173766.</t>
  </si>
  <si>
    <t>67: Alonso-Fernandez-Gatta M, Merchan-Gomez S, Gonzalez-Cebrian M, Diego-Nieto A, Alzola E, Toranzo-Nieto I, Barrio A, Martin-Herrero F, Sanchez PL. Levosimendan in veno-arterial extracorporeal membrane oxygenator supported patients: Impact on the success of weaning and survival. Artif Organs. 2021 Jul;45(7):717-725. doi: 10.1111/aor.13899. Epub 2021 Feb 20. PMID: 33377185.</t>
  </si>
  <si>
    <t>66: Schroeder L, Gries K, Ebach F, Mueller A, Kipfmueller F. Exploratory Assessment of Levosimendan in Infants With Congenital Diaphragmatic Hernia. Pediatr Crit Care Med. 2021 Jul 1;22(7):e382-e390. doi:10.1097/PCC.0000000000002665. PMID: 33591071.</t>
  </si>
  <si>
    <t>65: Thorlacius EM, Vistnes M, Ojala T, Keski-Nisula J, Molin M, Romlin BS, Synnergren M, Ricksten SE, Wåhlander H, Castellheim A. Levosimendan Versus Milrinone and Release of Myocardial Biomarkers After Pediatric Cardiac Surgery: Post Hoc Analysis of Clinical Trial Data. Pediatr Crit Care Med. 2021 Jul 1;22(7):e402-e409. doi: 10.1097/PCC.0000000000002712. PMID: 33739957.</t>
  </si>
  <si>
    <t>74: Long YX, Cui DY, Kuang X, Hu S, Hu Y, Liu ZZ. Effect of Levosimendan on Ventricular Systolic and Diastolic Functions in Heart Failure Patients: A Meta-Analysis of Randomized Controlled Trials. J Cardiovasc Pharmacol. 2021 Jun 1;77(6):805-813. doi: 10.1097/FJC.0000000000001010. PMID: 34001722.</t>
  </si>
  <si>
    <t>86: Heringlake M, Alvarez J, Bettex D, Bouchez S, Fruhwald S, Girardis M, Grossini E, Guarracino F, Herpain A, Toller W, Tritapepe L, Pollesello P. An update on levosimendan in acute cardiac care: applications and recommendations for optimal efficacy and safety. Expert Rev Cardiovasc Ther. 2021 Apr;19(4):325-335. doi: 10.1080/14779072.2021.1905520. Epub 2021 Apr 2. PMID: 33739204</t>
  </si>
  <si>
    <t>108: Sanfilippo F, La Via L, Merola F, Astuto M. Mortality reduction with levosimendan in patients with heart failure: Current evidence is underpowered. Cardiol J. 2021;28(5):798-799. doi: 10.5603/CJ.a2021.0078. Epub 2021 Jul 9. PMID: 34240399; PMCID: PMC8428938.</t>
  </si>
  <si>
    <t>109: Diolez P, Deschodt-Arsac V, Calmettes G, Gouspillou G, Arsac L, Jais P, Haissaguerre M, Dos Santos P. Integrative Methods for Studying Cardiac Energetics. Methods Mol Biol. 2021;2277:405-421. doi:10.1007/978-1-0716-1270-5_25. PMID: 34080165.</t>
  </si>
  <si>
    <t>110: Jaguszewski MJ, Gasecka A, Targonski R, Filipiak KJ, Szarpak L. Efficacy and safety of levosimendan and dobutamine in heart failure: A systematic review and meta-analysis. Cardiol J. 2021;28(3):492-493. doi: 10.5603/CJ.a2021.0037. Epub 2021 Apr 12. PMID: 33843036; PMCID: PMC8169199.</t>
  </si>
  <si>
    <t>114: Bernier TD, Buckley LF. Cardiac Myosin Activation for the Treatment of Systolic Heart Failure. J Cardiovasc Pharmacol. 2021 Jan 1;77(1):4-10. doi:10.1097/FJC.0000000000000929. PMID: 33165138; PMCID: PMC7779665.</t>
  </si>
  <si>
    <t>113: Wawrzyniak M, Migaj J, Straburzyńska-Migaj E, Dudek M, Kałużna-Oleksy M. Repetitive use of levosimendan in clinical practice: a case series. Cardiovasc J Afr. 2021 Nov-Dec 23;32(6):339-342. doi: 10.5830/CVJA-2020-058. Epub 2021 Jan 15. PMID: 33496720; PMCID: PMC8756010.</t>
  </si>
  <si>
    <t>147: Liao X, Qian L, Zhang S, Chen X, Lei J. Network Meta-Analysis of the Safety of Drug Therapy for Cardiogenic Shock. J Healthc Eng. 2020 Jul 31;2020:8862256. doi: 10.1155/2020/8862256. PMID: 32802302; PMCID: PMC7416258.</t>
  </si>
  <si>
    <t>146: Weber C, Esser M, Eghbalzadeh K, Sabashnikov A, Djordjevic I, Maier J, Merkle J, Choi YH, Madershahian N, Liakopoulos O, Deppe AC, Wahlers TCW. Levosimendan Reduces Mortality and Low Cardiac Output Syndrome in Cardiac Surgery. Thorac Cardiovasc Surg. 2020 Aug;68(5):401-409. doi:10.1055/s-0039-3400496. Epub 2019 Nov 26. PMID: 31770777.</t>
  </si>
  <si>
    <t>145: Thorlacius EM, Wåhlander H, Ojala T, Ylänen K, Keski-Nisula J, Synnergren M, Romlin BS, Ricksten SE, Castellheim A. Levosimendan Versus Milrinone for Inotropic Support in Pediatric Cardiac Surgery: Results From a Randomized Trial. J Cardiothorac Vasc Anesth. 2020 Aug;34(8):2072-2080. doi:10.1053/j.jvca.2020.02.027. Epub 2020 Feb 24. PMID: 32201198.</t>
  </si>
  <si>
    <t>148: Guilherme E, Jacquet-Lagrèze M, Pozzi M, Achana F, Armoiry X, Fellahi JL. Can levosimendan reduce ECMO weaning failure in cardiogenic shock?: a cohort study with propensity score analysis. Crit Care. 2020 Jul 16;24(1):442. doi:10.1186/s13054-020-03122-y. Erratum in: Crit Care. 2020 Aug 5;24(1):487. doi:10.1186/s13054-020-03213-w. PMID: 32677985; PMCID: PMC7367381.</t>
  </si>
  <si>
    <t>149: Mauriat P, Bojan M, Soulie S, Foulgoc H, Tafer N, Ouattara A. Impact of the perioperative inotropic support in grown-up congenital heart patients undergoing cardiac surgery: a propensity score adjusted analysis. Ann Intensive Care. 2020 Jul 9;10(1):91. doi: 10.1186/s13613-020-00709-0. PMID: 32648069; PMCID: PMC7344035.</t>
  </si>
  <si>
    <t>168: Jiménez-Rivera JJ, Álvarez-Castillo A, Ferrer-Rodríguez J, Iribarren-Sarrías JL, García-González MJ, Jorge-Pérez P, Lacalzada-Almeida J, Pérez-Hernández R, Montoto-López J, Martínez-Sanz R. Preconditioning with levosimendan reduces postoperative low cardiac output in moderate-severe systolic dysfunction patients who will undergo elective coronary artery bypass graft surgery: a cost-effective strategy. J Cardiothorac Surg. 2020 May 24;15(1):108. doi:10.1186/s13019-020-01140-z. PMID: 32448319; PMCID: PMC7245898.</t>
  </si>
  <si>
    <t>167: van Diepen S, Mehta RH, Leimberger JD, Goodman SG, Fremes S, Jankowich R, Heringlake M, Anstrom KJ, Levy JH, Luber J, Nagpal AD, Duncan AE, Argenziano M, Toller W, Teoh K, Knight JD, Lopes RD, Cowper PA, Mark DB, Alexander JH. Levosimendan in patients with reduced left ventricular function undergoing isolated coronary or valve surgery. J Thorac Cardiovasc Surg. 2020 Jun;159(6):2302-2309.e6. doi: 10.1016/j.jtcvs.2019.06.020. Epub 2019 Jun 21. PMID: 31358329.</t>
  </si>
  <si>
    <t>150: Papp Z, Agostoni P, Alvarez J, Bettex D, Bouchez S, Brito D, Černý V, Comin-Colet J, Crespo-Leiro MG, Delgado JF, Édes I, Eremenko AA, Farmakis D, Fedele F, Fonseca C, Fruhwald S, Girardis M, Guarracino F, Harjola VP, Heringlake M, Herpain A, Heunks LM, Husebye T, Ivancan V, Karason K, Kaul S, Kivikko M, Kubica J, Masip J, Matskeplishvili S, Mebazaa A, Nieminen MS, Oliva F, Papp JG, Parissis J, Parkhomenko A, Põder P, Pölzl G, Reinecke A, Ricksten SE, Riha H, Rudiger A, Sarapohja T, Schwinger RH, Toller W, Tritapepe L, Tschöpe C, Wikström G, von Lewinski D, Vrtovec B, Pollesello P. Levosimendan Efficacy and Safety: 20 years of SIMDAX in Clinical Use. Card Fail Rev. 2020 Jul 8;6:e19. doi: 10.15420/cfr.2020.03. PMID: 32714567; PMCID: PMC7374352.</t>
  </si>
  <si>
    <t>151: de Jongh FHC, de Vries HJ, Warnaar RSP, Oppersma E, Verdaasdonk R, Heunks LMA, Doorduin J. Ventilating two patients with one ventilator: technical setup and laboratory testing. ERJ Open Res. 2020 Jul 6;6(2):00256-2020. doi:10.1183/23120541.00256-2020. PMID: 32665947; PMCID: PMC7335837.</t>
  </si>
  <si>
    <t>143: Staudt GE, Eagle SS. A Tale of 2 Inodilators: Much Ado About Nothing? J Cardiothorac Vasc Anesth. 2020 Aug;34(8):2081-2082. doi:10.1053/j.jvca.2020.04.005. Epub 2020 Apr 18. PMID: 32439191.</t>
  </si>
  <si>
    <t>142: Visco V, Esposito C, Vitillo P, Vecchione C, Ciccarelli M. It is easy to see, but it is better to foresee: a case report on the favourable alliance between CardioMEMS and levosimendan. Eur Heart J Case Rep. 2020 Jun 30;4(4):1-5. doi: 10.1093/ehjcr/ytaa205. PMID: 32974431; PMCID: PMC7501887.</t>
  </si>
  <si>
    <t>139: Tycińska A, Gierlotka M, Bugajski J, Deja M, Depukat R, Gruchała M, Grześk G, Kasprzak JD, Kubica J, Kucewicz-Czech E, Leszek P, Płonka J, Sobkowicz B, Straburzyńska-Migaj E, Wilk K, Zawiślak B, Zymliński R, Stępińska J. Levosimendan in the treatment of patients with acute cardiac conditions: an expert opinion of the Association of Intensive Cardiac Care of the Polish Cardiac Society. Kardiol Pol. 2020 Aug 25;78(7-8):825-834. doi:10.33963/KP.15551. Epub 2020 Aug 12. PMID: 32788567.</t>
  </si>
  <si>
    <t>140: Wang H, Luo Q, Li Y, Zhang L, Wu X, Yan F. Effect of Prophylactic Levosimendan on All-Cause Mortality in Pediatric Patients Undergoing Cardiac Surgery-An Updated Systematic Review and Meta-Analysis. Front Pediatr. 2020 Aug 14;8:456. doi: 10.3389/fped.2020.00456. PMID: 32923414; PMCID: PMC7456871.</t>
  </si>
  <si>
    <t>141: Guilherme E, Jacquet-Lagrèze M, Pozzi M, Achana F, Armoiry X, Fellahi JL. Correction to: Can levosimendan reduce ECMO weaning failure in cardiogenic shock?: a cohort study with propensity score analysis. Crit Care. 2020 Aug 5;24(1):487. doi: 10.1186/s13054-020-03213-w. Erratum for: Crit Care. 2020 Jul 16;24(1):442. doi: 10.1186/s13054-020-03122-y. PMID: 32758275; PMCID: PMC7409465.</t>
  </si>
  <si>
    <t>136: Burgos LM, Seoane L, Furmento JF, Costabel JP, Diez M, Vrancic M, Aissaoui N, Benzadón MN, Navia D. Effects of levosimendan on weaning and survival in adult cardiogenic shock patients with veno-arterial extracorporeal membrane oxygenation: systematic review and meta-analysis. Perfusion. 2020 Sep;35(6):484-491. doi: 10.1177/0267659120918473. Epub 2020 May 24. PMID: 32449494</t>
  </si>
  <si>
    <t>131: Aimo A, Rapezzi C, Arzilli C, Vergaro G, Emdin M. Safety and efficacy of levosimendan in patients with cardiac amyloidosis. Eur J Intern Med. 2020 Oct;80:114-116. doi: 10.1016/j.ejim.2020.06.037. Epub 2020 Jul 3. PMID: 32631802</t>
  </si>
  <si>
    <t>125: Masarone D, Valente F, Verrengia M, Ammendola E, Gravino R, D'Alterio G, Petraio A, Pacileo G. Efficacy and safety of repeated infusion of levosimendan in outpatients with advanced heart failure: a real-world experience. J Cardiovasc Med (Hagerstown). 2020 Nov;21(11):919-921. doi:10.2459/JCM.0000000000000983. PMID: 33017124.</t>
  </si>
  <si>
    <t>94: Abril-Molina A, Gómez-Luque JM, Perin F, Esteban-Molina M, Ferreiro-Marzal A, Fernandez-Guerrero C, Ocete-Hita E. Effect of Preoperative Infusion of Levosimendan on Biomarkers of Myocardial Injury and Haemodynamics After Paediatric Cardiac Surgery: A Randomised Controlled Trial. Drugs R D. 2021 Mar;21(1):79-89. doi: 10.1007/s40268-020-00332-1. Epub 2020 Dec 24. PMID: 33367965; PMCID: PMC7937581.</t>
  </si>
  <si>
    <t>96: Woehrle T, Mehringer L, Juchem G, Dashkevich A, Weis M, Schünemann M, Kilger E. Individualisierter Einsatz von Levosimendan in der Herzchirurgie [Individualized use of levosimendan in cardiac surgery]. Anaesthesist. 2021 Mar;70(3):204-212. German. doi: 10.1007/s00101-020-00860-0. Epub 2020 Oct 1. PMID: 33001236.</t>
  </si>
  <si>
    <t>90: Caniato F, Andrei V, Bernardo P, Agostini C, Cappelli F, Stefano PL, Olivotto I, Pieroni M, Bolognese L, Di Mario C. Cardiogenic Shock in Obstructive Hypertrophic Cardiomyopathy Plus Apical Ballooning: Management With VA-ECMO and Myectomy. JACC Case Rep. 2021 Mar 17;3(3):433-437. doi:10.1016/j.jaccas.2020.11.029. PMID: 34317552; PMCID: PMC8311032.</t>
  </si>
  <si>
    <t>88: Ravikumar N, Sayed MA, Poonsuph CJ, Sehgal R, Shirke MM, Harky A. Septic Cardiomyopathy: From Basics to Management Choices. Curr Probl Cardiol. 2021 Apr;46(4):100767. doi: 10.1016/j.cpcardiol.2020.100767. Epub 2020 Dec 11. PMID: 33388489</t>
  </si>
  <si>
    <t>64: Demirgan S, Akyol O, Temel Z, Şengelen A, Pekmez M, Ulaş O, Sevdi MS, Erkalp K, Selcan A. Intranasal levosimendan prevents cognitive dysfunction and apoptotic response induced by repeated isoflurane exposure in newborn rats. Naunyn Schmiedebergs Arch Pharmacol. 2021 Jul;394(7):1553-1567. doi:10.1007/s00210-021-02077-3. Epub 2021 Mar 27. PMID: 33772342.</t>
  </si>
  <si>
    <t>63: Lyhne MD, Dragsbaek SJ, Hansen JV, Schultz JG, Andersen A, Nielsen-Kudsk JE. Levosimendan, milrinone, and dobutamine in experimental acute pulmonary embolism. Pulm Circ. 2021 Jun 14;11(3):20458940211022977. doi:10.1177/20458940211022977. PMID: 34178307; PMCID: PMC8207288.</t>
  </si>
  <si>
    <t>61: Shankar-Hari M, Santhakumaran S, Prevost AT, Ward JK, Marshall T, Bradley C, Calfee CS, Delucchi KL, Sinha P, Matthay MA, Hackett J, McDowell C, Laffey JG, Gordon A, O’Kane CM, McAuley DF. Defining phenotypes and treatment effect heterogeneity to inform acute respiratory distress syndrome and sepsis trials: secondary analyses of three RCTs. Southampton (UK): NIHR Journals Library; 2021 Jul. PMID: 34347404.</t>
  </si>
  <si>
    <t>62: Suakıtıcı S, Güven BB, Tanoglu A, Özkan S. A combination of levosimendan and N-Acetylcysteine shows significant favorable efficacy on experimental liver ischemia/reperfusion injury. Ulus Travma Acil Cerrahi Derg. 2021 Jul;27(4):381-388. English. doi: 10.14744/tjtes.2020.81782. PMID: 34213003.</t>
  </si>
  <si>
    <t>87: Tavares-Silva M, Saraiva F, Pinto R, Amorim S, Silva JC, Leite-Moreira AF, Maciel MJ, Lourenço AP. Comparison of levosimendan, NO, and inhaled iloprost for pulmonary hypertension reversibility assessment in heart transplant candidates. ESC Heart Fail. 2021 Apr;8(2):908-917. doi: 10.1002/ehf2.13168. Epub 2021 Feb 23. PMID: 33621427; PMCID: PMC8006659.</t>
  </si>
  <si>
    <t>85: Jothinath K, Balakrishnan S, Raju V, Menon S, Osborn J. Clinical efficacy of levosimendan vs milrinone in preventing low cardiac output syndrome following pediatric cardiac surgery. Ann Card Anaesth. 2021 Apr-Jun;24(2):217-223. doi:10.4103/aca.ACA_160_19. PMID: 33884979; PMCID: PMC8253017.</t>
  </si>
  <si>
    <t>84: Camilli M, Ciampi P, Pedicino D, D'Aiello A, Mazza A, Montone RA, Sanna T, Rebuzzi AG, Massetti M, Crea F, Liuzzo G. Use of Levosimendan as bridge therapy to surgical correction of post-infarction ventricular septal defect: a case report. Eur Rev Med Pharmacol Sci. 2021 Apr;25(8):3296-3299. doi:10.26355/eurrev_202104_25739. PMID: 33928617.</t>
  </si>
  <si>
    <t>102: Maiello C, Cacciatore F, Amarelli C, Palmieri V, Golino P. Repetitive levosimendan in outpatients affected by advanced heart failure: the need for a uniform approach. J Cardiovasc Med (Hagerstown). 2021 Feb 1;22(2):149. doi:10.2459/JCM.0000000000001090. PMID: 32858638.</t>
  </si>
  <si>
    <t>101: Masarone D, Pacileo G. Repeated infusion of levosimendan in outpatients with advanced heart failure: to cure sometimes, to relieve often, and to comfort always. J Cardiovasc Med (Hagerstown). 2021 Feb 1;22(2):150. doi:10.2459/JCM.0000000000001100. PMID: 32858644.</t>
  </si>
  <si>
    <t>130: Mazurak M, Cześniewicz P, Kusa J. Levosimendan as a bridge to heart transplant in a 16-year-old patient with univentricular heart. Cardiol Young. 2020 Oct;30(10):1504-1506. doi: 10.1017/S104795112000219X. Epub 2020 Jul 23. PMID: 32698938.</t>
  </si>
  <si>
    <t>133: Cappellini I, Melai A, Zamidei L, Parise M, Cipani S, Consales G. Levosimendan and Global Longitudinal Strain Assessment in Sepsis (GLASSES 1): a study protocol for an observational study. BMJ Open. 2020 Sep 25;10(9):e037188. doi: 10.1136/bmjopen-2020-037188. PMID: 32978191; PMCID: PMC7520838.</t>
  </si>
  <si>
    <t>175: Ponz de Antonio I, de Juan Bagudá JS, Rodríguez Chaverri A, García-Cosío Carmena MD, Arribas Ynsaurriaga F, Delgado Jiménez JF. Levosimendan as bridge to transplant in patients with advanced heart failure. Rev Esp Cardiol (Engl Ed). 2020 May;73(5):422-424. English, Spanish. doi: 10.1016/j.rec.2019.10.026. Epub 2020 Feb 13. PMID: 32061565.</t>
  </si>
  <si>
    <t>174: Dobarro D, Ribera-Solé A. Ambulatory levosimendan infusions. Effective and efficient in advanced heart failure? Rev Esp Cardiol (Engl Ed). 2020 May;73(5):345-347. English, Spanish. doi: 10.1016/j.rec.2020.02.001. Epub 2020 Feb 24. PMID: 32107145.</t>
  </si>
  <si>
    <t>173: Rysz S, Lundberg J, Nordberg P, Eriksson H, Wieslander B, Lundin M, Fyrdahl A, Pernow J, Ugander M, Djärv T, Jonsson Fagerlund M. The effect of levosimendan on survival and cardiac performance in an ischemic cardiac arrest model - A blinded randomized placebo-controlled study in swine. Resuscitation. 2020 May;150:113-120. doi: 10.1016/j.resuscitation.2020.02.032. Epub 2020 Mar 28. PMID: 32234367.</t>
  </si>
  <si>
    <t>172: Guarracino F, Zima E, Pollesello P, Masip J. Short-term treatments for acute cardiac care: inotropes and inodilators. Eur Heart J Suppl. 2020 May;22(Suppl D):D3-D11. doi: 10.1093/eurheartj/suaa090. Epub 2020 May 15. PMID: 32431568; PMCID: PMC7225903.</t>
  </si>
  <si>
    <t>171: Zima E, Farmakis D, Pollesello P, Parissis JT. Differential effects of inotropes and inodilators on renal function in acute cardiac care. Eur Heart J Suppl. 2020 May;22(Suppl D):D12-D19. doi: 10.1093/eurheartj/suaa091. Epub 2020 May 15. PMID: 32431569; PMCID: PMC7225871.</t>
  </si>
  <si>
    <t>170: Mamalyga ML, Mamalyga LM. Experimental Study of Heart Functionality during Treatment of Chronic Heart Failure in Rats of Different Age Groups with Levosimendan (Experimental Study). Bull Exp Biol Med. 2020 May;169(1):18-23. doi: 10.1007/s10517-020-04815-8. Epub 2020 May 31. PMID: 32474670.</t>
  </si>
  <si>
    <t>169: Rieg AD, Suleiman S, Bünting NA, Verjans E, Spillner J, Schnöring H, Kalverkamp S, Schröder T, von Stillfried S, Braunschweig T, Schälte G, Uhlig S, Martin C. Levosimendan reduces segmental pulmonary vascular resistance in isolated perfused rat lungs and relaxes human pulmonary vessels. PLoS One. 2020 May 18;15(5):e0233176. doi: 10.1371/journal.pone.0233176. PMID: 32421724; PMCID: PMC7233573.</t>
  </si>
  <si>
    <t>166: Whitson BA, Essandoh M. Commentary: The personalized medicine of cardiothoracic surgery: Delving into subpopulations identifies the right therapy for the right patients. J Thorac Cardiovasc Surg. 2020 Jun;159(6):2310-2311. doi: 10.1016/j.jtcvs.2019.07.076. Epub 2019 Aug 22. PMID: 31604639.</t>
  </si>
  <si>
    <t>160: Cranley J, Hardiman A, Freeman LJ. Pulsed Levosimendan in advanced heart failure due to congenital heart disease: a case series. Eur Heart J Case Rep. 2020 May 1;4(3):1-6. doi: 10.1093/ehjcr/ytaa080. PMID: 32617515; PMCID: PMC7319860.</t>
  </si>
  <si>
    <t>153: Cui XR, Yang XH, Li RB, Wang D, Jia M, Bai L, Zhang JD. Short-term efficacy and safety of levosimendan in patients with chronic systolic heart failure. Cardiovasc J Afr. 2020 Jul/Aug;31(4):196-200. doi: 10.5830/CVJA-2020-008. Epub 2020 Jun 12. PMID: 32555927; PMCID: PMC8762782.</t>
  </si>
  <si>
    <t>138: Guerrero-Orriach JL, Malo-Manso A, Ramirez-Aliaga M, Florez Vela AI, Galán-Ortega M, Moreno-Cortes I, Gonzalez-Almendros I, Ramirez-Fernandez A, Ariza-Villanueva D, Escalona-Belmonte JJ, Quesada-Muñoz G, Sepúlveda-Haro E, Romero-Molina S, Bellido-Estevez I, Gomez-Luque A, Rubio-Navarro M, Alcaide-Torres J, Santiago-Fernandez C, Garrido-Sanchez L, Cruz-Mañas J. Renal and Neurologic Benefit of Levosimendan &lt;i&gt;vs&lt;/i&gt; Dobutamine in Patients With Low Cardiac Output Syndrome After Cardiac Surgery: Clinical Trial FIM-BGC-2014-01. Front Pharmacol. 2020 Aug 26;11:1331. doi: 10.3389/fphar.2020.01331. PMID: 32982742; PMCID: PMC7479222.</t>
  </si>
  <si>
    <t>137: Cosentino N, Niccoli G, Fracassi F, Rebuzzi A, Agostoni P, Marenzi G. Rationale, experimental data, and emerging clinical evidence on early and preventive use of levosimendan in patients with ventricular dysfunction. Eur Heart J Cardiovasc Pharmacother. 2020 Sep 1;6(5):310-316. doi:10.1093/ehjcvp/pvz065. PMID: 31688906.</t>
  </si>
  <si>
    <t>144: Zangrillo A, Lomivorotov VV, Pisano A, Calabrò MG, Belletti A, Brazzi L, Grigoryev EV, Guarracino F, Monaco F, Garofalo E, Crivellari M, Likhvantsev VV, Fominskiy EV, Paternoster G, Yavorovskiy A, Pasyuga VV, Oriani A, Lembo R, Bianchi A, Scandroglio AM, Abubakirov MN, Di Tomasso N, Landoni G; CHEETAH Study Group. Long-term outcome of perioperative low cardiac output syndrome in cardiac surgery: 1-year results of a multicenter randomized trial. J Crit Care. 2020 Aug;58:89-95. doi: 10.1016/j.jcrc.2020.04.005. Epub 2020 Apr 17. PMID: 32402931.</t>
  </si>
  <si>
    <t>92: Schauer A, Barthel P, Adams V, Linke A, Poitz DM, Weinbrenner C. Pharmacological Pre- and Postconditioning With Levosimendan Protect H9c2 Cardiomyoblasts From Anoxia/Reoxygenation-induced Cell Death via PI3K/Akt Signaling. J Cardiovasc Pharmacol. 2021 Mar 1;77(3):378-385. doi:10.1097/FJC.0000000000000969. PMID: 33662980.</t>
  </si>
  <si>
    <t>95: Beitzke D, Gremmel F, Senn D, Laggner R, Kammerlander A, Wielandner A, Nolz R, Hülsmann M, Loewe C. Effects of Levosimendan on cardiac function, size and strain in heart failure patients. Int J Cardiovasc Imaging. 2021 Mar;37(3):1063-1071. doi: 10.1007/s10554-020-02077-z. Epub 2020 Oct 24. PMID: 33103224; PMCID: PMC7969546.</t>
  </si>
  <si>
    <t>97: Chan CC, Lee KT, Ho WJ, Chan YH, Chu PH. Levosimendan use in patients with acute heart failure and reduced ejection fraction with or without severe renal dysfunction in critical cardiac care units: a multi-institution database study. Ann Intensive Care. 2021 Feb 8;11(1):27. doi: 10.1186/s13613-021-00810-y. PMID: 33555483; PMCID: PMC7869075.</t>
  </si>
  <si>
    <t>152: Papp Z, Agostoni P, Alvarez J, Bettex D, Bouchez S, Brito D, Černý V, Comin-Colet J, Crespo-Leiro MG, Delgado JF, Édes I, Eremenko AA, Farmakis D, Fedele F, Fonseca C, Fruhwald S, Girardis M, Guarracino F, Harjola VP, Heringlake M, Herpain A, Heunks LMA, Husebye T, Ivancan V, Karason K, Kaul S, Kivikko M, Kubica J, Masip J, Matskeplishvili S, Mebazaa A, Nieminen MS, Oliva F, Papp JG, Parissis J, Parkhomenko A, Põder P, Pölzl G, Reinecke A, Ricksten SE, Riha H, Rudiger A, Sarapohja T, Schwinger RHG, Toller W, Tritapepe L, Tschöpe C, Wikström G, Lewinski DV, Vrtovec B, Pollesello P. Levosimendan Efficacy and Safety: 20 Years of SIMDAX in Clinical Use. J Cardiovasc Pharmacol. 2020 Jul;76(1):4-22. doi: 10.1097/FJC.0000000000000859. PMID: 32639325; PMCID: PMC7340234.</t>
  </si>
  <si>
    <t>134: Speer T, Fiege M, Fastner C. Das verspätete Tako-Tsubo-Syndrom – Ein kritischer perioperativer Zwischenfall [Delayed Takotsubo syndrome - A critical perioperative incident]. Dtsch Med Wochenschr. 2020 Sep;145(19):1400-1404. German. doi: 10.1055/a-1185-7007. Epub 2020 Sep 24. PMID: 32971555.</t>
  </si>
  <si>
    <t>128: Al-Wahaibi K, Elfadil OM. The Use of Low-Dose Intermittent Levosimendan Infusion Therapy as Bridge-to-Left Ventricular Assist Device in Advanced Chronic Heart Failure Secondary to Isolated Cardiac Sarcoidosis. Heart Views. 2020 Oct-Dec;21(4):291-295. doi: 10.4103/HEARTVIEWS.HEARTVIEWS_85_20. Epub 2021 Jan 14. PMID: 33986931; PMCID: PMC8104322.</t>
  </si>
  <si>
    <t>127: Zalewska-Adamiec M, Chlabicz M, Kuźma Ł, Bachorzewska-Gajewska H, Dobrzycki S. Effectiveness of Levosimendan in an 84-Year-Old Patient with Takotsubo Syndrome Complicated by Acute Heart Failure. Am J Case Rep. 2020 Oct 20;21:e927081. doi: 10.12659/AJCR.927081. PMID: 33077703; PMCID: PMC7585457.</t>
  </si>
  <si>
    <t>119: Shabana A, Dholoo F, Banerjee P. Inotropic Agents and Vasopressors in the Treatment of Cardiogenic Shock. Curr Heart Fail Rep. 2020 Dec;17(6):438-448. doi: 10.1007/s11897-020-00493-9. Epub 2020 Oct 26. PMID: 33103204.</t>
  </si>
  <si>
    <t>117: Koller AK, Krebs S, Dörje F. Medication Safety in Intravenous Therapy: A Compatibility Study of Clonidine with Drugs Frequently Used in Intensive Care. Pharmaceutics. 2020 Dec 24;13(1):21. doi: 10.3390/pharmaceutics13010021. PMID: 33374362; PMCID: PMC7824220.</t>
  </si>
  <si>
    <t>115: Jawitz OK, Stebbins AS, Raman V, Alhanti B, van Diepen S, Heringlake M, Fremes S, Whitlock R, Meyer SR, Mehta RH, Stafford-Smith M, Goodman SG, Alexander JH, Lopes RD. Association between levosimendan, postoperative AKI, and mortality in cardiac surgery: Insights from the LEVO-CTS trial. Am Heart J. 2021 Jan;231:18-24. doi: 10.1016/j.ahj.2020.10.066. Epub 2020 Oct 28. PMID: 33127531; PMCID: PMC7755750.</t>
  </si>
  <si>
    <t>112: Díaz N. American Heart Association (AHA) Scientific Sessions 2020 (November 13-17, 2020 - Virtual Meeting). Drugs Today (Barc). 2021 Jan;57(1):61-67. doi:10.1358/dot.2021.57.1.3261863. PMID: 33594390.</t>
  </si>
  <si>
    <t>111: Glinka L, Mayzner-Zawadzka E, Onichimowski D, Jalali R, Glinka M. Levosimendan in the modern treatment of patients with acute heart failure of various aetiologies. Arch Med Sci. 2019 Nov 7;17(2):296-303. doi: 10.5114/aoms.2018.77055. PMID: 33747264; PMCID: PMC7959091.</t>
  </si>
  <si>
    <t>107: Rola P, Włodarczak A, Jastrzębski A, Barycki M, Turkiewicz K, Kulczycki JJ, Szudrowicz M, Pęcherzewski M, Doroszko A, Lesiak M. Impella protected percutaneous coronary intervention on the last remaining highly calcified coronary artery facilitated by shockwave intravascular lithotripsy and levosimendan infusion. Kardiol Pol. 2021;79(10):1145-1146. doi:10.33963/KP.a2021.0062. Epub 2021 Jul 16. PMID: 34268721.</t>
  </si>
  <si>
    <t>106: Pan KC, Shankar S, Millar J, Chiletti R, Butt W, d'Udekem Y, Namachivayam SP. Role of levosimendan in weaning children requiring veno-arterial extracorporeal membrane oxygenation after cardiac surgery. Eur J Cardiothorac Surg. 2021 Jan 4;59(1):262-268. doi: 10.1093/ejcts/ezaa275. PMID: 32910173.</t>
  </si>
  <si>
    <t>105: Santoro F, Mallardi A, Leopizzi A, Vitale E, Rawish E, Stiermaier T, Eitel I, Brunetti ND. Current Knowledge and Future Challenges in Takotsubo Syndrome: Part 2-Treatment and Prognosis. J Clin Med. 2021 Jan 26;10(3):468. doi:10.3390/jcm10030468. PMID: 33530545; PMCID: PMC7866173.</t>
  </si>
  <si>
    <t>104: Tawfik MK, Makary S, Keshawy MM. Upregulation of antioxidant nuclear factor erythroid 2-related factor 2 and its dependent genes associated with enhancing renal ischemic preconditioning renoprotection using levosimendan and cilostazol in an ischemia/reperfusion rat model. Arch Med Sci. 2021 Jan 28;17(6):1783-1796. doi: 10.5114/aoms/111373. PMID: 34900060; PMCID: PMC8641523.</t>
  </si>
  <si>
    <t>103: Scheeren TWL, Bakker J, Kaufmann T, Annane D, Asfar P, Boerma EC, Cecconi M, Chew MS, Cholley B, Cronhjort M, De Backer D, Dubin A, Dünser MW, Duranteau J, Gordon AC, Hajjar LA, Hamzaoui O, Hernandez G, Kanoore Edul V, Koster G, Landoni G, Leone M, Levy B, Martin C, Mebazaa A, Monnet X, Morelli A, Payen D, Pearse RM, Pinsky MR, Radermacher P, Reuter DA, Sakr Y, Sander M, Saugel B, Singer M, Squara P, Vieillard-Baron A, Vignon P, Vincent JL, van der Horst ICC, Vistisen ST, Teboul JL. Current use of inotropes in circulatory shock. Ann Intensive Care. 2021 Jan 29;11(1):21. doi: 10.1186/s13613-021-00806-8. PMID: 33512597; PMCID: PMC7846624.</t>
  </si>
  <si>
    <t>100: Flottmann C, Dumitrescu D, Sohns C, Rudolph V, Fox H. Addition of levosimendan to overcome acute cardiogenic shock-Paving the way for later heart transplantation-A first case report. Clin Case Rep. 2020 Dec 19;9(2):856-860. doi: 10.1002/ccr3.3672. PMID: 33598259; PMCID: PMC7869361.</t>
  </si>
  <si>
    <t>99: Robles-Mezcua A, Villaescusa-Catalán JM, Melero-Tejedor JM, García-Pinilla JM. A new approach to the treatment of advanced heart failure: a case report. Eur Heart J Case Rep. 2021 Jan 12;5(2):ytaa541. doi: 10.1093/ehjcr/ytaa541. PMID: 33738406; PMCID: PMC7954250.</t>
  </si>
  <si>
    <t>98: Voll M, Øystese KA, Høiskar E, Johansen O, Nyvold C, Norheim I, von Lueder TG, Andersen GØ. Case report: a patient with thyroid storm, refractory cardiogenic shock, and cardiac arrest treated with Lugol's iodine solution and veno-arterial extra corporal membrane oxygenation support. Eur Heart J Case Rep. 2021 Feb 4;5(2):ytab017. doi: 10.1093/ehjcr/ytab017. PMID: 33569532; PMCID: PMC7859599.</t>
  </si>
  <si>
    <t>116: Cui D, Liao Y, Li G, Chen Y. Levosimendan Can Improve the Level of B-Type Natriuretic Peptide and the Left Ventricular Ejection Fraction of Patients with Advanced Heart Failure: A Meta-analysis of Randomized Controlled Trials. Am J Cardiovasc Drugs. 2021 Jan;21(1):73-81. doi: 10.1007/s40256-020-00416-y. PMID: 32462455</t>
  </si>
  <si>
    <t>120: Cunha GJL, Rocha BML, Gomes RV, Ferraz M, Fernandes L, Morais R, Campos L, Araújo I, Fonseca C. Levosimendan with other inotropes or vasopressors: Should you combine them? Am J Emerg Med. 2020 Dec;38(12):2723-2726. doi:10.1016/j.ajem.2020.03.059. Epub 2020 Apr 1. PMID: 32278570.</t>
  </si>
  <si>
    <t>121: Håheim B, Kondratiev T, Dietrichs ES, Tveita T. Comparison Between Two Pharmacologic Strategies to Alleviate Rewarming Shock: Vasodilation vs. Inodilation. Front Med (Lausanne). 2020 Nov 12;7:566388. doi:10.3389/fmed.2020.566388. PMID: 33282886; PMCID: PMC7689197.</t>
  </si>
  <si>
    <t>122: Juguet W, Fard D, Faivre L, Koutsoukis A, Deguillard C, Mongardon N, Mekontso-Dessap A, Huguet R, Lim P. Levosimendan Plus Dobutamine in Acute Decompensated Heart Failure Refractory to Dobutamine. J Clin Med. 2020 Nov 9;9(11):3605. doi: 10.3390/jcm9113605. PMID: 33182314; PMCID: PMC7695257.</t>
  </si>
  <si>
    <t>124: Lelonek M, Stopczyńska I, Korościk E, Straburzyńska-Migaj E, Gruchała M. Multicenter experiences with levosimendan therapy and its safety in patients with decompensated advanced heart failure. Adv Clin Exp Med. 2020 Nov;29(11):1305-1312. doi: 10.17219/acem/126301. PMID: 33269816.</t>
  </si>
  <si>
    <t>123: Uhlig K, Efremov L, Tongers J, Frantz S, Mikolajczyk R, Sedding D, Schumann J. Inotropic agents and vasodilator strategies for the treatment of cardiogenic shock or low cardiac output syndrome. Cochrane Database Syst Rev. 2020 Nov 5;11(11):CD009669. doi: 10.1002/14651858.CD009669.pub4. PMID: 33152122; PMCID: PMC8094388.</t>
  </si>
  <si>
    <t>91: Chen WC, Lin MH, Chen CL, Chen YC, Chen CY, Lin YC, Hung CC. Comprehensive Comparisons among Inotropic Agents on Mortality and Risk of Renal Dysfunction in Patients Who Underwent Cardiac Surgery: A Network Meta-Analysis of Randomized Controlled Trials. J Clin Med. 2021 Mar 3;10(5):1032. doi: 10.3390/jcm10051032. PMID: 33802296; PMCID: PMC7959132.</t>
  </si>
  <si>
    <t>89: Cubas WS, Carrion-Arcela JP, Rosadio-Portilla LG, Murillo-Pérez L, Soplopuco-Palacios C, Quiroz-Sánchez F. Levosimendán y el síndrome de bajo gasto cardiaco poscardiotomía: ¿evidencia indiscutible o mera coincidencia estadística? [Levosimendan and postcardiotomy low cardiac output syndrome: indisputable evidence or mere statistical coincidence?]. Arch Peru Cardiol Cir Cardiovasc. 2021 Mar 31;2(1):74-76. Spanish. doi: 10.47487/apcyccv.v2i1.115. PMID: 37727262; PMCID: PMC10506552.</t>
  </si>
  <si>
    <t>183: Gaballah M, Penttinen K, Kreutzer J, Mäki AJ, Kallio P, Aalto-Setälä K. Cardiac Ischemia On-a-Chip: Antiarrhythmic Effect of Levosimendan on Ischemic Human-Induced Pluripotent Stem Cell-Derived Cardiomyocytes. Cells. 2022 Mar 19;11(6):1045. doi: 10.3390/cells11061045. PMID: 35326497; PMCID: PMC8947267.</t>
  </si>
  <si>
    <t>182: Li M, Zhang Y, Wan Q, Li Y, Qu T, Yuan F. Use of levosimendan combined with Shenfu injection to treat acute heart failure patients with hypotension: a prospective randomized controlled single-blind study. BMC Cardiovasc Disord. 2022 Mar 29;22(1):130. doi: 10.1186/s12872-022-02572-2. PMID: 35350988; PMCID: PMC8966164.</t>
  </si>
  <si>
    <t>181: Wanderer S, Andereggen L, Mrosek J, Kashefiolasl S, Schubert GA, Marbacher S, Konczalla J. Levosimendan as a therapeutic strategy to prevent neuroinflammation after aneurysmal subarachnoid hemorrhage? J Neurointerv Surg. 2022 Apr;14(4):408-412. doi: 10.1136/neurintsurg-2021-017504. Epub 2021 May 26. PMID: 34039684; PMCID: PMC8938656.</t>
  </si>
  <si>
    <t>180: Yeung T, Dagan M, Lankaputhra M, Cieslik L, Warner V, Leet A, Hare JL, Bergin P, Taylor AJ, Kaye DM, Patel HC. Levosimendan and Continuous Outpatient Support With Inotropes in Patients With Advanced Heart Failure: A Single-Centre Descriptive Study. J Cardiovasc Pharmacol. 2022 Apr 1;79(4):583-592. doi:10.1097/FJC.0000000000001214. PMID: 34983918.</t>
  </si>
  <si>
    <t>26: Liu DH, Ning YL, Lei YY, Chen J, Liu YY, Lin XF, Yang ZQ, Xian SX, Chen WT. Levosimendan versus dobutamine for sepsis-induced cardiac dysfunction: a systematic review and meta-analysis. Sci Rep. 2021 Oct 13;11(1):20333. doi:10.1038/s41598-021-99716-9. PMID: 34645892; PMCID: PMC8514594.</t>
  </si>
  <si>
    <t>24: Elsherbini H, Soliman O, Zijderhand C, Lenzen M, Hoeks SE, Kaddoura R, Izham M, Alkhulaifi A, Omar AS, Caliskan K. Correction to: Intermittent levosimendan infusion in ambulatory patients with end-stage heart failure: a systematic review and meta-analysis of 984 patients. Heart Fail Rev. 2021 Nov;26(6):1525. doi: 10.1007/s10741-021-10130-9. Epub 2021 Jun 21. Erratum for: Heart Fail Rev. 2022 Mar;27(2):493-505. doi: 10.1007/s10741-021-10101-0. PMID: 34151396; PMCID: PMC8510980.</t>
  </si>
  <si>
    <t>11: Hu Y, Wei Z, Zhang C, Lu C, Zeng Z. The effect of levosimendan on right ventricular function in patients with heart dysfunction: a systematic review and meta-analysis. Sci Rep. 2021 Dec 16;11(1):24097. doi: 10.1038/s41598-021-03317-5. PMID: 34916560; PMCID: PMC8677770.</t>
  </si>
  <si>
    <t>159: Lin G, Dong B, Li Y, Huang W. Diagnostic value of cardiac magnetic resonance imaging for myocardial fibrosis in patients with heart failure and its predictive value for prognosis. Am J Transl Res. 2022 Jul 15;14(7):4657-4665. PMID: 35958487; PMCID: PMC9360878.</t>
  </si>
  <si>
    <t>131: Fernando SM, Mathew R, Sadeghirad B, Brodie D, Belley-Côté EP, Thiele H, van Diepen S, Fan E, Di Santo P, Simard T, Russo JJ, Tran A, Lévy B, Combes A, Hibbert B, Rochwerg B. Inotropes, vasopressors, and mechanical circulatory support for treatment of cardiogenic shock complicating myocardial infarction: a systematic review and network meta-analysis. Can J Anaesth. 2022 Dec;69(12):1537-1553. English. doi: 10.1007/s12630-022-02337-7. Epub 2022 Oct 4. PMID: 36195825.</t>
  </si>
  <si>
    <t>126: Mujkanovic J, Qayyum AA. Review of Randomized Controlled Trials in Patients with Peripartum Cardiomyopathy. Curr Cardiol Rev. 2023;19(2):e230822207933. doi: 10.2174/1573403X18666220823151854. PMID: 36017853; PMCID: PMC10201896.</t>
  </si>
  <si>
    <t>128: Sakaguchi T, Sumiyama F, Kotsuka M, Hatta M, Yoshida T, Hayashi M, Kaibori M, Sekimoto M. Levosimendan Increases Survival in a D-Galactosamine and Lipopolysaccharide Rat Model. Biomedicines. 2022 Dec 7;10(12):3161. doi: 10.3390/biomedicines10123161. PMID: 36551917; PMCID: PMC9775427.</t>
  </si>
  <si>
    <t>109: Yang B, Zhao T, Guo B, Li Y. Short-term effects of levosimendan use for venoarterial extracorporeal membrane oxygenation: A systematic review and meta-analysis. Perfusion. 2023 Mar;38(2):305-312. doi: 10.1177/02676591211051860. Epub 2021 Oct 23. PMID: 34689640.</t>
  </si>
  <si>
    <t>92: Desai HN, Sangurima L, Malik MM, Ganatra N, Siby R, Kumar S, Khan S, Jayaprakasan SK, Cheriachan D, Mohammed L. Therapeutic Development of Levosimendan in Acute and Advanced Heart Failure: A Systematic Review. Cureus. 2023 Apr 19;15(4):e37844. doi: 10.7759/cureus.37844. PMID: 37214028; PMCID: PMC10198665.</t>
  </si>
  <si>
    <t>81: Szántó D, Luterán P, Gál J, Nagy EV, Fülesdi B, Molnár C. Diagnosis and Management of Takotsubo Syndrome in Acute Aneurysmal Subarachnoid Hemorrhage: A Comprehensive Review. Rev Cardiovasc Med. 2023 Jun 19;24(6):177. doi:10.31083/j.rcm2406177. PMID: 39077518; PMCID: PMC11264119.</t>
  </si>
  <si>
    <t>80: Omran S, Schawe L, Konietschke F, Angermair S, Weixler B, Treskatsch S, Greiner A, Berger C. Identification of Perioperative Procedural and Hemodynamic Risk Factors for Developing Colonic Ischemia after Ruptured Infrarenal Abdominal Aortic Aneurysm Surgery: A Single-Centre Retrospective Cohort Study. J Clin Med. 2023 Jun 20;12(12):4159. doi: 10.3390/jcm12124159. PMID: 37373851; PMCID: PMC10299273.</t>
  </si>
  <si>
    <t>77: Robinson P, Sparrow AJ, Psaras Y, Steeples V, Simon JN, Broyles CN, Chang YF, Brook FA, Wang YJ, Blease A, Zhang X, Abassi YA, Geeves MA, Toepfer CN, Watkins H, Redwood C, Daniels MJ. Comparing the effects of chemical Ca&lt;sup&gt;2+&lt;/sup&gt; dyes and R-GECO on contractility and Ca&lt;sup&gt;2+&lt;/sup&gt; transients in adult and human iPSC cardiomyocytes. J Mol Cell Cardiol. 2023 Jul;180:44-57. doi: 10.1016/j.yjmcc.2023.04.008. Epub 2023 Apr 29. PMID: 37127261; PMCID: PMC10659987.</t>
  </si>
  <si>
    <t>67: Zheng Q, Lan H, Guo Q, Li C, Xiong T, Zhang J, Wang G, Dong N, Shi J. Preoperative Levosimendan Administration in Heart Transplant Patients with Severe Hepatic and Renal Impairment: A Retrospective Study. Heart Surg Forum. 2023 Aug 14;26(4):E346-E357. doi: 10.59958/hsf.5433. PMID: 37679092.</t>
  </si>
  <si>
    <t>68: Healthcare Engineering JO. Retracted: Levosimendan Postconditioning Attenuates Cardiomyocyte Apoptosis after Myocardial Infarction. J Healthc Eng. 2023 Aug 9;2023:9758474. doi: 10.1155/2023/9758474. PMID: 37593472; PMCID: PMC10432045.</t>
  </si>
  <si>
    <t>50: Guan Q, Zhang C, Li B, Huang D, Li A, Qin J, Zhang X. Meta-Analysis of the Efficacy of Levosimendan in the Treatment of Severe Sepsis Complicated with Septic Cardiomyopathy. Heart Surg Forum. 2023 Oct 30;26(5):E609-E620. doi: 10.59958/hsf.6439. PMID: 37920078.</t>
  </si>
  <si>
    <t>25: Pilia E, Silvetti S, Bohane SM, Pusceddu E, Belletti A; Collaborators. Safety of Levosimendan in Pediatric Patients: An Up-to-Date Systematic Review. J Cardiothorac Vasc Anesth. 2024 Mar;38(3):820-828. doi: 10.1053/j.jvca.2023.11.020. Epub 2023 Nov 14. PMID: 38135567.</t>
  </si>
  <si>
    <t>75: Zhu X, Zhai H, Shao H, Wu D, Ren J, Sun D, Liu S. Levosimendan ameliorates cardiomyocyte injury and mitochondrial dysfunction in an Nrf2-dependent manner in mice with sepsis-induced cardiomyopathy. Acta Biochim Biophys Sin (Shanghai). 2025 Dec 4. doi: 10.3724/abbs.2025165. Epub ahead of print. PMID: 41340475.</t>
  </si>
  <si>
    <t>85: Parente HA, Oliveira MDSS, Cordeiro JVFA, Sforza LM, Salgado DR, Magliano C. Levosimendan versus dobutamine in acute decompensated heart failure: systematic review and meta-analysis of randomised controlled trials. Heart. 2025 Nov 12:heartjnl-2025-326744. doi: 10.1136/heartjnl-2025-326744. Epub ahead of print. PMID: 41224487.</t>
  </si>
  <si>
    <t>66: Kühne SG, Patrignani A, Wölbert S, Harmel E, Penev D, Elvinger S, Chiarito M, Raake PWJ, Bongiovanni D. Effects of Levosimendan in Patients with Severe Mitral Insufficiency and Left Ventricular Dysfunction Undergoing Transcatheter Edge-to-Edge Repair: A Systematic Review and Meta-Analysis. J Cardiovasc Dev Dis. 2026 Jan 9;13(1):40. doi: 10.3390/jcdd13010040. PMID: 41590867; PMCID: PMC12842285.</t>
  </si>
  <si>
    <t>92: Zhao GM, Zhao GM, Zhang H, Chen W, Zhou JX, Li HL. Clinical outcomes of levosimendan administration in veno-arterial extracorporeal membrane oxygenation: a meta-analysis. BMJ Open. 2025 Sep 30;15(9):e101995. doi:10.1136/bmjopen-2025-101995. PMID: 41033771; PMCID: PMC12496040.</t>
  </si>
  <si>
    <t>91: Zavaleta-Monestel E, Mora-Jiménez J, Cruz-Mora K, Martinez-Vargas E, Díaz-Madriz JP, Arguedas-Chacón S, Fallas-Mora A, Wu-Chin C, Chaverrí-Fernandez JM. Levosimendan in Decompensated Heart Failure with Reduced Ejection Fraction in Older Adults: A Systematic Review of Safety and Efficacy. Medicines (Basel). 2025 Sep 30;12(4):23. doi: 10.3390/medicines12040023. PMID: 41133649; PMCID: PMC12551075.</t>
  </si>
  <si>
    <t>125: Rysz S, Al-Saadi J, Campoccia Jalde F, Nyman J, Lundberg J, Jonsson Fagerlund M, Djärv T. Levosimendan improves central haemodynamic status and gas exchange in a model of ischaemic cardiac arrest: A large animal study. Eur J Anaesthesiol. 2025 Jun 1;42(6):518-526. doi: 10.1097/EJA.0000000000002144. Epub 2025 Feb 17. PMID: 39962856; PMCID: PMC12052065.</t>
  </si>
  <si>
    <t>24: Ayala R, Gewehr DM, Godoi A, Velasquez C, Fernandez M, Carvalho PEP, Goebel N. Preoperative Levosimendan in Patients With Severe Left Ventricular Dysfunction Undergoing Isolated Coronary Artery Bypass Grafting: A Meta-Analysis of Randomized Controlled Trials. J Cardiothorac Vasc Anesth. 2024 Mar;38(3):649-659. doi: 10.1053/j.jvca.2023.11.036. Epub 2023 Dec 15. PMID: 38228424</t>
  </si>
  <si>
    <t>21: Moreira-Costa L, Tavares-Silva M, Almeida-Coelho J, Gonçalves A, Trindade F, Vasques-Nóvoa F, Sousa-Mendes C, Leite S, Vitorino R, Falcão-Pires I, Leite-Moreira AF, Lourenço AP. Acute and chronic effects of levosimendan in the ZSF1 obese rat model of heart failure with preserved ejection fraction. Eur J Pharmacol. 2024 Mar 5;966:176336. doi: 10.1016/j.ejphar.2024.176336. Epub 2024 Jan 23. PMID: 38272343.</t>
  </si>
  <si>
    <t>19: Tan R, Guo H, Yang Z, Yang H, Li Q, Zhu Q, Du Q. Efficacy and safety of levosimendan in patients with sepsis: a systematic review and network meta-analysis. Front Pharmacol. 2024 Mar 8;15:1358735. doi: 10.3389/fphar.2024.1358735. PMID: 38523635; PMCID: PMC10957638.</t>
  </si>
  <si>
    <t>17: Liu Y, Zhang L, Yao Y, Li Y, Qin W, Li Y, Xue W, Li P, Chen Y, Chen X, Guo H. Effects of levosimendan on the outcome of veno-arterial extracorporeal membrane oxygenation: a systematic review and meta-analysis. Clin Res Cardiol. 2024 Apr;113(4):509-521. doi: 10.1007/s00392-023-02208-1. Epub 2023 May 22. PMID: 37217802.</t>
  </si>
  <si>
    <t>9: Zha F, Li X, Yin H, Huang D, Du Y, Zhou C. Case report: A 56-year-old woman presenting with torsades de pointes and cardiac arrest associated with levosimendan administration and underlying congenital long QT syndrome type 1. Heliyon. 2024 Apr 10;10(8):e29300. doi: 10.1016/j.heliyon.2024.e29300. PMID: 38644859; PMCID: PMC11033119.</t>
  </si>
  <si>
    <t>1: Farmakis D, Agostoni P, Baholli L, Bautin A, Comin-Colet J, Crespo-Leiro MG, Fedele F, García-Pinilla JM, Giannakoulas G, Grigioni F, Gruchała M, Gustafsson F, Harjola VP, Hasin T, Herpain A, Iliodromitis EK, Karason K, Kivikko M, Liaudet L, Ljubas-Maček J, Marini M, Masip J, Mebazaa A, Nikolaou M, Ostadal P, Põder P, Pollesello P, Polyzogopoulou E, Pölzl G, Tschope C, Varpula M, von Lewinski D, Vrtovec B, Yilmaz MB, Zima E, Parissis J. A pragmatic approach to the use of inotropes for the management of acute and advanced heart failure: An expert panel consensus. Int J Cardiol. 2019 Dec 15;297:83-90. doi:10.1016/j.ijcard.2019.09.005. Epub 2019 Sep 6. PMID: 31615650.</t>
  </si>
  <si>
    <t>2: Shaker EH, Hussein K, Reyad EM. Levosimendan for patients with heart failure undergoing major oncological surgery: A randomised blinded pilot study. Indian J Anaesth. 2019 Dec;63(12):1001-1007. doi: 10.4103/ija.IJA_548_18. Epub 2019 Dec 11. PMID: 31879424; PMCID: PMC6921323.</t>
  </si>
  <si>
    <t>5: Cottenceau V, Poutier B, Gariel F, Sauvage N, Petit L, Carrie C, Biais M. May levosimendan be safe and effective in refractory vasospasm despite adequate treatment with repeated angiography and milrinone infusion after subarachnoid haemorrhage? Anaesth Crit Care Pain Med. 2019 Dec;38(6):665-667. doi:10.1016/j.accpm.2019.07.004. Epub 2019 Jul 16. PMID: 31495644.</t>
  </si>
  <si>
    <t>6: Cholley B, Levy B, Fellahi JL, Longrois D, Amour J, Ouattara A, Mebazaa A. Levosimendan in the light of the results of the recent randomized controlled trials: an expert opinion paper. Crit Care. 2019 Nov 29;23(1):385. doi:10.1186/s13054-019-2674-4. PMID: 31783891; PMCID: PMC6883606.</t>
  </si>
  <si>
    <t>7: Maack C, Eschenhagen T, Hamdani N, Heinzel FR, Lyon AR, Manstein DJ, Metzger J, Papp Z, Tocchetti CG, Yilmaz MB, Anker SD, Balligand JL, Bauersachs J, Brutsaert D, Carrier L, Chlopicki S, Cleland JG, de Boer RA, Dietl A, Fischmeister R, Harjola VP, Heymans S, Hilfiker-Kleiner D, Holzmeister J, de Keulenaer G, Limongelli G, Linke WA, Lund LH, Masip J, Metra M, Mueller C, Pieske B, Ponikowski P, Ristić A, Ruschitzka F, Seferović PM, Skouri H, Zimmermann WH, Mebazaa A. Treatments targeting inotropy. Eur Heart J. 2019 Nov 21;40(44):3626-3644. doi: 10.1093/eurheartj/ehy600. PMID: 30295807; PMCID: PMC7963133.</t>
  </si>
  <si>
    <t>8: Guerrero Orriach JL, Navarro Arce I, Hernandez Rodriguez P, Raigón Ponferrada A, Malo Manso A, Ramirez Aliaga M, Ramirez Fernandez A, Escalona Belmonte JJ, Bellido Estevez I, Gomez Luque A, Barrera Serrano R, Toledo Medina CS, Rubio Navarro M, Cruz Mañas J. Preservation of renal function in cardiac surgery patients with low cardiac output syndrome: levosimendan vs beta agonists. BMC Anesthesiol. 2019 Nov 17;19(1):212. doi: 10.1186/s12871-019-0888-2. PMID: 31735161; PMCID: PMC6859602.</t>
  </si>
  <si>
    <t>200: Miaris N, Zezas S, Sgouros J, Zirou DC, Gkoura S, Stamoulis G, Angelopoulou H, Avgeropoulos G, Samantas E. Effective use of levosimendan in anthracycline-induced cardiomyopathy: A case report. Heart Lung. 2017 Sep-Oct;46(5):382-386. doi: 10.1016/j.hrtlng.2017.06.003. Epub 2017 Jul 18. PMID: 28733066.</t>
  </si>
  <si>
    <t>199: Tavares-Silva M, Alaa M, Leite S, Oliveira-Pinto J, Lopes L, Leite-Moreira AF, Lourenço AP. Dose-Response Head-to-Head Comparison of Inodilators Dobutamine, Milrinone, and Levosimendan in Chronic Experimental Pulmonary Hypertension. J Cardiovasc Pharmacol Ther. 2017 Sep;22(5):485-495. doi: 10.1177/1074248417696818. Epub 2017 Mar 1. PMID: 28793822.</t>
  </si>
  <si>
    <t>196: Rodríguez-Santamarta M, Sayago I, López J. High effectiveness of repeated levosimendan cycles in a patient with advanced heart failure. Med Clin (Barc). 2017 Sep 8;149(5):226. English, Spanish. doi: 10.1016/j.medcli.2017.04.035. Epub 2017 Jun 19. PMID: 28641880.</t>
  </si>
  <si>
    <t>197: Ateş G, Yaman F, Bakar B, Kısa Ü, Atasoy P, Büyükkoçak Ü. Evaluation of the systemic antiinflammatory effects of levosimendan in an experimental blunt thoracic trauma model. Ulus Travma Acil Cerrahi Derg. 2017 Sep;23(5):368-376. doi: 10.5505/tjtes.2016.26786. PMID: 29052821.</t>
  </si>
  <si>
    <t>198: Madeira M, Caetano F, Almeida I, Fernandes A, Reis L, Costa M, Gonçalves L. Inotropes and cardiorenal syndrome in acute heart failure - A retrospective comparative analysis. Rev Port Cardiol. 2017 Sep;36(9):619-625. English, Portuguese. doi: 10.1016/j.repc.2017.03.006. Epub 2017 Aug 18. PMID: 28826934.</t>
  </si>
  <si>
    <t>195: Pölzl G, Altenberger J, Baholli L, Beltrán P, Borbély A, Comin-Colet J, Delgado JF, Fedele F, Fontana A, Fruhwald F, Giamouzis G, Giannakoulas G, Garcia-González MJ, Gustafsson F, Kaikkonen K, Kivikko M, Kubica J, von Lewinski D, Löfman I, Malfatto G, Manito N, Martínez-Sellés M, Masip J, Merkely B, Morandi F, Mølgaard H, Oliva F, Pantev E, Papp Z, Perna GP, Pfister R, Piazza V, Bover R, Rangel-Sousa D, Recio-Mayoral A, Reinecke A, Rieth A, Sarapohja T, Schmidt G, Seidel M, Störk S, Vrtovec B, Wikström G, Yerly P, Pollesello P. Repetitive use of levosimendan in advanced heart failure: need for stronger evidence in a field in dire need of a useful therapy. Int J Cardiol. 2017 Sep 15;243:389-395. doi: 10.1016/j.ijcard.2017.05.081. Epub 2017 May 23. PMID: 28571618</t>
  </si>
  <si>
    <t>194: Nan F, Cai X, Ye Y, Xu X, Li Z, Li M, Chen L. Levosimendan combined with epinephrine improves rescue outcomes in a rat model of lipid-based resuscitation from bupivacaine-induced cardiac arrest. BMC Anesthesiol. 2017 Sep 15;17(1):128. doi: 10.1186/s12871-017-0414-3. PMID: 28915792; PMCID: PMC5602843.</t>
  </si>
  <si>
    <t>190: Chen QH, Zheng RQ, Lin H, Shao J, Yu JQ, Wang HL. Effect of levosimendan on prognosis in adult patients undergoing cardiac surgery: a meta-analysis of randomized controlled trials. Crit Care. 2017 Oct 17;21(1):253. doi:10.1186/s13054-017-1848-1. PMID: 29041948; PMCID: PMC5645931.</t>
  </si>
  <si>
    <t>192: Hansen MS, Andersen A, Holmboe S, Schultz JG, Ringgaard S, Simonsen U, Happé C, Bogaard HJ, Nielsen-Kudsk JE. Levosimendan Prevents and Reverts Right Ventricular Failure in Experimental Pulmonary Arterial Hypertension. J Cardiovasc Pharmacol. 2017 Oct;70(4):232-238. doi: 10.1097/FJC.0000000000000508. PMID: 28640039.</t>
  </si>
  <si>
    <t>193: Rafouli-Stergiou P, Parissis JT, Farmakis D, Bistola V, Frogoudaki A, Vasiliadis K, Ikonomidis I, Paraskevaidis I, Kremastinos D, Filippatos G, Lekakis J. Effects of levosimendan on markers of kidney function in patients with acutely decompensated heart failure and renal impairment. J Cardiovasc Med (Hagerstown). 2017 Oct;18(10):771-773. doi: 10.2459/JCM.0000000000000244. PMID: 25643197</t>
  </si>
  <si>
    <t>189: Sanfilippo F, Knight JB, Scolletta S, Santonocito C, Pastore F, Lorini FL, Tritapepe L, Morelli A, Arcadipane A. Levosimendan for patients with severely reduced left ventricular systolic function and/or low cardiac output syndrome undergoing cardiac surgery: a systematic review and meta-analysis. Crit Care. 2017 Oct 19;21(1):252. doi: 10.1186/s13054-017-1849-0. PMID: 29047417; PMCID: PMC5648477.</t>
  </si>
  <si>
    <t>188: Silvetti S, Belletti A, Fontana A, Pollesello P. Rehospitalization after intermittent levosimendan treatment in advanced heart failure patients: a meta-analysis of randomized trials. ESC Heart Fail. 2017 Nov;4(4):595-604. doi:10.1002/ehf2.12177. Epub 2017 Jun 29. PMID: 28834396; PMCID: PMC5695198.</t>
  </si>
  <si>
    <t>187: Babik B, Balogh AL, Sudy R, Ivankovitsne-Kiss O, Fodor GH, Petak F. Levosimendan prevents bronchoconstriction and adverse respiratory tissue mechanical changes in rabbits. Am J Physiol Lung Cell Mol Physiol. 2017 Nov 1;313(5):L950-L956. doi: 10.1152/ajplung.00213.2017. Epub 2017 Aug 24. PMID: 28839103</t>
  </si>
  <si>
    <t>186: Sikora J, Pstrągowski K, Skibińska N, Sobczak P, Sikora A, Marszałł MP, Fabiszak T, Grześk G, Kubica J. Impact of levosimendan on platelet function. Thromb Res. 2017 Nov;159:76-81. doi: 10.1016/j.thromres.2017.10.001. Epub 2017 Oct 2. PMID: 28987709.</t>
  </si>
  <si>
    <t>185: Landoni G, Lomivorotov VV, Bellomo R. Levosimendan in Cardiac Surgery. N Engl J Med. 2017 Nov 9;377(19):1900. doi: 10.1056/NEJMc1711938. PMID: 29117493.</t>
  </si>
  <si>
    <t>184: Dell'Anna AM, De Pascale G, Antonelli M. Levosimendan in Cardiac Surgery. N Engl J Med. 2017 Nov 9;377(19):1899. doi: 10.1056/NEJMc1711938. PMID: 29120124.</t>
  </si>
  <si>
    <t>182: Mehta RH, Alexander JH; LEVO-CTS Steering Committee Members and Trial Investigators. Levosimendan in Cardiac Surgery. N Engl J Med. 2017 Nov 9;377(19):1900-1. doi: 10.1056/NEJMc1711938. PMID: 29120128.</t>
  </si>
  <si>
    <t>183: Putzu A, Clivio S, Cassina T. Levosimendan in Cardiac Surgery. N Engl J Med. 2017 Nov 9;377(19):1899-1900. doi: 10.1056/NEJMc1711938. PMID: 29120127.</t>
  </si>
  <si>
    <t>181: Brunner SN, Bogert NV, Schnitzbauer AA, Juengel E, Moritz A, Werner I, Kornberger A, Beiras-Fernandez A. Levosimendan protects human hepatocytes from ischemia-reperfusion injury. PLoS One. 2017 Nov 16;12(11):e0187839. doi:10.1371/journal.pone.0187839. PMID: 29145424; PMCID: PMC5690693.</t>
  </si>
  <si>
    <t>180: Wang B, Chen R, Guo X, Zhang W, Hu J, Gong Y, Cheng B. Effects of levosimendan on mortality in patients with septic shock: systematic review with meta-analysis and trial sequential analysis. Oncotarget. 2017 Aug 10;8(59):100524-100532. doi: 10.18632/oncotarget.20123. PMID: 29245998; PMCID: PMC5725040.</t>
  </si>
  <si>
    <t>179: Shang G, Yang X, Song D, Ti Y, Shang Y, Wang Z, Tang M, Zhang Y, Zhang W, Zhong M. Effects of Levosimendan on Patients with Heart Failure Complicating Acute Coronary Syndrome: A Meta-Analysis of Randomized Controlled Trials. Am J Cardiovasc Drugs. 2017 Dec;17(6):453-463. doi: 10.1007/s40256-017-0237-0. PMID: 28597399</t>
  </si>
  <si>
    <t>176: Asif M. A Review on Role of the Calcium Sensitive Inotropic Agent, Levosimendan and Its Metabolites. Mini Rev Med Chem. 2018;18(16):1354-1362. doi:10.2174/1389557516666160905094721. PMID: 27594341.</t>
  </si>
  <si>
    <t>177: Thiele H. Kardiogener Schock : Aktuelle Evidenz [Cardiogenic shock : Current evidence]. Herz. 2017 Dec;42(8):795-806. German. doi:10.1007/s00059-017-4619-5. PMID: 28948299.</t>
  </si>
  <si>
    <t>178: Lee CT, Lin YC, Yeh YC, Chen TL, Chen CY. Effects of levosimendan for perioperative cardiovascular dysfunction in patients receiving cardiac surgery: a meta-analysis with trial sequential analysis. Intensive Care Med. 2017 Dec;43(12):1929-1930. doi: 10.1007/s00134-017-4927-5. Epub 2017 Sep 7. PMID: 28884347</t>
  </si>
  <si>
    <t>174: Hessler M, Arnemann PH, Rehberg S, Ertmer C. Misinterpretation of the sublingual microcirculation during therapy with levosimendan. Clin Hemorheol Microcirc. 2018;68(1):83-87. doi: 10.3233/CH-170315. PMID: 29036801.</t>
  </si>
  <si>
    <t>175: Amiet V, Perez MH, Longchamp D, Boulos Ksontini T, Natterer J, Plaza Wuthrich S, Cotting J, Di Bernardo S. Use of Levosimendan in Postoperative Setting After Surgical Repair of Congenital Heart Disease in Children. Pediatr Cardiol. 2018 Jan;39(1):19-25. doi: 10.1007/s00246-017-1718-2. Epub 2017 Sep 7. PMID: 28884218.</t>
  </si>
  <si>
    <t>173: Guarracino F, Heringlake M, Cholley B, Bettex D, Bouchez S, Lomivorotov VV, Rajek A, Kivikko M, Pollesello P. Use of Levosimendan in Cardiac Surgery: An Update After the LEVO-CTS, CHEETAH, and LICORN Trials in the Light of Clinical Practice. J Cardiovasc Pharmacol. 2018 Jan;71(1):1-9. doi:10.1097/FJC.0000000000000551. PMID: 29076887; PMCID: PMC5768218.</t>
  </si>
  <si>
    <t>169: Huang W. [2017 clinical breakthroughs in critical care medicine]. Zhonghua Wei Zhong Bing Ji Jiu Yi Xue. 2018 Jan;30(1):1-7. Chinese. doi:10.3760/cma.j.issn.2095-4352.2018.01.001. PMID: 29308749.</t>
  </si>
  <si>
    <t>168: Santillo E, Migale M, Massini C, Incalzi RA. Levosimendan for Perioperative Cardioprotection: Myth or Reality? Curr Cardiol Rev. 2018;14(3):142-152. doi:10.2174/1573403X14666180322104015. PMID: 29564979; PMCID: PMC6131406.</t>
  </si>
  <si>
    <t>167: Wanderer S, Mrosek J, Gessler F, Seifert V, Konczalla J. Levosimendan Reduces Prostaglandin F2a-dependent Vasoconstriction in Physiological Vessels and After Experimentally Induced Subarachnoid Hemorrhage. Curr Neurovasc Res. 2018;15(1):72-80. doi: 10.2174/1567202615666180328121025. PMID: 29595109.</t>
  </si>
  <si>
    <t>166: Ellermann C, Kohnke A, Dechering DG, Kochhäuser S, Reinke F, Fehr M, Eckardt L, Frommeyer G. Ranolazine Prevents Levosimendan-Induced Atrial Fibrillation. Pharmacology. 2018;102(3-4):138-141. doi: 10.1159/000490572. Epub 2018 Jul 6. PMID: 29982246.</t>
  </si>
  <si>
    <t>170: Guerrero Orriach JL, Ramirez-Fernandez A, Escalona-Belmonte JJ, Rubio-Navarro M, Cruz-Manas J. Calcium Sensitizers in Cardiac Surgery: Who, When, How and Why? Curr Vasc Pharmacol. 2018;16(4):310-318. doi:10.2174/1570161115666171116150434. PMID: 29149814.</t>
  </si>
  <si>
    <t>171: Hansen MS, Andersen A, Tolbod LP, Hansson NH, Nielsen R, Vonk-Noordegraaf A, Nielsen-Kudsk JE. Levosimendan improves cardiac function and myocardial efficiency in rats with right ventricular failure. Pulm Circ. 2018 Jan-Mar;8(1):2045893217743122. doi: 10.1177/2045893217743122. Epub 2017 Nov 3. PMID: 29099675; PMCID: PMC5731719.</t>
  </si>
  <si>
    <t>172: Roeleveld PP, de Klerk JCA. The Perspective of the Intensivist on Inotropes and Postoperative Care Following Pediatric Heart Surgery: An International Survey and Systematic Review of the Literature. World J Pediatr Congenit Heart Surg. 2018 Jan;9(1):10-21. doi: 10.1177/2150135117731725. Epub 2017 Nov 1. PMID: 29092664; PMCID: PMC5764149.</t>
  </si>
  <si>
    <t>162: Landoni G, Lomivorotov V, Silvetti S, Nigro Neto C, Pisano A, Alvaro G, Hajjar LA, Paternoster G, Riha H, Monaco F, Szekely A, Lembo R, Aslan NA, Affronti G, Likhvantsev V, Amarelli C, Fominskiy E, Baiardo Redaelli M, Putzu A, Baiocchi M, Ma J, Bono G, Camarda V, Covello RD, Di Tomasso N, Labonia M, Leggieri C, Lobreglio R, Monti G, Mura P, Scandroglio AM, Pasero D, Turi S, Roasio A, Votta CD, Saporito E, Riefolo C, Sartini C, Brazzi L, Bellomo R, Zangrillo A. Nonsurgical Strategies to Reduce Mortality in Patients Undergoing Cardiac Surgery: An Updated Consensus Process. J Cardiothorac Vasc Anesth. 2018 Feb;32(1):225-235. doi: 10.1053/j.jvca.2017.06.017. Epub 2017 Jun 7. PMID: 29122431</t>
  </si>
  <si>
    <t>165: Putzu A, Clivio S, Belletti A, Cassina T. Perioperative levosimendan in cardiac surgery: A systematic review with meta-analysis and trial sequential analysis. Int J Cardiol. 2018 Jan 15;251:22-31. doi:10.1016/j.ijcard.2017.10.077. Epub 2017 Oct 21. PMID: 29126653.</t>
  </si>
  <si>
    <t>156: Kucewicz-Czech EM, Maciejewski T, Budziarz B, Kołodziej T, Kiermasz K, Machej L. Levosimendan in patients with low ejection fraction undergoing cardiac surgery. Kardiochir Torakochirurgia Pol. 2018 Mar;15(1):31-37. doi:10.5114/kitp.2018.74673. Epub 2018 Mar 28. PMID: 29681959; PMCID: PMC5907614.</t>
  </si>
  <si>
    <t>157: Varelmann DJ, Muehlschlegel JD. Noteworthy Literature published in 2017 for Cardiothoracic Anesthesiologists. Semin Cardiothorac Vasc Anesth. 2018 Mar;22(1):9-17. doi: 10.1177/1089253217753396. PMID: 29400260.</t>
  </si>
  <si>
    <t>158: Abbate A, Van Tassell BW. Levosimendan in Advanced Heart Failure: Where Do We Stand? J Cardiovasc Pharmacol. 2018 Mar;71(3):127-128. doi:10.1097/FJC.0000000000000539. PMID: 28953106; PMCID: PMC5839945.</t>
  </si>
  <si>
    <t>159: Altenberger J, Gustafsson F, Harjola VP, Karason K, Kindgen-Milles D, Kivikko M, Malfatto G, Papp Z, Parissis J, Pollesello P, Pölzl G, Tschöpe C. Levosimendan in Acute and Advanced Heart Failure: An Appraisal of the Clinical Database and Evaluation of Its Therapeutic Applications. J Cardiovasc Pharmacol. 2018 Mar;71(3):129-136. doi: 10.1097/FJC.0000000000000533. PMID: 28817484; PMCID: PMC5862004.</t>
  </si>
  <si>
    <t>160: Goyer I, Brossier D, Toledano B. Hemodynamic support of a 15-year-old waiting for a heart transplant: Is there a role for levosimendan in pediatric heart failure? Arch Pediatr. 2018 Feb;25(2):132-135. doi:10.1016/j.arcped.2017.12.003. Epub 2018 Feb 1. PMID: 29395891.</t>
  </si>
  <si>
    <t>155: Chang W, Xie JF, Xu JY, Yang Y. Effect of levosimendan on mortality in severe sepsis and septic shock: a meta-analysis of randomised trials. BMJ Open. 2018 Mar 30;8(3):e019338. doi: 10.1136/bmjopen-2017-019338. PMID: 29602841; PMCID: PMC5884355.</t>
  </si>
  <si>
    <t>146: Heringlake M, Schmidt C, Brandt S. Kardioanästhesie: Monitoring und aktuelle hämodynamische Konzepte [Monitoring and Modern Hemodynamic Concepts in Cardiac Anesthesia]. Anasthesiol Intensivmed Notfallmed Schmerzther. 2018 May;53(5):332-345. German. doi: 10.1055/s-0043-106281. Epub 2018 May 17. PMID: 29772591</t>
  </si>
  <si>
    <t>147: Prondzinsky R, Lemm H, Geppert A, Buerke M, Russ M, Werdan K. Infarktbedingter kardiogener Schock : Prognose und Behandlung [Infarct-related cardiogenic shock : Prognosis and treatment]. Med Klin Intensivmed Notfmed. 2018 May;113(4):267-276. German. doi: 10.1007/s00063-018-0428-8. Epub 2018 May 2. PMID: 29721682.</t>
  </si>
  <si>
    <t>145: Wang B, He X, Gong Y, Cheng B. Levosimendan in Patients with Left Ventricular Dysfunction Undergoing Cardiac Surgery: An Update Meta-Analysis and Trial Sequential Analysis. Biomed Res Int. 2018 May 8;2018:7563083. doi:10.1155/2018/7563083. PMID: 29854789; PMCID: PMC5964575.</t>
  </si>
  <si>
    <t>149: Travessa AM, Menezes Falcão L. Vasodilators in acute heart failure - evidence based on new studies. Eur J Intern Med. 2018 May;51:1-10. doi:10.1016/j.ejim.2018.02.020. Epub 2018 Mar 2. PMID: 29482882.</t>
  </si>
  <si>
    <t>148: Elbadawi A, Elgendy IY, Saad M, Megaly M, Mentias A, Abuzaid AS, Shahin HI, Goswamy V, Abowali H, London B. Meta-Analysis of Trials on Prophylactic Use of Levosimendan in Patients Undergoing Cardiac Surgery. Ann Thorac Surg. 2018 May;105(5):1403-1410. doi: 10.1016/j.athoracsur.2017.11.027. Epub 2018 Mar 21. PMID: 29573810.</t>
  </si>
  <si>
    <t>150: Benoit SW, Devarajan P. Acute kidney injury: emerging pharmacotherapies in current clinical trials. Pediatr Nephrol. 2018 May;33(5):779-787. doi:10.1007/s00467-017-3695-3. Epub 2017 Jun 10. PMID: 28601936; PMCID: PMC5723563.</t>
  </si>
  <si>
    <t>151: Klein BA, Reiz B, Robertson IM, Irving M, Li L, Sun YB, Sykes BD. Reversible Covalent Reaction of Levosimendan with Cardiac Troponin C in Vitro and in Situ. Biochemistry. 2018 Apr 17;57(15):2256-2265. doi:10.1021/acs.biochem.8b00109. Epub 2018 Mar 30. PMID: 29558109.</t>
  </si>
  <si>
    <t>152: Desai PM, Sarkar MS, Umbarkar SR. Prophylactic preoperative levosimendan for off-pump coronary artery bypass grafting in patients with left ventricular dysfunction: Single-centered randomized prospective study. Ann Card Anaesth. 2018 Apr-Jun;21(2):123-128. doi: 10.4103/aca.ACA_178_17. PMID: 29652271; PMCID: PMC5914210.</t>
  </si>
  <si>
    <t>153: Møller MH, Granholm A, Junttila E, Haney M, Oscarsson-Tibblin A, Haavind A, Laake JH, Wilkman E, Sverrisson KÖ, Perner A. Scandinavian SSAI clinical practice guideline on choice of inotropic agent for patients with acute circulatory failure. Acta Anaesthesiol Scand. 2018 Apr;62(4):420-450. doi:10.1111/aas.13089. Epub 2018 Feb 25. PMID: 29479665; PMCID: PMC5888146.</t>
  </si>
  <si>
    <t>154: Jiang R, Zhao QH, Wu WH, Zhang R, Yuan P, Gong SG, He J, Luo CJ, Qiu HL, Wang L, Liu JM. Efficacy and safety of a calcium sensitizer, levosimendan, in patients with right heart failure due to pulmonary hypertension. Clin Respir J. 2018 Apr;12(4):1518-1525. doi: 10.1111/crj.12699. Epub 2017 Sep 26. PMID: 28862394</t>
  </si>
  <si>
    <t>161: Evans AS, Weiner M, Patel PA, Baron EL, Gutsche JT, Jayaraman A, Renew JR, Martin AK, Fritz AV, Gordon EK, Riha H, Patel S, Ghadimi K, Guelaff E, Feinman JW, Dashell J, Munroe R, Lauter D, Weiss SJ, Silvay G, Augoustides JG, Ramakrishna H. The Year in Cardiothoracic and Vascular Anesthesia: Selected Highlights From 2017. J Cardiothorac Vasc Anesth. 2018 Feb;32(1):1-13. doi:10.1053/j.jvca.2017.10.016. Epub 2017 Oct 14. PMID: 29174660.</t>
  </si>
  <si>
    <t>163: Chen X, Huang T, Cao X, Xu G. Comparative Efficacy of Drugs for Preventing Acute Kidney Injury after Cardiac Surgery: A Network Meta-Analysis. Am J Cardiovasc Drugs. 2018 Feb;18(1):49-58. doi: 10.1007/s40256-017-0245-0. Erratum in: Am J Cardiovasc Drugs. 2018 Apr;18(2):153. doi: 10.1007/s40256-018-0263-6. PMID: 28819767.</t>
  </si>
  <si>
    <t>164: Schumann J, Henrich EC, Strobl H, Prondzinsky R, Weiche S, Thiele H, Werdan K, Frantz S, Unverzagt S. Inotropic agents and vasodilator strategies for the treatment of cardiogenic shock or low cardiac output syndrome. Cochrane Database Syst Rev. 2018 Jan 29;1(1):CD009669. doi: 10.1002/14651858.CD009669.pub3. Update in: Cochrane Database Syst Rev. 2020 Nov 5;11:CD009669. doi:10.1002/14651858.CD009669.pub4. PMID: 29376560; PMCID: PMC6491099.</t>
  </si>
  <si>
    <t>139: Orrem HL, Nilsson PH, Pischke SE, Grindheim G, Garred P, Seljeflot I, Husebye T, Aukrust P, Yndestad A, Andersen GØ, Barratt-Due A, Mollnes TE. Acute heart failure following myocardial infarction: complement activation correlates with the severity of heart failure in patients developing cardiogenic shock. ESC Heart Fail. 2018 Jun;5(3):292-301. doi: 10.1002/ehf2.12266. Epub 2018 Feb 9. PMID: 29424484; PMCID: PMC5933968.</t>
  </si>
  <si>
    <t>140: Zhou X, Hu C, Xu Z, Liu P, Zhang Y, Sun L, Wang Y, Gao X. Effect of levosimendan on clinical outcomes in adult patients undergoing cardiac surgery: a meta-analysis of randomized controlled trials. Interact Cardiovasc Thorac Surg. 2018 Jun 1;26(6):1016-1026. doi: 10.1093/icvts/ivy017. PMID: 29415177.</t>
  </si>
  <si>
    <t>141: Rababa'h AM, Alzoubi KH, Atmeh A. Levosimendan enhances memory through antioxidant effect in rat model: behavioral and molecular study. Behav Pharmacol. 2018 Jun;29(4):344-350. doi: 10.1097/FBP.0000000000000362. PMID: 29176443</t>
  </si>
  <si>
    <t>142: Husebye T, Eritsland J, Bjørnerheim R, Andersen GØ. Systolic mitral annulus velocity is a sensitive index for changes in left ventricular systolic function during inotropic therapy in patients with acute heart failure. Eur Heart J Acute Cardiovasc Care. 2018 Jun;7(4):321-329. doi: 10.1177/2048872616687114. Epub 2017 Jan 3. PMID: 28045338.</t>
  </si>
  <si>
    <t>143: Sezen ŞC, Kucuk A, Özer A, Kılıç Y, Mardin B, Alkan M, Erkent FD, Arslan M, Ünal Y, Oktar GL, Tosun M. Assessment of the effects of levosimendan and thymoquinone on lung injury after myocardial ischemia reperfusion in rats. Drug Des Devel Ther. 2018 May 22;12:1347-1352. doi: 10.2147/DDDT.S160092. PMID: 29861626; PMCID: PMC5968782.</t>
  </si>
  <si>
    <t>144: Xing Z, Tang L, Chen P, Huang J, Peng X, Hu X. Levosimendan in patients with left ventricular dysfunction undergoing cardiac surgery: a meta-analysis and trial sequential analysis of randomized trials. Sci Rep. 2018 May 17;8(1):7775. doi: 10.1038/s41598-018-26206-w. PMID: 29773835; PMCID: PMC5958056.</t>
  </si>
  <si>
    <t>138: Najjar E, Stålhberg M, Hage C, Ottenblad E, Manouras A, Haugen Löfman I, Lund LH. Haemodynamic effects of levosimendan in advanced but stable chronic heart failure. ESC Heart Fail. 2018 Jun;5(3):302-308. doi: 10.1002/ehf2.12272. Epub 2018 Feb 22. PMID: 29469177; PMCID: PMC5933961.</t>
  </si>
  <si>
    <t>130: Onichimowski D, Nosek K, Goraj R, Jalali R, Wińska A, Pawlos A, Tuyakov B. Use of levosimendan in the treatment of cerebral vascular vasospasm: a case study. Drug Des Devel Ther. 2018 Jun 20;12:1777-1783. doi: 10.2147/DDDT.S158237. PMID: 29950812; PMCID: PMC6018894.</t>
  </si>
  <si>
    <t>131: Yu L, Yuan K, Park BM, Kim SH. Modification of levosimendan-induced suppression of atrial natriuretic peptide secretion in hypertrophied rat atria. Eur J Pharmacol. 2018 Jun 15;829:54-62. doi: 10.1016/j.ejphar.2018.04.006. Epub 2018 Apr 10. PMID: 29653089.</t>
  </si>
  <si>
    <t>132: Xu CX, Li L, Gong SJ, Yu YH, Yan J. [The effects of levosimendan on the cardiac function and prognosis in elderly patients with septic shock and myocardial contractility impairment]. Zhonghua Nei Ke Za Zhi. 2018 Jun 1;57(6):423-428. Chinese. doi: 10.3760/cma.j.issn.0578-1426.2018.06.006. PMID: 29925127</t>
  </si>
  <si>
    <t>133: Szudi L, Székely L, Sápi E, Prodán Z, Szolnoky J, Csomós Á, Nyolczas N, Paulovich E, Németh E, Hartyánszky I, Zima E, Sax B, Bertalan A, Hejjel L, Bogáts G, Babik B, Gombocz K, Szerafin T, Koszta G, Molnár A. A levoszimendán perioperatív alkalmazása a szívsebészetben. Magyar ajánlás [Perioperative use of levosimendan in cardiac surgery. Hungarian recommendation]. Orv Hetil. 2018 Jun;159(22):870-877. Hungarian. doi: 10.1556/650.2018.31083. PMID: 29806474.</t>
  </si>
  <si>
    <t>134: Chen P, Wu X, Wang Z, Li Z, Tian X, Wang J, Yan T. Effects of levosimendan on mortality in patients undergoing cardiac surgery: A systematic review and meta-analysis. J Card Surg. 2018 Jun;33(6):322-329. doi: 10.1111/jocs.13716. Epub 2018 May 21. PMID: 29785788.</t>
  </si>
  <si>
    <t>135: Putzu A, Clivio S, Belletti A, Cassina T. Perioperative levosimendan in cardiac surgery: Positive, neutral, or detrimental effects? Int J Cardiol. 2018 Jun 1;260:53. doi: 10.1016/j.ijcard.2018.03.006. PMID: 29622454.</t>
  </si>
  <si>
    <t>136: Spartalis M, Tzatzaki E, Dimitroulis D, Spartalis E. Perioperative levosimendan therapy is not associated with lower mortality in patients undergoing cardiac surgery. Int J Cardiol. 2018 Jun 1;260:51. doi:10.1016/j.ijcard.2018.01.040. PMID: 29622452.</t>
  </si>
  <si>
    <t>137: Campodonico J, Mapelli M, Spadafora E, Ghilardi S, Agostoni P, Banfi C, Sciomer S. Surfactant proteins changes after acute hemodynamic improvement in patients with advanced chronic heart failure treated with Levosimendan. Respir Physiol Neurobiol. 2018 Jun;252-253:47-51. doi: 10.1016/j.resp.2018.03.007. Epub 2018 Mar 13. PMID: 29548887.</t>
  </si>
  <si>
    <t>127: Qiang H, Luo X, Huo JH, Wang ZQ. Perioperative Use of Levosimendan Improves Clinical Outcomes in Patients After Cardiac Surgery: A Systematic Review and Meta-Analysis. J Cardiovasc Pharmacol. 2018 Jul;72(1):11-18. doi:10.1097/FJC.0000000000000584. PMID: 29672418.</t>
  </si>
  <si>
    <t>129: Comín-Colet J, Manito N, Segovia-Cubero J, Delgado J, García Pinilla JM, Almenar L, Crespo-Leiro MG, Sionis A, Blasco T, Pascual-Figal D, Gonzalez-Vilchez F, Lambert-Rodríguez JL, Grau M, Bruguera J; LION-HEART Study Investigators. Efficacy and safety of intermittent intravenous outpatient administration of levosimendan in patients with advanced heart failure: the LION-HEART multicentre randomised trial. Eur J Heart Fail. 2018 Jul;20(7):1128-1136. doi: 10.1002/ejhf.1145. Epub 2018 Feb 6. PMID: 29405611.</t>
  </si>
  <si>
    <t>126: Altenberger J, Pölzl G. Repetitive levosimendan for a LION's heart? Eur J Heart Fail. 2018 Jul;20(7):1137-1138. doi: 10.1002/ejhf.1206. Epub 2018 May 3. PMID: 29722471.</t>
  </si>
  <si>
    <t>125: McQuillan C, Gray A, Kearney A, Menown IBA. Advances in Clinical Cardiology 2017: A Summary of Key Clinical Trials. Adv Ther. 2018 Jul;35(7):899-927. doi:10.1007/s12325-018-0716-y. Epub 2018 Jun 14. PMID: 29949039; PMCID: PMC11343822.</t>
  </si>
  <si>
    <t>124: Hansen MS, Andersen A, Nielsen-Kudsk JE. Levosimendan in pulmonary hypertension and right heart failure. Pulm Circ. 2018 Jul-Sep;8(3):2045894018790905. doi: 10.1177/2045894018790905. Epub 2018 Jul 6. PMID: 29979110; PMCID: PMC6058424.</t>
  </si>
  <si>
    <t>119: Lin YK, Chen YC, Chen YA, Huang JH, Chen SA, Chen YJ. Levosimendan differentially modulates electrophysiological activities of sinoatrial nodes, pulmonary veins, and the left and right atria. J Cardiovasc Electrophysiol. 2018 Aug;29(8):1150-1158. doi: 10.1111/jce.13629. Epub 2018 May 22. PMID: 29733479.</t>
  </si>
  <si>
    <t>118: Walley KR. Sepsis-induced myocardial dysfunction. Curr Opin Crit Care. 2018 Aug;24(4):292-299. doi: 10.1097/MCC.0000000000000507. PMID: 29846206.</t>
  </si>
  <si>
    <t>117: Wang C, Gong J, Shi S, Wang J, Gao Y, Wang S, Peng YG, Song J, Wang Y. Levosimendan for Pediatric Anomalous Left Coronary Artery From the Pulmonary Artery Undergoing Repair: A Single-Center Experience. Front Pediatr. 2018 Aug 14;6:225. doi: 10.3389/fped.2018.00225. PMID: 30155453; PMCID: PMC6102403.</t>
  </si>
  <si>
    <t>116: Lannemyr L, Ricksten SE, Rundqvist B, Andersson B, Bartfay SE, Ljungman C, Dahlberg P, Bergh N, Hjalmarsson C, Gilljam T, Bollano E, Karason K. Differential Effects of Levosimendan and Dobutamine on Glomerular Filtration Rate in Patients With Heart Failure and Renal Impairment:A Randomized Double-Blind Controlled Trial. J Am Heart Assoc. 2018 Aug 21;7(16):e008455. doi:10.1161/JAHA.117.008455. PMID: 30369310; PMCID: PMC6201411.</t>
  </si>
  <si>
    <t>115: Tawfik MK, El-Kherbetawy MK, Makary S. Cardioprotective and Anti-Aggregatory Effects of Levosimendan on Isoproterenol-Induced Myocardial Injury in High-Fat-Fed Rats Involves Modulation of PI3K/Akt/mTOR Signaling Pathway and Inhibition of Apoptosis: Comparison to Cilostazol. J Cardiovasc Pharmacol Ther. 2018 Sep;23(5):456-471. doi: 10.1177/1074248418763957. Epub 2018 Apr 23. PMID: 29685053</t>
  </si>
  <si>
    <t>114: Teneggi V, Sivakumar N, Chen D, Matter A. Drugs' development in acute heart failure: what went wrong? Heart Fail Rev. 2018 Sep;23(5):667-691. doi:10.1007/s10741-018-9707-y. PMID: 29736812.</t>
  </si>
  <si>
    <t>120: Kim WH, Hur M, Park SK, Jung DE, Kang P, Yoo S, Bahk JH. Pharmacological interventions for protecting renal function after cardiac surgery: a Bayesian network meta-analysis of comparative effectiveness. Anaesthesia. 2018 Aug;73(8):1019-1031. doi: 10.1111/anae.14227. Epub 2018 Apr 16. PMID: 29682727.</t>
  </si>
  <si>
    <t>121: Tschöpe C, Alogna A, Spillmann F, Faragli A, Schmidt G, Blaschke F, Kühl U, Hertel E, Willner M, Morris D, Post H, Noutsias M, Pieske B, Krackhardt F. The CardioMEMS system in the clinical management of end-stage heart failure patients: three case reports. BMC Cardiovasc Disord. 2018 Jul 31;18(1):155. doi:10.1186/s12872-018-0883-4. PMID: 30064356; PMCID: PMC6069874.</t>
  </si>
  <si>
    <t>122: Keller H, Neuhold U, Weidinger F, Gatterer E, Stöllberger C, Huber K, Finsterer J. Takotsubo as Initial Manifestation of Non-Myopathic Cardiomyopathy Due to the Titin Variant c.1489G &gt; T. Medicines (Basel). 2018 Jul 30;5(3):80. doi: 10.3390/medicines5030080. PMID: 30061524; PMCID: PMC6164847.</t>
  </si>
  <si>
    <t>123: Kundra TS, Nagaraja PS, Bharathi KS, Kaur P, Manjunatha N. Inhaled levosimendan versus intravenous levosimendan in patients with pulmonary hypertension undergoing mitral valve replacement. Ann Card Anaesth. 2018 Jul-Sep;21(3):328-332. doi: 10.4103/aca.ACA_19_18. PMID: 30052230; PMCID: PMC6078018.</t>
  </si>
  <si>
    <t>109: Zangrillo A, Alvaro G, Belletti A, Pisano A, Brazzi L, Calabrò MG, Guarracino F, Bove T, Grigoryev EV, Monaco F, Boboshko VA, Likhvantsev VV, Scandroglio AM, Paternoster G, Lembo R, Frassoni S, Comis M, Pasyuga VV, Navalesi P, Lomivorotov VV; CHEETAH Study Group. Effect of Levosimendan on Renal Outcome in Cardiac Surgery Patients With Chronic Kidney Disease and Perioperative Cardiovascular Dysfunction: A Substudy of a Multicenter Randomized Trial. J Cardiothorac Vasc Anesth. 2018 Oct;32(5):2152-2159. doi:10.1053/j.jvca.2018.02.039. Epub 2018 Feb 26. PMID: 29580796.</t>
  </si>
  <si>
    <t>110: Fang M, Cao H, Wang Z. Levosimendan in patients with cardiogenic shock complicating myocardial infarction: A meta-analysis. Med Intensiva (Engl Ed). 2018 Oct;42(7):409-415. English, Spanish. doi: 10.1016/j.medin.2017.08.009. Epub 2017 Nov 7. PMID: 29126662.</t>
  </si>
  <si>
    <t>111: Nandhabalan P, Ioannou N, Meadows C, Wyncoll D. Refractory septic shock: our pragmatic approach. Crit Care. 2018 Sep 19;22(1):215. doi:10.1186/s13054-018-2144-4. PMID: 30231909; PMCID: PMC6145185.</t>
  </si>
  <si>
    <t>112: Yamashita S, Suzuki T, Iguchi K, Sakamoto T, Tomita K, Yokoo H, Sakai M, Misawa H, Hattori K, Nagata T, Watanabe Y, Matsuda N, Yoshimura N, Hattori Y. Cardioprotective and functional effects of levosimendan and milrinone in mice with cecal ligation and puncture-induced sepsis. Naunyn Schmiedebergs Arch Pharmacol. 2018 Sep;391(9):1021-1032. doi: 10.1007/s00210-018-1527-z. Epub 2018 Jun 20. PMID: 29922941.</t>
  </si>
  <si>
    <t>113: Gao B, Qu Y, Sutherland W, Chui RW, Hoagland K, Vargas HM. Decreased contractility and altered responses to inotropic agents in myocytes from tachypacing-induced heart failure canines. J Pharmacol Toxicol Methods. 2018 Sep-Oct;93:98-107. doi: 10.1016/j.vascn.2018.06.001. Epub 2018 Jun 14. PMID: 29908289</t>
  </si>
  <si>
    <t>108: Jacky A, Rudiger A, Krüger B, Wilhelm MJ, Paal S, Seifert B, Spahn DR, Bettex D. Comparison of Levosimendan and Milrinone for ECLS Weaning in Patients After Cardiac Surgery-A Retrospective Before-and-After Study. J Cardiothorac Vasc Anesth. 2018 Oct;32(5):2112-2119. doi: 10.1053/j.jvca.2018.04.019. Epub 2018 Apr 6. PMID: 29748076.</t>
  </si>
  <si>
    <t>99: Elbadawi A, Elgendy IY, Saad M, Megaly M, Mentias A, Shahin HI, London B. Reply. Ann Thorac Surg. 2018 Nov;106(5):1590-1591. doi:10.1016/j.athoracsur.2018.06.011. Epub 2018 Jul 17. PMID: 30028976.</t>
  </si>
  <si>
    <t>100: Di Molfetta P, Gregorini R, Fiore C, Santarpino G. Is There Still Room for the Prophylactic Use of Levosimendan in Cardiac Surgery? Ann Thorac Surg. 2018 Nov;106(5):1590. doi: 10.1016/j.athoracsur.2018.05.007. Epub 2018 Jun 5. PMID: 29883647</t>
  </si>
  <si>
    <t>101: Tena MÁ, Urso S, González JM, Santana L, Sadaba R, Juarez P, González L, Portela F. Levosimendan versus placebo in cardiac surgery: a systematic review and meta-analysis. Interact Cardiovasc Thorac Surg. 2018 Nov 1;27(5):677-685. doi: 10.1093/icvts/ivy133. PMID: 29718383.</t>
  </si>
  <si>
    <t>102: Kırış T, Avcı E. Short-term effects of levosimendan on strain/strain rate markers in patients with nonischemic dilated cardiomyopathy. J Clin Ultrasound. 2018 Oct;46(8):527-532. doi: 10.1002/jcu.22627. Epub 2018 Sep 19. PMID: 30229927</t>
  </si>
  <si>
    <t>104: Kundra TS, Prabhakar V, Kaur P, Manjunatha N, Gandham R. The Effect of Inhaled Milrinone Versus Inhaled Levosimendan in Pulmonary Hypertension Patients Undergoing Mitral Valve Surgery - A Pilot Randomized Double-Blind Study. J Cardiothorac Vasc Anesth. 2018 Oct;32(5):2123-2129. doi:10.1053/j.jvca.2018.04.022. Epub 2018 Apr 6. PMID: 30098861.</t>
  </si>
  <si>
    <t>103: Bunte S, Behmenburg F, Bongartz A, Stroethoff M, Raupach A, Heinen A, Minol JP, Hollmann MW, Huhn R, Sixt SU. Preconditioning by Levosimendan is Mediated by Activation of Mitochondrial Ca&lt;sup&gt;2+&lt;/sup&gt;-Sensitive Potassium (mBK&lt;sub&gt;Ca&lt;/sub&gt;) Channels. Cardiovasc Drugs Ther. 2018 Oct;32(5):427-434. doi:10.1007/s10557-018-6819-5. PMID: 30120617.</t>
  </si>
  <si>
    <t>98: Gordon AC, Santhakumaran S, Al-Beidh F, Orme RML, Perkins GD, Singer M, McAuley DF, Mason AJ, Ward JK, O’Dea KP, Felton T, Cross M, Best-Lane J, Lexow J, Campbell A, Ashby D. Levosimendan to prevent acute organ dysfunction in sepsis: the LeoPARDS RCT. Southampton (UK): NIHR Journals Library; 2018 Nov. PMID: 30431749.</t>
  </si>
  <si>
    <t>105: Essandoh M, Hsu KS, Whitson B, Andritsos M. Levosimendan for ECLS Weaning: A Strategy in Need of Validation. J Cardiothorac Vasc Anesth. 2018 Oct;32(5):2120-2122. doi: 10.1053/j.jvca.2018.05.031. Epub 2018 Jun 1. PMID: 30032972</t>
  </si>
  <si>
    <t>107: Apostolopoulou SC, Vagenakis GA, Tsoutsinos A, Kakava F, Rammos S. Ambulatory Intravenous Inotropic Support and or Levosimendan in Pediatric and Congenital Heart Failure: Safety, Survival, Improvement, or Transplantation. Pediatr Cardiol. 2018 Oct;39(7):1315-1322. doi: 10.1007/s00246-018-1897-5. Epub 2018 May 18. PMID: 29777282.</t>
  </si>
  <si>
    <t>106: Fredholm M, Jörgensen K, Houltz E, Ricksten SE. Inotropic and lusitropic effects of levosimendan and milrinone assessed by strain echocardiography-A randomised trial. Acta Anaesthesiol Scand. 2018 Oct;62(9):1246-1254. doi:10.1111/aas.13170. Epub 2018 Jun 21. PMID: 29926912.</t>
  </si>
  <si>
    <t>92: Rojo Del Moral O, Mena-Arceo RG, García-García AE, Ñamendys-Silva SA. Organ Function Assessment, Prevention, and Outcomes in Critically Ill Patients with Sepsis. Am J Respir Crit Care Med. 2018 Dec 1;198(11):1444-1446. doi:10.1164/rccm.201705-0982RR. PMID: 30192644.</t>
  </si>
  <si>
    <t>93: Oliva F, Perna E, Marini M, Nassiacos D, Cirò A, Malfatto G, Morandi F, Caico I, Perna G, Meloni S, Vincenzi A, Villani A, Vecchi AL, Minoia C, Verde A, De Maria R; RELEVANT-HF study group. Scheduled intermittent inotropes for Ambulatory Advanced Heart Failure. The RELEVANT-HF multicentre collaboration. Int J Cardiol. 2018 Dec 1;272:255-259. doi: 10.1016/j.ijcard.2018.08.048. Epub 2018 Aug 16. PMID: 30131229.</t>
  </si>
  <si>
    <t>94: Belletti A, Jacobs S, Affronti G, Mladenow A, Landoni G, Falk V, Schoenrath F. Incidence and Predictors of Postoperative Need for High-Dose Inotropic Support in Patients Undergoing Cardiac Surgery for Infective Endocarditis. J Cardiothorac Vasc Anesth. 2018 Dec;32(6):2528-2536. doi:10.1053/j.jvca.2017.12.015. Epub 2017 Dec 11. PMID: 29338996.</t>
  </si>
  <si>
    <t>95: Chen H, Xia F, Jin Z, Shi K, Xia Y, Liu L, Papadimos TJ, Xu X, Chen L. Levosimendan is superior to epinephrine on coronary flow for lipid-base resuscitation of bupivacaine-induced asystole in the isolated rat heart. BMC Anesthesiol. 2018 Nov 20;18(1):174. doi: 10.1186/s12871-018-0627-0. PMID: 30458723; PMCID: PMC6247531.</t>
  </si>
  <si>
    <t>96: Cai F, Hwang PM, Sykes BD. Structural Changes Induced by the Binding of the Calcium Desensitizer W7 to Cardiac Troponin. Biochemistry. 2018 Nov 20;57(46):6461-6469. doi: 10.1021/acs.biochem.8b00882. Epub 2018 Nov 6. PMID: 30376637</t>
  </si>
  <si>
    <t>97: Guo Y, Zhou C, Yang X. Efficacy and safety of levosimendan in Chinese elderly patients with Takotsubo syndrome. Ann Transl Med. 2018 Nov;6(22):438. doi: 10.21037/atm.2018.10.15. PMID: 30596068; PMCID: PMC6281530.</t>
  </si>
  <si>
    <t>89: Pölzl G. Levosimendan in acute and advanced heart failure: still some chapters to be written. Eur Heart J Suppl. 2018 Dec;20(Suppl I):I1. doi:10.1093/eurheartj/suy038. Epub 2018 Dec 11. PMID: 30555278; PMCID: PMC6288640.</t>
  </si>
  <si>
    <t>82: Herpain A, Bouchez S, Girardis M, Guarracino F, Knotzer J, Levy B, Liebregts T, Pollesello P, Ricksten SE, Riha H, Rudiger A, Sangalli F. Use of Levosimendan in Intensive Care Unit Settings: An Opinion Paper. J Cardiovasc Pharmacol. 2019 Jan;73(1):3-14. doi: 10.1097/FJC.0000000000000636. PMID: 30489437; PMCID: PMC6319595.</t>
  </si>
  <si>
    <t>79: Rababa'h AM, Alzoubi KH, Baydoun S, Khabour OF. Levosimendan Prevents Memory Impairment Induced by Diabetes in Rats: Role of Oxidative Stress. Curr Alzheimer Res. 2019;16(14):1300-1308. doi: 10.2174/1567205017666200102153239. PMID: 31894746</t>
  </si>
  <si>
    <t>78: Poidinger B, Kotzinger O, Rützler K, Kleinsasser A, Zierer A, Knotzer H. Intravenous Levosimendan and Vasopressin in New-Onset Acute Pulmonary Hypertension After Weaning from Cardiopulmonary Bypass. J Cardiothorac Vasc Anesth. 2019 Feb;33(2):328-333. doi: 10.1053/j.jvca.2018.07.013. Epub 2018 Aug 17. PMID: 30122612.</t>
  </si>
  <si>
    <t>85: Aminzadeh A, Mehrzadi S. Cardioprotective effect of levosimendan against homocysteine-induced mitochondrial stress and apoptotic cell death in H9C2. Biochem Biophys Res Commun. 2018 Dec 9;507(1-4):395-399. doi:10.1016/j.bbrc.2018.11.049. Epub 2018 Nov 13. PMID: 30446219.</t>
  </si>
  <si>
    <t>86: Schuster F, Johannsen S, Isbary S, Türkmeneli I, Roewer N. In vitro effects of levosimendan on muscle of malignant hyperthermia susceptible and non-susceptible swine. BMC Anesthesiol. 2018 Dec 3;18(1):182. doi:10.1186/s12871-018-0644-z. PMID: 30509180; PMCID: PMC6278068.</t>
  </si>
  <si>
    <t>87: Oliva F, Comin-Colet J, Fedele F, Fruhwald F, Gustafsson F, Kivikko M, Borbély A, Pölzl G, Tschöpe C. Repetitive levosimendan treatment in the management of advanced heart failure. Eur Heart J Suppl. 2018 Dec;20(Suppl I):I11-I20. doi: 10.1093/eurheartj/suy040. Epub 2018 Nov 2. PMID: 30555280; PMCID: PMC6288643.</t>
  </si>
  <si>
    <t>88: Harjola VP, Giannakoulas G, von Lewinski D, Matskeplishvili S, Mebazaa A, Papp Z, Schwinger RHG, Pollesello P, Parissis JT. Use of levosimendan in acute heart failure. Eur Heart J Suppl. 2018 Dec;20(Suppl I):I2-I10. doi:10.1093/eurheartj/suy039. Epub 2018 Dec 11. PMID: 30555279; PMCID: PMC6288642.</t>
  </si>
  <si>
    <t>90: Bouchez S, Fedele F, Giannakoulas G, Gustafsson F, Harjola VP, Karason K, Kivikko M, von Lewinski D, Oliva F, Papp Z, Parissis J, Pollesello P, Pölzl G, Tschöpe C. Levosimendan in Acute and Advanced Heart Failure: an Expert Perspective on Posology and Therapeutic Application. Cardiovasc Drugs Ther. 2018 Dec;32(6):617-624. doi: 10.1007/s10557-018-6838-2. PMID: 30402660; PMCID: PMC6267661.</t>
  </si>
  <si>
    <t>91: Menger J, Edlinger-Stanger M, Dworschak M, Steinlechner B. Postoperative management of patients undergoing cardiac surgery in Austria : A national survey on current clinical practice in hemodynamic monitoring and postoperative management. Wien Klin Wochenschr. 2018 Dec;130(23-24):716-721. doi:10.1007/s00508-018-1403-3. Epub 2018 Oct 29. PMID: 30374775; PMCID: PMC6290729.</t>
  </si>
  <si>
    <t>75: Tavazzi G, Mojoli F, Iotti GA, Via G. Does Levosimendan Have Room in Takotsubo Syndrome? JACC Heart Fail. 2019 Feb;7(2):174. doi:10.1016/j.jchf.2018.10.015. PMID: 30704607.</t>
  </si>
  <si>
    <t>66: Faisal SA, Apatov DA, Ramakrishna H, Weiner MM. Levosimendan in Cardiac Surgery: Evaluating the Evidence. J Cardiothorac Vasc Anesth. 2019 Apr;33(4):1146-1158. doi: 10.1053/j.jvca.2018.05.035. Epub 2018 May 28. PMID: 30055988</t>
  </si>
  <si>
    <t>65: Elhassan A, Essandoh M. Inhaled Levosimendan for Pulmonary Hypertension Treatment During Cardiac Surgery: A Novel Application to Avoid Systemic Hypotension. J Cardiothorac Vasc Anesth. 2019 Apr;33(4):1169-1170. doi:10.1053/j.jvca.2018.11.039. Epub 2018 Nov 28. PMID: 30612930.</t>
  </si>
  <si>
    <t>64: Tavares J, Baptista B, Sarmento P, Gonçalves B, Abecassis M. Levosimendan In Single Ventricle Heart Failure After Longterm Survival Of A Modified Blalock-Taussig Shunt. Rev Port Cir Cardiotorac Vasc. 2019 Apr-Jun;26(2):147-149. PMID: 31476817</t>
  </si>
  <si>
    <t>67: Bunte S, Lill T, Falk M, Stroethoff M, Raupach A, Mathes A, Heinen A, Hollmann MW, Huhn R. Impact of Anesthetics on Cardioprotection Induced by Pharmacological Preconditioning. J Clin Med. 2019 Mar 21;8(3):396. doi:10.3390/jcm8030396. PMID: 30901956; PMCID: PMC6462902.</t>
  </si>
  <si>
    <t>69: Finsterer J, Stöllberger C. Beneficiality of levosimendan for Takotsubo syndrome remains uncertain. Ann Transl Med. 2019 Mar;7(5):109. doi:10.21037/atm.2019.02.01. PMID: 31019959; PMCID: PMC6462646.</t>
  </si>
  <si>
    <t>68: Moltrasio M, Cosentino N, Conte E, Campodonico J, Marenzi G. Treatment of refractory vasospastic angina complicated by acute pulmonary oedema with levosimendan: a case report. Eur Heart J Case Rep. 2019 Feb 5;3(1):ytz002. doi:10.1093/ehjcr/ytz002. PMID: 31020247; PMCID: PMC6439361.</t>
  </si>
  <si>
    <t>74: Vally S, Ferdynus C, Persichini R, Bouchet B, Braunberger E, Lo Pinto H, Martinet O, Vandroux D, Aujoulat T, Allyn J, Allou N. Impact of levosimendan on weaning from peripheral venoarterial extracorporeal membrane oxygenation in intensive care unit. Ann Intensive Care. 2019 Feb 1;9(1):24. doi:10.1186/s13613-019-0503-1. PMID: 30707314; PMCID: PMC6358626.</t>
  </si>
  <si>
    <t>73: Abdelrahman AM, Al Suleimani Y, Shalaby A, Ashique M, Manoj P, Al-Saadi H, Ali BH. Effect of levosimendan, a calcium sensitizer, on cisplatin-induced nephrotoxicity in rats. Toxicol Rep. 2019 Feb 25;6:232-238. doi:10.1016/j.toxrep.2019.02.006. PMID: 30886824; PMCID: PMC6402298.</t>
  </si>
  <si>
    <t>72: Conte SM, Florisson DS, De Bono JA, Davies RA, Newcomb AE. Levosimendan Following Cardiac Surgery. Heart Lung Circ. 2019 Mar;28(3):e19-e20. doi:10.1016/j.hlc.2018.02.018. Epub 2018 Mar 6. PMID: 29581038.</t>
  </si>
  <si>
    <t>71: Sumanaru D, Josseran L, Essid A, Mbieleu B, Haegy I, Bergounioux J. Levosimendan as Rescue Therapy for Acute Heart Failure in a Patient with Duchenne Muscular Dystrophy. Pediatr Cardiol. 2019 Mar;40(3):668-670. doi:10.1007/s00246-019-02072-9. Epub 2019 Feb 22. PMID: 30796500.</t>
  </si>
  <si>
    <t>70: Wang Y, Guo W, Ma J. Takotsubo cardiomyopathy and giant r wave syndrome mimicking acute myocardial infarction: A case report. Medicine (Baltimore). 2019 Mar;98(9):e14677. doi: 10.1097/MD.0000000000014677. PMID: 30817596; PMCID: PMC6831224.</t>
  </si>
  <si>
    <t>76: Pölzl G, Allipour Birgani S, Comín-Colet J, Delgado JF, Fedele F, García-Gonzáles MJ, Gustafsson F, Masip J, Papp Z, Störk S, Ulmer H, Vrtovec B, Wikström G, Altenberger J. Repetitive levosimendan infusions for patients with advanced chronic heart failure in the vulnerable post-discharge period. ESC Heart Fail. 2019 Feb;6(1):174-181. doi: 10.1002/ehf2.12366. Epub 2018 Oct 30. PMID: 30378288; PMCID: PMC6351894.</t>
  </si>
  <si>
    <t>77: Ng KT, Chan XL, Tan W, Wang CY. Levosimendan use in patients with preoperative low ejection fraction undergoing cardiac surgery: A systematic review with meta-analysis and trial sequential analysis. J Clin Anesth. 2019 Feb;52:37-47. doi: 10.1016/j.jclinane.2018.08.019. Epub 2018 Aug 30. PMID: 30172838</t>
  </si>
  <si>
    <t>58: Buzzini RF, Silvinato A, Floriano I, Bernardo WM, Almeida GR. Decompensated congestive heart failure - treatment with levosimendan. Rev Assoc Med Bras (1992). 2019 May 2;65(4):524-529. doi: 10.1590/1806-9282.65.4.524. PMID: 31066804</t>
  </si>
  <si>
    <t>59: Li J, Wang XY, Yang ZY, Li Y, Yang F, Yuan P, Yang J. The efficacy of simendan in the treatment of acute heart failure and its impact on NT-proBNP. Eur Rev Med Pharmacol Sci. 2019 May;23(9):4027-4032. doi:10.26355/eurrev_201905_17833. PMID: 31115032.</t>
  </si>
  <si>
    <t>61: Yang F, Zhao LN, Sun Y, Chen Z. Levosimendan as a new force in the treatment of sepsis-induced cardiomyopathy: mechanism and clinical application. J Int Med Res. 2019 May;47(5):1817-1828. doi: 10.1177/0300060519837103. Epub 2019 Apr 8. PMID: 30958071; PMCID: PMC6567749.</t>
  </si>
  <si>
    <t>62: Ali A, Redfors B, Lundgren J, Alkhoury J, Oras J, Gan LM, Omerovic E. Effects of pretreatment with cardiostimulants and beta-blockers on isoprenaline-induced takotsubo-like cardiac dysfunction in rats. Int J Cardiol. 2019 Apr 15;281:99-104. doi: 10.1016/j.ijcard.2018.12.045. Epub 2018 Dec 21. PMID: 30638749</t>
  </si>
  <si>
    <t>60: Hötzel A, Loop T. Pulmonale Hypertonie: anästhesiologisches Management [Anaesthesia in Patients with Pulmonary Hypertension]. Anasthesiol Intensivmed Notfallmed Schmerzther. 2019 May;54(5):334-346. German. doi:10.1055/a-0668-4653. Epub 2019 May 13. PMID: 31083758.</t>
  </si>
  <si>
    <t>63: Sparrow AJ, Sievert K, Patel S, Chang YF, Broyles CN, Brook FA, Watkins H, Geeves MA, Redwood CS, Robinson P, Daniels MJ. Measurement of Myofilament-Localized Calcium Dynamics in Adult Cardiomyocytes and the Effect of Hypertrophic Cardiomyopathy Mutations. Circ Res. 2019 Apr 12;124(8):1228-1239. doi: 10.1161/CIRCRESAHA.118.314600. PMID: 30732532; PMCID: PMC6485313.</t>
  </si>
  <si>
    <t>53: Pirracchio R. Should we still prescribe Levosimendan for low cardiac output after cardiac surgery? Perhaps in the good patients! Anaesth Crit Care Pain Med. 2019 Jun;38(3):215-216. doi: 10.1016/j.accpm.2019.03.003. Epub 2019 Mar 9. PMID: 30857923</t>
  </si>
  <si>
    <t>55: Zhu J, Zhang Y, Chen L, He Y, Qing X. Levosimendan in patients with low cardiac output syndrome undergoing cardiac surgery: A systematic review and meta-analysis. Anaesth Crit Care Pain Med. 2019 Jun;38(3):243-249. doi:10.1016/j.accpm.2018.08.005. Epub 2018 Oct 17. PMID: 30342103.</t>
  </si>
  <si>
    <t>56: Feng F, Chen Y, Li M, Yuan JJ, Chang XN, Dong CM. Levosimendan does not reduce the mortality of critically ill adult patients with sepsis and septic shock: a meta-analysis. Chin Med J (Engl). 2019 May 20;132(10):1212-1217. doi:10.1097/CM9.0000000000000197. PMID: 31140992; PMCID: PMC6511414.</t>
  </si>
  <si>
    <t>57: Santhakumaran S, Gordon A, Prevost AT, O'Kane C, McAuley DF, Shankar-Hari M. Heterogeneity of treatment effect by baseline risk of mortality in critically ill patients: re-analysis of three recent sepsis and ARDS randomised controlled trials. Crit Care. 2019 May 3;23(1):156. doi: 10.1186/s13054-019-2446-1. PMID: 31053084; PMCID: PMC6500045.</t>
  </si>
  <si>
    <t>44: Yenerçağ M, Arslan U, Erdoğan G, Şeker OO, Yontar OC. A 99-year old patient with takotsubo cardiomyopathy recovering from cardiogenic shock. J Geriatr Cardiol. 2019 Jul;16(7):578-579. doi: 10.11909/j.issn.1671-5411.2019.07.007. PMID: 31447897; PMCID: PMC6689523.</t>
  </si>
  <si>
    <t>45: Gozeler MS, Ekinci Akdemir FN, Yildirim S, Sahin A, Eser G, Askin S. Levosimendan ameliorates cisplatin-induced ototoxicity: Rat model. Int J Pediatr Otorhinolaryngol. 2019 Jul;122:70-75. doi: 10.1016/j.ijporl.2019.04.004. Epub 2019 Apr 5. PMID: 30978472.</t>
  </si>
  <si>
    <t>46: Potter EK, Hodgson L, Creagh-Brown B, Forni LG. Manipulating the Microcirculation in Sepsis - the Impact of Vasoactive Medications on Microcirculatory Blood Flow: A Systematic Review. Shock. 2019 Jul;52(1):5-12. doi: 10.1097/SHK.0000000000001239. PMID: 30102639.</t>
  </si>
  <si>
    <t>47: Pashkovetsky E, Gupta CA, Aronow WS. Use of levosimendan in acute and advanced heart failure: short review on available real-world data. Ther Clin Risk Manag. 2019 Jun 17;15:765-772. doi: 10.2147/TCRM.S188761. PMID: 31354283; PMCID: PMC6588712.</t>
  </si>
  <si>
    <t>49: Klein BA, Robertson IM, Reiz B, Kampourakis T, Li L, Sykes BD. Thioimidate Bond Formation between Cardiac Troponin C and Nitrile-containing Compounds. ACS Med Chem Lett. 2019 May 15;10(6):1007-1012. doi: 10.1021/acsmedchemlett.9b00168. PMID: 32426091; PMCID: PMC7227049.</t>
  </si>
  <si>
    <t>50: Cholley B, Caruba T. Should we keep levosimendan in our pharmacies? Yes, undoubtedly! Anaesth Crit Care Pain Med. 2019 Jun;38(3):211-212. doi:10.1016/j.accpm.2019.04.007. PMID: 31076141.</t>
  </si>
  <si>
    <t>51: Dempsey E, Rabe H. The Use of Cardiotonic Drugs in Neonates. Clin Perinatol. 2019 Jun;46(2):273-290. doi: 10.1016/j.clp.2019.02.010. Epub 2019 Mar 30. PMID: 31010560</t>
  </si>
  <si>
    <t>52: Fletcher N. CON: Levosimendan should be used in clinical practice for patients with significantly impaired left ventricular function undergoing cardiac surgery. Anaesth Crit Care Pain Med. 2019 Jun;38(3):213-214. doi:10.1016/j.accpm.2019.03.004. Epub 2019 Mar 9. PMID: 30857925.</t>
  </si>
  <si>
    <t>43: Korkmaz H, Yilmaz M. The effects of levosimendan use on high-sensitivity C-reactive protein in patients with decompensated heart failure. Arch Med Sci Atheroscler Dis. 2019 Jul 22;4:e174-e179. doi: 10.5114/amsad.2019.86803. PMID: 31448350; PMCID: PMC6705148.</t>
  </si>
  <si>
    <t>32: Płonka J, Bugajski J, Feusette P, Duszańska A, Gierlotka M. Levosimendan – a valuable player in the treatment of a right-sided heart failure. Wiad Lek. 2019 Aug 31;72(8):1586-1591. PMID: 32012513.</t>
  </si>
  <si>
    <t>35: Levy B, Buzon J, Kimmoun A. Inotropes and vasopressors use in cardiogenic shock: when, which and how much? Curr Opin Crit Care. 2019 Aug;25(4):384-390. doi: 10.1097/MCC.0000000000000632. PMID: 31166204.</t>
  </si>
  <si>
    <t>37: Trambaiolo P, Bertini P, Borrelli N, Poli M, Romano S, Ferraiuolo G, Penco M, Guarracino F. Evaluation of ventriculo-arterial coupling in ST elevation myocardial infarction with left ventricular dysfunction treated with levosimendan. Int J Cardiol. 2019 Aug 1;288:1-4. doi:10.1016/j.ijcard.2019.04.052. Epub 2019 Apr 17. PMID: 31056414.</t>
  </si>
  <si>
    <t>34: Cameli M, Incampo E, Navarri R, Mandoli GE, Sciaccaluga C, Righini FM, Palmerini E, Sisti N, Mondillo S, Lunghetti S. Effects of levosimendan in heart failure: The role of echocardiography. Echocardiography. 2019 Aug;36(8):1566-1572. doi: 10.1111/echo.14419. Epub 2019 Jul 9. PMID: 31287582.</t>
  </si>
  <si>
    <t>38: Wang W, Zhou X, Liao X, Liu B, Yu H. The efficacy and safety of prophylactic use of levosimendan on patients undergoing coronary artery bypass graft: a systematic review and meta-analysis. J Anesth. 2019 Aug;33(4):543-550. doi:10.1007/s00540-019-02643-3. Epub 2019 Apr 25. PMID: 31025104.</t>
  </si>
  <si>
    <t>39: Hessel EA 2nd. What's New in Cardiopulmonary Bypass. J Cardiothorac Vasc Anesth. 2019 Aug;33(8):2296-2326. doi: 10.1053/j.jvca.2019.01.039. Epub 2019 Jan 16. PMID: 30928282.</t>
  </si>
  <si>
    <t>40: Beiras-Fernandez A, Kornberger A, Oberhoffer M, Kur F, Weis M, Vahl CF, Weis F. Levosimendan as rescue therapy in low output syndrome after cardiac surgery: effects and predictors of outcome. J Int Med Res. 2019 Aug;47(8):3502-3512. doi:10.1177/0300060519835087. Epub 2019 Mar 26. PMID: 30909776; PMCID: PMC6726822.</t>
  </si>
  <si>
    <t>41: Kaltsi I, Angelopoulos E, Tzanis G, Sideris A, Tyrovolas K, Kokkoris S, Gratziou C, Nanas S, Routsi C. Contribution of Levosimendan in Weaning from Mechanical Ventilation in Patients with Left Ventricular Dysfunction: A Pilot Study. Crit Care Res Pract. 2019 Jul 24;2019:7169492. doi: 10.1155/2019/7169492. PMID: 31428473; PMCID: PMC6681623.</t>
  </si>
  <si>
    <t>25: Thorlacius EM, Suominen PK, Wåhlander H, Keski-Nisula J, Vistnes M, Ricksten SE, Synnergren M, Romlin BS, Castellheim A. The Effect of Levosimendan Versus Milrinone on the Occurrence Rate of Acute Kidney Injury Following Congenital Heart Surgery in Infants: A Randomized Clinical Trial. Pediatr Crit Care Med. 2019 Oct;20(10):947-956. doi: 10.1097/PCC.0000000000002017. PMID: 31274775.</t>
  </si>
  <si>
    <t>26: Rodríguez-González R, Pollesello P, Baluja A, Álvarez J. Effects of Levosimendan on Inflammation and Oxidative Stress Pathways in a Lipopolysaccharide-Stimulated Human Endothelial Cell Model. Biol Res Nurs. 2019 Oct;21(5):466-472. doi: 10.1177/1099800419861694. Epub 2019 Jul 4. PMID: 31272201</t>
  </si>
  <si>
    <t>27: Pan J, Yang YM, Zhu JY, Lu YQ. Multiorgan Drug Action of Levosimendan in Critical Illnesses. Biomed Res Int. 2019 Sep 19;2019:9731467. doi:10.1155/2019/9731467. PMID: 31641670; PMCID: PMC6770297.</t>
  </si>
  <si>
    <t>28: Sakaguchi T, Hashimoto Y, Matsushima H, Hishikawa H, Nishizawa M, Okumura T, Kaibori M. Levosimendan pretreatment improves survival of septic rats after partial hepatectomy and suppresses iNOS induction in cytokine-stimulated hepatocytes. Sci Rep. 2019 Sep 16;9(1):13398. doi: 10.1038/s41598-019-48792-z. PMID: 31527618; PMCID: PMC6746814.</t>
  </si>
  <si>
    <t>29: Fodor GH, Bayat S, Babik B, Habre W, Peták F. Reversing Cholinergic Bronchoconstriction by Common Inotropic Agents: A Randomized Experimental Trial on Isolated Perfused Rat Lungs. Anesth Analg. 2019 Sep;129(3):745-752. doi:10.1213/ANE.0000000000003502. PMID: 31425216.</t>
  </si>
  <si>
    <t>30: Márton Z, Pataricza J, Pollesello P, Varró A, Papp JG. The Novel Inodilator ORM-3819 Relaxes Isolated Porcine Coronary Arteries: Role of Voltage-Gated Potassium Channel Activation. J Cardiovasc Pharmacol. 2019 Sep;74(3):218-224. doi: 10.1097/FJC.0000000000000700. Erratum in: J Cardiovasc Pharmacol. 2019 Nov;74(5):481. doi: 10.1097/FJC.0000000000000756. PMID: 31356552.</t>
  </si>
  <si>
    <t>24: Al-Chalabi A, Shaw P, Leigh PN, van den Berg L, Hardiman O, Ludolph A, Aho VV, Sarapohja T, Kuoppamäki M. Oral levosimendan in amyotrophic lateral sclerosis: a phase II multicentre, randomised, double-blind, placebo-controlled trial. J Neurol Neurosurg Psychiatry. 2019 Oct;90(10):1165-1170. doi:10.1136/jnnp-2018-320288. Epub 2019 Jul 17. PMID: 31315908; PMCID: PMC6817985.</t>
  </si>
  <si>
    <t>15: Sharma V, Tempe DK. The Effect of Inhaled Milrinone Versus Inhaled Levosimendan in Pulmonary Hypertension Patients Undergoing Mitral Valve Surgery. J Cardiothorac Vasc Anesth. 2019 Nov;33(11):3221. doi:10.1053/j.jvca.2019.06.014. Epub 2019 Jun 19. PMID: 31350143.</t>
  </si>
  <si>
    <t>16: Zhou S, Zhang L, Li J. Effect of levosimendan in patients with acute decompensated heart failure : A meta-analysis. Herz. 2019 Nov;44(7):630-636. English. doi: 10.1007/s00059-018-4693-3. Epub 2018 Apr 10. PMID: 29637229.</t>
  </si>
  <si>
    <t>17: Honore PM, Gutierrez LB, Redant S, Kaefer K, Gallerani A, De Bels D. How levosimendan can improve renal function? Crit Care. 2019 Oct 29;23(1):331. doi:10.1186/s13054-019-2642-z. PMID: 31665062; PMCID: PMC6819467.</t>
  </si>
  <si>
    <t>18: Valko L, Csosza G, Merei A, Muhl D, Faludi R, Karlocai K, Lorx A, Gal J. Management of acutely decompensated chronic thromboembolic pulmonary hypertension in late pregnancy: a case report. BMC Pregnancy Childbirth. 2019 Oct 21;19(1):365. doi: 10.1186/s12884-019-2545-7. PMID: 31638921; PMCID: PMC6805312.</t>
  </si>
  <si>
    <t>19: Khaled M, Almogy AN, Shehata M, Ragab F, Zeineldin K. Effect of Levosimendan Compared to Conventional Inotropic Agents on Hemodynamics and Outcome in Patient with Poor LV Function Undergoing Cardiac Surgery. Open Access Maced J Med Sci. 2019 Aug 14;7(19):3205-3210. doi: 10.3889/oamjms.2019.675. PMID: 31949517; PMCID: PMC6953938.</t>
  </si>
  <si>
    <t>20: Stroethoff M, Bunte S, Raupach A, van de Snepscheut M, Torregroza C, Heinen A, Mathes A, Hollmann MW, Huhn R, Sixt SU. Impact of Ca&lt;sup&gt;2+&lt;/sup&gt;-Sensitive Potassium Channels in Levosimendan-Induced Postconditioning. Cardiovasc Drugs Ther. 2019 Oct;33(5):581-588. doi: 10.1007/s10557-019-06908-7. PMID: 31705225.</t>
  </si>
  <si>
    <t>21: Alexander PMA, Akcan-Arikan A, Shekerdemian LS. Another Outcome Lost to the Benefits of Levosimendan? Pediatr Crit Care Med. 2019 Oct;20(10):992-994. doi:10.1097/PCC.0000000000002019. PMID: 31580276.</t>
  </si>
  <si>
    <t>22: Roesthuis L, van der Hoeven H, Sinderby C, Frenzel T, Ottenheijm C, Brochard L, Doorduin J, Heunks L. Effects of levosimendan on respiratory muscle function in patients weaning from mechanical ventilation. Intensive Care Med. 2019 Oct;45(10):1372-1381. doi: 10.1007/s00134-019-05767-y. Epub 2019 Oct 1. PMID: 31576436; PMCID: PMC6773912.</t>
  </si>
  <si>
    <t>23: Antcliffe DB, Santhakumaran S, Orme RML, Ward JK, Al-Beidh F, O'Dea K, Perkins GD, Singer M, McAuley DF, Mason AJ, Cross M, Ashby D, Gordon AC. Levosimendan in septic shock in patients with biochemical evidence of cardiac dysfunction: a subgroup analysis of the LeoPARDS randomised trial. Intensive Care Med. 2019 Oct;45(10):1392-1400. doi: 10.1007/s00134-019-05731-w. Epub 2019 Aug 19. PMID: 31428804.</t>
  </si>
  <si>
    <t>12: Pollesello P, Ben Gal T, Bettex D, Cerny V, Comin-Colet J, Eremenko AA, Farmakis D, Fedele F, Fonseca C, Harjola VP, Herpain A, Heringlake M, Heunks L, Husebye T, Ivancan V, Karason K, Kaul S, Kubica J, Mebazaa A, Mølgaard H, Parissis J, Parkhomenko A, Põder P, Pölzl G, Vrtovec B, Yilmaz MB, Papp Z. Short-Term Therapies for Treatment of Acute and Advanced Heart Failure-Why so Few Drugs Available in Clinical Use, Why Even Fewer in the Pipeline? J Clin Med. 2019 Nov 1;8(11):1834. doi: 10.3390/jcm8111834. PMID: 31683969; PMCID: PMC6912236.</t>
  </si>
  <si>
    <t>11: Al-Chalabi A, Heunks LMA, Papp Z, Pollesello P. Potential of the Cardiovascular Drug Levosimendan in the Management of Amyotrophic Lateral Sclerosis: An Overview of a Working Hypothesis. J Cardiovasc Pharmacol. 2019 Nov;74(5):389-399. doi: 10.1097/FJC.0000000000000728. PMID: 31730560.</t>
  </si>
  <si>
    <t>10: Wang YB, Hao GZ, Jiang YF, Fu XH, Fan WZ, Miao Q, Wang Q, Li HX, Gu XS. Effects of Levosimendan on Right Ventricular Function in Patients with Acute Decompensated Heart Failure. Acta Cardiol Sin. 2019 Nov;35(6):585-591. doi:10.6515/ACS.201911_35(6).20190327A. PMID: 31879509; PMCID: PMC6859094.</t>
  </si>
  <si>
    <t>9: Agostoni P, Farmakis DT, García-Pinilla JM, Harjola VP, Karason K, von Lewinski D, Parissis J, Pollesello P, Pölzl G, Recio-Mayoral A, Reinecke A, Yerly P, Zima E. Haemodynamic Balance in Acute and Advanced Heart Failure: An Expert Perspective on the Role of Levosimendan. Card Fail Rev. 2019 Nov 4;5(3):155-161. doi: 10.15420/cfr.2019.01.R1. PMID: 31768272; PMCID: PMC6848932.</t>
  </si>
  <si>
    <t>1: Qiu J, Jia L, Hao Y, Huang S, Ma Y, Li X, Wang M, Mao Y. Efficacy and safety of levosimendan in patients with acute right heart failure: A meta-analysis. Life Sci. 2017 Sep 1;184:30-36. doi: 10.1016/j.lfs.2017.07.001. Epub 2017 Jul 8. PMID: 28689804.</t>
  </si>
  <si>
    <t>2: Giannini C, Petronio AS, Fiorelli F, Liga R, Spontoni P, De Carlo M, Marraccini E, Pieroni A, Guarracino F. Effects of levosimendan in patients with severe functional mitral regurgitation undergoing MitraClip implantation. J Cardiovasc Med (Hagerstown). 2017 Sep;18(9):679-686. doi:10.2459/JCM.0000000000000537. PMID: 28678148.</t>
  </si>
  <si>
    <t>3: Hajjej Z, Meddeb B, Sellami W, Labbene I, Morelli A, Ferjani M. Effects of Levosimendan on Cellular Metabolic Alterations in Patients With Septic Shock: A Randomized Controlled Pilot Study. Shock. 2017 Sep;48(3):307-312. doi:10.1097/SHK.0000000000000851. PMID: 28234790; PMCID: PMC5516668.</t>
  </si>
  <si>
    <t>10: Lin L, Sherrah A, Vallely M, Simmons L. A case of mitral annuloplasty band dehiscence. Eur Heart J Cardiovasc Imaging. 2017 Jun 1;18(6):662. doi:10.1093/ehjci/jex016. PMID: 28204114.</t>
  </si>
  <si>
    <t>9: Bhattacharjee S, Soni KD, Maitra S, Baidya DK. Levosimendan does not provide mortality benefit over dobutamine in adult patients with septic shock: A meta-analysis of randomized controlled trials. J Clin Anesth. 2017 Jun;39:67-72. doi:10.1016/j.jclinane.2017.03.011. Epub 2017 Mar 30. PMID: 28494911.</t>
  </si>
  <si>
    <t>8: Udayasankar S. Question 2 Is levosimendan better than milrinone in preventing post operative low cardiac output syndrome and improving cardiac function in children with congenital heart disease? Arch Dis Child. 2017 Jun;102(6):590-592. doi: 10.1136/archdischild-2017-312660. PMID: 28536187.</t>
  </si>
  <si>
    <t>13: Wang X, Li S. Effect of small-dose levosimendan on mortality rates and organ functions in Chinese elderly patients with sepsis. Clin Interv Aging. 2017 May 29;12:917-921. doi: 10.2147/CIA.S136355. PMID: 28603411; PMCID: PMC5457123.</t>
  </si>
  <si>
    <t>12: Papanikolaou J, Makris D, Tsolaki V, Spathoulas K, Zakynthinos E. Post-partum hemorrhage complicated by reverse-Takotsubo cardiogenic shock; a novel therapeutic approach. Am J Emerg Med. 2017 Jun;35(6):935.e1-935.e3. doi:10.1016/j.ajem.2016.12.034. Epub 2016 Dec 19. PMID: 28012808.</t>
  </si>
  <si>
    <t>14: Desai AS, Jarcho JA. Levosimendan for the Low Cardiac Output Syndrome after Cardiac Surgery. N Engl J Med. 2017 May 25;376(21):2076-2078. doi:10.1056/NEJMe1705455. PMID: 28538112.</t>
  </si>
  <si>
    <t>11: Frommeyer G, Kohnke A, Ellermann C, Dechering DG, Kochhäuser S, Reinke F, Fehr M, Eckardt L. Acute infusion of levosimendan enhances atrial fibrillation in an experimental whole-heart model. Int J Cardiol. 2017 Jun 1;236:423-426. doi: 10.1016/j.ijcard.2017.01.106. Epub 2017 Jan 18. PMID: 28132779.</t>
  </si>
  <si>
    <t>7: Joannidis M, Druml W, Forni LG, Groeneveld ABJ, Honore PM, Hoste E, Ostermann M, Oudemans-van Straaten HM, Schetz M. Prevention of acute kidney injury and protection of renal function in the intensive care unit: update 2017 : Expert opinion of the Working Group on Prevention, AKI section, European Society of Intensive Care Medicine. Intensive Care Med. 2017 Jun;43(6):730-749. doi:10.1007/s00134-017-4832-y. Epub 2017 Jun 2. PMID: 28577069; PMCID: PMC5487598.</t>
  </si>
  <si>
    <t>6: Huang HC, Tsai HJ, Wang CC, Tsao CM, Ka SM, Liaw WJ, Wu CC. Levosimendan mitigates coagulopathy and organ dysfunction in rats with endotoxemia. J Chin Med Assoc. 2017 Jul;80(7):432-441. doi: 10.1016/j.jcma.2016.12.008. Epub 2017 May 3. PMID: 28479018.</t>
  </si>
  <si>
    <t>5: Hummel J, Rücker G, Stiller B. Prophylactic levosimendan for the prevention of low cardiac output syndrome and mortality in paediatric patients undergoing surgery for congenital heart disease. Cochrane Database Syst Rev. 2017 Aug 2;8(8):CD011312. doi: 10.1002/14651858.CD011312.pub3. PMID: 28770972; PMCID: PMC6483297.</t>
  </si>
  <si>
    <t>4: Cholley B, Caruba T, Grosjean S, Amour J, Ouattara A, Villacorta J, Miguet B, Guinet P, Lévy F, Squara P, Aït Hamou N, Carillion A, Boyer J, Boughenou MF, Rosier S, Robin E, Radutoiu M, Durand M, Guidon C, Desebbe O, Charles-Nelson A, Menasché P, Rozec B, Girard C, Fellahi JL, Pirracchio R, Chatellier G; -. Effect of Levosimendan on Low Cardiac Output Syndrome in Patients With Low Ejection Fraction Undergoing Coronary Artery Bypass Grafting With Cardiopulmonary Bypass: The LICORN Randomized Clinical Trial. JAMA. 2017 Aug 8;318(6):548-556. doi:10.1001/jama.2017.9973. PMID: 28787507; PMCID: PMC5817482.</t>
  </si>
  <si>
    <t>200: Krychtiuk KA, Watzke L, Kaun C, Buchberger E, Hofer-Warbinek R, Demyanets S, Pisoni J, Kastl SP, Rauscher S, Gröger M, Aliabadi A, Zuckermann A, Maurer G, de Martin R, Huber K, Wojta J, Speidl WS. Levosimendan exerts anti-inflammatory effects on cardiac myocytes and endothelial cells in vitro. Thromb Haemost. 2015 Feb;113(2):350-62. doi: 10.1160/TH14-06-0549. Epub 2014 Oct 2. PMID: 25273157.</t>
  </si>
  <si>
    <t>199: Alkan M, Çelik A, Bilge M, Kiraz HA, Kip G, Özer A, Şıvgın V, Erdem Ö, Arslan M, Kavutçu M. The effect of levosimendan on lung damage after myocardial ischemia reperfusion in rats in which experimental diabetes was induced. J Surg Res. 2015 Feb;193(2):920-5. doi: 10.1016/j.jss.2014.08.038. Epub 2014 Aug 28. PMID: 25288204.</t>
  </si>
  <si>
    <t>191: Burkhardt BE, Rücker G, Stiller B. Prophylactic milrinone for the prevention of low cardiac output syndrome and mortality in children undergoing surgery for congenital heart disease. Cochrane Database Syst Rev. 2015 Mar 25;2015(3):CD009515. doi: 10.1002/14651858.CD009515.pub2. PMID: 25806562; PMCID: PMC11032183.</t>
  </si>
  <si>
    <t>190: Yi GY, Li JX, Zhang J, Niu LL, Zhang CY. Repetitive infusion of levosimendan in patients with chronic heart failure: a meta-analysis. Med Sci Monit. 2015 Mar 26;21:895-901. doi: 10.12659/MSM.893736. PMID: 25811545; PMCID: PMC4386591.</t>
  </si>
  <si>
    <t>192: Torrado H, López-Delgado JC, Farrero E, Rodríguez-Castro D, Castro MJ, Periche E, Carrió ML, Toscano JE, Pinseau A, Javierre C, Ventura JL. 5-year mortality in cardiac surgery patients with low cardiac output syndrome treated with levosimendan: prognostic evaluation of nt-probnp and c-reactive protein. Minerva Cardioangiol. 2015 Mar 18. Epub ahead of print. PMID: 25784076.</t>
  </si>
  <si>
    <t>193: Levijoki J, Kivikko M, Pollesello P, Sallinen J, Hyttilä-Hopponen M, Kuoppamäki M, Haasio K, Gröhn O, Miettinen R, Puoliväli J, Tähtivaara L, Yrjänheikki J, Haapalinna A. Levosimendan alone and in combination with valsartan prevents stroke in Dahl salt-sensitive rats. Eur J Pharmacol. 2015 Mar 5;750:132-40. doi: 10.1016/j.ejphar.2015.01.037. Epub 2015 Jan 29. PMID: 25641751</t>
  </si>
  <si>
    <t>194: Ørstavik Ø, Manfra O, Andressen KW, Andersen GØ, Skomedal T, Osnes JB, Levy FO, Krobert KA. The inotropic effect of the active metabolite of levosimendan, OR-1896, is mediated through inhibition of PDE3 in rat ventricular myocardium. PLoS One. 2015 Mar 4;10(3):e0115547. doi: 10.1371/journal.pone.0115547. PMID: 25738589; PMCID: PMC4349697.</t>
  </si>
  <si>
    <t>195: Schellekens WJ, van Hees HW, Linkels M, Dekhuijzen PN, Scheffer GJ, van der Hoeven JG, Heunks LM. Levosimendan affects oxidative and inflammatory pathways in the diaphragm of ventilated endotoxemic mice. Crit Care. 2015 Mar 2;19(1):69. doi: 10.1186/s13054-015-0798-8. PMID: 25888356; PMCID: PMC4355991.</t>
  </si>
  <si>
    <t>196: Grigor'ev EV, Toropova YG, Plotnikov GP, Krutitskiy SS, Shukevich DL, Salmin VV, Golovkin AS. [PHARMACOLOGICAL CARDIOPROTECTION DURING REPERFUSION OF ISOLATED HEART]. Anesteziol Reanimatol. 2015 Mar-Apr;60(2):12-6. Russian. PMID: 26148355</t>
  </si>
  <si>
    <t>197: Palmerini E, Söderberg S, Mondillo S, Favilli R, Lunghetti S. Effects of levosimendan on heart failure in normotensive patients: does loading dose matter? Acute Card Care. 2015 Mar;17(1):14-9. doi:10.3109/17482941.2015.1005102. Epub 2015 Mar 25. PMID: 25806830.</t>
  </si>
  <si>
    <t>198: Koster G, Wetterslev J, Gluud C, Zijlstra JG, Scheeren TW, van der Horst IC, Keus F. Effects of levosimendan for low cardiac output syndrome in critically ill patients: systematic review with meta-analysis and trial sequential analysis. Intensive Care Med. 2015 Feb;41(2):203-21. doi:10.1007/s00134-014-3604-1. Epub 2014 Dec 18. PMID: 25518953.</t>
  </si>
  <si>
    <t>189: Nielsen DV, Algotsson L. Outcome of inotropic therapy: is less always more? Curr Opin Anaesthesiol. 2015 Apr;28(2):159-64. doi:10.1097/ACO.0000000000000157. PMID: 25564993.</t>
  </si>
  <si>
    <t>188: Toller W, Heringlake M, Guarracino F, Algotsson L, Alvarez J, Argyriadou H, Ben-Gal T, Černý V, Cholley B, Eremenko A, Guerrero-Orriach JL, Järvelä K, Karanovic N, Kivikko M, Lahtinen P, Lomivorotov V, Mehta RH, Mušič Š, Pollesello P, Rex S, Riha H, Rudiger A, Salmenperä M, Szudi L, Tritapepe L, Wyncoll D, Öwall A. Preoperative and perioperative use of levosimendan in cardiac surgery: European expert opinion. Int J Cardiol. 2015 Apr 1;184:323-336. doi:10.1016/j.ijcard.2015.02.022. Epub 2015 Feb 24. PMID: 25734940.</t>
  </si>
  <si>
    <t>180: Yalta K. Reverse remodelling in systolic heart failure: A puzzle yet to be solved? Int J Cardiol. 2015 May 6;187:46-7. doi: 10.1016/j.ijcard.2015.03.174. Epub 2015 Mar 17. PMID: 25828311.</t>
  </si>
  <si>
    <t>179: Vilaboa Pedrosa C, Martínez Roca C, Yáñez Gómez P, Martín Herranz MI. Experience with levosimendan in 32 paediatric patients. Pediatr Cardiol. 2015 Jun;36(5):1038-41. doi: 10.1007/s00246-015-1117-5. Epub 2015 Jan 22. PMID: 25608697</t>
  </si>
  <si>
    <t>184: Greco T, Calabrò MG, Covello RD, Greco M, Pasin L, Morelli A, Landoni G, Zangrillo A. A Bayesian network meta-analysis on the effect of inodilatory agents on mortality. Br J Anaesth. 2015 May;114(5):746-56. doi:10.1093/bja/aeu446. Epub 2015 Feb 4. PMID: 25652947.</t>
  </si>
  <si>
    <t>183: Jia Z, Guo M, Zhang LY, Zhang YQ, Liang HQ, Song Y. Levosimendan and nesiritide as a combination therapy in patients with acute heart failure. Am J Med Sci. 2015 May;349(5):398-405. doi: 10.1097/MAJ.0000000000000461. PMID: 25853935</t>
  </si>
  <si>
    <t>182: Heringlake M, Paarmann H. Perioperative Herzinsuffizienz - Akute intraoperative Herzinsuffizienz [Perioperative heart failure - acute intraoperative heart failure]. Anasthesiol Intensivmed Notfallmed Schmerzther. 2015 May;50(5):340-8. German. doi: 10.1055/s-0041-101687. Epub 2015 May 27. PMID: 26018066.</t>
  </si>
  <si>
    <t>181: Ji F, Wen Y. [Levosimendan-induced liver damage in an elderly patient with heart failure]. Zhonghua Xin Xue Guan Bing Za Zhi. 2015 May;43(5):452-3. Chinese. PMID: 26419994.</t>
  </si>
  <si>
    <t>178: Butler L, Cros C, Oldman KL, Harmer AR, Pointon A, Pollard CE, Abi-Gerges N. Enhanced characterization of contractility in cardiomyocytes during early drug safety assessment. Toxicol Sci. 2015 Jun;145(2):396-406. doi:10.1093/toxsci/kfv062. Epub 2015 Mar 29. PMID: 25820236.</t>
  </si>
  <si>
    <t>187: Adam M, Meyer S, Knors H, Klinke A, Radunski UK, Rudolph TK, Rudolph V, Spin JM, Tsao PS, Costard-Jäckle A, Baldus S. Levosimendan displays anti-inflammatory effects and decreases MPO bioavailability in patients with severe heart failure. Sci Rep. 2015 Apr 13;5:9704. doi: 10.1038/srep09704. PMID: 25867530; PMCID: PMC4394753.</t>
  </si>
  <si>
    <t>132: Mardiguian S, Kivikko M, Heringlake M, Smare C, Bertranou E, Apajasalo M, Pollesello P. Cost-benefits of incorporating levosimendan into cardiac surgery practice: German base case. J Med Econ. 2016;19(5):506-14. doi:10.3111/13696998.2015.1136312. Epub 2016 Jan 8. PMID: 26707159.</t>
  </si>
  <si>
    <t>131: Rizza A, Bignami E, Belletti A, Polito A, Ricci Z, Isgrò G, Locatelli A, Cogo P. Vasoactive Drugs and Hemodynamic Monitoring in Pediatric Cardiac Intensive Care: An Italian Survey. World J Pediatr Congenit Heart Surg. 2016 Jan;7(1):25-31. doi: 10.1177/2150135115606626. PMID: 26714990.</t>
  </si>
  <si>
    <t>130: Sahu MK, Das A, Malik V, Subramanian A, Singh SP, Hote M. Comparison of levosimendan and nitroglycerine in patients undergoing coronary artery bypass graft surgery. Ann Card Anaesth. 2016 Jan-Mar;19(1):52-8. doi:10.4103/0971-9784.173020. PMID: 26750674; PMCID: PMC4900377.</t>
  </si>
  <si>
    <t>129: Heming N, Lamothe L, Ambrosi X, Annane D. Emerging drugs for the treatment of sepsis. Expert Opin Emerg Drugs. 2016;21(1):27-37. doi:10.1517/14728214.2016.1132700. Epub 2016 Jan 11. PMID: 26751198.</t>
  </si>
  <si>
    <t>120: Sommer S, Leistner M, Aleksic I, Schimmer C, Alhussini K, Kanofsky P, Leyh RG, Sommer SP. Impact of levosimendan and ischaemia-reperfusion injury on myocardial subsarcolemmal mitochondrial respiratory chain, mitochondrial membrane potential, Ca2+ cycling and ATP synthesis. Eur J Cardiothorac Surg. 2016 Feb;49(2):e54-62; discussion e62. doi: 10.1093/ejcts/ezv397. Epub 2015 Nov 18. PMID: 26586791.</t>
  </si>
  <si>
    <t>122: Pollesello P, Papp Z, Papp JG. Calcium sensitizers: What have we learned over the last 25 years? Int J Cardiol. 2016 Jan 15;203:543-8. doi:10.1016/j.ijcard.2015.10.240. Epub 2015 Nov 2. PMID: 26580334.</t>
  </si>
  <si>
    <t>123: Hering D, Jaguszewski M. Levosimendan: New hope therapy for takotsubo syndrome. Cardiol J. 2016;23(6):616-617. doi: 10.5603/CJ.2016.0101. PMID: 27976790</t>
  </si>
  <si>
    <t>113: Hillgaard TK, Andersen A, Andersen S, Vildbrad MD, Ringgaard S, Nielsen JM, Nielsen-Kudsk JE. Levosimendan Prevents Pressure-Overload-induced Right Ventricular Failure. J Cardiovasc Pharmacol. 2016 Apr;67(4):275-82. doi:10.1097/FJC.0000000000000349. PMID: 26674544.</t>
  </si>
  <si>
    <t>112: Gürbüzel M, Sayar I, Cankaya M, Gürbüzel A, Demirtas L, Bakirci EM, Capoglu I. The preventive role of levosimendan against bleomycin-induced pulmonary fibrosis in rats. Pharmacol Rep. 2016 Apr;68(2):378-82. doi:10.1016/j.pharep.2015.10.001. Epub 2015 Oct 23. PMID: 26922542.</t>
  </si>
  <si>
    <t>114: Nagy L, Pollesello P, Haikala H, Végh Á, Sorsa T, Levijoki J, Szilágyi S, Édes I, Tóth A, Papp Z, Papp JG. ORM-3819 promotes cardiac contractility through Ca(2+) sensitization in combination with selective PDE III inhibition, a novel approach to inotropy. Eur J Pharmacol. 2016 Mar 15;775:120-9. doi:10.1016/j.ejphar.2016.02.028. Epub 2016 Feb 9. PMID: 26872993.</t>
  </si>
  <si>
    <t>99: von Scheidt W, Pauschinger M, Ertl G. Long-term intravenous inotropes in low-output terminal heart failure? Clin Res Cardiol. 2016 Jun;105(6):471-81. doi: 10.1007/s00392-016-0968-y. Epub 2016 Feb 15. PMID: 26879807.</t>
  </si>
  <si>
    <t>98: Mishra A, Kumar B, Dutta V, Arya VK, Mishra AK. Comparative Effect of Levosimendan and Milrinone in Cardiac Surgery Patients With Pulmonary Hypertension and Left Ventricular Dysfunction. J Cardiothorac Vasc Anesth. 2016 Jun;30(3):639-46. doi: 10.1053/j.jvca.2016.01.015. Epub 2016 Jan 12. PMID: 27321790</t>
  </si>
  <si>
    <t>90: Séguéla PE, Tafer N, Thambo JB, Mauriat P. Utilisation du levosimendan chez l'enfant [Use of levosimendan in children]. Arch Pediatr. 2016 Aug;23(8):848-56. French. doi: 10.1016/j.arcped.2016.05.002. Epub 2016 Jun 29. PMID: 27369103.</t>
  </si>
  <si>
    <t>91: Huang Q, Yang H, Qin X. Levosimendan for Heart Failure. J Cardiothorac Vasc Anesth. 2016 Aug;30(4):e35. doi: 10.1053/j.jvca.2016.01.025. Epub 2016 Jan 22. PMID: 27179611.</t>
  </si>
  <si>
    <t>92: Pisano A, Monti G, Landoni G. Levosimendan: new indications and evidence for reduction in perioperative mortality? Curr Opin Anaesthesiol. 2016 Aug;29(4):454-61. doi: 10.1097/ACO.0000000000000357. PMID: 27168089.</t>
  </si>
  <si>
    <t>134: Schlürmann CN, Reinöhl J, Kalbhenn J. Levosimendan im septischen Schock bei Tako-Tsubo-Kardiomyopathie [Levosimendan for septic shock with takotsubo cardiomyopathy]. Anaesthesist. 2016 Jan;65(1):46-49. German. doi: 10.1007/s00101-015-0114-7. PMID: 26620046.</t>
  </si>
  <si>
    <t>128: Schweiger M, Krüger B, Cavigelli-Brunner A, Dave H, Schmiady M, Hübler M. Biventricular intracorporeal ventricular assist device in a 10-year-old child. Int J Artif Organs. 2016 Jan;39(1):48-50. doi: 10.5301/ijao.5000463. Epub 2016 Feb 23. PMID: 26916756.</t>
  </si>
  <si>
    <t>116: Tarkia M, Stark C, Haavisto M, Kentala R, Vähäsilta T, Savunen T, Strandberg M, Saunavaara V, Tolvanen T, Teräs M, Pietilä M, Nyman L, Duvall E, Saukko P, Levijoki J, Roivainen A, Saraste A, Knuuti J. Effect of levosimendan therapy on myocardial infarct size and left ventricular function after acute coronary occlusion. Heart. 2016 Mar;102(6):465-71. doi:10.1136/heartjnl-2015-308137. Epub 2016 Jan 13. PMID: 26762238.</t>
  </si>
  <si>
    <t>115: Pineda-Sanabria SE, Robertson IM, Sun YB, Irving M, Sykes BD. Probing the mechanism of cardiovascular drugs using a covalent levosimendan analog. J Mol Cell Cardiol. 2016 Mar;92:174-84. doi: 10.1016/j.yjmcc.2016.02.003. Epub 2016 Feb 4. PMID: 26853943; PMCID: PMC4831045.</t>
  </si>
  <si>
    <t>105: Feng J, Liu H, Chen J, Wang J, Liu Z, Ge S. Levosimendan Reduces Lung Injury in a Canine Model of Cardiopulmonary Bypass. Korean Circ J. 2016 May;46(3):402-7. doi: 10.4070/kcj.2016.46.3.402. Epub 2016 May 2. PMID: 27275177; PMCID: PMC4891605.</t>
  </si>
  <si>
    <t>104: Hauffe T, Krüger B, Bettex D, Rudiger A. Shock Management for Cardio-surgical Intensive Care Unit Patient: The Silver Days. Card Fail Rev. 2016 May;2(1):56-62. doi: 10.15420/cfr.2015:27:2. PMID: 28785454; PMCID: PMC5491038.</t>
  </si>
  <si>
    <t>103: Meng JB, Hu MH, Lai ZZ, Ji CL, Xu XJ, Zhang G, Tian S. Levosimendan Versus Dobutamine in Myocardial Injury Patients with Septic Shock: A Randomized Controlled Trial. Med Sci Monit. 2016 May 3;22:1486-96. doi:10.12659/msm.898457. PMID: 27138236; PMCID: PMC4861009.</t>
  </si>
  <si>
    <t>106: Papanikolaou J, Spathoulas K, Makris D, Koukoubani T, Zakynthinos E. Hemodynamic challenges in traumatic subarachnoid hemorrhage complicated by cerebral vasospasm. Am J Emerg Med. 2016 May;34(5):904-6. doi:10.1016/j.ajem.2016.01.041. Epub 2016 Feb 12. PMID: 26947367.</t>
  </si>
  <si>
    <t>107: Guerrero-Orriach JL, Ariza-Villanueva D, Florez-Vela A, Garrido-Sánchez L, Moreno-Cortés MI, Galán-Ortega M, Ramírez-Fernández A, Alcaide Torres J, Fernandez CS, Navarro Arce I, Melero-Tejedor JM, Rubio-Navarro M, Cruz-Mañas J. Cardiac, renal, and neurological benefits of preoperative levosimendan administration in patients with right ventricular dysfunction and pulmonary hypertension undergoing cardiac surgery: evaluation with two biomarkers neutrophil gelatinase-associated lipocalin and neuronal enolase. Ther Clin Risk Manag. 2016 Apr 21;12:623-30. doi: 10.2147/TCRM.S102772. PMID: 27143905; PMCID: PMC4844253.</t>
  </si>
  <si>
    <t>108: Bateman RM, Sharpe MD, Jagger JE, Ellis CG, Solé-Violán J, López-Rodríguez G, Rutten A, Van Ieperen S, De Geer S, Van Vugt M, Der Kinderen E, Giannini A, Miccinesi G, Marchesi T, Prandi E. 36th International Symposium on Intensive Care and Emergency Medicine : Brussels, Belgium. 15-18 March 2016. Crit Care. 2016 Apr 20;20(Suppl 2):94. doi: 10.1186/s13054-016-1208-6. Erratum in: Crit Care. 2016 Oct 24;20:347. doi: 10.1186/s13054-016-1358-6. PMID: 27885969; PMCID: PMC5493079.</t>
  </si>
  <si>
    <t>109: Pollesello P, Parissis J, Kivikko M, Harjola VP. Levosimendan meta-analyses: Is there a pattern in the effect on mortality? Int J Cardiol. 2016 Apr 15;209:77-83. doi: 10.1016/j.ijcard.2016.02.014. Epub 2016 Feb 3. PMID: 26882190</t>
  </si>
  <si>
    <t>110: Kushwah S, Kumar A, Sahana KS. Levosimendan. A promising future drug for refractory cardiac failure in children? Indian Heart J. 2016 Apr;68 Suppl 1(Suppl 1):S57-60. doi: 10.1016/j.ihj.2015.09.013. Epub 2015 Nov 10. PMID: 27056655; PMCID: PMC4824328.</t>
  </si>
  <si>
    <t>15: Landoni G, Lomivorotov VV, Alvaro G, Lobreglio R, Pisano A, Guarracino F, Calabrò MG, Grigoryev EV, Likhvantsev VV, Salgado-Filho MF, Bianchi A, Pasyuga VV, Baiocchi M, Pappalardo F, Monaco F, Boboshko VA, Abubakirov MN, Amantea B, Lembo R, Brazzi L, Verniero L, Bertini P, Scandroglio AM, Bove T, Belletti A, Michienzi MG, Shukevich DL, Zabelina TS, Bellomo R, Zangrillo A; CHEETAH Study Group. Levosimendan for Hemodynamic Support after Cardiac Surgery. N Engl J Med. 2017 May 25;376(21):2021-2031. doi: 10.1056/NEJMoa1616325. Epub 2017 Mar 21. PMID: 28320259.</t>
  </si>
  <si>
    <t>16: Mehta RH, Leimberger JD, van Diepen S, Meza J, Wang A, Jankowich R, Harrison RW, Hay D, Fremes S, Duncan A, Soltesz EG, Luber J, Park S, Argenziano M, Murphy E, Marcel R, Kalavrouziotis D, Nagpal D, Bozinovski J, Toller W, Heringlake M, Goodman SG, Levy JH, Harrington RA, Anstrom KJ, Alexander JH; LEVO-CTS Investigators. Levosimendan in Patients with Left Ventricular Dysfunction Undergoing Cardiac Surgery. N Engl J Med. 2017 May 25;376(21):2032-2042. doi:10.1056/NEJMoa1616218. Epub 2017 Mar 19. PMID: 28316276.</t>
  </si>
  <si>
    <t>17: Fernández-Ruiz I. Surgery: Neutral results for levosimendan in cardiac surgery. Nat Rev Cardiol. 2017 Apr 11;14(5):256. doi: 10.1038/nrcardio.2017.50. PMID: 28397845.</t>
  </si>
  <si>
    <t>18: Sahu MK, Gupta A, Alam I, Singh SP, Menon R, Devagouru V. Modified blalock-taussig shunt and levosimendan for left ventricular preparation in a child with transposition of great arteries and regressed ventricle undergoing rapid 2 stage arterial switch operation. Ann Card Anaesth. 2017 Apr-Jun;20(2):265-267. doi:10.4103/0971-9784.203929. PMID: 28393796; PMCID: PMC5408541.</t>
  </si>
  <si>
    <t>19: Kandasamy A, Simon HA, Murthy P, Annadurai M, Ali MM, Ramanathan G. Comparison of Levosimendan versus Dobutamine in Patients with Moderate to Severe Left Ventricular Dysfunction Undergoing Off-pump Coronary Artery Bypass Grafting: A Randomized Prospective Study. Ann Card Anaesth. 2017 Apr-Jun;20(2):200-206. doi: 10.4103/aca.ACA_195_16. PMID: 28393781; PMCID: PMC5408526.</t>
  </si>
  <si>
    <t>20: Yandrapalli S, Tariq S, Aronow WS. Advances in chemical pharmacotherapy for managing acute decompensated heart failure. Expert Opin Pharmacother. 2017 Apr;18(5):471-485. doi: 10.1080/14656566.2017.1299708. Epub 2017 Mar 5. PMID: 28276970</t>
  </si>
  <si>
    <t>23: Landoni G, Pisano A, Lomivorotov V, Alvaro G, Hajjar L, Paternoster G, Nigro Paltenghi M, Pasyuga V, Piras D, Riefolo C, Roasio A, Ruggeri L, Santini F, Székely A, Verniero L, Vezzani A, Zangrillo A, Bellomo R. Randomized Evidence for Reduction of Perioperative Mortality: An Updated Consensus Process. J Cardiothorac Vasc Anesth. 2017 Apr;31(2):719-730. doi:10.1053/j.jvca.2016.07.017. Epub 2016 Aug 2. PMID: 27693206.</t>
  </si>
  <si>
    <t>22: Cheah CF, Kofler M, Schiefecker AJ, Beer R, Klug G, Pfausler B, Helbok R. Takotsubo Cardiomyopathy in Traumatic Brain Injury. Neurocrit Care. 2017 Apr;26(2):284-291. doi: 10.1007/s12028-016-0334-y. PMID: 28000134; PMCID: PMC5334445.</t>
  </si>
  <si>
    <t>24: Jonkman AH, Jansen D, Heunks LM. Novel insights in ICU-acquired respiratory muscle dysfunction: implications for clinical care. Crit Care. 2017 Mar 21;21(1):64. doi: 10.1186/s13054-017-1642-0. PMID: 28320430; PMCID: PMC5359923.</t>
  </si>
  <si>
    <t>21: Janssens U. Levosimendan – kein Effekt auf das Multiorganversagen beim septischen Schock [Levosimendan-no effect on multiorgan failure in septic shock]. Med Klin Intensivmed Notfmed. 2017 Apr;112(3):254-257. German. doi:10.1007/s00063-016-0248-7. Epub 2017 Jan 20. PMID: 28108776.</t>
  </si>
  <si>
    <t>25: Hummel J, Rücker G, Stiller B. Prophylactic levosimendan for the prevention of low cardiac output syndrome and mortality in paediatric patients undergoing surgery for congenital heart disease. Cochrane Database Syst Rev. 2017 Mar 6;3(3):CD011312. doi: 10.1002/14651858.CD011312.pub2. Update in: Cochrane Database Syst Rev. 2017 Aug 02;8:CD011312. doi: 10.1002/14651858.CD011312.pub3. PMID: 28262914; PMCID: PMC6464336.</t>
  </si>
  <si>
    <t>27: Nieminen MS, Fonseca C, Brito D, Wikström G. The potential of the inodilator levosimendan in maintaining quality of life in advanced heart failure. Eur Heart J Suppl. 2017 Mar;19(Suppl C):C15-C21. doi: 10.1093/eurheartj/sux003. Epub 2017 Mar 8. PMID: 29249906; PMCID: PMC5932556.</t>
  </si>
  <si>
    <t>28: Delgado JF, Oliva F, Reinecke A. The inodilator levosimendan in repetitive doses in the treatment of advanced heart failure. Eur Heart J Suppl. 2017 Mar;19(Suppl C):C8-C14. doi: 10.1093/eurheartj/sux004. Epub 2017 Mar 8. PMID: 29249905; PMCID: PMC5932565.</t>
  </si>
  <si>
    <t>26: Fedele F, Karason K, Matskeplishvili S. Pharmacological approaches to cardio-renal syndrome: a role for the inodilator levosimendan. Eur Heart J Suppl. 2017 Mar;19(Suppl C):C22-C28. doi: 10.1093/eurheartj/sux002. Epub 2017 Mar 8. PMID: 29249907; PMCID: PMC5932558.</t>
  </si>
  <si>
    <t>30: Krychtiuk KA, Kaun C, Hohensinner PJ, Stojkovic S, Seigner J, Kastl SP, Speidl WS. Anti-thrombotic and pro-fibrinolytic effects of levosimendan in human endothelial cells in vitro. Vascul Pharmacol. 2017 Mar;90:44-50. doi:10.1016/j.vph.2017.02.003. Epub 2017 Feb 10. PMID: 28192257.</t>
  </si>
  <si>
    <t>43: Frommeyer G, Kohnke A, Ellermann C, Dechering DG, Kochhäuser S, Pott C, Fehr M, Eckardt L. Experimental evidence for a severe proarrhythmic potential of levosimendan. Int J Cardiol. 2017 Feb 1;228:583-587. doi:10.1016/j.ijcard.2016.11.251. Epub 2016 Nov 14. PMID: 27875737.</t>
  </si>
  <si>
    <t>44: Li S, Fu S, Xiao Y, Xu G. Recent Perioperative Pharmacological Prevention of Acute Kidney Injury after Cardiac Surgery: A Narrative Review. Am J Cardiovasc Drugs. 2017 Feb;17(1):17-25. doi: 10.1007/s40256-016-0194-z. Erratum in: Am J Cardiovasc Drugs. 2018 Apr;18(2):155. doi: 10.1007/s40256-018-0271-6. PMID: 27770407</t>
  </si>
  <si>
    <t>46: Labbene I, Arrigo M, Tavares M, Hajjej Z, Brandão JL, Tolppanen H, Feliot E, Gayat E, Ferjani M, Mebazaa A. Decongestive effects of levosimendan in cardiogenic shock induced by postpartum cardiomyopathy. Anaesth Crit Care Pain Med. 2017 Feb;36(1):39-42. doi: 10.1016/j.accpm.2016.02.009. Epub 2016 Jul 17. PMID: 27436451.</t>
  </si>
  <si>
    <t>45: Belletti A, Benedetto U, Biondi-Zoccai G, Leggieri C, Silvani P, Angelini GD, Zangrillo A, Landoni G. The effect of vasoactive drugs on mortality in patients with severe sepsis and septic shock. A network meta-analysis of randomized trials. J Crit Care. 2017 Feb;37:91-98. doi:10.1016/j.jcrc.2016.08.010. Epub 2016 Aug 13. PMID: 27660923.</t>
  </si>
  <si>
    <t>41: Bruells CS, Kopp R. Kommentar zu: Levosimendan zur Prävention von akuter Organdysfunktion in der Sepsis [Commentary to: Levosimendan for the Prevention of Acute Organ Dysfunction in Sepsis]. Anaesthesist. 2017 Feb;66(2):134-136. German. doi: 10.1007/s00101-016-0255-3. PMID: 28050620.</t>
  </si>
  <si>
    <t>40: Lemm H, Dietz S, Janusch M, Buerke M. Einsatz von Vasopressoren und Inotropika im kardiogenen Schock [Use of vasopressors and inotropics in cardiogenic shock]. Herz. 2017 Feb;42(1):3-10. German. doi:10.1007/s00059-016-4525-2. PMID: 28101622.</t>
  </si>
  <si>
    <t>39: Ortis B, Villani A, Oldani M, Giglio A, Ciambellotti F, Facchini M, Parati G, Malfatto G. Intermittent levosimendan infusions in advanced heart failure: a real world experience. J Int Med Res. 2017 Feb;45(1):361-371. doi:10.1177/0300060516655244. Epub 2017 Jan 17. PMID: 28222634; PMCID: PMC5536589.</t>
  </si>
  <si>
    <t>49: Wang J, Chen H, Zhou Y, Su Q, Liu T, Li L. Levosimendan Pretreatment Inhibits Myocardial Apoptosis in Swine after Coronary Microembolization. Cell Physiol Biochem. 2017;41(1):67-78. doi: 10.1159/000455950. Epub 2017 Jan 23. PMID: 28214866.</t>
  </si>
  <si>
    <t>48: Ergenekon E, Rojas-Anaya H, Bravo MC, Kotidis C, Mahoney L, Rabe H. Cardiovascular Drug Therapy for Human Newborn: Review of Pharmacodynamic Data. Curr Pharm Des. 2017;23(38):5850-5860. doi: 10.2174/1381612823666170918122755. PMID: 28925895.</t>
  </si>
  <si>
    <t>47: Guerrero Orriach JL, Galán Ortega M, Ramírez Fernandez A, Ariza Villanueva D, Florez Vela A, Moreno Cortés I, Rubio Navarro M, Cruz Mañas J. Assessing the effect of preoperative levosimendan on renal function in patients with right ventricular dysfunction. J Clin Monit Comput. 2017 Feb;31(1):227-230. doi:10.1007/s10877-016-9827-7. Epub 2016 Jan 13. PMID: 26762127.</t>
  </si>
  <si>
    <t>50: Suominen P, Mattila N, Nyblom O, Rautiainen P, Turanlahti M, Rahkonen O. The Hemodynamic Effects and Safety of Repetitive Levosimendan Infusions on Children With Dilated Cardiomyopathy. World J Pediatr Congenit Heart Surg. 2017 Jan;8(1):25-31. doi: 10.1177/2150135116674466. PMID: 28033083.</t>
  </si>
  <si>
    <t>51: Hinojosa FQ, Revelo M, Salazar A, Maggi G, Schiraldi R, Brogly N, Gilsanz F. Levosimendan as a treatment for acute renal failure associated with cardiogenic shock after hip fracture. Braz J Anesthesiol. 2017 Jan-Feb;67(1):89-91. doi:10.1016/j.bjane.2014.07.009. Epub 2014 Oct 28. PMID: 28017176.</t>
  </si>
  <si>
    <t>58: Kreibich M, Berchtold-Herz M, Beyersdorf F, Trummer G. Pimobendan in Chronic Right Heart Failure in a Left Ventricular Assist Device Patient. Thorac Cardiovasc Surg Rep. 2016 Dec;5(1):39-40. doi: 10.1055/s-0036-1571286. Epub 2016 Jan 29. PMID: 28018821; PMCID: PMC5177432.</t>
  </si>
  <si>
    <t>59: Fuchs C, Ertmer C, Rehberg S. Effects of vasodilators on haemodynamic coherence. Best Pract Res Clin Anaesthesiol. 2016 Dec;30(4):479-489. doi:10.1016/j.bpa.2016.10.003. Epub 2016 Nov 7. PMID: 27931651.</t>
  </si>
  <si>
    <t>63: Ferreri C, Testa M, Leto L, Feola M. The worsening renal failure in a chronic cardio-renal syndrome type II: efficacy of a single levosimendan infusion. Minerva Cardioangiol. 2016 Dec;64(6):703-704. PMID: 27760984.</t>
  </si>
  <si>
    <t>64: Ushio M, Egi M, Wakabayashi J, Nishimura T, Miyatake Y, Obata N, Mizobuchi S. Impact of Milrinone Administration in Adult Cardiac Surgery Patients: Updated Meta-Analysis. J Cardiothorac Vasc Anesth. 2016 Dec;30(6):1454-1460. doi:10.1053/j.jvca.2016.07.027. Epub 2016 Jul 21. PMID: 27720291.</t>
  </si>
  <si>
    <t>65: Ferreri C, Testa M, Leto L, Feola M. The worsening renal failure in a chronic cardio-renal syndrome type II: efficacy of a single levosimendan infusion. Minerva Cardioangiol. 2016 Dec;64(6):705-6. PMID: 27668339.</t>
  </si>
  <si>
    <t>66: Sangalli F, Avalli L, Laratta M, Formica F, Maggioni E, Caruso R, Cristina Costa M, Guazzi M, Fumagalli R. Effects of Levosimendan on Endothelial Function and Hemodynamics During Weaning From Veno-Arterial Extracorporeal Life Support. J Cardiothorac Vasc Anesth. 2016 Dec;30(6):1449-1453. doi:10.1053/j.jvca.2016.03.139. Epub 2016 Mar 18. PMID: 27495966.</t>
  </si>
  <si>
    <t>68: Madias JE. I&lt;sub&gt;f&lt;/sub&gt; channel blocker ivabradine vs. β-blockers for sinus tachycardia in patients with takotsubo syndrome. Int J Cardiol. 2016 Nov 15;223:877-878. doi: 10.1016/j.ijcard.2016.08.281. Epub 2016 Aug 18. PMID: 27584563</t>
  </si>
  <si>
    <t>70: Robertson IM, Pineda-Sanabria SE, Yan Z, Kampourakis T, Sun YB, Sykes BD, Irving M. Reversible Covalent Binding to Cardiac Troponin C by the Ca&lt;sup&gt;2+&lt;/sup&gt;-Sensitizer Levosimendan. Biochemistry. 2016 Nov 1;55(43):6032-6045. doi: 10.1021/acs.biochem.6b00758. Epub 2016 Oct 17. PMID: 27673371</t>
  </si>
  <si>
    <t>78: Burns ML, Stensvold HJ, Risnes K, Guthe HJ, Astrup H, Nordhov SM, Selberg TR, Rønnestad A, Lang AM; Norwegian Neonatal Network. Inotropic Therapy in Newborns, A Population-Based National Registry Study. Pediatr Crit Care Med. 2016 Oct;17(10):948-956. doi: 10.1097/PCC.0000000000000898. PMID: 27500723.</t>
  </si>
  <si>
    <t>79: Onody P, Aranyi P, Turoczi Z, Stangl R, Fulop A, Dudas E, Lotz G, Szijarto A. Levosimendan Administration in Limb Ischemia: Multicomponent Signaling Serving Kidney Protection. PLoS One. 2016 Sep 29;11(9):e0163675. doi: 10.1371/journal.pone.0163675. PMID: 27684548; PMCID: PMC5042425.</t>
  </si>
  <si>
    <t>80: Bozhinovska M, Taleska G, Fabian A, Šoštarič M. The Role of Levosimendan in Patients with Decreased Left Ventricular Function Undergoing Cardiac Surgery. Open Access Maced J Med Sci. 2016 Sep 15;4(3):510-516. doi:10.3889/oamjms.2016.071. Epub 2016 Jun 28. PMID: 27703584; PMCID: PMC5042644.</t>
  </si>
  <si>
    <t>81: Pasyuga VV, Belov SI, Yusupova ES, Adzhigaliev RR, Berezhnoy SA, Panov OS, Tarasov DG, Yavorovsky AG. [A COMPARISON OF TWO APPROACHES FOR INTRAOPERATIVE LEVOSIMENDAN ADMINISTRATION IN CARDIAC SURGICAL PATIENTS WITH SEVERE LEFT VENTRICLE DYSFUNCTION.]. Anesteziol Reanimatol. 2016 Sep;61(5):334-338. Russian. PMID: 29489098.</t>
  </si>
  <si>
    <t>82: Zhang Z, Chen K. Vasoactive agents for the treatment of sepsis. Ann Transl Med. 2016 Sep;4(17):333. doi: 10.21037/atm.2016.08.58. PMID: 27713891; PMCID: PMC5050188.</t>
  </si>
  <si>
    <t>83: Lotz C, Roewer N, Muellenbach RM. Organersatzverfahren - Kreislaufunterstützung und -ersatz [Cardiac support and replacement therapies]. Anasthesiol Intensivmed Notfallmed Schmerzther. 2016 Sep;51(9):564-72. German. doi: 10.1055/s-0041-109831. Epub 2016 Sep 15. PMID: 27631451.</t>
  </si>
  <si>
    <t>77: Lin X, Xu Z, Wang P, Xu Y, Zhang G. Role of PiCCO monitoring for the integrated management of neurogenic pulmonary edema following traumatic brain injury: A case report and literature review. Exp Ther Med. 2016 Oct;12(4):2341-2347. doi: 10.3892/etm.2016.3615. Epub 2016 Aug 23. PMID: 27698733; PMCID: PMC5038447.</t>
  </si>
  <si>
    <t>76: Gordon AC, Perkins GD, Singer M, McAuley DF, Orme RM, Santhakumaran S, Mason AJ, Cross M, Al-Beidh F, Best-Lane J, Brealey D, Nutt CL, McNamee JJ, Reschreiter H, Breen A, Liu KD, Ashby D. Levosimendan for the Prevention of Acute Organ Dysfunction in Sepsis. N Engl J Med. 2016 Oct 27;375(17):1638-1648. doi: 10.1056/NEJMoa1609409. Epub 2016 Oct 5. PMID: 27705084.</t>
  </si>
  <si>
    <t>75: Atalay H, Temizturk Z, Altinsoy HB, Azboy D, Colak S, Atalay A, Dogan OF. Levosimendan Use Increases Cardiac Performance after Coronary Artery Bypass Grafting in End-Stage Renal Disease Patients. Heart Surg Forum. 2016 Oct 27;19(5):E230-E236. doi: 10.1532/hsf.1426. PMID: 27801303.</t>
  </si>
  <si>
    <t>84: Brunetti ND, Santoro F, De Gennaro L, Correale M, Kentaro H, Gaglione A, Di Biase M. Therapy of stress (takotsubo) cardiomyopathy: present shortcomings and future perspectives. Future Cardiol. 2016 Sep;12(5):563-72. doi: 10.2217/fca-2016-0014. Epub 2016 Aug 19. PMID: 27538839.</t>
  </si>
  <si>
    <t>85: Mrozek S, Srairi M, Marhar F, Delmas C, Gaussiat F, Abaziou T, Larcher C, Atthar V, Menut R, Fourcade O, Geeraerts T. Successful treatment of inverted Takotsubo cardiomyopathy after severe traumatic brain injury with milrinone after dobutamine failure. Heart Lung. 2016 Sep-Oct;45(5):406-8. doi:10.1016/j.hrtlng.2016.06.007. Epub 2016 Jul 8. PMID: 27402629.</t>
  </si>
  <si>
    <t>74: Altinsoy HB, Alatas O, Colak S, Atalay H, Dogan OF. Pregnancy-Related Cardiovascular Complications: Case Presentation and Review of Literature. Heart Surg Forum. 2016 Oct 31;19(5):E248-E254. doi: 10.1532/hsf.1654. PMID: 27801307.</t>
  </si>
  <si>
    <t>93: Kivikko M, Pollesello P, Tarvasmäki T, Sarapohja T, Nieminen MS, Harjola VP. Effect of baseline characteristics on mortality in the SURVIVE trial on the effect of levosimendan vs dobutamine in acute heart failure: Sub-analysis of the Finnish patients. Int J Cardiol. 2016 Jul 15;215:26-31. doi:10.1016/j.ijcard.2016.04.064. Epub 2016 Apr 14. PMID: 27107540.</t>
  </si>
  <si>
    <t>102: Dinic V, Markovic D, Savic N, Kutlesic M, Janković RJ. Response: Commentary: Peripartum Cardiomyopathy in Intensive Care Unit: An Update. Front Med (Lausanne). 2016 May 3;3:18. doi: 10.3389/fmed.2016.00018. PMID: 27200354; PMCID: PMC4853431.</t>
  </si>
  <si>
    <t>124: Yaman M, Arslan U, Kaya A, Akyol A, Ozturk F, Okudan YE, Bayramoglu A, Bektas O. Levosimendan accelerates recovery in patients with takotsubo cardiomyopathy. Cardiol J. 2016;23(6):610-615. doi: 10.5603/CJ.a2016.0100. Epub 2016 Dec 2. PMID: 27910084.</t>
  </si>
  <si>
    <t>138: Akhtar MS, Pillai KK, Hassan Q, Ansari SH, Ali J, Akhtar M, Najmi AK. Levosimendan suppresses oxidative injury, apoptotic signaling and mitochondrial degeneration in streptozotocin-induced diabetic cardiomyopathy. Clin Exp Hypertens. 2016;38(1):10-22. doi: 10.3109/10641963.2015.1047947. Epub 2015 Jul 24. PMID: 26207881.</t>
  </si>
  <si>
    <t>137: Silvetti S, Nieminen MS. Repeated or intermittent levosimendan treatment in advanced heart failure: An updated meta-analysis. Int J Cardiol. 2016 Jan 1;202:138-43. doi: 10.1016/j.ijcard.2015.08.188. Epub 2015 Aug 28. PMID: 26386941</t>
  </si>
  <si>
    <t>147: Nieminen MS, Buerke M, Parissis J, Ben-Gal T, Pollesello P, Kivikko M, Karavidas A, Severino P, Comín-Colet J, Wikström G, Fedele F. Pharmaco-economics of levosimendan in cardiology: a European perspective. Int J Cardiol. 2015 Nov 15;199:337-41. doi: 10.1016/j.ijcard.2015.07.049. Epub 2015 Jul 15. PMID: 26241640</t>
  </si>
  <si>
    <t>148: Belletti A, Castro ML, Silvetti S, Greco T, Biondi-Zoccai G, Pasin L, Zangrillo A, Landoni G. The Effect of inotropes and vasopressors on mortality: a meta-analysis of randomized clinical trials. Br J Anaesth. 2015 Nov;115(5):656-75. doi: 10.1093/bja/aev284. PMID: 26475799.</t>
  </si>
  <si>
    <t>149: Wang Q, Yokoo H, Takashina M, Sakata K, Ohashi W, Abedelzaher LA, Imaizumi T, Sakamoto T, Hattori K, Matsuda N, Hattori Y. Anti-Inflammatory Profile of Levosimendan in Cecal Ligation-Induced Septic Mice and in Lipopolysaccharide-Stimulated Macrophages. Crit Care Med. 2015 Nov;43(11):e508-20. doi:10.1097/CCM.0000000000001269. PMID: 26468714.</t>
  </si>
  <si>
    <t>150: Pang D, Aneja RK. Levosimendan for Septic Myocardial Dysfunction: Not Yet Ready for Prime Time. Crit Care Med. 2015 Nov;43(11):2522-3. doi:10.1097/CCM.0000000000001328. PMID: 26468712; PMCID: PMC4610248.</t>
  </si>
  <si>
    <t>186: Grossini E, Bellofatto K, Farruggio S, Sigaudo L, Marotta P, Raina G, De Giuli V, Mary D, Pollesello P, Minisini R, Pirisi M, Vacca G. Levosimendan inhibits peroxidation in hepatocytes by modulating apoptosis/autophagy interplay. PLoS One. 2015 Apr 16;10(4):e0124742. doi:10.1371/journal.pone.0124742. PMID: 25880552; PMCID: PMC4400069.</t>
  </si>
  <si>
    <t>185: de Winter JM, Joureau B, Sequeira V, Clarke NF, van der Velden J, Stienen GJ, Granzier H, Beggs AH, Ottenheijm CA. Effect of levosimendan on the contractility of muscle fibers from nemaline myopathy patients with mutations in the nebulin gene. Skelet Muscle. 2015 Apr 28;5:12. doi:10.1186/s13395-015-0037-7. PMID: 25949787; PMCID: PMC4422316.</t>
  </si>
  <si>
    <t>165: Zhang D, Yao Y, Qian J, Huang J. Levosimendan Improves Clinical Outcomes of Refractory Heart Failure in Elderly Chinese Patients. Med Sci Monit. 2015 Aug 20;21:2439-45. doi: 10.12659/MSM.893580. PMID: 26289557; PMCID: PMC4548701.</t>
  </si>
  <si>
    <t>166: Çavuşoğlu Y, Korkmaz Ş, Demirtaş S, Gencer E, Şaşmaz H, Mutlu F, Güneş H, Mert UK, Özdemir S, Kalaycı S, Yılmaz MB. Ischemia-modified albumin levels in patients with acute decompensated heart failure treated with dobutamine or levosimendan: IMA-HF study. Anatol J Cardiol. 2015 Aug;15(8):611-7. doi:10.5152/akd.2015.6156. PMID: 26301344; PMCID: PMC5336859.</t>
  </si>
  <si>
    <t>164: Endoh M. Does levosimendan act as a Ca&lt;sup&gt;2+&lt;/sup&gt; sensitizer or PDE3 inhibitor?: Commentary on Orstavik et al., Br J Pharmacol 171: 5169-5181. Br J Pharmacol. 2015 Sep;172(18):4594-4596. doi: 10.1111/bph.12649. PMID: 24547894; PMCID: PMC4562519.</t>
  </si>
  <si>
    <t>167: Alvarez Escudero J, Calvo Vecino JM, Veiras S, García R, González A; Working Group of the CPG. Clinical Practice Guideline (CPG). Recommendations on strategy for reducing risk of heart failure patients requiring noncardiac surgery: reducing risk of heart failure patients in noncardiac surgery. Rev Esp Anestesiol Reanim. 2015 Aug-Sep;62(7):359-419. doi: 10.1016/j.redar.2015.05.002. Epub 2015 Jul 8. PMID: 26164471.</t>
  </si>
  <si>
    <t>168: García-González MJ, Jorge-Pérez P, Jiménez-Sosa A, Acea AB, Lacalzada Almeida JB, Ferrer Hita JJ. Levosimendan improves hemodynamic status in critically ill patients with severe aortic stenosis and left ventricular dysfunction: an interventional study. Cardiovasc Ther. 2015 Aug;33(4):193-9. doi: 10.1111/1755-5922.12132. PMID: 25959786.</t>
  </si>
  <si>
    <t>169: Malik V, Subramanian A, Hote M, Kiran U. Effect of Levosimendan on Diastolic Function in Patients Undergoing Coronary Artery Bypass Grafting: A Comparative Study. J Cardiovasc Pharmacol. 2015 Aug;66(2):141-7. doi:10.1097/FJC.0000000000000256. PMID: 25919118.</t>
  </si>
  <si>
    <t>29: Gustafsson F, Guarracino F, Schwinger RHG. The inodilator levosimendan as a treatment for acute heart failure in various settings. Eur Heart J Suppl. 2017 Mar;19(Suppl C):C2-C7. doi: 10.1093/eurheartj/sux001. Epub 2017 Mar 8. PMID: 29249904; PMCID: PMC5932561.</t>
  </si>
  <si>
    <t>31: Gencer E, Doğan V, Öztürk MT, Nadir A, Musmul A, Cavuşoğlu Y. Comparison of the Effects of Levosimendan Dobutamine and Vasodilator Therapy on Ongoing Myocardial Injury in Acute Decompensated Heart Failure. J Cardiovasc Pharmacol Ther. 2017 Mar;22(2):153-158. doi: 10.1177/1074248416657612. Epub 2016 Jul 9. PMID: 27390145.</t>
  </si>
  <si>
    <t>32: Morelli A, Tritapepe L. Levosimendan in Sepsis. N Engl J Med. 2017 Feb 23;376(8):799-800. doi: 10.1056/NEJMc1616632. PMID: 28229582.</t>
  </si>
  <si>
    <t>33: Putzu A, Belletti A, Zangrillo A. Levosimendan in Sepsis. N Engl J Med. 2017 Feb 23;376(8):798-9. doi: 10.1056/NEJMc1616632. PMID: 28229581.</t>
  </si>
  <si>
    <t>34: Groesdonk HH, Sander M, Heringlake M. Levosimendan in Sepsis. N Engl J Med. 2017 Feb 23;376(8):798. doi: 10.1056/NEJMc1616632. PMID: 28229580.</t>
  </si>
  <si>
    <t>35: Hamzaoui O, Teboul JL. Levosimendan in Sepsis. N Engl J Med. 2017 Feb 23;376(8):799. doi: 10.1056/NEJMc1616632. PMID: 28225678.</t>
  </si>
  <si>
    <t>36: Gordon AC, Orme RML, Singer M. Levosimendan in Sepsis. N Engl J Med. 2017 Feb 23;376(8):800. doi: 10.1056/NEJMc1616632. PMID: 28225677.</t>
  </si>
  <si>
    <t>37: Wu B, Peng YG, Zhao S, Bao N, Pan L, Dong J, Xu X, Wang Q. Supplement of levosimendan to epinephrine improves initial resuscitation outcomes from asphyxial cardiac arrest. BMC Anesthesiol. 2017 Feb 2;17(1):18. doi:10.1186/s12871-017-0309-3. PMID: 28148233; PMCID: PMC5289016.</t>
  </si>
  <si>
    <t>38: Giordano R, Cantinotti M, Mannacio VA, Palma G. First Experience With Levosimendan Therapy After Correction of Congenital Heart Disease. J Cardiothorac Vasc Anesth. 2017 Feb;31(1):e19-e21. doi:10.1053/j.jvca.2016.08.017. Epub 2016 Aug 16. PMID: 28277244.</t>
  </si>
  <si>
    <t>56: Hinojosa FQ, Revelo M, Salazar A, Maggi G, Schiraldi R, Brogly N, Gilsanz F. Levosimendana como tratamento para insuficiência renal aguda associada a choque cardiogênico após fratura de quadril [Levosimendan as a treatment for acute renal failure associated with cardiogenic shock after hip fracture]. Rev Bras Anestesiol. 2017 Jan-Feb;67(1):89-91. Portuguese. doi:10.1016/j.bjan.2014.07.008. Epub 2015 Apr 17. PMID: 25896643.</t>
  </si>
  <si>
    <t>54: Gooshe M, Tabaeizadeh M, Aleyasin AR, Mojahedi P, Ghasemi K, Yousefi F, Vafaei A, Amini-Khoei H, Amiri S, Dehpour AR. Levosimendan exerts anticonvulsant properties against PTZ-induced seizures in mice through activation of nNOS/NO pathway: Role for K&lt;sub&gt;ATP&lt;/sub&gt; channel. Life Sci. 2017 Jan 1;168:38-46. doi:10.1016/j.lfs.2016.11.006. Epub 2016 Nov 14. PMID: 27851890.</t>
  </si>
  <si>
    <t>53: Graetz TJ, Hotchkiss RS. Sepsis: Preventing organ failure in sepsis - the search continues. Nat Rev Nephrol. 2017 Jan;13(1):5-6. doi:10.1038/nrneph.2016.171. Epub 2016 Nov 21. PMID: 27867191; PMCID: PMC5523107.</t>
  </si>
  <si>
    <t>52: Pichette M, Liszkowski M, Ducharme A. Preoperative Optimization of the Heart Failure Patient Undergoing Cardiac Surgery. Can J Cardiol. 2017 Jan;33(1):72-79. doi: 10.1016/j.cjca.2016.08.004. Epub 2016 Aug 6. PMID: 27876563.</t>
  </si>
  <si>
    <t>57: Sunny, Yunus M, Karim HM, Saikia MK, Bhattacharyya P, Dey S. Comparison of Levosimendan, Milrinone and Dobutamine in treating Low Cardiac Output Syndrome Following Valve Replacement Surgeries with Cardiopulmonary Bypass. J Clin Diagn Res. 2016 Dec;10(12):UC05-UC08. doi: 10.7860/JCDR/2016/23584.8987. Epub 2016 Dec 1. PMID: 28208977; PMCID: PMC5296550.</t>
  </si>
  <si>
    <t>60: Mehta RH, Van Diepen S, Meza J, Bokesch P, Leimberger JD, Tourt-Uhlig S, Swartz M, Parrotta J, Jankowich R, Hay D, Harrison RW, Fremes S, Goodman SG, Luber J, Toller W, Heringlake M, Anstrom KJ, Levy JH, Harrington RA, Alexander JH; LEVO-CTS Investigators. Levosimendan in patients with left ventricular systolic dysfunction undergoing cardiac surgery on cardiopulmonary bypass: Rationale and study design of the Levosimendan in Patients with Left Ventricular Systolic Dysfunction Undergoing Cardiac Surgery Requiring Cardiopulmonary Bypass (LEVO-CTS) trial. Am Heart J. 2016 Dec;182:62-71. doi:10.1016/j.ahj.2016.09.001. Epub 2016 Sep 9. PMID: 27914501.</t>
  </si>
  <si>
    <t>61: Grieshaber P, Lipp S, Arnold A, Görlach G, Wollbrück M, Roth P, Niemann B, Wilhelm J, Böning A. Impact of prophylactic administration of Levosimendan on short-term and long-term outcome in high-risk patients with severely reduced left-ventricular ejection fraction undergoing cardiac surgery - a retrospective analysis. J Cardiothorac Surg. 2016 Dec 1;11(1):162. doi:10.1186/s13019-016-0556-2. PMID: 27906091; PMCID: PMC5131413.</t>
  </si>
  <si>
    <t>62: Fruhwald S, Pollesello P, Fruhwald F. Advanced heart failure: an appraisal of the potential of levosimendan in this end-stage scenario and some related ethical considerations. Expert Rev Cardiovasc Ther. 2016 Dec;14(12):1335-1347. doi: 10.1080/14779072.2016.1247694. Epub 2016 Oct 25. PMID: 27778514.</t>
  </si>
  <si>
    <t>69: Likhvantsev VV, Marchenko DN, Grebenshchikov OA, Ubasev YV, Zabelina TS, Timoshin SS, Skripkin YV, Ovezov AM, Lar'kov RN, Philippovskaya ZS, Sungurov VA. PREVENTION OF HEART FAILURE PATIENTS WITH DECREASED EJECTION FRACTION IN NON-CARDIAC SURGERY: LEVOSIMENDAN OR ANESTHETIC CARDIOPROTECTION? Anesteziol Reanimatol. 2016 Nov;61(6):411-417. English, Russian. PMID: 29894607.</t>
  </si>
  <si>
    <t>67: Ishihara S, Gayat E, Sato N, Arrigo M, Laribi S, Legrand M, Placido R, Manivet P, Cohen-Solal A, Abraham WT, Jessup M, Mebazaa A. Similar hemodynamic decongestion with vasodilators and inotropes: systematic review, meta-analysis, and meta-regression of 35 studies on acute heart failure. Clin Res Cardiol. 2016 Dec;105(12):971-980. doi: 10.1007/s00392-016-1009-6. Epub 2016 Jun 17. PMID: 27314418</t>
  </si>
  <si>
    <t>71: Konczalla J, Wanderer S, Mrosek J, Gueresir E, Schuss P, Platz J, Seifert V, Vatter H. Levosimendan, a new therapeutic approach to prevent delayed cerebral vasospasm after subarachnoid hemorrhage? Acta Neurochir (Wien). 2016 Nov;158(11):2075-2083. doi: 10.1007/s00701-016-2939-5. Epub 2016 Sep 10. PMID: 27614436</t>
  </si>
  <si>
    <t>72: Farmakis D, Alvarez J, Gal TB, Brito D, Fedele F, Fonseca C, Gordon AC, H, Ricksten SE, Schwinger RHG, Vrtovec B, Yilmaz MB, Zielinska M, Parissis J. Levosimendan beyond inotropy and acute heart failure: Evidence of pleiotropic effects on the heart and other organs: An expert panel position paper. Int J Cardiol. 2016 Nov 1;222:303-312. doi: 10.1016/j.ijcard.2016.07.202. Epub 2016 Jul 29. PMID: 27498374.</t>
  </si>
  <si>
    <t>73: Anastasiadis K, Antonitsis P, Vranis K, Kleontas A, Asteriou C, Grosomanidis V, Tossios P, Argiriadou H. Effectiveness of prophylactic levosimendan in patients with impaired left ventricular function undergoing coronary artery bypass grafting: a randomized pilot study. Interact Cardiovasc Thorac Surg. 2016 Nov;23(5):740-747. doi: 10.1093/icvts/ivw213. Epub 2016 Jul 4. PMID: 27378790.</t>
  </si>
  <si>
    <t>86: Nieminen MS, Buerke M, Cohen-Solál A, Costa S, Édes I, Erlikh A, Franco F, Gibson C, Gorjup V, Guarracino F, Gustafsson F, Harjola VP, Husebye T, Karason K, Katsytadze I, Kaul S, Kivikko M, Marenzi G, Masip J, Matskeplishvili S, Mebazaa A, Møller JE, Nessler J, Nessler B, Ntalianis A, Oliva F, Pichler-Cetin E, Põder P, Recio-Mayoral A, Rex S, Rokyta R, Strasser RH, Zima E, Pollesello P. The role of levosimendan in acute heart failure complicating acute coronary syndrome: A review and expert consensus opinion. Int J Cardiol. 2016 Sep 1;218:150-157. doi: 10.1016/j.ijcard.2016.05.009. Epub 2016 May 14. PMID: 27232927</t>
  </si>
  <si>
    <t>177: Séguéla PE, Mauriat P, Mouton JB, Tafer N, Assy J, Poncelet G, Nubret K, Iriart X, Thambo JB. Single-centred experience with levosimendan in paediatric decompensated dilated cardiomyopathy. Arch Cardiovasc Dis. 2015 Jun-Jul;108(6-7):347-55. doi: 10.1016/j.acvd.2015.01.012. Epub 2015 Apr 8. PMID: 25863426</t>
  </si>
  <si>
    <t>176: Chan-Dominy AC, Rahiman SN, Anders M, Butt W. Extracorporeal membrane oxygenation and severe portopulmonary hypertension following liver transplantation: brief report. Int J Artif Organs. 2015 Jun;38(6):337-42. doi:10.5301/ijao.5000410. Epub 2015 Jun 2. PMID: 26044656.</t>
  </si>
  <si>
    <t>175: Lemm H, Dietz S, Janusch M, Buerke M. Moderne Arzneitherapie in der kardiovaskulären Intensivmedizin [Modern drug therapy in cardiovascular intensive care medicine]. Internist (Berl). 2015 Jun;56(6):702, 704-8, 710-2. German. doi: 10.1007/s00108-015-3717-9. PMID: 26054838.</t>
  </si>
  <si>
    <t>173: Shi WY, Li S, Collins N, Cottee DB, Bastian BC, James AN, Mejia R. Peri-operative Levosimendan in Patients Undergoing Cardiac Surgery: An Overview of the Evidence. Heart Lung Circ. 2015 Jul;24(7):667-72. doi:10.1016/j.hlc.2015.03.007. Epub 2015 Mar 24. PMID: 25862519.</t>
  </si>
  <si>
    <t>174: Navarri R, Lunghetti S, Cameli M, Mondillo S, Favilli R, Scarpini F, Puccetti L. Neurohumoral improvement and torsional dynamics in patients with heart failure after treatment with levosimendan. Int J Cardiol Heart Vasc. 2014 Nov 13;7:153-157. doi: 10.1016/j.ijcha.2014.10.014. PMID: 28785666; PMCID: PMC5497181.</t>
  </si>
  <si>
    <t>172: Lim JY, Deo SV, Rababa'h A, Altarabsheh SE, Cho YH, Hang D, McGraw M, Avery EG, Markowitz AH, Park SJ. Levosimendan Reduces Mortality in Adults with Left Ventricular Dysfunction Undergoing Cardiac Surgery: A Systematic Review and Meta-analysis. J Card Surg. 2015 Jul;30(7):547-54. doi: 10.1111/jocs.12562. Epub 2015 May 19. PMID: 25989324.</t>
  </si>
  <si>
    <t>170: Treskatsch S, Balzer F, Geyer T, Spies CD, Kastrup M, Grubitzsch H, Wernecke KD, Erb JM, Braun JP, Sander M. Early levosimendan administration is associated with decreased mortality after cardiac surgery. J Crit Care. 2015 Aug;30(4):859.e1-6. doi: 10.1016/j.jcrc.2015.03.008. Epub 2015 Mar 13. PMID: 25837801</t>
  </si>
  <si>
    <t>163: Kosmidou ML, Xanthos T, Chalkias A, Lelovas P, Varvarousi G, Lekka N, Lappas T, Papadimitriou L, Perrea D, Dontas I. Levosimendan Improves Neurological Outcome in a Swine Model of Asphyxial Cardiac Arrest. Heart Lung Circ. 2015 Sep;24(9):925-31. doi: 10.1016/j.hlc.2015.02.024. Epub 2015 Mar 17. PMID: 25837017.</t>
  </si>
  <si>
    <t>162: Wagner S, Schürmann S, Hein S, Schüttler J, Friedrich O. Septic cardiomyopathy in rat LPS-induced endotoxemia: relative contribution of cellular diastolic Ca(2+) removal pathways, myofibrillar biomechanics properties and action of the cardiotonic drug levosimendan. Basic Res Cardiol. 2015 Sep;110(5):507. doi: 10.1007/s00395-015-0507-4. Epub 2015 Aug 5. PMID: 26243667.</t>
  </si>
  <si>
    <t>157: Rafiq I, Freeman LJ. Pulsed levosimendan therapy in the management of chronic end stage cardiac failure in 'adult congenital heart disease'. Int J Cardiol. 2015 Sep 15;195:283-4. doi: 10.1016/j.ijcard.2015.03.426. Epub 2015 Apr 1. PMID: 26056958.</t>
  </si>
  <si>
    <t>159: Rybka MM, Lobacheva GV. [LEVOSIMENDAN--THE FIRST 10 YEARS IN CLINICAL PRACTICE]. Anesteziol Reanimatol. 2015 Sep-Oct;60(5):80-4. Russian. PMID: 26852586</t>
  </si>
  <si>
    <t>161: Pellicori P, Clark AL. Clinical trials update from the European Society of Cardiology-Heart Failure meeting 2015: AUGMENT-HF, TITRATION, STOP-HF, HARMONIZE, LION HEART, MOOD-HF, and renin-angiotensin inhibitors in patients with heart and renal failure. Eur J Heart Fail. 2015 Sep;17(9):979-83. doi:10.1002/ejhf.340. Epub 2015 Aug 20. PMID: 26289928.</t>
  </si>
  <si>
    <t>158: Mushtaq S, Andreini D, Farina S, Salvioni E, Pontone G, Sciomer S, Volpato V, Agostoni P. Levosimendan improves exercise performance in patients with advanced chronic heart failure. ESC Heart Fail. 2015 Sep;2(3):133-141. doi:10.1002/ehf2.12047. Epub 2015 Aug 13. PMID: 27708855; PMCID: PMC5042087.</t>
  </si>
  <si>
    <t>152: Li MX, Hwang PM. Structure and function of cardiac troponin C (TNNC1): Implications for heart failure, cardiomyopathies, and troponin modulating drugs. Gene. 2015 Oct 25;571(2):153-66. doi: 10.1016/j.gene.2015.07.074. Epub 2015 Jul 29. PMID: 26232335; PMCID: PMC4567495.</t>
  </si>
  <si>
    <t>153: Qiao L, Xu C, Li X, Li F, Liu W. Heart calcium sensitizer on morbidity and mortality of high-risk surgical patients with MODS: systematic review and meta-analysis. Int J Clin Exp Med. 2015 Oct 15;8(10):17712-20. PMID: 26770361; PMCID: PMC4694261.</t>
  </si>
  <si>
    <t>154: Zangrillo A, Putzu A, Monaco F, Oriani A, Frau G, De Luca M, Di Tomasso N, Bignami E, Lomivorotov V, Likhvantsev V, Landoni G. Levosimendan reduces mortality in patients with severe sepsis and septic shock: A meta-analysis of randomized trials. J Crit Care. 2015 Oct;30(5):908-13. doi: 10.1016/j.jcrc.2015.05.017. Epub 2015 May 29. PMID: 26093802.</t>
  </si>
  <si>
    <t>151: Hübner T, Nickel T, Steinbeck G, Massberg S, Schramm R, Reichart B, Hagl C, Kiwi A, Weis M. A single German center experience with intermittent inotropes for patients on the high-urgent heart transplant waiting list. Clin Res Cardiol. 2015 Nov;104(11):929-34. doi: 10.1007/s00392-015-0852-1. Epub 2015 Apr 5. PMID: 25841881</t>
  </si>
  <si>
    <t>145: Kivikko M, Kuoppamäki M, Soinne L, Sundberg S, Pohjanjousi P, Ellmen J, Roine RO. Oral Levosimendan Increases Cerebral Blood Flow Velocities in Patients with a History of Stroke or Transient Ischemic Attack: A Pilot Safety Study. Curr Ther Res Clin Exp. 2015 Jan 29;77:46-51. doi:10.1016/j.curtheres.2015.01.001. PMID: 26082815; PMCID: PMC4461857.</t>
  </si>
  <si>
    <t>144: Desplantie O, Tremblay-Gravel M, Avram R, Marquis-Gravel G, Ducharme A, Jolicoeur EM; BRO-HF Initiative Investigators. The Medical Treatment of New-Onset Peripartum Cardiomyopathy: A Systematic Review of Prospective Studies. Can J Cardiol. 2015 Dec;31(12):1421-6. doi: 10.1016/j.cjca.2015.04.029. Epub 2015 May 2. PMID: 26160409.</t>
  </si>
  <si>
    <t>143: Gong B, Li Z, Yat Wong PC. Levosimendan Treatment for Heart Failure: A Systematic Review and Meta-Analysis. J Cardiothorac Vasc Anesth. 2015 Dec;29(6):1415-25. doi: 10.1053/j.jvca.2015.03.023. Epub 2015 Mar 26. PMID: 26275522</t>
  </si>
  <si>
    <t>142: Nieto Estrada VH, Molano Franco DL, Valencia Moreno AA, Rojas Gambasica JA, Jaller Bornacelli YE, Martinez Del Valle A. Reversion of Severe Mitral Insufficiency in Peripartum Cardiomyopathy Using Levosimendan. J Clin Med Res. 2015 Dec;7(12):998-1001. doi: 10.14740/jocmr2323w. Epub 2015 Oct 23. PMID: 26566415; PMCID: PMC4625822.</t>
  </si>
  <si>
    <t>141: Tariq S, Aronow WS. Use of Inotropic Agents in Treatment of Systolic Heart Failure. Int J Mol Sci. 2015 Dec 4;16(12):29060-8. doi: 10.3390/ijms161226147. PMID: 26690127; PMCID: PMC4691094.</t>
  </si>
  <si>
    <t>140: Salgado Filho MF, Barral M, Barrucand L, Cavalcanti IL, Verçosa N. A Randomized Blinded Study of the Left Ventricular Myocardial Performance Index Comparing Epinephrine to Levosimendan following Cardiopulmonary Bypass. PLoS One. 2015 Dec 14;10(12):e0143315. doi: 10.1371/journal.pone.0143315. PMID: 26655803; PMCID: PMC4684363.</t>
  </si>
  <si>
    <t>139: Okada M, Yamawaki H. Levosimendan inhibits interleukin-1β-induced apoptosis through activation of Akt and inhibition of inducible nitric oxide synthase in rat cardiac fibroblasts. Eur J Pharmacol. 2015 Dec 15;769:86-92. doi:10.1016/j.ejphar.2015.10.056. Epub 2015 Oct 31. PMID: 26528797.</t>
  </si>
  <si>
    <t>135: Ferrer-Barba A, Gonzalez-Rivera I, Bautista-Hernandez V. Inodilators in the Management of Low Cardiac Output Syndrome After Pediatric Cardiac Surgery. Curr Vasc Pharmacol. 2016;14(1):48-57. doi: 10.2174/1570161113666151014125314. PMID: 26463985</t>
  </si>
  <si>
    <t>136: Freixa X, Hernández M, Farrero M, Sitges M, Jiménez G, Regueiro A, Fita G, Tatjer I, Andrea R, Martín-Yuste V, Brugaletta S, Masotti M, Sabaté M. Levosimendan as an adjunctive therapy to MitraClip implantation in patients with severe mitral regurgitation and left ventricular dysfunction. Int J Cardiol. 2016 Jan 1;202:517-8. doi: 10.1016/j.ijcard.2015.09.056. Epub 2015 Sep 25. PMID: 26440466</t>
  </si>
  <si>
    <t>127: Joshi RK, Aggarwal N, Aggarwal M, Pandey R, Dinand V, Joshi R. Successful use of levosimendan as a primary inotrope in pediatric cardiac surgery: An observational study in 110 patients. Ann Pediatr Cardiol. 2016 Jan-Apr;9(1):9-15. doi: 10.4103/0974-2069.171389. PMID: 27011685; PMCID: PMC4782480.</t>
  </si>
  <si>
    <t>125: Nespoli MR, Rispoli M, Mattiacci DM, Esposito M, Corcione A, Curcio C, Buono S. Preoperative optimization with levosimendan in heart failure patient undergoing thoracic surgery. Int J Surg Case Rep. 2016;27:1-4. doi:10.1016/j.ijscr.2016.08.003. Epub 2016 Aug 4. PMID: 27518430; PMCID: PMC4983642.</t>
  </si>
  <si>
    <t>121: Schlecht W, Li KL, Hu D, Dong W. Fluorescence Based Characterization of Calcium Sensitizer Action on the Troponin Complex. Chem Biol Drug Des. 2016 Feb;87(2):171-81. doi: 10.1111/cbdd.12651. Epub 2015 Sep 16. PMID: 26375298; PMCID: PMC4718833.</t>
  </si>
  <si>
    <t>117: Zhou C, Gong J, Chen D, Wang W, Liu M, Liu B. Levosimendan for Prevention of Acute Kidney Injury After Cardiac Surgery: A Meta-analysis of Randomized Controlled Trials. Am J Kidney Dis. 2016 Mar;67(3):408-16. doi:10.1053/j.ajkd.2015.09.015. Epub 2015 Oct 27. PMID: 26518388.</t>
  </si>
  <si>
    <t>119: Varvarousi G, Xanthos T, Sarafidou P, Katsioula E, Georgiadou M, Eforakopoulou M, Pavlou H. Role of levosimendan in the management of subarachnoid hemorrhage. Am J Emerg Med. 2016 Feb;34(2):298-306. doi:10.1016/j.ajem.2015.11.024. Epub 2015 Nov 25. PMID: 26669277.</t>
  </si>
  <si>
    <t>111: Torrado H, Lopez-Delgado JC, Farrero E, Rodríguez-Castro D, Castro MJ, Periche E, Carriò ML, Toscano JE, Pinseau A, Javierre C, Ventura JL. Five-year mortality in cardiac surgery patients with low cardiac output syndrome treated with levosimendan: prognostic evaluation of NT-proBNP and C-reactive protein. Minerva Cardioangiol. 2016 Apr;64(2):101-13. PMID: 26977768.</t>
  </si>
  <si>
    <t>101: Akhtar MS, Pillai KK, Hassan MQ, Dhyani N, Ismail MV, Najmi AK. Levosimendan reduces myocardial damage and improves cardiodynamics in streptozotocin induced diabetic cardiomyopathy via SERCA2a/NCX1 pathway. Life Sci. 2016 May 15;153:55-65. doi: 10.1016/j.lfs.2016.03.049. Epub 2016 Apr 6. PMID: 27058979.</t>
  </si>
  <si>
    <t>100: Ertuna E, Turkseven S, Amanvermez D, Ayik F, Yagdi T, Yasa M. Effects of levosimendan on isolated human internal mammary artery and saphenous vein: concurrent use with conventional vasodilators. Fundam Clin Pharmacol. 2016 Jun;30(3):226-34. doi: 10.1111/fcp.12185. Epub 2016 Feb 26. PMID: 26839979.</t>
  </si>
  <si>
    <t>97: Temizturk Z, Azboy D, Atalay A, Atalay H, Dogan OF. The Effects of Levosimendan and Sodium Nitroprusside Combination on Left Ventricular Functions After Surgical Ventricular Reconstruction in Coronary Artery Bypass Grafting Patients. Open Cardiovasc Med J. 2016 Jun 30;10:138-47. doi:10.2174/1874192401610010138. PMID: 27583039; PMCID: PMC4994121.</t>
  </si>
  <si>
    <t>96: Zangrillo A, Alvaro G, Pisano A, Guarracino F, Lobreglio R, Bradic N, Lembo Lomivorotov VV, Landoni G. A randomized controlled trial of levosimendan to reduce mortality in high-risk cardiac surgery patients (CHEETAH): Rationale and design. Am Heart J. 2016 Jul;177:66-73. doi: 10.1016/j.ahj.2016.03.021. Epub 2016 Apr 23. PMID: 27297851.</t>
  </si>
  <si>
    <t>89: Mansiroglu AK, Oner E, Erturk M, Karakurt H, Somuncu MU, Birant A, Kalkan AK, Ozturk D, Eksik A. Assessment of sustained effects of levosimendan on right ventricular systolic functions in patients with advanced heart failure. Acta Cardiol. 2016 Aug;71(4):411-5. doi: 10.2143/AC.71.4.3159693. PMID: 27594356.</t>
  </si>
  <si>
    <t>95: Distelmaier K, Roth C, Schrutka L, Binder C, Steinlechner B, Heinz G, Lang IM, Maurer G, Koinig H, Niessner A, Hülsmann M, Speidl W, Goliasch G. Beneficial effects of levosimendan on survival in patients undergoing extracorporeal membrane oxygenation after cardiovascular surgery. Br J Anaesth. 2016 Jul;117(1):52-8. doi: 10.1093/bja/aew151. PMID: 27317704; PMCID: PMC4913403.</t>
  </si>
  <si>
    <t>87: Axelsson B, Häggmark S, Svenmarker S, Johansson G, Gupta A, Tydén H, Wouters P, Haney M. Effects of Combined Milrinone and Levosimendan Treatment on Systolic and Diastolic Function During Postischemic Myocardial Dysfunction in a Porcine Model. J Cardiovasc Pharmacol Ther. 2016 Sep;21(5):495-503. doi:10.1177/1074248416628675. Epub 2016 Feb 1. PMID: 26837238.</t>
  </si>
  <si>
    <t>88: Caruba T, Hourton D, Sabatier B, Rousseau D, Tibi A, Hoffart-Jourdain C, Souag A, Freitas N, Yjjou M, Almeida C, Gomes N, Aucouturier P, Djadi-Prat J, Menasché P, Chatellier G, Cholley B. Rationale and design of the multicenter randomized trial investigating the effects of levosimendan pretreatment in patients with low ejection fraction (≤40 %) undergoing CABG with cardiopulmonary bypass (LICORN study). J Cardiothorac Surg. 2016 Aug 5;11(1):127. doi:10.1186/s13019-016-0530-z. PMID: 27496105; PMCID: PMC4974786.</t>
  </si>
  <si>
    <t>4: Barbici I, Hedman A, Ewaldsson CA. Use of levosimendan in patients with heart failure in different settings: case reports and treatment guidance. Heart Lung Vessel. 2015;7(2):143-50. PMID: 26157740; PMCID: PMC4476768.</t>
  </si>
  <si>
    <t>5: Scardovi AB, De Maria R, Ricci R. Acute peripartum cardiomyopathy rapidly evolving in cardiogenic shock. Int J Cardiol. 2015;189:255-6. doi:10.1016/j.ijcard.2015.03.364. Epub 2015 Mar 26. PMID: 25897921.</t>
  </si>
  <si>
    <t>3: Kiraz HA, Poyraz F, Kip G, Erdem Ö, Alkan M, Arslan M, Özer A, Şivgin V, Çomu FM. The effect of levosimendan on myocardial ischemia-reperfusion injury in streptozotocin-induced diabetic rats. Libyan J Med. 2015 Jan;10(1):29269. doi:10.3402/ljm.v10.29269. PMID: 26649830; PMCID: PMC4673913.</t>
  </si>
  <si>
    <t>2: Zhang C, Guo Z, Liu H, Shi Y, Ge S. Influence of levosimendan postconditioning on apoptosis of rat lung cells in a model of ischemia-reperfusion injury. PLoS One. 2015 Jan 21;10(1):e0114963. doi:10.1371/journal.pone.0114963. PMID: 25608001; PMCID: PMC4301642.</t>
  </si>
  <si>
    <t>6: Bove T, Matteazzi A, Belletti A, Paternoster G, Saleh O, Taddeo D, Dossi R, Greco T, Bradic N, Husedzinovic I, Nigro Neto C, Lomivorotov VV, Calabrò MG. Beneficial impact of levosimendan in critically ill patients with or at risk for acute renal failure: a meta-analysis of randomized clinical trials. Heart Lung Vessel. 2015;7(1):35-46. PMID: 25861589; PMCID: PMC4381821.</t>
  </si>
  <si>
    <t>10: Spinarova L, Spinar J. Pharmacotherapy of dilated cardiomyopathy. Curr Pharm Des. 2015;21(4):449-58. doi: 10.2174/138161282104141204141851. PMID: 25483945.</t>
  </si>
  <si>
    <t>11: Silvetti S, Silvani P, Azzolini ML, Dossi R, Landoni G, Zangrillo A. A systematic review on levosimendan in paediatric patients. Curr Vasc Pharmacol. 2015;13(1):128-33. doi: 10.2174/1570161112666141127163536. PMID: 25440597.</t>
  </si>
  <si>
    <t>12: Juhl-Olsen P, Jakobsen CJ, Rasmussen LA, Bhavsar R, Klaaborg KE, Frederiksen CA, Sloth E. Effects of levosimendan in patients with left ventricular hypertrophy undergoing aortic valve replacement. Acta Anaesthesiol Scand. 2015 Jan;59(1):65-77. doi: 10.1111/aas.12425. Epub 2014 Oct 28. PMID: 25348510.</t>
  </si>
  <si>
    <t>13: Feltracco P, Carollo C, Ori C. Levosimendan in lung transplant recipients with difficult weaning from ECMO. Minerva Anestesiol. 2015 Jan;81(1):92-3. Epub 2014 Oct 3. PMID: 25280141.</t>
  </si>
  <si>
    <t>8: Arslan M, Comu FM, Alkan M, Kiraz HA, Kip G, Ozer A, Sivgin V. Effect of levosimendan on erythrocyte deformability during myocardial ischaemia-reperfusion injury. Bratisl Lek Listy. 2015;116(1):47-50. doi:10.4149/bll_2015_009. PMID: 25666962.</t>
  </si>
  <si>
    <t>7: Oktar GL, Demir Amac N, Elmas C, Arslan M, Goktas G, Iriz E, Erer D, Zor MH, Tatar T. The histopathological effects of levosimendan on liver injury induced by myocardial ischemia and reperfusion. Bratisl Lek Listy. 2015;116(4):241-7. doi: 10.4149/bll_2015_047. PMID: 25773952.</t>
  </si>
  <si>
    <t>14: Bleilevens C, Roehl AB, Zoremba N, Tolba R, Rossaint R, Hein M. Insular infarct size but not levosimendan influenced myocardial injury triggered by cerebral ischemia in rats. Exp Brain Res. 2015 Jan;233(1):149-56. doi:10.1007/s00221-014-4096-5. Epub 2014 Sep 30. PMID: 25262586.</t>
  </si>
  <si>
    <t>15: Gomar Sancho C, Darias Delbey B. Iliac aneurysm rupture during preconditioning with levosimendan for coronary artery graft, it was levosimendan the most influencing factor? Rev Esp Anestesiol Reanim. 2015 Jan;62(1):52-3. English, Spanish. doi: 10.1016/j.redar.2014.04.007. Epub 2014 Jul 14. PMID: 25034938</t>
  </si>
  <si>
    <t>27: Balzer F, Treskatsch S, Spies C, Sander M, Kastrup M, Grubitzsch H, Wernecke KD, Braun JP. Early administration of levosimendan is associated with improved kidney function after cardiac surgery - a retrospective analysis. J Cardiothorac Surg. 2014 Nov 18;9:167. doi: 10.1186/s13019-014-0167-8. PMID: 25399779; PMCID: PMC4240807.</t>
  </si>
  <si>
    <t>26: Tsao CM, Li KY, Chen SJ, Ka SM, Liaw WJ, Huang HC, Wu CC. Levosimendan attenuates multiple organ injury and improves survival in peritonitis-induced septic shock: studies in a rat model. Crit Care. 2014 Nov 29;18(6):652. doi:10.1186/s13054-014-0652-4. PMID: 25432865; PMCID: PMC4274679.</t>
  </si>
  <si>
    <t>31: Papanikolaou J, Tsolaki V, Makris D, Zakynthinos E. Early levosimendan administration may improve outcome in patients with subarachnoid hemorrhage complicated by acute heart failure. Int J Cardiol. 2014 Oct 20;176(3):1435-7. doi: 10.1016/j.ijcard.2014.08.039. Epub 2014 Aug 13. PMID: 25147072.</t>
  </si>
  <si>
    <t>30: Aleixandre L, Cortell J, Vicente R, Herrera P, Loro JM, Valera F. Tratamiento con óxido nítrico, levosimendán y sildenafilo en paciente con disfunción ventricular derecha e hipertensión pulmonar severa tras cirugía cardíaca [Nitrid oxide, levosimendan and sildenafile in a patient with right ventricle dysfunction and severe pulmonary hypertension after cardiac surgery]. Rev Esp Anestesiol Reanim. 2014 Nov;61(9):513-6. Spanish. doi:10.1016/j.redar.2013.09.020. Epub 2013 Dec 19. PMID: 24360765.</t>
  </si>
  <si>
    <t>32: Ibrahim MA, Abdel-Gaber SA, Amin EF, Ibrahim SA, Mohammed RK, Abdelrahman AM. Molecular mechanisms contributing to the protective effect of levosimendan in liver ischemia-reperfusion injury. Eur J Pharmacol. 2014 Oct 15;741:64-73. doi: 10.1016/j.ejphar.2014.07.047. Epub 2014 Aug 2. PMID: 25094034.</t>
  </si>
  <si>
    <t>24: Orstavik O, Ata SH, Riise J, Dahl CP, Andersen GØ, Levy FO, Skomedal T, Osnes JB, Qvigstad E. Inhibition of phosphodiesterase-3 by levosimendan is sufficient to account for its inotropic effect in failing human heart. Br J Pharmacol. 2014 Dec;171(23):5169-81. doi: 10.1111/bph.12647. PMID: 24547784; PMCID: PMC4294032.</t>
  </si>
  <si>
    <t>23: Wang X, Ma S, Liu Y, Xu W, Li Z. Effects and mechanism analysis of combined infusion by levosimendan and vasopressin on acute lung injury in rats septic shock. Cell Biochem Biophys. 2014 Dec;70(3):1639-45. doi:10.1007/s12013-014-0107-1. PMID: 25002345.</t>
  </si>
  <si>
    <t>22: Wilson K, Guggilam A, West TA, Zhang X, Trask AJ, Cismowski MJ, de Tombe P, Sadayappan S, Lucchesi PA. Effects of a myofilament calcium sensitizer on left ventricular systolic and diastolic function in rats with volume overload heart failure. Am J Physiol Heart Circ Physiol. 2014 Dec 1;307(11):H1605-17. doi:10.1152/ajpheart.00423.2014. Epub 2014 Sep 26. PMID: 25260618; PMCID: PMC4255015.</t>
  </si>
  <si>
    <t>21: Dietrichs ES, Håheim B, Kondratiev T, Sieck GC, Tveita T. Cardiovascular effects of levosimendan during rewarming from hypothermia in rat. Cryobiology. 2014 Dec;69(3):402-10. doi: 10.1016/j.cryobiol.2014.09.007. Epub 2014 Sep 30. PMID: 25280932.</t>
  </si>
  <si>
    <t>20: Moreno N, Tavares-Silva M, Lourenço AP, Oliveira-Pinto J, Henriques-Coelho T, Leite-Moreira AF. Levosimendan: The current situation and new prospects. Rev Port Cardiol. 2014 Dec;33(12):795-800. doi: 10.1016/j.repc.2014.05.009. Epub 2014 Nov 14. PMID: 25459636.</t>
  </si>
  <si>
    <t>19: Sahin V, Uyar IS, Gul I, Akpinar MB, Abacilar AF, Uc H, Okur FF, Tavli T, Ates M, Alayunt EA. Evaluation of myocardial contractility determination with tissue tracking echocardiography after levosimendan infusion in patients with poor left ventricular function and hemodynamics. Heart Surg Forum. 2014 Dec;17(6):E313-8. doi: 10.1532/HSF98.2014415. PMID: 25586282.</t>
  </si>
  <si>
    <t>17: Oner E, Erturk M, Birant A, Kurtar Mansıroglu A, Akturk IF, Karakurt H, Yalcin AA, Uzun F, Somuncu MU, Yildirim A. Assessment of sustained effects of levosimendan and dobutamine on left ventricular systolic functions by using novel tissue Doppler derived indices in patients with advanced heart failure. Cardiol J. 2015;22(1):87-93. doi: 10.5603/CJ.a2014.0044. Epub 2014 May 20. PMID: 24846511</t>
  </si>
  <si>
    <t>16: Román Fernández A, López Álvarez A. Reply to article "Iliac aneurysm rupture during preconditioning with levosimendan for coronary artery graft, it was levosimendan the most influencing factor?". Rev Esp Anestesiol Reanim. 2015 Jan;62(1):53. English, Spanish. doi: 10.1016/j.redar.2014.05.001. Epub 2014 Jun 10. PMID: 24924342.</t>
  </si>
  <si>
    <t>34: Fang M, Dong S. [Effects of levosimendan on hemodynamics and cardiac function in patients with septic shock]. Zhonghua Wei Zhong Bing Ji Jiu Yi Xue. 2014 Oct;26(10):692-6. Chinese. doi: 10.3760/cma.j.issn.2095-4352.2014.10.002. PMID: 25315937.</t>
  </si>
  <si>
    <t>33: Varvarousi G, Stefaniotou A, Varvaroussis D, Aroni F, Xanthos T. The role of Levosimendan in cardiopulmonary resuscitation. Eur J Pharmacol. 2014 Oct 5;740:596-602. doi: 10.1016/j.ejphar.2014.06.024. Epub 2014 Jun 24. PMID: 24972240</t>
  </si>
  <si>
    <t>35: Lahtinen P, Pitkänen O, Musialowicz T. Levosimendan increases bleeding risk after heart valve surgery: a retrospective analysis of a randomized trial. J Cardiothorac Vasc Anesth. 2014 Oct;28(5):1238-42. doi:10.1053/j.jvca.2014.04.022. PMID: 25281042.</t>
  </si>
  <si>
    <t>37: Knezevic I, Poglajen G, Hrovat E, Oman A, Pintar T, Wu JC, Vrtovec B, Haddad F. The effects of levosimendan on renal function early after heart transplantation: results from a pilot randomized trial. Clin Transplant. 2014 Oct;28(10):1105-11. doi: 10.1111/ctr.12424. Epub 2014 Aug 14. PMID: 25053182.</t>
  </si>
  <si>
    <t>38: Vildbrad MD, Andersen A, Holmboe S, Ringgaard S, Nielsen JM, Nielsen-Kudsk JE. Acute effects of levosimendan in experimental models of right ventricular hypertrophy and failure. Pulm Circ. 2014 Sep;4(3):511-9. doi: 10.1086/677366. PMID: 25621165; PMCID: PMC4278611.</t>
  </si>
  <si>
    <t>39: De Luca L. Inotropic agents in advanced heart failure: repetita iuvant? Int J Cardiol. 2014 Sep;176(1):6-7. doi: 10.1016/j.ijcard.2014.06.063. Epub 2014 Jul 5. PMID: 25065330.</t>
  </si>
  <si>
    <t>40: Nagy L, Pollesello P, Papp Z. Inotropes and inodilators for acute heart failure: sarcomere active drugs in focus. J Cardiovasc Pharmacol. 2014 Sep;64(3):199-208. doi: 10.1097/FJC.0000000000000113. PMID: 24785346; PMCID: PMC4232335.</t>
  </si>
  <si>
    <t>41: Zhou HY, Zhang LN, Zheng MZ, Wang LL, Chen YY, Shen YL. Improved myocardial function with supplement of levosimendan to Celsior solution. J Cardiovasc Pharmacol. 2014 Sep;64(3):256-65. doi: 10.1097/FJC.0000000000000115. PMID: 24785343</t>
  </si>
  <si>
    <t>44: Altenberger J, Parissis JT, Costard-Jaeckle A, Winter A, Ebner C, Karavidas A, Sihorsch K, Avgeropoulou E, Weber T, Dimopoulos L, Ulmer H, Poelzl G. Efficacy and safety of the pulsed infusions of levosimendan in outpatients with advanced heart failure (LevoRep) study: a multicentre randomized trial. Eur J Heart Fail. 2014 Aug;16(8):898-906. doi: 10.1002/ejhf.118. Epub 2014 Jun 11. PMID: 24920349.</t>
  </si>
  <si>
    <t>45: Barisin S, Djuzel V, Barisin A, Rudez I. Levosimendan reverses right-heart failure in a 51-year-old patient after heart transplantation. Wien Klin Wochenschr. 2014 Aug;126(15-16):495-9. doi: 10.1007/s00508-014-0528-2. Epub 2014 Mar 21. PMID: 24652017.</t>
  </si>
  <si>
    <t>46: Thorvaldsen T, Benson L, Hagerman I, Dahlström U, Edner M, Lund LH. Planned repetitive use of levosimendan for heart failure in cardiology and internal medicine in Sweden. Int J Cardiol. 2014 Jul 15;175(1):55-61. doi:10.1016/j.ijcard.2014.04.243. Epub 2014 Apr 29. PMID: 24820737.</t>
  </si>
  <si>
    <t>47: Chu KM, Hu YP, Liou JT. A Pharmacokinetic and Pharmacodynamic Study of Intravenous Levosimendan in Healthy Chinese Volunteers and Ethnic Comparisons. Acta Cardiol Sin. 2014 Jul;30(4):298-307. PMID: 27122803; PMCID: PMC4804992.</t>
  </si>
  <si>
    <t>48: Namachivayam P, Smolich JJ, Shields AE, Rees S, Coleman L, Horton SB, Konstantinov IE, Penny DJ, Shekerdemian LS. Impact of levosimendan on brain injury patterns in a lamb model of infant cardiopulmonary bypass. Pediatr Res. 2014 Jul;76(1):64-71. doi: 10.1038/pr.2014.51. Epub 2014 Apr 8. PMID: 24713816.</t>
  </si>
  <si>
    <t>49: Torraco A, Carrozzo R, Piemonte F, Pastore A, Tozzi G, Verrigni D, Assenza M, Orecchioni A, D'Egidio A, Marraffa E, Landoni G, Bertini E, Morelli A. Effects of levosimendan on mitochondrial function in patients with septic shock: a randomized trial. Biochimie. 2014 Jul;102:166-73. doi:10.1016/j.biochi.2014.03.006. Epub 2014 Mar 19. PMID: 24657218.</t>
  </si>
  <si>
    <t>50: Silvetti S, Greco T, Di Prima AL, Mucchetti M, de Lurdes CM, Pasin L, Scandroglio M, Landoni G, Zangrillo A. Intermittent levosimendan improves mid-term survival in chronic heart failure patients: meta-analysis of randomised trials. Clin Res Cardiol. 2014 Jul;103(7):505-13. doi:10.1007/s00392-013-0649-z. Epub 2013 Dec 25. PMID: 24368740.</t>
  </si>
  <si>
    <t>51: Nieminen MS, Altenberger J, Ben-Gal T, Böhmer A, Comin-Colet J, Dickstein K, Schwinger RH, Segovia J, Seidel M, Vrtovec B, Wikström G. Repetitive use of levosimendan for treatment of chronic advanced heart failure: clinical evidence, practical considerations, and perspectives: an expert panel consensus. Int J Cardiol. 2014 Jun 15;174(2):360-7. doi: 10.1016/j.ijcard.2014.04.111. Epub 2014 Apr 18. PMID: 24780540.</t>
  </si>
  <si>
    <t>53: Sharma P, Malhotra A, Gandhi S, Garg P, Bishnoi A, Gandhi H. Preoperative levosimendan in ischemic mitral valve repair. Asian Cardiovasc Thorac Ann. 2014 Jun;22(5):539-45. doi: 10.1177/0218492313499352. Epub 2013 Oct 25. PMID: 24867027</t>
  </si>
  <si>
    <t>52: Orme RM, Perkins GD, McAuley DF, Liu KD, Mason AJ, Morelli A, Singer M, Ashby D, Gordon AC. An efficacy and mechanism evaluation study of Levosimendan for the Prevention of Acute oRgan Dysfunction in Sepsis (LeoPARDS): protocol for a randomized controlled trial. Trials. 2014 Jun 2;15:199. doi:10.1186/1745-6215-15-199. PMID: 24894386; PMCID: PMC4061524.</t>
  </si>
  <si>
    <t>54: Coates J, Mathieu S. BET 1: levosimendan in septic shock. Emerg Med J. 2014 Jun;31(6):508-10. doi: 10.1136/emermed-2014-203854.1. PMID: 24839073.</t>
  </si>
  <si>
    <t>55: Erb J, Beutlhauser T, Feldheiser A, Schuster B, Treskatsch S, Grubitzsch H, Spies C. Influence of levosimendan on organ dysfunction in patients with severely reduced left ventricular function undergoing cardiac surgery. J Int Med Res. 2014 Jun;42(3):750-64. doi: 10.1177/0300060513516293. Epub 2014 Apr 29. PMID: 24781725.</t>
  </si>
  <si>
    <t>62: Lenz K, Gegenhuber A, Firlinger F, Lohr G, Piringer P. Pilotstudie zu Levosimendan : Effekt auf Leberdurchblutung und -funktion bei akut dekompensierter Herzinsuffizienz [Pilot study of levosimendan : Effect on liver blood flow and liver function in acute decompensated heart failure]. Med Klin Intensivmed Notfmed. 2014 May;109(4):267-70. German. doi:10.1007/s00063-013-0326-z. Epub 2014 Apr 19. PMID: 24743943.</t>
  </si>
  <si>
    <t>65: Spinar J, Spinarová L, Vítovec J, Ludka O. Srovnání amerických a evropských (českých) doporučení pro diagnostiku a léčbu chronického srdečního selhání [Comparison of American and European (Czech) guidelines for diagnosis and treatment of chronic heart failure]. Vnitr Lek. 2014 Apr;60(4):366, 368-74. Czech. PMID: 24986000.</t>
  </si>
  <si>
    <t>58: Tasal A, Erturk M, Uyarel H, Karakurt H, Bacaksiz A, Vatankulu MA, Turfan M, Sonmez O, Erdogan E, Ergelen M. Utility of the neutrophil to lymphocyte ratio for predicting in-hospital mortality after levosimendan infusion in patients with acute decompensated heart failure. J Cardiol. 2014 Jun;63(6):418-23. doi:10.1016/j.jjcc.2013.10.009. Epub 2013 Nov 20. PMID: 24268422.</t>
  </si>
  <si>
    <t>57: Baysal A, Yanartas M, Dogukan M, Gundogus N, Kocak T, Koksal C. Levosimendan improves renal outcome in cardiac surgery: a randomized trial. J Cardiothorac Vasc Anesth. 2014 Jun;28(3):586-94. doi: 10.1053/j.jvca.2013.09.004. Epub 2014 Jan 18. PMID: 24447501.</t>
  </si>
  <si>
    <t>56: Kelm RF, Wagenführer J, Bauer H, Schmidtmann I, Engelhard K, Noppens RR. Effects of levosimendan on hemodynamics, local cerebral blood flow, neuronal injury, and neuroinflammation after asphyctic cardiac arrest in rats. Crit Care Med. 2014 Jun;42(6):e410-9. doi: 10.1097/CCM.0000000000000308. PMID: 24633188.</t>
  </si>
  <si>
    <t>67: Pierrakos C, Velissaris D, Franchi F, Muzzi L, Karanikolas M, Scolletta S. Levosimendan in critical illness: a literature review. J Clin Med Res. 2014 Apr;6(2):75-85. doi: 10.14740/jocmr1702w. Epub 2014 Feb 6. PMID: 24578748; PMCID: PMC3935527.</t>
  </si>
  <si>
    <t>66: Malfatto G, Della Rosa F, Rella V, Villani A, Branzi G, Blengino S, Giglio A, Facchini M, Parati G. Prognostic value of noninvasive hemodynamic evaluation of the acute effect of levosimendan in advanced heart failure. J Cardiovasc Med (Hagerstown). 2014 Apr;15(4):322-30. doi: 10.2459/01.JCM.0000435614.40439.21. PMID: 24699010.</t>
  </si>
  <si>
    <t>68: Soussi S, Chatti K, Mebazaa A. Management of perioperative heart failure. Curr Opin Anaesthesiol. 2014 Apr;27(2):140-5. doi: 10.1097/ACO.0000000000000056. PMID: 24514033.</t>
  </si>
  <si>
    <t>69: Kolseth SM, Rolim NP, Salvesen Ø, Nordhaug DO, Wahba A, Høydal MA. Levosimendan improves contractility in vivo and in vitro in a rodent model of post-myocardial infarction heart failure. Acta Physiol (Oxf). 2014 Apr;210(4):865-74. doi: 10.1111/apha.12248. PMID: 24495280.</t>
  </si>
  <si>
    <t>75: Theiss HD, Grabmaier U, Kreissl N, Hagl C, Steinbeck G, Sodian R, Franz WM, Kaczmarek I. Preconditioning with levosimendan before implantation of left ventricular assist devices. Artif Organs. 2014 Mar;38(3):231-4. doi:10.1111/aor.12150. Epub 2013 Oct 22. PMID: 24147881.</t>
  </si>
  <si>
    <t>74: Grossini E, Pollesello P, Bellofatto K, Sigaudo L, Farruggio S, Origlia V, Mombello C, Mary DA, Valente G, Vacca G. Protective effects elicited by levosimendan against liver ischemia/reperfusion injury in anesthetized rats. Liver Transpl. 2014 Mar;20(3):361-75. doi: 10.1002/lt.23799. Epub 2014 Jan 27. PMID: 24273004.</t>
  </si>
  <si>
    <t>73: Goetzenich A, Hatam N, Preuss S, Moza A, Bleilevens C, Roehl AB, Autschbach R, Bernhagen J, Stoppe C. The role of hypoxia-inducible factor-1α and vascular endothelial growth factor in late-phase preconditioning with xenon, isoflurane and levosimendan in rat cardiomyocytes. Interact Cardiovasc Thorac Surg. 2014 Mar;18(3):321-8. doi: 10.1093/icvts/ivt450. Epub 2013 Dec 18. PMID: 24351506; PMCID: PMC3930204.</t>
  </si>
  <si>
    <t>72: Fedele F, Bruno N, Brasolin B, Caira C, D'Ambrosi A, Mancone M. Levosimendan improves renal function in acute decompensated heart failure: possible underlying mechanisms. Eur J Heart Fail. 2014 Mar;16(3):281-8. doi:10.1002/ejhf.9. Epub 2013 Dec 11. PMID: 24464960.</t>
  </si>
  <si>
    <t>76: Román Fernández A, López Álvarez A, Corujeira Rivera MC, Vilanova Vázquez V, Carregal Rañó A, Pereira Loureiro MÁ. Rotura de aneurisma ilíaco durante el precondicionamiento con levosimendán previo a cirugía de revascularización coronaria [Iliac aneurysm rupture during preconditioning with levosimendan for coronary artery bypass graft]. Rev Esp Anestesiol Reanim. 2014 Mar;61(3):154-6. Spanish. doi: 10.1016/j.redar.2013.02.013. Epub 2013 May 9. PMID: 23664061.</t>
  </si>
  <si>
    <t>77: Tasal A, Demir M, Kanadasi M, Bacaksiz A, Vatankulu MA, Sahin DY, Eker RA, Bozkurt A, Acarturk E. Comparison of single-dose and repeated levosimendan infusion in patients with acute exacerbation of advanced heart failure. Med Sci Monit. 2014 Feb 19;20:276-82. doi: 10.12659/MSM.889767. PMID: 24549281; PMCID: PMC3937020.</t>
  </si>
  <si>
    <t>81: Niu ZZ, Wu SM, Sun WY, Hou WM, Chi YF. Perioperative levosimendan therapy is associated with a lower incidence of acute kidney injury after cardiac surgery: a meta-analysis. J Cardiovasc Pharmacol. 2014 Feb;63(2):107-12. doi:10.1097/FJC.0000000000000028. PMID: 24126568.</t>
  </si>
  <si>
    <t>80: Summaria F, Mustilli M, Sette A, Lanzillo C, Romagnoli E. Early 'in-lab' use of levosimendan in patients with cardiogenic shock unsuitable for intra-aortic balloon pump counterpulsation. Ther Adv Cardiovasc Dis. 2014 Feb;8(1):28-31. doi: 10.1177/1753944713515310. PMID: 24492986.</t>
  </si>
  <si>
    <t>79: Li PC, Yang YC, Hwang GY, Kao LS, Lin CY. Inhibition of reverse-mode sodium-calcium exchanger activity and apoptosis by levosimendan in human cardiomyocyte progenitor cell-derived cardiomyocytes after anoxia and reoxygenation. PLoS One. 2014 Feb 3;9(2):e85909. doi: 10.1371/journal.pone.0085909. PMID: 24498266; PMCID: PMC3911900.</t>
  </si>
  <si>
    <t>78: Plaschke K, Bent F, Wagner S, Zorn M, Kopitz J. In contrast to its anti-inflammatory and anti-apoptotic peripheral effect, levosimendan failed to induce a long-term neuroprotective effect in a rat model of mild septic encephalopathy: a pilot study. Neurosci Lett. 2014 Feb 7;560:117-21. doi:10.1016/j.neulet.2013.12.021. Epub 2013 Dec 17. PMID: 24361133.</t>
  </si>
  <si>
    <t>82: Gecit I, Kavak S, Yüksel MB, Basel H, Bektas H, Gümrükçüoglu HA, Meral I, Demir H. Effect of short-term treatment with levosimendan on oxidative stress in renal tissues of rats. Toxicol Ind Health. 2014 Feb;30(1):47-51. doi:10.1177/0748233712451773. Epub 2012 Jun 21. PMID: 22722773.</t>
  </si>
  <si>
    <t>83: Eris C, Yavuz S, Toktas F, Turk T, Gucu A, Erdolu B, Goncu MT. Preoperative usages of levosimendan in patients undergoing coronary artery bypass grafting. Int J Clin Exp Med. 2014 Jan 15;7(1):219-29. PMID: 24482709; PMCID: PMC3902261.</t>
  </si>
  <si>
    <t>84: Unverzagt S, Wachsmuth L, Hirsch K, Thiele H, Buerke M, Haerting J, Werdan K, Prondzinsky R. Inotropic agents and vasodilator strategies for acute myocardial infarction complicated by cardiogenic shock or low cardiac output syndrome. Cochrane Database Syst Rev. 2014 Jan 2;(1):CD009669. doi:10.1002/14651858.CD009669.pub2. Update in: Cochrane Database Syst Rev. 2018 Jan 29;1:CD009669. doi: 10.1002/14651858.CD009669.pub3. PMID: 24385385.</t>
  </si>
  <si>
    <t>86: Gokahmetoglu G, Aksu R, Bicer C, Darcin K, Ugur F. The effect of levosimendan combined with 20% lipid emulsion treatment on survival from bupivacaine induced toxicity in experiment. Bratisl Lek Listy. 2014;115(5):275-9. doi: 10.4149/bll_2014_057. PMID: 24836408.</t>
  </si>
  <si>
    <t>87: Wu X, Wu J, Yan X, Zhang Y. Enhancement of myocardial function and reduction of injury with levosimendan after percutaneous coronary intervention for acute myocardial infarction: a pilot study. Cardiology. 2014;128(2):202-8. doi:10.1159/000360933. Epub 2014 Apr 16. PMID: 24751502.</t>
  </si>
  <si>
    <t>88: Jia Z, Guo M, Zhang YQ, Liang HQ, Zhang LY, Song Y. Efficacy of intravenous levosimendan in patients with heart failure complicated by acute myocardial infarction. Cardiology. 2014;128(2):195-201. doi: 10.1159/000357864. Epub 2014 Apr 16. PMID: 24751462.</t>
  </si>
  <si>
    <t>89: Orriach Guerrero JL, Ramirez Fernandez A, Iglesias P, Galan M, Melero JM, Florez A, Escalona JJ, Rodriguez MJ, Ramirez M, Rubio M, Cruz J. Preoperative levosimendan. A new way for organoprotection. Curr Pharm Des. 2014;20(34):5476-83. doi: 10.2174/1381612820666140325121452. PMID: 24669969.</t>
  </si>
  <si>
    <t>95: Carev M, Karanovic N, Kocen D, Bulat C. Useful supplement to the best practice of using levosimendan in cardiac surgery patients: 2.5-mg intravenous bolus for cardiopulmonary resuscitation during perioperative cardiac arrest. J Cardiothorac Vasc Anesth. 2013 Dec;27(6):e75-7. doi: 10.1053/j.jvca.2013.07.018. PMID: 24267577.</t>
  </si>
  <si>
    <t>94: Toller W, Guarracino F, Landoni G. Reply to Carev et al: "Useful supplement to the best practice of using levosimendan in cardiac surgery patients: 2.5 mg intravenous bolus for cardiopulmonary resuscitation during perioperative cardiac arrest". J Cardiothorac Vasc Anesth. 2013 Dec;27(6):e77-8. doi:10.1053/j.jvca.2013.07.017. PMID: 24267578.</t>
  </si>
  <si>
    <t>93: Guerrero Orriach JL, Navarro Arce I, Iglesias P, Galán Ortega M, Rubio Navarro M, Cruz Mañas J. Preoperative levosimendan for right ventricular dysfunction before heart valve replacement surgery. Rev Esp Cardiol (Engl Ed). 2013 Dec;66(12):999-1000. doi: 10.1016/j.rec.2013.05.015. Epub 2013 Aug 30. PMID: 24774116.</t>
  </si>
  <si>
    <t>92: Polderman KH. Of ions and temperature: the complicated interplay of temperature, fluids, and electrolytes on myocardial function. Crit Care. 2013 Dec 4;17(6):1018. doi: 10.1186/cc13139. PMID: 24313967; PMCID: PMC4056327.</t>
  </si>
  <si>
    <t>90: Shah B, Sharma P, Brahmbhatt A, Shah R, Rathod B, Shastri N, Patel J, Malhotra A. Study of levosimendan during off-pump coronary artery bypass grafting in patients with LV dysfunction: a double-blind randomized study. Indian J Pharmacol. 2014 Jan-Feb;46(1):29-34. doi: 10.4103/0253-7613.125161. PMID: 24550581; PMCID: PMC3912803.</t>
  </si>
  <si>
    <t>96: BET 1: Levosimendan in cardiogenic shock secondary to acute myocardial infarction. Emerg Med J. 2013 Dec;30(12):1060-2. doi:10.1136/emermed-2013-203256.1. PMID: 24232006.</t>
  </si>
  <si>
    <t>97: Santoro F, Ieva R, Ferraretti A, Ienco V, Carpagnano G, Lodispoto M, Di Biase L, Di Biase M, Brunetti ND. Safety and feasibility of levosimendan administration in takotsubo cardiomyopathy: a case series. Cardiovasc Ther. 2013 Dec;31(6):e133-7. doi: 10.1111/1755-5922.12047. PMID: 24119220.</t>
  </si>
  <si>
    <t>99: Harrison RW, Hasselblad V, Mehta RH, Levin R, Harrington RA, Alexander JH. Effect of levosimendan on survival and adverse events after cardiac surgery: a meta-analysis. J Cardiothorac Vasc Anesth. 2013 Dec;27(6):1224-32. doi:10.1053/j.jvca.2013.03.027. Epub 2013 Sep 16. PMID: 24050857.</t>
  </si>
  <si>
    <t>100: Berry WT, Hewson RW, Langrish CJ, McKenzie CA, Barrett NA. Levosimendan: a retrospective single-center case series. J Crit Care. 2013 Dec;28(6):1075-8. doi: 10.1016/j.jcrc.2013.06.014. Epub 2013 Aug 30. PMID: 23998721.</t>
  </si>
  <si>
    <t>101: Polat B, Albayrak A, Halici Z, Karakus E, Bayir Y, Demirci E, Cadirci E, Odaci E, Yayla M, Atamanalp SS. The effect of levosimendan in rat mesenteric ischemia/reperfusion injury. J Invest Surg. 2013 Dec;26(6):325-33. doi:10.3109/08941939.2013.806615. Epub 2013 Aug 19. PMID: 23957729.</t>
  </si>
  <si>
    <t>102: Yilmaz MB, Grossini E, Silva Cardoso JC, Édes I, Fedele F, Pollesello P, Wikström G. Renal effects of levosimendan: a consensus report. Cardiovasc Drugs Ther. 2013 Dec;27(6):581-90. doi: 10.1007/s10557-013-6485-6. PMID: 23929366; PMCID: PMC3830192.</t>
  </si>
  <si>
    <t>104: Alvarez J, Baluja A, Selas S, Otero P, Rial M, Veiras S, Caruezo V, Taboada M, Rodriguez I, Castroagudin J, Tome S, Rodriguez A, Rodriguez J. A comparison of dobutamine and levosimendan on hepatic blood flow in patients with a low cardiac output state after cardiac surgery: a randomised controlled study. Anaesth Intensive Care. 2013 Nov;41(6):719-27. doi: 10.1177/0310057X1304100606. PMID: 24180712.</t>
  </si>
  <si>
    <t>103: García-González MJ, de Mora-Martín M, López-Fernández S, López-Díaz J, Martínez-Sellés M, Romero-García J, Cordero M, Lara-Padrón A, Marrero-Rodríguez F, del Mar García-Saiz M, Aldea-Perona A; LAICA study investigators. Rationale and design of a randomized, double-blind, placebo controlled multicenter trial to study efficacy, security, and long term effects of intermittent repeated levosimendan administration in patients with advanced heart failure: LAICA study. Cardiovasc Drugs Ther. 2013 Dec;27(6):573-9. doi:10.1007/s10557-013-6476-7. PMID: 23887741; PMCID: PMC3830203.</t>
  </si>
  <si>
    <t>105: Affronti A, di Bella I, Carino D, Ragni T. Levosimendan may improve weaning outcomes in venoarterial ECMO patients. ASAIO J. 2013 Nov-Dec;59(6):554-7. doi:10.1097/MAT.0b013e3182a4b32e. PMID: 24172260.</t>
  </si>
  <si>
    <t>170: Nieminen MS, Fruhwald S, Heunks LM, Suominen PK, Gordon AC, Kivikko M, Pollesello P. Levosimendan: current data, clinical use and future development. Heart Lung Vessel. 2013;5(4):227-45. PMID: 24364017; PMCID: PMC3868185.</t>
  </si>
  <si>
    <t>169: Gödény I, Pollesello P, Edes I, Papp Z, Bagi Z. Levosimendan and its metabolite OR-1896 elicit KATP channel-dependent dilation in resistance arteries in vivo. Pharmacol Rep. 2013;65(5):1304-10. doi: 10.1016/s1734-1140(13)71488-9. PMID: 24399726; PMCID: PMC4016981.</t>
  </si>
  <si>
    <t>171: Alibaz-Oner F, Gurbuz OZ, Oner E, Yurdakul S, Erguney M. Impact of levosimendan on right ventricular functions by using novel tissue Doppler derived indices in patients with ischaemic left ventricular failure. Kardiol Pol. 2013;71(10):1036-41. doi: 10.5603/KP.2013.0258. PMID: 24197584.</t>
  </si>
  <si>
    <t>173: Riha H, Patel P, Al-Ghofaily L, Valentine E, Sophocles A, Augoustides JG. Major themes for 2012 in cardiovascular anesthesia and intensive care. HSR Proc Intensive Care Cardiovasc Anesth. 2013;5(1):9-16. PMID: 23734284; PMCID: PMC3670718.</t>
  </si>
  <si>
    <t>184: Kivikko M, Nieminen MS, Pollesello P, Pohjanjousi P, Colucci WS, Teerlink JR, Mebazaa A. The clinical effects of levosimendan are not attenuated by sulfonylureas. Scand Cardiovasc J. 2012 Dec;46(6):330-8. doi:10.3109/14017431.2012.725206. Epub 2012 Sep 25. PMID: 22928945.</t>
  </si>
  <si>
    <t>183: Busani S, Pasetto A, Ligabue G, Malavasi V, Lugli R, Girardis M. Levosimendan in a case of severe peri-myocarditis associated with influenza A/H1N1 virus. Br J Anaesth. 2012 Dec;109(6):1011-3. doi: 10.1093/bja/aes413. PMID: 23154955.</t>
  </si>
  <si>
    <t>182: Rafouli-Stergiou P, Parissis JT, Anastasiou-Nana M. Inotropes for the management of acute heart failure patients with renal dysfunction. Still an option? Expert Opin Pharmacother. 2012 Dec;13(18):2637-47. doi:10.1517/14656566.2012.749859. Epub 2012 Nov 21. PMID: 23170968.</t>
  </si>
  <si>
    <t>180: Lucioni C, D'Ambrosi A, Mazzi S, Pollesello P, Apajasalo M, Fedele F. Economic evaluation of levosimendan versus dobutamine for the treatment of acute heart failure in Italy. Adv Ther. 2012 Dec;29(12):1037-50. doi:10.1007/s12325-012-0070-4. Epub 2012 Dec 6. PMID: 23233357.</t>
  </si>
  <si>
    <t>179: Caetano F, Mota P, Barra S, Almeida I, Botelho A, Trigo J, Marques AL. Use of levosimendan in critically ill patients with severe aortic stenosis and left ventricular dysfunction. Eur Heart J Acute Cardiovasc Care. 2012 Dec;1(4):281-4. doi: 10.1177/2048872612467294. PMID: 24062918; PMCID: PMC3760567.</t>
  </si>
  <si>
    <t>178: Bent F, Plaschke K. Levosimendan's effect on platelet function in a rat sepsis model. Platelets. 2013;24(3):189-93. doi: 10.3109/09537104.2012.726755. Epub 2012 Oct 3. PMID: 23033981.</t>
  </si>
  <si>
    <t>177: Pellicer A, Riera J, Lopez-Ortego P, Bravo MC, Madero R, Perez-Rodriguez J, Labrandero C, Quero J, Buño A, Castro L, Lubomirov R, Cabañas F. Phase 1 study of two inodilators in neonates undergoing cardiovascular surgery. Pediatr Res. 2013 Jan;73(1):95-103. doi: 10.1038/pr.2012.154. Epub 2012 Nov 8. PMID: 23138399</t>
  </si>
  <si>
    <t>176: Rognoni A, Lupi A, Cavallino C, Veia A, Bacchini S, Rosso R, Secco GG, Bongo AS. Levosimendan preoperative. Curr Pharm Des. 2013;19(22):3974-8. doi:10.2174/1381612811319220005. PMID: 23228313.</t>
  </si>
  <si>
    <t>190: Landoni G, Rodseth RN, Santini F, Ponschab M, Ruggeri L, Székely A, Pasero Petrini F, Finco G, Ranieri M, Zangrillo A. Randomized evidence for reduction of perioperative mortality. J Cardiothorac Vasc Anesth. 2012 Oct;26(5):764-72. doi:10.1053/j.jvca.2012.04.018. Epub 2012 Jun 20. PMID: 22726656.</t>
  </si>
  <si>
    <t>191: Bonios MJ, Terrovitis JV, Drakos SG, Katsaros F, Pantsios C, Nanas SN, Kanakakis J, Alexopoulos G, Toumanidis S, Anastasiou-Nana M, Nanas JN. Comparison of three different regimens of intermittent inotrope infusions for end stage heart failure. Int J Cardiol. 2012 Sep 6;159(3):225-9. doi:10.1016/j.ijcard.2011.03.013. Epub 2011 Apr 8. PMID: 21481958.</t>
  </si>
  <si>
    <t>193: Glen J. Levosimendan, meta-analysis, and the Levosimendan Infusion versus Dobutamine study: surely some mistake? Crit Care Med. 2012 Sep;40(9):2743-4; author reply 2744. doi: 10.1097/CCM.0b013e31825bc7fd. PMID: 22903123.</t>
  </si>
  <si>
    <t>196: Kalam Y, Graudins A. Levosimendan infusion improves cardiac output but not blood pressure in a rodent model of severe metoprolol toxicity. Hum Exp Toxicol. 2012 Sep;31(9):955-63. doi: 10.1177/0960327111433182. Epub 2012 Jan 16. PMID: 22249394</t>
  </si>
  <si>
    <t>197: Roehl AB, Zoremba N, Kipp M, Schiefer J, Goetzenich A, Bleilevens C, Kuehn-Velten N, Tolba R, Rossaint R, Hein M. The effects of levosimendan on brain metabolism during initial recovery from global transient ischaemia/hypoxia. BMC Neurol. 2012 Aug 24;12:81. doi: 10.1186/1471-2377-12-81. PMID: 22920500; PMCID: PMC3492141.</t>
  </si>
  <si>
    <t>195: Lechner E, Hofer A, Leitner-Peneder G, Freynschlag R, Mair R, Weinzettel R, Rehak P, Gombotz H. Levosimendan versus milrinone in neonates and infants after corrective open-heart surgery: a pilot study. Pediatr Crit Care Med. 2012 Sep;13(5):542-8. doi: 10.1097/PCC.0b013e3182455571. PMID: 22622649.</t>
  </si>
  <si>
    <t>198: Papp Z, Édes I, Fruhwald S, De Hert SG, Salmenperä M, Leppikangas H, González MJ, Parkhomenko A, Yilmaz MB, Kivikko M, Pollesello P, Follath F. Levosimendan: molecular mechanisms and clinical implications: consensus of experts on the mechanisms of action of levosimendan. Int J Cardiol. 2012 Aug 23;159(2):82-7. doi: 10.1016/j.ijcard.2011.07.022. Epub 2011 Jul 23. PMID: 21784540</t>
  </si>
  <si>
    <t>200: Liu Y, Liu B, Zhou H, Wei LQ. Continuous levosimendan infusion for refractory cardiogenic shock complicating severe acute dichlorvos poisoning. Am J Med Sci. 2012 Aug;344(2):166-70. doi: 10.1097/MAJ.0b013e318254490d. PMID: 22771967</t>
  </si>
  <si>
    <t>199: Paur H, Wright PT, Sikkel MB, Tranter MH, Mansfield C, O'Gara P, Stuckey DJ, Nikolaev VO, Diakonov I, Pannell L, Gong H, Sun H, Peters NS, Petrou M, Zheng Z, Gorelik J, Lyon AR, Harding SE. High levels of circulating epinephrine trigger apical cardiodepression in a β2-adrenergic receptor/Gi-dependent manner: a new model of Takotsubo cardiomyopathy. Circulation. 2012 Aug 7;126(6):697-706. doi: 10.1161/CIRCULATIONAHA.112.111591. Epub 2012 Jun 25. PMID: 22732314; PMCID: PMC4890655.</t>
  </si>
  <si>
    <t>192: Levin R, Degrange M, Del Mazo C, Tanus E, Porcile R. Preoperative levosimendan decreases mortality and the development of low cardiac output in high-risk patients with severe left ventricular dysfunction undergoing coronary artery bypass grafting with cardiopulmonary bypass. Exp Clin Cardiol. 2012 Sep;17(3):125-30. PMID: 23620700; PMCID: PMC3628425.</t>
  </si>
  <si>
    <t>189: Papoff P, Caresta E, Versacci P, Pinto R, Moretti C, Midulla F. Beneficial effects of levosimendan in infants with sepsis-associated cardiac dysfunction: report of 2 cases. Pediatr Emerg Care. 2012 Oct;28(10):1062-5. doi:10.1097/PEC.0b013e31826cebe6. PMID: 23034494.</t>
  </si>
  <si>
    <t>188: Malfatto G, Della Rosa F, Villani A, Rella V, Branzi G, Facchini M, Parati G. Intermittent levosimendan infusions in advanced heart failure: favourable effects on left ventricular function, neurohormonal balance, and one-year survival. J Cardiovasc Pharmacol. 2012 Nov;60(5):450-5. doi:10.1097/FJC.0b013e31826b86aa. PMID: 22932705.</t>
  </si>
  <si>
    <t>187: Fernández de Palencia-Espinosa MA, Cárceles-Barón MD, Blázquez-Álvarez MJ, Arocas-Casañ V, de la Rubia-Nieto A. Estudio descriptivo retrospectivo sobre la utilización de levosimendán en niños sometidos a corrección quirúrgica de cardiopatía congénita [Retrospective descriptive study about the use of levosimendan in children undergoing surgical correction for congenital heart disease]. Rev Esp Anestesiol Reanim. 2012 Nov;59(9):489-96. Spanish. doi:10.1016/j.redar.2012.06.002. Epub 2012 Sep 12. PMID: 22980396.</t>
  </si>
  <si>
    <t>186: Aydin C, Ay Y, Basel H, Kavak S, Inan B, Bektaş H, Gümrükçüoğlu HA, Ekim H, Demir H. Analysis of the influences of short-term levosimendan exposure on oxidant/antioxidant status and trace-element levels in the physiological status of the thoracic aorta of rats. J Membr Biol. 2012 Dec;245(12):827-32. doi:10.1007/s00232-012-9489-4. Epub 2012 Jul 29. PMID: 22843162.</t>
  </si>
  <si>
    <t>175: Gandham R, Syamasundar A, Ravulapalli H, Karthekeyan RB, Vakamudi M, Kodalli R, Nandipati S. A comparison of hemodynamic effects of levosimendan and dobutamine in patients undergoing mitral valve repair / replacement for severe mitral stenosis. Ann Card Anaesth. 2013 Jan-Mar;16(1):11-5. doi:10.4103/0971-9784.105363. PMID: 23287080.</t>
  </si>
  <si>
    <t>174: Biegus J, Zymliński R, Kulej K, Szachniewicz J, Banasiak W, Jankowska EA, Ponikowski P. Zastosowanie lewosimendanu u chorych z ostrą niewydolnością serca z objawami małego rzutu minutowego serca: opis serii przypadków [Application of levosimendan in acute heart failure patients with symptoms of low cardiac output: case series report]. Kardiol Pol. 2013;71(3):275-8. Polish. doi:10.5603/KP.2013.0041. PMID: 23575784.</t>
  </si>
  <si>
    <t>168: Schwienbacher M, Schweigmann U, Neu N, Schermer E, Velik-Salchner C, Michel-Behnke I, Irnberger E, Steger CM, Stein JI, Geiger R. Heart Transplantation in a 14-Year-Old Boy in the Presence of Severe Out-of-Proportion Pulmonary Hypertension due to Restrictive Left Heart Disease: A Case Report. Case Rep Cardiol. 2013;2013:418565. doi: 10.1155/2013/418565. Epub 2013 Apr 11. PMID: 24826287; PMCID: PMC4008507.</t>
  </si>
  <si>
    <t>167: Çavuşoğlu Y, Sipahi İ. Akut kalp yetersizliği tedavisinde levosimendani hangi hastalarda kullaniyorsunuz? [Levosimendan in the treatment of acute heart failure; what are you using for patients?]. Turk Kardiyol Dern Ars. 2013 Jan;41(1):95-6. Turkish. PMID: 27024894.</t>
  </si>
  <si>
    <t>166: Shibata I, Cho S, Yoshitomi O, Ureshino H, Maekawa T, Hara T, Sumikawa K. Milrinone and levosimendan administered after reperfusion improve myocardial stunning in swine. Scand Cardiovasc J Suppl. 2013 Feb;47(1):50-7. doi:10.3109/14017431.2012.732236. Epub 2012 Oct 10. PMID: 22994851.</t>
  </si>
  <si>
    <t>165: Vaduganathan M, Greene SJ, Ambrosy AP, Gheorghiade M, Butler J. The disconnect between phase II and phase III trials of drugs for heart failure. Nat Rev Cardiol. 2013 Feb;10(2):85-97. doi: 10.1038/nrcardio.2012.181. Epub 2013 Jan 8. PMID: 23296069.</t>
  </si>
  <si>
    <t>164: Morley-Smith AC, Lyon AR, Omerovic E. Takotsubo cardiomyopathy. Br J Hosp Med (Lond). 2013 Feb;74(2):96-103. doi: 10.12968/hmed.2013.74.2.96. PMID: 23411979</t>
  </si>
  <si>
    <t>163: Karakus E, Halici Z, Albayrak A, Bayir Y, Aydin A, Unal D, Cadirci E, Ferah I, Odaci E. Beneficial pharmacological effects of levosimendan on antioxidant status of acute inflammation induced in paw of rat: involvement in inflammatory mediators. Basic Clin Pharmacol Toxicol. 2013 Mar;112(3):156-63. doi:10.1111/bcpt.12004. Epub 2012 Oct 17. PMID: 22938184.</t>
  </si>
  <si>
    <t>158: Bocchi EA, Moura LZ, Issa VS, Cruz F, Carvalho VO, Guimarães GV. Effects of the recombinant form of the natural human B-type natriuretic peptide and levosimendan on pulmonary hyperventilation and chemosensivity in heart failure. Cardiovasc Ther. 2013 Apr;31(2):100-7. doi: 10.1111/j.1755-5922.2011.00297.x. Epub 2011 Aug 3. PMID: 21884030.</t>
  </si>
  <si>
    <t>157: Toller W, Algotsson L, Guarracino F, Hörmann C, Knotzer J, Lehmann A, Rajek A, Salmenperä M, Schirmer U, Tritapepe L, Weis F, Landoni G. Perioperative use of levosimendan: best practice in operative settings. J Cardiothorac Vasc Anesth. 2013 Apr;27(2):361-6. doi: 10.1053/j.jvca.2012.04.007. Epub 2012 May 30. PMID: 22658687.</t>
  </si>
  <si>
    <t>156: Wilkman E, Kaukonen KM, Pettilä V, Kuitunen A, Varpula M. Association between inotrope treatment and 90-day mortality in patients with septic shock. Acta Anaesthesiol Scand. 2013 Apr;57(4):431-42. doi: 10.1111/aas.12056. Epub 2013 Jan 8. PMID: 23298252.</t>
  </si>
  <si>
    <t>155: Ercan S, Davutoglu V, Cakici M, Kus E, Alici H, Sari I. Rapid recovery from acute myocarditis under levosimendan treatment: report of two cases. J Clin Pharm Ther. 2013 Apr;38(2):179-80. doi: 10.1111/jcpt.12038. Epub 2013 Feb 26. PMID: 23442057.</t>
  </si>
  <si>
    <t>152: Sakata Y. [Clinical significance of calcium sensitizer]. Clin Calcium. 2013 Apr;23(4):575-82. Japanese. PMID: 23545748.</t>
  </si>
  <si>
    <t>153: Favia I, Vitale V, Ricci Z. The vasoactive-inotropic score and levosimendan: time for LVIS? J Cardiothorac Vasc Anesth. 2013 Apr;27(2):e15-6. doi: 10.1053/j.jvca.2012.11.009. PMID: 23507021.</t>
  </si>
  <si>
    <t>154: Hou ZQ, Sun ZX, Su CY, Tan H, Zhong X, Hu B, Zhou Y, Shang DY. Effect of levosimendan on estimated glomerular filtration rate in hospitalized patients with decompensated heart failure and renal dysfunction. Cardiovasc Ther. 2013 Apr;31(2):108-14. doi: 10.1111/1755-5922.12001. PMID: 23490237.</t>
  </si>
  <si>
    <t>149: Kapoor MC. Invited commentary. Ann Card Anaesth. 2013 Apr-Jun;16(2):99-101. PMID: 23662353.</t>
  </si>
  <si>
    <t>151: Kodalli RK, Sundar AS, Vakamudi M, Ravulapali H, Nandipati S, Chandrasekaran N, Karthekeyan RB. Effect of levosimendan on hemodynamic changes in patients undergoing off-pump coronary artery bypass grafting: a randomized controlled study. Ann Card Anaesth. 2013 Apr-Jun;16(2):94-9. doi:10.4103/0971-9784.109737. PMID: 23545863.</t>
  </si>
  <si>
    <t>148: Chauhan G, Diwan S, Gupta K, Maan P, Nayar P. Intra-operative Tako-tsubo cardiomyopathy during carotid body tumor excision: An indication for therapeutic use of Levosimendan. J Anaesthesiol Clin Pharmacol. 2013 Apr;29(2):265-7. doi:10.4103/0970-9185.111730. PMID: 23878459; PMCID: PMC3713685.</t>
  </si>
  <si>
    <t>147: Packer M, Colucci W, Fisher L, Massie BM, Teerlink JR, Young J, Padley RJ, Thakkar R, Delgado-Herrera L, Salon J, Garratt C, Huang B, Sarapohja T; REVIVE Heart Failure Study Group. Effect of levosimendan on the short-term clinical course of patients with acutely decompensated heart failure. JACC Heart Fail. 2013 Apr;1(2):103-11. doi: 10.1016/j.jchf.2012.12.004. Epub 2013 Apr 1. PMID: 24621834</t>
  </si>
  <si>
    <t>139: Cully M. Heart failure. Tardy but intact--publication of REVIVE trial results welcomed. Nat Rev Cardiol. 2013 Jun;10(6):297. doi:10.1038/nrcardio.2013.64. Epub 2013 Apr 23. PMID: 23609172.</t>
  </si>
  <si>
    <t>140: Ebade AA, Khalil MA, Mohamed AK. Levosimendan is superior to dobutamine as an inodilator in the treatment of pulmonary hypertension for children undergoing cardiac surgery. J Anesth. 2013 Jun;27(3):334-9. doi: 10.1007/s00540-012-1537-9. Epub 2012 Dec 9. PMID: 23223915.</t>
  </si>
  <si>
    <t>141: Basel H, Kavak S, Demir H, Meral I, Ekim H, Bektas H. Effect of levosimendan injection on oxidative stress of rat myocardium. Toxicol Ind Health. 2013 Jun;29(5):435-40. doi: 10.1177/0748233712436643. Epub 2012 Feb 23. PMID: 22362016.</t>
  </si>
  <si>
    <t>142: Huang X, Lei S, Zhu MF, Jiang RL, Huang LQ, Xia GL, Zhi YH. Levosimendan versus dobutamine in critically ill patients: a meta-analysis of randomized controlled trials. J Zhejiang Univ Sci B. 2013 May;14(5):400-15. doi:10.1631/jzus.B1200290. PMID: 23645177; PMCID: PMC3650454.</t>
  </si>
  <si>
    <t>146: Califf RM. Better late than never: a welcome publication of tardy clinical trial results. JACC Heart Fail. 2013 Apr;1(2):112-4. doi:10.1016/j.jchf.2013.02.001. Epub 2013 Apr 1. PMID: 24621835.</t>
  </si>
  <si>
    <t>145: O'Connor C. Dead letter office. JACC Heart Fail. 2013 Apr;1(2):181-2. doi:10.1016/j.jchf.2013.02.002. Epub 2013 Apr 1. PMID: 24621842.</t>
  </si>
  <si>
    <t>144: Husebye T, Eritsland J, Müller C, Sandvik L, Arnesen H, Seljeflot I, Mangschau A, Bjørnerheim R, Andersen GØ. Levosimendan in acute heart failure following primary percutaneous coronary intervention-treated acute ST-elevation myocardial infarction. Results from the LEAF trial: a randomized, placebo-controlled study. Eur J Heart Fail. 2013 May;15(5):565-72. doi:10.1093/eurjhf/hfs215. Epub 2013 Jan 2. PMID: 23288914.</t>
  </si>
  <si>
    <t>143: Konczalla J, Mrosek J, Wanderer S, Schuss P, Guresir E, Seifert V, Vatter H, Platz J. Functional effects of levosimendan in rat basilar arteries in vitro. Curr Neurovasc Res. 2013 May;10(2):126-33. doi: 10.2174/1567202611310020005. PMID: 23469954.</t>
  </si>
  <si>
    <t>138: Ay Y, Aydın C, Basel H, Bektaş H, Bülüt G, Inan B, Ay NK, Demir I. The effects of levosimendan exposure on oxidant/antioxidant status and trace element levels in the pulmonary artery of rats. J Membr Biol. 2013 Jun;246(6):473-8. doi: 10.1007/s00232-013-9559-2. Epub 2013 May 15. PMID: 23673724; PMCID: PMC3682096.</t>
  </si>
  <si>
    <t>136: Rieg AD, Rossaint R, Verjans E, Maihöfer NA, Uhlig S, Martin C. Levosimendan Relaxes Pulmonary Arteries and Veins in Precision-Cut Lung Slices - The Role of KATP-Channels, cAMP and cGMP. PLoS One. 2013 Jun 18;8(6):e66195. doi: 10.1371/journal.pone.0066195. PMID: 23824760; PMCID: PMC3688856.</t>
  </si>
  <si>
    <t>135: Tuomainen PO, Magga J, Timonen P, Miettinen K, Kurttila M, Vanninen E, Laitinen T, Timonen K, Punnonen K, Parviainen I, Uusaro A, Vuolteenaho O, Kivikko M, Peuhkurinen K. Intermittent levosimendan treatment in patients with severe congestive heart failure. Clin Res Cardiol. 2013 Jul;102(7):485-93. doi:10.1007/s00392-013-0554-5. Epub 2013 Mar 17. PMID: 23503714.</t>
  </si>
  <si>
    <t>134: Axelsson B, Johansson G, Abrahamsson P, Gupta A, Tydén H, Wouters P, Haney M. Milrinone and levosimendan during porcine myocardial ischemia -- no effects on calcium overload and metabolism. Acta Anaesthesiol Scand. 2013 Jul;57(6):719-28. doi: 10.1111/aas.12095. Epub 2013 Mar 20. PMID: 23517167.</t>
  </si>
  <si>
    <t>132: Boegli YO, Gioanni S, van Steenberghe M, Pouard P. Levosimendan in a neonate with severe coarctation of aorta and low cardiac output syndrome. Ann Card Anaesth. 2013 Jul-Sep;16(3):212-4. doi: 10.4103/0971-9784.114254. PMID: 23816677</t>
  </si>
  <si>
    <t>133: Pitsiou G, Paspala A, Bagalas V, Boutou AK, Stanopoulos I. Inhaled iloprost plus levosimendan to decompensate right heart failure due to chronic thromboembolic pulmonary hypertension. Anaesth Intensive Care. 2013 Jul;41(4):554-6. PMID: 23808522.</t>
  </si>
  <si>
    <t>131: Taccone FS, Brasseur A, Vincent JL, De Backer D. Levosimendan for the treatment of subarachnoid hemorrhage-related cardiogenic shock. Intensive Care Med. 2013 Aug;39(8):1497-8. doi: 10.1007/s00134-013-2945-5. Epub 2013 May 15. PMID: 23673402.</t>
  </si>
  <si>
    <t>128: Yeo PSD. Levosimendan in end-stage heart failure. JACC Heart Fail. 2013 Aug;1(4):365. doi: 10.1016/j.jchf.2013.04.006. Epub 2013 Aug 5. PMID: 24621941.</t>
  </si>
  <si>
    <t>129: Ersoy O, Boysan E, Unal EU, Yay K, Yener U, Cicekcioglu F, Katircioglu F. Effectiveness of prophylactic levosimendan in high-risk valve surgery patients. Cardiovasc J Afr. 2013 Aug;24(7):260-4. doi: 10.5830/CVJA-2013-047. PMID: 24217302; PMCID: PMC3807672.</t>
  </si>
  <si>
    <t>130: Delnoij TS, Wetzels AE, Weerwind PW, Maessen JG, Caliskan K, Donker DW. Peripheral venoarterial extracorporeal life support despite impending left ventricular thrombosis: a bridge to resolution. J Cardiothorac Vasc Anesth. 2013 Aug;27(4):e48-9. doi: 10.1053/j.jvca.2013.03.018. PMID: 23849534.</t>
  </si>
  <si>
    <t>126: Hein M, Zoremba N, Bleilevens C, Bruells C, Rossaint R, Roehl AB. Levosimendan limits reperfusion injury in a rat middle cerebral artery occlusion (MCAO) model. BMC Neurol. 2013 Aug 12;13:106. doi: 10.1186/1471-2377-13-106. PMID: 23937651; PMCID: PMC3750823.</t>
  </si>
  <si>
    <t>123: Levin A, Paret G. Levosimendan. J Pediatr Intensive Care. 2013 Sep;2(3):95-103. doi: 10.3233/PIC-13057. PMID: 31214430; PMCID: PMC6530722.</t>
  </si>
  <si>
    <t>124: Lobacheva GV, Abdugapparov BA, Abasov FKh. [Cases of successful treatment of heart failure after cardiac surgeries]. Anesteziol Reanimatol. 2013 Sep-Oct;(5):56-7. Russian. PMID: 24624860.</t>
  </si>
  <si>
    <t>122: Onody P, Stangl R, Fulop A, Rosero O, Garbaisz D, Turoczi Z, Lotz G, Rakonczay Z Jr, Balla Z, Hegedus V, Harsanyi L, Szijarto A. Levosimendan: a cardiovascular drug to prevent liver ischemia-reperfusion injury? PLoS One. 2013 Sep 11;8(9):e73758. doi: 10.1371/journal.pone.0073758. PMID: 24040056; PMCID: PMC3770697.</t>
  </si>
  <si>
    <t>120: Pathak A, Lebrin M, Vaccaro A, Senard JM, Despas F. Pharmacology of levosimendan: inotropic, vasodilatory and cardioprotective effects. J Clin Pharm Ther. 2013 Oct;38(5):341-9. doi: 10.1111/jcpt.12067. Epub 2013 Apr 18. PMID: 23594161</t>
  </si>
  <si>
    <t>121: Qarawani D, Cohen A, Nahir M, Hasin Y. Facilitation of left ventricular function recovery post percutaneous coronary intervention by levosimendan. Int J Cardiol. 2013 Sep 20;168(1):237-42. doi: 10.1016/j.ijcard.2012.09.088. Epub 2012 Oct 11. PMID: 23063476.</t>
  </si>
  <si>
    <t>119: Angadi U, Westrope C, Chowdhry MF. Is levosimendan effective in paediatric heart failure and post-cardiac surgeries? Interact Cardiovasc Thorac Surg. 2013 Oct;17(4):710-4. doi: 10.1093/icvts/ivt297. Epub 2013 Jul 6. PMID: 23832921; PMCID: PMC3781809.</t>
  </si>
  <si>
    <t>116: Gamilla-Crudo AK, Kadambi PV, Prough DS. Test driving levosimendan as the new "kidney protector": first impressions.. Crit Care Med. 2013 Oct;41(10):2445-6. doi: 10.1097/CCM.0b013e3182963fdc. PMID: 24060777.</t>
  </si>
  <si>
    <t>117: Bragadottir G, Redfors B, Ricksten SE. Effects of levosimendan on glomerular filtration rate, renal blood flow, and renal oxygenation after cardiac surgery with cardiopulmonary bypass: a randomized placebo-controlled study. Crit Care Med. 2013 Oct;41(10):2328-35. doi:10.1097/CCM.0b013e31828e946a. PMID: 23921271.</t>
  </si>
  <si>
    <t>118: Ammirati E, Musca F, Oliva F, Garascia A, Pacher V, Verde A, Cipriani M, Moreo A, Martinelli L, Frigerio M. Levosimendan reverted severe pulmonary hypertension in one patient on waiting list for heart transplantation. Int J Cardiol. 2013 Oct;168(4):4518-9. doi: 10.1016/j.ijcard.2013.06.106. Epub 2013 Jul 19. PMID: 23871623.</t>
  </si>
  <si>
    <t>113: Desimonas NA. eComment. Consider trying levosimendan. Interact Cardiovasc Thorac Surg. 2013 Oct;17(4):715. doi: 10.1093/icvts/ivt367. PMID: 24065759; PMCID: PMC3781825.</t>
  </si>
  <si>
    <t>114: Hajj-Chahine J. eComment. Levosimendan in adult patients undergoing cardiac surgery. Interact Cardiovasc Thorac Surg. 2013 Oct;17(4):715. doi:10.1093/icvts/ivt328. PMID: 24065758; PMCID: PMC3781814.</t>
  </si>
  <si>
    <t>115: Yavuz S, Eris C, Ata Y, Turk T. eComment. Preoperative levosimendan administration in cardiac surgery patients. Interact Cardiovasc Thorac Surg. 2013 Oct;17(4):714-5. doi: 10.1093/icvts/ivt376. PMID: 24065757; PMCID: PMC3781828.</t>
  </si>
  <si>
    <t>112: Pandey R, Ramakrishnan K, Gooi A, Karl T. Use of β-blockade and levosimendan for separation from extracorporeal life support in an infant with postoperative diastolic dysfunction. World J Pediatr Congenit Heart Surg. 2013 Oct;4(4):447-9. doi: 10.1177/2150135113497974. PMID: 24327646.</t>
  </si>
  <si>
    <t>111: Abacilar AF, Dogan OF. Levosimendan use decreases atrial fibrillation in patients after coronary artery bypass grafting: a pilot study. Heart Surg Forum. 2013 Oct;16(5):E287-94. doi: 10.1532/hsf98.2013190. PMID: 24364085.</t>
  </si>
  <si>
    <t>108: Rungatscher A, Hallström S, Giacomazzi A, Linardi D, Milani E, Tessari M, Luciani GB, Scarabelli TM, Mazzucco A, Faggian G. Role of calcium desensitization in the treatment of myocardial dysfunction after deep hypothermic circulatory arrest. Crit Care. 2013 Oct 20;17(5):R245. doi:10.1186/cc13071. PMID: 24138817; PMCID: PMC4056352.</t>
  </si>
  <si>
    <t>109: Okada M, Suzuki A, Yamawaki H, Hara Y. Levosimendan inhibits interleukin-1β-induced cell migration and MMP-9 secretion in rat cardiac fibroblasts. Eur J Pharmacol. 2013 Oct 15;718(1-3):332-9. doi: 10.1016/j.ejphar.2013.08.013. Epub 2013 Sep 3. PMID: 24012928.</t>
  </si>
  <si>
    <t>110: Kandemir U, Maltepe F, Ugurlu B, Gokmen N, Celik A. The effects of levosimendan and dobutamine in experimental bupivacaine-induced cardiotoxicity. BMC Anesthesiol. 2013 Oct 3;13(1):28. doi: 10.1186/1471-2253-13-28. PMID: 24088357; PMCID: PMC3852593.</t>
  </si>
  <si>
    <t>106: Hillestad V, Kramer F, Golz S, Knorr A, Andersson KB, Christensen G. Long-term levosimendan treatment improves systolic function and myocardial relaxation in mice with cardiomyocyte-specific disruption of the Serca2 gene. J Appl Physiol (1985). 2013 Nov;115(10):1572-80. doi: 10.1152/japplphysiol.01044.2012. Epub 2013 Sep 26. PMID: 24072410.</t>
  </si>
  <si>
    <t>199: Cengiz SL, Erdi MF, Tosun M, Atalik E, Avunduk MC, Sönmez FC, Mehmetoglu I, Baysefer A. Beneficial effects of levosimendan on cerebral vasospasm induced by subarachnoid haemorrhage: an experimental study. Brain Inj. 2010;24(6):877-85. doi: 10.3109/02699051003789260. PMID: 20433288.</t>
  </si>
  <si>
    <t>198: Mebazaa A, Pitsis AA, Rudiger A, Toller W, Longrois D, Ricksten SE, Bobek D, Ranucci M, Karpati PC, Wouters P, Seeberger M, Schmid ER, Weder W, Follath F. Clinical review: practical recommendations on the management of perioperative heart failure in cardiac surgery. Crit Care. 2010;14(2):201. doi:10.1186/cc8153. Epub 2010 Apr 28. PMID: 20497611; PMCID: PMC2887098.</t>
  </si>
  <si>
    <t>197: Arutiunov GP, Arutiunov AG, Volkova AL. [Study evaluating the impact of a combination of inotropic support and heart rate control on prognosis and stabilization rate in patients with decompensated chronic heart failure (LEGION)]. Ter Arkh. 2010;82(3):47-52. Russian. PMID: 20564923.</t>
  </si>
  <si>
    <t>196: Osthoff M, Bernsmeier C, Marsch SC, Hunziker PR. Levosimendan as treatment option in severe verapamil intoxication: a case report and review of the literature. Case Rep Med. 2010;2010:546904. doi: 10.1155/2010/546904. Epub 2010 Aug 11. PMID: 20814559; PMCID: PMC2931406.</t>
  </si>
  <si>
    <t>195: Price LC, Wort SJ, Finney SJ, Marino PS, Brett SJ. Pulmonary vascular and right ventricular dysfunction in adult critical care: current and emerging options for management: a systematic literature review. Crit Care. 2010;14(5):R169. doi: 10.1186/cc9264. Epub 2010 Sep 21. PMID: 20858239; PMCID: PMC3219266.</t>
  </si>
  <si>
    <t>194: Morelli A, Donati A, Ertmer C, Rehberg S, Lange M, Orecchioni A, Cecchini V, Landoni G, Pelaia P, Pietropaoli P, Van Aken H, Teboul JL, Ince C, Westphal M. Levosimendan for resuscitating the microcirculation in patients with septic shock: a randomized controlled study. Crit Care. 2010;14(6):R232. doi:10.1186/cc9387. Epub 2010 Dec 23. PMID: 21182783; PMCID: PMC3219978.</t>
  </si>
  <si>
    <t>192: De Santis V, Vitale D, Tritapepe L. Levosimendan and cardiac surgery. J Cardiothorac Vasc Anesth. 2010 Feb;24(1):210. doi: 10.1053/j.jvca.2009.01.008. Epub 2009 Mar 5. PMID: 19264513.</t>
  </si>
  <si>
    <t>191: Choi YH, Cowan DB, Wahlers TC, Hetzer R, Del Nido PJ, Stamm C. Calcium sensitisation impairs diastolic relaxation in post-ischaemic myocardium: implications for the use of Ca(2+) sensitising inotropes after cardiac surgery. Eur J Cardiothorac Surg. 2010 Feb;37(2):376-83. doi: 10.1016/j.ejcts.2009.05.030. Epub 2009 Jul 17. PMID: 19616444; PMCID: PMC4335314.</t>
  </si>
  <si>
    <t>190: Landoni G, Mizzi A, Biondi-Zoccai G, Bruno G, Bignami E, Corno L, Zambon M, Gerli C, Zangrillo A. Reducing mortality in cardiac surgery with levosimendan: a meta-analysis of randomized controlled trials. J Cardiothorac Vasc Anesth. 2010 Feb;24(1):51-7. doi: 10.1053/j.jvca.2009.05.031. Epub 2009 Aug 22. PMID: 19700350</t>
  </si>
  <si>
    <t>189: Ochala J. Ca2+ sensitizers: An emerging class of agents for counterbalancing weakness in skeletal muscle diseases? Neuromuscul Disord. 2010 Feb;20(2):98-101. doi: 10.1016/j.nmd.2009.11.010. Epub 2009 Dec 16. PMID: 20006502</t>
  </si>
  <si>
    <t>188: Altenberger J, Parissis JT, Ulmer H, Poelzl G; LevoRep Investigators. Rationale and design of the multicentre randomized trial investigating the efficacy and safety of pulsed infusions of levosimendan in outpatients with advanced heart failure (LevoRep study). Eur J Heart Fail. 2010 Feb;12(2):186-92. doi: 10.1093/eurjhf/hfp189. PMID: 20083626.</t>
  </si>
  <si>
    <t>187: Grossini E, Caimmi PP, Platini F, Molinari C, Uberti F, Cattaneo M, Valente G, Mary DA, Vacca G, Tessitore L. Modulation of programmed forms of cell death by intracoronary levosimendan during regional myocardial ischemia in anesthetized pigs. Cardiovasc Drugs Ther. 2010 Feb;24(1):5-15. doi:10.1007/s10557-010-6217-0. PMID: 20162343.</t>
  </si>
  <si>
    <t>183: Despas F, Trouillet C, Franchitto N, Labrunee M, Galinier M, Senard JM, Pathak A. Levosimedan improves hemodynamics functions without sympathetic activation in severe heart failure patients: direct evidence from sympathetic neural recording. Acute Card Care. 2010 Mar;12(1):25-30. doi:10.3109/17482940903434077. PMID: 19929264.</t>
  </si>
  <si>
    <t>184: Hönisch A, Theuring N, Ebner B, Wagner C, Strasser RH, Weinbrenner C. Postconditioning with levosimendan reduces the infarct size involving the PI3K pathway and KATP-channel activation but is independent of PDE-III inhibition. Basic Res Cardiol. 2010 Mar;105(2):155-67. doi: 10.1007/s00395-009-0064-9. Epub 2009 Oct 16. PMID: 19842009.</t>
  </si>
  <si>
    <t>185: Farmakis D, Parissis JT, Bistola V, Paraskevaidis IA, Iliodromitis EK, Filippatos G, Kremastinos DT. Plasma B-type natriuretic peptide reduction predicts long-term response to levosimendan therapy in acutely decompensated chronic heart failure. Int J Cardiol. 2010 Feb 18;139(1):75-9. doi:10.1016/j.ijcard.2008.10.003. Epub 2008 Oct 30. PMID: 18973957.</t>
  </si>
  <si>
    <t>186: Delaney A, Bradford C, McCaffrey J, Bagshaw SM, Lee R. Levosimendan for the treatment of acute severe heart failure: a meta-analysis of randomised controlled trials. Int J Cardiol. 2010 Feb 4;138(3):281-9. doi:10.1016/j.ijcard.2008.08.020. Epub 2008 Sep 24. PMID: 18817994.</t>
  </si>
  <si>
    <t>182: Müller S, How OJ, Jakobsen Ø, Hermansen SE, Røsner A, Stenberg TA, Myrmel T. Oxygen-wasting effect of inotropy: is there a need for a new evaluation? An experimental large-animal study using dobutamine and levosimendan. Circ Heart Fail. 2010 Mar;3(2):277-85. doi: 10.1161/CIRCHEARTFAILURE.109.865519. Epub 2009 Dec 16. PMID: 20018954.</t>
  </si>
  <si>
    <t>181: Guarracino F, Landoni G, Baldassarri R, Nobile L, Stefani M. Concomitant levosimendan and esmolol infusion in ischaemic cardiogenic shock. Br J Anaesth. 2010 Mar;104(3):388-9. doi: 10.1093/bja/aeq013. PMID: 20150349.</t>
  </si>
  <si>
    <t>180: Maláska J, Slezák M, Muriová K, Stasek J, Sevcík P. Myokardiální dysfunkce v sepsi--diagnostika a terapie [Myocardial dysfunction in sepsis--diagnostics and therapy]. Vnitr Lek. 2010 Mar;56(3):226-32. Czech. PMID: 20394209.</t>
  </si>
  <si>
    <t>179: Eremenko AA, Kolpakov PE, Babaev MA, Revunenkov GV, Fominykh MV. [Use of levosimendan in cardiosurgical patients with chronic heart insufficiency]. Anesteziol Reanimatol. 2010 Mar-Apr;(2):24-6. Russian. PMID: 20524326.</t>
  </si>
  <si>
    <t>174: Omerovic E, Waagstein F, Swedberg K. Is levosimendan better than dobutamine in acute heart failure in patients on beta-blockade treatment? What is the evidence? Eur J Heart Fail. 2010 Apr;12(4):313-4. doi: 10.1093/eurjhf/hfq035. PMID: 20335348.</t>
  </si>
  <si>
    <t>175: Landoni G, Mizzi A, Biondi-Zoccai G, Bignami E, Prati P, Ajello V, Marino G, Guarracino F, Zangrillo A. Levosimendan reduces mortality in critically ill patients. A meta-analysis of randomized controlled studies. Minerva Anestesiol. 2010 Apr;76(4):276-86. PMID: 20332741.</t>
  </si>
  <si>
    <t>176: de Lissovoy G, Fraeman K, Teerlink JR, Mullahy J, Salon J, Sterz R, Durtschi A, Padley RJ. Hospital costs for treatment of acute heart failure: economic analysis of the REVIVE II study. Eur J Health Econ. 2010 Apr;11(2):185-93. doi: 10.1007/s10198-009-0165-2. Epub 2009 Jul 7. PMID: 19582491</t>
  </si>
  <si>
    <t>177: Kurola J, Leppikangas H, Magga J, Lindgren L, Kiviniemi V, Rutanen J, Ruokonen E. Effect of levosimendan in experimental verapamil-induced myocardial depression. Scand J Trauma Resusc Emerg Med. 2010 Mar 11;18:12. doi: 10.1186/1757-7241-18-12. PMID: 20222974; PMCID: PMC2847962.</t>
  </si>
  <si>
    <t>178: Papadopoulos G, Baikoussis NG, Tzimas P, Siminelakis SN, Karanikolas M. Intravenous levosimendan-norepinephrine combination during off-pump coronary artery bypass grafting in a hemodialysis patient with severe myocardial dysfunction. J Cardiothorac Surg. 2010 Mar 2;5:9. doi: 10.1186/1749-8090-5-9. PMID: 20196861; PMCID: PMC2843680.</t>
  </si>
  <si>
    <t>168: Busani S, Rinaldi L, Severino C, Cobelli M, Pasetto A, Girardis M. Levosimendan in cardiac failure after subarachnoid hemorrhage. J Trauma. 2010 May;68(5):E108-10. doi: 10.1097/TA.0b013e31817c4284. PMID: 20453750.</t>
  </si>
  <si>
    <t>169: Lugassy DM, Stefan A, Dexeus D, Hoffman RS, Nelson LS. In response to Leppikangas H, et al, Levosimendan as a rescue drug in experimental propranolol-induced myocardial depression: a randomized study. Ann Emerg Med. 2010 May;55(5):486; author reply 486-7. doi: 10.1016/j.annemergmed.2009.11.029. PMID: 20417387</t>
  </si>
  <si>
    <t>170: Louhelainen M, Merasto S, Finckenberg P, Vahtola E, Kaheinen P, Levijoki J, Mervaala E. Effects of the calcium sensitizer OR-1896, a metabolite of levosimendan, on post-infarct heart failure and cardiac remodelling in diabetic Goto-Kakizaki rats. Br J Pharmacol. 2010 May;160(1):142-52. doi:10.1111/j.1476-5381.2010.00680.x. PMID: 20412071; PMCID: PMC2860214.</t>
  </si>
  <si>
    <t>171: Erdem A, Birhan Yilmaz M. Importance of levosimendan on right ventricular function in patients with biventricular heart failure. Crit Care Med. 2010 May;38(5):1389-90; author reply 1390-1. doi: 10.1097/CCM.0b013e3181d8a322. PMID: 20404640</t>
  </si>
  <si>
    <t>172: Fotbolcu H, Duman D. A promising new inotrope: levosimendan. Anadolu Kardiyol Derg. 2010 Apr;10(2):176-82. doi: 10.5152/akd.2010.045. PMID: 20382619.</t>
  </si>
  <si>
    <t>173: Bergh CH, Andersson B, Dahlström U, Forfang K, Kivikko M, Sarapohja T, Ullman B, Wikström G. Intravenous levosimendan vs. dobutamine in acute decompensated heart failure patients on beta-blockers. Eur J Heart Fail. 2010 Apr;12(4):404-10. doi: 10.1093/eurjhf/hfq032. PMID: 20335355; PMCID: PMC2844760.</t>
  </si>
  <si>
    <t>166: Kaptan K, Beyan C. Levosimendan and platelet function. J Cardiothorac Vasc Anesth. 2010 Jun;24(3):532. doi: 10.1053/j.jvca.2009.05.011. Epub 2009 Jul 26. PMID: 19632863.</t>
  </si>
  <si>
    <t>161: Cavusoglu Y, Beyaztas A, Birdane A, Ata N. Levosimendan and pulmonary hypertension. J Cardiovasc Med (Hagerstown). 2010 Jul;11(7):478-80. doi:10.2459/JCM.0b013e32833a0a0b. PMID: 20516805.</t>
  </si>
  <si>
    <t>162: Sylvin EA, Stern DR, Goldstein DJ. Mechanical support for postcardiotomy cardiogenic shock: has progress been made? J Card Surg. 2010 Jul;25(4):442-54. doi: 10.1111/j.1540-8191.2010.01045.x. Epub 2010 May 7. PMID: 20487107.</t>
  </si>
  <si>
    <t>163: Tagarakis GI, Baddour AJ, Tsilimingas NB. Can pulmonary artery hypertension be attributed to levosimendan? A problematic based on a patient's case. J Cardiovasc Med (Hagerstown). 2010 Jul;11(7):552-3. doi:10.2459/JCM.0b013e32833668a9. PMID: 20035233.</t>
  </si>
  <si>
    <t>164: Wang L, Cui L, Wei JP, Li GP, Qi GX, Hao YM, Wang WZ, Li HM, Liu J, Jiang DJ, Zhang YD. [Efficacy and safety of intravenous levosimendan compared with dobutamine in decompensated heart failure]. Zhonghua Xin Xue Guan Bing Za Zhi. 2010 Jun;38(6):527-30. Chinese. PMID: 21033135.</t>
  </si>
  <si>
    <t>165: Graudins A, Wong KK. Comparative hemodynamic effects of levosimendan alone and in conjunction with 4-aminopyridine or calcium chloride in a rodent model of severe verapamil poisoning. J Med Toxicol. 2010 Jun;6(2):85-93. doi:10.1007/s13181-010-0073-y. PMID: 20473651; PMCID: PMC3550276.</t>
  </si>
  <si>
    <t>160: Kowalczyk M, Banach M, Lip GY, Kozłowski D, Mikhailidis DP, Rysz J. Levosimendan - a calcium sensitising agent with potential anti-arrhythmic properties. Int J Clin Pract. 2010 Jul;64(8):1148-54. doi:10.1111/j.1742-1241.2010.02396.x. PMID: 20642713.</t>
  </si>
  <si>
    <t>157: Ozturk T, Gok S, Nese N. Levosimendan attenuates reperfusion injury in an isolated perfused rat heart model. J Cardiothorac Vasc Anesth. 2010 Aug;24(4):624-8. doi: 10.1053/j.jvca.2009.08.003. Epub 2009 Oct 28. PMID: 19875306</t>
  </si>
  <si>
    <t>156: Hehir MP, Moynihan AT, Morrison JJ. Relaxant effect of Levosimendan on human uterine contractility in vitro. Am J Obstet Gynecol. 2010 Aug;203(2):184.e7-12. doi: 10.1016/j.ajog.2010.04.021. Epub 2010 Jun 11. PMID: 20541175</t>
  </si>
  <si>
    <t>159: Erbüyün K, Tok D, Vatansever S, Ok G, Türköz E, Aydede H, Erhan Y, Tekin I. Levosimendan up-regulates transforming growth factor-beta and smad signaling in the aorta in the early stage of sepsis. Ulus Travma Acil Cerrahi Derg. 2010 Jul;16(4):293-9. PMID: 20849043.</t>
  </si>
  <si>
    <t xml:space="preserve">149: García-Septien J, Lorente JA, Delgado MA, de Paula M, Nin N, Moscoso A, Sánchez-Ferrer A, Perez-Vizcaino F, Esteban A. Levosimendan increases portal blood flow and attenuates intestinal intramucosal acidosis in experimental septic shock. Shock. 2010 Sep;34(3):275-80. doi: 10.1097/SHK.0b013e3181cd8c5b. PMID: 19997054. </t>
  </si>
  <si>
    <t>150: Buerkem B, Lemm H, Krohe K, Dietz S, Raaz U, Buerke U, Russ M, Schlitt A, Werdan K. Levosimendan in the treatment of cardiogenic shock. Minerva Cardioangiol. 2010 Aug;58(4):519-30. PMID: 20938415.</t>
  </si>
  <si>
    <t>151: Yontar OC, Yilmaz MB, Yalta K, Tandoğan I. Efficacy of levosimendan in patients with chronic heart failure: Does rhythm matter? Anadolu Kardiyol Derg. 2010 Aug;10(4):310-6. doi: 10.5152/akd.2010.088. PMID: 20693125.</t>
  </si>
  <si>
    <t>148: Zausig YA, Geilfus D, Missler G, Sinner B, Graf BM, Zink W. Direct cardiac effects of dobutamine, dopamine, epinephrine, and levosimendan in isolated septic rat hearts. Shock. 2010 Sep;34(3):269-74. doi:10.1097/SHK.0b013e3181cd877b. PMID: 19997056.</t>
  </si>
  <si>
    <t>147: Deschodt-Arsac V, Calmettes G, Raffard G, Massot P, Franconi JM, Pollesello P, Diolez P. Absence of mitochondrial activation during levosimendan inotropic action in perfused paced guinea pig hearts as demonstrated by modular control analysis. Am J Physiol Regul Integr Comp Physiol. 2010 Sep;299(3):R786-92. doi:10.1152/ajpregu.00184.2010. Epub 2010 Jun 30. PMID: 20592177.</t>
  </si>
  <si>
    <t>146: Branzi G, Malfatto G, Villani A, Ciambellotti F, Revera M, Giglio A, Rosa FD, Facchini M, Parati G. Acute effects of levosimendan on mitral regurgitation and diastolic function in patients with advanced chronic heart failure. J Cardiovasc Med (Hagerstown). 2010 Sep;11(9):662-8. doi:10.2459/JCM.0b013e32833832f6. PMID: 20613551.</t>
  </si>
  <si>
    <t>145: Campia U, Nodari S, Gheorghiade M. Acute heart failure with low cardiac output: can we develop a short-term inotropic agent that does not increase adverse events? Curr Heart Fail Rep. 2010 Sep;7(3):100-9. doi:10.1007/s11897-010-0021-9. PMID: 20625945.</t>
  </si>
  <si>
    <t>144: Kurt IH, Yavuzer K, Batur MK. Short-term effect of levosimendan on free light chain kappa and lambda levels in patients with decompensated chronic heart failure. Heart Vessels. 2010 Sep;25(5):392-9. doi: 10.1007/s00380-009-1216-4. Epub 2010 Jul 31. PMID: 20676961.</t>
  </si>
  <si>
    <t>152: Marcondes-Braga FG, Mangini S, Ayub-Ferreira SM, Bocchi EA, Bacal F. How to treat acute decompensated heart failure in the 'beta-blocker era'? Eur J Heart Fail. 2010 Aug;12(8):893-4. doi: 10.1093/eurjhf/hfq107. PMID: 20675672.</t>
  </si>
  <si>
    <t>153: Wikström BG. Correspondence concerning the article: is levosimendan better than dobutamine in acute heart failure in patients on beta blockade treatment? What is the evidence? Eur J Heart Fail. 2010 Aug;12(8):893. doi:10.1093/eurjhf/hfq111. PMID: 20675671.</t>
  </si>
  <si>
    <t>154: Buerke M, Lemm H, Russ M, Schlitt A, Werdan K. Diagnostik und Therapie bei akut dekompensierter Herzinsuffizienz und kardiogenem Schock [Therapeutic strategies in acute decompensated heart failure and cardiogenic shock]. Internist (Berl). 2010 Aug;51(8):963-74. German. doi: 10.1007/s00108-009-2537-1. PMID: 20652210.</t>
  </si>
  <si>
    <t>155: Ribeiro RA, Rohde LE, Polanczyk CA. Levosimendan in acute decompensated heart failure: systematic review and meta-analysis. Arq Bras Cardiol. 2010 Aug;95(2):230-7. English, Portuguese. doi: 10.1590/s0066-782x2010005000072. Epub 2010 Jun 18. PMID: 20549133.</t>
  </si>
  <si>
    <t>158: Tek M, Cavuşoğlu Y, Demirüstü C, Birdane A, Ünalır A, Görenek B, Göktekin Ö, Ata N. Levosimendan ve dobutamin akut dekompanse kalp yetersizliğinde 24 saatlik infüzyon sırasında benzer aritmi potansiyeli göstermektedir [Levosimendan and dobutamine have a similar profile for potential risk for cardiac arrhythmias during 24-hour infusion in patients with acute decompensated heart failure]. Turk Kardiyol Dern Ars. 2010 Jul;38(5):334-40. Turkish. PMID: 21200103</t>
  </si>
  <si>
    <t>142: Omerovic E, Råmunddal T, Albertsson P, Holmberg M, Hallgren P, Boren J, Grip L, Matejka G. Levosimendan neither improves nor worsens mortality in patients with cardiogenic shock due to ST-elevation myocardial infarction. Vasc Health Risk Manag. 2010 Sep 7;6:657-63. doi: 10.2147/vhrm.s8856. PMID: 20859537; PMCID: PMC2941779.</t>
  </si>
  <si>
    <t>139: Biala A, Martonen E, Kaheinen P, Levijoki J, Finckenberg P, Merasto S, Louhelainen M, Muller DN, Luft FC, Mervaala E. Levosimendan improves cardiac function and survival in rats with angiotensin II-induced hypertensive heart failure. Hypertens Res. 2010 Oct;33(10):1004-11. doi: 10.1038/hr.2010.123. Epub 2010 Sep 2. PMID: 20811386.</t>
  </si>
  <si>
    <t>140: Parissis JT, Rafouli-Stergiou P, Stasinos V, Psarogiannakopoulos P, Mebazaa A. Inotropes in cardiac patients: update 2011. Curr Opin Crit Care. 2010 Oct;16(5):432-41. doi: 10.1097/MCC.0b013e32833e10fb. PMID: 20711077.</t>
  </si>
  <si>
    <t>141: Rehberg S, Ertmer C, Vincent JL, Spiegel HU, Köhler G, Erren M, Lange M, Morelli A, Seisel J, Su F, Van Aken H, Traber DL, Westphal M. Effects of combined arginine vasopressin and levosimendan on organ function in ovine septic shock. Crit Care Med. 2010 Oct;38(10):2016-23. doi:10.1097/CCM.0b013e3181ef4694. PMID: 20657271.</t>
  </si>
  <si>
    <t>135: Teker MG, Ozdemir H, Saidoglu L, Erkalp K, Başaranoğlu G. Levosimendan as a rescue adjunct in amlodipine intoxication--a case report. Middle East J Anaesthesiol. 2010 Oct;20(6):869-72. PMID: 21526676.</t>
  </si>
  <si>
    <t>136: Metra M, Lombardi C, Carubelli V, Bettari L, Bugatti S, Danesi R, Lazzarini V, Monti A, Villa C, Dei Cas L. La terapia con inotropi del paziente con insufficienza cardiaca: oltre i farmaci tradizionali [Treatment of heart failure patients with inotropic drugs: beyond traditional agents]. G Ital Cardiol (Rome). 2010 Oct;11(10 Suppl 1):143S-148S. Italian. PMID: 21416846.</t>
  </si>
  <si>
    <t>137: Russell JA. Vasopressin, levosimendan, and cardiovascular function in septic shock. Crit Care Med. 2010 Oct;38(10):2071-3. doi:10.1097/CCM.0b013e3181f3dda0. PMID: 20855998.</t>
  </si>
  <si>
    <t>138: Toma M, Starling RC. Inotropic therapy for end-stage heart failure patients. Curr Treat Options Cardiovasc Med. 2010 Oct;12(5):409-19. doi:10.1007/s11936-010-0090-9. PMID: 20842563.</t>
  </si>
  <si>
    <t>132: Kaptan K, Beyan C, Ifran A. Do levosimendan have an adverse effect on platelet function? Int J Cardiol. 2010 Oct 29;144(3):414-5. doi:10.1016/j.ijcard.2009.03.029. Epub 2009 Mar 26. PMID: 19327852.</t>
  </si>
  <si>
    <t>133: Roehl AB, Hein M, Loetscher PD, Rossaint J, Weis J, Rossaint R, Coburn M. Neuroprotective properties of levosimendan in an in vitro model of traumatic brain injury. BMC Neurol. 2010 Oct 21;10:97. doi: 10.1186/1471-2377-10-97. PMID: 20964834; PMCID: PMC2978146.</t>
  </si>
  <si>
    <t>134: Garisto C, Favia I, Ricci Z, Chiara LD, Morelli S, Giorni C, Vitale V, Picardo S, Di Donato RM. Initial single-center experience with levosimendan infusion for perioperative management of univentricular heart with ductal-dependent systemic circulation. World J Pediatr Congenit Heart Surg. 2010 Oct;1(3):292-9. doi: 10.1177/2150135110378310. PMID: 23804885.</t>
  </si>
  <si>
    <t>130: Sukoyan GV, Gongadze NV. Comparative therapeutic efficacy of adenocin and non-glycoside cardiotonic drugs in chronic heart failure at rest and under conditions of heart overload. Bull Exp Biol Med. 2010 Nov;149(6):714-7. doi:10.1007/s10517-010-1033-x. PMID: 21165427.</t>
  </si>
  <si>
    <t>126: Robertson IM, Sun YB, Li MX, Sykes BD. A structural and functional perspective into the mechanism of Ca2+-sensitizers that target the cardiac troponin complex. J Mol Cell Cardiol. 2010 Dec;49(6):1031-41. doi: 10.1016/j.yjmcc.2010.08.019. Epub 2010 Aug 27. PMID: 20801130; PMCID: PMC2975748.</t>
  </si>
  <si>
    <t>128: Cohen B, Organero JA, Santos L, Rodriguez Padial L, Douhal A. Exploring the ground and excited states structural diversity of levosimendan, a cardiovascular calcium sensitizer. J Phys Chem B. 2010 Nov 18;114(45):14787-95. doi:10.1021/jp105343f. Epub 2010 Sep 1. PMID: 20809580.</t>
  </si>
  <si>
    <t>131: Brogly N, Guasch E, Puertas L, Alsina E, López T, Gilsanz F. Défaillance traitement par ballon de contrepulsion aortique et lévosimendan [Acute early postpartum cardiac failure associated with dilated cardiomyopathy: successful treatment with intra-aortic balloon counter-pulsation and levosimendan]. Ann Fr Anesth Reanim. 2010 Nov;29(11):807-10. French. doi:10.1016/j.annfar.2010.08.008. Epub 2010 Oct 8. PMID: 20934298.</t>
  </si>
  <si>
    <t>124: Milligan DJ, Fields AM. Levosimendan: calcium sensitizer and inodilator. Anesthesiol Clin. 2010 Dec;28(4):753-60. doi: 10.1016/j.anclin.2010.08.003. PMID: 21074750.</t>
  </si>
  <si>
    <t>122: Ryerson LM, Alexander PM, Butt WW, Shann FA, Penny DJ, Shekerdemian LS. Rotating inotrope therapy in a pediatric population with decompensated heart failure. Pediatr Crit Care Med. 2011 Jan;12(1):57-60. doi:10.1097/PCC.0b013e3181e2a437. PMID: 20453705.</t>
  </si>
  <si>
    <t>123: Yontar OC, Yilmaz MB, Yalta K, Erdem A, Tandogan I. Acute effects of levosimendan and dobutamine on QRS duration in patients with heart failure. Arq Bras Cardiol. 2010 Dec;95(6):738-42. English, Portuguese, Spanish. doi:10.1590/s0066-782x2010005000143. Epub 2010 Nov 12. PMID: 21109913.</t>
  </si>
  <si>
    <t>121: Bravo MC, López P, Cabañas F, Pérez-Rodríguez J, Pérez-Fernández E, Quero J, Pellicer A. Acute effects of levosimendan on cerebral and systemic perfusion and oxygenation in newborns: an observational study. Neonatology. 2011;99(3):217-23. doi: 10.1159/000314955. Epub 2010 Sep 25. Erratum in: Neonatology. 2011;99(4):301. Bravo, María del Carmen [corrected to Bravo, María Carmen]; Quero, José [added]. PMID: 20881438.</t>
  </si>
  <si>
    <t>119: Rognoni A, Lupi A, Lazzero M, Bongo AS, Rognoni G. Levosimendan: from basic science to clinical trials. Recent Pat Cardiovasc Drug Discov. 2011 Jan;6(1):9-15. doi: 10.2174/157489011794578455. PMID: 21208157.</t>
  </si>
  <si>
    <t>120: Scheiermann P, Beiras-Fernandez A, Mutlak H, Weis F. The protective effects of levosimendan on ischemia/reperfusion injury and apoptosis. Recent Pat Cardiovasc Drug Discov. 2011 Jan;6(1):20-6. doi: 10.2174/157489011794578482. PMID: 21208156.</t>
  </si>
  <si>
    <t>118: Dzhaiani NA, Kositsyna IV, Gnidkina NA, Tereshchenko SN. [Efficacy of levosimendan vs dopamine in patients with resistant cardiac failure]. Ter Arkh. 2011;83(6):53-9. Russian. PMID: 21786577.</t>
  </si>
  <si>
    <t>116: Meco M, Cirri S. Can a meta-analysis that mixes apples with oranges be used to demonstrate that levosimendan reduces mortality after coronary revascularization? Crit Care. 2011;15(6):455; author reply 455. doi:10.1186/cc10484. Epub 2011 Nov 28. PMID: 22188763; PMCID: PMC3388673.</t>
  </si>
  <si>
    <t>117: Lunghetti S, Palmerini E, Urselli R, Maffei S, Guarino E, Focardi M, Mondillo S, Favilli R. Effects of levosimendan without loading dose on systolic and diastolic function in patients with end-stage heart failure. Cardiol J. 2011;18(5):532-7. doi: 10.5603/cj.2011.0009. PMID: 21947989.</t>
  </si>
  <si>
    <t>96: Stuart-Smith K. Levosimendan: from coronary care to intensive care? Intensive Care Med. 2011 Apr;37(4):569-71. doi: 10.1007/s00134-011-2204-6. Epub 2011 Mar 5. PMID: 21380519.</t>
  </si>
  <si>
    <t>97: Jalanko M, Kivikko M, Harjola VP, Nieminen MS, Laine M. Oral levosimendan improves filling pressure and systolic function during long-term treatment. Scand Cardiovasc J. 2011 Apr;45(2):91-7. doi: 10.3109/14017431.2011.557779. Epub 2011 Feb 25. PMID: 21348810.</t>
  </si>
  <si>
    <t>87: Biala A, Finckenberg P, Korpi A, Loytainen M, Martonen E, Levijoki J, Mervaala E. Cardiovascular effects of the combination of levosimendan and valsartan in hypertensive Dahl/Rapp rats. J Physiol Pharmacol. 2011 Jun;62(3):275-85. PMID: 21893687.</t>
  </si>
  <si>
    <t>78: Revermann M, Schloss M, Mieth A, Babelova A, Schröder K, Neofitidou S, Buerkl J, Kirschning T, Schermuly RT, Hofstetter C, Brandes RP. Levosimendan attenuates pulmonary vascular remodeling. Intensive Care Med. 2011 Aug;37(8):1368-77. doi: 10.1007/s00134-011-2254-9. Epub 2011 May 31. PMID: 21626431</t>
  </si>
  <si>
    <t>79: Chew MS, Hawthorne WJ, Bendall J, Whereat S, Huang S, Ting I, Simond D, McLean A. No beneficial effects of levosimendan in acute porcine endotoxaemia. Acta Anaesthesiol Scand. 2011 Aug;55(7):851-61. doi:10.1111/j.1399-6576.2011.02436.x. Epub 2011 May 16. PMID: 21574964.</t>
  </si>
  <si>
    <t>80: Masutani S, Cheng HJ, Tachibana H, Little WC, Cheng CP. Levosimendan restores the positive force-frequency relation in heart failure. Am J Physiol Heart Circ Physiol. 2011 Aug;301(2):H488-96. doi: 10.1152/ajpheart.01116.2010. Epub 2011 May 13. PMID: 21572004; PMCID: PMC3154658.</t>
  </si>
  <si>
    <t>82: Hoffman TM. Newer inotropes in pediatric heart failure. J Cardiovasc Pharmacol. 2011 Aug;58(2):121-5. doi: 10.1097/FJC.0b013e3182163ba0. PMID: 21386708</t>
  </si>
  <si>
    <t>81: Severi L, Lappa A, Landoni G, Di Pirro L, Luzzi SJ, Caravetta P, Cipullo P, Menichetti A. Levosimendan versus intra-aortic balloon pump in high-risk cardiac surgery patients. J Cardiothorac Vasc Anesth. 2011 Aug;25(4):632-6. doi:10.1053/j.jvca.2011.03.001. Epub 2011 May 4. PMID: 21546269.</t>
  </si>
  <si>
    <t>91: Takagi H, Umemoto T. Levosimendan does not reduce mortality in cardiac surgery. J Cardiothorac Vasc Anesth. 2011 Jun;25(3):579; author reply 579-80. doi: 10.1053/j.jvca.2010.06.011. Epub 2010 Aug 21. PMID: 20728375.</t>
  </si>
  <si>
    <t>90: Momeni M, Rubay J, Matta A, Rennotte MT, Veyckemans F, Poncelet AJ, Clement de Clety S, Anslot C, Joomye R, Detaille T. Levosimendan in congenital cardiac surgery: a randomized, double-blind clinical trial. J Cardiothorac Vasc Anesth. 2011 Jun;25(3):419-24. doi: 10.1053/j.jvca.2010.07.004. Epub 2010 Sep 9. PMID: 20829069</t>
  </si>
  <si>
    <t>86: Maharaj R, Metaxa V. Levosimendan and mortality after coronary revascularisation: a meta-analysis of randomised controlled trials. Crit Care. 2011 Jun 8;15(3):R140. doi: 10.1186/cc10263. PMID: 21651806; PMCID: PMC3219012.</t>
  </si>
  <si>
    <t>85: Biteker M, Duran NE, Kaya H, Gündüz S, Tanboğa HÎ, Gökdeniz T, Kahveci G, Akgün T, Yildiz M, Õzkan M. Effect of levosimendan and predictors of recovery in patients with peripartum cardiomyopathy, a randomized clinical trial. Clin Res Cardiol. 2011 Jul;100(7):571-7. doi: 10.1007/s00392-010-0279-7. Epub 2011 Jan 1. PMID: 21197536.</t>
  </si>
  <si>
    <t>84: Beiras-Fernandez A, Kur F, Kaczmarek I, Frisch P, Weis M, Reichart B, Weis F. Levosimendan for primary graft failure after heart transplantation: a 3-year follow-up. Transplant Proc. 2011 Jul-Aug;43(6):2260-2. doi:10.1016/j.transproceed.2011.05.021. PMID: 21839251.</t>
  </si>
  <si>
    <t>83: Hasslacher J, Bijuklic K, Bertocchi C, Kountchev J, Bellmann R, Dunzendorfer S, Joannidis M. Levosimendan inhibits release of reactive oxygen species in polymorphonuclear leukocytes in vitro and in patients with acute heart failure and septic shock: a prospective observational study. Crit Care. 2011 Jul 12;15(4):R166. doi: 10.1186/cc10307. PMID: 21749676; PMCID: PMC3387603.</t>
  </si>
  <si>
    <t>92: Böhm M, Link A, Cai D, Nieminen MS, Filippatos GS, Salem R, Cohen Solal A, Huang B, Padley RJ, Kivikko M, Mebazaa A. Beneficial association of β-blocker therapy on recovery from severe acute heart failure treatment: data from the Survival of Patients With Acute Heart Failure in Need of Intravenous Inotropic Support trial. Crit Care Med. 2011 May;39(5):940-4. doi:10.1097/CCM.0b013e31820a91ed. PMID: 21283007.</t>
  </si>
  <si>
    <t>93: Yang JJ, Wang X, Ji MH, Peng YG. Combined arginine vasopressin and levosimendan: a promising therapy for septic shock. Crit Care Med. 2011 Apr;39(4):921-2; author reply 922. doi: 10.1097/CCM.0b013e318206b6c8. PMID: 21613859</t>
  </si>
  <si>
    <t>103: Pasqui AL, Maffei S, Di Renzo M, Pompella G, Auteri A, Puccetti L. Levosimendan improves pro/anti-inflammatory cytokines imbalance in male patients with advanced heart failure. A randomized, double-blind, placebo-controlled study. Int J Cardiol. 2011 Mar 3;147(2):314-5. doi:10.1016/j.ijcard.2010.12.065. Epub 2011 Jan 6. PMID: 21215479.</t>
  </si>
  <si>
    <t>104: Sukoyan GV, Gongadze NV. Mechanism of cardioprotective effect of adenocine and non-glycoside cardiotonic drugs during experimental chronic cardiac insufficiency. Bull Exp Biol Med. 2011 Mar;150(5):610-3. doi:10.1007/s10517-011-1203-5. PMID: 22235397.</t>
  </si>
  <si>
    <t>71: Markou T, Makridou Z, Galatou E, Lazou A. Multiple signalling pathways underlie the protective effect of levosimendan in cardiac myocytes. Eur J Pharmacol. 2011 Sep 30;667(1-3):298-305. doi: 10.1016/j.ejphar.2011.05.078. Epub 2011 Jun 7. PMID: 21664904.</t>
  </si>
  <si>
    <t>72: Metra M, Bettari L, Carubelli V, Cas LD. Old and new intravenous inotropic agents in the treatment of advanced heart failure. Prog Cardiovasc Dis. 2011 Sep-Oct;54(2):97-106. doi: 10.1016/j.pcad.2011.03.011. PMID: 21875509.</t>
  </si>
  <si>
    <t>73: Işık S, Cetin M, Ciçekçioğlu H, Uçar O, Çetin ZG, Ozuğuz U, Bakır F, Berker D, Güler S. Value of IGF-I levels in the evaluation of response to treatment with levosimendan in patients with severe heart failure. Anadolu Kardiyol Derg. 2011 Sep;11(6):523-9. doi: 10.5152/akd.2011.137. Epub 2011 Aug 8. PMID: 21821501</t>
  </si>
  <si>
    <t>76: Yilmaz MB, Mebazaa A. In vivo and in vitro evidence for pleiotropic effects of levosimendan in the intensive care setting. Crit Care. 2011 Aug 18;15(4):182. doi: 10.1186/cc10308. PMID: 21892973; PMCID: PMC3387604.</t>
  </si>
  <si>
    <t>77: Guarracino F, Tritapepe L. Is preoperative levosimendan indicated to treat normal left ventricular function and left ventricle outflow obstruction? Br J Anaesth. 2011 Aug;107(2):276-7; author reply 277. doi: 10.1093/bja/aer212. PMID: 21757557</t>
  </si>
  <si>
    <t>75: Bautista-Hernandez V, Sanchez-Andres A, Portela F, Fynn-Thompson F. Current pharmacologic management of pediatric heart failure in congenital heart disease. Curr Vasc Pharmacol. 2011 Sep;9(5):619-28. doi: 10.2174/157016111796642733. PMID: 21314633.</t>
  </si>
  <si>
    <t>74: Caimmi PP, Kapetanakis EI, Beggino C, Molinari C, Giustini G, Crosio E, Reposo G, Micalizzi E, Vacca G, Grossini E. Management of acute cardiac failure by intracoronary administration of levosimendan. J Cardiovasc Pharmacol. 2011 Sep;58(3):246-53. doi: 10.1097/FJC.0b013e318220e491. PMID: 21654504.</t>
  </si>
  <si>
    <t>70: Jensen H, Eija R, Tuomas M, Jussi M, Fredrik Y, Kirsi A, Matti P, Kai K, Hannu T, Vesa A, Tatu J. Levosimendan decreases intracranial pressure after hypothermic circulatory arrest in a porcine model. Scand Cardiovasc J. 2011 Oct;45(5):307-15. doi: 10.3109/14017431.2011.583356. Epub 2011 May 31. PMID: 21623682</t>
  </si>
  <si>
    <t>44: Gea J. A drug therapy for muscle dysfunction in respiratory disorders? Am J Respir Crit Care Med. 2012 Jan 1;185(1):10-1. doi: 10.1164/rccm.201110-1858ED. PMID: 22210787.</t>
  </si>
  <si>
    <t>45: Sponga S, Ivanitskaia E, Potapov E, Krabatsch T, Hetzer R, Lehmkuhl H. Preoperative treatment with levosimendan in candidates for mechanical circulatory support. ASAIO J. 2012 Jan-Feb;58(1):6-11. doi:10.1097/MAT.0b013e318239f401. PMID: 22157071.</t>
  </si>
  <si>
    <t>43: Fournell A, Scheeren TW, Picker O, Schwarte LA. Pharmacologic interventions to improve splanchnic oxygenation during ventilation with positive end- expiratory pressure. Adv Exp Med Biol. 2012;737:235-8. doi:10.1007/978-1-4614-1566-4_34. PMID: 22259107.</t>
  </si>
  <si>
    <t>34: Landoni G, Biondi-Zoccai G, Greco M, Greco T, Bignami E, Morelli A, Guarracino F, Zangrillo A. Effects of levosimendan on mortality and hospitalization. A meta-analysis of randomized controlled studies. Crit Care Med. 2012 Feb;40(2):634-46. doi: 10.1097/CCM.0b013e318232962a. PMID: 21963578.</t>
  </si>
  <si>
    <t>35: Matsumoto S, Cho S, Tosaka S, Higashijima U, Maekawa T, Hara T, Sumikawa K. Hyperglycemia raises the threshold of levosimendan- but not milrinone-induced postconditioning in rat hearts. Cardiovasc Diabetol. 2012 Jan 12;11:4. doi:10.1186/1475-2840-11-4. PMID: 22239823; PMCID: PMC3269349.</t>
  </si>
  <si>
    <t>36: Riha H, Patel P, Valentine E, Lane B, Augoustides JG. Major themes for 2011 in cardiovascular anesthesia and intensive care. HSR Proc Intensive Care Cardiovasc Anesth. 2012;4(1):31-9. PMID: 23440086; PMCID: PMC3484920.</t>
  </si>
  <si>
    <t>37: Martyniuk TV, Arkhipova OA, Kobal' EA, Danilov NM, Chazova IE. [Possibilities of using levosimendan in patients with idiopathic pulmonary hypertension]. Ter Arkh. 2012;84(9):83-8. Russian. PMID: 23091860.</t>
  </si>
  <si>
    <t>38: Freerksen N, Jaekel J, Menon AK, Maass N, Bauerschlag D. Massive respiratory dysfunction as sign of fulminant peripartum cardiomyopathy (PPCM). Hypertens Pregnancy. 2012;31(4):451-3. doi: 10.3109/10641955.2012.679014. PMID: 23030710.</t>
  </si>
  <si>
    <t>39: Toth-Heyn P, Cataldi L. Vasoactive compounds in the neonatal period. Curr Med Chem. 2012;19(27):4633-9. doi: 10.2174/092986712803306330. PMID: 22876900.</t>
  </si>
  <si>
    <t>42: Malfatto G, Blengino S, Perego GB, Branzi G, Villani A, Facchini M, Parati G. Transthoracic impedance accurately estimates pulmonary wedge pressure in patients with decompensated chronic heart failure. Congest Heart Fail. 2012 Jan-Feb;18(1):25-31. doi: 10.1111/j.1751-7133.2011.00248.x. Epub 2011 Sep 14. PMID: 22277174</t>
  </si>
  <si>
    <t>29: Zhang YH, Qing EM, Zhang J, Huang Y, Lü R, Zhou Q, Wei BQ, An T, Qing P, Zou CH. [Hemodynamic and efficacies of domestic levosimendan versus dobutamine in patients with acute decompensated heart failure]. Zhonghua Yi Xue Za Zhi. 2012 Feb 28;92(8):555-8. Chinese. PMID: 22490161.</t>
  </si>
  <si>
    <t>30: Malmberg M, Vähäsilta T, Saraste A, Koskenvuo JW, Pärkkä JP, Leino K, Laitio T, Stark C, Heikkilä A, Saukko P, Savunen T. Intracoronary Levosimendan during Ischemia Prevents Myocardial Apoptosis. Front Physiol. 2012 Feb 14;3:17. doi:10.3389/fphys.2012.00017. PMID: 22347864; PMCID: PMC3278776.</t>
  </si>
  <si>
    <t>32: Doorduin J, Heunks LM, Pickkers P. How can you mend a broken heart? Crit Care Med. 2012 Feb;40(2):702-3. doi: 10.1097/CCM.0b013e318236ec67. PMID: 22249064</t>
  </si>
  <si>
    <t>15: Karvouniaris M, Papanikolaou J, Makris D, Zakynthinos E. Sepsis-associated takotsubo cardiomyopathy can be reversed with levosimendan. Am J Emerg Med. 2012 Jun;30(5):832.e5-7. doi: 10.1016/j.ajem.2011.02.030. Epub 2011 Apr 29. PMID: 21530136</t>
  </si>
  <si>
    <t>14: Memiş D, Inal MT, Sut N. The effects of levosimendan vs dobutamine added to dopamine on liver functions assessed with noninvasive liver function monitoring in patients with septic shock. J Crit Care. 2012 Jun;27(3):318.e1-6. doi:10.1016/j.jcrc.2011.06.008. Epub 2011 Aug 19. PMID: 21855289.</t>
  </si>
  <si>
    <t>13: Ji M, Li R, Li GM, Fan Y, Dong L, Yang J, Peng YG, Wu J. Effects of combined levosimendan and vasopressin on pulmonary function in porcine septic shock. Inflammation. 2012 Jun;35(3):871-80. doi: 10.1007/s10753-011-9388-3. PMID: 21932058</t>
  </si>
  <si>
    <t>12: Kolseth SM, Wahba A, Kirkeby-Garstad I, Aro S, Nordgaard H, Høydal M, Rognmo Ø, Nordhaug D. A dose-response study of levosimendan in a porcine model of acute ischaemic heart failure. Eur J Cardiothorac Surg. 2012 Jun;41(6):1377-83. doi:10.1093/ejcts/ezr201. Epub 2011 Dec 23. PMID: 22219475.</t>
  </si>
  <si>
    <t>11: Zorlu A, Yücel H, Yontar OC, Karahan O, Tandogan I, Katrancioglu N, Yilmaz MB. Effect of levosimendan in patients with severe systolic heart failure and worsening renal function. Arq Bras Cardiol. 2012 Jun;98(6):537-43. English, Portuguese. doi: 10.1590/s0066-782x2012005000048. Epub 2012 May 29. PMID: 22641390</t>
  </si>
  <si>
    <t>16: Paraskevaidis IA, Ikonomidis I, Parissis J, Papadopoulos C, Stassinos V, Bistola V, Anastasiou-Nana M. Dobutamine-induced changes of left atrial two-dimensional deformation predict clinical and neurohumoral improvement after levosimendan treatment in patients with acutely decompensated chronic heart failure. Int J Cardiol. 2012 May 17;157(1):31-7. doi:10.1016/j.ijcard.2010.11.007. Epub 2010 Dec 22. PMID: 21176979.</t>
  </si>
  <si>
    <t>10: Cetin M, Uçar O, Cicekçioğlu H, Güven Cetin Z, Sahin M, Vasfi Ulusoy F, Aydoğdu S. The predictive value of QRS duration in response to levosimendan therapy in patients with decompensated heart failure. Acta Cardiol. 2012 Jun;67(3):317-23. doi: 10.1080/ac.67.3.2160721. PMID: 22870740.</t>
  </si>
  <si>
    <t>1: Yuksel MB, Kavak S, Gecit I, Basel H, Gümrükçüoğlu HA, Demir H, Meral I. Short-term levosimendan treatment protects rat testes against oxidative stress. Braz J Med Biol Res. 2012 Aug;45(8):716-20. doi:10.1590/s0100-879x2012007500075. Epub 2012 May 17. PMID: 22584643; PMCID: PMC3854241.</t>
  </si>
  <si>
    <t>5: Furrer F, Giambarba C. Das abgewürgte Herz [The choked heart]. Praxis (Bern 1994). 2012 Jul 4;101(14):919-22. German. doi: 10.1024/1661-8157/a000989. PMID: 22763935</t>
  </si>
  <si>
    <t>6: Büyüklü M, Kürüm AT, Tatlý E, Set T. Effects of levosimendan on TNF-alpha, BNP and MMP-1 in patients with heart failure with anemia. Arq Bras Cardiol. 2012 Jul;99(1):659-64. English, Portuguese. doi: 10.1590/s0066-782x2012005000055. Epub 2012 Jun 26. PMID: 22735864.</t>
  </si>
  <si>
    <t>7: Reuter H, Schwinger RH. Calcium handling in human heart failure--abnormalities and target for therapy. Wien Med Wochenschr. 2012 Jul;162(13-14):297-301. doi: 10.1007/s10354-012-0117-9. Epub 2012 Jun 12. PMID: 22688623</t>
  </si>
  <si>
    <t>8: Barillà F, Giordano F, Jacomelli I, Pellicano M, Dominici T. ST-segment elevation during levosimendan infusion. J Cardiovasc Med (Hagerstown). 2012 Jul;13(7):454-6. doi: 10.2459/JCM.0b013e3283559af6. PMID: 22673026.</t>
  </si>
  <si>
    <t>9: Ricci Z, Garisto C, Favia I, Vitale V, Di Chiara L, Cogo PE. Levosimendan infusion in newborns after corrective surgery for congenital heart disease: randomized controlled trial. Intensive Care Med. 2012 Jul;38(7):1198-204. doi:10.1007/s00134-012-2564-6. Epub 2012 Apr 18. PMID: 22527079.</t>
  </si>
  <si>
    <t>17: Werdan K, Ruß M, Buerke M, Delle-Karth G, Geppert A, Schöndube FA; German Cardiac Society; German Society of Intensive Care and Emergency Medicine; German Society for Thoracic and Cardiovascular Surgery; (Austrian Society of Internal and General Intensive Care Medicine; German Interdisciplinary Association of Intensive Care and Emergency Medicine; Austrian Society of Cardiology; German Society of Anaesthesiology and Intensive Care Medicine; German Society of Preventive Medicine and Rehabilitation. Cardiogenic shock due to myocardial infarction: diagnosis, monitoring and treatment: a German-Austrian S3 Guideline. Dtsch Arztebl Int. 2012 May;109(19):343-51. doi: 10.3238/arztebl.2012.0343. Epub 2012 May 11. PMID: 22675405; PMCID: PMC3364528.</t>
  </si>
  <si>
    <t>18: Plaschke K, Bent F, Rosenhagen C, Wagner S, Hofer S, Kopitz J. The inhibitory in-vitro effect of high-dose levosimendan on platelet function may be mediated through its action as a phosphodiesterase inhibitor. Coron Artery Dis. 2012 May;23(3):215-20. doi: 10.1097/MCA.0b013e32835167cc. PMID: 22343797.</t>
  </si>
  <si>
    <t>20: Wiklund A, Kylhammar D, Rådegran G. Levosimendan attenuates hypoxia-induced pulmonary hypertension in a porcine model. J Cardiovasc Pharmacol. 2012 May;59(5):441-9. doi: 10.1097/FJC.0b013e31824938f0. PMID: 22240915.</t>
  </si>
  <si>
    <t>4: Lomivorotov VV, Boboshko VA, Efremov SM, Kornilov IA, Chernyavskiy AM, Lomivorotov VN, Knazkova LG, Karaskov AM. Levosimendan versus an intra-aortic balloon pump in high-risk cardiac patients. J Cardiothorac Vasc Anesth. 2012 Aug;26(4):596-603. doi: 10.1053/j.jvca.2011.09.006. Epub 2011 Nov 3. PMID: 22051419</t>
  </si>
  <si>
    <t>3: Ristikankare A, Pöyhiä R, Eriksson H, Valtonen M, Leino K, Salmenperä M. Effects of levosimendan on renal function in patients undergoing coronary artery surgery. J Cardiothorac Vasc Anesth. 2012 Aug;26(4):591-5. doi:10.1053/j.jvca.2012.01.035. Epub 2012 Mar 13. PMID: 22418044.</t>
  </si>
  <si>
    <t>2: Grossini E, Molinari C, Pollesello P, Bellomo G, Valente G, Mary D, Vacca G, Caimmi P. Levosimendan protection against kidney ischemia/reperfusion injuries in anesthetized pigs. J Pharmacol Exp Ther. 2012 Aug;342(2):376-88. doi:10.1124/jpet.112.193961. Epub 2012 May 7. PMID: 22566668.</t>
  </si>
  <si>
    <t>115: Michalek P, Sebesta P, Stern M. Emergency abdominal aortic aneurysm repair in a patient with failing heart: axillofemoral bypass using a centrifugal pump combined with levosimendan for inotropic support. Case Rep Vasc Med. 2011;2011:497940. doi: 10.1155/2011/497940. Epub 2011 Dec 18. PMID: 22937463; PMCID: PMC3420771.</t>
  </si>
  <si>
    <t>114: Landoni G, Augoustides JG, Guarracino F, Santini F, Ponschab M, Pasero D, D, Forti A, Galdieri N, Giordano G, Gottin L, Greco M, Maglioni E, Mantovani L, Manzato A, Meli M, Paternoster G, Pittarello D, Rana NK, Ruggeri L, Salandin V, Sangalli F, Zambon M, Zucchetti M, Bignami E, Alfieri O, Zangrillo A. Mortality reduction in cardiac anesthesia and intensive care: results of the first International Consensus Conference. HSR Proc Intensive Care Cardiovasc Anesth. 2011;3(1):9-19. PMID: 23439940; PMCID: PMC3484607.</t>
  </si>
  <si>
    <t>112: van Hees HW, Andrade Acuña G, Linkels M, Dekhuijzen PN, Heunks LM. Levosimendan improves calcium sensitivity of diaphragm muscle fibres from a rat model of heart failure. Br J Pharmacol. 2011 Feb;162(3):566-73. doi:10.1111/j.1476-5381.2010.01048.x. PMID: 20880026; PMCID: PMC3041247.</t>
  </si>
  <si>
    <t>113: Ouanes-Besbes L, Ouanes I, Dachraoui F, Dimassi S, Mebazaa A, Abroug F. Weaning difficult-to-wean chronic obstructive pulmonary disease patients: a pilot study comparing initial hemodynamic effects of levosimendan and dobutamine. J Crit Care. 2011 Feb;26(1):15-21. doi: 10.1016/j.jcrc.2010.01.002. Epub 2010 Apr 8. PMID: 20381295.</t>
  </si>
  <si>
    <t>100: Kivikko M, Sundberg S, Karlsson MO, Pohjanjousi P, Colucci WS. Acetylation status does not affect levosimendan's hemodynamic effects in heart failure patients. Scand Cardiovasc J. 2011 Apr;45(2):86-90. doi:10.3109/14017431.2010.540762. Epub 2010 Dec 7. PMID: 21133820.</t>
  </si>
  <si>
    <t>101: Aidonidis G, Kanonidis I, Koutsimanis V, Neumann T, Erbel R, Sakadamis G. Efficiency and safety of prolonged levosimendan infusion in patients with acute heart failure. Cardiol Res Pract. 2011 Mar 31;2011:342302. doi:10.4061/2011/342302. PMID: 21559263; PMCID: PMC3087940.</t>
  </si>
  <si>
    <t>102: Soeding PF, Crack PJ, Wright CE, Angus JA, Royse CF. Levosimendan preserves the contractile responsiveness of hypoxic human myocardium via mitochondrial K(ATP) channel and potential pERK 1/2 activation. Eur J Pharmacol. 2011 Mar 25;655(1-3):59-66. doi: 10.1016/j.ejphar.2010.12.035. Epub 2011 Jan 13. PMID: 21237146</t>
  </si>
  <si>
    <t>99: Follath F, Yilmaz MB, Delgado JF, Parissis JT, Porcher R, Gayat E, Burrows N, McLean A, Vilas-Boas F, Mebazaa A. Clinical presentation, management and outcomes in the Acute Heart Failure Global Survey of Standard Treatment (ALARM-HF). Intensive Care Med. 2011 Apr;37(4):619-26. doi: 10.1007/s00134-010-2113-0. Epub 2011 Jan 6. PMID: 21210078.</t>
  </si>
  <si>
    <t>95: Schwarte LA, Schwartges I, Thomas K, Schober P, Picker O. The effects of levosimendan and glibenclamide on circulatory and metabolic variables in a canine model of acute hypoxia. Intensive Care Med. 2011 Apr;37(4):701-10. doi:10.1007/s00134-011-2144-1. Epub 2011 Mar 5. PMID: 21380525; PMCID: PMC3058361.</t>
  </si>
  <si>
    <t>69: Lahtinen P, Pitkänen O, Pölönen P, Turpeinen A, Kiviniemi V, Uusaro A. Levosimendan reduces heart failure after cardiac surgery: a prospective, randomized, placebo-controlled trial. Crit Care Med. 2011 Oct;39(10):2263-70. doi: 10.1097/CCM.0b013e3182227b97. PMID: 21666445.</t>
  </si>
  <si>
    <t>94: Lomivorotov VV, Cherniavskiy AM, Boboshko VA, Kornilov IA, Lomivorotov VN, Karaskov AM. Levosimendan vs. intra-aortic balloon pump in high-risk cardiac surgery. Asian Cardiovasc Thorac Ann. 2011 Apr;19(2):154-9. doi:10.1177/0218492311401143. PMID: 21471262.</t>
  </si>
  <si>
    <t>98: Caimmi PP, Molinari C, Uberti F, Micalizzi E, Valente G, Mary DA, Vacca G, Grossini E. Intracoronary levosimendan prevents myocardial ischemic damages and activates survival signaling through ATP-sensitive potassium channel and nitric oxide. Eur J Cardiothorac Surg. 2011 Apr;39(4):e59-67. doi:10.1016/j.ejcts.2010.11.044. Epub 2011 Jan 17. PMID: 21247774.</t>
  </si>
  <si>
    <t>108: Leppikangas H, Järvelä K, Sisto T, Maaranen P, Virtanen M, Lehto P, Karlsson S, Kööbi T, Lindgren L. Preoperative levosimendan infusion in combined aortic valve and coronary bypass surgery. Br J Anaesth. 2011 Mar;106(3):298-304. doi: 10.1093/bja/aeq402. Epub 2011 Jan 21. PMID: 21258075.</t>
  </si>
  <si>
    <t>68: Fedele F, D'Ambrosi A, Bruno N, Caira C, Brasolin B, Mancone M. Cost-effectiveness of levosimendan in patients with acute heart failure. J Cardiovasc Pharmacol. 2011 Oct;58(4):363-6. doi: 10.1097/FJC.0b013e318224e0a2. PMID: 21697728</t>
  </si>
  <si>
    <t>59: Vahtola E, Storvik M, Louhelainen M, Merasto S, Lakkisto P, Lakkisto J, Tikkanen I, Kaheinen P, Levijoki J, Mervaala E. Effects of levosimendan on cardiac gene expression profile and post-infarct cardiac remodelling in diabetic Goto-Kakizaki rats. Basic Clin Pharmacol Toxicol. 2011 Nov;109(5):387-97. doi:10.1111/j.1742-7843.2011.00743.x. Epub 2011 Aug 17. PMID: 21699655.</t>
  </si>
  <si>
    <t>40: Hernández A, Miranda A, Parada A. Levosimendán disminuye la mortalidad en cirugía cardíaca: revisión sistemática y metaanálisis [Levosimendan reduces mortality in cardiac surgery: a systematic review and meta-analysis]. Rev Esp Anestesiol Reanim. 2012 Jan;59(1):6-11. Spanish. doi:10.1016/j.redar.2012.02.001. Epub 2012 Mar 14. PMID: 22429630.</t>
  </si>
  <si>
    <t>41: Giglioli C, Cecchi E, Landi D, Chiostri M, Spini V, Valente S, Gensini GF, Romano SM. Levosimendan produces an additional clinical and hemodynamic benefit in patients with decompensated heart failure successfully submitted to a fluid removal treatment. Congest Heart Fail. 2012 Jan-Feb;18(1):47-53. doi:10.1111/j.1751-7133.2011.00261.x. Epub 2011 Nov 12. PMID: 22277178.</t>
  </si>
  <si>
    <t>33: Paksoy F, Ulaş T, Tursun I, Dal MS, Oztekin E, Borlu F. Levosimendan ve dobutamin tedavilerinin akut dekompanse kalp yetersizlikli hastalarda QT dispersiyonu üzerine etkisi: Prospektif bir çalışma [The effect of levosimendan and dobutamine treatment on QT dispersion in patients with decompensated heart failure: a prospective study]. Anadolu Kardiyol Derg. 2012 Feb;12(1):16-22. Turkish. doi: 10.5152/akd.2012.004. Epub 2012 Jan 4. PMID: 22214738.</t>
  </si>
  <si>
    <t>22: Meryon IC, Marino P. Novel strategies for the management of right ventricular failure with pulmonary hypertension. Thorax. 2012 Apr;67(4):368-70. doi: 10.1136/thoraxjnl-2011-200583. Epub 2012 Jan 16. PMID: 22250100.</t>
  </si>
  <si>
    <t>23: Bracht H, Calzia E, Georgieff M, Singer J, Radermacher P, Russell JA. Inotropes and vasopressors: more than haemodynamics! Br J Pharmacol. 2012 Apr;165(7):2009-11. doi: 10.1111/j.1476-5381.2011.01776.x. PMID: 22074274; PMCID: PMC3413839.</t>
  </si>
  <si>
    <t>24: Zafrir B, Amir O. Beta blocker therapy, decompensated heart failure, and inotropic interactions: current perspectives. Isr Med Assoc J. 2012 Mar;14(3):184-9. PMID: 22675861.</t>
  </si>
  <si>
    <t>25: Kalam Y, Graudins A. Levosimendan does not improve cardiac output or blood pressure in a rodent model of propranolol toxicity when administered using various dosing regimens. Int J Toxicol. 2012 Mar;31(2):166-74. doi:10.1177/1091581811435366. Epub 2012 Mar 14. PMID: 22422349.</t>
  </si>
  <si>
    <t>21: Ruiz Bailén M, Ruiz García MI, Ferrezuelo Mata A, Quirós Barrera R. Cardiogenic shock: management of right ventricular infarction shock. Minerva Cardioangiol. 2012 Apr;60(2):167-74. PMID: 22495165.</t>
  </si>
  <si>
    <t>26: Noori S, Seri I. Neonatal blood pressure support: the use of inotropes, lusitropes, and other vasopressor agents. Clin Perinatol. 2012 Mar;39(1):221-38. doi: 10.1016/j.clp.2011.12.010. Epub 2012 Jan 20. PMID: 22341548.</t>
  </si>
  <si>
    <t>27: Manouchehri N, Bigam DL, Churchill T, Joynt C, Vento M, Cheung PY. Milrinone is preferred to levosimendan for mesenteric perfusion in hypoxia-reoxygenated newborn piglets treated with dopamine. Pediatr Res. 2012 Mar;71(3):241-6. doi:10.1038/pr.2011.48. Epub 2012 Jan 11. PMID: 22337258; PMCID: PMC4972574.</t>
  </si>
  <si>
    <t>28: Ambrus N, Szolnoky J, Pollesello P, Kun A, Varró A, Papp JG, Pataricza J. Prolonged antispasmodic effect in isolated radial artery graft and pronounced platelet inhibition induced by the inodilator drug, levosimendan. Basic Clin Pharmacol Toxicol. 2012 Mar;110(3):269-74. doi:10.1111/j.1742-7843.2011.00801.x. Epub 2011 Oct 21. PMID: 21952040.</t>
  </si>
  <si>
    <t>31: Zhang YH, Zhang J, Qing EM, Li H, Sun YX, Zhang L, Bai XJ, Liu WX, Jiang YN, Qu P, Wei BQ, Zhou Q, Huang Y. [Comparison on efficacy and safety between domestic levosimendan versus dobutamine for patients with acute decompensated heart failure]. Zhonghua Xin Xue Guan Bing Za Zhi. 2012 Feb;40(2):153-6. Chinese. PMID: 22490717.</t>
  </si>
  <si>
    <t>46: Thewissen L, Allegaert K. Inotropic support in the NICU: ever more compounds in search of guidance? Commentary on J. Esch et al.: differential hemodynamic effects of levosimendan in a porcine model of neonatal hypoxia-reoxygenation (Neonatology 2012;101:192–200) and M.P. De Carolis et al.: levosimendan in two neonates with ischemic heart failure and pulmonary hypertension (Neonatology 2012;101:201–205). Neonatology. 2012;101(3):206-9. doi: 10.1159/000332204. Epub 2011 Nov 8. PMID: 22067565.</t>
  </si>
  <si>
    <t>48: Esch J, Joynt C, Manouchehri N, Lee TF, Li YQ, Bigam D, Vento M, Cheung PY. Differential hemodynamic effects of levosimendan in a porcine model of neonatal hypoxia-reoxygenation. Neonatology. 2012;101(3):192-200. doi: 10.1159/000329825. Epub 2011 Nov 8. PMID: 22067461.</t>
  </si>
  <si>
    <t>47: De Carolis MP, Piastra M, Bersani I, Pardeo M, Stival E, Tempera A, Romagnoli C, Conti G, De Rosa G. Levosimendan in two neonates with ischemic heart failure and pulmonary hypertension. Neonatology. 2012;101(3):201-5. doi:10.1159/000329848. Epub 2011 Nov 8. PMID: 22067520.</t>
  </si>
  <si>
    <t>49: Rungatscher A, Linardi D, Tessari M, Menon T, Luciani GB, Mazzucco A, Faggian G. Levosimendan is superior to epinephrine in improving myocardial function after cardiopulmonary bypass with deep hypothermic circulatory arrest in rats. J Thorac Cardiovasc Surg. 2012 Jan;143(1):209-14. doi:10.1016/j.jtcvs.2011.09.020. Epub 2011 Oct 19. PMID: 22014715.</t>
  </si>
  <si>
    <t>50: Doorduin J, Sinderby CA, Beck J, Stegeman DF, van Hees HW, van der Hoeven JG, Heunks LM. The calcium sensitizer levosimendan improves human diaphragm function. Am J Respir Crit Care Med. 2012 Jan 1;185(1):90-5. doi:10.1164/rccm.201107-1268OC. PMID: 21960535.</t>
  </si>
  <si>
    <t>51: Vogt W, Läer S. Treatment for paediatric low cardiac output syndrome: results from the European EuLoCOS-Paed survey. Arch Dis Child. 2011 Dec;96(12):1180-6. doi: 10.1136/archdischild-2011-300370. Epub 2011 Oct 27. PMID: 22034494.</t>
  </si>
  <si>
    <t>53: Elahi MM, Lam J, Asopa S, Matata BM. Levosimendan versus an intra-aortic balloon pump in adult cardiac surgery patients with low cardiac output. J Cardiothorac Vasc Anesth. 2011 Dec;25(6):1154-62. doi:10.1053/j.jvca.2011.01.001. Epub 2011 Mar 3. PMID: 21376634.</t>
  </si>
  <si>
    <t>52: Vogt W, Läer S. Prevention for pediatric low cardiac output syndrome: results from the European survey EuLoCOS-Paed. Paediatr Anaesth. 2011 Dec;21(12):1176-84. doi: 10.1111/j.1460-9592.2011.03683.x. Epub 2011 Aug 18. PMID: 21851475.</t>
  </si>
  <si>
    <t>54: Arai M. [Calcium mobilizers and calcium sensitizers]. Nihon Rinsho. 2011 Nov;69 Suppl 9:417-22. Japanese. PMID: 22724240.</t>
  </si>
  <si>
    <t>57: Schweigmann U, Velik-Salchner C, Kilo J, Schermer E. How mechanical circulatory support helps not to need it--new strategies in pediatric heart failure. Artif Organs. 2011 Nov;35(11):1105-9. doi:10.1111/j.1525-1594.2011.01348.x. Epub 2011 Sep 29. PMID: 21954874.</t>
  </si>
  <si>
    <t>56: Prijić S, Rakić S, Nikolić L, Jovicić B, Stajević M, Vukomanović V, Kosutić J. [Levosimendan treatment of severe acute congestive heart failure refractory to dobutamine/milrinone in children]. Vojnosanit Pregl. 2011 Nov;68(11):979-84. Serbian. doi: 10.2298/vsp1111979p. PMID: 22191317.</t>
  </si>
  <si>
    <t>58: Timberlake K, Kantor PF. Pharmacologic therapy of heart failure in children: part of a special series on paediatric pharmacology, guest edited by Gianvincenzo Zuccotti, Emilio Clementi, and Massimo Molteni. Pharmacol Res. 2011 Nov;64(5):427-30. doi: 10.1016/j.phrs.2011.06.006. Epub 2011 Jun 17. PMID: 21708258</t>
  </si>
  <si>
    <t>60: Yang JJ, Ji MH. Re: Erbüyün K, et al. Effects of levosimendan and dobutamine on experimental acute lung injury in rats [Acta Histochem 2009;111:404-14]. Acta Histochem. 2011 Nov;113(7):763; author reply 764. doi:10.1016/j.acthis.2010.10.001. Epub 2010 Nov 2. PMID: 21047672.</t>
  </si>
  <si>
    <t>61: Suominen PK. Single-center experience with levosimendan in children undergoing cardiac surgery and in children with decompensated heart failure. BMC Anesthesiol. 2011 Oct 5;11:18. doi: 10.1186/1471-2253-11-18. PMID: 21974814; PMCID: PMC3199236.</t>
  </si>
  <si>
    <t>62: Yang JJ, Ji MH, Sun J, Peng YG. Levosimendan for treatment of septic shock: homeotherapy or inadequate therapy? Acta Anaesthesiol Scand. 2011 Oct;55(9):1147; author reply 1147-8. doi: 10.1111/j.1399-6576.2011.02503.x. Epub 2011 Sep 8. PMID: 22092214.</t>
  </si>
  <si>
    <t>63: Retraction: De Hert SG, Lorsomradee S, vanden Eede H, Cromheecke S, Van der Linden PJ. A randomized trial evaluating different modalities of levosimendan administration in cardiac surgery patients with myocardial dysfunction. J Cardiothorac Vasc Anesth 2008;22:699-705. J Cardiothorac Vasc Anesth. 2011 Oct;25(5):897. doi: 10.1053/j.jvca.2011.07.035. PMID: 22059234.</t>
  </si>
  <si>
    <t>64: Lehmann A, Radke J, Sack FU. Levosimendan--an inoprotective drug or much ado about nothing? Crit Care Med. 2011 Oct;39(10):2365-6. doi:10.1097/CCM.0b013e3182266179. PMID: 21926495.</t>
  </si>
  <si>
    <t>65: Caresta E, Papoff P, Benedetti Valentini S, Mancuso M, Cicchetti R, Midulla F, Moretti C. What's new in the treatment of neonatal shock. J Matern Fetal Neonatal Med. 2011 Oct;24 Suppl 1:17-9. doi: 10.3109/14767058.2011.607565. Epub 2011 Sep 7. PMID: 21895548.</t>
  </si>
  <si>
    <t>109: Feola M, Lombardo E, Taglieri C, Vallauri P, Piccolo S, Valle R. Effects of levosimendan/furosemide infusion on plasma brain natriuretic peptide, echocardiographic parameters and cardiac output in end-stage heart failure patients. Med Sci Monit. 2011 Feb 25;17(3):PI7-13. doi: 10.12659/msm.881433. PMID: 21358614; PMCID: PMC3524718.</t>
  </si>
  <si>
    <t>67: Hyldebrandt JA, Larsen SH, Schmidt MR, Hjortdal VE, Ravn HB. Age-dependent effects of milrinone and levosimendan on ventricular function and haemodynamics in newborn and mature pigs. Cardiol Young. 2011 Oct;21(5):518-27. doi:10.1017/S1047951111000357. Epub 2011 May 10. PMID: 21733205.</t>
  </si>
  <si>
    <t>66: Lobo Martínez P, Oulego Erroz I, Gautreux Minaya S, Rodríguez Fernández LM. Treatment of acute heart failure using levosimendan for a patient with dilated cardiomyopathy, chronic renal failure, and hypertension. Pediatr Cardiol. 2011 Oct;32(7):1012-6. doi: 10.1007/s00246-011-0041-6. Epub 2011 Jul 10. PMID: 21744292</t>
  </si>
  <si>
    <t>110: Uberti F, Caimmi PP, Molinari C, Mary D, Vacca G, Grossini E. Levosimendan modulates programmed forms of cell death through K(ATP) channels and nitric oxide. J Cardiovasc Pharmacol. 2011 Feb;57(2):246-58. doi:10.1097/FJC.0b013e318204bb55. PMID: 21107279.</t>
  </si>
  <si>
    <t>111: Zaravinos A, Tzoras S, Apostolakis S, Lazaridis K, Spandidos DA. Levosimendan reduces plasma cell-free DNA levels in patients with ischemic cardiomyopathy. J Thromb Thrombolysis. 2011 Feb;31(2):180-7. doi:10.1007/s11239-010-0527-8. PMID: 21052781.</t>
  </si>
  <si>
    <t>200: Sahin AS, Görmüş N, Duman A. Preconditioning with levosimendan prevents contractile dysfunction due to H2O2-induced oxidative stress in human myocardium. J Cardiovasc Pharmacol. 2007 Oct;50(4):419-23. doi:10.1097/FJC.0b013e318123fbf9. PMID: 18049310.</t>
  </si>
  <si>
    <t>199: José AC. Levosimendana. Rev Bras Cir Cardiovasc. 2007 Oct-Dec;22(4):521. English, Portuguese. PMID: 18506955.</t>
  </si>
  <si>
    <t>198: Tang WH. Pharmacologic therapy for acute heart failure. Cardiol Clin. 2007 Nov;25(4):539-51; vi. doi: 10.1016/j.ccl.2007.08.007. PMID: 18063158.</t>
  </si>
  <si>
    <t>197: Parissis JT, Andreadou I, Markantonis SL, Bistola V, Louka A, Pyriochou A, Paraskevaidis I, Filippatos G, Iliodromitis EK, Kremastinos DT. Effects of Levosimendan on circulating markers of oxidative and nitrosative stress in patients with advanced heart failure. Atherosclerosis. 2007 Dec;195(2):e210-5. doi: 10.1016/j.atherosclerosis.2007.07.011. Epub 2007 Aug 20. PMID: 17707851.</t>
  </si>
  <si>
    <t>196: Puttonen J, Laine T, Ramela M, Häkkinen S, Zhang W, Pradhan R, Pentikäinen P, Koskinen M. Pharmacokinetics and excretion balance of OR-1896, a pharmacologically active metabolite of levosimendan, in healthy men. Eur J Pharm Sci. 2007 Dec;32(4-5):271-7. doi: 10.1016/j.ejps.2007.08.003. Epub 2007 Aug 10. PMID: 17888637.</t>
  </si>
  <si>
    <t>195: Russ MA, Prondzinsky R, Christoph A, Schlitt A, Buerke U, Söffker G, Lemm H, Swyter M, Wegener N, Winkler M, Carter JM, Reith S, Werdan K, Buerke M. Hemodynamic improvement following levosimendan treatment in patients with acute myocardial infarction and cardiogenic shock. Crit Care Med. 2007 Dec;35(12):2732-9. doi: 10.1097/01.CCM.0000287524.17358.48. PMID: 17893627.</t>
  </si>
  <si>
    <t>192: Buerke M, Russ M, Werdan K. Neue pharmakologische Therapieansätze bei kardiogenem Schock [New pharmacological treatment approaches to cardiogenic shock]. Internist (Berl). 2007 Dec;48(12):1442-9. German. doi:10.1007/s00108-007-1979-6. PMID: 18034221.</t>
  </si>
  <si>
    <t>191: Smetana P, Geppert A. Levosimendan in cardiogenic shock: the magic drug for every patient? Crit Care Med. 2007 Dec;35(12):2862-4. doi:10.1097/01.CCM.0000288090.16688.B1. PMID: 18043208.</t>
  </si>
  <si>
    <t>190: Simes DC. Is there a place for levosimendan in the intensive care unit? Crit Care Resusc. 2007 Dec;9(4):395. PMID: 18052906.</t>
  </si>
  <si>
    <t>193: Damman K, Voors AA. Levosimendan improves renal function in acute decompensated heart failure: cause and clinical application. Editorial to: Levosimendan improves renal function in patients with acute decompensated heart failure: comparison with dobutamine by Yilmaz et al.. Cardiovasc Drugs Ther. 2007 Dec;21(6):403-4. doi: 10.1007/s10557-007-6070-y. PMID: 18030611.</t>
  </si>
  <si>
    <t>194: Yilmaz MB, Yalta K, Yontar C, Karadas F, Erdem A, Turgut OO, Yilmaz A, Tandogan I. Levosimendan improves renal function in patients with acute decompensated heart failure: comparison with dobutamine. Cardiovasc Drugs Ther. 2007 Dec;21(6):431-5. doi: 10.1007/s10557-007-6066-7. Epub 2007 Oct 20. PMID: 17952581</t>
  </si>
  <si>
    <t>181: Graudins A, Najafi J, Rur-SC MP. Treatment of experimental verapamil poisoning with levosimendan utilizing a rodent model of drug toxicity. Clin Toxicol (Phila). 2008 Jan;46(1):50-6. doi: 10.1080/15563650701665092. PMID: 17926153</t>
  </si>
  <si>
    <t>182: Christoph A, Prondzinsky R, Russ M, Janusch M, Schlitt A, Lemm H, Reith S, Werdan K, Buerke M. Early and sustained haemodynamic improvement with levosimendan compared to intraaortic balloon counterpulsation (IABP) in cardiogenic shock complicating acute myocardial infarction. Acute Card Care. 2008;10(1):49-57. doi: 10.1080/17482940701358564. PMID: 17924229.</t>
  </si>
  <si>
    <t>187: Landmesser U, Drexler H. Update on inotropic therapy in the management of acute heart failure. Curr Treat Options Cardiovasc Med. 2007 Dec;9(6):443-9. doi: 10.1007/s11936-007-0039-9. PMID: 18221596.</t>
  </si>
  <si>
    <t>188: Soeding PE, Royse CF, Wright CE, Royse AG, Angus JA. Inoprotection: the perioperative role of levosimendan. Anaesth Intensive Care. 2007 Dec;35(6):845-62. doi: 10.1177/0310057X0703500602. PMID: 18084975.</t>
  </si>
  <si>
    <t>189: Ikonomidis I, Parissis JT, Paraskevaidis I, Kourea K, Bistola V, Lekakis J, Filippatos G, Kremastinos DT. Effects of levosimendan on coronary artery flow and cardiac performance in patients with advanced heart failure. Eur J Heart Fail. 2007 Dec;9(12):1172-7. doi: 10.1016/j.ejheart.2007.10.002. Epub 2007 Nov 19. PMID: 18062901.</t>
  </si>
  <si>
    <t>186: Magno P, Freitas A, Gil VM. Left ventricular noncompaction: case report and literature review. Rev Port Cardiol. 2007 Dec;26(12):1381-91. English, Portuguese. PMID: 18338667.</t>
  </si>
  <si>
    <t>185: Kaptan K, Erinç K, Ifran A, Yildirim V, Uzun M, Beyan C, Işik E. Levosimendan has an inhibitory effect on platelet function. Am J Hematol. 2008 Jan;83(1):46-9. doi: 10.1002/ajh.20999. PMID: 17654687.</t>
  </si>
  <si>
    <t>184: Brendt P, Behrends M, Peters J. Myocardial stunning following no flow ischaemia is diminished by levosimendan or cariporide, without benefits of combined administration. Resuscitation. 2008 Jan;76(1):95-102. doi:10.1016/j.resuscitation.2007.06.029. Epub 2007 Aug 23. PMID: 17719165.</t>
  </si>
  <si>
    <t>183: Yapici D, Altunkan Z, Ozeren M, Bilgin E, Balli E, Tamer L, Doruk N, Birbicer H, Apa D, Oral U. Effects of levosimendan on myocardial ischaemia-reperfusion injury. Eur J Anaesthesiol. 2008 Jan;25(1):8-14. doi:10.1017/S0265021507002736. Epub 2007 Sep 25. PMID: 17892613.</t>
  </si>
  <si>
    <t>180: Banfor PN, Preusser LC, Campbell TJ, Marsh KC, Polakowski JS, Reinhart GA, Cox BF, Fryer RM. Comparative effects of levosimendan, OR-1896, OR-1855, dobutamine, and milrinone on vascular resistance, indexes of cardiac function, and O2 consumption in dogs. Am J Physiol Heart Circ Physiol. 2008 Jan;294(1):H238-48. doi: 10.1152/ajpheart.01181.2007. Epub 2007 Nov 2. PMID: 17982006</t>
  </si>
  <si>
    <t>176: Lafci B, Yasa H, Ilhan G, Ortac R, Yilik L, Kestelli M, Goktogan T, Gurbuz A. Protection of the spinal cord from ischemia: comparative effects of levosimendan and iloprost. Eur Surg Res. 2008;41(1):1-7. doi: 10.1159/000121394. Epub 2008 Mar 20. PMID: 18354255.</t>
  </si>
  <si>
    <t>177: Katircioglu SF, Seren M, Parlar AI, Turan NN, Manavbasi Y, Aydog G, Cicekcioglu F, Tutun U, Ulus AT. Levosimendan effect on spinal cord ischemia-reperfusion injury following aortic clamping. J Card Surg. 2008 Jan-Feb;23(1):44-8. doi: 10.1111/j.1540-8191.2007.00486.x. PMID: 18290886.</t>
  </si>
  <si>
    <t>178: Tavares M, Rezlan E, Vostroknoutova I, Khouadja H, Mebazaa A. New pharmacologic therapies for acute heart failure. Crit Care Med. 2008 Jan;36(1 Suppl):S112-20. doi: 10.1097/01.CCM.0000296810.74724.8D. PMID: 18158470.</t>
  </si>
  <si>
    <t>179: Petersen JW, Felker GM. Inotropes in the management of acute heart failure. Crit Care Med. 2008 Jan;36(1 Suppl):S106-11. doi:10.1097/01.CCM.0000296273.72952.39. PMID: 18158469.</t>
  </si>
  <si>
    <t>175: Rossinen J, Harjola VP, Siirila-Waris K, Lassus J, Melin J, Peuhkurinen K, Nieminen MS. The use of more than one inotrope in acute heart failure is associated with increased mortality: a multi-centre observational study. Acute Card Care. 2008;10(4):209-13. doi: 10.1080/17482940802262376. PMID: 18720087.</t>
  </si>
  <si>
    <t>165: Thomas M. Management of pulmonary hypertension in the intensive care unit. Crit Care Med. 2008 Feb;36(2):651-2; author reply 652. doi:10.1097/01.CCM.0000300545.90116.B9. PMID: 18216633.</t>
  </si>
  <si>
    <t>166: Koskinen M, Puttonen J, Pykäläinen M, Vuorela A, Lotta T. Metabolism of OR-1896, a metabolite of levosimendan, in rats and humans. Xenobiotica. 2008 Feb;38(2):156-70. doi: 10.1080/00498250701744658. PMID: 18197557.</t>
  </si>
  <si>
    <t>167: Archan S, Toller W. Levosimendan: current status and future prospects. Curr Opin Anaesthesiol. 2008 Feb;21(1):78-84. doi: 10.1097/ACO.0b013e3282f357a5. PMID: 18195615.</t>
  </si>
  <si>
    <t>174: Greif M, Zwermann L, Reithmann C, Weis M. Levosimendan as rescue therapy in severe cardiogenic shock after ST-elevation myocardial infarction. Acute Card Care. 2008;10(3):185-90. doi: 10.1080/17482940801935774. PMID: 18972629.</t>
  </si>
  <si>
    <t>172: de Lissovoy G, Fraeman K, Salon J, Chay Woodward T, Sterz R. The costs of treating acute heart failure: an economic analysis of the SURVIVE trial. J Med Econ. 2008;11(3):415-29. doi: 10.3111/13696990802291679. PMID: 19450096.</t>
  </si>
  <si>
    <t>171: Fanconi S, Reinberg O, Gapany C, Meyrat BJ, Frey P, Vaudaux B, Di Bernardo S, Boulos T, Sekarski N, Spehrs-Ciaffi V, Jeannet PY. Pédiatrie [Pediatrics]. Rev Med Suisse. 2008 Jan 9;4(139):61-6. French. PMID: 18251218.</t>
  </si>
  <si>
    <t>170: Duygu H, Ozerkan F, Nalbantgil S, Zoghi M, Akilli A, Akin M, Nazli C, Ergene O. Effect of levosimendan on E/E' ratio in patients with ischemic heart failure. Int J Cardiol. 2008 Jan 11;123(2):201-3. doi:10.1016/j.ijcard.2006.11.145. Epub 2007 Feb 20. PMID: 17316845.</t>
  </si>
  <si>
    <t>169: Benezet-Mazuecos J, de la Hera J. Peripartum cardiomyopathy: a new successful setting for levosimendan. Int J Cardiol. 2008 Jan 24;123(3):346-7. doi: 10.1016/j.ijcard.2006.11.171. Epub 2007 Feb 26. PMID: 17324479.</t>
  </si>
  <si>
    <t>168: Duygu H, Ozerkan F, Zoghi M, Nalbantgil S, Yildiz A, Akilli A, Akin M, Nazli C, Ergene O. Effect of levosimendan on right ventricular systolic and diastolic functions in patients with ischaemic heart failure. Int J Clin Pract. 2008 Feb;62(2):228-33. doi: 10.1111/j.1742-1241.2007.01510.x. Epub 2007 Oct 19. PMID: 17949428.</t>
  </si>
  <si>
    <t>158: De Keulenaer BL, Jenkins IR. Is there a place for levosimendan in the intensive care unit? Crit Care Resusc. 2008 Mar;10(1):72. PMID: 18304025.</t>
  </si>
  <si>
    <t>157: Heffernan D. Inoprotection review. Anaesth Intensive Care. 2008 Mar;36(2):273; author reply 273-4. PMID: 18361022.</t>
  </si>
  <si>
    <t>156: Follath F. Can we believe in levosimendan? Arq Bras Cardiol. 2008 Mar;90(3):146-7. English, Portuguese. doi: 10.1590/s0066-782x2008000300001. PMID: 18392391.</t>
  </si>
  <si>
    <t>159: Delaney A, Bradford C, McCaffrey J, Bagshaw SM, Lee R. Is there a place for levosimendan in the intensive care unit? Crit Care Resusc. 2008 Mar;10(1):72. PMID: 18304024.</t>
  </si>
  <si>
    <t>152: Yakut N, Yasa H, Bahriye Lafci B, Ortac R, Tulukoglu E, Aksun M, Ozbek C, Gurbuz A. The influence of levosimendan and iloprost on renal ischemia-reperfusion: an experimental study. Interact Cardiovasc Thorac Surg. 2008 Apr;7(2):235-9. doi: 10.1510/icvts.2007.161356. Epub 2007 Dec 3. PMID: 18056154.</t>
  </si>
  <si>
    <t>151: Segreti JA, Marsh KC, Polakowski JS, Fryer RM. Evoked changes in cardiovascular function in rats by infusion of levosimendan, OR-1896 [(R)-N-(4-(4-methyl-6-oxo-1,4,5,6-tetrahydropyridazin-3-yl)phenyl)acetamide], OR-1855 [(R)-6-(4-aminophenyl)-5-methyl-4,5-dihydropyridazin-3(2H)-one], dobutamine, and milrinone: comparative effects on peripheral resistance, cardiac output, dP/dt, pulse rate, and blood pressure. J Pharmacol Exp Ther. 2008 Apr;325(1):331-40. doi: 10.1124/jpet.107.132530. Epub 2008 Jan 2. PMID: 18171907</t>
  </si>
  <si>
    <t>150: Masutani S, Cheng HJ, Hyttilä-Hopponen M, Levijoki J, Heikkilä A, Vuorela A, Little WC, Cheng CP. Orally available levosimendan dose-related positive inotropic and lusitropic effect in conscious chronically instrumented normal and heart failure dogs. J Pharmacol Exp Ther. 2008 Apr;325(1):236-47. doi: 10.1124/jpet.107.134940. Epub 2008 Jan 3. PMID: 18174383.</t>
  </si>
  <si>
    <t>149: Puttonen J, Kantele S, Ruck A, Ramela M, Häkkinen S, Kivikko M, Pentikäinen PJ. Pharmacokinetics of intravenous levosimendan and its metabolites in subjects with hepatic impairment. J Clin Pharmacol. 2008 Apr;48(4):445-54. doi:10.1177/0091270007313390. Epub 2008 Feb 26. PMID: 18303124.</t>
  </si>
  <si>
    <t>148: Katsaragakis S, Kapralou A, Markogiannakis H, Kofinas G, Theodoraki EM, Larentzakis A, Menenakos E, Theodorou D. Preoperative levosimendan in heart failure patients undergoing noncardiac surgery. Neth J Med. 2008 Apr;66(4):154-9. PMID: 18424862.</t>
  </si>
  <si>
    <t>147: Pinto BB, Rehberg S, Ertmer C, Westphal M. Role of levosimendan in sepsis and septic shock. Curr Opin Anaesthesiol. 2008 Apr;21(2):168-77. doi:10.1097/ACO.0b013e3282f43c56. PMID: 18443483.</t>
  </si>
  <si>
    <t>153: Yilmaz MB, Karadas F, Erdem A, Tandogan I. Improvement in Doppler alternans in patients with severe heart failure: Levosimendan versus dobutamin. Int J Cardiol. 2008 Mar 28;125(1):104-6. doi: 10.1016/j.ijcard.2006.12.079. Epub 2007 Apr 10. PMID: 17428556.</t>
  </si>
  <si>
    <t>154: Tavares M, Andrade AC, Mebazaa A. Levosimendan use in several scenarios of acute heart failure. Arq Bras Cardiol. 2008 Mar;90(3):211-5. English, Portuguese. doi: 10.1590/s0066-782x2008000300012. PMID: 18392402.</t>
  </si>
  <si>
    <t>155: Bocchi EA, Vilas-Boas F, Moreira Mda C, Barretto AC, Lage S, Albuquerque D, Baima J, Rassi S, Ribeiro JP; Investigators of BELIEF Study; Heart Failure Working Group of Brazilian Society of Cardiology. Levosimendan in decompensated heart failure patients: efficacy in a Brazilian cohort. Results of the BELIEF study. Arq Bras Cardiol. 2008 Mar;90(3):182-90. English, Portuguese. doi:10.1590/s0066-782x2008000300008. PMID: 18392398.</t>
  </si>
  <si>
    <t>161: Lehmann A, Kiessling AH, Isgro F, Zeitler C, Thaler E, Boldt J. Levosimendan in patients with acute myocardial ischaemia undergoing emergency surgical revascularization. Eur J Anaesthesiol. 2008 Mar;25(3):224-9. doi:10.1017/S0265021507002761. Epub 2007 Sep 25. Retraction in: Eur J Anaesthesiol. 2026 Feb 1;43(2):195. doi: 10.1097/EJA.0000000000002335. PMID: 17892614.</t>
  </si>
  <si>
    <t>160: Yilmaz MB. Levosimendan and ventriculo-arterial coupling. Acta Anaesthesiol Scand. 2008 Mar;52(3):449. doi: 10.1111/j.1399-6576.2007.01542.x. Erratum in: Acta Anaesthesiol Scand. 2008 Jul;52(6):874. Birhan, M [corrected to Yilmaz, Mehmet Birhan]. PMID: 18269404.</t>
  </si>
  <si>
    <t>162: Parissis JT, Karavidas A, Bistola V, Arapi S, Paraskevaidis IA, Farmakis D, Korres D, Filippatos G, Matsakas E, Kremastinos DT. Effects of levosimendan on flow-mediated vasodilation and soluble adhesion molecules in patients with advanced chronic heart failure. Atherosclerosis. 2008 Mar;197(1):278-82. doi:10.1016/j.atherosclerosis.2007.04.023. Epub 2007 Jun 12. PMID: 17568589.</t>
  </si>
  <si>
    <t>163: Jörgensen K, Bech-Hanssen O, Houltz E, Ricksten SE. Effects of levosimendan on left ventricular relaxation and early filling at maintained preload and afterload conditions after aortic valve replacement for aortic stenosis. Circulation. 2008 Feb 26;117(8):1075-81. doi: 10.1161/CIRCULATIONAHA.107.722868. Epub 2008 Feb 11. PMID: 18268152.</t>
  </si>
  <si>
    <t>164: De Luca L, Mebazaa A, Filippatos G, Parissis JT, Böhm M, Voors AA, Nieminen M, Zannad F, Rhodes A, El-Banayosy A, Dickstein K, Gheorghiade M. Overview of emerging pharmacologic agents for acute heart failure syndromes. Eur J Heart Fail. 2008 Feb;10(2):201-13. doi: 10.1016/j.ejheart.2008.01.002. PMID: 18279775.</t>
  </si>
  <si>
    <t>139: Beiras-Fernandez A, Weis FC, Kur F, Kaczmarek I, Schmoeckel M, Weis M, Reichart B. Primary graft failure and Ca2+ sensitizers after heart transplantation. Transplant Proc. 2008 May;40(4):951-2. doi:10.1016/j.transproceed.2008.03.106. PMID: 18555087.</t>
  </si>
  <si>
    <t>140: Manzano-Fernández S, Marín F, Garrido Bravo IP, Pascual Figal DA. Existe un lugar para levosimendán en los servicios de urgencias hospitalarios? [Is there a role for levosimendan in hospital emergency departments?]. Rev Esp Cardiol. 2008 May;61(5):545-6; author reply 546. Spanish. PMID: 18462660.</t>
  </si>
  <si>
    <t>130: Feldman D, Menachemi DM, Abraham WT, Wexler RK. Management strategies for stage-D patients with acute heart failure. Clin Cardiol. 2008 Jul;31(7):297-301. doi: 10.1002/clc.20251. PMID: 17957741; PMCID: PMC2692105.</t>
  </si>
  <si>
    <t>131: Markogiannakis H, Kapralou A, Toufektzian L, Theodorou D, Katsaragakis S. Perioperative cardiac evaluation: the importance of cardiac failure management. South Med J. 2008 Jun;101(6):661-2. doi: 10.1097/SMJ.0b013e3181705861. PMID: 18528222</t>
  </si>
  <si>
    <t>132: Morelli A, Ertmer C, Westphal M. Calcium sensitizing in sepsis: is levosimendan on the right path? Crit Care Med. 2008 Jun;36(6):1981-2. doi: 10.1097/CCM.0b013e318176a807. Erratum in: Crit Care Med. 2008 Oct;36(10):2966. PMID: 18520666.</t>
  </si>
  <si>
    <t>133: Ertmer C, Morelli A, Westphal M. Levo is in the air: take a deep breath! Crit Care Med. 2008 Jun;36(6):1979-81. doi: 10.1097/CCM.0b013e318176aae9. Erratum in: Crit Care Med. 2008 Oct;36(10):2966. PMID: 18520665.</t>
  </si>
  <si>
    <t>135: Boost KA, Hoegl S, Dolfen A, Czerwonka H, Scheiermann P, Zwissler B, Hofstetter C. Inhaled levosimendan reduces mortality and release of proinflammatory mediators in a rat model of experimental ventilator-induced lung injury. Crit Care Med. 2008 Jun;36(6):1873-9. doi: 10.1097/CCM.0b013e3181743e63. PMID: 18496375.</t>
  </si>
  <si>
    <t>134: Nanas S, Gerovasili V, Dimopoulos S, Pierrakos C, Kourtidou S, Kaldara E, Sarafoglou S, Venetsanakos J, Roussos C, Nanas J, Anastasiou-Nana M. Inotropic agents improve the peripheral microcirculation of patients with end-stage chronic heart failure. J Card Fail. 2008 Jun;14(5):400-6. doi:10.1016/j.cardfail.2008.02.001. PMID: 18514932.</t>
  </si>
  <si>
    <t>136: Fries M, Ince C, Rossaint R, Bleilevens C, Bickenbach J, Rex S, Mik EG. Levosimendan but not norepinephrine improves microvascular oxygenation during experimental septic shock. Crit Care Med. 2008 Jun;36(6):1886-91. doi:10.1097/CCM.0b013e31817cede9. PMID: 18496356.</t>
  </si>
  <si>
    <t>137: Parle NM, Thomas MD, Dembo L, Best M, Driscoll GO. Repeated infusions of levosimendan: well tolerated and improves functional capacity in decompensated heart failure - a single-centre experience. Heart Lung Circ. 2008 Jun;17(3):206-10. doi: 10.1016/j.hlc.2007.10.014. Epub 2008 Jan 31. PMID: 18242130</t>
  </si>
  <si>
    <t>138: Yasa H, Yakut N, Emrecan B, Ergunes K, Ortac R, Karahan N, Ozbek C, Gurbuz A. Protective effects of levosimendan and iloprost on lung injury induced by limb ischemia-reperfusion: a rabbit model. J Surg Res. 2008 Jun 1;147(1):138-42. doi: 10.1016/j.jss.2007.08.002. Epub 2007 Sep 11. PMID: 18222476.</t>
  </si>
  <si>
    <t>141: Pérez Vela JL, Corres Peiretti MA, Rubio Regidor M, Hernández Tejedor A, Renes Carreño E, Arribas López P, Gutiérrez Rodríguez J, Perales Rodríguez De Viguri N. Utilidad de levosimendán en la disfunción ventricular postoperatoria del injerto en el trasplante cardiaco [Levosimendan for postoperative ventricular dysfunction following heart transplantation]. Rev Esp Cardiol. 2008 May;61(5):534-9. Spanish. PMID: 18462658.</t>
  </si>
  <si>
    <t>142: Levin RL, Degrange MA, Porcile R, Salvagio F, Blanco N, Botbol AL, Tanus E, del Mazo CD. Superioridad del sensibilizante al calcio levosimendán comparado con dobutamina en el síndrome de bajo gasto cardiaco postoperatorio [The calcium sensitizer levosimendan gives superior results to dobutamine in postoperative low cardiac output syndrome]. Rev Esp Cardiol. 2008 May;61(5):471-9. Spanish. PMID: 18462650.</t>
  </si>
  <si>
    <t>143: Alvarez J. Levosimendán en el síndrome de bajo gasto cardiaco. Disminuye realmente la mortalidad? [Levosimendan and low cardiac output syndrome. Does mortality really decrease? ]. Rev Esp Cardiol. 2008 May;61(5):454-7. Spanish. doi: 10.1157/13119992. PMID: 18462647.</t>
  </si>
  <si>
    <t>144: Monteverde E, Neira P, Farías J. Uso de levosimendan en el shock séptico [Paediatric use of levosimendan in septic shock]. An Pediatr (Barc). 2008 May;68(5):529-30. Spanish. doi: 10.1157/13120058. PMID: 18448005.</t>
  </si>
  <si>
    <t>145: Ersoy O, Budak AB, Mungan U, Tutun U, Parlar AI, Cicekcioglu F, Ulus AT, Katircioglu SF. Levosimendan for ischemic preconditioning in thoracic aortic aneurysm repair. J Card Surg. 2008 May-Jun;23(3):251-3. doi:10.1111/j.1540-8191.2007.00523.x. PMID: 18435642.</t>
  </si>
  <si>
    <t>146: du Toit EF, Genis A, Opie LH, Pollesello P, Lochner A. A role for the RISK pathway and K(ATP) channels in pre- and post-conditioning induced by levosimendan in the isolated guinea pig heart. Br J Pharmacol. 2008 May;154(1):41-50. doi: 10.1038/bjp.2008.52. Epub 2008 Feb 25. PMID: 18297097; PMCID: PMC2438987.</t>
  </si>
  <si>
    <t>126: Robertson IM, Baryshnikova OK, Li MX, Sykes BD. Defining the binding site of levosimendan and its analogues in a regulatory cardiac troponin C-troponin I complex. Biochemistry. 2008 Jul 15;47(28):7485-95. doi: 10.1021/bi800438k. Epub 2008 Jun 21. PMID: 18570382; PMCID: PMC2652250.</t>
  </si>
  <si>
    <t>127: Samimi-Fard S, García-González MJ, Domínguez-Rodríguez A, Abreu-González P. Effects of levosimendan versus dobutamine on long-term survival of patients with cardiogenic shock after primary coronary angioplasty. Int J Cardiol. 2008 Jul 4;127(2):284-7. doi: 10.1016/j.ijcard.2007.04.143. Epub 2007 Jul 23. PMID: 17643519</t>
  </si>
  <si>
    <t>128: Poelzl G, Zwick RH, Grander W, Metzler B, Jonetzko P, Frick M, Ulmer H, Pachinger O, Roithinger FX. Safety and effectiveness of levosimendan in patients with predominant right heart failure. Herz. 2008 Jul;33(5):368-73. doi:10.1007/s00059-008-3051-2. Epub 2008 Sep 5. PMID: 18773157.</t>
  </si>
  <si>
    <t>129: Leppikangas H, Tenhunen JJ, Lindgren L, Salenius JP, Ruokonen E. Effects of levosimendan on indocyanine green plasma disappearance rate and the gastric mucosal-arterial pCO2 gradient in abdominal aortic aneurysm surgery. Acta Anaesthesiol Scand. 2008 Jul;52(6):785-92. doi:10.1111/j.1399-6576.2008.01659.x. Epub 2008 May 12. PMID: 18477074.</t>
  </si>
  <si>
    <t>120: Meyer K, Klocke RC, Schipke JD, Gams E, Korbmacher B. Ca2+ sensitizer superior to catecholamine during myocardial stunning? Eur J Cardiothorac Surg. 2008 Aug;34(2):326-31. doi: 10.1016/j.ejcts.2008.04.042. Epub 2008 Jun 6. PMID: 18539040</t>
  </si>
  <si>
    <t>121: Celik T, Iyisoy A, Yuksel UC, Kardesoglu E. The prolonged lowering effect of levosimendan on brain natriuretic peptide levels in patients with decompansated heart failure: clinical implications. Int J Cardiol. 2008 Aug 1;128(1):97-9; authr reply 100-2. doi: 10.1016/j.ijcard.2008.01.022. Epub 2008 May 22. PMID: 18501448.</t>
  </si>
  <si>
    <t>122: Giamouzis G, Giannakoulas G, Tsarpalis K, Agha SA, Georgiopoulou V, Kalogeropoulos A, Karvounis H, Butler J. Natriuretic peptide-guided levosimendan therapy for heart failure: a promising new approach. Int J Cardiol. 2008 Aug 1;128(1):91-3; author reply 94-6. doi: 10.1016/j.ijcard.2008.01.034. Epub 2008 May 21. PMID: 18495268.</t>
  </si>
  <si>
    <t>123: Ponschab M, Hochmair N, Ghazwinian N, Mueller T, Plöchl W. Levosimendan infusion improves haemodynamics in elderly heart failure patients undergoing urgent hip fracture repair. Eur J Anaesthesiol. 2008 Aug;25(8):627-33. doi:10.1017/S0265021508004080. Epub 2008 Apr 11. PMID: 18405408.</t>
  </si>
  <si>
    <t>124: Vanek T, Kolesar M, Nejedly M, Jirmar R. Rescue peri-operative management of the patient with giant electrical storm and severe left ventricular dysfunction: support by levosimendan and intraaortic balloon counterpulsation. Interact Cardiovasc Thorac Surg. 2008 Aug;7(4):648-50. doi:10.1510/icvts.2008.176883. Epub 2008 Apr 8. PMID: 18397933.</t>
  </si>
  <si>
    <t>125: Cavusoglu Y, Tek M, Birdane A, Ata N, Demirustu C, Gorenek B, Unalir A, Timuralp B. Both levosimendan and dobutamine treatments result in significant reduction of NT-proBNP levels, but levosimendan has better and prolonged neurohormonal effects than dobutamine. Int J Cardiol. 2008 Jul 21;127(3):e188-91. doi: 10.1016/j.ijcard.2007.06.136. Epub 2007 Sep 19. PMID: 17884200</t>
  </si>
  <si>
    <t>116: Beck-da-Silva L, Fuchs FD. BELIEF: believe it or not. Arq Bras Cardiol. 2008 Aug;91(2):119-21. English, Portuguese. doi:10.1590/s0066-782x2008001400011. PMID: 18709264.</t>
  </si>
  <si>
    <t>117: Buerke M, Prondzinsky R. Levosimendan in cardiogenic shock: better than enoximone! Crit Care Med. 2008 Aug;36(8):2450-1. doi:10.1097/CCM.0b013e3181810446. PMID: 18664796.</t>
  </si>
  <si>
    <t>119: Parissis JT, Andreadou I, Bistola V, Paraskevaidis I, Filippatos G, Kremastinos DT. Novel biologic mechanisms of levosimendan and its effect on the failing heart. Expert Opin Investig Drugs. 2008 Aug;17(8):1143-50. doi:10.1517/13543784.17.8.1143. PMID: 18616411.</t>
  </si>
  <si>
    <t>118: Fuhrmann JT, Schmeisser A, Schulze MR, Wunderlich C, Schoen SP, Rauwolf T, Weinbrenner C, Strasser RH. Levosimendan is superior to enoximone in refractory cardiogenic shock complicating acute myocardial infarction. Crit Care Med. 2008 Aug;36(8):2257-66. doi: 10.1097/CCM.0b013e3181809846. Erratum in: Crit Care Med. 2008 Oct;36(10):2966. PMID: 18664782.</t>
  </si>
  <si>
    <t>107: Meyer K, Schipke JD, Klocke RC, Gams E, Korbmacher B. Inotropic, vasodilating and preconditioning actions of levosimendan in the heart. Thorac Cardiovasc Surg. 2008 Oct;56(7):379-85. doi: 10.1055/s-2008-1038729. Epub 2008 Sep 22. PMID: 18810693.</t>
  </si>
  <si>
    <t>106: Järvelä K, Maaranen P, Sisto T, Ruokonen E. Levosimendan in aortic valve surgery: cardiac performance and recovery. J Cardiothorac Vasc Anesth. 2008 Oct;22(5):693-8. doi: 10.1053/j.jvca.2008.01.024. PMID: 18922425.</t>
  </si>
  <si>
    <t>105: De Hert SG, Lorsomradee S, vanden Eede H, Cromheecke S, Van der Linden PJ. A randomized trial evaluating different modalities of levosimendan administration in cardiac surgery patients with myocardial dysfunction. J Cardiothorac Vasc Anesth. 2008 Oct;22(5):699-705. doi:10.1053/j.jvca.2008.02.019. Epub 2008 May 14. Retraction in: J Cardiothorac Vasc Anesth. 2011 Oct;25(5):897. doi: 10.1053/j.jvca.2011.07.035. PMID: 18922426.</t>
  </si>
  <si>
    <t>111: De Keulenaer BL. The case for levosimendan. Crit Care Resusc. 2008 Sep;10(3):180. PMID: 18798714.</t>
  </si>
  <si>
    <t>110: Sterba M, Banerjee A, Mudaliar Y. Prospective observational study of levosimendan and weaning of difficult-to-wean ventilator dependent intensive care patients. Crit Care Resusc. 2008 Sep;10(3):182-6. PMID: 18798715.</t>
  </si>
  <si>
    <t>109: De Santis V, Vitale D, Tritapepe L, Greco C, Pietropaoli P. Use of levosimendan for cardiogenic shock in a patient with the apical ballooning syndrome. Ann Intern Med. 2008 Sep 2;149(5):365-7. doi:10.7326/0003-4819-149-5-200809020-00028. PMID: 18765717.</t>
  </si>
  <si>
    <t>108: Duygu H, Turk U, Ozdogan O, Akyuz S, Kirilmaz B, Alioglu E, Gunduz R, Bozkaya YT, Turkoglu C, Payzin S. Levosimendan versus dobutamine in heart failure patients treated chronically with carvedilol. Cardiovasc Ther. 2008 Fall;26(3):182-8. doi: 10.1111/j.1755-5922.2008.00050.x. PMID: 18786088.</t>
  </si>
  <si>
    <t>97: Cicekcioglu F, Parlar AI, Altinay L, Yay K, Katircioglu SF. Tricuspid valve replacement and levosimendan. Gen Thorac Cardiovasc Surg. 2008 Nov;56(11):559-62. doi: 10.1007/s11748-008-0298-8. Epub 2008 Nov 12. PMID: 19002757</t>
  </si>
  <si>
    <t>96: Cicekcioglu F, Parlar AI, Ersoy O, Yay K, Hijazi A, Katircioglu SF. Levosimendan and severe pulmonary hypertension during open heart surgery. Gen Thorac Cardiovasc Surg. 2008 Nov;56(11):563-5. doi: 10.1007/s11748-008-0301-4. Epub 2008 Nov 12. PMID: 19002758.</t>
  </si>
  <si>
    <t>98: Sareila O, Korhonen R, Auvinen H, Hämäläinen M, Kankaanranta H, Nissinen E, Moilanen E. Effects of levo- and dextrosimendan on NF-kappaB-mediated transcription, iNOS expression and NO production in response to inflammatory stimuli. Br J Pharmacol. 2008 Nov;155(6):884-95. doi: 10.1038/bjp.2008.328. Epub 2008 Aug 18. PMID: 19002103; PMCID: PMC2597247.</t>
  </si>
  <si>
    <t>99: Homs S, González-Costello J. Superioridad del levosimendán comparado con dobutamina en el síndrome de bajo gasto cardiaco postoperatorio. Se debe al tratamiento previo con bloqueadores beta? [Superiority of levosimendan to dobutamine in postoperative low cardiac output syndrome: is it due to previous beta-blocker treatment?]. Rev Esp Cardiol. 2008 Nov;61(11):1225; author reply 1225-6. Spanish. PMID: 19000504.</t>
  </si>
  <si>
    <t>100: Paraskevaidis IA, Bistola V, Ikonomidis I, Parissis JT, Papadopoulos C, Filippatos G, Kremastinos DT. Usefulness of dobutamine-induced changes of the two-dimensional longitudinal deformation predict clinical and neurohumoral improvement in men after levosimendan treatment in acutely decompensated chronic heart failure. Am J Cardiol. 2008 Nov 1;102(9):1225-9. doi:10.1016/j.amjcard.2008.06.060. Epub 2008 Sep 4. PMID: 18940297.</t>
  </si>
  <si>
    <t>101: Unzek S, Francis GS. Management of heart failure: a brief review and selected update. Cardiol Clin. 2008 Nov;26(4):561-71. doi:10.1016/j.ccl.2008.06.001. PMID: 18929231.</t>
  </si>
  <si>
    <t>102: To AC, Looi KL, Damianovich D, Taylor GB, Sidebotham D, White HD. A case of cardiogenic shock caused by capecitabine treatment. Nat Clin Pract Cardiovasc Med. 2008 Nov;5(11):725-9. doi: 10.1038/ncpcardio1352. Epub 2008 Sep 23. PMID: 18813211</t>
  </si>
  <si>
    <t>103: Hitz MP, Bertram H, Köditz H, Görler H, Happel CM, Wessel A, Yelbuz TM. Levosimendan for bridging in a pediatric patient with Alström syndrome awaiting heart-lung transplantation. Clin Res Cardiol. 2008 Nov;97(11):846-8. doi:10.1007/s00392-008-0691-4. Epub 2008 Jul 16. PMID: 18633565.</t>
  </si>
  <si>
    <t>112: Cianfrocca C, Pelliccia F, Pasceri V, Auriti A, Guido V, Mercuro G, Santini M. Strain rate analysis and levosimendan improve detection of myocardial viability by dobutamine echocardiography in patients with post-infarction left ventricular dysfunction: a pilot study. J Am Soc Echocardiogr. 2008 Sep;21(9):1068-74. doi: 10.1016/j.echo.2008.03.002. Epub 2008 Apr 25. PMID: 18440201</t>
  </si>
  <si>
    <t>113: Dominguez-Rodriguez A, Samimi-Fard S, Garcia-Gonzalez MJ, Abreu-Gonzalez P. Effects of levosimendan versus dobutamine on left ventricular diastolic function in patients with cardiogenic shock after primary angioplasty. Int J Cardiol. 2008 Aug 18;128(2):214-7. doi: 10.1016/j.ijcard.2007.05.018. Epub 2007 Jul 23. PMID: 17643535.</t>
  </si>
  <si>
    <t>115: Rosa EM, Osório AP, Scopel L. Levosimendan in patients with decompensated heart failure. Arq Bras Cardiol. 2008 Aug;91(2):119. English, Portuguese. doi:10.1590/s0066-782x2008001400010. PMID: 18709265.</t>
  </si>
  <si>
    <t>114: Harjola VP, Oikarinen L, Toivonen L, Jurkko R, Puttonen J, Sarapohja T, Sundberg S, Nieminen MS. The hemodynamic and pharmacokinetic interactions between chronic use of oral levosimendan and digoxin in patients with NYHA Classes II-III heart failure. Int J Clin Pharmacol Ther. 2008 Aug;46(8):389-99. doi: 10.5414/cpp46389. PMID: 18793580.</t>
  </si>
  <si>
    <t>94: Endoh M. Cardiac Ca2+ signaling and Ca2+ sensitizers. Circ J. 2008 Dec;72(12):1915-25. doi: 10.1253/circj.cj-08-0838. Epub 2008 Nov 4. PMID: 18981594</t>
  </si>
  <si>
    <t>95: Nieminen MS, Cleland JG, Eha J, Belenkov Y, Kivikko M, Põder P, Sarapohja T. Oral levosimendan in patients with severe chronic heart failure --the PERSIST study. Eur J Heart Fail. 2008 Dec;10(12):1246-54. doi:10.1016/j.ejheart.2008.09.006. Epub 2008 Oct 21. PMID: 18945637.</t>
  </si>
  <si>
    <t>93: Schirmer U. Ist alles sinnvoll, was machbar ist? : Koronare Bypasschirurgie am wachen Patienten - ein Verfahren mit Zukunft? [Is everything which is feasible also sensible?: coronary artery bypass grafting in conscious patients -- a procedure with a perspective?]. Anaesthesist. 2008 Dec;57(12):1141-3. German. doi: 10.1007/s00101-008-1480-1. PMID: 19043685.</t>
  </si>
  <si>
    <t>92: Duygu H, Nalbantgil S, Ozerkan F, Zoghi M, Akilli A, Erturk U, Akin M, Nazli C, Ergene O. Effects of levosimendan on left atrial functions in patients with ischemic heart failure. Clin Cardiol. 2008 Dec;31(12):607-13. doi:10.1002/clc.20332. PMID: 19072879; PMCID: PMC6653113.</t>
  </si>
  <si>
    <t>91: Kota B, Prasad AS, Economides C, Singh BN. Levosimendan and calcium sensitization of the contractile proteins in cardiac muscle: impact on heart failure. J Cardiovasc Pharmacol Ther. 2008 Dec;13(4):269-78. doi:10.1177/1074248408324550. PMID: 19087950.</t>
  </si>
  <si>
    <t>90: Kleber FX, Bollmann T, Borst MM, Costard-Jäckle A, Ewert R, Kivikko M, Petterson T, Pohjanjousi P, Sonntag S, Wikström G. Repetitive dosing of intravenous levosimendan improves pulmonary hemodynamics in patients with pulmonary hypertension: results of a pilot study. J Clin Pharmacol. 2009 Jan;49(1):109-15. doi: 10.1177/0091270008325150. Epub 2008 Nov 3. PMID: 18981240</t>
  </si>
  <si>
    <t>86: Tagarakis GI, Tsilimingas NB. Levosimendan for heart-operated patients: what is the state of the art? Recent Pat Cardiovasc Drug Discov. 2009 Jan;4(1):22-4. doi: 10.2174/157489009787260052. PMID: 19149702.</t>
  </si>
  <si>
    <t>87: Kass DA. Rescuing a failing heart: putting on the squeeze. Nat Med. 2009 Jan;15(1):24-5. doi: 10.1038/nm0109-24. Erratum in: Nat Med. 2009 Feb;15(2):220. PMID: 19129779.</t>
  </si>
  <si>
    <t>88: Erbüyün K, Vatansever S, Tok D, Ok G, Türköz E, Aydede H, Erhan Y, Tekin I. Effects of levosimendan and dobutamine on experimental acute lung injury in rats. Acta Histochem. 2009;111(5):404-14. doi: 10.1016/j.acthis.2008.09.010. Epub 2008 Nov 21. PMID: 19027145.</t>
  </si>
  <si>
    <t>89: van Hees HW, Dekhuijzen PN, Heunks LM. Levosimendan enhances force generation of diaphragm muscle from patients with chronic obstructive pulmonary disease. Am J Respir Crit Care Med. 2009 Jan 1;179(1):41-7. doi:10.1164/rccm.200805-732OC. Epub 2008 Oct 31. PMID: 18990676.</t>
  </si>
  <si>
    <t>85: Grossini E, Molinari C, Caimmi PP, Uberti F, Vacca G. Levosimendan induces NO production through p38 MAPK, ERK and Akt in porcine coronary endothelial cells: role for mitochondrial K(ATP) channel. Br J Pharmacol. 2009 Jan;156(2):250-61. doi: 10.1111/j.1476-5381.2008.00024.x. Epub 2009 Jan 16. PMID: 19154424; PMCID: PMC2697838.</t>
  </si>
  <si>
    <t>84: Yilmaz MB, Yontar C, Erdem A, Karadas F, Yalta K, Turgut OO, Yilmaz A, Tandogan I. Comparative effects of levosimendan and dobutamine on right ventricular function in patients with biventricular heart failure. Heart Vessels. 2009 Jan;24(1):16-21. doi: 10.1007/s00380-008-1077-2. Epub 2009 Jan 23. PMID: 19165563.</t>
  </si>
  <si>
    <t>83: Tsagalou EP, Kanakakis J, Anastasiou-Nana MI, Drakos SG, Ntalianis AS, Malliaras K, Lazaris N, Katsaros F, Nanas JN. Hemodynamic effects of levosimendan in acute myocardial infarction complicated by cardiogenic shock and high systemic vascular resistance. Acute Card Care. 2009;11(2):99-106. doi:10.1080/17482940902807286. PMID: 19353405.</t>
  </si>
  <si>
    <t>82: Kurt IH. Use of levosimendan in patients with ischemic heart disease following mechanical reperfusion. Surg Today. 2009;39(5):381-6. doi:10.1007/s00595-008-3869-5. Epub 2009 Apr 30. PMID: 19408074.</t>
  </si>
  <si>
    <t>81: Moyano AP, Hidalgo RL, Grande DB, Morales SC. Utilidad de Levosimendán en insuficiencia cardíaca aguda y su efecto sobre la función renal [Use of levosimendan in acute heart failure and its effect on renal function]. Nefrologia. 2009;29(6):616-7. Spanish. doi:10.3265/Nefrologia.2009.29.6.5610.en.full. PMID: 19936016.</t>
  </si>
  <si>
    <t>80: Tritapepe L, De Santis V, Vitale D, Guarracino F, Pellegrini F, Pietropaoli P, Singer M. Levosimendan pre-treatment improves outcomes in patients undergoing coronary artery bypass graft surgery. Br J Anaesth. 2009 Feb;102(2):198-204. doi: 10.1093/bja/aen367. PMID: 19151048.</t>
  </si>
  <si>
    <t>79: Augoustides JG. The year in cardiothoracic and vascular anesthesia: selected highlights from 2008. J Cardiothorac Vasc Anesth. 2009 Feb;23(1):1-7. doi:10.1053/j.jvca.2008.11.003. PMID: 19159841.</t>
  </si>
  <si>
    <t>78: Eriksson HI, Jalonen JR, Heikkinen LO, Kivikko M, Laine M, Leino KA, Kuitunen AH, Kuttila KT, Peräkylä TK, Sarapohja T, Suojaranta-Ylinen RT, Valtonen M, Salmenperä MT. Levosimendan facilitates weaning from cardiopulmonary bypass in patients undergoing coronary artery bypass grafting with impaired left ventricular function. Ann Thorac Surg. 2009 Feb;87(2):448-54. doi: 10.1016/j.athoracsur.2008.10.029. PMID: 19161758.</t>
  </si>
  <si>
    <t>77: Drakos SG, Kanakakis JV, Nanas S, Bonios M, Kaldara E, Katsaros F, Pantsios C, Nanas JN. Intermittent inotropic infusions combined with prophylactic oral amiodarone for patients with decompensated end-stage heart failure. J Cardiovasc Pharmacol. 2009 Feb;53(2):157-61. doi: 10.1097/FJC.0b013e31819846cd. PMID: 19188832</t>
  </si>
  <si>
    <t>76: Torrado H, Ventura JL, Ruiz-Majoral A, Farrero E, Rodriguez-Castro D, Carrio ML, Miralles A. Levosimendan in heart failure after surgical repair of cardiac rupture. Minerva Cardioangiol. 2009 Feb;57(1):137-8. PMID: 19202525.</t>
  </si>
  <si>
    <t>75: Antoniades C, Antonopoulos AS, Tousoulis D, Bakogiannis C, Stefanadi E, Stefanadis C. Relationship between the pharmacokinetics of levosimendan and its effects on cardiovascular system. Curr Drug Metab. 2009 Feb;10(2):95-103. doi:10.2174/138920009787522142. PMID: 19275545.</t>
  </si>
  <si>
    <t>69: Berthelsen PG. Levosimendan or enoximone in refractory cardiogenic shock? Crit Care Med. 2009 Mar;37(3):1182. doi: 10.1097/CCM.0b013e3181959be4. PMID: 19237971</t>
  </si>
  <si>
    <t>70: Rijnders BJ. Evaluation of 30-day mortality of levosimendan versus enoximone. Crit Care Med. 2009 Mar;37(3):1181-2. doi:10.1097/CCM.0b013e3181959b4e. PMID: 19237968.</t>
  </si>
  <si>
    <t>71: Varpula T, Rapola J, Sallisalmi M, Kurola J. Treatment of serious calcium channel blocker overdose with levosimendan, a calcium sensitizer. Anesth Analg. 2009 Mar;108(3):790-2. doi: 10.1213/ane.0b013e3181931737. PMID: 19224785.</t>
  </si>
  <si>
    <t>72: Abraham MK, Scott SB, Meltzer A, Barrueto F Jr. Levosimendan does not improve survival time in a rat model of verapamil toxicity. J Med Toxicol. 2009 Mar;5(1):3-7. doi: 10.1007/BF03160973. PMID: 19191208; PMCID: PMC3550339.</t>
  </si>
  <si>
    <t>73: Mebazaa A, Nieminen MS, Filippatos GS, Cleland JG, Salon JE, Thakkar R, Padley RJ, Huang B, Cohen-Solal A. Levosimendan vs. dobutamine: outcomes for acute heart failure patients on beta-blockers in SURVIVE. Eur J Heart Fail. 2009 Mar;11(3):304-11. doi: 10.1093/eurjhf/hfn045. Epub 2009 Jan 21. PMID: 19158152; PMCID: PMC2645051.</t>
  </si>
  <si>
    <t>74: Silva-Cardoso J, Ferreira J, Oliveira-Soares A, Martins-de-Campos J, Fonseca C, Lousada N, Ilídio-Moreira J, Rabaçal C, Damasceno A, Amorim S, Seabra-Gomes R, Ferreira R, Abreu-Lima C; PORTLAND Investigators. Effectiveness and safety of levosimendan in clinical practice. Rev Port Cardiol. 2009 Feb;28(2):143-54. PMID: 19438150.</t>
  </si>
  <si>
    <t>65: Nieminen MS, Pollesello P, Vajda G, Papp Z. Effects of levosimendan on the energy balance: preclinical and clinical evidence. J Cardiovasc Pharmacol. 2009 Apr;53(4):302-10. doi: 10.1097/FJC.0b013e31819c9a17. PMID: 19276987.</t>
  </si>
  <si>
    <t>66: Hauer D, Beiras-Fernandez A, Kur F, Weis M, Schmoeckel M, Weis FC. The management of severe primary graft failure after cardiac transplantation. J Cardiothorac Vasc Anesth. 2009 Apr;23(2):203-5. doi: 10.1053/j.jvca.2007.12.010. Epub 2008 Mar 14. PMID: 18834785.</t>
  </si>
  <si>
    <t>67: Eksert B, Usta C. Role of potassium channels in the relaxant effect of levosimendan in guinea pig tracheal preparations. Pharmacol Rep. 2009 Mar-Apr;61(2):275-80. doi: 10.1016/s1734-1140(09)70032-5. PMID: 19443939.</t>
  </si>
  <si>
    <t>68: Meaudre E, Jego C, Goutorbe P, Bordes J, Asencio Y, Montcriol A, Kenane N, Palmier B. Weaning failure from mechanical ventilation due to dilated cardiomyopathy: successful use of levosimendan. Acta Anaesthesiol Scand. 2009 Mar;53(3):416-7. doi: 10.1111/j.1399-6576.2008.01878.x. PMID: 19243345.</t>
  </si>
  <si>
    <t>64: Duygu H, Nalbantgil S, Zoghi M, Ozerkan F, Yildiz A, Akilli A, Akin M. Comparison of ischemic side effects of levosimendan and dobutamine with integrated backscatter analysis. Clin Cardiol. 2009 Apr;32(4):187-92. doi:10.1002/clc.20313. PMID: 19353707; PMCID: PMC6653069.</t>
  </si>
  <si>
    <t>60: Forrest P. Anaesthesia and right ventricular failure. Anaesth Intensive Care. 2009 May;37(3):370-85. doi: 10.1177/0310057X0903700314. PMID: 19499856.</t>
  </si>
  <si>
    <t>59: Grazi M, Lauri G, Carbucicchio C, Marenzi G. Use of levosimendan for treatment of cardiogenic shock associated with electrical storm. Ann Intern Med. 2009 May 19;150(10):738-40. doi: 10.7326/0003-4819-150-10-200905190-00024. PMID: 19451590</t>
  </si>
  <si>
    <t>58: Osthaus WA, Boethig D, Winterhalter M, Huber D, Goerler H, Sasse M, Sümpelmann R. First experiences with intraoperative Levosimendan in pediatric cardiac surgery. Eur J Pediatr. 2009 Jun;168(6):735-40. doi:10.1007/s00431-008-0834-7. Epub 2008 Sep 24. PMID: 18813947.</t>
  </si>
  <si>
    <t>49: Kamath SR, Jaykumar I, Matha S. Levosimendan. Indian Pediatr. 2009 Jul;46(7):593-6. PMID: 19638658.</t>
  </si>
  <si>
    <t>51: Westaby S, Shahir A, Sadler G, Flynn F, Ormerod O. Mechanical bridge to recovery in pheochromocytoma myocarditis. Nat Rev Cardiol. 2009 Jul;6(7):482-7. doi: 10.1038/nrcardio.2009.58. PMID: 19554007.</t>
  </si>
  <si>
    <t>53: Hoffman RM, Sykes BD. Structure of the inhibitor W7 bound to the regulatory domain of cardiac troponin C. Biochemistry. 2009 Jun 23;48(24):5541-52. doi:10.1021/bi9001826. PMID: 19419198; PMCID: PMC2697600.</t>
  </si>
  <si>
    <t>54: Aksun M, Karahan N, Adanir T, Aran G, Yetkin U, Oztürk T, Sencan A, Ozgürbüz U, Gürbüz A. Timing of levosimendan in cardiac surgery. Anadolu Kardiyol Derg. 2009 Jun;9(3):223-30. PMID: 19520657.</t>
  </si>
  <si>
    <t>55: van den Brule J, Hoedemaekers C, Pickkers P. Clinical outcome benefits of pretreatment with levosimendan. Br J Anaesth. 2009 Jun;102(6):883-4; author reply 884. doi: 10.1093/bja/aep115. PMID: 19451156.</t>
  </si>
  <si>
    <t>56: Triposkiadis F, Parissis JT, Starling RC, Skoularigis J, Louridas G. Current drugs and medical treatment algorithms in the management of acute decompensated heart failure. Expert Opin Investig Drugs. 2009 Jun;18(6):695-707. doi:10.1517/13543780902922660. PMID: 19426120.</t>
  </si>
  <si>
    <t>52: Cohen-Solal A, Logeart D, Huang B, Cai D, Nieminen MS, Mebazaa A. Lowered B-type natriuretic peptide in response to levosimendan or dobutamine treatment is associated with improved survival in patients with severe acutely decompensated heart failure. J Am Coll Cardiol. 2009 Jun 23;53(25):2343-8. doi:10.1016/j.jacc.2009.02.058. PMID: 19539144.</t>
  </si>
  <si>
    <t>50: Papadopoulou EF, Mavrogeni SI, Dritsas A, Cokkinos DV. Assessment of quality of life using three activity questionnaires in heart failure patients after monthly, intermittent administration of levosimendan during a six-month period. Hellenic J Cardiol. 2009 Jul-Aug;50(4):269-74. PMID: 19622496.</t>
  </si>
  <si>
    <t>63: Magliola R, Moreno G, Vassallo JC, Landry LM, Althabe M, Balestrini M, Charroqui A, Salgado G, Lataza E, Chang AC. Levosimendán, un nuevo agente inotrópico: experiencia en niños con fallo cardíaco agudo [Levosimendan, a new inotropic drug: experience in children with acute heart failure]. Arch Argent Pediatr. 2009 Apr;107(2):139-45. Spanish. doi: 10.1590/S0325-00752009000200008. PMID: 19452086.</t>
  </si>
  <si>
    <t>62: Weis F, Beiras-Fernandez A, Kaczmarek I, Sodian R, Kur F, Weis M, Schmoeckel M, Reichart B. Levosimendan: a new therapeutic option in the treatment of primary graft dysfunction after heart transplantation. J Heart Lung Transplant. 2009 May;28(5):501-4. doi: 10.1016/j.healun.2009.01.017. Epub 2009 Mar 14. PMID: 19416780</t>
  </si>
  <si>
    <t>61: Katsaragakis S, Kapralou A, Drimousis P, Markogiannakis H, Larentzakis A, Kofinas G, Misthos P, Filis K, Theodorou D. Prophylactic preoperative levosimendan administration in heart failure patients undergoing elective non-cardiac surgery: a preliminary report. Hellenic J Cardiol. 2009 May-Jun;50(3):185-92. PMID: 19465359.</t>
  </si>
  <si>
    <t>57: Cavusoglu Y, Beyaztas A, Birdane A, Ata N. Levosimendan is not effective in reducing pulmonary pressures in patients with idiopathic pulmonary arterial hypertension: report of two cases. J Cardiovasc Med (Hagerstown). 2009 Jun;10(6):503-7. doi: 10.2459/JCM.0b013e32832aa873. PMID: 19346968.</t>
  </si>
  <si>
    <t>48: Kirlidis TT, Skoularigis J, Tsaknakis KT, Karayiannis G, Tsaknakis TK, Triposkiadis F. The influence of beta-blockade on the hemodynamic effects of levosimendan in elderly (&gt;or= 70 years) patients with acutely decompensated systolic heart failure. Int J Clin Pharmacol Ther. 2009 Jul;47(7):454-9. doi:10.5414/cpp47454. PMID: 19640352.</t>
  </si>
  <si>
    <t>47: Brezina A, Riha H, Pirk J. Prophylactic application of levosimendan in cardiac surgical patients with severe left ventricle dysfunction. Exp Clin Cardiol. 2009 Summer;14(2):e31-4. PMID: 19675817; PMCID: PMC2722457.</t>
  </si>
  <si>
    <t>45: Ambrosio G, Di Lenarda A, Fedele F, Gabrielli D, Metra M, Oliva F, Perna G, Senni M, De Maria R. Terapia con inotropi nello scompenso cardiaco acuto: rivisitazione critica delle evidenze scientifiche e cliniche per levosimendan nel contesto del trattamento tradizionale [Inotrope therapy in acute heart failure: a critical review of clinical and scientific evidence for levosimendan in the context of traditional treatment]. G Ital Cardiol (Rome). 2009 Jul;10(7):422-33. Italian. PMID: 19761100.</t>
  </si>
  <si>
    <t>46: Xanthos T, Bassiakou E, Koudouna E, Rokas G, Goulas S, Dontas I, Kouskouni E, Perrea D, Papadimitriou L. Combination pharmacotherapy in the treatment of experimental cardiac arrest. Am J Emerg Med. 2009 Jul;27(6):651-9. doi:10.1016/j.ajem.2008.05.004. PMID: 19751621.</t>
  </si>
  <si>
    <t>44: Szabo S, Oikonomopoulos T, Hoffmeister HM. Myocarditis. N Engl J Med. 2009 Jul 23;361(4):423; author reply 423-4. PMID: 19630149.</t>
  </si>
  <si>
    <t>43: Zangrillo A, Biondi-Zoccai G, Mizzi A, Bruno G, Bignami E, Gerli C, De Santis V, Tritapepe L, Landoni G. Levosimendan reduces cardiac troponin release after cardiac surgery: a meta-analysis of randomized controlled studies. J Cardiothorac Vasc Anesth. 2009 Aug;23(4):474-8. doi: 10.1053/j.jvca.2008.11.013. Epub 2009 Feb 12. PMID: 19217315.</t>
  </si>
  <si>
    <t>42: Scheiermann P, Ahluwalia D, Hoegl S, Dolfen A, Revermann M, Zwissler B, Muhl H, Boost KA, Hofstetter C. Effects of intravenous and inhaled levosimendan in severe rodent sepsis. Intensive Care Med. 2009 Aug;35(8):1412-9. doi:10.1007/s00134-009-1481-9. Epub 2009 Apr 15. PMID: 19367398.</t>
  </si>
  <si>
    <t>37: Landoni G, Zambon M, Zangrillo A. Reducing perioperative myocardial infarction with anesthetic drugs and techniques. Curr Drug Targets. 2009 Sep;10(9):858-62. doi: 10.2174/138945009789108837. Epub 2009 Sep 1. PMID: 19538174</t>
  </si>
  <si>
    <t>38: Tamargo J, Caballero R, Gómez R, Barana A, Amorós I, Delpón E. Investigational positive inotropic agents for acute heart failure. Cardiovasc Hematol Disord Drug Targets. 2009 Sep;9(3):193-205. doi:10.2174/187152909789007070. PMID: 19534658.</t>
  </si>
  <si>
    <t>39: de March Ronsoni R, Feijó RV Jr, Melo LH, Schwingel FL, Filho WJ, de Albernaz Muniz RZ, Weber S, Moro A. The use of Levosimendan for myocardiopathy due to acute Chagas' disease. Int J Cardiol. 2009 Aug 14;136(2):233-5. doi:10.1016/j.ijcard.2008.04.043. Epub 2008 Jul 26. PMID: 18662834.</t>
  </si>
  <si>
    <t>40: Salmenperä M, Eriksson H. Levosimendan in perioperative and critical care patients. Curr Opin Anaesthesiol. 2009 Aug;22(4):496-501. doi:10.1097/ACO.0b013e32832c5269. PMID: 19502977.</t>
  </si>
  <si>
    <t>41: Hein M, Roehl AB, Baumert JH, Scherer K, Steendijk P, Rossaint R. Anti-ischemic effects of inotropic agents in experimental right ventricular infarction. Acta Anaesthesiol Scand. 2009 Aug;53(7):941-8. doi:10.1111/j.1399-6576.2009.01994.x. Epub 2009 May 6. PMID: 19426242.</t>
  </si>
  <si>
    <t>18: De Backer D, Bracht H. Levosimendan in early sepsis: when good ideas give poor results. Anesth Analg. 2009 Nov;109(5):1367-9. doi:10.1213/ANE.0b013e3181b9e91a. PMID: 19843771.</t>
  </si>
  <si>
    <t>17: Aksel'rod BA, Tolstova IA, Trekova NA, Kolpakov PE, Babaev MA, Belianko IE. [Impact of preoperative levosimendan therapy on the volemic status and vascular tone of patients with chronic heart failure during anesthesia]. Anesteziol Reanimatol. 2009 Nov-Dec;(6):46-51. Russian. PMID: 20099648.</t>
  </si>
  <si>
    <t>16: Parissis JT, Rafouli-Stergiou P, Paraskevaidis I, Mebazaa A. Levosimendan: from basic science to clinical practice. Heart Fail Rev. 2009 Dec;14(4):265-75. doi: 10.1007/s10741-008-9128-4. Epub 2008 Dec 20. PMID: 19101796.</t>
  </si>
  <si>
    <t>15: Kolseth SM, Nordhaug DO, Stenseth R, Sellevold O, Kirkeby-Garstad I, Wahba A. Prophylactic treatment with levosimendan: a retrospective matched-control study of patients with reduced left ventricular function. Eur J Cardiothorac Surg. 2009 Dec;36(6):1024-30. doi: 10.1016/j.ejcts.2009.05.001. Epub 2009 Jul 9. PMID: 19592266.</t>
  </si>
  <si>
    <t>20: Cunha-Goncalves D, Perez-de-Sa V, Grins E, Dahm PL, Thörne J, Blomquist S. Inotropic support during experimental endotoxemic shock: part I. The effects of levosimendan on splanchnic perfusion. Anesth Analg. 2009 Nov;109(5):1568-75. doi: 10.1213/ane.0b013e3181af3fe3. Epub 2009 Aug 27. PMID: 19713249.</t>
  </si>
  <si>
    <t>19: Cunha-Goncalves D, Perez-de-Sa V, Larsson A, Thörne J, Blomquist S. Inotropic support during experimental endotoxemic shock: part II. A comparison of levosimendan with dobutamine. Anesth Analg. 2009 Nov;109(5):1576-83. doi:10.1213/ane.0b013e3181af40e0. Epub 2009 Aug 27. PMID: 19713252.</t>
  </si>
  <si>
    <t>21: Rieg AD, Schroth SC, Grottke O, Hein M, Ackermann D, Rossaint R, Schälte G. Influence of temperature on the positive inotropic effect of levosimendan, dobutamine and milrinone. Eur J Anaesthesiol. 2009 Nov;26(11):946-53. doi:10.1097/EJA.0b013e328330e9a0. PMID: 19687740.</t>
  </si>
  <si>
    <t>22: Xu ZD, He WX, Zhao YF, Xia SX, He B, Yang T, Cao DX, Peng SL, Li J, Cao MH. [Effect of levosimendan on B-type natriuretic peptide levels in patients with advanced heart failure: a meta-analysis]. Nan Fang Yi Ke Da Xue Xue Bao. 2009 Oct;29(10):2027-9. Chinese. PMID: 19861257.</t>
  </si>
  <si>
    <t>23: Mirkhani H, Shafa M, Khazraei H. Comparison of the effects of levosimendan and papaverine on human internal mammary artery and saphenous vein. Cardiovasc Drugs Ther. 2009 Oct;23(5):355-9. doi: 10.1007/s10557-009-6197-0. PMID: 19826938</t>
  </si>
  <si>
    <t>24: Duman D, Palit F, Simsek E, Bilgehan K, Sacide A. Effects of levosimendan versus dobutamine on left atrial function in decompensated heart failure. Can J Cardiol. 2009 Oct;25(10):e353-6. doi: 10.1016/s0828-282x(09)70721-4. PMID: 19812809; PMCID: PMC2782509.</t>
  </si>
  <si>
    <t>25: Latva-Hirvelä J, Kytö V, Saraste A, Vuorinen T, Levijoki J, Saukko P. Effects of levosimendan in experimental acute coxsackievirus myocarditis. Eur J Clin Invest. 2009 Oct;39(10):876-82. doi: 10.1111/j.1365-2362.2009.02202.x. PMID: 19772522.</t>
  </si>
  <si>
    <t>26: Parissis JT, Filippatos G. Levosimendan in viral myocarditis: not only an inodilator but also a cardioprotector? Eur J Clin Invest. 2009 Oct;39(10):839-40. doi: 10.1111/j.1365-2362.2009.02204.x. PMID: 19772520.</t>
  </si>
  <si>
    <t>27: Louhelainen M, Vahtola E, Forsten H, Merasto S, Kytö V, Finckenberg P, Leskinen H, Kaheinen P, Tikkanen I, Levijoki J, Mervaala E. Oral levosimendan prevents postinfarct heart failure and cardiac remodeling in diabetic Goto-Kakizaki rats. J Hypertens. 2009 Oct;27(10):2094-107. doi:10.1097/HJH.0b013e32832f0ce4. PMID: 19730126.</t>
  </si>
  <si>
    <t>28: Liu T, Li G, Xu G. Levosimendan may prevent postoperative atrial fibrillation through anti-inflammatory and antioxidant modulation. J Cardiothorac Vasc Anesth. 2009 Oct;23(5):757-8. doi: 10.1053/j.jvca.2008.09.022. Epub 2008 Dec 19. PMID: 19101169.</t>
  </si>
  <si>
    <t>29: Follath F. Newer treatments for decompensated heart failure: focus on levosimendan. Drug Des Devel Ther. 2009 Sep 21;3:73-8. doi: 10.2147/dddt.s3097. PMID: 19920923; PMCID: PMC2769227.</t>
  </si>
  <si>
    <t>30: Louhelainen M, Merasto S, Finckenberg P, Vahtola E, Kaheinen P, Leskinen H, Levijoki J, Pollesello P, Haikala H, Mervaala EM. Effects of calcium sensitizer OR-1986 on a cardiovascular mortality and myocardial remodelling in hypertensive Dahl/Rapp rats. J Physiol Pharmacol. 2009 Sep;60(3):41-7. PMID: 19826180.</t>
  </si>
  <si>
    <t>31: Morelli A, Ertmer C, Pietropaoli P, Westphal M. Reducing the risk of major elective non-cardiac surgery: is there a role for levosimendan in the preoperative optimization of cardiac function? Curr Drug Targets. 2009 Sep;10(9):863-71. doi: 10.2174/138945009789108819. PMID: 19799540.</t>
  </si>
  <si>
    <t>32: Graudins A. Letter regarding levosimendan in a rat model of severe verapamil poisoning. J Med Toxicol. 2009 Sep;5(3):175; author reply 176. doi:10.1007/BF03161231. PMID: 19764131; PMCID: PMC3550387.</t>
  </si>
  <si>
    <t>33: Dünser MW, Hasibeder WR. Sympathetic overstimulation during critical illness: adverse effects of adrenergic stress. J Intensive Care Med. 2009 Sep-Oct;24(5):293-316. doi: 10.1177/0885066609340519. Epub 2009 Aug 23. Erratum in: J Intensive Care Med. 2016 Sep;31(8):NP1. doi: 10.1177/0885066616661952. PMID: 19703817</t>
  </si>
  <si>
    <t>34: Espinoza TR, Mottram AR, Bryant SM. Levosimendan for calcium channel blocker poisoning in humans. Anesth Analg. 2009 Sep;109(3):992; author reply 992-3. doi:10.1213/ane.0b013e3181add57d. PMID: 19690281.</t>
  </si>
  <si>
    <t>35: Beute J. Levosimendan is superior to enoximone in refractory cardiogenic shock complicating acute myocardial infarction. Crit Care Med. 2009 Sep;37(9):2678; author reply 2678-9. doi: 10.1097/CCM.0b013e3181aff568. PMID: 19687655</t>
  </si>
  <si>
    <t>36: Alhashemi JA, Alotaibi QA, Abdullah GM, Shalabi SA. Levosimendan vs dobutamine in septic shock. J Crit Care. 2009 Sep;24(3):e14-5. doi:10.1016/j.jcrc.2009.06.006. PMID: 19664518.</t>
  </si>
  <si>
    <t>14: Russ MA, Prondzinsky R, Carter JM, Schlitt A, Ebelt H, Schmidt H, Lemm H, Heinroth K, Soeffker G, Winkler M, Werdan K, Buerke M. Right ventricular function in myocardial infarction complicated by cardiogenic shock: Improvement with levosimendan. Crit Care Med. 2009 Dec;37(12):3017-23. doi:10.1097/CCM.0b013e3181b0314a. PMID: 19661807.</t>
  </si>
  <si>
    <t>13: Leppikangas H, Ruokonen E, Rutanen J, Kiviniemi V, Lindgren L, Kurola J. Levosimendan as a rescue drug in experimental propranolol-induced myocardial depression: a randomized study. Ann Emerg Med. 2009 Dec;54(6):811-817.e1-3. doi:10.1016/j.annemergmed.2009.06.512. Epub 2009 Sep 19. PMID: 19766354.</t>
  </si>
  <si>
    <t>11: Delle Karth G, Heinz G. Do it right? Crit Care Med. 2009 Dec;37(12):3168-9. doi: 10.1097/CCM.0b013e3181b3a320. PMID: 19923936.</t>
  </si>
  <si>
    <t>12: Teerlink JR, Metra M, Zacà V, Sabbah HN, Cotter G, Gheorghiade M, Cas LD. Agents with inotropic properties for the management of acute heart failure syndromes. Traditional agents and beyond. Heart Fail Rev. 2009 Dec;14(4):243-53. doi: 10.1007/s10741-009-9153-y. PMID: 19876734; PMCID: PMC2772951.</t>
  </si>
  <si>
    <t>10: Rusca M, Liaudet L. Place du traitement par agents inotropes positifs dans l'insuffisance cardiaque aiguë aux soins intensifs [Inotropic agents for treatment of acute heart failure syndromes in intensive care]. Rev Med Suisse. 2009 Dec 9;5(229):2512-5. French. PMID: 20084871.</t>
  </si>
  <si>
    <t>7: Hunter JD, Doddi M. Sepsis and the heart. Br J Anaesth. 2010 Jan;104(1):3-11. doi: 10.1093/bja/aep339. PMID: 19939836.</t>
  </si>
  <si>
    <t>8: Di Chiara L, Ricci Z, Garisto C, Morelli S, Giorni C, Vitale V, Di Donato RM, Picardo S. Initial experience with levosimendan infusion for preoperative management of hypoplastic left heart syndrome. Pediatr Cardiol. 2010 Jan;31(1):166-7. doi: 10.1007/s00246-009-9571-6. PMID: 19915896.</t>
  </si>
  <si>
    <t>6: Yontar OC, Yilmaz MB, Yalta K. Levosimendan in acute and chronic right ventricle failure. Acta Anaesthesiol Scand. 2010 Jan;54(1):118-9. doi:10.1111/j.1399-6576.2009.02057.x. PMID: 19961440.</t>
  </si>
  <si>
    <t>5: Antonini M, Stazi GV, Cirasa MT, Garotto G, Frustaci A. Efficacy of levosimendan in Takotsubo-related cardiogenic shock. Acta Anaesthesiol Scand. 2010 Jan;54(1):119-20. doi: 10.1111/j.1399-6576.2009.02105.x. PMID: 19961441.</t>
  </si>
  <si>
    <t>9: Metzsch C, Linnér R, Steen S, Liao Q, Algotsson L. Levosimendan cardioprotection in acutely beta-1 adrenergic receptor blocked open chest pigs. Acta Anaesthesiol Scand. 2010 Jan;54(1):103-10. doi:10.1111/j.1399-6576.2009.02070.x. Epub 2009 Aug 13. PMID: 19681782.</t>
  </si>
  <si>
    <t>1: Uriarte-Rodríguez A, Santana-Cabrera L, Sánchez-Palacios M. Levosimendan use in the emergency management of decompensated peripartum cardiomyopathy. J Emerg Trauma Shock. 2010 Jan;3(1):94. doi: 10.4103/0974-2700.58651. PMID: 20165732; PMCID: PMC2823155.</t>
  </si>
  <si>
    <t>2: Papadopoulos CE, Zioutas DG, Dalamaga EG. Levosimendan and quality of life. Hellenic J Cardiol. 2010 Jan-Feb;51(1):81-2. PMID: 20118051.</t>
  </si>
  <si>
    <t>3: Aittomäki J, Liuhanen S, Sallisalmi M, Salmenperä MT, Heavner JE, Rosenberg PH. The effect of levosimendan on bupivacaine-induced severe myocardial depression in anesthetized pigs. Reg Anesth Pain Med. 2010 Jan-Feb;35(1):34-40. doi: 10.1097/aap.0b013e3181c69909. PMID: 20052814.</t>
  </si>
  <si>
    <t>4: Yontar OC, Yalta K, Yilmaz MB. Superiority of levosimendan over dobutamine in right ventricle failure. Crit Care Med. 2010 Jan;38(1):342-3; author reply 343-4. doi: 10.1097/CCM.0b013e3181bfe721. PMID: 20023502.</t>
  </si>
  <si>
    <t>200: Parissis JT, Farmakis D, Kremastinos DT. Anti-inflammatory effects of levosimendan in decompensated heart failure: impact on weight loss and anemia. Am J Cardiol. 2005 Apr 1;95(7):923-4. doi: 10.1016/j.amjcard.2004.11.018. PMID: 15781038</t>
  </si>
  <si>
    <t>199: Papp Z, Csapó K, Pollesello P, Haikala H, Edes I. Pharmacological mechanisms contributing to the clinical efficacy of levosimendan. Cardiovasc Drug Rev. 2005 Spring;23(1):71-98. doi: 10.1111/j.1527-3466.2005.tb00158.x. PMID: 15867949.</t>
  </si>
  <si>
    <t>198: Toller WG, Metzler H. Acute perioperative heart failure. Curr Opin Anaesthesiol. 2005 Apr;18(2):129-35. doi: 10.1097/01.aco.0000162830.59023.50. PMID: 16534328.</t>
  </si>
  <si>
    <t>197: Schwinger RH, Brixius K. Wenn die Myofilamente sensibel werden. Ca(2+)-Sensitizer zur Therapie der Herzinsuffizienz [If the myofilaments become sensitive: Ca2+-sensitizer for the therapy of heart insufficiency]. Dtsch Med Wochenschr. 2005 Apr 15;130(15):969-73. German. doi: 10.1055/s-2005-866773. PMID: 15812725.</t>
  </si>
  <si>
    <t>193: Andersen GØ, Eritsland J, Bjørnerheim R, Kløw NE, Jonassen A, Mangschau A. Kardiogent sjokk--nye behandlingsmuligheter [Cardiogenic shock-- new therapeutic strategies]. Tidsskr Nor Laegeforen. 2005 May 19;125(10):1318-21. Norwegian. PMID: 15909001.</t>
  </si>
  <si>
    <t>194: MacGowan GA. The myofilament force-calcium relationship as a target for positive inotropic therapy in congestive heart failure. Cardiovasc Drugs Ther. 2005 May;19(3):203-10. doi: 10.1007/s10557-005-2465-9. PMID: 16142598.</t>
  </si>
  <si>
    <t>195: Verre M, Bossio F, Durante M, Muraca G, Tancioni F, Tiburzi S. Uso del levosimendan dopo arresto cardiocircolatorio da fibrillazione ventricolare: descrizione di un caso clinico [Use of levosimendan after cardiac arrest by ventricular fibrillation: a case report]. Clin Ter. 2005 May-Jun;156(3):111-4. Italian. PMID: 16048031.</t>
  </si>
  <si>
    <t>196: Morelli A, De Castro S, Teboul JL, Singer M, Rocco M, Conti G, De Luca L, Di Angelantonio E, Orecchioni A, Pandian NG, Pietropaoli P. Effects of levosimendan on systemic and regional hemodynamics in septic myocardial depression. Intensive Care Med. 2005 May;31(5):638-44. doi:10.1007/s00134-005-2619-z. Epub 2005 Apr 6. PMID: 15812624.</t>
  </si>
  <si>
    <t>192: Bonnefoy E, Trindade PT. Le levosimendan, une revolution dans le monde des inotropes? [Levosimendan, a revolution in the world of inotropic agents?]. Rev Med Suisse. 2005 May 25;1(21):1425-6, 1428-9. French. PMID: 15997981.</t>
  </si>
  <si>
    <t>188: Nguyen HD, McKeown B. Levosimendan for post-partum cardiomyopathy. Crit Care Resusc. 2005 Jun;7(2):107-10. PMID: 16548802.</t>
  </si>
  <si>
    <t>189: Siirilä-Waris K, Suojaranta-Ylinen R, Harjola VP. Levosimendan in cardiac surgery. J Cardiothorac Vasc Anesth. 2005 Jun;19(3):345-9. doi:10.1053/j.jvca.2005.03.012. PMID: 16130062.</t>
  </si>
  <si>
    <t>191: García-González MJ, Domínguez-Rodríguez A, Ferrer-Hita JJ. Utility of levosimendan, a new calcium sensitizing agent, in the treatment of cardiogenic shock due to myocardial stunning in patients with ST-elevation myocardial infarction: a series of cases. J Clin Pharmacol. 2005 Jun;45(6):704-8. doi:10.1177/0091270004273849. PMID: 15901754.</t>
  </si>
  <si>
    <t>190: Erhardt L. An emerging role for calcium sensitisation in the treatment of heart failure. Expert Opin Investig Drugs. 2005 Jun;14(6):659-70. doi:10.1517/13543784.14.6.659. PMID: 16004594.</t>
  </si>
  <si>
    <t>180: Takahashi R, Endoh M. Dual regulation of myofilament Ca2+ sensitivity by levosimendan in normal and acidotic conditions in aequorin-loaded canine ventricular myocardium. Br J Pharmacol. 2005 Aug;145(8):1143-52. doi:10.1038/sj.bjp.0706292. PMID: 15951828; PMCID: PMC1576237.</t>
  </si>
  <si>
    <t>179: Parissis JT, Panou F, Farmakis D, Adamopoulos S, Filippatos G, Paraskevaidis I, Venetsanou K, Lekakis J, Kremastinos DT. Effects of levosimendan on markers of left ventricular diastolic function and neurohormonal activation in patients with advanced heart failure. Am J Cardiol. 2005 Aug 1;96(3):423-6. doi: 10.1016/j.amjcard.2005.03.092. PMID: 16054474.</t>
  </si>
  <si>
    <t>181: Avgeropoulou C, Andreadou I, Markantonis-Kyroudis S, Demopoulou M, Missovoulos P, Androulakis A, Kallikazaros I. The Ca2+-sensitizer levosimendan improves oxidative damage, BNP and pro-inflammatory cytokine levels in patients with advanced decompensated heart failure in comparison to dobutamine. Eur J Heart Fail. 2005 Aug;7(5):882-7. doi: 10.1016/j.ejheart.2005.02.002. PMID: 15921958</t>
  </si>
  <si>
    <t>182: Coma-Canella I, Castaño S, Nasarre E. Insuficiencia cardiaca. Tratamiento farmacológico actual [Heart failure. Current pharmacologic treatment]. Rev Med Univ Navarra. 2005 Jul-Sep;49(3):41-7. Spanish. PMID: 16400975.</t>
  </si>
  <si>
    <t>183: González-Chon O, García López SM, Chacón Mercado MA, Arias Sánchez EA, Vega Zapata RE. Levosimendan: nueva estrategia en el manejo de la falla cardíaca [Levosimendan: a new strategy in the treatment of heart failure]. Arch Cardiol Mex. 2005 Jul-Sep;75 Suppl 3:S3-130-9. Spanish. PMID: 16366178.</t>
  </si>
  <si>
    <t>184: García Graullera Rde J, Sánchez Mécatl MA, Cerda García P, Torreblanca Marín M, Aguirre Sánchez JS, Martínez Sánchez J. Uso de levosimendan en enfermos con falla cardíaca aguda [Levosimendan in patients with acute cardiac failure]. Arch Cardiol Mex. 2005 Jul-Sep;75 Suppl 3:S3-55-60. Spanish. PMID: 16366170.</t>
  </si>
  <si>
    <t>185: Kasikcioglu HA, Unal S, Tartan Z, Uyarel H, Okmen E, Kasikcioglu E, Cam N. Effects of levosimendan on left ventricular functional remodelling and exercise intolerance: a tissue Doppler study. J Int Med Res. 2005 Jul-Aug;33(4):397-405. doi: 10.1177/147323000503300405. PMID: 16104443.</t>
  </si>
  <si>
    <t>186: Oliveira MT Jr, Follador W, Martins ML, Canaviera R, Tsuji RL, Scipioni A, Barretto AC. Análise de custos do tratamento de episódios de descompensação aguda de insuficiência cardíaca. Levosimendan versus dobutamina [Cost analysis of the treatment of acute decompensated heart failure. Levosimendan versus dobutamine]. Arq Bras Cardiol. 2005 Jul;85(1):9-14. Portuguese. doi:10.1590/S0066-782X2005001400003. Epub 2005 Jul 21. PMID: 16041448.</t>
  </si>
  <si>
    <t>187: Paraskevaidis IA, Parissis JT, Th Kremastinos D. Anti-inflammatory and anti-apoptotic effects of levosimendan in decompensated heart failure: a novel mechanism of drug-induced improvement in contractile performance of the failing heart. Curr Med Chem Cardiovasc Hematol Agents. 2005 Jul;3(3):243-7. doi:10.2174/1568016054368232. PMID: 15974888.</t>
  </si>
  <si>
    <t>171: Wang J, Weil MH, Tang W, Sun S, Huang L. Levosimendan improves postresuscitation myocardial dysfunction after beta-adrenergic blockade. J Lab Clin Med. 2005 Sep;146(3):179-83. doi: 10.1016/j.lab.2005.05.001. PMID: 16131457</t>
  </si>
  <si>
    <t>172: Faivre V, Kaskos H, Callebert J, Losser MR, Milliez P, Bonnin P, Payen D, Mebazaa A. Cardiac and renal effects of levosimendan, arginine vasopressin, and norepinephrine in lipopolysaccharide-treated rabbits. Anesthesiology. 2005 Sep;103(3):514-21. doi: 10.1097/00000542-200509000-00014. PMID: 16129976.</t>
  </si>
  <si>
    <t>170: De Luca L, Proietti P, Celotto A, Bucciarelli-Ducci C, Benedetti G, Di Roma A, Sardella G, Genuini I, Fedele F. Levosimendan improves hemodynamics and coronary flow reserve after percutaneous coronary intervention in patients with acute myocardial infarction and left ventricular dysfunction. Am Heart J. 2005 Sep;150(3):563-8. doi: 10.1016/j.ahj.2004.10.013. PMID: 16169341.</t>
  </si>
  <si>
    <t>173: Szilágyi S, Pollesello P, Levijoki J, Haikala H, Bak I, Tósaki A, Borbély A, Edes I, Papp Z. Two inotropes with different mechanisms of action: contractile, PDE-inhibitory and direct myofibrillar effects of levosimendan and enoximone. J Cardiovasc Pharmacol. 2005 Sep;46(3):369-76. doi:10.1097/01.fjc.0000175454.69116.9. PMID: 16116344.</t>
  </si>
  <si>
    <t>174: Grossini E, Caimmi PP, Molinari C, Teodori G, Vacca G. Hemodynamic effect of intracoronary administration of levosimendan in the anesthetized pig. J Cardiovasc Pharmacol. 2005 Sep;46(3):333-42. doi:10.1097/01.fjc.0000175435.41541.6f. PMID: 16116339.</t>
  </si>
  <si>
    <t>175: Perrone SV, Kaplinsky EJ. Calcium sensitizer agents: a new class of inotropic agents in the treatment of decompensated heart failure. Int J Cardiol. 2005 Sep 1;103(3):248-55. doi: 10.1016/j.ijcard.2004.12.012. PMID: 16098385.</t>
  </si>
  <si>
    <t>176: Döpfmer UR, Braun JP, Grosse J, Konertz W. Temporary left ventricular assist and levosimendan for coronary artery spasm. Interact Cardiovasc Thorac Surg. 2005 Aug;4(4):316-8. doi: 10.1510/icvts.2004.103788. Epub 2005 Apr 19. PMID: 17670420.</t>
  </si>
  <si>
    <t>177: Alvarez J, Taboada M, Rodríguez J, Caruezo V, Bouzada M, Campaña O, Bascuas B, Pérez-Paz J, Ginesta V. Efectos hemodinámicos del levosimendan en el postoperatorio de pacientes sometidos a cirugía cardiaca [Hemodynamic effects of levosimendan following cardiac surgery]. Rev Esp Anestesiol Reanim. 2005 Aug-Sep;52(7):389-94. Spanish. PMID: 16200918.</t>
  </si>
  <si>
    <t>178: MacGowan GA. What is the in vivo mechanism of action of levosimendan? J Card Fail. 2005 Aug;11(6):482; author reply 482-3. doi:10.1016/j.cardfail.2005.07.001. PMID: 16105641.</t>
  </si>
  <si>
    <t>169: Maytin M, Colucci WS. Cardioprotection: a new paradigm in the management of acute heart failure syndromes. Am J Cardiol. 2005 Sep 19;96(6A):26G-31G. doi:10.1016/j.amjcard.2005.07.018. PMID: 16181820.</t>
  </si>
  <si>
    <t>168: Teerlink JR. Overview of randomized clinical trials in acute heart failure syndromes. Am J Cardiol. 2005 Sep 19;96(6A):59G-67G. doi:10.1016/j.amjcard.2005.07.022. PMID: 16181824.</t>
  </si>
  <si>
    <t>167: Gheorghiade M, Teerlink JR, Mebazaa A. Pharmacology of new agents for acute heart failure syndromes. Am J Cardiol. 2005 Sep 19;96(6A):68G-73G. doi:10.1016/j.amjcard.2005.07.023. PMID: 16181825.</t>
  </si>
  <si>
    <t>166: Mebazaa A, Barraud D, Welschbillig S. Randomized clinical trials with levosimendan. Am J Cardiol. 2005 Sep 19;96(6A):74G-9G. doi:10.1016/j.amjcard.2005.07.024. PMID: 16181826.</t>
  </si>
  <si>
    <t>165: Follath F, Franco F, Cardoso JS. European experience on the practical use of levosimendan in patients with acute heart failure syndromes. Am J Cardiol. 2005 Sep 19;96(6A):80G-5G. doi: 10.1016/j.amjcard.2005.07.025. PMID: 16181827.</t>
  </si>
  <si>
    <t>164: Dernellis J, Panaretou M. Effects of levosimendan on restrictive left ventricular filling in severe heart failure: a combined hemodynamic and Doppler echocardiographic study. Chest. 2005 Oct;128(4):2633-9. doi:10.1378/chest.128.4.2633. PMID: 16236936.</t>
  </si>
  <si>
    <t>163: Mustapha F, Moufida H, Nedia B, Anis L, Iheb L, Habib H. Effets hemodynamiques et echocardiographiques du levosimendan dans le choc cardiogenique par infarctus du myocarde: un cas clinique [Successful use of levosimendan in a patient with cardiogenic shock complicating acute myocardial infarction]. Tunis Med. 2005 Oct;83(10):635-7. French. PMID: 16370217.</t>
  </si>
  <si>
    <t>161: Michels G, Herzig S, Hoppe UC. Levosimendan [Levosimendan]. Dtsch Med Wochenschr. 2005 Oct 28;130(43):2444-6. German. doi: 10.1055/s-2005-918588. PMID: 16240243.</t>
  </si>
  <si>
    <t>162: Mueller T, Gegenhuber A, Haltmayer M. Levosimendan reduces plasma amino terminal proBNP in patients with decompensated heart failure. Int J Cardiol. 2005 Oct 10;104(3):355-6; author reply 357-8. doi: 10.1016/j.ijcard.2005.04.035. Epub 2005 Jun 9. PMID: 15950299.</t>
  </si>
  <si>
    <t>160: Alhashemi JA. Treatment of cardiogenic shock with levosimendan in combination with beta-adrenergic antagonists. Br J Anaesth. 2005 Nov;95(5):648-50. doi: 10.1093/bja/aei225. Epub 2005 Sep 2. PMID: 16143579.</t>
  </si>
  <si>
    <t>159: Earl GL, Fitzpatrick JT. Levosimendan: a novel inotropic agent for treatment of acute, decompensated heart failure. Ann Pharmacother. 2005 Nov;39(11):1888-96. doi: 10.1345/aph.1G128. Epub 2005 Oct 11. PMID: 16219899.</t>
  </si>
  <si>
    <t>158: Huang L, Weil MH, Sun S, Cammarata G, Cao L, Tang W. Levosimendan improves postresuscitation outcomes in a rat model of CPR. J Lab Clin Med. 2005 Nov;146(5):256-61. doi: 10.1016/j.lab.2005.07.005. PMID: 16242524.</t>
  </si>
  <si>
    <t>157: Moertl D, Berger R, Huelsmann M, Bojic A, Pacher R. Short-term effects of levosimendan and prostaglandin E1 on hemodynamic parameters and B-type natriuretic peptide levels in patients with decompensated chronic heart failure. Eur J Heart Fail. 2005 Dec;7(7):1156-63. doi: 10.1016/j.ejheart.2005.05.001. Epub 2005 Aug 5. PMID: 16084762.</t>
  </si>
  <si>
    <t>156: McLean AS, Huang SJ, Nalos M, Ting I. Duration of the beneficial effects of levosimendan in decompensated heart failure as measured by echocardiographic indices and B-type natriuretic peptide. J Cardiovasc Pharmacol. 2005 Dec;46(6):830-5. doi: 10.1097/01.fjc.0000189076.71730.f1. PMID: 16306809.</t>
  </si>
  <si>
    <t>155: Landmesser U, Drexler H. Chronic heart failure: an overview of conventional treatment versus novel approaches. Nat Clin Pract Cardiovasc Med. 2005 Dec;2(12):628-38. doi: 10.1038/ncpcardio0371. PMID: 16306919.</t>
  </si>
  <si>
    <t>154: Parissis JT, Filippatos G, Farmakis D, Adamopoulos S, Paraskevaidis I, Kremastinos D. Levosimendan for the treatment of acute heart failure syndromes. Expert Opin Pharmacother. 2005 Dec;6(15):2741-51. doi:10.1517/14656566.6.15.2741. PMID: 16316312.</t>
  </si>
  <si>
    <t>153: Ng TM, Akhter MW. Levosimendan: dual mechanisms for acute heart failure...and beyond? Minerva Cardioangiol. 2005 Dec;53(6):565-84. PMID: 16333239</t>
  </si>
  <si>
    <t>152: Husedzinović I, Barisin S, Bradić N, Barisin A, Sonicki Z, Milanović R. Levosimendan as a new strategy during off-pump coronary artery bypass grafting: double-blind randomized placebo-controlled trial. Croat Med J. 2005 Dec;46(6):950-6. PMID: 16342349.</t>
  </si>
  <si>
    <t>151: Tziakas DN, Chalikias GK, Hatzinikolaou HI, Stakos DA, Papanas N, Tentes IK, Kortsaris AX, Maltezos E, Hatseras DI, Kaski JC. Levosimendan use reduces matrix metalloproteinase-2 in patients with decompensated heart failure. Cardiovasc Drugs Ther. 2005 Dec;19(6):399-402. doi: 10.1007/s10557-005-5417-5. PMID: 16435069.</t>
  </si>
  <si>
    <t>150: Brixius K, Hoyer HK, Schwinger RH. Ca2+-sensitisers--a promising option to treat heart failure? Cardiovasc Drugs Ther. 2005 Dec;19(6):423-8. doi:10.1007/s10557-005-6128-7. PMID: 16453087.</t>
  </si>
  <si>
    <t>149: Tsagalou EP, Nanas JN. Resuscitation from adrenaline resistant electro-mechanical dissociation facilitated by levosimendan in a young man with idiopathic dilated cardiomyopathy. Resuscitation. 2006 Jan;68(1):147-9. doi:10.1016/j.resuscitation.2005.06.007. Epub 2005 Dec 1. PMID: 16325323.</t>
  </si>
  <si>
    <t>148: Cleland JG, Freemantle N, Coletta AP, Clark AL. Clinical trials update from the American Heart Association: REPAIR-AMI, ASTAMI, JELIS, MEGA, REVIVE-II, SURVIVE, and PROACTIVE. Eur J Heart Fail. 2006 Jan;8(1):105-10. doi:10.1016/j.ejheart.2005.12.003. PMID: 16387630.</t>
  </si>
  <si>
    <t>145: Francis D. The 2005 Scientific Sessions of the American Heart Association (AHA). Heart Fail Monit. 2006;5(1):34-6. PMID: 16547528.</t>
  </si>
  <si>
    <t>146: Kaheinen P, Pollesello P, Hertelendi Z, Borbély A, Szilágyi S, Nissinen E, Haikala H, Papp Z. Positive inotropic effect of levosimendan is correlated to its stereoselective Ca2+-sensitizing effect but not to stereoselective phosphodiesterase inhibition. Basic Clin Pharmacol Toxicol. 2006 Jan;98(1):74-8. doi: 10.1111/j.1742-7843.2006.pto_231.x. PMID: 16433895.</t>
  </si>
  <si>
    <t>147: Ellger BM, Zahn PK, Van Aken HK, Schmidt C, Brussel T. Levosimendan: a promising treatment for myocardial stunning? Anaesthesia. 2006 Jan;61(1):61-3. doi: 10.1111/j.1365-2044.2005.04431.x. PMID: 16409345.</t>
  </si>
  <si>
    <t>144: García González MJ, Domínguez Rodríguez A. Pharmacologic treatment of heart failure due to ventricular dysfunction by myocardial stunning: potential role of levosimendan. Am J Cardiovasc Drugs. 2006;6(2):69-75. doi:10.2165/00129784-200606020-00001. PMID: 16555860.</t>
  </si>
  <si>
    <t>143: Hodt A, Steine K, Atar D. Medical and ventilatory treatment of acute heart failure: new insights. Cardiology. 2006;106(1):1-9. doi: 10.1159/000092410. Epub 2006 Mar 30. PMID: 16582544.</t>
  </si>
  <si>
    <t>142: Kasikcioglu HA, Cam N. A review of levosimendan in the treatment of heart failure. Vasc Health Risk Manag. 2006;2(4):389-400. doi:10.2147/vhrm.2006.2.4.389. PMID: 17323593; PMCID: PMC1994023.</t>
  </si>
  <si>
    <t>141: Rasmussen T, Schmidt H. Levosimendan--alternativ til konventionel inotropibehandling af patienter med akut hjertesvigt? [Levosimendan--an alternative to conventional inotropic treatment of patients with acute heart failure?]. Ugeskr Laeger. 2006 Jan 16;168(3):261-5. Danish. PMID: 16430807.</t>
  </si>
  <si>
    <t>138: Morais RJ. Levosimendan in severe right ventricular failure following mitral valve replacement. J Cardiothorac Vasc Anesth. 2006 Feb;20(1):82-4. doi:10.1053/j.jvca.2005.01.039. Epub 2005 Dec 15. PMID: 16458221.</t>
  </si>
  <si>
    <t>139: De Luca L, Sardella G, Proietti P, Battagliese A, Benedetti G, Di Roma A, Fedele F. Effects of levosimendan on left ventricular diastolic function after primary angioplasty for acute anterior myocardial infarction: a Doppler echocardiographic study. J Am Soc Echocardiogr. 2006 Feb;19(2):172-7. doi:10.1016/j.echo.2005.08.016. PMID: 16455421.</t>
  </si>
  <si>
    <t>140: Braun JP, Jasulaitis D, Moshirzadeh M, Doepfmer UR, Kastrup M, von Heymann C, Dohmen PM, Konertz W, Spies C. Levosimendan may improve survival in patients requiring mechanical assist devices for post-cardiotomy heart failure. Crit Care. 2006 Feb;10(1):R17. doi: 10.1186/cc3979. PMID: 16420666; PMCID: PMC1550852.</t>
  </si>
  <si>
    <t>135: Rauch H, Motsch J, Böttiger BW. Newer approaches to the pharmacological management of heart failure. Curr Opin Anaesthesiol. 2006 Feb;19(1):75-81. doi:10.1097/01.aco.0000192781.62892.c3. Erratum in: Curr Opin Anaesthesiol. 2006 Apr;19(2):231. Dosage error in article text. PMID: 16547437.</t>
  </si>
  <si>
    <t>134: Martos Fernández de Córdoba F. Consideraciones sobre la comparativa entre levosimendan y dobutamina [On levosimendan in comparison with dobutamine]. Rev Esp Anestesiol Reanim. 2006 Feb;53(2):132-3; author reply 133. Spanish. PMID: 16553355</t>
  </si>
  <si>
    <t>133: Rokyta R Jr, Pechman V. The effects of Levosimendan on global haemodynamics in patients with cardiogenic shock. Neuro Endocrinol Lett. 2006 Feb-Apr;27(1-2):121-7. PMID: 16648778.</t>
  </si>
  <si>
    <t>132: Rhodes SS, Ropella KM, Camara AK, Chen Q, Riess ML, Pagel PS, Stowe DF. Ischemia-reperfusion injury changes the dynamics of Ca2+-contraction coupling due to inotropic drugs in isolated hearts. J Appl Physiol (1985). 2006 Mar;100(3):940-50. doi: 10.1152/japplphysiol.00285.2005. Epub 2005 Nov 10. PMID: 16282437</t>
  </si>
  <si>
    <t>137: Prior DL, Flaim BD, MacIsaac AI, Yii MY. Pre-operative use of levosimendan in two patients with severe aortic stenosis and left ventricular dysfunction. Heart Lung Circ. 2006 Feb;15(1):56-8. doi: 10.1016/j.hlc.2005.03.008. PMID: 16473793</t>
  </si>
  <si>
    <t>136: Hoefer D, Jonetzko P, Hoermann C, Laufer G, Poelzl G. Successful administration of levosimendan in a patient with low-gradient low-output aortic stenosis. Wien Klin Wochenschr. 2006 Feb;118(1-2):60-2. doi:10.1007/s00508-005-0508-2. PMID: 16489528.</t>
  </si>
  <si>
    <t>127: Rhodes SS, Camara AK, Ropella KM, Audi SH, Riess ML, Pagel PS, Stowe DF. Ischemia reperfusion dysfunction changes model-estimated kinetics of myofilament interaction due to inotropic drugs in isolated hearts. Biomed Eng Online. 2006 Mar 2;5:16. doi: 10.1186/1475-925X-5-16. PMID: 16512898; PMCID: PMC1431537.</t>
  </si>
  <si>
    <t>128: Toller WG, Stranz C. Levosimendan, a new inotropic and vasodilator agent. Anesthesiology. 2006 Mar;104(3):556-69. doi: 10.1097/00000542-200603000-00024. PMID: 16508404.</t>
  </si>
  <si>
    <t>129: Mehra MR. Optimizing outcomes in the patient with acute decompensated heart failure. Am Heart J. 2006 Mar;151(3):571-9. doi: 10.1016/j.ahj.2005.04.034. PMID: 16504617.</t>
  </si>
  <si>
    <t>130: McLachlan CS, Mossop P. Levosimendan and plasma BNP levels: do inflammatory cytokines regulate BNP in chronic decompensated heart failure? Eur J Heart Fail. 2006 Mar;8(2):216-7; author reply 218. doi: 10.1016/j.ejheart.2006.01.004. PMID: 16488367</t>
  </si>
  <si>
    <t>131: Parissis JT, Farmakis D, Kremastinos DT. Levosimendan therapy in decompensated chronic heart failure: favourable haemodynamic and neurohormonal effects but for how long? Eur J Heart Fail. 2006 Mar;8(2):215; author reply 218. doi: 10.1016/j.ejheart.2006.01.003. Epub 2006 Jan 27. PMID: 16442844.</t>
  </si>
  <si>
    <t>118: Dubin A, Maskin B, Murias G, Pozo MO, Sottile JP, Barán M, Edul VS, Canales HS, Estenssoro E. Effects of levosimendan in normodynamic endotoxaemia: a controlled experimental study. Resuscitation. 2006 May;69(2):277-86. doi: 10.1016/j.resuscitation.2005.08.002. Epub 2006 Feb 3. PMID: 16458408.</t>
  </si>
  <si>
    <t>119: Alvarez J, Bouzada M, Fernández AL, Caruezo V, Taboada M, Rodríguez J, Ginesta V, Rubio J, García-Bengoechea JB, González-Juanatey JR. Comparación de los efectos hemodinámicos del levosimendán con la dobutamina en pacientes con bajo gasto después de cirugía cardiaca [Hemodynamic effects of levosimendan compared with dobutamine in patients with low cardiac output after cardiac surgery]. Rev Esp Cardiol. 2006 Apr;59(4):338-45. Spanish. PMID: 16709386.</t>
  </si>
  <si>
    <t>101: De Luca L, Colucci WS, Nieminen MS, Massie BM, Gheorghiade M. Evidence-based use of levosimendan in different clinical settings. Eur Heart J. 2006 Aug;27(16):1908-20. doi: 10.1093/eurheartj/ehi875. Epub 2006 Apr 27. PMID: 16682381</t>
  </si>
  <si>
    <t>102: Krumnikl JJ, Toller WG, Prenner G, Metzler H. Beneficial outcome after prostaglandin-induced post-partum cardiac arrest using levosimendan and extracorporeal membrane oxygenation. Acta Anaesthesiol Scand. 2006 Jul;50(6):768-70. doi: 10.1111/j.1399-6576.2006.01034.x. PMID: 16987377.</t>
  </si>
  <si>
    <t>103: Papp JG, Pollesello P, Varró A, Végh A, Udvary E. The effect of levosimendan during long-term amiodarone treatment in dogs. Basic Clin Pharmacol Toxicol. 2006 Jul;99(1):27-32. doi: 10.1111/j.1742-7843.2006.pto_394.x. PMID: 16867167</t>
  </si>
  <si>
    <t>104: Adamopoulos S, Parissis JT, Iliodromitis EK, Paraskevaidis I, Tsiapras D, Farmakis D, Karatzas D, Gheorghiade M, Filippatos GS, Kremastinos DT. Effects of levosimendan versus dobutamine on inflammatory and apoptotic pathways in acutely decompensated chronic heart failure. Am J Cardiol. 2006 Jul 1;98(1):102-6. doi:10.1016/j.amjcard.2006.01.068. Epub 2006 May 6. PMID: 16784930.</t>
  </si>
  <si>
    <t>105: Kortejärvi H, Malkki J, Marvola M, Urtti A, Yliperttula M, Pajunen P. Level A in vitro-in vivo correlation (IVIVC) model with Bayesian approach to formulation series. J Pharm Sci. 2006 Jul;95(7):1595-605. doi:10.1002/jps.20592. PMID: 16732564.</t>
  </si>
  <si>
    <t>100: Usta C, Eksert B, Gölbasi I, Bigat Z, Ozdem SS. The role of potassium channels in the vasodilatory effect of levosimendan in human internal thoracic arteries. Eur J Cardiothorac Surg. 2006 Aug;30(2):329-32. doi:10.1016/j.ejcts.2006.05.019. Epub 2006 Jul 7. PMID: 16829109.</t>
  </si>
  <si>
    <t>99: Munger MA. Management of acute decompensated heart failure: treatment, controversy, and future directions. Pharmacotherapy. 2006 Aug;26(8 Pt 2):131S-138S. doi: 10.1592/phco.26.8part2.131S. PMID: 16863479.</t>
  </si>
  <si>
    <t>126: Cammarata GA, Weil MH, Sun S, Huang L, Fang X, Tang W. Levosimendan improves cardiopulmonary resuscitation and survival by K(ATP) channel activation. J Am Coll Cardiol. 2006 Mar 7;47(5):1083-5. doi:10.1016/j.jacc.2005.11.041. Epub 2006 Feb 9. PMID: 16516098.</t>
  </si>
  <si>
    <t>125: Hodt A, Steine K, Atar D. Medikamentell og ventilatorisk behandling ved akutt hjertesvikt [Medical and ventilatory treatment of acute heart failure]. Tidsskr Nor Laegeforen. 2006 Mar 9;126(6):749-52. Norwegian. PMID: 16541166.</t>
  </si>
  <si>
    <t>124: Müller K, Peters A, Zeus T, Hennersdorf M, Strauer BE. Akute hämodynamische und klinische Effekte von Levosimendan in der Therapie des kardiogenen Schocks [Therapy of acute decompensated heart failure with levosimendan]. Med Klin (Munich). 2006 Mar 22;101 Suppl 1:119-22. German. PMID: 16802535.</t>
  </si>
  <si>
    <t>122: Ozdem SS, Yalcin O, Meiselman HJ, Baskurt OK, Usta C. The role of potassium channels in relaxant effect of levosimendan in rat small mesenteric arteries. Cardiovasc Drugs Ther. 2006 Apr;20(2):123-7. doi: 10.1007/s10557-006-7294-y. PMID: 16554965.</t>
  </si>
  <si>
    <t>113: Adamcová M, Stĕrba M, Simůnek T, Potácová A, Popelová O, Gersl V. Myocardial regulatory proteins and heart failure. Eur J Heart Fail. 2006 Jun;8(4):333-42. doi: 10.1016/j.ejheart.2005.09.007. Epub 2005 Nov 23. PMID: 16309957</t>
  </si>
  <si>
    <t>114: Yildiz O, Nacitarhan C, Seyrek M. Potassium channels in the vasodilating action of levosimendan on the human umbilical artery. J Soc Gynecol Investig. 2006 May;13(4):312-5. doi: 10.1016/j.jsgi.2006.02.005. PMID: 16697949.</t>
  </si>
  <si>
    <t>115: Egan JR, Clarke AJ, Williams S, Cole AD, Ayer J, Jacobe S, Chard RB, Winlaw DS. Levosimendan for low cardiac output: a pediatric experience. J Intensive Care Med. 2006 May-Jun;21(3):183-7. doi: 10.1177/0885066606287039. PMID: 16672640</t>
  </si>
  <si>
    <t>116: Yildiz O, Seyrek M, Yildirim V, Demirkilic U, Nacitarhan C. Potassium channel-related relaxation by levosimendan in the human internal mammary artery. Ann Thorac Surg. 2006 May;81(5):1715-9. doi: 10.1016/j.athoracsur.2005.12.057. PMID: 16631661.</t>
  </si>
  <si>
    <t>117: Creteur J, Bouckaert Y, Mélot C, Vincent JL. Effects of levosimendan on systemic and regional hemodynamics in septic myocardial depression. Intensive Care Med. 2006 May;32(5):790; author reply 791-2. doi:10.1007/s00134-006-0130-9. Epub 2006 Mar 23. PMID: 16555067.</t>
  </si>
  <si>
    <t>121: Raja SG, Rayen BS. Levosimendan in cardiac surgery: current best available evidence. Ann Thorac Surg. 2006 Apr;81(4):1536-46. doi:10.1016/j.athoracsur.2005.08.073. PMID: 16564321.</t>
  </si>
  <si>
    <t>120: Delgado JF. Levosimendán en la insuficiencia cardiaca aguda: pasado, presente y futuro [Levosimendan in acute heart failure: past, present and future]. Rev Esp Cardiol. 2006 Apr;59(4):309-12. Spanish. PMID: 16709382.</t>
  </si>
  <si>
    <t>112: Zager RA, Johnson AC, Lund S, Hanson SY, Abrass CK. Levosimendan protects against experimental endotoxemic acute renal failure. Am J Physiol Renal Physiol. 2006 Jun;290(6):F1453-62. doi: 10.1152/ajprenal.00485.2005. Epub 2006 Jan 17. PMID: 16418300.</t>
  </si>
  <si>
    <t>111: Tritapepe L, De Santis V, Vitale D, Santulli M, Morelli A, Nofroni I, Puddu PE, Singer M, Pietropaoli P. Preconditioning effects of levosimendan in coronary artery bypass grafting--a pilot study. Br J Anaesth. 2006 Jun;96(6):694-700. doi: 10.1093/bja/ael082. Epub 2006 Apr 4. PMID: 16595616.</t>
  </si>
  <si>
    <t>106: Erdei N, Papp Z, Pollesello P, Edes I, Bagi Z. The levosimendan metabolite OR-1896 elicits vasodilation by activating the K(ATP) and BK(Ca) channels in rat isolated arterioles. Br J Pharmacol. 2006 Jul;148(5):696-702. doi:10.1038/sj.bjp.0706781. Epub 2006 May 22. PMID: 16715115; PMCID: PMC1751872.</t>
  </si>
  <si>
    <t>107: Koumallos N, Antoniades C, Tousoulis D, Shirodaria C, Stefanadis C. Levosimendan: a novel agent in heart failure. Recent Pat Cardiovasc Drug Discov. 2006 Jun;1(2):185-91. doi: 10.2174/157489006777442487. PMID: 18221085.</t>
  </si>
  <si>
    <t>108: Tokuda Y, Grant PW, Wolfenden HD, Manganas C, Lyon WJ, Murala JS. Levosimendan for patients with impaired left ventricular function undergoing cardiac surgery. Interact Cardiovasc Thorac Surg. 2006 Jun;5(3):322-6. doi:10.1510/icvts.2005.122390. Epub 2006 Mar 23. PMID: 17670579.</t>
  </si>
  <si>
    <t>109: Papp JG, Pollesello P, Varró AF, Végh AS. Effect of levosimendan and milrinone on regional myocardial ischemia/reperfusion-induced arrhythmias in dogs. J Cardiovasc Pharmacol Ther. 2006 Jun;11(2):129-35. doi:10.1177/1074248406289286. PMID: 16891290.</t>
  </si>
  <si>
    <t>110: Al-Shawaf E, Ayed A, Vislocky I, Radomir B, Dehrab N, Tarazi R. Levosimendan or milrinone in the type 2 diabetic patient with low ejection fraction undergoing elective coronary artery surgery. J Cardiothorac Vasc Anesth. 2006 Jun;20(3):353-7. doi: 10.1053/j.jvca.2006.02.012. PMID: 16750735.</t>
  </si>
  <si>
    <t>89: Vilas-Boas F, Follath F. Current insights into the modern treatment of decompensated heart failure. Arq Bras Cardiol. 2006 Sep;87(3):369-77. English, Portuguese. doi: 10.1590/s0066-782x2006001600022. PMID: 17057940.</t>
  </si>
  <si>
    <t>90: Wessel DL. Testing new drugs for heart failure in children. Pediatr Crit Care Med. 2006 Sep;7(5):493-4. doi: 10.1097/01.PCC.0000235664.22923.67. PMID: 16960538</t>
  </si>
  <si>
    <t>91: Carlson RW, Emmans L. A new horizon in the treatment of right ventricular failure and pulmonary hypertension associated with acute respiratory distress syndrome? Crit Care Med. 2006 Sep;34(9):2487. doi:10.1097/01.CCM.0000230243.33137.34. PMID: 16921319.</t>
  </si>
  <si>
    <t>92: Carcillo JA. What's new in pediatric intensive care. Crit Care Med. 2006 Sep;34(9 Suppl):S183-90. doi: 10.1097/01.CCM.0000232492.44019.E6. PMID: 16917422</t>
  </si>
  <si>
    <t>93: Kumar S, Kumar A, De Santis V. The preconditioning effects of levosimendan. Br J Anaesth. 2006 Sep;97(3):425; author reply 425. doi: 10.1093/bja/ael197. PMID: 16896199.</t>
  </si>
  <si>
    <t>94: Namachivayam P, Crossland DS, Butt WW, Shekerdemian LS. Early experience with Levosimendan in children with ventricular dysfunction. Pediatr Crit Care Med. 2006 Sep;7(5):445-8. doi: 10.1097/01.PCC.0000235251.14491.75. Erratum in: Pediatr Crit Care Med. 2007 Mar;8(2):197. PMID: 16885788.</t>
  </si>
  <si>
    <t>97: Rocco M, Carbone I, Morelli A, Palantonio P, Rossi S, Spadetta G, Passariello R, Pietropaoli P. The calcium sensitizer levosimendan improves carbon monoxide poisoning related stunned myocardium: a cardiac magnetic resonance study. Acta Anaesthesiol Scand. 2006 Aug;50(7):897-8. doi:10.1111/j.1399-6576.2006.01052.x. PMID: 16879479.</t>
  </si>
  <si>
    <t>98: Pataricza J, Szolnoky J, Krassói I, Hegedus Z, Kun A, Varró A, Papp JG. Vasorelaxing effect of levosimendan against 5-hydroxytryptamine-induced contractions in isolated human conduit bypass grafts. J Pharm Pharmacol. 2006 Aug;58(8):1107-12. doi: 10.1211/jpp.58.8.0012. PMID: 16872558.</t>
  </si>
  <si>
    <t>96: García-González MJ, Domínguez-Rodríguez A. Efectos del levosimendán en el tratamiento del aturdimiento miocárdico y del síndrome de bajo gasto después de cirugía cardiaca [Effect of levosimendan treatment of myocardial stunning and low-output syndrome after cardiac surgery]. Rev Esp Cardiol. 2006 Aug;59(8):851-2. Spanish. PMID: 16938238.</t>
  </si>
  <si>
    <t>95: Morelli A, Teboul JL, Maggiore SM, Vieillard-Baron A, Rocco M, Conti G, De Gaetano A, Picchini U, Orecchioni A, Carbone I, Tritapepe L, Pietropaoli P, Westphal M. Effects of levosimendan on right ventricular afterload in patients with acute respiratory distress syndrome: a pilot study. Crit Care Med. 2006 Sep;34(9):2287-93. doi: 10.1097/01.CCM.0000230244.17174.4F. PMID: 16791109.</t>
  </si>
  <si>
    <t>81: García-González MJ, Domínguez-Rodríguez A, Ferrer-Hita JJ, Abreu-González P, Muñoz MB. Cardiogenic shock after primary percutaneous coronary intervention: Effects of levosimendan compared with dobutamine on haemodynamics. Eur J Heart Fail. 2006 Nov;8(7):723-8. doi: 10.1016/j.ejheart.2006.01.007. Epub 2006 Feb 21. PMID: 16492404.</t>
  </si>
  <si>
    <t>80: Kerbaul F, Rondelet B, Demester JP, Fesler P, Huez S, Naeije R, Brimioulle S. Effects of levosimendan versus dobutamine on pressure load-induced right ventricular failure. Crit Care Med. 2006 Nov;34(11):2814-9. doi:10.1097/01.CCM.0000242157.19347.50. PMID: 16971854.</t>
  </si>
  <si>
    <t>79: Montes FR, Echeverri D, Buitrago L, Ramírez I, Giraldo JC, Maldonado JD, Umaña JP. The vasodilatory effects of levosimendan on the human internal mammary artery. Anesth Analg. 2006 Nov;103(5):1094-8. doi:10.1213/01.ane.0000244326.38206.a0. PMID: 17056938.</t>
  </si>
  <si>
    <t>78: Endoh M, Hori M. Acute heart failure: inotropic agents and their clinical uses. Expert Opin Pharmacother. 2006 Nov;7(16):2179-202. doi:10.1517/14656566.7.16.2179. PMID: 17059376.</t>
  </si>
  <si>
    <t>82: Beiras-Fernandez A, Weis FC, Fuchs H, Meiser BM, Reichart B, Weis M. Levosimendan treatment after primary organ failure in heart transplantation: a direct way to recovery? Transplantation. 2006 Oct 27;82(8):1101-3. doi:10.1097/01.tp.0000233845.15508.89. PMID: 17060860.</t>
  </si>
  <si>
    <t>83: Giannakoulas G, Giannoglou G, Vassilikos V, Martiadou K, Kalpidis P, Parharidis G, Louridas G. Clinical significance of acute neurohormonal response after levosimendan treatment. Am J Cardiol. 2006 Oct 15;98(8):1123-4. doi:10.1016/j.amjcard.2006.07.007. Epub 2006 Aug 28. PMID: 17027590.</t>
  </si>
  <si>
    <t>84: Busk M, Maeng M, Kristensen J, Berg JS, Mortensen UM, Nielsen TT, Nielsen-Kudsk JE. Effects of levosimendan on myocardial infarct size and hemodynamics in a closed-chest porcine ischemia-reperfusion model. Cardiovasc Drugs Ther. 2006 Oct;20(5):335-42. doi: 10.1007/s10557-006-0294-0. PMID: 17122904.</t>
  </si>
  <si>
    <t>85: Leprán I, Pollesello P, Vajda S, Varró A, Papp JG. Preconditioning effects of levosimendan in a rabbit cardiac ischemia-reperfusion model. J Cardiovasc Pharmacol. 2006 Oct;48(4):148-52. doi: 10.1097/01.fjc.0000246151.39758.2a. PMID: 17086092</t>
  </si>
  <si>
    <t>86: Holley AD, Ziegenfuss M. Levosimendan: a new option in acute cardiac failure. Emerg Med Australas. 2006 Oct-Dec;18(5-6):505-9. doi:10.1111/j.1742-6723.2006.00871.x. PMID: 17083641.</t>
  </si>
  <si>
    <t>87: Petäjä LM, Sipponen JT, Hämmäinen PJ, Eriksson HI, Salmenperä MT, Suojaranta-Ylinen RT. Levosimendan reversing low output syndrome after heart transplantation. Ann Thorac Surg. 2006 Oct;82(4):1529-31. doi:10.1016/j.athoracsur.2006.02.026. PMID: 16996977.</t>
  </si>
  <si>
    <t>88: Akgul A, Mavioglu L, Katircioglu SF, Pac M, Cobanoglu A. Levosimendan for weaning from cardiopulmonary bypass after coronary artery bypass grafting. Heart Lung Circ. 2006 Oct;15(5):320-4. doi: 10.1016/j.hlc.2006.05.014. Epub 2006 Jul 24. PMID: 16860605.</t>
  </si>
  <si>
    <t>67: Stocker CF, Shekerdemian LS, Nørgaard MA, Brizard CP, Mynard JP, Horton SB, Penny DJ. Mechanisms of a reduced cardiac output and the effects of milrinone and levosimendan in a model of infant cardiopulmonary bypass. Crit Care Med. 2007 Jan;35(1):252-9. doi: 10.1097/01.CCM.0000251123.70632.4E. PMID: 17133188.</t>
  </si>
  <si>
    <t>68: Rivera J, Romero KA, González-Chon O, Uruchurtu E, Márquez MF, Guevara M. Severe stunned myocardium after lightning strike. Crit Care Med. 2007 Jan;35(1):280-5. doi: 10.1097/01.CCM.0000251129.70498.C1. PMID: 17133184.</t>
  </si>
  <si>
    <t>69: Rehberg S, Ertmer C, Van Aken H, Lange M, Bröking K, Morelli A, Westphal M. Rolle von Levosimendan in der intensivmedizinischen Behandlung des myokardialen Pumpversagens [Role of Levosimendan in intensive care treatment of myocardial insufficiency]. Anaesthesist. 2007 Jan;56(1):30-43. German. doi:10.1007/s00101-006-1108-2. PMID: 17131137.</t>
  </si>
  <si>
    <t>70: Metzsch C, Liao Q, Steen S, Algotsson L. Levosimendan cardioprotection reduces the metabolic response during temporary regional coronary occlusion in an open chest pig model. Acta Anaesthesiol Scand. 2007 Jan;51(1):86-93. doi:10.1111/j.1399-6576.2006.01162.x. Epub 2006 Nov 1. PMID: 17073861.</t>
  </si>
  <si>
    <t>71: Lilleberg J, Laine M, Palkama T, Kivikko M, Pohjanjousi P, Kupari M. Duration of the haemodynamic action of a 24-h infusion of levosimendan in patients with congestive heart failure. Eur J Heart Fail. 2007 Jan;9(1):75-82. doi: 10.1016/j.ejheart.2006.04.012. Epub 2006 Jul 7. PMID: 16829185.</t>
  </si>
  <si>
    <t>72: Flevari P, Parissis JT, Leftheriotis D, Panou F, Kourea K, Kremastinos DT. Effect of levosimendan on ventricular arrhythmias and prognostic autonomic indexes in patients with decompensated advanced heart failure secondary to ischemic or dilated cardiomyopathy. Am J Cardiol. 2006 Dec 15;98(12):1641-5. doi: 10.1016/j.amjcard.2006.07.043. Epub 2006 Oct 25. PMID: 17145226.</t>
  </si>
  <si>
    <t>77: Caimmi PP, Grossini E, Molinari C, Vacca G, Teodori G. Intracoronary infusion of levosimendan to treat postpericardiotomy heart failure. Ann Thorac Surg. 2006 Nov;82(5):e33-4. doi: 10.1016/j.athoracsur.2006.06.051. PMID: 17062205</t>
  </si>
  <si>
    <t>76: Grimm W. What is evidence-based, what is new in medical therapy of acute heart failure? Herz. 2006 Nov;31(8):771-9. doi: 10.1007/s00059-006-2910-y. PMID: 17149679</t>
  </si>
  <si>
    <t>75: Trikas A, Antoniades C, Latsios G, Vasiliadou K, Karamitros I, Tousoulis D, Tentolouris C, Stefanadis C. Long-term effects of levosimendan infusion on inflammatory processes and sFas in patients with severe heart failure. Eur J Heart Fail. 2006 Dec;8(8):804-9. doi: 10.1016/j.ejheart.2006.03.003. Epub 2006 May 19. PMID: 16713737.</t>
  </si>
  <si>
    <t>74: Parissis JT, Adamopoulos S, Farmakis D, Filippatos G, Paraskevaidis I, Panou F, Iliodromitis E, Kremastinos DT. Effects of serial levosimendan infusions on left ventricular performance and plasma biomarkers of myocardial injury and neurohormonal and immune activation in patients with advanced heart failure. Heart. 2006 Dec;92(12):1768-72. doi: 10.1136/hrt.2006.079707. Erratum in: Heart. 2009 Jan;95(1):84. PMID: 17105880; PMCID: PMC1861282.</t>
  </si>
  <si>
    <t>73: Parissis JT, Paraskevaidis I, Bistola V, Farmakis D, Panou F, Kourea K, Nikolaou M, Filippatos G, Kremastinos D. Effects of levosimendan on right ventricular function in patients with advanced heart failure. Am J Cardiol. 2006 Dec 1;98(11):1489-92. doi: 10.1016/j.amjcard.2006.06.052. Epub 2006 Oct 13. PMID: 17126656.</t>
  </si>
  <si>
    <t>63: Lehtonen L, Põder P. The utility of levosimendan in the treatment of heart failure. Ann Med. 2007;39(1):2-17. doi: 10.1080/07853890601073346. PMID: 17364447</t>
  </si>
  <si>
    <t>64: Puttonen J, Kantele S, Kivikko M, Häkkinen S, Harjola VP, Koskinen P, Pentikäinen PJ. Effect of severe renal failure and haemodialysis on the pharmacokinetics of levosimendan and its metabolites. Clin Pharmacokinet. 2007;46(3):235-46. doi: 10.2165/00003088-200746030-00004. PMID: 17328582.</t>
  </si>
  <si>
    <t>66: Lechner E, Moosbauer W, Pinter M, Mair R, Tulzer G. Use of levosimendan, a new inodilator, for postoperative myocardial stunning in a premature neonate. Pediatr Crit Care Med. 2007 Jan;8(1):61-3. doi:10.1097/01.PCC.0000253026.67341.5D. PMID: 17149153.</t>
  </si>
  <si>
    <t>65: Parissis JT, Farmakis D, Bistola V, Adamopoulos S, Kremastinos DT. Levosimendan for the treatment of acute heart failure syndromes: time to identify subpopulations of responding patients. Am J Cardiol. 2007 Jan 1;99(1):146-7. doi: 10.1016/j.amjcard.2006.10.007. Epub 2006 Nov 29. PMID: 17196480</t>
  </si>
  <si>
    <t>62: Antila S, Sundberg S, Lehtonen LA. Clinical pharmacology of levosimendan. Clin Pharmacokinet. 2007;46(7):535-52. doi: 10.2165/00003088-200746070-00001. PMID: 17596101.</t>
  </si>
  <si>
    <t>61: Padayachee L. Levosimendan: the inotrope of choice in cardiogenic shock secondary to takotsubo cardiomyopathy? Heart Lung Circ. 2007;16 Suppl 3:S65-70. doi: 10.1016/j.hlc.2007.03.018. Epub 2007 Jul 5. PMID: 17616435.</t>
  </si>
  <si>
    <t>59: Toller W, Knez I. Medical support and surgery of the failing heart: levosimendan. Scand J Surg. 2007;96(2):121-4. doi: 10.1177/145749690709600206. PMID: 17679353.</t>
  </si>
  <si>
    <t>57: Berger R, Moertl D, Huelsmann M, Bojic A, Ahmadi R, Heissenberger I, Pacher R. Levosimendan and prostaglandin E1 for uptitration of beta-blockade in patients with refractory, advanced chronic heart failure. Eur J Heart Fail. 2007 Feb;9(2):202-8. doi: 10.1016/j.ejheart.2006.06.001. Epub 2006 Jul 21. PMID: 16859992</t>
  </si>
  <si>
    <t>56: Agewall S, Atar D. Levosimendan: perpetuum mobile? Eur Heart J. 2007 Feb;28(4):515. doi: 10.1093/eurheartj/ehl487. Epub 2007 Feb 5. PMID: 17283001.</t>
  </si>
  <si>
    <t>52: Dubin A, Murias G, Sottile JP, Pozo MO, Barán M, Edul VS, Canales HS, Etcheverry G, Maskin B, Estenssoro E. Effects of levosimendan and dobutamine in experimental acute endotoxemia: a preliminary controlled study. Intensive Care Med. 2007 Mar;33(3):485-94. doi: 10.1007/s00134-006-0519-5. Epub 2007 Jan 30. PMID: 17262190.</t>
  </si>
  <si>
    <t>53: De Backer D, Taccone FS, Radermacher P. Levosimendan in septic shock: another piece in the puzzle, but many pieces are still lacking. Intensive Care Med. 2007 Mar;33(3):403-5. doi: 10.1007/s00134-006-0520-z. Epub 2007 Jan 30. PMID: 17262189.</t>
  </si>
  <si>
    <t>54: Missant C, Rex S, Segers P, Wouters PF. Levosimendan improves right ventriculovascular coupling in a porcine model of right ventricular dysfunction. Crit Care Med. 2007 Mar;35(3):707-15. doi: 10.1097/01.CCM.0000257326.96342.57. Erratum in: Crit Care Med. 2007 Sep;35(9):2240. PMID: 17255859.</t>
  </si>
  <si>
    <t>55: Tilling L, Colin Forfar J. Cinacalcet-associated cardiogenic shock in a patient with cardiomyopathy. Clin Ther. 2007 Feb;29(2):352-6. doi:10.1016/j.clinthera.2007.02.002. PMID: 17472827.</t>
  </si>
  <si>
    <t>51: Iriz E, Erer D, Unal Y, Zor H, Ozkose Z, Ozdogan ME. Successful use of levosimendan in a patient during cardiopulmonary bypass. J Card Surg. 2007 Mar-Apr;22(2):153-6. doi: 10.1111/j.1540-8191.2007.00359.x. PMID: 17338755.</t>
  </si>
  <si>
    <t>50: Westphal M, Morelli A, Van Aken H. Dear levosimendan, the right ventricle will thank you! Crit Care Med. 2007 Mar;35(3):952-3. doi:10.1097/01.ccm.0000257238.75346.db. PMID: 17421086.</t>
  </si>
  <si>
    <t>49: Malliotakis P, Xenikakis T, Linardakis M, Hassoulas J. Haemodynamic effects of levosimendan for low cardiac output after cardiac surgery: a case series. Hellenic J Cardiol. 2007 Mar-Apr;48(2):80-8. PMID: 17489345.</t>
  </si>
  <si>
    <t>48: Givertz MM, Andreou C, Conrad CH, Colucci WS. Direct myocardial effects of levosimendan in humans with left ventricular dysfunction: alteration of force-frequency and relaxation-frequency relationships. Circulation. 2007 Mar 13;115(10):1218-24. doi: 10.1161/CIRCULATIONAHA.106.668640. Epub 2007 Mar 5. PMID: 17339544.</t>
  </si>
  <si>
    <t>47: Endoh M. Could Ca2+ sensitizers rescue patients from chronic congestive heart failure? Br J Pharmacol. 2007 Apr;150(7):826-8. doi:10.1038/sj.bjp.0707163. Epub 2007 Feb 26. PMID: 17325657; PMCID: PMC2013876.</t>
  </si>
  <si>
    <t>46: Louhelainen M, Vahtola E, Kaheinen P, Leskinen H, Merasto S, Kytö V, Finckenberg P, Colucci WS, Levijoki J, Pollesello P, Haikala H, Mervaala EM. Effects of levosimendan on cardiac remodeling and cardiomyocyte apoptosis in hypertensive Dahl/Rapp rats. Br J Pharmacol. 2007 Apr;150(7):851-61. doi:10.1038/sj.bjp.0707157. Epub 2007 Feb 26. PMID: 17325658; PMCID: PMC2013885.</t>
  </si>
  <si>
    <t>45: Cavusoglu Y. The use of levosimendan in comparison and in combination with dobutamine in the treatment of decompensated heart failure. Expert Opin Pharmacother. 2007 Apr;8(5):665-77. doi: 10.1517/14656566.8.5.665. PMID: 17376021</t>
  </si>
  <si>
    <t>44: Pagel PS. Levosimendan in cardiac surgery: a unique drug for the treatment of perioperative left ventricular dysfunction or just another inodilator searching for a clinical application? Anesth Analg. 2007 Apr;104(4):759-61. doi:10.1213/01.ane.0000256864.75206.6d. PMID: 17377077.</t>
  </si>
  <si>
    <t>42: Powell BP, De Keulenaer B. Levosimendan: a new option in acute septic cardiac failure? Emerg Med Australas. 2007 Apr;19(2):177; author reply 177-8. doi: 10.1111/j.1742-6723.2007.00952.x. PMID: 17448109.</t>
  </si>
  <si>
    <t>43: De Hert SG, Lorsomradee S, Cromheecke S, Van der Linden PJ. The effects of levosimendan in cardiac surgery patients with poor left ventricular function. Anesth Analg. 2007 Apr;104(4):766-73. doi: 10.1213/01.ane.0000256863.92050.d3. Erratum in: Anesth Analg. 2007 Jun;104(6):1544. Dosage error in article text. PMID: 17377079.</t>
  </si>
  <si>
    <t>41: Spinar J, Vítovec J. Intravenózní lécba akutního srdecního selhání [Intravenous treatment of acute heart failure]. Vnitr Lek. 2007 Apr;53(4):412-9. Czech. PMID: 17578177.</t>
  </si>
  <si>
    <t>40: Antoniades C, Tousoulis D, Koumallos N, Marinou K, Stefanadis C. Levosimendan: beyond its simple inotropic effect in heart failure. Pharmacol Ther. 2007 May;114(2):184-97. doi: 10.1016/j.pharmthera.2007.01.008. Epub 2007 Feb 16. PMID: 17363065.</t>
  </si>
  <si>
    <t>39: Barraud D, Faivre V, Damy T, Welschbillig S, Gayat E, Heymes C, Payen D, Shah AM, Mebazaa A. Levosimendan restores both systolic and diastolic cardiac performance in lipopolysaccharide-treated rabbits: comparison with dobutamine and milrinone. Crit Care Med. 2007 May;35(5):1376-82. doi:10.1097/01.CCM.0000261889.18102.84. PMID: 17414729.</t>
  </si>
  <si>
    <t>38: Yildiz O. Vasodilating mechanisms of levosimendan: involvement of K+ channels. J Pharmacol Sci. 2007 May;104(1):1-5. doi: 10.1254/jphs.cp0060010. Epub 2007 Apr 24. PMID: 17452812.</t>
  </si>
  <si>
    <t>37: Mebazaa A, Nieminen MS, Packer M, Cohen-Solal A, Kleber FX, Pocock SJ, Thakkar R, Padley RJ, Põder P, Kivikko M; SURVIVE Investigators. Levosimendan vs dobutamine for patients with acute decompensated heart failure: the SURVIVE Randomized Trial. JAMA. 2007 May 2;297(17):1883-91. doi:10.1001/jama.297.17.1883. PMID: 17473298.</t>
  </si>
  <si>
    <t>34: Watanabe H, Kajimoto K, Kawana M. [Combination therapy with PDE III inhibitor for heart failure]. Nihon Rinsho. 2007 May 28;65 Suppl 5:134-9. Japanese. PMID: 17571377.</t>
  </si>
  <si>
    <t>35: Iwama Y, Takagi A. [Calcium sensitizer agents in heart failure therapy]. Nihon Rinsho. 2007 May 28;65 Suppl 5:61-5. Japanese. PMID: 17571366.</t>
  </si>
  <si>
    <t>36: Shinagawa H, Izumi T. [Calcium sensitizer: characteristics, mechanisms of action, pharmacokinetics, indication, contraindication, clinical data, and side effects]. Nihon Rinsho. 2007 May 28;65 Suppl 5:57-60. Japanese. PMID: 17569308.</t>
  </si>
  <si>
    <t>33: Yasumura Y. [Levosimendan for treatment of heart failure]. Nihon Rinsho. 2007 May 28;65 Suppl 5:169-72. Japanese. PMID: 17571380.</t>
  </si>
  <si>
    <t>32: Kasikcioglu HA, Uyarel H, Tartan Z, Kasikcioglu E, Ozturk R, Cam N. Do calcium sensitizers affect right ventricular functions in patients with chronic heart failure? Int J Cardiol. 2007 May 31;118(2):246-8. doi:10.1016/j.ijcard.2006.06.054. Epub 2006 Sep 28. PMID: 17011057.</t>
  </si>
  <si>
    <t>31: Parissis JT, Farmakis D, Nieminen M. Classical inotropes and new cardiac enhancers. Heart Fail Rev. 2007 Jun;12(2):149-56. doi:10.1007/s10741-007-9014-5. PMID: 17487580.</t>
  </si>
  <si>
    <t>30: Bredin F, Franco-Cereceda A. Experiences of levosimendan as an inotropic agent in conjunction with passive containment surgery. Scand Cardiovasc J. 2007 Jun;41(3):197-200. doi: 10.1080/14017430601137160. PMID: 17487771.</t>
  </si>
  <si>
    <t>29: Ramaswamykanive H, Bihari D, Solano TR. Myocardial depression associated with pneumococcal septic shock reversed by levosimendan. Anaesth Intensive Care. 2007 Jun;35(3):409-13. doi: 10.1177/0310057X0703500316. PMID: 17591138.</t>
  </si>
  <si>
    <t>28: Garcia JA, Simvoulidis LF, Salluh JI, Hansen MH, Feres GA, Holanda GS, Souza RC, Toscano L, Soares M. Levosimendan in acute decompensation of anthracycline-induced cardiotoxicity. Int J Cardiol. 2007 Jun 12;118(3):406-7. doi:10.1016/j.ijcard.2006.07.051. Epub 2006 Oct 6. PMID: 17028018.</t>
  </si>
  <si>
    <t>27: Cunha-Goncalves D, Perez-de-Sa V, Dahm P, Grins E, Thörne J, Blomquist S. Cardiovascular effects of levosimendan in the early stages of endotoxemia. Shock. 2007 Jul;28(1):71-7. doi: 10.1097/shk.0b013e31804d18f6. PMID: 17510599.</t>
  </si>
  <si>
    <t>26: Sargento L, Brito D, Matias JS, Madeira H. Evaluation of the clinical, hemodynamic and neurohormonal response to levosimendan administration in decompensated heart failure patients. One-month follow-up. Rev Port Cardiol. 2007 Jul-Aug;26(7-8):717-26. English, Portuguese. PMID: 17939581.</t>
  </si>
  <si>
    <t>25: Rabasseda X. Therapies for heart failure: a report from the Heart Failure Congress 2007. Timely Top Med Cardiovasc Dis. 2007 Jul 13;11:E16. PMID: 18297144</t>
  </si>
  <si>
    <t>24: Kerbaul F, Gariboldi V, Giorgi R, Mekkaoui C, Guieu R, Fesler P, Gouin F, Brimioulle S, Collart F. Effects of levosimendan on acute pulmonary embolism-induced right ventricular failure. Crit Care Med. 2007 Aug;35(8):1948-54. doi:10.1097/01.CCM.0000275266.33910.8D. PMID: 17568324.</t>
  </si>
  <si>
    <t>23: Parissis JT, Papadopoulos C, Nikolaou M, Bistola V, Farmakis D, Paraskevaidis I, Filippatos G, Kremastinos D. Effects of levosimendan on quality of life and emotional stress in advanced heart failure patients. Cardiovasc Drugs Ther. 2007 Aug;21(4):263-8. doi: 10.1007/s10557-007-6034-2. PMID: 17610056</t>
  </si>
  <si>
    <t>22: Adams N. The heart rules the head. Emerg Med Australas. 2007 Aug;19(4):383; author reply 383. doi: 10.1111/j.1742-6723.2007.00998.x. PMID: 17655645.</t>
  </si>
  <si>
    <t>21: Lambermont B, Ghuysen A, Harstein G, D'Orio V. Levosimendan: right for the right ventricle? Crit Care Med. 2007 Aug;35(8):1995-6. doi:10.1097/01.CCM.0000277251.70227.9D. PMID: 17667254.</t>
  </si>
  <si>
    <t>20: Zemljic G, Bunc M, Yazdanbakhsh AP, Vrtovec B. Levosimendan improves renal function in patients with advanced chronic heart failure awaiting cardiac transplantation. J Card Fail. 2007 Aug;13(6):417-21. doi:10.1016/j.cardfail.2007.03.005. PMID: 17675054.</t>
  </si>
  <si>
    <t>19: Llorens-Soriano P, Carbajosa-Dalmau J, Fernández-Cañadas J, Murcia-Zaragoza J, Climent-Payá V, Laghzaoui F, Diéguez-Zaragoza S, Carrasco-Moreno R. Experiencia clínica con levosimendán en un servicio de urgencias de un hospital de tercer nivel [Clinical experience with levosimendan in the emergency department of a tertiary care hospital]. Rev Esp Cardiol. 2007 Aug;60(8):878-82. Spanish. PMID: 17688858.</t>
  </si>
  <si>
    <t>1: Powell BP, Simes D. Levosimendan in acute pulmonary embolism. Anaesth Intensive Care. 2007 Oct;35(5):771-2. doi: 10.1177/0310057X0703500518. PMID: 17933166</t>
  </si>
  <si>
    <t>2: Garcia-Gonzalez MJ, Dominguez-Rodriguez A, Abreu-Gonzalez P. New pharmacologic options in the treatment of acute coronary syndromes and myocardial ischemia-reperfusion injury: potential role of levosimendan. Minerva Cardioangiol. 2007 Oct;55(5):625-35. PMID: 17912166.</t>
  </si>
  <si>
    <t>3: Guarracino F, Cariello C, Danella A, Doroni L, Lapolla F, Stefani M, Baldassarri R, Vullo C. Effect of levosimendan on ventriculo-arterial coupling in patients with ischemic cardiomyopathy. Acta Anaesthesiol Scand. 2007 Oct;51(9):1217-24. doi: 10.1111/j.1399-6576.2007.01428.x. PMID: 17850562.</t>
  </si>
  <si>
    <t>4: Woods J, Monteiro P, Rhodes A. Right ventricular dysfunction. Curr Opin Crit Care. 2007 Oct;13(5):532-40. doi: 10.1097/MCC.0b013e3282efd5a6. PMID: 17762232.</t>
  </si>
  <si>
    <t>5: Das B, Sarkar C. Pharmacological preconditioning by levosimendan is mediated by inducible nitric oxide synthase and mitochondrial KATP channel activation in the in vivo anesthetized rabbit heart model. Vascul Pharmacol. 2007 Oct;47(4):248-56. doi: 10.1016/j.vph.2007.06.008. Epub 2007 Jul 4. PMID: 17728191</t>
  </si>
  <si>
    <t>6: Akar F, Manavbasi Y, Parlar AI, Ulus AT, Katircioglu SF. The gender differences in the relaxation to levosimendan of human internal mammary artery. Cardiovasc Drugs Ther. 2007 Oct;21(5):331-8. doi: 10.1007/s10557-007-6047-x. PMID: 17703356.</t>
  </si>
  <si>
    <t>7: Tasouli A, Papadopoulos K, Antoniou T, Kriaras I, Stavridis G, Degiannis D, Geroulanos S. Efficacy and safety of perioperative infusion of levosimendan in patients with compromised cardiac function undergoing open-heart surgery: importance of early use. Eur J Cardiothorac Surg. 2007 Oct;32(4):629-33. doi:10.1016/j.ejcts.2007.07.010. Epub 2007 Aug 15. Erratum in: Eur J Cardiothorac Surg. 2008 Mar;33(3):521. PMID: 17702589.</t>
  </si>
  <si>
    <t>8: Butler J, Giamouzis G, Giannakoulas G. A struggle to SURVIVE: to abandon or not to abandon levosimendan? Cardiovasc Drugs Ther. 2007 Oct;21(5):401-2. doi:10.1007/s10557-007-6046-y. PMID: 17701453.</t>
  </si>
  <si>
    <t>9: Kankaanranta H, Zhang X, Tumelius R, Ruotsalainen M, Haikala H, Nissinen E, Moilanen E. Antieosinophilic activity of simendans. J Pharmacol Exp Ther. 2007 Oct;323(1):31-8. doi: 10.1124/jpet.107.124057. Epub 2007 Jul 9. PMID: 17620456.</t>
  </si>
  <si>
    <t>10: Guarracino F, Tritapepe L, Morelli A. Letter by Guarracino et al regarding article, "Direct myocardial effects of levosimendan in humans with left ventricular dysfunction: alteration of force-frequency and relaxation-frequency relationships". Circulation. 2007 Sep 11;116(11):e346; author reply e347. doi:10.1161/CIRCULATIONAHA.107.706424. PMID: 17846338.</t>
  </si>
  <si>
    <t>11: Pollesello P, Papp Z. The cardioprotective effects of levosimendan: preclinical and clinical evidence. J Cardiovasc Pharmacol. 2007 Sep;50(3):257-63. doi: 10.1097/FJC.0b013e3180986230. PMID: 17878752.</t>
  </si>
  <si>
    <t>12: Mavrogeni S, Giamouzis G, Papadopoulou E, Thomopoulou S, Dritsas A, Athanasopoulos G, Adreanides E, Vassiliadis I, Spargias K, Panagiotakos D, Cokkinos DV. A 6-month follow-up of intermittent levosimendan administration effect on systolic function, specific activity questionnaire, and arrhythmia in advanced heart failure. J Card Fail. 2007 Sep;13(7):556-9. doi:10.1016/j.cardfail.2007.04.004. PMID: 17826646.</t>
  </si>
  <si>
    <t>13: Delaney A, Bradford C, McCaffrey J, Bagshaw SM, Lee R. Is there a place for levosimendan in the intensive care unit? Crit Care Resusc. 2007 Sep;9(3):290-2. PMID: 17767458.</t>
  </si>
  <si>
    <t>15: Powell BP, De Keulenaer BL. Levosimendan in septic shock: a case series. Br J Anaesth. 2007 Sep;99(3):447-8. doi: 10.1093/bja/aem225. PMID: 17702832.</t>
  </si>
  <si>
    <t>14: Stehr SN, Christ T, Rasche B, Rasche S, Wettwer E, Deussen A, Ravens U, Koch T, Hübler M. The effects of levosimendan on myocardial function in ropivacaine toxicity in isolated guinea pig heart preparations. Anesth Analg. 2007 Sep;105(3):641-7. doi: 10.1213/01.ane.0000278146.15671.03. PMID: 17717217.</t>
  </si>
  <si>
    <t>16: Koudouna E, Xanthos T, Bassiakou E, Goulas S, Lelovas P, Papadimitriou D, Tsirikos N, Papadimitriou L. Levosimendan improves the initial outcome of cardiopulmonary resuscitation in a swine model of cardiac arrest. Acta Anaesthesiol Scand. 2007 Sep;51(8):1123-9. doi:10.1111/j.1399-6576.2007.01383.x. PMID: 17697310.</t>
  </si>
  <si>
    <t>18: Song ZZ, Ma J. Patients with advanced heart failure and the effects of levosimendan. Am J Cardiol. 2007 Aug 15;100(4):742; author reply 742-3. doi:10.1016/j.amjcard.2007.01.008. Epub 2007 Mar 26. PMID: 17697841.</t>
  </si>
  <si>
    <t>17: Cianfrocca C, Pelliccia F, Auriti A, Guido V, Pasceri V, Li X, Richichi G, Mercuro G, Santini M. Levosimendan allows detection of contractile reserve in patients with chronic ischaemic left ventricular dysfunction and non-diagnostic dobutamine echocardiography. Eur J Heart Fail. 2007 Sep;9(9):897-900. doi:10.1016/j.ejheart.2007.05.003. Epub 2007 Jun 14. PMID: 17572145.</t>
  </si>
  <si>
    <t>1: Kyrzopoulos S, Adamopoulos S, Parissis JT, Rassias J, Kostakis G, Iliodromitis E, Degiannis D, Kremastinos DT. Levosimendan reduces plasma B-type natriuretic peptide and interleukin 6, and improves central hemodynamics in severe heart failure patients. Int J Cardiol. 2005 Mar 30;99(3):409-13. doi:10.1016/j.ijcard.2004.02.013. PMID: 15771921.</t>
  </si>
  <si>
    <t>200: Pagel PS, Hettrick DA, Warltier DC. Comparison of the effects of levosimendan, pimobendan, and milrinone on canine left ventricular-arterial coupling and mechanical efficiency. Basic Res Cardiol. 1996 Jul-Aug;91(4):296-307. doi: 10.1007/BF00789302. PMID: 8874779.</t>
  </si>
  <si>
    <t>199: Todaka K, Wang J, Yi GH, Stennett R, Knecht M, Packer M, Burkhoff D. Effects of levosimendan on myocardial contractility and oxygen consumption. J Pharmacol Exp Ther. 1996 Oct;279(1):120-7. PMID: 8858984.</t>
  </si>
  <si>
    <t>198: Pagel PS, Hettrick DA, Warltier DC. Influence of levosimendan, pimobendan, and milrinone on the regional distribution of cardiac output in anaesthetized dogs. Br J Pharmacol. 1996 Oct;119(3):609-15. doi:10.1111/j.1476-5381.1996.tb15716.x. PMID: 8894186; PMCID: PMC1915696.</t>
  </si>
  <si>
    <t>197: Bokník P, Neumann J, Kaspareit G, Schmitz W, Scholz H, Vahlensieck U, Zimmermann N. Mechanisms of the contractile effects of levosimendan in the mammalian heart. J Pharmacol Exp Ther. 1997 Jan;280(1):277-83. PMID: 8996207.</t>
  </si>
  <si>
    <t>195: McGough MF, Pagel PS, Lowe D, Hettrick DA, Kersten JR, Warltier DC. Effects of levosimendan on left ventricular function: correlation with plasma concentrations in conscious dogs. J Cardiothorac Vasc Anesth. 1997 Feb;11(1):49-53. doi: 10.1016/s1053-0770(97)90252-4. PMID: 9058220.</t>
  </si>
  <si>
    <t>194: Ukkonen H, Saraste M, Akkila J, Knuuti MJ, Lehikoinen P, Någren K, Lehtonen L, Voipio-Pulkki LM. Myocardial efficiency during calcium sensitization with levosimendan: a noninvasive study with positron emission tomography and echocardiography in healthy volunteers. Clin Pharmacol Ther. 1997 May;61(5):596-607. doi: 10.1016/S0009-9236(97)90139-9. PMID: 9164421.</t>
  </si>
  <si>
    <t>193: Pagel PS, McGough MF, Hettrick DA, Lowe D, Tessmer JP, Jamali IN, Warltier DC. Levosimendan enhances left ventricular systolic and diastolic function in conscious dogs with pacing-induced cardiomyopathy. J Cardiovasc Pharmacol. 1997 May;29(5):563-73. doi: 10.1097/00005344-199705000-00001. PMID: 9213196.</t>
  </si>
  <si>
    <t>192: Haikala H, Kaheinen P, Levijoki J, Lindén IB. The role of cAMP- and cGMP-dependent protein kinases in the cardiac actions of the new calcium sensitizer, levosimendan. Cardiovasc Res. 1997 Jun;34(3):536-46. doi:10.1016/s0008-6363(97)00057-6. PMID: 9231037.</t>
  </si>
  <si>
    <t>184: Teramura S, Yamakado T. Calcium sensitizers in chronic heart failure: inotropic interventions-reservation to preservation. Cardiologia. 1998 Apr;43(4):375-85. PMID: 9659795.</t>
  </si>
  <si>
    <t>186: Mathew L, Katz SD. Calcium sensitising agents in heart failure. Drugs Aging. 1998 Mar;12(3):191-204. doi: 10.2165/00002512-199812030-00003. PMID: 9534020</t>
  </si>
  <si>
    <t>187: Lancaster MK, Cook SJ. The effects of levosimendan on [Ca2+]i in guinea-pig isolated ventricular myocytes. Eur J Pharmacol. 1997 Nov 19;339(1):97-100. doi:10.1016/s0014-2999(97)01362-9. PMID: 9450621.</t>
  </si>
  <si>
    <t>188: Yokoshiki H, Katsube Y, Sunagawa M, Sperelakis N. The novel calcium sensitizer levosimendan activates the ATP-sensitive K+ channel in rat ventricular cells. J Pharmacol Exp Ther. 1997 Oct;283(1):375-83. PMID: 9336346.</t>
  </si>
  <si>
    <t>189: Yokoshiki H, Katsube Y, Sunagawa M, Sperelakis N. Levosimendan, a novel Ca2+ sensitizer, activates the glibenclamide-sensitive K+ channel in rat arterial myocytes. Eur J Pharmacol. 1997 Aug 27;333(2-3):249-59. doi:10.1016/s0014-2999(97)01108-4. PMID: 9314042.</t>
  </si>
  <si>
    <t>190: Antila S, Järvinen A, Akkila J, Honkanen T, Karlsson M, Lehtonen L. Studies on psychomotoric effects and pharmacokinetic interactions of the new calcium sensitizing drug levosimendan and ethanol. Arzneimittelforschung. 1997 Jul;47(7):816-20. PMID: 9272237.</t>
  </si>
  <si>
    <t>191: Jamali IN, Kersten JR, Pagel PS, Hettrick DA, Warltier DC. Intracoronary levosimendan enhances contractile function of stunned myocardium. Anesth Analg. 1997 Jul;85(1):23-9. doi: 10.1097/00000539-199707000-00005. PMID: 9212117.</t>
  </si>
  <si>
    <t>185: Lilleberg J, Nieminen MS, Akkila J, Heikkilä L, Kuitunen A, Lehtonen L, Verkkala K, Mattila S, Salmenperä M. Effects of a new calcium sensitizer, levosimendan, on haemodynamics, coronary blood flow and myocardial substrate utilization early after coronary artery bypass grafting. Eur Heart J. 1998 Apr;19(4):660-8. doi: 10.1053/euhj.1997.0806. PMID: 9597417.</t>
  </si>
  <si>
    <t>183: Gruhn N, Nielsen-Kudsk JE, Theilgaard S, Bang L, Olesen SP, Aldershvile J. Coronary vasorelaxant effect of levosimendan, a new inodilator with calcium-sensitizing properties. J Cardiovasc Pharmacol. 1998 May;31(5):741-9. doi:10.1097/00005344-199805000-00013. PMID: 9593074.</t>
  </si>
  <si>
    <t>182: Sato S, Talukder MA, Sugawara H, Sawada H, Endoh M. Effects of levosimendan on myocardial contractility and Ca2+ transients in aequorin-loaded right-ventricular papillary muscles and indo-1-loaded single ventricular cardiomyocytes of the rabbit. J Mol Cell Cardiol. 1998 Jun;30(6):1115-28. doi:10.1006/jmcc.1998.0677. PMID: 9689586.</t>
  </si>
  <si>
    <t>181: Zimmermann N, Boknik P, Gams E, Herzig JW, Neumann J, Scholz H. Calcium sensitization as new principle of inotropic therapy in end-stage heart failure? Eur J Cardiothorac Surg. 1998 Jul;14(1):70-5. doi:10.1016/s1010-7940(98)00129-8. PMID: 9726618.</t>
  </si>
  <si>
    <t>180: Antila S, Honkanen T, Lehtonen L, Neuvonen PJ. The CYP3A4 inhibitor intraconazole does not affect the pharmacokinetics of a new calcium-sensitizing drug levosimendan. Int J Clin Pharmacol Ther. 1998 Aug;36(8):446-9. PMID: 9726699</t>
  </si>
  <si>
    <t>179: Kristof E, Szigeti G, Papp Z, Bodi A, Facsko A, Kovacs L, Papp JG, Kranias EG, Edes I. Cardiac responses to calcium sensitizers and isoproterenol in intact guinea pig hearts. Effects on cyclic AMP levels, protein phosphorylation, myoplasmic calcium concentration, and left ventricular function. Ann N Y Acad Sci. 1998 Sep 16;853:316-9. doi: 10.1111/j.1749-6632.1998.tb08288.x. PMID: 10603968</t>
  </si>
  <si>
    <t>178: Leier CV, Binkley PF. Parenteral inotropic support for advanced congestive heart failure. Prog Cardiovasc Dis. 1998 Nov-Dec;41(3):207-24. doi:10.1016/s0033-0620(98)80056-x. PMID: 9872607.</t>
  </si>
  <si>
    <t>177: Hasenfuss G, Pieske B, Castell M, Kretschmann B, Maier LS, Just H. Influence of the novel inotropic agent levosimendan on isometric tension and calcium cycling in failing human myocardium. Circulation. 1998 Nov 17;98(20):2141-7. doi: 10.1161/01.cir.98.20.2141. PMID: 9815868.</t>
  </si>
  <si>
    <t>143: Tepper D. Frontiers in congestive heart failure: Hemodynamic and neurohormonal effects of continuous infusion of levosimendan in patients with congestive heart failure. Congest Heart Fail. 2001 Mar-Apr;7(2):110. PMID: 11828149</t>
  </si>
  <si>
    <t>144: Porcu M, Orrù P. Effetti acuti emodinamici e clinici di un nuovo inotropo, il levosimendan, in pazienti con scompenso cardiaco avanzato [Acute hemodynamic and clinical effects of a new inotropic agent, levosimendan, in patients with severe heart failure]. Ital Heart J Suppl. 2001 Feb;2(2):205-6. Italian. PMID: 11255888</t>
  </si>
  <si>
    <t>145: Young JB. New therapeutic choices in the management of acute congestive heart failure. Rev Cardiovasc Med. 2001;2 Suppl 2:S19-24. PMID: 12439358.</t>
  </si>
  <si>
    <t>146: Figgitt DP, Gillies PS, Goa KL. Levosimendan. Drugs. 2001;61(5):613-27; discussion 628-9. doi: 10.2165/00003495-200161050-00006. PMID: 11368286.</t>
  </si>
  <si>
    <t>147: Krassói I, Pataricza J, Kun A, Papp JG. Calcium-dependent vasorelaxant capacity of levosimendan in porcine and human epicardial coronary artery preparations. Cardiovasc Drugs Ther. 2000 Dec;14(6):691-3. doi:10.1023/a:1007883402379. PMID: 11300371.</t>
  </si>
  <si>
    <t>148: Antila S, Jarvinen A, Honkanen T, Lehtonen L. Pharmacokinetic and pharmacodynamic interactions between the novel calcium sensitiser levosimendan and warfarin. Eur J Clin Pharmacol. 2000 Dec;56(9-10):705-10. doi:10.1007/s002280000204. PMID: 11214780.</t>
  </si>
  <si>
    <t>142: Sorsa T, Heikkinen S, Abbott MB, Abusamhadneh E, Laakso T, Tilgmann C, Serimaa R, Annila A, Rosevear PR, Drakenberg T, Pollesello P, Kilpelainen I. Binding of levosimendan, a calcium sensitizer, to cardiac troponin C. J Biol Chem. 2001 Mar 23;276(12):9337-43. doi: 10.1074/jbc.M007484200. Epub 2000 Dec 11. PMID: 11113122.</t>
  </si>
  <si>
    <t>141: Kaheinen P, Pollesello P, Levijoki J, Haikala H. Levosimendan increases diastolic coronary flow in isolated guinea-pig heart by opening ATP-sensitive potassium channels. J Cardiovasc Pharmacol. 2001 Apr;37(4):367-74. doi:10.1097/00005344-200104000-00003. PMID: 11300649.</t>
  </si>
  <si>
    <t>140: Lehtonen LA. Levosimendan: a parenteral calcium-sensitising drug with additional vasodilatory properties. Expert Opin Investig Drugs. 2001 May;10(5):955-70. doi: 10.1517/13543784.10.5.955. PMID: 11322869.</t>
  </si>
  <si>
    <t>139: Levijoki J, Pollesello P, Kaheinen P, Haikala H. Improved survival with simendan after experimental myocardial infarction in rats. Eur J Pharmacol. 2001 May 11;419(2-3):243-8. doi: 10.1016/s0014-2999(01)00997-9. PMID: 11426847.</t>
  </si>
  <si>
    <t>138: du Toit E, Hofmann D, McCarthy J, Pineda C. Effect of levosimendan on myocardial contractility, coronary and peripheral blood flow, and arrhythmias during coronary artery ligation and reperfusion in the in vivo pig model. Heart. 2001 Jul;86(1):81-7. doi: 10.1136/heart.86.1.81. PMID: 11410569; PMCID: PMC1729816.</t>
  </si>
  <si>
    <t>137: Chin BS, Lip GY. New pharmacological strategies for the treatment of heart failure. Curr Opin Investig Drugs. 2001 Jul;2(7):923-8. PMID: 11757792.</t>
  </si>
  <si>
    <t>136: Endoh M. Mechanism of action of Ca2+ sensitizers--update 2001. Cardiovasc Drugs Ther. 2001 Sep;15(5):397-403. doi: 10.1023/a:1013385305567. PMID: 11855658</t>
  </si>
  <si>
    <t>135: Kopustinskiene DM, Pollesello P, Saris NE. Levosimendan is a mitochondrial K(ATP) channel opener. Eur J Pharmacol. 2001 Oct 12;428(3):311-4. doi:10.1016/s0014-2999(01)01350-4. PMID: 11689188.</t>
  </si>
  <si>
    <t>134: Oldner A, Konrad D, Weitzberg E, Rudehill A, Rossi P, Wanecek M. Effects of levosimendan, a novel inotropic calcium-sensitizing drug, in experimental septic shock. Crit Care Med. 2001 Nov;29(11):2185-93. doi:10.1097/00003246-200111000-00022. PMID: 11700420.</t>
  </si>
  <si>
    <t>149: Nieminen MS, Akkila J, Hasenfuss G, Kleber FX, Lehtonen LA, Mitrovic V, Nyquist O, Remme WJ. Hemodynamic and neurohumoral effects of continuous infusion of levosimendan in patients with congestive heart failure. J Am Coll Cardiol. 2000 Nov 15;36(6):1903-12. doi: 10.1016/s0735-1097(00)00961-x. PMID: 11092663.</t>
  </si>
  <si>
    <t>150: Ukkonen H, Saraste M, Akkila J, Knuuti J, Karanko M, Iida H, Lehikoinen P, Någren K, Lehtonen L, Voipio-Pulkki LM. Myocardial efficiency during levosimendan infusion in congestive heart failure. Clin Pharmacol Ther. 2000 Nov;68(5):522-31. doi: 10.1067/mcp.2000.110972. PMID: 11103755.</t>
  </si>
  <si>
    <t>152: Haikala H, Pollesello P. Calcium sensitivity enhancers. IDrugs. 2000 Oct;3(10):1199-205. PMID: 16049841.</t>
  </si>
  <si>
    <t>153: Valjakka-Koskela R, Hirvonen J, Mönkkönen J, Kiesvaara J, Antila S, Lehtonen L, Urtti A. Transdermal delivery of levosimendan. Eur J Pharm Sci. 2000 Oct;11(4):343-50. doi: 10.1016/s0928-0987(00)00120-2. PMID: 11033078.</t>
  </si>
  <si>
    <t>151: Slawsky MT, Colucci WS, Gottlieb SS, Greenberg BH, Haeusslein E, Hare J, Hutchins S, Leier CV, LeJemtel TH, Loh E, Nicklas J, Ogilby D, Singh BN, Smith W. Acute hemodynamic and clinical effects of levosimendan in patients with severe heart failure. Study Investigators. Circulation. 2000 Oct 31;102(18):2222-7. doi: 10.1161/01.cir.102.18.2222. PMID: 11056096.</t>
  </si>
  <si>
    <t>154: Janssen PM, Datz N, Zeitz O, Hasenfuss G. Levosimendan improves diastolic and systolic function in failing human myocardium. Eur J Pharmacol. 2000 Sep 15;404(1-2):191-9. doi: 10.1016/s0014-2999(00)00609-9. PMID: 10980279.</t>
  </si>
  <si>
    <t>155: Takahashi R, Talukder MA, Endoh M. Inotropic effects of OR-1896, an active metabolite of levosimendan, on canine ventricular myocardium. Eur J Pharmacol. 2000 Jul 14;400(1):103-12. doi: 10.1016/s0014-2999(00)00385-x. PMID: 10913591.</t>
  </si>
  <si>
    <t>176: Sundberg S, Antila S, Scheinin H, Häyhä M, Virtanen M, Lehtonen L. Integrated pharmacokinetics and pharmacodynamics of the novel calcium sensitizer levosimendan as assessed by systolic time intervals. Int J Clin Pharmacol Ther. 1998 Dec;36(12):629-35. PMID: 9876999.</t>
  </si>
  <si>
    <t>175: Bowman P, Haikala H, Paul RJ. Levosimendan, a calcium sensitizer in cardiac muscle, induces relaxation in coronary smooth muscle through calcium desensitization. J Pharmacol Exp Ther. 1999 Jan;288(1):316-25. PMID: 9862786.</t>
  </si>
  <si>
    <t>172: Nijhawan N, Nicolosi AC, Montgomery MW, Aggarwal A, Pagel PS, Warltier DC. Levosimendan enhances cardiac performance after cardiopulmonary bypass: a prospective, randomized placebo-controlled trial. J Cardiovasc Pharmacol. 1999 Aug;34(2):219-28. doi: 10.1097/00005344-199908000-00007. PMID: 10445673.</t>
  </si>
  <si>
    <t>173: Du Toit EF, Muller CA, McCarthy J, Opie LH. Levosimendan: effects of a calcium sensitizer on function and arrhythmias and cyclic nucleotide levels during ischemia/reperfusion in the Langendorff-perfused guinea pig heart. J Pharmacol Exp Ther. 1999 Aug;290(2):505-14. PMID: 10411556.</t>
  </si>
  <si>
    <t>174: Köppel H, Holzmann S, Pilger E, Klein W, Gasser R. Minimal effects of levosimendan on coronary artery smooth muscle tone. Cardiovasc Drugs Ther. 1999 Jul;13(4):357-8. doi: 10.1023/a:1007719818929. PMID: 10516873.</t>
  </si>
  <si>
    <t>163: Sundberg S, Lehtonen L. Haemodynamic interactions between the novel calcium sensitiser levosimendan and isosorbide-5-mononitrate in healthy subjects. Eur J Clin Pharmacol. 2000 Feb-Mar;55(11-12):793-9. doi: 10.1007/s002280050699. PMID: 10805056</t>
  </si>
  <si>
    <t>164: Pataricza J, Hõhn J, Petri A, Balogh A, Papp JG. Comparison of the vasorelaxing effect of cromakalim and the new inodilator, levosimendan, in human isolated portal vein. J Pharm Pharmacol. 2000 Feb;52(2):213-7. doi:10.1211/0022357001773715. PMID: 10714952.</t>
  </si>
  <si>
    <t>165: Laine M, Lehtonen L, Nieminen MS. Kalsiumherkistäjät--uusi sydämen supistumisvireyttä lisäävä lääkeaineryhmä [Calcium sensitizers--a new group of drugs that increase myocardium contractility]. Duodecim. 2000;116(20):2181-3. Finnish. PMID: 12017622.</t>
  </si>
  <si>
    <t>166: Kersten JR, Montgomery MW, Pagel PS, Warltier DC. Levosimendan, a new positive inotropic drug, decreases myocardial infarct size via activation of K(ATP) channels. Anesth Analg. 2000 Jan;90(1):5-11. doi:10.1097/00000539-200001000-00003. PMID: 10624967.</t>
  </si>
  <si>
    <t>167: Afanas'ev SA, Timofeev VIu, Karpov RS. Troponinovyĭ komponent kardiotonicheskogo deĭstviia levosimendana na izolirovannyĭ miokard bol'nykh s khronicheskoĭ koronarnoĭ nedostatochnost'iu [Troponin component of the cardiotropic effect of levosimendan on the isolated myocardium from patients with chronic coronary insufficiency]. Biull Eksp Biol Med. 1999 Oct;128(10):457-8. Russian. PMID: 10599510.</t>
  </si>
  <si>
    <t>168: Antila S, Huuskonen H, Nevalainen T, Kanerva H, Vanninen P, Lehtonen L. Site dependent bioavailability and metabolism of levosimendan in dogs. Eur J Pharm Sci. 1999 Oct;9(1):85-91. doi: 10.1016/s0928-0987(99)00048-2. PMID: 10494001</t>
  </si>
  <si>
    <t>169: Kleerekoper Q, Putkey JA. Drug binding to cardiac troponin C. J Biol Chem. 1999 Aug 20;274(34):23932-9. doi: 10.1074/jbc.274.34.23932. PMID: 10446160.</t>
  </si>
  <si>
    <t>170: Gomes UC, Cleland JG. Heart failure update. Eur J Heart Fail. 1999 Aug;1(3):301-2. doi: 10.1016/s1388-9842(99)00040-9. PMID: 10935680.</t>
  </si>
  <si>
    <t>171: Kristof E, Szigeti G, Papp Z, Bodi A, Ball NA, Walsh RA, Edes I. The effects of levosimendan on the left ventricular function and protein phosphorylation in post-ischemic guinea pig hearts. Basic Res Cardiol. 1999 Aug;94(4):223-30. doi: 10.1007/s003950050146. PMID: 10505421.</t>
  </si>
  <si>
    <t>156: Takahashi R, Talukder MA, Endoh M. Effects of OR-1896, an active metabolite of levosimendan, on contractile force and aequorin light transients in intact rabbit ventricular myocardium. J Cardiovasc Pharmacol. 2000 Jul;36(1):118-25. doi: 10.1097/00005344-200007000-00016. PMID: 10892669.</t>
  </si>
  <si>
    <t>157: Lochner A, Colesky F, Genade S. Effect of a calcium-sensitizing agent, levosimendan, on the postcardioplegic inotropic response of the myocardium. Cardiovasc Drugs Ther. 2000 Jun;14(3):271-81. doi: 10.1023/a:1007878523663. PMID: 10935149.</t>
  </si>
  <si>
    <t>158: Lehtonen L. Levosimendan: A promising agent for the treatment of hospitalized patients with decompensated heart failure. Curr Cardiol Rep. 2000 May;2(3):233-43. doi: 10.1007/s11886-000-0074-6. PMID: 10980898.</t>
  </si>
  <si>
    <t>159: Toivonen L, Viitasalo M, Sundberg S, Akkila J, Lehtonen L. Electrophysiologic effects of a calcium sensitizer inotrope levosimendan administered intravenously in patients with normal cardiac function. J Cardiovasc Pharmacol. 2000 Apr;35(4):664-9. doi:10.1097/00005344-200004000-00021. PMID: 10774799.</t>
  </si>
  <si>
    <t>160: Endoh M. [Ca2+ sensitizers]. Tanpakushitsu Kakusan Koso. 2000 Apr;45(6 Suppl):859-67. Japanese. PMID: 10771644.</t>
  </si>
  <si>
    <t>161: Afanas'ev SA, Timofeev VIu. Osobennosti inotropnykh éffektov levosimendana na izolirovannom miokarde bol'nykh ishemicheskoĭ bolezn'iu serdtsa [The characteristics of the inotropic effects of Levosimendan on the isolated myocardium of patients with ischemic heart disease]. Eksp Klin Farmakol. 2000 Mar-Apr;63(2):35-8. Russian. PMID: 10834091.</t>
  </si>
  <si>
    <t>162: Levijoki J, Pollesello P, Kaivola J, Tilgmann C, Sorsa T, Annila A, Kilpeläinen I, Haikala H. Further evidence for the cardiac troponin C mediated calcium sensitization by levosimendan: structure-response and binding analysis with analogs of levosimendan. J Mol Cell Cardiol. 2000 Mar;32(3):479-91. doi:10.1006/jmcc.1999.1093. PMID: 10731446.</t>
  </si>
  <si>
    <t>132: Brixius K, Reicke S, Schwinger RH. Beneficial effects of the Ca(2+) sensitizer levosimendan in human myocardium. Am J Physiol Heart Circ Physiol. 2002 Jan;282(1):H131-7. doi: 10.1152/ajpheart.2002.282.1.H131. PMID: 11748056.</t>
  </si>
  <si>
    <t>131: Kivikko M, Antila S, Eha J, Lehtonen L, Pentikäinen PJ. Pharmacodynamics and safety of a new calcium sensitizer, levosimendan, and its metabolites during an extended infusion in patients with severe heart failure. J Clin Pharmacol. 2002 Jan;42(1):43-51. doi: 10.1177/0091270002042001005. PMID: 11808823.</t>
  </si>
  <si>
    <t>130: Köksal C, Süzer O, Bozkurt AK, Köseoğlu S. Comparison of enoximone, amrinone, or levosimendan enriched St. Thomas' hospital cardioplegic solutions used for myocardial preservation in isolated guinea pig hearts. Acta Medica (Hradec Kralove). 2002;45(3):93-7. PMID: 12515045.</t>
  </si>
  <si>
    <t>129: Teerlink JR. The development of new medical treatments for acute decompensated heart failure. Heart Fail Monit. 2002;2(4):129-37. PMID: 12634887.</t>
  </si>
  <si>
    <t>128: Ajiro Y, Hagiwara N, Katsube Y, Sperelakis N, Kasanuki H. Levosimendan increases L-type Ca(2+) current via phosphodiesterase-3 inhibition in human cardiac myocytes. Eur J Pharmacol. 2002 Jan 18;435(1):27-33. doi:10.1016/s0014-2999(01)01569-2. PMID: 11790375.</t>
  </si>
  <si>
    <t>127: Cleland JG, McGowan J. Levosimendan: a new era for inodilator therapy for heart failure? Curr Opin Cardiol. 2002 May;17(3):257-65. doi:10.1097/00001573-200205000-00008. PMID: 12015475.</t>
  </si>
  <si>
    <t>125: Doggrell SA, Brown L. Present and future pharmacotherapy for heart failure. Expert Opin Pharmacother. 2002 Jul;3(7):915-30. doi: 10.1517/14656566.3.7.915. PMID: 12083991.</t>
  </si>
  <si>
    <t>121: Endoh M. Mechanisms of action of novel cardiotonic agents. J Cardiovasc Pharmacol. 2002 Sep;40(3):323-38. doi: 10.1097/00005344-200209000-00001. PMID: 12198318</t>
  </si>
  <si>
    <t>122: Follath F, Cleland JG, Just H, Papp JG, Scholz H, Peuhkurinen K, Harjola VP, Mitrovic V, Abdalla M, Sandell EP, Lehtonen L; Steering Committee and Investigators of the Levosimendan Infusion versus Dobutamine (LIDO) Study. Efficacy and safety of intravenous levosimendan compared with dobutamine in severe low-output heart failure (the LIDO study): a randomised double-blind trial. Lancet. 2002 Jul 20;360(9328):196-202. doi:10.1016/s0140-6736(02)09455-2. PMID: 12133653.</t>
  </si>
  <si>
    <t>123: Kortejärvi H, Mikkola J, Bäckman M, Antila S, Marvola M. Development of level A, B and C in vitro-in vivo correlations for modified-release levosimendan capsules. Int J Pharm. 2002 Jul 8;241(1):87-95. doi: 10.1016/s0378-5173(02)00137-0. PMID: 12086724.</t>
  </si>
  <si>
    <t>124: Nawarskas JJ, Anderson JR. Levosimendan: a unique approach to the treatment of heart failure. Heart Dis. 2002 Jul-Aug;4(4):265-71. doi:10.1097/00132580-200207000-00009. PMID: 12147186.</t>
  </si>
  <si>
    <t>118: Tassani P, Schad H, Heimisch W, Bernhard-Abt A, Ettner U, Mendler N, Lange R. Effect of the calcium sensitizer levosimendan on the performance of ischaemic myocardium in anaesthetised pigs. Cardiovasc Drugs Ther. 2002 Sep;16(5):435-41. doi: 10.1023/a:1022190503351. PMID: 12652113.</t>
  </si>
  <si>
    <t>120: Coats AJ. Positive inotropy for acute heart failure complicating myocardial infarction. Eur Heart J. 2002 Sep;23(18):1405-6. doi: 10.1053/euhj.2002.3297. PMID: 12208215.</t>
  </si>
  <si>
    <t>119: Moiseyev VS, Põder P, Andrejevs N, Ruda MY, Golikov AP, Lazebnik LB, Kobalava ZD, Lehtonen LA, Laine T, Nieminen MS, Lie KI; RUSSLAN Study Investigators. Safety and efficacy of a novel calcium sensitizer, levosimendan, in patients with left ventricular failure due to an acute myocardial infarction. A randomized, placebo-controlled, double-blind study (RUSSLAN). Eur Heart J. 2002 Sep;23(18):1422-32. doi: 10.1053/euhj.2001.3158. PMID: 12208222.</t>
  </si>
  <si>
    <t>117: Pieske B. Levosimendan in regional myocardial ischemia. Cardiovasc Drugs Ther. 2002 Sep;16(5):379-81. doi: 10.1023/a:1022199932485. PMID: 12656119.</t>
  </si>
  <si>
    <t>116: Lehtonen L, Sundberg S. The contractility enhancing effect of the calcium sensitiser levosimendan is not attenuated by carvedilol in healthy subjects. Eur J Clin Pharmacol. 2002 Oct;58(7):449-52. doi: 10.1007/s00228-002-0500-3. Epub 2002 Aug 23. PMID: 12389066.</t>
  </si>
  <si>
    <t>114: Takahashi R, Endoh M. Effects of OR-1896, a metabolite of levosimendan, on force of contraction and Ca2+ transients under acidotic condition in aequorin-loaded canine ventricular myocardium. Naunyn Schmiedebergs Arch Pharmacol. 2002 Nov;366(5):440-8. doi: 10.1007/s00210-002-0627-x. Epub 2002 Sep 17. PMID: 12382073</t>
  </si>
  <si>
    <t>115: Kivikko M, Antila S, Eha J, Lehtonen L, Pentikäinen PJ. Pharmacokinetics of levosimendan and its metabolites during and after a 24-hour continuous infusion in patients with severe heart failure. Int J Clin Pharmacol Ther. 2002 Oct;40(10):465-71. doi: 10.5414/cpp40465. PMID: 12395979.</t>
  </si>
  <si>
    <t>112: Greenberg B, Borghi C, Perrone S. Pharmacotherapeutic approaches for decompensated heart failure: a role for the calcium sensitiser, levosimendan? Eur J Heart Fail. 2003 Jan;5(1):13-21. doi: 10.1016/s1388-9842(02)00118-6. PMID: 12559210</t>
  </si>
  <si>
    <t>111: Cleland JG, Takala A, Apajasalo M, Zethraeus N, Kobelt G. Intravenous levosimendan treatment is cost-effective compared with dobutamine in severe low-output heart failure: an analysis based on the international LIDO trial. Eur J Heart Fail. 2003 Jan;5(1):101-8. doi: 10.1016/s1388-9842(02)00246-5. PMID: 12559222</t>
  </si>
  <si>
    <t>110: Juillière Y. L'essentiel de 2002 en insuffisance cardiaque [The best of cardiac failure in 2002]. Arch Mal Coeur Vaiss. 2003 Jan;96 Spec No 1:15-8. French. PMID: 12613358.</t>
  </si>
  <si>
    <t>109: Andréjak M, Gayet JL, Ambrosi P. L'essentiel de 2002 en pharmacologie clinique et thérapeutique [The best of clinical pharmacology in 2002]. Arch Mal Coeur Vaiss. 2003 Jan;96 Spec No 1:41-50. French. PMID: 12613362.</t>
  </si>
  <si>
    <t>108: Del-Razo OE, Carballal-Sanjurjo JC, Campos Lara MG, Palma-Aguirre JA. Levosimendan: una nueva opción en el manejo farmacológico de la insuficiencia cardíaca [Levosimendan: a new option in the pharmacologic management of cardiac insufficiency]. Gac Med Mex. 2003 Jan-Feb;139(1):87-9. Spanish. PMID: 12666417.</t>
  </si>
  <si>
    <t>107: Mangiavacchi M, Gronda E. Gli inotropi nello scompenso cardiaco avanzato e refrattario [Inotropic agents in advanced and refractory heart failure]. Ital Heart J Suppl. 2003 Jan;4(1):3-7. Italian. PMID: 12690928.</t>
  </si>
  <si>
    <t>106: Innes CA, Wagstaff AJ. Levosimendan: a review of its use in the management of acute decompensated heart failure. Drugs. 2003;63(23):2651-71. doi:10.2165/00003495-200363230-00009. PMID: 14636085.</t>
  </si>
  <si>
    <t>105: Kivikko M, Lehtonen L, Colucci WS. Sustained hemodynamic effects of intravenous levosimendan. Circulation. 2003 Jan 7;107(1):81-6. doi:10.1161/01.cir.0000043245.00859.11. PMID: 12515747.</t>
  </si>
  <si>
    <t>104: Doggrell SA. Is levosimendan a breakthrough in the development of positive inotropes? Expert Opin Pharmacother. 2003 Feb;4(2):289-92. doi:10.1517/14656566.4.2.289. PMID: 12562319.</t>
  </si>
  <si>
    <t>100: Pollesello P, Nore P. Complete structure analysis of OR-1746, a complex product of cyclocondensation of arylhydrazomalononitriles containing clusters of protonated and unprotonated nitrogens, by pulsed-field-gradient heteronuclear NMR. J Pharm Biomed Anal. 2003 Feb 5;31(1):125-31. doi:10.1016/s0731-7085(02)00567-8. PMID: 12560056.</t>
  </si>
  <si>
    <t>101: Dubois MJ, Verdant CL, Bouali R. 15th Annual Congress of the European Society of Intensive Care Medicine, 29 September-2 October 2002, Barcelona, Spain: clinical research to improve outcome. Crit Care. 2003 Feb;7(1):91-4. doi:10.1186/cc1855. Epub 2003 Jan 6. PMID: 12617746; PMCID: PMC154115.</t>
  </si>
  <si>
    <t>102: Teerlink JR. Dyspnea as an end point in clinical trials of therapies for acute decompensated heart failure. Am Heart J. 2003 Feb;145(2 Suppl):S26-33. doi: 10.1067/mhj.2003.151. PMID: 12594449.</t>
  </si>
  <si>
    <t>103: Jain P, Massie BM, Gattis WA, Klein L, Gheorghiade M. Current medical treatment for the exacerbation of chronic heart failure resulting in hospitalization. Am Heart J. 2003 Feb;145(2 Suppl):S3-17. doi:10.1067/mhj.2003.149. PMID: 12594447.</t>
  </si>
  <si>
    <t>98: Pataricza J, Krassói I, Höhn J, Kun A, Papp JG. Functional role of potassium channels in the vasodilating mechanism of levosimendan in porcine isolated coronary artery. Cardiovasc Drugs Ther. 2003 Mar;17(2):115-21. doi:10.1023/a:1025331617233. PMID: 12975592.</t>
  </si>
  <si>
    <t>97: Yokoshiki H, Sperelakis N. Vasodilating mechanisms of levosimendan. Cardiovasc Drugs Ther. 2003 Mar;17(2):111-3. doi: 10.1023/a:1025379400395. PMID: 14562823</t>
  </si>
  <si>
    <t>22: Usta C, Puddu PE, Papalia U, De Santis V, Vitale D, Tritapepe L, Mazzesi G, Miraldi F, Ozdem SS. Comparision of the inotropic effects of levosimendan, rolipram, and dobutamine on human atrial trabeculae. J Cardiovasc Pharmacol. 2004 Nov;44(5):622-5. doi: 10.1097/00005344-200411000-00017. PMID: 15505502.</t>
  </si>
  <si>
    <t>23: Antila S, Pesonen U, Lehtonen L, Tapanainen P, Nikkanen H, Vaahtera K, Scheinin H. Pharmacokinetics of levosimendan and its active metabolite OR-1896 in rapid and slow acetylators. Eur J Pharm Sci. 2004 Nov;23(3):213-22. doi: 10.1016/j.ejps.2004.07.005. PMID: 15489122.</t>
  </si>
  <si>
    <t>14: Zobel C, Reuter H, Schwinger RH. Einsatz des Ca2+-Sensitizers Levosimendan zur Behandlung eines Patienten im kardiogenen Schock [Treatment of cardiogenic shock with the Ca2+ sensitizer levosimendan]. Med Klin (Munich). 2004 Dec 15;99(12):742-6. German. doi: 10.1007/s00063-004-1109-3. PMID: 15599685.</t>
  </si>
  <si>
    <t>13: Noto A, Giacomini M, Palandi A, Stabile L, Reali-Forster C, Iapichino G. Levosimendan in septic cardiac failure. Intensive Care Med. 2005 Jan;31(1):164-5. doi: 10.1007/s00134-004-2502-3. Epub 2004 Dec 3. PMID: 15580334</t>
  </si>
  <si>
    <t>12: Schwarte LA, Picker O, Bornstein SR, Fournell A, Scheeren TW. Levosimendan is superior to milrinone and dobutamine in selectively increasing microvascular gastric mucosal oxygenation in dogs. Crit Care Med. 2005 Jan;33(1):135-42; discussion 246-7. doi: 10.1097/01.ccm.0000150653.89451.6f. PMID: 15644660.</t>
  </si>
  <si>
    <t>11: Coopersmith CM. Levosimendan and gut mucosal blood flow--not all inotropes are created equal. Crit Care Med. 2005 Jan;33(1):246-7. doi:10.1097/01.ccm.0000150757.06161.d0. PMID: 15644686.</t>
  </si>
  <si>
    <t>10: Matejovic M, Krouzecky A, Radej J, Novak I. Successful reversal of resistent hypodynamic septic shock with levosimendan. Acta Anaesthesiol Scand. 2005 Jan;49(1):127-8. doi: 10.1111/j.1399-6576.2005.00541.x. PMID: 15676005.</t>
  </si>
  <si>
    <t>9: Kivikko M, Lehtonen L. Levosimendan: a new inodilatory drug for the treatment of decompensated heart failure. Curr Pharm Des. 2005;11(4):435-55. doi:10.2174/1381612053382043. PMID: 15725064.</t>
  </si>
  <si>
    <t>8: Reingardiene D. Sirdies nepakankamumo gydymo naujove [The novelty in the treatment of heart failure]. Medicina (Kaunas). 2005;41(7):625-31. Lithuanian. PMID: 16062032.</t>
  </si>
  <si>
    <t>2: Michaels AD, McKeown B, Kostal M, Vakharia KT, Jordan MV, Gerber IL, Foster E, Chatterjee K. Effects of intravenous levosimendan on human coronary vasomotor regulation, left ventricular wall stress, and myocardial oxygen uptake. Circulation. 2005 Mar 29;111(12):1504-9. doi:10.1161/01.CIR.0000159252.82444.22. Epub 2005 Mar 21. PMID: 15781741.</t>
  </si>
  <si>
    <t>3: Nanas JN, Papazoglou P, Tsagalou EP, Ntalianis A, Tsolakis E, Terrovitis JV, Kanakakis J, Nanas SN, Alexopoulos GP, Anastasiou-Nana MI. Efficacy and safety of intermittent, long-term, concomitant dobutamine and levosimendan infusions in severe heart failure refractory to dobutamine alone. Am J Cardiol. 2005 Mar 15;95(6):768-71. doi: 10.1016/j.amjcard.2004.11.033. PMID: 15757608.</t>
  </si>
  <si>
    <t>4: Gazmuri RJ, Kolarova JD, Ayoub IM. Inotropic options for postresuscitation myocardial dysfunction. Crit Care Med. 2005 Mar;33(3):668-70. doi:10.1097/01.ccm.0000155781.11773.be. PMID: 15753763.</t>
  </si>
  <si>
    <t>5: Huang L, Weil MH, Tang W, Sun S, Wang J. Comparison between dobutamine and levosimendan for management of postresuscitation myocardial dysfunction. Crit Care Med. 2005 Mar;33(3):487-91. doi: 10.1097/01.ccm.0000156241.55872.15. PMID: 15753736</t>
  </si>
  <si>
    <t>6: Tachibana H, Cheng HJ, Ukai T, Igawa A, Zhang ZS, Little WC, Cheng CP. Levosimendan improves LV systolic and diastolic performance at rest and during exercise after heart failure. Am J Physiol Heart Circ Physiol. 2005 Feb;288(2):H914-22. doi: 10.1152/ajpheart.00465.2004. Epub 2004 Oct 14. PMID: 15486041</t>
  </si>
  <si>
    <t>7: Toller W, Wölkart G, Stranz C, Metzler H, Brunner F. Contractile action of levosimendan and epinephrine during acidosis. Eur J Pharmacol. 2005 Jan 10;507(1-3):199-209. doi: 10.1016/j.ejphar.2004.11.049. Epub 2004 Dec 24. Erratum in: Eur J Pharmacol. 2005 Jul 4;517(1-2):144. PMID: 15659310.</t>
  </si>
  <si>
    <t>15: Braun JP, Schneider M, Dohmen P, Döpfmer U. Successful treatment of dilative cardiomyopathy in a 12-year-old girl using the calcium sensitizer levosimendan after weaning from mechanical biventricular assist support. J Cardiothorac Vasc Anesth. 2004 Dec;18(6):772-4. doi: 10.1053/j.jvca.2004.08.020. PMID: 15650992.</t>
  </si>
  <si>
    <t>16: Pollesello P, Mebazaa A. ATP-dependent potassium channels as a key target for the treatment of myocardial and vascular dysfunction. Curr Opin Crit Care. 2004 Dec;10(6):436-41. doi: 10.1097/01.ccx.0000145099.20822.19. PMID: 15616383.</t>
  </si>
  <si>
    <t>17: Barisin S, Husedzinovic I, Sonicki Z, Bradic N, Barisin A, Tonkovic D. Levosimendan in off-pump coronary artery bypass: a four-times masked controlled study. J Cardiovasc Pharmacol. 2004 Dec;44(6):703-8. doi:10.1097/00005344-200412000-00013. PMID: 15550791.</t>
  </si>
  <si>
    <t>19: Nanas JN, Papazoglou PP, Terrovitis JV, Kanakakis J, Dalianis A, Tsolakis E, Tsagalou EP, Agrios N, Christodoulou K, Anastasiou-Nana MI. Hemodynamic effects of levosimendan added to dobutamine in patients with decompensated advanced heart failure refractory to dobutamine alone. Am J Cardiol. 2004 Nov 15;94(10):1329-32. doi: 10.1016/j.amjcard.2004.07.128. PMID: 15541261.</t>
  </si>
  <si>
    <t>20: Cardoso JS, Ferreira J, de Sá EP, de Campos JM, Fonseca C, Lousada N, Moreira JI, Rabaçal C, Damasceno A, Seabra-Gomes R, Ferreira R, Abreu e Lima C. Levosimendan in daily intensive care practice--the experience of 15 centers. Background, methods and organization of the PORTLAND study. Rev Port Cardiol. 2004 Nov;23(11):1431-43. English, Portuguese. PMID: 15693696.</t>
  </si>
  <si>
    <t>21: Sorsa T, Pollesello P, Solaro RJ. The contractile apparatus as a target for drugs against heart failure: interaction of levosimendan, a calcium sensitiser, with cardiac troponin c. Mol Cell Biochem. 2004 Nov;266(1-2):87-107. doi:10.1023/b:mcbi.0000049141.37823.19. PMID: 15646030.</t>
  </si>
  <si>
    <t>24: Schulze-Neick I, Luther YC, Ewert P, Lehmkuhl HB, Hetzer R, Lange PE. End-stage heart failure with pulmonary hypertension: levosimendan to evaluate for heart transplantation alone versus combined heart-lung transplantation. Transplantation. 2004 Oct 27;78(8):1237-8. doi:10.1097/01.tp.0000137790.63159.48. PMID: 15502728.</t>
  </si>
  <si>
    <t>25: von Haehling S, Diller GP, Anker SD. Impact of levosimendan treatment on chronic heart failure. Am J Cardiol. 2004 Oct 15;94(8):1105. doi:10.1016/j.amjcard.2004.05.078. PMID: 15476643.</t>
  </si>
  <si>
    <t>26: Bauk L, López OF, Miranda GS, Abdala GG, Mora EL, de la Reguera GF. Uso del levosimendan previo a la cirugía cardíaca, en pacientes con mala función ventricular [Usefulness of Levosimendan in patients with ventricular dysfunction before surgery]. Arch Cardiol Mex. 2004 Oct-Dec;74(4):295-300. Spanish. PMID: 15709507</t>
  </si>
  <si>
    <t>27: Ng TM. Levosimendan, a new calcium-sensitizing inotrope for heart failure. Pharmacotherapy. 2004 Oct;24(10):1366-84. doi: 10.1592/phco.24.14.1366.43145. PMID: 15628834.</t>
  </si>
  <si>
    <t>28: Endoh M. Force-frequency relationship in intact mammalian ventricular myocardium: physiological and pathophysiological relevance. Eur J Pharmacol. 2004 Oct 1;500(1-3):73-86. doi: 10.1016/j.ejphar.2004.07.013. PMID: 15464022.</t>
  </si>
  <si>
    <t>29: Põder P, Eha J, Sundberg S, Antila S, Heinpalu M, Loogna I, Planken U, Rantanen S, Lehtonen L. Pharmacodynamics and pharmacokinetics of oral levosimendan and its metabolites in patients with severe congestive heart failure: a dosing interval study. J Clin Pharmacol. 2004 Oct;44(10):1143-50. doi: 10.1177/0091270004268319. PMID: 15342615.</t>
  </si>
  <si>
    <t>34: Kopustinskiene DM, Pollesello P, Saris NE. Potassium-specific effects of levosimendan on heart mitochondria. Biochem Pharmacol. 2004 Sep 1;68(5):807-12. doi: 10.1016/j.bcp.2004.05.018. PMID: 15294443.</t>
  </si>
  <si>
    <t>33: Turanlahti M, Boldt T, Palkama T, Antila S, Lehtonen L, Pesonen E. Pharmacokinetics of levosimendan in pediatric patients evaluated for cardiac surgery. Pediatr Crit Care Med. 2004 Sep;5(5):457-62. doi:10.1097/01.pcc.0000137355.01277.9c. PMID: 15329162.</t>
  </si>
  <si>
    <t>32: Maury P, Baixas C, Roncalli J, Couderc P, Delay M, Pathak A, Galinier M. Resumption of atrioventricular conduction by levosimendan after radiofrequency ablation of the AV node: Pacing Clin Electrophysiol. 2004 Sep;27(9):1314-6. doi:10.1111/j.1540-8159.2004.00626.x. PMID: 15461725.</t>
  </si>
  <si>
    <t>36: Lehmann A, Lang J, Boldt J, Isgro F, Kiessling AH. Levosimendan in patients with cardiogenic shock undergoing surgical revascularization: a case series. Med Sci Monit. 2004 Aug;10(8):MT89-93. Epub 2004 Jul 23. PMID: 15278007.</t>
  </si>
  <si>
    <t>37: Kwok BW. Medical therapy in heart failure--is polypharmacy necessary? Ann Acad Med Singap. 2004 Jul;33(4):444-50. PMID: 15329755.</t>
  </si>
  <si>
    <t>38: Scelsi L, Campana C, Ghio S, Monti L, Opasich C, De Feo S, Cobelli F, Orlandi M, Di Pasquale G, Tavazzi L. Una possibile alternativa alla terapia infusiva con i farmaci inotropi positivi tradizionali [Levosimendan in heart failure]. Recenti Prog Med. 2004 Jul-Aug;95(7-8):376-83. Italian. PMID: 15303549</t>
  </si>
  <si>
    <t>35: Plöchl W, Rajek A. The use of the novel calcium sensitizer levosimendan in critically ill patients. Anaesth Intensive Care. 2004 Aug;32(4):471-5. doi:10.1177/0310057X0403200403. PMID: 15675206.</t>
  </si>
  <si>
    <t>31: Eriksson O, Pollesello P, Haikala H. Effect of levosimendan on balance between ATP production and consumption in isolated perfused guinea-pig heart before ischemia or after reperfusion. J Cardiovasc Pharmacol. 2004 Sep;44(3):316-21. doi: 10.1097/01.fjc.0000137163.22359.17. PMID: 15475828.</t>
  </si>
  <si>
    <t>30: Lehtonen L. Levosimendan: a calcium-sensitizing agent for the treatment of patients with decompensated heart failure. Curr Heart Fail Rep. 2004 Sep;1(3):136-44. doi: 10.1007/s11897-004-0023-6. PMID: 16036037.</t>
  </si>
  <si>
    <t>39: Rocchitta G, Delogu RM, Migheli R, Solinas L, Susini G, Desole MS, Miele E, Miele M, Serra PA. On the mechanism of levosimendan-induced dopamine release in the striatum of freely moving rats. J Pharmacol Sci. 2004 Jul;95(3):299-304. doi: 10.1254/jphs.fpe04003x. PMID: 15272204.</t>
  </si>
  <si>
    <t>40: Braun JP, Schneider M, Kastrup M, Liu J. Treatment of acute heart failure in an infant after cardiac surgery using levosimendan. Eur J Cardiothorac Surg. 2004 Jul;26(1):228-30. doi: 10.1016/j.ejcts.2004.03.034. PMID: 15201012.</t>
  </si>
  <si>
    <t>41: Sonntag S, Sundberg S, Lehtonen LA, Kleber FX. The calcium sensitizer levosimendan improves the function of stunned myocardium after percutaneous transluminal coronary angioplasty in acute myocardial ischemia. J Am Coll Cardiol. 2004 Jun 16;43(12):2177-82. doi: 10.1016/j.jacc.2004.02.052. PMID: 15193677</t>
  </si>
  <si>
    <t>42: Raftopoulos SC. Levosimendan following coronary artery bypass grafting in a patient with end-stage renal failure: a case report. Crit Care Resusc. 2004 Jun;6(2):109-12. PMID: 16566697.</t>
  </si>
  <si>
    <t>43: Höhn J, Pataricza J, Petri A, Tóth GK, Balogh A, Varró A, Papp JG. Levosimendan interacts with potassium channel blockers in human saphenous veins. Basic Clin Pharmacol Toxicol. 2004 Jun;94(6):271-3. doi:10.1111/j.1742-7843.2004.pto940603.x. PMID: 15228498.</t>
  </si>
  <si>
    <t>44: De Luca L, Proietti P, Palombaro GL, Battagliese A, Celotto A, Bucciarelli Ducci C, Fedele F. New positive inotropic agents in the treatment of left ventricular dysfunction. Ital Heart J. 2004 Jun;5 Suppl 6:63S-67S. PMID: 15185917</t>
  </si>
  <si>
    <t>47: Lilleberg J, Ylönen V, Lehtonen L, Toivonen L. The calcium sensitizer levosimendan and cardiac arrhythmias: an analysis of the safety database of heart failure treatment studies. Scand Cardiovasc J. 2004 May;38(2):80-4. doi:10.1080/14017430410025783. PMID: 15204232.</t>
  </si>
  <si>
    <t>48: Sharma M, Teerlink JR. A rational approach for the treatment of acute heart failure: current strategies and future options. Curr Opin Cardiol. 2004 May;19(3):254-63. doi: 10.1097/00001573-200405000-00011. PMID: 15096959.</t>
  </si>
  <si>
    <t>49: Labriola C, Siro-Brigiani M, Carrata F, Santangelo E, Amantea B. Hemodynamic effects of levosimendan in patients with low-output heart failure after cardiac surgery. Int J Clin Pharmacol Ther. 2004 Apr;42(4):204-11. doi:10.5414/cpp42204. PMID: 15124978.</t>
  </si>
  <si>
    <t>46: Parissis JT, Adamopoulos S, Antoniades C, Kostakis G, Rigas A, Kyrzopoulos S, Iliodromitis E, Kremastinos D. Effects of levosimendan on circulating pro-inflammatory cytokines and soluble apoptosis mediators in patients with decompensated advanced heart failure. Am J Cardiol. 2004 May 15;93(10):1309-12. doi: 10.1016/j.amjcard.2004.01.073. PMID: 15135713.</t>
  </si>
  <si>
    <t>45: Cleland JG, Ghosh J, Freemantle N, Kaye GC, Nasir M, Clark AL, Coletta AP. Clinical trials update and cumulative meta-analyses from the American College of Cardiology: WATCH, SCD-HeFT, DINAMIT, CASINO, INSPIRE, STRATUS-US, RIO-Lipids and cardiac resynchronisation therapy in heart failure. Eur J Heart Fail. 2004 Jun;6(4):501-8. doi: 10.1016/j.ejheart.2004.04.014. PMID: 15182777.</t>
  </si>
  <si>
    <t>96: Leprán I, Papp JG. Effect of long-term oral pretreatment with levosimendan on cardiac arrhythmias during coronary artery occlusion in conscious rats. Eur J Pharmacol. 2003 Mar 19;464(2-3):171-6. doi: 10.1016/s0014-2999(03)01423-7. PMID: 12620511</t>
  </si>
  <si>
    <t>95: Nieminen MS. Levosimendan compared with dobutamine in low output patients. Minerva Anestesiol. 2003 Apr;69(4):258-63. PMID: 12766717.</t>
  </si>
  <si>
    <t>94: Poole-Wilson PA, Xue SR. New therapies for the management of acute heart failure. Curr Cardiol Rep. 2003 May;5(3):229-36. doi: 10.1007/s11886-003-0054-8. PMID: 12691642.</t>
  </si>
  <si>
    <t>92: Erhardt LR. Is calcium sensitization the best strategy to improve myocardial contractility in acute heart failure? Ital Heart J. 2003 May;4 Suppl 2:27S-33S. PMID: 14635367.</t>
  </si>
  <si>
    <t>91: Follath F. Levosimendan in patients with low-output heart failure: lessons from the LIDO trial. Ital Heart J. 2003 May;4 Suppl 2:34S-38S. PMID: 14635368.</t>
  </si>
  <si>
    <t>90: Nieminen MS, Sandell EP. Considerations on the efficacy and safety of levosimendan in ischemic heart failure. Ital Heart J. 2003 May;4 Suppl 2:39S-44S. PMID: 14635369.</t>
  </si>
  <si>
    <t>89: Spargias KS, Anifantakis A, Papadakis M, Iakovis P, Chatzigeorgiou G, Koutsogiannis N, Karatasakis G, Athanassopoulos G, Manginas A, Maounis T, Cokkinos DV. Preliminary clinical experience with the repetitive administration of levosimendan in patients with end-stage heart failure. Ital Heart J. 2003 May;4 Suppl 2:45S-49S. PMID: 14635370.</t>
  </si>
  <si>
    <t>88: Cavana M, Pignataro C, Fraticelli A, Mebazaa A. The clinical experience with levosimendan in anesthesiology and in the intensive care unit. Ital Heart J. 2003 May;4 Suppl 2:61S-64S. PMID: 14635372.</t>
  </si>
  <si>
    <t>82: Rosevear PR, Finley N. Molecular mechanism of levosimendan action: an update. J Mol Cell Cardiol. 2003 Sep;35(9):1011-5. doi:10.1016/s0022-2828(03)00202-5. PMID: 12967622.</t>
  </si>
  <si>
    <t>83: Põder P, Eha J, Sundberg S, Antila S, Heinpalu M, Loogna I, Planken U, Rantanen S, Lehtonen L. Pharmacokinetic-pharmacodynamic interrelationships of intravenous and oral levosimendan in patients with severe congestive heart failure. Int J Clin Pharmacol Ther. 2003 Aug;41(8):365-73. PMID: 12940594.</t>
  </si>
  <si>
    <t>84: McBride BF, White CM. Acute decompensated heart failure: a contemporary approach to pharmacotherapeutic management. Pharmacotherapy. 2003 Aug;23(8):997-1020. doi: 10.1592/phco.23.8.997.32873. PMID: 12921247.</t>
  </si>
  <si>
    <t>85: Morais J, Dias B, Pontes N. Levosimendan: a new approach for the treatment of patients with severe heart failure. A brief summary based on a clinical case. Rev Port Cardiol. 2003 Jul-Aug;22(7-8):941-8. English, Portuguese. PMID: 14587161</t>
  </si>
  <si>
    <t>86: Mebazaa A, Erhardt L. Levosimendan: a new dual-action drug in the treatment of acute heart failure. Int J Clin Pract. 2003 Jun;57(5):410-6. PMID: 12846347.</t>
  </si>
  <si>
    <t>87: Jonsson EN, Antila S, McFadyen L, Lehtonen L, Karlsson MO. Population pharmacokinetics of levosimendan in patients with congestive heart failure. Br J Clin Pharmacol. 2003 Jun;55(6):544-51. doi: 10.1046/j.1365-2125.2003.01778.x. PMID: 12814448; PMCID: PMC1884248.</t>
  </si>
  <si>
    <t>81: Sorsa T, Pollesello P, Permi P, Drakenberg T, Kilpeläinen I. Interaction of levosimendan with cardiac troponin C in the presence of cardiac troponin I peptides. J Mol Cell Cardiol. 2003 Sep;35(9):1055-61. doi: 10.1016/s0022-2828(03)00178-0. PMID: 12967628.</t>
  </si>
  <si>
    <t>78: Frishman WH. Advances in positive inotropic therapy: levosimendan. Crit Care Med. 2003 Sep;31(9):2408-9. doi: 10.1097/01.CCM.0000084861.07091.F3. PMID: 14501979</t>
  </si>
  <si>
    <t>79: Leather HA, Ver Eycken K, Segers P, Herijgers P, Vandermeersch E, Wouters PF. Effects of levosimendan on right ventricular function and ventriculovascular coupling in open chest pigs. Crit Care Med. 2003 Sep;31(9):2339-43. doi:10.1097/01.CCM.0000084844.95073.C0. PMID: 14501965.</t>
  </si>
  <si>
    <t>80: Lehmann A, Boldt J, Lang J, Isgro F, Blome M. Wirkt Levosimendan bei der operativen Versorgung des akuten Koronarsyndroms inoprotektiv? [Is levosimendan an inoprotective drug in patients with acute coronary syndrome undergoing surgical revascularization?]. Anasthesiol Intensivmed Notfallmed Schmerzther. 2003 Sep;38(9):577-82. German. doi: 10.1055/s-2003-41861. PMID: 12975736.</t>
  </si>
  <si>
    <t>77: Bódi A, Szilágyi S, Edes I, Papp Z. The cardiotonic effects of levosimendan in guinea pig hearts are modulated by beta-adrenergic stimulation. Gen Physiol Biophys. 2003 Sep;22(3):313-27. PMID: 14986883.</t>
  </si>
  <si>
    <t>76: Põder P, Eha J, Antila S, Heinpalu M, Planken U, Loogna I, Mesikepp A, Akkila J, Lehtonen L. Pharmacodynamic interactions of levosimendan and felodipine in patients with coronary heart disease. Cardiovasc Drugs Ther. 2003 Sep-Nov;17(5-6):451-8. doi: 10.1023/b:card.0000015860.08185.6d. PMID: 15107600.</t>
  </si>
  <si>
    <t>75: Behrends M, Peters J. The calcium sensitizer levosimendan attenuates endotoxin-evoked myocardial dysfunction in isolated guinea pig hearts. Intensive Care Med. 2003 Oct;29(10):1802-7. doi: 10.1007/s00134-003-1879-8. Epub 2003 Jul 17. PMID: 12879240.</t>
  </si>
  <si>
    <t>74: Lehmann A, Boldt J, Kirchner J. The role of Ca++-sensitizers for the treatment of heart failure. Curr Opin Crit Care. 2003 Oct;9(5):337-44. doi:10.1097/00075198-200310000-00002. PMID: 14508145.</t>
  </si>
  <si>
    <t>73: McBride BF, White CM. Levosimendan: implications for clinicians. J Clin Pharmacol. 2003 Oct;43(10):1071-81. doi: 10.1177/0091270003257217. PMID: 14517189</t>
  </si>
  <si>
    <t>72: Chen Q, Camara AK, Rhodes SS, Riess ML, Novalija E, Stowe DF. Cardiotonic drugs differentially alter cytosolic [Ca2+] to left ventricular relationships before and after ischemia in isolated guinea pig hearts. Cardiovasc Res. 2003 Oct 1;59(4):912-25. doi: 10.1016/s0008-6363(03)00524-8. PMID: 14553831.</t>
  </si>
  <si>
    <t>71: Delange Segura L, Jerez Anera M, Carmona Aurioles J, Rodríguez Fernández S. Levosimendán como soporte inotrópico tras cirugía coronaria con circulación extracorpórea a un paciente con la función ventricular gravemente deprimida [Levosimendan as inotropic support during coronary surgery with extracorporeal circulation in a patient with severely depressed ventricular function]. Rev Esp Anestesiol Reanim. 2003 Oct;50(8):423-4. Spanish. PMID: 14601372.</t>
  </si>
  <si>
    <t>70: Delle Karth G, Buberl A, Geppert A, Neunteufl T, Huelsmann M, Kopp C, Nikfardjam M, Berger R, Heinz G. Hemodynamic effects of a continuous infusion of levosimendan in critically ill patients with cardiogenic shock requiring catecholamines. Acta Anaesthesiol Scand. 2003 Nov;47(10):1251-6. doi: 10.1046/j.1399-6576.2003.00252.x. PMID: 14616323.</t>
  </si>
  <si>
    <t>68: Mason P. Levosimendan. Intensive Crit Care Nurs. 2003 Dec;19(6):370-1. doi: 10.1016/s0964-3397(03)00074-0. PMID: 14637297.</t>
  </si>
  <si>
    <t>69: Krum H, Liew D. New and emerging drug therapies for the management of acute heart failure. Intern Med J. 2003 Nov;33(11):515-20. doi: 10.1046/j.1445-5994.2003.00483.x. PMID: 14656255.</t>
  </si>
  <si>
    <t>66: Lehtonen LA, Antila S, Pentikäinen PJ. Pharmacokinetics and pharmacodynamics of intravenous inotropic agents. Clin Pharmacokinet. 2004;43(3):187-203. doi:10.2165/00003088-200443030-00003. PMID: 14871156.</t>
  </si>
  <si>
    <t>64: Cleland JG, Nikitin N, McGowan J. Levosimendan: first in a new class of inodilator for acute and chronic severe heart failure. Expert Rev Cardiovasc Ther. 2004 Jan;2(1):9-19. doi: 10.1586/14779072.2.1.9. PMID: 15038409.</t>
  </si>
  <si>
    <t>57: Sorsa T, Pollesello P, Rosevear PR, Drakenberg T, Kilpeläinen I. Stereoselective binding of levosimendan to cardiac troponin C causes Ca2+-sensitization. Eur J Pharmacol. 2004 Feb 13;486(1):1-8. doi:10.1016/j.ejphar.2003.12.006. PMID: 14751401.</t>
  </si>
  <si>
    <t>58: Graham CA. Pharmacological therapy of acute cardiogenic pulmonary oedema in the emergency department. Emerg Med Australas. 2004 Feb;16(1):47-54. doi:10.1111/j.1742-6723.2004.00534.x. PMID: 15239755.</t>
  </si>
  <si>
    <t>59: Braun JP, Döpfmer U, Kastrup M, Roots I, Borges A, Schneider M, Dohmen P, Kox W, Spies C. Levosimendan. Klinische Indikationen einer neuen vasoaktiven Substanz [Levosimendan. Clinical indications of a new vasoactive substance]. Anaesthesist. 2004 Feb;53(2):163-7. German. doi: 10.1007/s00101-003-0637-1. PMID: 14991194.</t>
  </si>
  <si>
    <t>60: Mebazaa A, Karpati P, Renaud E, Algotsson L. Acute right ventricular failure --from pathophysiology to new treatments. Intensive Care Med. 2004 Feb;30(2):185-196. doi: 10.1007/s00134-003-2025-3. Epub 2003 Nov 15. PMID: 14618229</t>
  </si>
  <si>
    <t>61: Delle Karth G, Heinz G. Levosimendan in Kardiologie und Intensivmedizin [Levosimendan in cardiology and intensive care medicine]. Wien Klin Wochenschr. 2004 Jan 31;116(1-2):6-14. German. doi: 10.1007/BF03040417. PMID: 15030117.</t>
  </si>
  <si>
    <t>63: Papp Z, Van Der Velden J, Borbély A, Edes I, Stienen GJ. Effects of Ca2+ -sensitizers in permeabilized cardiac myocytes from donor and end-stage failing human hearts. J Muscle Res Cell Motil. 2004;25(3):219-24. doi:10.1023/b:jure.0000038365.74532.75. PMID: 15467385.</t>
  </si>
  <si>
    <t>62: Boldt J. Können wir uns die Fortschritte der Intensivmedizin noch leisten? Ein Plädoyer für eine offenen Debatte [Can we afford the costs of progress in intensive care medicine? A plea for a candid debate]. Dtsch Med Wochenschr. 2004 Jan 2;129(1-2):36-40. German. doi: 10.1055/s-2004-812654. PMID: 14703580.</t>
  </si>
  <si>
    <t>56: Szilágyi S, Pollesello P, Levijoki J, Kaheinen P, Haikala H, Edes I, Papp Z. The effects of levosimendan and OR-1896 on isolated hearts, myocyte-sized preparations and phosphodiesterase enzymes of the guinea pig. Eur J Pharmacol. 2004 Feb 13;486(1):67-74. doi: 10.1016/j.ejphar.2003.12.005. PMID: 14751410.</t>
  </si>
  <si>
    <t>50: Kaheinen P, Pollesello P, Levijoki J, Haikala H. Effects of levosimendan and milrinone on oxygen consumption in isolated guinea-pig heart. J Cardiovasc Pharmacol. 2004 Apr;43(4):555-61. doi: 10.1097/00005344-200404000-00011. PMID: 15085067</t>
  </si>
  <si>
    <t>51: Antila S, Kivikko M, Lehtonen L, Eha J, Heikkilä A, Pohjanjousi P, Pentikäinen PJ. Pharmacokinetics of levosimendan and its circulating metabolites in patients with heart failure after an extended continuous infusion of levosimendan. Br J Clin Pharmacol. 2004 Apr;57(4):412-5. doi:10.1111/j.1365-2125.2003.02043.x. PMID: 15025738; PMCID: PMC1884479.</t>
  </si>
  <si>
    <t>52: Riggs JM. New therapies for heart failure. RN. 2004 Mar;67(3):28-32; quiz 33. PMID: 15065491.</t>
  </si>
  <si>
    <t>53: Luther YC, Schulze-Neick I, Stiller B, Ewert P, Redlin M, Nasseri B, Mühler EG, Hetzer R, Lange PE. Säugling mit therapie-refraktärer suprasystemischer pulmonaler Hypertonie nach MyokardinfarktIntermittierende Stabilisierung mit Levosimendan, einem neuartigen Langzeit-Inodilatator [Levosimendan-long-term inodilation in an infant with myocardial infarction]. Z Kardiol. 2004 Mar;93(3):234-9. German. doi: 10.1007/s00392-004-0053-9. PMID: 15024592.</t>
  </si>
  <si>
    <t>54: Benlolo S, Lefoll C, Katchatouryan V, Payen D, Mebazaa A. Successful use of levosimendan in a patient with peripartum cardiomyopathy. Anesth Analg. 2004 Mar;98(3):822-4, table of contents. doi: 10.1213/01.ane.0000099717.40471.83. PMID: 14980944.</t>
  </si>
  <si>
    <t>55: Manito N, Kaplinsky EJ, Pujol R. Tratamiento inotrópico en la insuficiencia cardíaca: aspectos generales y resultados clínicos [Inotropic therapy in heart failure: general aspects and clinical results]. Med Clin (Barc). 2004 Feb 28;122(7):269-74. Spanish. doi: 10.1016/s0025-7753(04)75320-8. PMID: 15012878.</t>
  </si>
  <si>
    <t>1: McGough MF, Pagel PS, Lowe D, Hettrick DA, Warltier DC. Levosimendan potentiates the inotropic actions of dopamine in conscious dogs. J Cardiovasc Pharmacol. 1996 Jul;28(1):36-47. doi: 10.1097/00005344-199607000-00007. PMID: 8797134</t>
  </si>
  <si>
    <t>2: Virág L, Hála O, Marton A, Varró A, Papp JG. Cardiac electrophysiological effects of levosimendan, a new calcium sensitizer. Gen Pharmacol. 1996 Apr;27(3):551-6. doi: 10.1016/0306-3623(95)02060-8. PMID: 8723543.</t>
  </si>
  <si>
    <t>28: Raasmaja A, Talo A, Haikala H, Nissinen E, Lindén IB, Pohto P. Biochemical properties of OR-1259--a positive inotropic and vasodilatory compound with an antiarrhythmic effect. Adv Exp Med Biol. 1992;311:423. doi: 10.1007/978-1-4615-3362-7_63. PMID: 1529781.</t>
  </si>
  <si>
    <t>27: Lilleberg J, Sundberg S, Häyhä M, Akkila J, Nieminen MS. Haemodynamic dose-efficacy of levosimendan in healthy volunteers. Eur J Clin Pharmacol. 1994;47(3):267-74. doi: 10.1007/BF02570507. PMID: 7867680.</t>
  </si>
  <si>
    <t>26: Lilleberg JM, Sundberg S, Leikola-Pelho T, Nieminen MS. Hemodynamic effects of the novel cardiotonic drug simendan: echocardiographic assessment in healthy volunteers. Cardiovasc Drugs Ther. 1994 Apr;8(2):263-9. doi: 10.1007/BF00877335. PMID: 7918139.</t>
  </si>
  <si>
    <t>25: Rump AF, Acar D, Rösen R, Klaus W. Functional and antiischaemic effects of the phosphodiesterase inhibitor levosimendan in isolated rabbit hearts. Pharmacol Toxicol. 1994 Apr-May;74(4-5):244-8. doi:10.1111/j.1600-0773.1994.tb01106.x. PMID: 8090694.</t>
  </si>
  <si>
    <t>24: Rump AF, Acar D, Klaus W. A quantitative comparison of functional and anti-ischaemic effects of the phosphodiesterase-inhibitors, amrinone, milrinone and levosimendan in rabbit isolated hearts. Br J Pharmacol. 1994 Jul;112(3):757-62. doi: 10.1111/j.1476-5381.1994.tb13143.x. PMID: 7921599; PMCID: PMC1910180.</t>
  </si>
  <si>
    <t>23: Pagel PS, Harkin CP, Hettrick DA, Warltier DC. Levosimendan (OR-1259), a myofilament calcium sensitizer, enhances myocardial contractility but does not alter isovolumic relaxation in conscious and anesthetized dogs. Anesthesiology. 1994 Oct;81(4):974-87. doi: 10.1097/00000542-199410000-00025. PMID: 7943849.</t>
  </si>
  <si>
    <t>21: Lilleberg J, Antila S, Karlsson M, Nieminen MS, Pentkäinen PJ. Pharmacokinetics and pharmacodynamics of simendan, a novel calcium sensitizer, in healthy volunteers. Clin Pharmacol Ther. 1994 Nov;56(5):554-63. doi:10.1038/clpt.1994.177. PMID: 7955820.</t>
  </si>
  <si>
    <t>18: Varro A, Papp JG. Classification of positive inotropic actions based on electrophysiologic characteristics: where should calcium sensitizers be placed? J Cardiovasc Pharmacol. 1995;26 Suppl 1:S32-44. PMID: 8907129.</t>
  </si>
  <si>
    <t>19: Haikala H, Linden IB. Mechanisms of action of calcium-sensitizing drugs. J Cardiovasc Pharmacol. 1995;26 Suppl 1:S10-9. PMID: 8907127.</t>
  </si>
  <si>
    <t>20: Pollesello P, Ovaska M, Kaivola J, Tilgmann C, Lundström K, Kalkkinen N, Ulmanen I, Nissinen E, Taskinen J. Binding of a new Ca2+ sensitizer, levosimendan, to recombinant human cardiac troponin C. A molecular modelling, fluorescence probe, and proton nuclear magnetic resonance study. J Biol Chem. 1994 Nov 18;269(46):28584-90. Erratum in: J Biol Chem 1995 Feb 10;270(6):2880. PMID: 7961805.</t>
  </si>
  <si>
    <t>17: Hasenfuss G, Pieske B, Kretschmann B, Holubarsch C, Alpert NR, Just H. Effects of calcium sensitizers on intracellular calcium handling and myocardial energetics. J Cardiovasc Pharmacol. 1995;26 Suppl 1:S45-51. PMID: 8907130.</t>
  </si>
  <si>
    <t>16: Sandell EP, Hayha M, Antila S, Heikkinen P, Ottoila P, Lehtonen LA, Pentikainen PJ. Pharmacokinetics of levosimendan in healthy volunteers and patients with congestive heart failure. J Cardiovasc Pharmacol. 1995;26 Suppl 1:S57-62. PMID: 8907132.</t>
  </si>
  <si>
    <t>15: Lilleberg J, Sundberg S, Nieminen MS. Dose-range study of a new calcium sensitizer, levosimendan, in patients with left ventricular dysfunction. J Cardiovasc Pharmacol. 1995;26 Suppl 1:S63-9. PMID: 8907133.</t>
  </si>
  <si>
    <t>14: Lehtonen L, Mills-Owens P, Akkila J. Safety of levosimendan and other calcium sensitizers. J Cardiovasc Pharmacol. 1995;26 Suppl 1:S70-6. PMID: 8907134</t>
  </si>
  <si>
    <t>13: Nielsen-Kudsk JE, Aldershvile J. Will calcium sensitizers play a role in the treatment of heart failure? J Cardiovasc Pharmacol. 1995;26 Suppl 1:S77-84. PMID: 8907135.</t>
  </si>
  <si>
    <t>12: Udvary E, Papp JG, Végh A. Cardiovascular effects of the calcium sensitizer, levosimendan, in heart failure induced by rapid pacing in the presence of aortic constriction. Br J Pharmacol. 1995 Feb;114(3):656-61. doi:10.1111/j.1476-5381.1995.tb17189.x. PMID: 7735692; PMCID: PMC1510011.</t>
  </si>
  <si>
    <t>11: Haikala H, Nissinen E, Etemadzadeh E, Levijoki J, Lindén IB. Troponin C-mediated calcium sensitization induced by levosimendan does not impair relaxation. J Cardiovasc Pharmacol. 1995 May;25(5):794-801. doi:10.1097/00005344-199505000-00016. PMID: 7630157.</t>
  </si>
  <si>
    <t>10: Sundberg S, Lilleberg J, Nieminen MS, Lehtonen L. Hemodynamic and neurohumoral effects of levosimendan, a new calcium sensitizer, at rest and during exercise in healthy men. Am J Cardiol. 1995 May 15;75(15):1061-6. doi:10.1016/s0002-9149(99)80725-5. PMID: 7747690.</t>
  </si>
  <si>
    <t>9: Edes I, Kiss E, Kitada Y, Powers FM, Papp JG, Kranias EG, Solaro RJ. Effects of Levosimendan, a cardiotonic agent targeted to troponin C, on cardiac function and on phosphorylation and Ca2+ sensitivity of cardiac myofibrils and sarcoplasmic reticulum in guinea pig heart. Circ Res. 1995 Jul;77(1):107-13. doi: 10.1161/01.res.77.1.107. PMID: 7788868.</t>
  </si>
  <si>
    <t>8: Harkin CP, Pagel PS, Tessmer JP, Warltier DC. Systemic and coronary conscious dogs. J Cardiovasc Pharmacol. 1995 Aug;26(2):179-88. doi:10.1097/00005344-199508000-00002. PMID: 7475041.</t>
  </si>
  <si>
    <t>7: Haikala H, Kaivola J, Nissinen E, Wall P, Levijoki J, Lindén IB. Cardiac troponin C as a target protein for a novel calcium sensitizing drug, levosimendan. J Mol Cell Cardiol. 1995 Sep;27(9):1859-66. doi: 10.1016/0022-2828(95)90009-8. PMID: 8523447.</t>
  </si>
  <si>
    <t>6: Pagel PS, Harkin CP, Hettrick DA, Warltier DC. Zatebradine, a specific bradycardic agent, alters the hemodynamic and left ventricular mechanical actions of levosimendan, a new myofilament calcium sensitizer, in conscious dogs. J Pharmacol Exp Ther. 1995 Oct;275(1):127-35. PMID: 7562540.</t>
  </si>
  <si>
    <t>5: Haikala H, Levijoki J, Lindén IB. Troponin C-mediated calcium sensitization by levosimendan accelerates the proportional development of isometric tension. J Mol Cell Cardiol. 1995 Oct;27(10):2155-65. doi: 10.1016/s0022-2828(95)91371-8. PMID: 8576932.</t>
  </si>
  <si>
    <t>4: Antila S, Eha J, Heinpalu M, Lehtonen L, Loogna I, Mesikepp A, Planken U, Sandell EP. Haemodynamic interactions of a new calcium sensitizing drug levosimendan and captopril. Eur J Clin Pharmacol. 1996;49(6):451-8. doi:10.1007/BF00195930. PMID: 8706769.</t>
  </si>
  <si>
    <t>N=18</t>
  </si>
  <si>
    <t>CT</t>
  </si>
  <si>
    <t>n=203</t>
  </si>
  <si>
    <t>n=504</t>
  </si>
  <si>
    <t>Commentary</t>
  </si>
  <si>
    <t>Preclinical</t>
  </si>
  <si>
    <t>no mortality difference vs. dobutamine</t>
  </si>
  <si>
    <t>n=22</t>
  </si>
  <si>
    <t>n=307</t>
  </si>
  <si>
    <t>subgroup</t>
  </si>
  <si>
    <t>Study Design</t>
  </si>
  <si>
    <t>n=40</t>
  </si>
  <si>
    <t>n=200</t>
  </si>
  <si>
    <t>n=700</t>
  </si>
  <si>
    <t>n=61</t>
  </si>
  <si>
    <t>n=42</t>
  </si>
  <si>
    <t>n=38</t>
  </si>
  <si>
    <t>n=506</t>
  </si>
  <si>
    <t>6MW p=0.0329 post-hoc - 29 meters</t>
  </si>
  <si>
    <t>Phase II "HELP" n=37 IV 6 weeks - NCT03541603 - JACC HF 2021 Burkhoff et al.</t>
  </si>
  <si>
    <t>inclusion criteria: mPAP &gt;= 35mmHg, PCWP &gt;= 20mmHg, LVEF&gt;=40%</t>
  </si>
  <si>
    <t>0.1ug/kg/min 24-hour open-label infusion: then randomized &gt;4mmHg exercise-PCWP</t>
  </si>
  <si>
    <t>37/44 were responders and received weekly infusions for 5 additional weeks</t>
  </si>
  <si>
    <t>exercise-PCWP failed - baseline resting mPAP was 41mmHg, exercise-PCWP was 36.8mmHg</t>
  </si>
  <si>
    <t>levo reduced PCWP by 1.4mmHg, p=0.65</t>
  </si>
  <si>
    <t>post-hoc p=0.047</t>
  </si>
  <si>
    <t>metabolite OR-1896 T_1/2 75h</t>
  </si>
  <si>
    <t>hemodynamics were measured 1 week AFTER final dose</t>
  </si>
  <si>
    <t>Notes</t>
  </si>
  <si>
    <t>Title</t>
  </si>
  <si>
    <t>Rating</t>
  </si>
  <si>
    <t>Topic</t>
  </si>
  <si>
    <t>n=80, slight post hoc  mortality benefit</t>
  </si>
  <si>
    <t>LEVEL</t>
  </si>
  <si>
    <t>n=69</t>
  </si>
  <si>
    <t>Commentary?</t>
  </si>
  <si>
    <t>Meta-Analysis</t>
  </si>
  <si>
    <t>Unavailable</t>
  </si>
  <si>
    <t>3: Guinot PG, Berthoud V, Soudry-Faure A, Abou-Arab O, Mertes PM, Fischer MO, Moussa M, Ellouze O, Nguyen M, Bouhemad B; for WEANILEVO trial group. Short- and Long-term Efficacy and Safety of Levosimendan in Veno-arterial Extracorporeal Membrane Oxygenation Weaning: The WEANILEVO Randomized Double-Blind Multicenter Trial. Anesthesiology. 2026 Jul 20. doi: 10.1097/ALN.0000000000006143. Epub ahead of print. PMID: 42101006.</t>
  </si>
  <si>
    <t>4: Fusco F, Altobelli I, Casale V, Borrelli N, Ciriello GD, Barracano R, Merola A, Grimaldi N, Palma M, Papaccioli G, Correra A, Colonna D, Scognamiglio G, Sarubbi B. Intermittent Levosimendan Administration for Advanced Heart Failure Treatment in Adults with Congenital Heart Disease (Levo-ACHD Study). Medicina (Kaunas). 2026 Jun 16;62(6):1170. doi: 10.3390/medicina62061170. PMID: 42356182; PMCID: PMC13303742.</t>
  </si>
  <si>
    <t>5: Levy B, Klein T. Pharmacological treatment of cardiogenic shock. Curr Opin Crit Care. 2026 Jun 4. doi: 10.1097/MCC.0000000000001393. Epub ahead of print. PMID: 42273963.</t>
  </si>
  <si>
    <t>6: Barras N, Kikoïne J, Liaudet L, Sotiropoulos K, Regamey J, Godinho R, Hullin R, Yerly P. Low-dose levosimendan infusions in advanced heart failure: efficacy, safety, and factors associated with outcomes. Clin Res Cardiol. 2026 Jun 3. doi: 10.1007/s00392-026-02945-z. Epub ahead of print. PMID: 42234131.</t>
  </si>
  <si>
    <t>7: Ralota KK, Wang W, Layland J. Successful use of levosimendan in managing refractory coronary vasospasm leading to recurrent cardiac arrests: a case report. Eur Heart J Case Rep. 2026 May 15;10(6):ytag349. doi: 10.1093/ehjcr/ytag349. PMID: 42244820; PMCID: PMC13232745.</t>
  </si>
  <si>
    <t>Competition</t>
  </si>
  <si>
    <t>Weird Indication</t>
  </si>
  <si>
    <t>Observational Study</t>
  </si>
  <si>
    <t>Retrospective</t>
  </si>
  <si>
    <t>n=12</t>
  </si>
  <si>
    <t>Trial</t>
  </si>
  <si>
    <t>Review</t>
  </si>
  <si>
    <t>Case Report</t>
  </si>
  <si>
    <t>8: Wang YQ, Deng QY, Zhang ZZ, Wang GL, Zhao Z, Su CF, Wang L, Ge X, Wang GX, Xiao H. Short-Term Effect of Levosimendan in Acute Right Heart Failure Caused by Pulmonary Hypertension: A Pilot Study. J Cardiovasc Pharmacol. 2026 Jun 1;87(6):514-524. doi: 10.1097/FJC.0000000000001824. PMID: 41949451.</t>
  </si>
  <si>
    <t>Single-Arm</t>
  </si>
  <si>
    <t>9: Villaschi A, Di Lauro S, Calloni F, Toccafondi A, Oreglia J, Sacco A, Morici N. Early cardiac rehabilitation supported by levosimendan infusion and mitral valve repair in acute myocardial infarction complicated by cardiogenic shock. Int J Cardiol Cardiovasc Risk Prev. 2026 Feb 17;29:200603. doi:10.1016/j.ijcrp.2026.200603. PMID: 41767743; PMCID: PMC12936560.</t>
  </si>
  <si>
    <t>10: Li C, Guo F, Wang Z, Shan L. Authors reply: "Effects of levosimendan on weaning from mechanical ventilation". J Crit Care. 2026 Jun;93:155450. doi: 10.1016/j.jcrc.2026.155450. Epub 2026 Jan 29. PMID: 41616605.</t>
  </si>
  <si>
    <t>11: Yaku H, Burkhoff D, Borlaug BA, Lala A, Butler J, Rich S, Shah SJ. Oral Levosimendan for the Treatment of Pulmonary Hypertension due to Heart Failure With Preserved Ejection Fraction: Rationale and Design of the LEVEL Trial. J Card Fail. 2026 Jun;32(6):1059-1071. doi: 10.1016/j.cardfail.2025.06.009. Epub 2025 Jul 7. PMID: 40633684.</t>
  </si>
  <si>
    <t>Correspondence</t>
  </si>
  <si>
    <t>12 weeks 2mg/day --&gt; 3mg/day</t>
  </si>
  <si>
    <t>Q226</t>
  </si>
  <si>
    <t>12: Tan V. The Use of Levosimendan in Infants With Heart Disease: A Scoping Review. Adv Neonatal Care. 2026 May 29. doi: 10.1097/ANC.0000000000001377. Epub ahead of print. PMID: 42212814.</t>
  </si>
  <si>
    <t>14: Salvini S, Trivelloni V, Monaco I, Bouhaik FS, Chouarfia I, Guefrachi I, Bencharef Y, Sedrati M, Mouhand C, Bottigliero D. Levosimendan in Cardiogenic Shock: A Review of Mechanisms, Clinical Evidence, and Therapeutic Use. Rev Cardiovasc Med. 2026 May 21;27(5):47062. doi: 10.31083/RCM47062. PMID: 42238618; PMCID: PMC13227365.</t>
  </si>
  <si>
    <t>15: Kuntsevich O, Chibisov N, Levikov D, Rodionov E. Repeated levosimendan administration guided by invasive hemodynamic assessment in postcardiotomy cardiogenic shock after off-pump coronary artery bypass grafting: a case report. J Cardiothorac Surg. 2026 May 21;21(1):489. doi: 10.1186/s13019-026-04179-6. PMID: 42169134; PMCID: PMC13371601.</t>
  </si>
  <si>
    <t>23: Wang Y, Qu J, Sheng D, Sun X, Zhong L, Wu Y, Liang H. Levosimendan vs. Intra-Aortic Balloon Pump in Coronary Artery Bypass Grafting: A Meta-Analysis. Braz J Cardiovasc Surg. 2026 May 1;41(3):e20250057. doi:10.21470/1678-9741-2025-0057. PMID: 41705523; PMCID: PMC12917909.</t>
  </si>
  <si>
    <t>24: Zhang L, Chen M, Huang Y, Huang Y, Pang Y. Meta-analysis of the Safety and Efficacy of Levosimendan for Cardiac Insufficiency in Infants and Children. J Vis Exp. 2026 Apr 24;(230). doi: 10.3791/70001. PMID: 42113693.</t>
  </si>
  <si>
    <t>29: De Lissnyder N, Blackman S, Oueslati I, Lefèvre A, Slibani H, Errais O, Honore PM. Letter to the Editor: Effects of levosimendan on weaning from mechanical ventilation: A systematic review and meta-analysis. J Crit Care. 2026 Apr;92:155414. doi: 10.1016/j.jcrc.2025.155414. Epub 2025 Dec 17. PMID: 41411998</t>
  </si>
  <si>
    <t>36: Marcus C, Hof S, Gesing A, Thelen P, Orzol S, Vocke A, Schulz J, Kuebart AKC, Truse R, Vollmer C, Bauer I, Picker O, Herminghaus A. Milrinone and levosimendan improve microvascular perfusion in septic rats: a randomized, placebo-controlled trial. Intensive Care Med Exp. 2026 Mar 6;14(1):30. doi: 10.1186/s40635-026-00881-w. PMID: 41790314; PMCID: PMC12965941.</t>
  </si>
  <si>
    <t>37: Andryan DP, Hasanah DY, Atmadikoesoemah CA. The potential effect of calcium sensitizer in pulmonary hypertension post-coronavirus disease-19 infection in presumptive familial dilated cardiomyopathy: a case report. J Med Case Rep. 2026 Mar 5;20(1):189. doi: 10.1186/s13256-026-05854-x. PMID: 41787553; PMCID: PMC13072488.</t>
  </si>
  <si>
    <t>Clinical Trial</t>
  </si>
  <si>
    <t>n=393 with dapagliflozin</t>
  </si>
  <si>
    <t>37: Sathianathan S, Sachar S, Berro J, Nero N, Bauer SR, Tonelli AR, Hamzaoui O, Siuba MT. Vasoactive Medications and the Microcirculation in Septic Shock: A Scoping Review. Crit Care Med. 2026 Mar 1;54(3):594-606. doi: 10.1097/CCM.0000000000007016. Epub 2026 Jan 13. PMID: 41528192; PMCID: PMC13162047.</t>
  </si>
  <si>
    <t>39: Zhu B, Zhao W, Li Y. Effect of levosimendan treatment in cardiac surgery: a network meta-analysis of randomized controlled trials. Front Cardiovasc Med. 2026 Feb 11;12:1673410. doi: 10.3389/fcvm.2025.1673410. PMID: 41756164; PMCID: PMC12932496.</t>
  </si>
  <si>
    <t>38: Liu X, Shaibu Z, Huang X, Wang D, Zhu W. Comparative efficacy of levosimendan and dobutamine in sepsis-related cardiac impairment: a meta-analysis. Eur J Clin Pharmacol. 2026 Feb 10;82(3):78. doi: 10.1007/s00228-026-04010-0. PMID: 41665777.</t>
  </si>
  <si>
    <t>46: Emara A, Ellebedy M, Aboeldahab H, Nazir A, Elgendy MS, Hassan AM, Barakat Y, Saad OA, Elawady A, Elnady M, Abdelaziz A. Levosimendan vs. Milrinone in cardiac surgery: A GRADE-assessed systematic review and meta-analysis. Eur J Clin Pharmacol. 2026 Jan 17;82(2):34. doi: 10.1007/s00228-025-03958-9. PMID: 41546720</t>
  </si>
  <si>
    <t>12: Bis J, Mendrala K, Deja M, Darocha T, Morkisz Ł, Jodłowski M, Gocoł R. Levosimendan in Patients With Low Cardiac Ejection Fraction Undergoing Coronary Artery Bypass Grafting: Machine Learning Double Robust Causal Effect Analysis. J Cardiothorac Vasc Anesth. 2026 May 26:S1053-0770(26)00462-3. doi: 10.1053/j.jvca.2026.05.060. Epub ahead of print. PMID: 42297654.</t>
  </si>
  <si>
    <t>13: De Leijer E, Hofma C, Serpa Neto A, Hunfeld NGM, Schultz MJ, Doorduin J, Heunks L. Weaning from invasive ventilation with levosimendan (WEANLESS): study protocol for a multicentre randomised clinical trial. BMJ Open. 2026 May 20;16(5):e117615. doi: 10.1136/bmjopen-2026-117615. PMID: 42161542; PMCID: PMC13202070.</t>
  </si>
  <si>
    <t>14: Langmuur SJJ, Amesz JH, Alipour Symakani RS, Veen KM, Meuwese CL, Bogers AJJC, de Groot NMS, Manintveld OC, Taverne YJHJ. Ventricle-Specific Biomechanical Responses to Inotropic and Vasoactive Drugs in Human Myocardial Slices. J Cardiovasc Transl Res. 2026 May 11;19(1):53. doi: 10.1007/s12265-026-10773-9. PMID: 42115510; PMCID: PMC13160974.</t>
  </si>
  <si>
    <t>RV failure - prognosis worse - typically where things are bad</t>
  </si>
  <si>
    <t>milrinone, dobutamine, digoxin?</t>
  </si>
  <si>
    <t>when administered carefully and wisely, they could be could</t>
  </si>
  <si>
    <t xml:space="preserve">  patients like it</t>
  </si>
  <si>
    <t>ibopamine - dutch trial, i-opamine</t>
  </si>
  <si>
    <t>theyre hypotensive already</t>
  </si>
  <si>
    <t>optimal dose is already limiting</t>
  </si>
  <si>
    <t>the rise of 6MW came with PH, KCQ</t>
  </si>
  <si>
    <t>SGLT2 - DETERMINE REF and PEF - both 6MW and KCQ were done n=200</t>
  </si>
  <si>
    <t>6MW was not congruent with KCQ</t>
  </si>
  <si>
    <t>EMPATHY - same thing</t>
  </si>
  <si>
    <t>patients were too good to have 6MW</t>
  </si>
  <si>
    <t>NT-pro</t>
  </si>
  <si>
    <t>51: Malakan Rad E, Pourlaiakbar H, Gorji M, Hijazi ZM. Holodiastolic Flow Reversal in the Descending Aorta: A Marker of Concomitant Acute Myocarditis and Aortitis in Children-A Case Series. Pediatr Cardiol. 2026 Jan;47(1):467-478. doi: 10.1007/s00246-025-03810-y. Epub 2025 Mar 18. PMID: 40100296.</t>
  </si>
  <si>
    <t>52: Sciatti E, Di Odoardo L, Zucchetti O, Senni M, D'Elia E. Vericiguat in advanced heart failure patients receiving chronic intermittent levosimendan infusions: a prospective pilot study. Heart. 2025 Dec 11;112(1):53-56. doi: 10.1136/heartjnl-2025-326009. PMID: 40659505.</t>
  </si>
  <si>
    <t>53: Kantzavelou A, Chatzigiannis N, Baltogianni M, Atzemoglou N, Giapros V. Successful Use of Levosimendan in Four Critically Ill Neonates With Pulmonary Hypertension: A Case Series. Pediatr Pulmonol. 2025 Dec;60(12):e71430. doi:10.1002/ppul.71430. PMID: 41392827; PMCID: PMC12703557.</t>
  </si>
  <si>
    <t>54: Boettger P, Lemm H, Sedighi J, Niemann B, Hoffmann B, Werdan K, Buerke M. Hemodynamic effects of levosimendan in low cardiac output syndrome post-CABG refractory to standard inotropic therapy. Med Klin Intensivmed Notfmed. 2025 Dec;120(Suppl 1):72-80. English. doi: 10.1007/s00063-025-01353-x. Epub 2025 Dec 2. PMID: 41331381.</t>
  </si>
  <si>
    <t>55: Li C, Guo F, Wang Z, Shan L. Effects of levosimendan on weaning from mechanical ventilation: A systematic review and meta-analysis. J Crit Care. 2025 Dec;90:155195. doi: 10.1016/j.jcrc.2025.155195. Epub 2025 Jul 28. PMID: 40729830</t>
  </si>
  <si>
    <t>55: Liu X, Lu M, Yu Y, Shen N, Xia H, Shi J, Fu Y, Hu Y. Levosimendan: A New Therapeutical Strategy in Patients with Renal Insufficiency. Cardiovasc Drugs Ther. 2025 Dec;39(6):1481-1488. doi: 10.1007/s10557-024-07614-9. Epub 2024 Aug 7. PMID: 39110308.</t>
  </si>
  <si>
    <t>56: Xu X, Lv F, Xu C, Lai X. Efficacy of levosimendan for acute decompensated heart failure with preserved ejection fraction in the elderly: a single-center retrospective analysis. BMC Cardiovasc Disord. 2025 Nov 26;26(1):1. doi: 10.1186/s12872-025-05224-3. PMID: 41299325; PMCID: PMC12763961.</t>
  </si>
  <si>
    <t>56: Papaioannou E, Chatzipanteliadou S, Rammos A, Gkartzonikas I, Bechlioulis A, Stamou I, Bouratzis V, Lakkas L, Michalis LK, Naka KK. Prognosis and Risk Stratification of Patients with Advanced Heart Failure Followed-Up on an Outpatient Clinic. Biomedicines. 2025 Nov 10;13(11):2743. doi: 10.3390/biomedicines13112743. PMID: 41301836; PMCID: PMC12650475.</t>
  </si>
  <si>
    <t>57: Yamamoto M, Hosoya Y, Hanada H, Osawa T, Arai M, Sakamoto K, Okazaki Y, Katasako-Yabumoto A, Ishizu T, Kondo T, Kirigaya J, Nakayama N, Yamamoto T, Hashiba K, Nakashima T, Tsujita K, Noguchi T, Tsujimoto Y, Kikuchi M, Tahara Y, Nonogi H, Matoba T; Japan Resuscitation Council (JRC) Cardiogenic Shock (CS) Task Force and the Guideline Editorial Committee on behalf of the Japanese Circulation Society (JCS) Emergency and Critical Care Committee. Clinical Importance of Phosphodiesterase 3 Inhibitors on Outcomes in Patients With Cardiogenic Shock　- A Systematic Review. Circ Rep. 2025 Sep 17;7(11):1021-1028. doi: 10.1253/circrep.CR-25-0152. PMID: 41216405; PMCID: PMC12597244.</t>
  </si>
  <si>
    <t>58: Carvalheiro R, Santos AR, Teixeira AR, Reis JF, Gonçalves AV, Moreira RI, Pereira da Silva T, Gomes V, Coelho P, Ferreira RC. Phenotype-Guided Outpatient Levosimendan as a Bridge-to-Transplant in Low-Output Advanced Heart Failure: A Single-Center Cohort. J Pers Med. 2025 Oct 2;15(10):473. doi: 10.3390/jpm15100473. PMID: 41149835; PMCID: PMC12564945.</t>
  </si>
  <si>
    <t>59: Guzman-Bofarull J, Martín-Centellas A, Couto-Mallon D, Borràs R, Arenas-Loriente A, Rivas-Lasarte M, Segovia-Cubero J, Crespo-Leiro MG, García-Álvarez A, Farrero M. Impact of Pre-Heart Transplant Levosimendan Administration on Post-Transplant Vasoplegia and Primary Graft Dysfunction. Clin Transplant. 2025 Oct;39(10):e70327. doi: 10.1111/ctr.70327. PMID: 41131777; PMCID: PMC12550220.</t>
  </si>
  <si>
    <t>60: Masarone D, Falco L, Aspromonte N, Di Lorenzo E, Linde C. Cardiac contractility modulation therapy and levosimendan: two brothers in arms against heart failure with preserved ejection fraction. J Cardiovasc Med (Hagerstown). 2025 Oct 1;26(10):592-594. doi: 10.2459/JCM.0000000000001785. Epub 2025 Oct 10. PMID: 41118304.</t>
  </si>
  <si>
    <t>61: Gaballah M, Walls K, Zakzook F, Kreutzer J, Levijoki J, Aalto-Setälä K. A hypoxia-on-a-chip platform for modeling ischemic arrhythmogenesis and evaluating the effects of levosimendan and OR-1896 on ischemic human iPSC-derived cardiomyocytes. Front Bioeng Biotechnol. 2025 Sep 29;13:1671013. doi:10.3389/fbioe.2025.1671013. PMID: 41089398; PMCID: PMC12515882.</t>
  </si>
  <si>
    <t>62: Zhao F, Wei H, Lin L, Wang H, Zhang Z, Guo L. Levosimendan versus dobutamine in septic cardiomyopathy: a randomized clinical trial on cardiac function and safety. Front Cardiovasc Med. 2025 Sep 19;12:1641604. doi:10.3389/fcvm.2025.1641604. PMID: 41048529; PMCID: PMC12491170.</t>
  </si>
  <si>
    <t>63: Matković Z, Gajić Bojić M, Maličević U, Krivokuća A, Mandić-Kovačević N, Uletilović S, Amidžić L, Jovičić S, Barudžija M, Stojiljković MP, Gajanin R, Bolevich S, Škrbić R. Levosimendan Pretreatment Attenuates Mesenteric Artery Ischemia/Reperfusion Injury and Multi-Organ Damage in Rats. Int J Mol Sci. 2025 Sep 18;26(18):9131. doi: 10.3390/ijms26189131. PMID: 41009694; PMCID: PMC12470194.</t>
  </si>
  <si>
    <t>64: Zemljic G, Poglajen G, Frljak S, Cerar A, Okrajsek R, Sebestjen M, Knezevic I, Vrtovec B. Renal Response to Levosimendan in Advanced Chronic Heart Failure Patients Listed for Heart Transplantation Predicts Early Postoperative Renal Function Course. J Cardiovasc Dev Dis. 2025 Sep 16;12(9):357. doi: 10.3390/jcdd12090357. PMID: 41002636; PMCID: PMC12470588.</t>
  </si>
  <si>
    <t>65: Ibraev T, Zhauarova G, Kerimkulov A, Rakhimova K, Sungkarbekov E. Intracoronary levosimendan in neonatal cardiac surgery: a retrospective study on hemodynamic effects and catecholamine-sparing outcomes. Front Cardiovasc Med. 2025 Sep 10;12:1577847. doi: 10.3389/fcvm.2025.1577847. PMID: 41000533; PMCID: PMC12457408.</t>
  </si>
  <si>
    <t>66: Ghabara R, Ben Kaab B, Antit S, Boussabeh I, Bousnina S, Dziri C, Zakhama L. Effect of Inotropes in Patients with Advanced Heart Failure: A Meta-Analysis of Randomized Trials. Tunis Med. 2025 Sep 9;103(9):1165-1174. doi: 10.62438/tunismed.v103i9.6513. PMID: 41848124.</t>
  </si>
  <si>
    <t>67: Duraes AR, de Souza Lima Bitar Y, Gonçalves Oliveira GM, Franklin LRV, Junior JBVL. Staggered use of sodium nitroprusside and levosimendan in a patient with refractory cardiogenic shock: a case report. Eur Heart J Case Rep. 2025 Aug 29;9(9):ytaf430. doi: 10.1093/ehjcr/ytaf430. PMID: 40977942; PMCID: PMC12448701.</t>
  </si>
  <si>
    <t>68: Ozyilmaz I, Genc HZ, Coban S, Oguz AS, Yilmaz N, Tanidir IC, Ozturk E, Hatemi AC. New triple combination therapy approach for children with advanced heart failure despite having received standard heart failure treatment. Cardiol Young. 2025 Sep;35(9):1882-1888. doi: 10.1017/S1047951125109335. Epub 2025 Sep 1. PMID: 40888333.</t>
  </si>
  <si>
    <t>69: Kumari R, Gupta D, Singh P, Priyadarshi M, Chaurasia S, Basu S. Levosimendan in Refractory Shock in a Neonate with Congenital Diaphragmatic Hernia. Indian J Pediatr. 2025 Sep;92(9):1024. doi: 10.1007/s12098-025-05645-0. Epub 2025 Jul 5. PMID: 40615628.</t>
  </si>
  <si>
    <t>69: Zhang Y, Fei P, Liu X. Serum interleukin-6, tumour necrosis factor-a, D-dimer after recombinant human brain natriuretic peptide combined with levosimendan in patients with heart failure. J Med Biochem. 2025 Aug 21;44(5):1100-1109. doi: 10.5937/jomb0-56202. PMID: 40951892; PMCID: PMC12433298.</t>
  </si>
  <si>
    <t>70: Yogeswaran A, Kremer NC, Janetzko P, Schäfer S, Rako ZA, Vadász I, Hecker M, Tello K. Right-sided heart failure in acute respiratory distress syndrome. Eur Respir Rev. 2025 Aug 20;34(177):250060. doi: 10.1183/16000617.0060-2025. PMID: 40835397; PMCID: PMC12365667.</t>
  </si>
  <si>
    <t>71: Wu-Chin C, Zúñiga-Orlich C, Salas-Segura J, Lostalo-González A, Mora-Jiménez J, Arguedas-Chacón S, Cruz-Mora K, Zavaleta-Monestel E. Acute Cardiotoxicity Induced by 5-Fluorouracil Successfully Treated With Levosimendan: A Case Report. Cureus. 2025 Aug 13;17(8):e89996. doi: 10.7759/cureus.89996. PMID: 40951224; PMCID: PMC12429719.</t>
  </si>
  <si>
    <t>71: Bouchaala K, Bahloul M, Hadded A, Haddar O, Hamida CB. Intravenous Levosimendan for Acute Heart Failure with Renal Impairment Following Severe Scorpion Envenomation: Case Report and Literature Review. Am J Trop Med Hyg. 2025 May 27;113(2):464-468. doi: 10.4269/ajtmh.25-0020. PMID: 40424999; PMCID: PMC12360093.</t>
  </si>
  <si>
    <t>72: Rodríguez EE, Jaramillo GAD, Cuellar LMR, Herran SEP, Lima DRR, Herpain A. Levosimendan vs. Dobutamine in Patients with Septic Shock: A Systematic Review and Meta-Analysis with Trial Sequential Analysis. J Clin Med. 2025 Aug 5;14(15):5496. doi: 10.3390/jcm14155496. PMID: 40807117; PMCID: PMC12347308.</t>
  </si>
  <si>
    <t>73: Seven TE, Karakaya K, Güven B, Baş Y, Köktürk F. Effects of Levosimendan on Anastomotic Healing in an Ischemic Colon Anastomosis Model. J Surg Res. 2025 Aug;312:37-47. doi: 10.1016/j.jss.2025.05.004. Epub 2025 Jun 13. PMID: 40516149.</t>
  </si>
  <si>
    <t>74: Pagnesi M, Riccardi M, Sacco A, Tavecchia G, Viola G, Frea S, Briani M, Bertoldi LF, Bertaina M, Potena L, Valente S, Marini M, De Ferrari GM, D'Ettore N, Cardinale A, Camporotondo R, Rota M, Tavazzi G, Morici N, Pappalardo F, Metra M; Altshock‐2 investigators. Pre-admission beta-blocker therapy and outcomes in cardiogenic shock: Insights from the Altshock-2 Registry. ESC Heart Fail. 2025 Aug;12(4):2565-2577. doi: 10.1002/ehf2.15322. Epub 2025 Jun 9. PMID: 40488449; PMCID: PMC12287813.</t>
  </si>
  <si>
    <t>75: Liu W, Wang X, Wu D, Ma Z, Ning B. Serum potassium is a critical risk factor for cardiac arrhythmias in acute heart failure patients treated with levosimendan: A retrospective study in a cohort of 250 patients. Int J Clin Pharmacol Ther. 2025 Aug;63(8):377-385. doi: 10.5414/CP204692. PMID: 40338117.</t>
  </si>
  <si>
    <t>76: Bertin S, Haefliger D, Perez MH, Guidi M, Decosterd LA, Chanez V, Di Paolo ER, Buclin T, Livio F. Pharmacokinetics of levosimendan in critically Ill children on extracorporeal membrane oxygenation: a prospective observational study. Front Pediatr. 2025 Jul 30;13:1542417. doi: 10.3389/fped.2025.1542417. PMID: 40809383; PMCID: PMC12343485.</t>
  </si>
  <si>
    <t>77: Garcia-Peña AA, Mariño A, Muñoz-Velandia OM, Saa-González D. Survival differences according to baseline characteristics of patient with advanced heart failure treated with levosimendan. SAGE Open Med. 2025 Jul 17;13:20503121251357357. doi: 10.1177/20503121251357357. PMID: 40689263; PMCID: PMC12276472.</t>
  </si>
  <si>
    <t>78: Shi F, Bao H, Meng F, Pang Y. Levosimendan alleviates myocardial ischemia-reperfusion injury by regulating mitochondrial autophagy through cGAS-STING signaling pathway. J Clin Biochem Nutr. 2025 Jul;77(1):74-78. doi: 10.3164/jcbn.25-8. Epub 2025 Mar 18. PMID: 40777821; PMCID: PMC12326253.</t>
  </si>
  <si>
    <t>79: Virmani S, Garg S, Malik I, Dash AC, Naqvi SEH, Wadhwa R, Singh H. Intravenous Levosimendan versus Milrinone: Coronary Sinus Lactate and PA Catheter Derived Parameters in Patients with Pulmonary Hypertension Undergoing Elective Mitral Valve Replacement. Ann Card Anaesth. 2025 Jul 1;28(3):298-304. doi: 10.4103/aca.aca_4_25. Epub 2025 Jul 8. PMID: 40629786; PMCID: PMC12324756.</t>
  </si>
  <si>
    <t>80: Reiterer C, Kabon B, Taschner A, Graf A, Adamowitsch N, Horvath K, Emler D, Zotti O, Hantakova N, Hochreiter B, Fraunschiel M, Clement T, Fleischmann E. Levosimendan for postoperative subclinical heart failure after noncardiac surgery: a randomized, double-blinded, phase III trial. Nat Commun. 2025 Jul 1;16(1):5847. doi: 10.1038/s41467-025-60601-y. PMID: 40593481; PMCID: PMC12219076.</t>
  </si>
  <si>
    <t>81: Zhang H, Chen Z, Ren W, Ye Y. The Efficacy of Sacubitril Valsartan Sodium in Combination with Levosimendan in the Treatment of Cardiorenal Syndrome and the Effect on Cardiac and Renal Function. Altern Ther Health Med. 2025 Jul;31(4):262-267. PMID: 38814606.</t>
  </si>
  <si>
    <t>82: Karner E, Keller H, Schäffl-Doweik L, Laccone F, Stöllberger C. Postpartum cardiogenic shock with rapid recovery in a Titin gene variant: The role of genetic predisposition in peripartum cardiomyopathy. Obstet Med. 2025 Jun;18(2):130-132. doi: 10.1177/1753495X231214379. Epub 2023 Nov 13. PMID: 40322672; PMCID: PMC12046153.</t>
  </si>
  <si>
    <t>83: Lehner GF, Mayerhöfer T, Perschinka F, Benda B, Joannidis M. Vasoaktive Substanzen im septischen Schock – individualisierte Strategien [Vasoactive agents in septic shock-individualized strategies]. Med Klin Intensivmed Notfmed. 2025 Jun;120(5):369-378. German. doi: 10.1007/s00063-025-01272-x. Epub 2025 Apr 24. PMID: 40272462; PMCID: PMC12106132.</t>
  </si>
  <si>
    <t>84: Gagliardi V, Ceccherelli F, Lovato A, Gagliardi G. The Effects of Levosimendan on Microcirculation and Peripheral Perfusion in Septic Shock: A Pilot Study. Life (Basel). 2025 May 28;15(6):871. doi: 10.3390/life15060871. PMID: 40566525; PMCID: PMC12194462.</t>
  </si>
  <si>
    <t>85: Chen B, Chen Z, Gao Q, Li Q, Yang T. Clinical analysis of atrial fibrillation after levosimendan treatment for acute decompensated heart failure: A propensity score-matched study. Medicine (Baltimore). 2025 May 23;104(21):e42599. doi: 10.1097/MD.0000000000042599. PMID: 40419884; PMCID: PMC12114009.</t>
  </si>
  <si>
    <t>86: Teixeira AR, Barbas de Albuquerque F, Pereira-da-Silva T, Gonçalves AV, Ilhão Moreira R, Timóteo AT, Alves J, Barquinha S, Mata R, Dias M, Cacela D, Cruz Ferreira R. Hemodynamic effect of outpatient levosimendan infusion assessed daily using the CardioMEMS™ invasive remote monitoring system. Rev Port Cardiol. 2025 May;44(5):281-288. English, Portuguese. doi: 10.1016/j.repc.2024.11.014. Epub 2025 Mar 8. PMID: 40058409.</t>
  </si>
  <si>
    <t>87: Silva D. Will ambulatory invasive hemodynamic monitoring benefit the management of levosimendan in outpatients with advanced heart failure? Rev Port Cardiol. 2025 May;44(5):289-290. English, Portuguese. doi: 10.1016/j.repc.2025.02.005. Epub 2025 Mar 1. PMID: 40032229.</t>
  </si>
  <si>
    <t>88: Turkiewicz K, Kulczycki JJ, Rola P, Włodarczak S, Barycki M, Włodarczak P, Furtan Ł, Kozak P, Doroszko A, Banasiak W, Lesiak M, Włodarczak A. Pre-Procedural Use of Levosimendan in High-Risk ACS-PCI Patients with Reduced Left Ventricle Ejection Fraction-Short-Term Outcomes. J Clin Med. 2025 Apr 17;14(8):2761. doi: 10.3390/jcm14082761. PMID: 40283591; PMCID: PMC12028267.</t>
  </si>
  <si>
    <t>89: Chen DL, Lin YK, Wang GJ, Chang KC. Effect of Levosimendan Use on All-Cause Mortality in Out-of-Hospital Cardiac Arrest Survivors After Extracorporeal Cardiopulmonary Resuscitation. Biomedicines. 2025 Apr 13;13(4):955. doi: 10.3390/biomedicines13040955. PMID: 40299560; PMCID: PMC12025156.</t>
  </si>
  <si>
    <t>90: Paulo N, Kimmoun A, Hajage D, Hubert P, Levy D, Pineton de Chambrun M, Chommeloux J, Saura O, Del Marmol G, Moyon Q, Hékimian G, Gautier M, Luyt CE, Lebreton G, Levy B, Combes A, Schmidt M. Does Levosimendan hasten veno-arterial ECMO weaning? A propensity score matching analysis. Ann Intensive Care. 2025 Apr 3;15(1):48. doi: 10.1186/s13613-025-01457-9. PMID: 40180673; PMCID: PMC11968594.</t>
  </si>
  <si>
    <t>91: Kaddoura R, Orabi B, Omar AS, Ibrahim MIM, Alyafei SA, Alkhulaifi A, Shehatta AL. The Role of Levosimendan in Extracorporeal Membrane Oxygenation for Refractory Cardiac Arrest. J Cardiothorac Vasc Anesth. 2025 Apr;39(4):957-966. doi: 10.1053/j.jvca.2025.01.004. Epub 2025 Jan 11. PMID: 39890581.</t>
  </si>
  <si>
    <t>92: Masarone D, Falco L, Caiazzo A, Marra C, di Lorenzo E. Periodic administration of levosimendan as a bridge to transplant : Potiusque sero quam nunquam. J Heart Lung Transplant. 2025 Mar;44(3):469. doi: 10.1016/j.healun.2024.10.031. Epub 2024 Nov 6. PMID: 39515441.</t>
  </si>
  <si>
    <t>93: Zeitouni M, Dorvillius E, Sulman D, Procopi N, Beaupré F, Devos P, Barthélémy O, Rouanet S, Ferrante A, Chommeloux J, Hekimian G, Kerneis M, Silvain J, Montalescot G; ACTION Study Group. Levosimendan in Patients with Cardiogenic Shock Refractory to Dobutamine Weaning. Am J Cardiovasc Drugs. 2025 Mar;25(2):249-258. doi: 10.1007/s40256-024-00683-z. Epub 2024 Oct 21. PMID: 39432228</t>
  </si>
  <si>
    <t>94: Ortega-Hernández JA, González-Pacheco H, Araiza-Garaygordobil D, Gopar-Nieto R, Sierra-Lara-Martínez D, Manzur-Sandoval D, Briseño-De-La-Cruz JL, Mendoza-García S, Montañez-Orozco Á, Arzate-Ramírez A, Arenas-Díaz JO, Gómez-Rodríguez CA, Santos-Alfaro HA, Hernández-Montfort J, Arias-Mendoza A. Higher vasoactive usage despite hemodynamic goals is associated with higher mortality in acute myocardial infarction-related cardiogenic shock. Front Cardiovasc Med. 2025 Feb 13;12:1461714. doi: 10.3389/fcvm.2025.1461714. PMID: 40017516; PMCID: PMC11865078.</t>
  </si>
  <si>
    <t>95: Crispino SP, Segreti A, Nafisio V, Ciancio M, Cavallari I, Giannone S, Melfi R, Ussia GP, Grigioni F. Tailoring Pharmacological Treatment in Cardiogenic Shock: A Narrative Review. Discov Med. 2025 Feb;37(193):222-243. doi: 10.24976/Discov.Med.202537193.19. PMID: 39973548.</t>
  </si>
  <si>
    <t>95: Meng J, Zuo Y. Lowering B-type natriuretic peptide levels and increasing cardiac function: the role of levosimendan in the treatment of heart failure. J Int Med Res. 2025 Feb;53(2):3000605241311434. doi: 10.1177/03000605241311434. PMID: 39922797; PMCID: PMC11807275.</t>
  </si>
  <si>
    <t>96: Zhao XS, Yu YP, Yao YT; Evidence in Cardiovascular Anesthesia (EICA) Group. Bibliometric analysis of levosimendan. Int J Cardiol Heart Vasc. 2024 Dec 16;56:101571. doi: 10.1016/j.ijcha.2024.101571. PMID: 39802178; PMCID: PMC11719333.</t>
  </si>
  <si>
    <t>97: Lv Q, Wu Q, Yang Y, Li L, Ye X, Wang S, Lv Y, Wang M, Li Y. Comparative efficacy of different drugs in acute heart failure with renal dysfunction: a systematic review and network meta-analysis. Front Cardiovasc Med. 2025 Jan 14;11:1444068. doi: 10.3389/fcvm.2024.1444068. PMID: 39877019; PMCID: PMC11772403.</t>
  </si>
  <si>
    <t>97: Du X, Xiong F, Hou Y, Yu X, Pan P. Levosimendan for sepsis-induced myocardial dysfunction: friend or foe? Front Cardiovasc Med. 2025 Jan 8;11:1520596. doi: 10.3389/fcvm.2024.1520596. PMID: 39844909; PMCID: PMC11752121.</t>
  </si>
  <si>
    <t>98: Zhao M, Hou Y, Yuan M, Ma S, Yue Y. Clinical efficacy and hemodynamic effects of levosimendan in cardiac surgery patients after surgery. J Cardiothorac Surg. 2025 Jan 7;20(1):43. doi: 10.1186/s13019-024-03316-3. PMID: 39773754; PMCID: PMC11705681.</t>
  </si>
  <si>
    <t>99: Wu Y, Hu X, Mao X, Liu H, Li S, Zeng Y, Xu P, Xiao H, Li D, Xia K. Effect of levosimendan on plasma intestinal barrier factors in heart failure patients with reduced ejection fraction. Zhong Nan Da Xue Xue Bao Yi Xue Ban. 2025 Sept 28;50(9):1611-1623. doi: 10.11817/j.issn.1672-7347.2025.250423. PMID: 41492745; PMCID: PMC12740720.</t>
  </si>
  <si>
    <t>100: Severino P, D'Amato A, Prosperi S, Mariani MV, Cestiè C, Myftari V, Labbro Francia A, Marek-Iannucci S, Manzi G, Filomena D, Maestrini V, Mancone M, Badagliacca R, Vizza CD, Fedele F. The Early Pharmacological Strategy with Inodilator, bEta-blockers, Mineralocorticoid Receptor Antagonists, Sodium-glucose coTransporter-2 Inhibitors and Angiotensin Receptor-neprylisin Inhibitors in Acute Heart Failure (PENTA-HF). Curr Vasc Pharmacol. 2025;23(3):213-223. doi: 10.2174/0115701611334141241217044516. PMID: 39844570.</t>
  </si>
  <si>
    <t>101: Boboshko V, Lomivorotov V, Ruzankin P, Khrushchev S, Lomivorotova L, Monaco F, Calabrò MG, Comis M, Bove T, Pisano A, Belletti A. Levosimendan in Patients with Low Cardiac Output Syndrome After Cardiac Surgery: A Substudy of the Multicenter Randomized CHEETAH Trial. J Cardiothorac Vasc Anesth. 2025 Jan;39(1):151-161. doi: 10.1053/j.jvca.2024.10.003. Epub 2024 Oct 10. PMID: 39482169</t>
  </si>
  <si>
    <t>102: Fang L, Zhu P, Yu G, Lv W, Hu J. Effect of Levosimendan on Low Cardiac Output Syndrome After Pericardiectomy. Ther Clin Risk Manag. 2024 Dec 13;20:861-869. doi: 10.2147/TCRM.S496574. PMID: 39691940; PMCID: PMC11651068.</t>
  </si>
  <si>
    <t>103: De Backer D, Rimachi R, Duranteau J. Hemodynamic management of acute kidney injury. Curr Opin Crit Care. 2024 Dec 1;30(6):542-547. doi: 10.1097/MCC.0000000000001213. Epub 2024 Sep 18. PMID: 39503203.</t>
  </si>
  <si>
    <t>104: Bosa Ojeda F, Méndez Vargas C, Lacalzada Almeida J, Izquierdo Gómez MM, Jiménez Sosa A, Rodríguez Jiménez C, Sánchez-Grande Flecha A, Bosa Santana M, Yanes Bowden G. Efficacy and safety of levosimendan in patients with ST-segment elevation myocardial infarction undergoing primary percutaneous coronary intervention: The LEVOCEST trial. Catheter Cardiovasc Interv. 2024 Dec;104(7):1414-1422. doi: 10.1002/ccd.31267. Epub 2024 Oct 19. PMID: 39425551; PMCID: PMC11667407.</t>
  </si>
  <si>
    <t>105: Lind PC, Vallentin MF, Granfeldt A, Andersen LW. Re-evaluating intra-cardiac arrest adjunctive medications and routes of drug administration. Curr Opin Crit Care. 2024 Dec 1;30(6):587-596. doi: 10.1097/MCC.0000000000001206. Epub 2024 Sep 7. PMID: 39248084.</t>
  </si>
  <si>
    <t>106: Dobarro D, Raposeiras-Roubin S, Almenar-Bonet L, Solé-González E, Padilla-Lopez M, Diez-Lopez C, Castrodeza J, García-Cosío MD, Cobo-Marcos M, Tobar J, Codina P, Lopez-Fernandez S, Pastor F, Rangel-Sousa D, Barge-Caballero E, Diaz-Molina B, Barrio-Rodriguez A, Burgos-Palacios V, Álvarez-García J, González-Fernández O, Grau-Sepulveda A, Garcia-Pinilla JM, Ruiz-Bustillo S, Mendez- Fernández AB, Vaqueriza-Cubillo D, Sagasti-Aboitiz I, Rodriguez-Santamarta M, Lozano-Bahamonde A, Abecia A, Gómez-Otero I, Marzoa R, González-Babarro E, Gómez-Bueno M, Gonzalez-Costello J. Destination Therapy Strategies of Advanced Heart Failure in Elderly Non-Heart Transplant Candidates: A Propensity Matching Analysis from the LEVO-D and REGALAD Registries. Life (Basel). 2024 Nov 29;14(12):1570. doi: 10.3390/life14121570. PMID: 39768278; PMCID: PMC11678731.</t>
  </si>
  <si>
    <t>107: Gayatri D, Tongers J, Efremov L, Mikolajczyk R, Sedding D, Schumann J. Prophylactic use of inotropic agents for the prevention of low cardiac output syndrome and mortality in adults undergoing cardiac surgery. Cochrane Database Syst Rev. 2024 Nov 27;11(11):CD013781. doi: 10.1002/14651858.CD013781.pub2. PMID: 39601298; PMCID: PMC11600501.</t>
  </si>
  <si>
    <t>108: Burkhardt BE, Hummel J, Rücker G, Stiller B. Inotropes for the prevention of low cardiac output syndrome and mortality for paediatric patients undergoing surgery for congenital heart disease: a network meta-analysis. Cochrane Database Syst Rev. 2024 Nov 26;11(11):CD013707. doi: 10.1002/14651858.CD013707.pub2. PMID: 39588800; PMCID: PMC11590178.</t>
  </si>
  <si>
    <t>108: Masarone D, Valente F, Verrengia M, Contaldi C, di Palma V, Falco L, Catapano D, di Lorenzo E. Pharmacologic Treatment of Pulmonary Hypertension Due to Heart Failure with Preserved Ejection Fraction: Are There More Arrows on Our Bow? J Clin Med. 2024 Nov 14;13(22):6867. doi: 10.3390/jcm13226867. PMID: 39598011; PMCID: PMC11594938.</t>
  </si>
  <si>
    <t>109: Susilo H, Aldian FM, Wungu CDK, Alsagaff MY, Sutanto H, Multazam CECZ. Levosimendan, a Promising Pharmacotherapy in Cardiogenic Shock: A Comprehensive Review. Eur Cardiol. 2024 Nov 12;19:e21. doi: 10.15420/ecr.2024.16. PMID: 39588250; PMCID: PMC11588109.</t>
  </si>
  <si>
    <t>110: Elsaeidy AS, Abuelazm M, Ghaly R, Soliman Y, Amin AM, El-Gohary M, Elshenawy S, Seri AR, Abdelazeem B, Patel B, Bianco C. The Efficacy and Safety of Levosimendan in Patients with Advanced Heart Failure: An Updated Meta-Analysis of Randomized Controlled Trials. Am J Cardiovasc Drugs. 2024 Nov;24(6):775-790. doi: 10.1007/s40256-024-00675-z. Epub 2024 Sep 11. PMID: 39261444; PMCID: PMC11525400.</t>
  </si>
  <si>
    <t>111: Li C, Zheng J, Zhang B, Xu J, Chu Z. Meta-analysis of a controlled study of levosimendan combined with Sacubitril/Valsartan for the treatment of heart failure with reduced ejection fraction in China. Front Cardiovasc Med. 2024 Oct 3;11:1469457. doi: 10.3389/fcvm.2024.1469457. PMID: 39421155; PMCID: PMC11484081.</t>
  </si>
  <si>
    <t>111: Birnbaum Y, McClendon LK. Levosimendan for Diastolic Dysfunction? Cardiovasc Drugs Ther. 2024 Oct;38(5):1053-1054. doi: 10.1007/s10557-024-07606-9. Epub 2024 Jul 9. PMID: 38980529.</t>
  </si>
  <si>
    <t>112: Visco V, Esposito C, Rispoli A, Di Pietro P, Izzo C, Loria F, Di Napoli D, Virtuoso N, Bramanti A, Manzo M, Vecchione C, Ciccarelli M. The favourable alliance between CardioMEMS and levosimendan in patients with advanced heart failure. ESC Heart Fail. 2024 Oct;11(5):2835-2848. doi: 10.1002/ehf2.14838. Epub 2024 May 18. PMID: 38761030; PMCID: PMC11424304.</t>
  </si>
  <si>
    <t>113: Han C, Ji Y, Song Y, Wang Y. Clinical analysis of levosimendan in patients with heart failure after aortic valve replacement. Asian J Surg. 2024 Sep 28:S1015-9584(24)02165-1. doi: 10.1016/j.asjsur.2024.09.120. Epub ahead of print. PMID: 39343678.</t>
  </si>
  <si>
    <t>114: Ftikos P, Gkantinas G, Karageorgos V, Smirli A, Kogerakis N, Leontiadis E, Petsios K, Antoniou T, Theodoraki K. Intravenous Levosimendan versus Inhalational Milrinone in the Management of Pulmonary Hypertension during Adult Cardiac Surgery: A Randomized Clinical Trial. Life (Basel). 2024 Sep 14;14(9):1164. doi: 10.3390/life14091164. PMID: 39337947; PMCID: PMC11433114.</t>
  </si>
  <si>
    <t>115: Turkiewicz K, Rola P, Włodarczak S, Barycki M, Włodarczak A, Lesiak M. Recovery from severe ischemic cardiomyopathy after high-risk percutaneous coronary intervention facilitated by levosimendan infusion and Impella CP support and prolonged use of a wearable defibrillator vest. Postepy Kardiol Interwencyjnej. 2024 Sep;20(3):370-371. doi: 10.5114/aic.2024.142234. Epub 2024 Aug 13. PMID: 39464576; PMCID: PMC11506408.</t>
  </si>
  <si>
    <t>116: Levijoki JM, Kivikko M, Pollesello P. Levosimendan as an Antidote in Experimental Calcium Channel Blocker Intoxication. J Cardiovasc Pharmacol. 2024 Sep 1;84(3):340-346. doi: 10.1097/FJC.0000000000001612. PMID: 39240729.</t>
  </si>
  <si>
    <t>117: Correction in the article by de Juan Bagudá et al. "Repetitive ambulatory levosimendan as a bridge to heart transplantation", Rev Esp Cardiol. 2024;77:290-301. Rev Esp Cardiol (Engl Ed). 2024 Sep;77(9):802. English, Spanish. doi: 10.1016/j.rec.2024.05.010. Epub 2024 Jul 3. Erratum for: Rev Esp Cardiol (Engl Ed). 2024 Apr;77(4):290-301. doi: 10.1016/j.rec.2023.07.002. PMID: 38964954</t>
  </si>
  <si>
    <t>118: Joshi RK, Joshi R, Aggarwal N, Agarwal M, Siddartha CR, Relan J, Kumar A, Modi M, Chug P. Comparison of Levosimendan Versus Milrinone After the Arterial Switch Operation for Infants ≤3 kg. World J Pediatr Congenit Heart Surg. 2024 Sep;15(5):588-596. doi: 10.1177/21501351241239306. Epub 2024 May 20. PMID: 38766718</t>
  </si>
  <si>
    <t>119: Meng Q, Song L, Wang H, Wang G, Zhou G. Levosimendan mediates the BMP/Smad axis through upregulation of circUSP34-targeted miR-1298 to alleviate pulmonary hypertension. Respir Res. 2024 Aug 19;25(1):316. doi:10.1186/s12931-024-02945-5. PMID: 39160536; PMCID: PMC11334555.</t>
  </si>
  <si>
    <t>119: Kipka H, Liebchen U, Hübner M, Höfner G, Frey O, Wanner KT, Kilger E, Hagl C, Tomasi R, Mannell H. Serum concentrations of levosimendan and its metabolites OR-1855 and OR-1896 in cardiac surgery patients with cardiopulmonary bypass. Front Cardiovasc Med. 2024 Aug 8;11:1406338. doi: 10.3389/fcvm.2024.1406338. PMID: 39175630; PMCID: PMC11338783.</t>
  </si>
  <si>
    <t>120: Aljalahma N, Alkoheji H, Saunders H, Tareif H. Ebstein Anomaly Successfully Treated With Levosimendan Postoperatively in a 60-Year-Old Female: A Case Report. Cureus. 2024 Aug 6;16(8):e66340. doi: 10.7759/cureus.66340. PMID: 39246864; PMCID: PMC11377850.</t>
  </si>
  <si>
    <t>121: Sun T, Sun QL, Liu Y, Zhang YY, Sheng P, Cui N, Zhang N, Wang SH, Su D. The efficacy of levosimendan and dobutamine on reducing peripheral blood interleukin-6 levels and improving cardiac function in patients with septic cardiomyopathy: a comparative study. J Physiol Pharmacol. 2024 Aug;75(4). doi: 10.26402/jpp.2024.4.05. Epub 2024 Oct 10. PMID: 39415525.</t>
  </si>
  <si>
    <t>122: David N, Lakha S, Walsh S, Fried E, DeMaria S Jr. Novel inhaled pulmonary vasodilators in adult cardiac surgery: a scoping review. Can J Anaesth. 2024 Aug;71(8):1154-1162. English. doi: 10.1007/s12630-024-02770-w. Epub 2024 May 23. PMID: 38782851.</t>
  </si>
  <si>
    <t>122: Masarone D, Falco L, d'Onofrio A, Nigro G, Ammendola E, Pacileo G. Response to levosimendan predicts response to cardiac contractility modulation therapy: a pilot study. Rev Esp Cardiol (Engl Ed). 2024 Aug;77(8):703-705. English, Spanish. doi: 10.1016/j.rec.2024.02.012. Epub 2024 Mar 7. PMID: 38460883.</t>
  </si>
  <si>
    <t>123: Cane G, de Courson H, Robert C, Fukutomi H, Marnat G, Tourdias T, Biais M. Cerebral Hemodynamics and Levosimendan Use in Patients with Cerebral Vasospasm and Subarachnoid Hemorrhage: An Observational Perfusion CT-Based Imaging Study. Neurocrit Care. 2024 Aug;41(1):174-184. doi: 10.1007/s12028-023-01928-6. Epub 2024 Feb 7. PMID: 38326535.</t>
  </si>
  <si>
    <t>124: Zhang LL, Chen GH, Tang RJ, Xiong YY, Pan Q, Jiang WY, Gong ZT, Chen C, Li XS, Yang YJ. Levosimendan Reverses Cardiac Malfunction and Cardiomyocyte Ferroptosis During Heart Failure with Preserved Ejection Fraction via Connexin 43 Signaling Activation. Cardiovasc Drugs Ther. 2024 Aug;38(4):705-718. doi: 10.1007/s10557-023-07441-4. Epub 2023 Mar 7. PMID: 36881213.</t>
  </si>
  <si>
    <t>125: Dündar MA, Yılmaz M, Argun M. Levosimendan: efficacy and safety in pediatric heart failure treatment. Rev Assoc Med Bras (1992). 2024 Jul 19;70(7):e20240257. doi: 10.1590/1806-9282.20240257. PMID: 39045941; PMCID: PMC11262320.</t>
  </si>
  <si>
    <t>126: Wan H, Feng J, Ji P, Chen W, Zhang J. Levosimendan and Atrial Fibrillation: A Meta-Analysis of Randomized Controlled Trials. Arq Bras Cardiol. 2024 Jul;121(7):e20230856. English, Portuguese. doi: 10.36660/abc.20230856. PMID: 39166566; PMCID: PMC11464093.</t>
  </si>
  <si>
    <t>124: Xiong F, Hu Z, Liu C, Zhang K, Zhou Q, Chen J, Lu H, Yue X, Zhao J, Pan P. The therapeutic effect of levosimendan in patients with prolonged ventilator weaning and cardiac dysfunction. J Int Med Res. 2024 Jul;52(7):3000605241263166. doi: 10.1177/03000605241263166. PMID: 39079133; PMCID: PMC11295236.</t>
  </si>
  <si>
    <t>125: Wu JQ, Wang YX, Su D, Shao TH, Ding XX, Sun T, Cui N, Yu ZB. EFFECTS OF LEVOSIMENDAN ON DIAPHRAGMATIC DYSFUNCTION IN PATIENTS WITH SEPSIS. Shock. 2024 Jul 1;62(1):63-68. doi: 10.1097/SHK.0000000000002372. Epub 2024 Apr 8. PMID: 38661179</t>
  </si>
  <si>
    <t>126: Faggiano A, Carugo S, Sinagra G, Merlo M. Levosimendan in cardiac amyloidosis: Unveiling promising paths. Int J Cardiol. 2024 Jul 1;406:131994. doi: 10.1016/j.ijcard.2024.131994. Epub 2024 Apr 2. PMID: 38575001.</t>
  </si>
  <si>
    <t>127: Ahmad T, Manohar SA, Stencel JD, Le Jemtel TH. Dobutamine in the Management of Advanced Heart Failure. J Clin Med. 2024 Jun 27;13(13):3782. doi: 10.3390/jcm13133782. PMID: 38999346; PMCID: PMC11242841.</t>
  </si>
  <si>
    <t>128: Ali R, Sajjad W, Mushtaq I, Farooqi H, Sohail A, Wazir Khan H, Tabasum P, Haseeb A, Ismail WU. Unlocking the Therapeutic Symphony: A Systematic Review Exploring the Role of Levosimendan in the Management of Heart Failure. Cureus. 2024 Jun 20;16(6):e62799. doi: 10.7759/cureus.62799. PMID: 39036117; PMCID: PMC11260277.</t>
  </si>
  <si>
    <t>128: Haug M, Michael M, Ritter P, Kovbasyuk L, Vazakidou ME, Friedrich O. Levosimendan's Effects on Length-Dependent Activation in Murine Fast-Twitch Skeletal Muscle. Int J Mol Sci. 2024 Jun 4;25(11):6191. doi: 10.3390/ijms25116191. PMID: 38892380; PMCID: PMC11172453.</t>
  </si>
  <si>
    <t>129: Morales-Cano D, Barreira B, Callejo M, Olivencia MA, Ferruelo A, Milara J, Lorente JÁ, Moreno L, Cogolludo Á, Perez-Vizcaino F. Comparative analysis of antiproliferative and vasodilator effects of drugs for pulmonary hypertension: Extensive in vitro study in rats and human. Vascul Pharmacol. 2024 Jun;155:107371. doi: 10.1016/j.vph.2024.107371. Epub 2024 Apr 8. PMID: 38599357.</t>
  </si>
  <si>
    <t>130: Wang X, Zhao XZ, Wang XW, Cao LY, Lu B, Wang ZH, Zhang W, Ti Y, Zhong M. Effect of levosimendan on ventricular remodelling in patients with left ventricular systolic dysfunction: a meta-analysis. ESC Heart Fail. 2024 Jun;11(3):1352-1376. doi: 10.1002/ehf2.14714. Epub 2024 Feb 28. PMID: 38419326; PMCID: PMC11098670.</t>
  </si>
  <si>
    <t>131: Mannino F, Urzì Brancati V, Lauro R, Pirrotta I, Rottura M, Irrera N, Cavallini GM, Pallio G, Gitto E, Manti S. Levosimendan and Dobutamin Attenuate LPS-Induced Inflammation in Microglia by Inhibiting the NF-κB Pathway and NLRP3 Inflammasome Activation via Nrf2/HO-1 Signalling. Biomedicines. 2024 May 3;12(5):1009. doi: 10.3390/biomedicines12051009. PMID: 38790971; PMCID: PMC11117907.</t>
  </si>
  <si>
    <t>128: Schroeder L, Soltesz L, Leyens J, Strizek B, Berg C, Mueller A, Kipfmueller F. Vasoactive Management of Pulmonary Hypertension and Ventricular Dysfunction in Neonates Following Complicated Monochorionic Twin Pregnancies: A Single-Center Experience. Children (Basel). 2024 May 3;11(5):548. doi: 10.3390/children11050548. PMID: 38790543; PMCID: PMC11120423.</t>
  </si>
  <si>
    <t>129: Villafán Vázquez E, Acuña Razo R, Nuñez Rueda MM. Perioperative Use of Levosimendan in Hepatic Transplantation With Diastolic Heart Failure: A Case Report. Cureus. 2024 May 1;16(5):e59490. doi: 10.7759/cureus.59490. PMID: 38826972; PMCID: PMC11144050.</t>
  </si>
  <si>
    <t>131: Yang CH, Qiu HQ, Wang C, Tang YT, Zhang CR, Fan YY, Jiao XY. Levosimendan Relaxes Thoracic Aortic Smooth Muscle in Mice by Inhibiting PKC and Activating Inwardly Rectifying Potassium Channels. J Cardiovasc Pharmacol. 2024 May 1;83(5):474-481. doi: 10.1097/FJC.0000000000001524. PMID: 38113918.</t>
  </si>
  <si>
    <t>132: Ge Z, Gao Y, Lu X, Yu S, Qin M, Gong C, Walline JH, Zhu H, Li Y. The association between levosimendan and mortality in patients with sepsis or septic shock: a systematic review and meta-analysis. Eur J Emerg Med. 2024 Apr 1;31(2):90-97. doi: 10.1097/MEJ.0000000000001105. Epub 2023 Nov 27. PMID: 38015719; PMCID: PMC10901220.</t>
  </si>
  <si>
    <t>129: Chaurembo AI, Xing N, Chanda F, Li Y, Zhang HJ, Fu LD, Huang JY, Xu YJ, Deng WH, Cui HD, Tong XY, Shu C, Lin HB, Lin KX. Mitofilin in cardiovascular diseases: Insights into the pathogenesis and potential pharmacological interventions. Pharmacol Res. 2024 May;203:107164. doi:10.1016/j.phrs.2024.107164. Epub 2024 Apr 2. PMID: 38569981.</t>
  </si>
  <si>
    <t>130: Goirigolzarri-Artaza J, Restrepo-Córdoba MA. Levosimendan as a bridge to heart transplant: a real alternative. Rev Esp Cardiol (Engl Ed). 2024 Apr;77(4):302-303. English, Spanish. doi: 10.1016/j.rec.2023.10.011. Epub 2023 Dec 15. PMID: 38104926.</t>
  </si>
  <si>
    <t>131: de Juan Bagudá J, de Frutos F, López-Vilella R, Couto Mallón D, Guzman-Bofarull J, Blazquez-Bermejo Z, Cobo-Belaustegui M, Mitroi C, Pastor-Pérez FJ, Moliner-Abós C, Rangel-Sousa D, Díaz-Molina B, Tobar-Ruiz J, Salterain Gonzalez N, García-Pinilla JM, García-Cosío Carmena MD, Crespo-Leiro MG, Dobarro D, Almenar L, Delgado-Jiménez JF, Paredes-Galán E, González-Vílchez F, González-Costello J. Repetitive ambulatory levosimendan as a bridge to heart transplantation. Rev Esp Cardiol (Engl Ed). 2024 Apr;77(4):290-301. English, Spanish. doi: 10.1016/j.rec.2023.07.002. Epub 2023 Jul 27. Erratum in: Rev Esp Cardiol (Engl Ed). 2024 Sep;77(9):802. doi: 10.1016/j.rec.2024.05.010. PMID: 37516313</t>
  </si>
  <si>
    <t>132: Sikora J, Pstrągowski K, Karczmarska-Wódzka A, Wszelaki P, Buszko K, Włodarczyk Z. Impact of Levosimendan and Its Metabolites on Platelet Activation Mechanisms in Patients during Antiplatelet Therapy-Pilot Study. Int J Mol Sci. 2024 Feb 2;25(3):1824. doi: 10.3390/ijms25031824. PMID: 38339102; PMCID: PMC10855241.</t>
  </si>
  <si>
    <t>133: Silvetti S, Pollesello P, Belletti A. Repeated Levosimendan Infusions in the Management of Advanced Heart Failure: Review of the Evidence and Meta-analysis of the Effect on Mortality. J Cardiovasc Pharmacol. 2024 Feb 1;83(2):144-157. doi: 10.1097/FJC.0000000000001506. PMID: 37991393; PMCID: PMC10842679.</t>
  </si>
  <si>
    <t>135: Quintero-Altare A, Flórez-Navas C, Robayo-Amortegui H, Rojas-Arrieta M, Tuta-Quintero E, Bastidas-Goyes A, Martínez-Delgado L, Casallas-Barrera JO, Poveda-Henao C, Buitrago-Bernal R. Boosting the Beat: A Critical Showdown of Levosimendan and Milrinone in Surgical and Non-Surgical Scenarios: A Narrative Review. J Cardiovasc Pharmacol Ther. 2024 Jan-Dec;29:10742484241276431. doi:10.1177/10742484241276431. PMID: 39246279.</t>
  </si>
  <si>
    <t>133: D'Amato A, Prosperi S, Severino P, Myftari V, Labbro Francia A, Cestiè C, Pierucci N, Marek-Iannucci S, Mariani MV, Germanò R, Fanisio F, Lavalle C, Maestrini V, Badagliacca R, Mancone M, Fedele F, Vizza CD. Current Approaches to Worsening Heart Failure: Pathophysiological and Molecular Insights. Int J Mol Sci. 2024 Jan 26;25(3):1574. doi: 10.3390/ijms25031574. PMID: 38338853; PMCID: PMC10855688.</t>
  </si>
  <si>
    <t>134: Farina A, Uccello G, Tiberti G, Bianchi A, Savonitto S. Levosimendan in critical aortic stenosis complicated by cardiogenic shock: Case reports and literature review. Kardiol Pol. 2024;82(7-8):780-782. doi:10.33963/v.phj.100921. Epub 2024 Jun 7. PMID: 38845426.</t>
  </si>
  <si>
    <t>Comment</t>
  </si>
  <si>
    <t>135: Haider L, Mewton N. Inotropes in Advanced Heart Failure: The Last Tool in the Box of Failures? Cardiology. 2024;149(5):438-439. doi: 10.1159/000538994. Epub 2024 May 23. PMID: 38781936.</t>
  </si>
  <si>
    <t>134: Turkiewicz K, Rola P, Kulczycki JJ, Włodarczak S, Jastrzębski A, Pęcherzewski M, Furtan Ł, Barycki M, Doroszko A, Włodarczak A, Lesiak M. High-risk PCI facilitated by levosimendan infusion and Impella CP support in ACS cohort-pilot study. Kardiol Pol. 2024;82(7-8):771-773. doi:10.33963/v.phj.100689. Epub 2024 Jun 7. PMID: 38845424.</t>
  </si>
  <si>
    <t>136: Shah D, Korfiotis D, Zimbler N. A Comment on the use of Levosimendan for the Management of Right Ventricular Dysfunction in Patients Undergoing Mitral Valve Surgery. Ann Card Anaesth. 2024 Jan 1;27(1):94-95. doi: 10.4103/aca.aca_86_23. Epub 2024 Jan 12. PMID: 38722136; PMCID: PMC10876123.</t>
  </si>
  <si>
    <t>137: Guo G, Wang L, Li X, Fu W, Cao J, Zhang J, Liu Y, Liu M, Wang M, Zhao G, Zhao X, Zhou Y, Niu S, Liu G, Zhang Y, Dong J, Tao H, Zhao X. Enhanced myofilament calcium sensitivity aggravates abnormal calcium handling and diastolic dysfunction in patient-specific induced pluripotent stem cell-derived cardiomyocytes with MYH7 mutation. Cell Calcium. 2024 Jan;117:102822. doi: 10.1016/j.ceca.2023.102822. Epub 2023 Nov 8. PMID: 38101154.</t>
  </si>
  <si>
    <t>138: Heinz V, Wiesner G. Contra: Levosimendan bei herzchirurgischen Eingriffen [Cons: Levosimendan for cardiac surgery]. Anaesthesiologie. 2024 Jan;73(1):62-63. German. doi: 10.1007/s00101-023-01361-6. Epub 2023 Dec 6. PMID: 38054994</t>
  </si>
  <si>
    <t>139: Wöhrle T, Kilger E. Pro: Levosimendan bei herzchirurgischen Eingriffen [Pro: Levosimendan in Cardiac Surgery]. Anaesthesiologie. 2024 Jan;73(1):60-61. German. doi: 10.1007/s00101-023-01360-7. Epub 2023 Dec 5. PMID: 38051380.</t>
  </si>
  <si>
    <t>140: Fairuz S, Ang CW, Mraiche F, Goh JK. Current Targets and Future Directions of Positive Inotropes for Heart Failure. Curr Med Chem. 2024;31(42):6971-6991. doi: 10.2174/0109298673262360231018193823. PMID: 37909442.</t>
  </si>
  <si>
    <t>141: Zajonz TS, Habicher M, Böning A, Heringlake M, Ender J, Markewitz A, Brenck F, Sander M. Survey on the Updated German S3 Guideline for Intensive Care in Cardiac Surgery Patients. Thorac Cardiovasc Surg. 2024 Jan;72(1):2-10. doi: 10.1055/s-0043-1764230. Epub 2023 Mar 9. PMID: 36893800.</t>
  </si>
  <si>
    <t>142: Cheko J, Patsalis N, Kreutz J, Divchev D, Chatzis G, Schieffer B, Markus B. The Impact of Positive Inotropic Therapy on Hemodynamics and Organ Function in Acute Heart Failure: A Differentiated View. J Pers Med. 2023 Dec 22;14(1):17. doi: 10.3390/jpm14010017. PMID: 38248718; PMCID: PMC10820131.</t>
  </si>
  <si>
    <t>143: Rayo-Abella LM, Grundig P, Bernhardt MN, Hofmann B, Neumann J, Gergs U. OR-1896 increases force of contraction in the isolated human atrium. Naunyn Schmiedebergs Arch Pharmacol. 2023 Dec;396(12):3823-3833. doi:</t>
  </si>
  <si>
    <t>144: Acosta-Armas P, Medina-Gil JM, Martínez-Quintana E. Effect of outpatient administration of levosimendan in reducing hospital readmission in patients with heart failure. Med Clin (Barc). 2023 Nov 10;161(9):403-404. English, Spanish. doi: 10.1016/j.medcli.2023.06.049. Epub 2023 Aug 17. PMID: 37598053.</t>
  </si>
  <si>
    <t>145: Ma Z, Jin H, Liu F, Wang S, Huang P, Fang X. A Meta-Analysis of the Effects of Levosimendan on Cardiac Function and Outcomes in Patients with Sepsis. Altern Ther Health Med. 2023 Nov;29(8):668-673. PMID: 37678873.</t>
  </si>
  <si>
    <t>145: Pölzl G, Altenberger J, Comín-Colet J, Delgado JF, Fedele F, García-González MJ, Gustafsson F, Masip J, Papp Z, Störk S, Ulmer H, Maier S, Vrtovec B, Wikström G, Zima E, Bauer A; LeoDOR Investigators. Repetitive levosimendan infusions for patients with advanced chronic heart failure in the vulnerable post-discharge period: The multinational randomized LeoDOR trial. Eur J Heart Fail. 2023 Nov;25(11):2007-2017. doi: 10.1002/ejhf.3006. Epub 2023 Sep 4. PMID: 37634941</t>
  </si>
  <si>
    <t>146: Selli AL, Ghasemi M, Watters T, Burton F, Smith G, Dietrichs ES. Proarrhythmic changes in human cardiomyocytes during hypothermia by milrinone and isoprenaline, but not levosimendan: an experimental in vitro study. Scand J Trauma Resusc Emerg Med. 2023 Oct 25;31(1):61. doi: 10.1186/s13049-023-01134-5. PMID: 37880801; PMCID: PMC10601188.</t>
  </si>
  <si>
    <t>146: Landolfo F, Giliberti P, De Rose DU, Pugnaloni F, Santisi A, Columbo C, Martini L, Ronchetti MP, Di Chiara L, Toscano A, Gandolfo C, Dotta A, Capolupo I. Use of levosimendan in hemodynamic management of heart failure in two neonates with intracranial arteriovenous shunts: a case series. Ital J Pediatr. 2023 Oct 15;49(1):141. doi: 10.1186/s13052-023-01537-1. PMID: 37840126; PMCID: PMC10577993.</t>
  </si>
  <si>
    <t>147: Minaev A, Podzolkov V, Danilov T, Chiaureli M, Mwela BM, Dontsova V. Improved Surgical Outcomes in Adults with Congenital Heart Disease and Decompensated Heart Failure: The Role of Perioperative Medical Optimization. Am J Case Rep. 2023 Oct 13;24:e939230. doi: 10.12659/AJCR.939230. PMID: 37828735; PMCID: PMC10584196.</t>
  </si>
  <si>
    <t>148: Apostolo A, Vignati C, Cittar M, Baracchini N, Mushtaq S, Cattadori G, Sciomer S, Trombara F, Piepoli M, Agostoni P. Determinants of exercise performance in heart failure patients with extremely reduced cardiac output and left ventricular assist device. Eur J Prev Cardiol. 2023 Oct 11;30(Suppl 2):ii63-ii69. doi: 10.1093/eurjpc/zwad239. PMID: 37819220.</t>
  </si>
  <si>
    <t>149: Codina P, Dobarro D, de Juan-Bagudá J, De Frutos F, Lupón J, Bayes-Genis A, Gonzalez-Costello J; Spanish LEVO‐D registry Collaborators. Heart failure risk scores in advanced heart failure patients: insights from the LEVO-D registry. ESC Heart Fail. 2023 Oct;10(5):2875-2881. doi: 10.1002/ehf2.14400. Epub 2023 Jul 8. PMID: 37991427; PMCID: PMC10567651.</t>
  </si>
  <si>
    <t>150: Mondal A, Ghosh K, Kar SK, Dammalapati PK, Dasgupta CS. Effect of intravenous levosimendan or milrinone on left atrial pressure in patients undergoing off-pump coronary artery bypass grafting-A prospective double-blind, randomized controlled trial. Ann Card Anaesth. 2023 Oct-Dec;26(4):411-417. doi: 10.4103/aca.aca_51_23. PMID: 37861575; PMCID: PMC10691577.</t>
  </si>
  <si>
    <t>151: Liu G, Lin X. Effect of Levosimendan on B-type Natriuretic Peptide Levels in Patients with Heart Failure: A Systematic Review and Meta-Analysis. Altern Ther Health Med. 2023 Oct;29(7):184-190. PMID: 37471659.</t>
  </si>
  <si>
    <t>151: Bertini P, Paternoster G, Landoni G, Falcone M, Nocci M, Costanzo D, Brizzi G, Romani M, Esposito A, Guarracino F. Beneficial effects of levosimendan to wean patients from VA-ECMO: a systematic review and meta-analysis. Minerva Cardiol Angiol. 2023 Oct;71(5):564-574. doi: 10.23736/S2724-5683.22.06054-9. Epub 2022 Jun 10. PMID: 35687316.</t>
  </si>
  <si>
    <t>151: Cholley B, Bojan M, Guillon B, Besnier E, Mattei M, Levy B, Ouattara A, Tafer N, Delmas C, Tonon D, Rozec B, Fellahi JL, Lim P, Labaste F, Roubille F, Caruba T, Mauriat P; ARCOTHOVA study group. Correction: Overview of the current use of levosimendan in France: a prospective observational cohort study. Ann Intensive Care. 2023 Sep 29;13(1):94. doi: 10.1186/s13613-023-01193-y. Erratum for: Ann Intensive Care. 2023 Aug 8;13(1):69. doi: 10.1186/s13613-023-01164-3. PMID: 37770809; PMCID: PMC10539228.</t>
  </si>
  <si>
    <t>152: Sun X, Wei C, Li L, Qu C. Levosimendan improves cardiac function, hemodynamics, and body inflammation in patients with acute myocardial infarction and heart failure. Am J Transl Res. 2023 Sep 15;15(9):5624-5632. PMID: 37854215; PMCID: PMC10579015.</t>
  </si>
  <si>
    <t>153: RabieeRad M, GhasempourDabaghi G, Zare MM, Amani-Beni R. Novel Treatments of Hypertrophic Cardiomyopathy in GDMT for Heart Failure: A State-of-art Review. Curr Probl Cardiol. 2023 Sep;48(9):101740. doi: 10.1016/j.cpcardiol.2023.101740. Epub 2023 Apr 11. PMID: 37054829.</t>
  </si>
  <si>
    <t>153: Al-Tekreeti M, Addi Palle LR, Asif H, Amin MF, Anam H, Akurathi Y, Batool S, Ali N. Comparison of Postoperative Outcomes Between Intra-aortic Balloon Pump and Levosimendan in Patients Undergoing Coronary Artery Bypass Graft: A Systematic Review and Meta-Analysis. Cureus. 2023 Aug 17;15(8):e43627. doi:10.7759/cureus.43627. PMID: 37719499; PMCID: PMC10504856.</t>
  </si>
  <si>
    <t>153: Cholley B, Bojan M, Guillon B, Besnier E, Mattei M, Levy B, Ouattara A, Tafer N, Delmas C, Tonon D, Rozec B, Fellahi JL, Lim P, Labaste F, Roubille F, Caruba T, Mauriat P; ARCOTHOVA study group. Overview of the current use of levosimendan in France: a prospective observational cohort study. Ann Intensive Care. 2023 Aug 8;13(1):69. doi: 10.1186/s13613-023-01164-3. Erratum in: Ann Intensive Care. 2023 Sep 29;13(1):94. doi: 10.1186/s13613-023-01193-y. PMID: 37552372; PMCID: PMC10409690.</t>
  </si>
  <si>
    <t>154: Leivaditis V, Grapatsas K, Papaporfyriou A, Galanis M, Koletsis E, Charokopos N, Haussmann E, Kaplunov V, Papatriantafyllou A, Dahm M. The Perioperative Use of Levosimendan as a Means of Optimizing the Surgical Outcome in Patients with Severe Heart Insufficiency Undergoing Cardiac Surgery. J Cardiovasc Dev Dis. 2023 Aug 3;10(8):332. doi: 10.3390/jcdd10080332. PMID: 37623345; PMCID: PMC10455812.</t>
  </si>
  <si>
    <t>155: Gaisendrees C, Schlachtenberger G, Gerfer S, Krasivskyi I, Djordjevic I, Sabashnikov A, Kosmopoulos M, Jaeger D, Luehr M, Kuhn E, Deppe AC, Wahlers T. The impact of levosimendan on survival and weaning from ECMO after extracorporeal cardiopulmonary resuscitation. Artif Organs. 2023 Aug;47(8):1351-1360. doi: 10.1111/aor.14540. Epub 2023 Apr 20. PMID: 37032531.</t>
  </si>
  <si>
    <t>156: Schiefenhövel F, Berger C, Penkova L, Grubitzsch H, Haller B, Meyer A, Heringlake M, Sander M, Erb JM, Balzer F, Treskatsch S. Influence of timing of Levosimendan administration on outcomes in cardiac surgery. Front Cardiovasc Med. 2023 Jul 26;10:1213696. doi: 10.3389/fcvm.2023.1213696. PMID: 37564910; PMCID: PMC10410848.</t>
  </si>
  <si>
    <t>157: Leivaditis V, Dahm M, Papaporfyriou A, Galanis M, Koletsis E, Charokopos N, Ehle B, Papatriantafyllou A, Haussmann E, Kaplunov V, Grapatsas K. Perioperative Application of Levosimendan Optimizes Postoperative Renal Function and Organ Perfusion in Patients with Severe Heart Failure. J Cardiovasc Dev Dis. 2023 Jul 20;10(7):312. doi: 10.3390/jcdd10070312. PMID: 37504568; PMCID: PMC10380549.</t>
  </si>
  <si>
    <t>158: Wannaz L, Boillat L, Perez MH, Di Bernardo S. Prophylactic use of levosimendan in preoperative setting for surgical repair of congenital heart disease in children. Front Pediatr. 2023 Jul 19;11:1205971. doi: 10.3389/fped.2023.1205971. PMID: 37539009; PMCID: PMC10394616.</t>
  </si>
  <si>
    <t>159: Zhou S, Li D, Zhang L, Li J. The anti-inflammatory and haemodynamic effects of levosimendan on advanced heart failure patients: a meta-analysis of published studies. J Int Med Res. 2023 Jul;51(7):3000605221148402. doi:10.1177/03000605221148402. PMID: 37490021; PMCID: PMC10387701.</t>
  </si>
  <si>
    <t>159: Schroeder L, Holcher S, Leyens J, Geipel A, Strizek B, Dresbach T, Mueller A, Kipfmueller F. Evaluation of levosimendan as treatment option in a large case-series of preterm infants with cardiac dysfunction and pulmonary hypertension. Eur J Pediatr. 2023 Jul;182(7):3165-3174. doi:10.1007/s00431-023-04971-9. Epub 2023 Apr 27. PMID: 37100959; PMCID: PMC10354130.</t>
  </si>
  <si>
    <t>160: Welker CC, Mielke JAR, Ramakrishna H. Levosimendan and Low Cardiac Output After Cardiac Surgery: Analysis of Trial Data. J Cardiothorac Vasc Anesth. 2023 Jul;37(7):1294-1297. doi: 10.1053/j.jvca.2023.03.011. Epub 2023 Mar 13. PMID: 37028989</t>
  </si>
  <si>
    <t>161: Tsolaki V, Zakynthinos GE, Papanikolaou J, Vazgiourakis V, Parisi K, Fotakopoulos G, Makris D, Zakynthinos E. Levosimendan in the Treatment of Patients with Severe Septic Cardiomyopathy. Life (Basel). 2023 Jun 8;13(6):1346. doi: 10.3390/life13061346. PMID: 37374128; PMCID: PMC10303716.</t>
  </si>
  <si>
    <t>162: Nag P, Chowdhury SR, Behera SK, Das M, Narayan P. Levosimendan or Milrinone for Ventricular Septal Defect Repair With Pulmonary Arterial Hypertension. J Cardiothorac Vasc Anesth. 2023 Jun;37(6):972-979. doi:10.1053/j.jvca.2023.01.032. Epub 2023 Feb 6. PMID: 36906394.</t>
  </si>
  <si>
    <t>163: Ftikos P, Falara A, Rellia P, Leontiadis E, Samanidis G, Kamperi N, Piperakis A, Tamvakopoulos C, Antoniou T, Theodoraki K. Monitoring of Levosimendan Administration in Patients with Pulmonary Hypertension Undergoing Cardiac Surgery and Effect of Two Different Dosing Schemes on Hemodynamic and Echocardiographic Parameters. Pharmaceuticals (Basel). 2023 May 30;16(6):815. doi: 10.3390/ph16060815. PMID: 37375762; PMCID: PMC10305589.</t>
  </si>
  <si>
    <t>164: Demailly Z, Besnier E, Tamion F, Lesur O. Ventriculo-arterial (un)coupling in septic shock: Impact of current and upcoming hemodynamic drugs. Front Cardiovasc Med. 2023 May 30;10:1172703. doi: 10.3389/fcvm.2023.1172703. PMID: 37324631; PMCID: PMC10266274.</t>
  </si>
  <si>
    <t>165: Lim P, Sharifi J, Huguet R, Gallet R, Aouate D. Repetitive use of levosimendan in severe functional tricuspid regurgitation. Eur Heart J Acute Cardiovasc Care. 2023 May 4;12(5):336-337. doi: 10.1093/ehjacc/zuad013. PMID: 36989396</t>
  </si>
  <si>
    <t>166: Kocabeyoglu SS. Is levosimendan a good weapon in preserving right ventricle function after left ventricular assist device implantation or not? Eur J Cardiothorac Surg. 2023 May 2;63(5):ezad166. doi: 10.1093/ejcts/ezad166. PMID: 37097923</t>
  </si>
  <si>
    <t>167: Abdelshafy M, Caliskan K, Simpkin AJ, Elkoumy A, Kimman JR, Elsherbini H, Elzomor H, de By TMMH, Gollmann-Tepeköylü C, Berchtold-Herz M, Loforte A, Reineke D, Schoenrath F, Paluszkiewicz L, Gummert J, Mohacsi P, Meyns B, Soliman O. Efficacy of levosimendan infusion in patients undergoing a left ventricular assist device implant in a propensity score matched analysis of the EUROMACS registry-the Euro LEVO-LVAD study. Eur J Cardiothorac Surg. 2023 May 2;63(5):ezad095. doi: 10.1093/ejcts/ezad095. PMID: 36912728; PMCID: PMC10693438.</t>
  </si>
  <si>
    <t>168: Aycan A, Oksuz E, Gonullu E, Kume T, Ergur B, Akyol ME, Tas A, Kuyumcu F. Corrigendum to "A New Approach in the Treatment of Traumatic Brain Injury: The Effects of Levosimendan on Necrosis, Apoptosis, and Oxidative Stress" [World Neurosurgery 168 (2022) e432-e441]. World Neurosurg. 2023 May;173:281. doi:10.1016/j.wneu.2023.01.078. Epub 2023 Feb 11. Erratum for: World Neurosurg. 2022 Dec;168:e432-e441. doi: 10.1016/j.wneu.2022.09.067. PMID: 36925433.</t>
  </si>
  <si>
    <t>TBI</t>
  </si>
  <si>
    <t>168: Chien YS, Weng CJ, Wu SJ, Li CH, Lin JC, Huang JL, Lin SF, Lin YJ, Hsieh YC, Chen SA. Levosimendan attenuates electrical alternans and prevents ventricular arrhythmia during therapeutic hypothermia in isolated rabbit hearts. Heart Rhythm. 2023 May;20(5):744-753. doi: 10.1016/j.hrthm.2023.02.014. Epub 2023 Feb 18. PMID: 36804540.</t>
  </si>
  <si>
    <t>168: Zambelli V, Murphy EJ, Delvecchio P, Rizzi L, Fumagalli R, Rezoagli E, Bellani G. Treatment with levosimendan in an experimental model of early ventilator-induced diaphragmatic dysfunction. Drug Target Insights. 2023 Apr 13;17:39-44. doi: 10.33393/dti.2023.2574. PMID: 37070031; PMCID: PMC10105369.</t>
  </si>
  <si>
    <t>168: Tohme J, Lescroart M, Guillemin J, Orer P, Dureau P, Varnous S, Leprince P, Coutance G, Bouglé A. Association between vasoactive-inotropic score, morbidity and mortality after heart transplantation. Interdiscip Cardiovasc Thorac Surg. 2023 Apr 3;36(4):ivad055. doi: 10.1093/icvts/ivad055. PMID: 37067499; PMCID: PMC10118996.</t>
  </si>
  <si>
    <t>169: Xu F, Bian Y, Zhang GQ, Gao LY, Liu YF, Liu TX, Li G, Song RX, Su LJ, Zhou YJ, Cui JY, Yan XL, Guo FM, Zhang HY, Li QH, Zhao M, Ma LK, You BA, Wang G, Kong L, Ma JL, Zhou XF, Chang ZL, Tang ZY, Yu DY, Cheng K, Xue L, Li X, Pang JJ, Wang JL, Zhang HT, Yu XZ, Chen YG. [Safety and efficacy of the early administration of levosimendan in patients with acute non-ST-segment elevation myocardial infarction and elevated NT-proBNP levels: An Early Management Strategy of Acute Heart Failure (EMS-AHF)]. Zhonghua Nei Ke Za Zhi. 2023 Apr 1;62(4):374-383. Chinese. doi: 10.3760/cma.j.cn112138-20220420-00284. PMID: 37032132.</t>
  </si>
  <si>
    <t>170: Hau M, Fong KM, Au SY. Response to "Levosimendan's ability on veno-arterial extracorporeal membrane oxygenation weaning: Evidence says yes!". Int J Artif Organs. 2023 Apr;46(4):191-192. doi: 10.1177/03913988231151973. Epub 2023 Feb 1. PMID: 36726214.</t>
  </si>
  <si>
    <t>171: Marabotti A, Bertini P, Paternoster G, Landoni G, Guarracino F. Levosimendan's ability on veno-arterial extracorporeal membrane oxygenation weaning: Evidence says yes! Int J Artif Organs. 2023 Apr;46(4):193-194. doi:10.1177/03913988221145502. Epub 2023 Feb 1. PMID: 36726212.</t>
  </si>
  <si>
    <t>172: Ráduly AP, Tóth A, Sárkány F, Horváth B, Szentandrássy N, Nánási PP, Csanádi Z, Édes I, Papp Z, Borbély A. Omecamtiv mecarbil augments cardiomyocyte contractile activity both at resting and systolic Ca&lt;sup&gt;2+&lt;/sup&gt; levels. ESC Heart Fail. 2023 Apr;10(2):1326-1335. doi: 10.1002/ehf2.14300. Epub 2023 Feb 1. PMID: 36722665; PMCID: PMC10053277.</t>
  </si>
  <si>
    <t>172: Dobarro D, Donoso-Trenado V, Solé-González E, Moliner-Abós C, Garcia-Pinilla JM, Lopez-Fernandez S, Ruiz-Bustillo S, Diez-Lopez C, Castrodeza J, Méndez-Fernández AB, Vaqueriza-Cubillo D, Cobo-Marcos M, Tobar J, Sagasti-Aboitiz I, Rodriguez M, Escolar V, Abecia A, Codina P, Gómez-Otero I, Pastor F, Marzoa-Rivas R, González-Babarro E, de Juan-Baguda J, Melendo-Viu M, de Frutos F, Gonzalez-Costello J. Intermittent inotropic support with levosimendan in advanced heart failure as destination therapy: The LEVO-D registry. ESC Heart Fail. 2023 Apr;10(2):1193-1204. doi: 10.1002/ehf2.14278. Epub 2023 Jan 19. PMID: 36655614; PMCID: PMC10053278.</t>
  </si>
  <si>
    <t>173: Ferreira Reis J, Valentim Gonçalves A, Ilhão Moreira R, Pereira da Silva T, Timóteo AT, Pombo D, Carvalho T, Correia C, Santos C, Cruz Ferreira R. Levosimendan in outpatients with advanced heart failure: Single-center experience of 200 intermittent perfusions. Rev Port Cardiol. 2023 Apr;42(4):335-343. English, Portuguese. doi: 10.1016/j.repc.2022.03.006. Epub 2023 Jan 9. PMID: 36634758.</t>
  </si>
  <si>
    <t>174: Abella LMR, Hoffmann R, Neumann J, Hofmann B, Gergs U. Levosimendan increases the phosphorylation state of phospholamban in the isolated human atrium. Naunyn Schmiedebergs Arch Pharmacol. 2023 Apr;396(4):669-682. doi:10.1007/s00210-022-02348-7. Epub 2022 Nov 29. PMID: 36445386; PMCID: PMC10042762.</t>
  </si>
  <si>
    <t>174: Akhtar MS, Hassan MQ, Siddiqui A, Alavudeen SS, Afzal O, Altamimi ASA, Rahman SO, Khurana M, Ahsan MJ, Sharma AK, Tabassum F. Levosimendan: mechanistic insight and its diverse future aspects in cardiac care. Acta Cardiol. 2023 Apr;78(2):170-187. doi: 10.1080/00015385.2022.2115761. Epub 2022 Oct 12. PMID: 36222590</t>
  </si>
  <si>
    <t>175: Kipka H, Schaflinger R, Tomasi R, Pogoda K, Mannell H. The Effects of the Levosimendan Metabolites OR-1855 and OR-1896 on Endothelial Pro-Inflammatory Responses. Biomedicines. 2023 Mar 16;11(3):918. doi: 10.3390/biomedicines11030918. PMID: 36979897; PMCID: PMC10045601.</t>
  </si>
  <si>
    <t>175: Mangini F, Bruno E, Caramia R, Flora R, Muscogiuri E, Medico A, Casavecchia G, Biederman RWW, Giaccari R. Effectiveness of levosimendan and role of cardiac magnetic resonance in cardiogenic shock due to COVID-19 related lymphocytic myocarditis in the course of viral sepsis. Arch Clin Cases. 2023 Mar 14;10(1):32-38. doi: 10.22551/2023.38.1001.10236. PMID: 36926682; PMCID: PMC10012167.</t>
  </si>
  <si>
    <t>176: Radosevich M, Couture EJ, Nabzdyk C. Levosimendan And Septic Cardiomyopathy: A Key That May Have Found Its Lock? J Cardiothorac Vasc Anesth. 2023 Mar;37(3):350-352. doi: 10.1053/j.jvca.2022.12.012. Epub 2022 Dec 19. PMID: 36609077</t>
  </si>
  <si>
    <t>177: Sun T, Zhang N, Cui N, Wang SH, Ding XX, Li N, Chen N, Yu ZB. Efficacy of Levosimendan in the Treatment of Patients With Severe Septic Cardiomyopathy. J Cardiothorac Vasc Anesth. 2023 Mar;37(3):344-349. doi: 10.1053/j.jvca.2022.10.032. Epub 2022 Nov 6. PMID: 36473763.</t>
  </si>
  <si>
    <t>178: Wang LH, Wang XH, Tan JC, He LX, Fu RQ, Lin Y, Yao YT. Levosimendan administration is not associated with increased risk of bleeding and blood transfusion requirement in patients undergoing off-pump coronary artery bypass grafting: a retrospective study from single center. Perfusion. 2023 Mar;38(2):270-276. doi: 10.1177/02676591211049022. Epub 2021 Oct 7. PMID: 34619997</t>
  </si>
  <si>
    <t>179: Kaplangoray M, Aydın C. [Comparative assessment of the effects of dobutamine and levosimendan on right ventricular ejection fraction in patients with biventricular heart failure]. Kardiologiia. 2023 Feb 28;63(2):46-51. Russian. doi: 10.18087/cardio.2023.2.n2157. PMID: 36880143.</t>
  </si>
  <si>
    <t>180: Gonçalves AV, Reis JP, Timóteo AT, Soares R, Pereira-da-Silva T, Gomes V, Moreira RI, Pombo D, Carvalho T, Correia C, Santos C, Ferreira RC. Outpatient 6-Hour Levosimendan Treatment as a Bridge to Heart Transplant. Arq Bras Cardiol. 2023 Feb 27;120(2):e20220205. English, Portuguese. doi: 10.36660/abc.20220205. PMID: 36856238; PMCID: PMC9972780.</t>
  </si>
  <si>
    <t>181: Wang W, Li F, Huang H, Wu X, Tian W, Yu T. Is there any difference in the therapeutic effects of Levosimendan on advanced HFrEF patients with sinus rhythm or atrial fibrillation? Front Cardiovasc Med. 2023 Feb 23;10:1084300. doi: 10.3389/fcvm.2023.1084300. PMID: 36910542; PMCID: PMC9995919.</t>
  </si>
  <si>
    <t>182: Rodriguez-Garcia V, Guerrero Orriach JL, Ariza Villanueva D, Garcia Pinilla JM, Robles Mezcua A, Rubio Navarro M, Cruz Mañas J. Case Report: COVID-19 with cytokine storm in a 16-year-old patient: if heart failures comes think about levosimendan. F1000Res. 2023 Feb 7;10:244. doi: 10.12688/f1000research.50782.2. PMID: 38545376; PMCID: PMC10966338.</t>
  </si>
  <si>
    <t>182: Massol J, Simon-Tillaux N, Tohme J, Hariri G, Dureau P, Duceau B, Belin L, Hajage D, De Rycke Y, Charfeddine A, Lebreton G, Combes A, Bouglé A. Levosimendan in patients undergoing extracorporeal membrane oxygenation after cardiac surgery: an emulated target trial using observational data. Crit Care. 2023 Feb 7;27(1):51. doi: 10.1186/s13054-023-04328-6. PMID: 36750852; PMCID: PMC9906922.</t>
  </si>
  <si>
    <t>183: Bourgoin P, Lecomte J, Oualha M, Berthomieu L, Pereira T, Davril E, Lamoureux F, Joram N, Chenouard A, Duflot T. Correction to: Population Pharmacokinetics of Levosimendan and its Metabolites in Critically Ill Neonates and Children Supported or Not by Extracorporeal Membrane Oxygenation. Clin Pharmacokinet. 2023 Feb;62(2):349. doi: 10.1007/s40262-023-01218-6. Erratum for: Clin Pharmacokinet. 2023 Feb;62(2):335-348. doi: 10.1007/s40262-022-01199-y. PMID: 36752992.</t>
  </si>
  <si>
    <t>184: Masarone D, Kittleson M, Pollesello P, Tedford RJ, Pacileo G. Use of Levosimendan in Patients with Pulmonary Hypertension: What is the Current Evidence? Drugs. 2023 Feb;83(3):195-201. doi: 10.1007/s40265-022-01833-w. Epub 2023 Jan 18. PMID: 36652192.</t>
  </si>
  <si>
    <t>185: Bourgoin P, Lecomte J, Oualha M, Berthomieu L, Pereira T, Davril E, Lamoureux F, Joram N, Chenouard A, Duflot T. Population Pharmacokinetics of Levosimendan and its Metabolites in Critically Ill Neonates and Children Supported or Not by Extracorporeal Membrane Oxygenation. Clin Pharmacokinet. 2023 Feb;62(2):335-348. doi: 10.1007/s40262-022-01199-y. Epub 2023 Jan 11. Erratum in: Clin Pharmacokinet. 2023 Feb;62(2):349. doi: 10.1007/s40262-023-01218-6. PMID: 36631687.</t>
  </si>
  <si>
    <t>186: Sugimura Y, Kalampokas N, Arikan M, Rellecke P, Dalyanoglu H, Tudorache I, Westenfeld R, Boeken U, Lichtenberg A, Akhyari P, Aubin H. Preoperative Levosimendan therapy reduces postoperative right ventricular failure in patients undergoing left ventricular assist device implantation. Interdiscip Cardiovasc Thorac Surg. 2023 Jan 9;36(1):ivac289. doi: 10.1093/icvts/ivac289. PMID: 36802258; PMCID: PMC9931070.</t>
  </si>
  <si>
    <t>187: Herrera-Leaño N, Barahona-Correa JE, Muñoz-Velandia O, Fernández-Ávila DG, Mariño-Correa A, Alberto García Á. Evaluation of diuretic efficiency of intravenous furosemide in patients with advanced heart failure in a heart failure clinic. Ther Adv Cardiovasc Dis. 2023 Jan-Dec;17:17539447231184984. doi: 10.1177/17539447231184984. PMID: 37417658; PMCID: PMC10331187.</t>
  </si>
  <si>
    <t>188: Książczyk M, Gruchała M, Stopczyńska I, Lelonek M. A favorable alliance between repetitive use of levosimendan and advanced heart failure: Polish two-centered inpatient perspective in need of validation. Kardiol Pol. 2023;81(3):287-289. doi: 10.33963/KP.a2023.0034. Epub 2023 Feb 5. PMID: 36739649</t>
  </si>
  <si>
    <t>189: Bharathi KS, Pruthi G, Dhananjaya M, Simha PP. The effect of levosimendan on the right ventricular function in patients with right ventricular dysfunction undergoing mitral valve surgery. Ann Card Anaesth. 2023 Jan-Mar;26(1):50-56. doi: 10.4103/aca.aca_179_21. PMID: 36722588; PMCID: PMC9997477.</t>
  </si>
  <si>
    <t>190: Kapoor MC. Levosimendan in Right Ventricular Dysfunction. Ann Card Anaesth. 2023 Jan-Mar;26(1):1-3. doi: 10.4103/aca.aca_176_22. PMID: 36722580; PMCID: PMC9997469.</t>
  </si>
  <si>
    <t>191: Akhtar MS, Hassan Q, Afzal O, Altamimi A, Hassan MZ, Sharma AK, Mohammad AAS, Tabassum F. Comparative Efficacy of Levosimendan, Ramipril, and Sacubitril/Valsartan in Isoproterenol-induced Experimental Heart Failure: A Hemodynamic and Molecular Approach. Curr Mol Pharmacol. 2023;16(6):629-639. doi: 10.2174/1874467215666220919104526. PMID: 36121084.</t>
  </si>
  <si>
    <t>191: De Backer D, Cecconi M, Chew MS, Hajjar L, Monnet X, Ospina-Tascón GA, Ostermann M, Pinsky MR, Vincent JL. A plea for personalization of the hemodynamic management of septic shock. Crit Care. 2022 Dec 1;26(1):372. doi:10.1186/s13054-022-04255-y. PMID: 36457089; PMCID: PMC9714237.</t>
  </si>
  <si>
    <t>192: Aycan A, Oksuz E, Gonullu E, Kume T, Ergur B, Akyol ME, Tas A, Kuyumcu F. A New Approach in the Treatment of Traumatic Brain Injury: The Effects of Levosimendan on Necrosis, Apoptosis, and Oxidative Stress. World Neurosurg. 2022 Dec;168:e432-e441. doi: 10.1016/j.wneu.2022.09.067. Epub 2022 Sep 22. Erratum in: World Neurosurg. 2023 May;173:281. doi: 10.1016/j.wneu.2023.01.078. PMID: 36152936</t>
  </si>
  <si>
    <t>193: Kochar A, Zheng Y, van Diepen S, Mehta RH, Westerhout CM, Mazer DC, Duncan AI, Whitlock R, Lopes RD, Argenziano M, de Varennes B, Alexander JH, Goodman SG, Fremes S. Predictors and associated clinical outcomes of low cardiac output syndrome following cardiac surgery: insights from the LEVO-CTS trial. Eur Heart J Acute Cardiovasc Care. 2022 Nov 30;11(11):818-825. doi: 10.1093/ehjacc/zuac114. PMID: 36156131.</t>
  </si>
  <si>
    <t>194: Zhao Z, Meng Z, Song G, Wang C, Shi S, Zhao J, Zhang H, Wang M, Niu G, Zhou Z, Wang J, Wu Y. The effects of levosimendan in patients undergoing transcatheter aortic valve replacement- a retrospective analysis. Front Pharmacol. 2022 Nov 3;13:969088. doi: 10.3389/fphar.2022.969088. PMID: 36408223; PMCID: PMC9669067.</t>
  </si>
  <si>
    <t>194: Masarone D, Kittleson MM, Pollesello P, Marini M, Iacoviello M, Oliva F, Caiazzo A, Petraio A, Pacileo G. Use of Levosimendan in Patients with Advanced Heart Failure: An Update. J Clin Med. 2022 Oct 29;11(21):6408. doi: 10.3390/jcm11216408. PMID: 36362634; PMCID: PMC9659135.</t>
  </si>
  <si>
    <t>195: Aygun H, Olguner C, Koca U, Ergur BU, Sisman AR, Isguven D, Girgin P, Akkus M, Tulgar S. The effect of post-reperfusion levosimendan in an experimental intestinal ischemia-reperfusion model. J Anesth Analg Crit Care. 2022 Oct 27;2(1):45. doi: 10.1186/s44158-022-00074-3. PMID: 37386547; PMCID: PMC10246108.</t>
  </si>
  <si>
    <t>195: Sławek-Szmyt S, Jankiewicz S, Grygier J, Mularek-Kubzdela T, Lesiak M, Araszkiewicz A. Acute‑on‑chronic pulmonary embolism‑induced right ventricular failure salvaged by combined catheter‑directed therapy and levosimendan infusion. Pol Arch Intern Med. 2022 Oct 21;132(10):16310. doi: 10.20452/pamw.16310. Epub 2022 Aug 3. PMID: 35929841.</t>
  </si>
  <si>
    <t>196: Rottmann FA, Breiden AK, Bemtgen X, Welte T, Supady A, Wengenmayer T, Staudacher DL. Levosimendan in acute heart failure with severely reduced kidney function, a propensity score matched registry study. Front Cardiovasc Med. 2022 Oct 20;9:1027727. doi: 10.3389/fcvm.2022.1027727. PMID: 36337866; PMCID: PMC9631470.</t>
  </si>
  <si>
    <t>197: Zhang H, Jiang L, Fu R, Qin P, Zhang X, Tian T, Feng GX, Yang YM. Impact of levosimendan on efficacy and renal function in acute heart failure according to renal function: A perspective, multi-center, real-world registry. Front Cardiovasc Med. 2022 Oct 19;9:986039. doi: 10.3389/fcvm.2022.986039. PMID: 36337876; PMCID: PMC9626812.</t>
  </si>
  <si>
    <t>198: Kaur P, Kundra TS. Role of inhaled levosimendan in peripartum cardiomyopathy. Saudi J Anaesth. 2022 Oct-Dec;16(4):500-503. doi: 10.4103/sja.sja_297_22. Epub 2022 Sep 3. PMID: 36337420; PMCID: PMC9630672.</t>
  </si>
  <si>
    <t>199: Boening A, Welk E, Heep M, Hemmerich C, Niemann B, Schlüter KD, Taghiyev ZT. Oral application of levosimendan before ischaemia/reperfusion with or without cardioplegic arrest in rats. Eur J Cardiothorac Surg. 2022 Sep 2;62(4):ezac168. doi: 10.1093/ejcts/ezac168. PMID: 35290463.</t>
  </si>
  <si>
    <t>199: Grześk G, Wołowiec Ł, Rogowicz D, Gilewski W, Kowalkowska M, Banach J, Hertmanowski W, Dobosiewicz M. The importance of pharmacokinetics, pharmacodynamic and repetitive use of levosimendan. Biomed Pharmacother. 2022 Sep;153:113391. doi: 10.1016/j.biopha.2022.113391. Epub 2022 Jul 12. PMID: 36076524</t>
  </si>
  <si>
    <t>200: Wechsler M, Schwinger RHG. Association of Repetitive Dosing of Levosimendan with Reduction of NYHA Class and NT-proBNP Levels in Decompensated Heart Failure: A Retrospective Cohort Study. Drugs Real World Outcomes. 2022 Sep;9(3):529-537. doi: 10.1007/s40801-022-00313-7. Epub 2022 Jul 6. PMID: 35794318; PMCID: PMC9392823.</t>
  </si>
  <si>
    <t>201: Maloberti A, Sun J, Zannoni J, Occhi L, Bassi I, Fabbri S, Colombo V, Gualini E, Algeri M, Varrenti M, Masciocco G, Perna E, Oliva F, Cipriani M, Frigerio M, Giannattasio C. Endothelial Dysfunction in Patients with Advanced Heart Failure Treated with Levosimendan Periodic Infusion Compared with Optimal Medical Therapy: A Pilot Study. Life (Basel). 2022 Aug 26;12(9):1322. doi:10.3390/life12091322. PMID: 36143358; PMCID: PMC9501966.</t>
  </si>
  <si>
    <t>202: Leivaditis V, Koletsis E, Tsopanoglou N, Charokopos N, D'Alessandro C, Grapatsas K, Apostolakis E, Choleva E, Plota M, Emmanuil A, Dahm M, Dougenis D. The Coadministration of Levosimendan and Exenatide Offers a Significant Cardioprotective Effect to Isolated Rat Hearts against Ischemia/Reperfusion Injury. J Cardiovasc Dev Dis. 2022 Aug 12;9(8):263. doi: 10.3390/jcdd9080263. PMID: 36005427; PMCID: PMC9409795.</t>
  </si>
  <si>
    <t>202: Cribari F, Conte C, Ruggio A, Narducci ML, D'Aiello A, Pedicino D, Biasucci LM, Liuzzo G. Levosimendan for acute right heart failure in COVID-19: another arrow in our quiver? Eur Rev Med Pharmacol Sci. 2022 Aug;26(15):5596-5600. doi: 10.26355/eurrev_202208_29432. PMID: 35993658.</t>
  </si>
  <si>
    <t>203: Lapere M, Rega F, Rex S. Levosimendan in paediatric cardiac anaesthesiology: A systematic review and meta-analysis. Eur J Anaesthesiol. 2022 Aug 1;39(8):646-655. doi: 10.1097/EJA.0000000000001711. Epub 2022 Jul 7. PMID: 35792892</t>
  </si>
  <si>
    <t>203: Hu K, Mathew R. Inotrope and vasopressor use in cardiogenic shock: what, when and why? Curr Opin Crit Care. 2022 Aug 1;28(4):419-425. doi:10.1097/MCC.0000000000000957. Epub 2022 Jul 5. PMID: 35792520.</t>
  </si>
  <si>
    <t>204: Caruba T, Charles-Nelson A, Alexander JH, Mehta RH, Heringlake M, Toller W, Yavchitz A, Sabatier B, Chatellier G, Cholley B. Prophylactic levosimendan in patients with low ejection fraction undergoing coronary artery bypass grafting: A pooled analysis of two multicentre randomised controlled trials. Anaesth Crit Care Pain Med. 2022 Aug;41(4):101107. doi: 10.1016/j.accpm.2022.101107. Epub 2022 May 25. PMID: 35643391.</t>
  </si>
  <si>
    <t>15: Hoevelmann J, Jhund PS, Viljoen C. Targeting disease biology in peripartum cardiomyopathy: rethinking support in cardiogenic shock? Eur J Heart Fail. 2026 May 11;28(2):339-341. doi: 10.1093/ejhf/xuag032. PMID: 41818718.</t>
  </si>
  <si>
    <t>16: Tavazzi G, Avondo S, Corradi F. Splanchnic ultrasound to guide unloading in VA-ECMO. Ultrasound J. 2026 May 7;18(1):18796. doi: 10.5826/tuj.2026.18796. PMID: 42095362.</t>
  </si>
  <si>
    <t>16: Nuzzi V, Madaudo C, Manca P, Cannata A, Raffa G, Mulè M, Cannata S, La Franca E, Pisano C, Cipriani M, Lorusso R. The quantitative haemodynamic effect of levosimendan, dobutamine, and milrinone in heart failure patients: a meta-analysis. ESC Heart Fail. 2026 May 5;13(3):xvag120. doi: 10.1093/eschf/xvag120. PMID: 42029150; PMCID: PMC13178255.</t>
  </si>
  <si>
    <t>22: Karampinos KI, Farmakis D, Gurung R, Foo RSY, Filippatos GS, Cokkinos DV. Ferroptosis in heart failure: from molecular insights to therapeutic implications. Cardiovasc Res. 2026 Mar 26;122(3):313-335. doi: 10.1093/cvr/cvag019. PMID: 41616804.</t>
  </si>
  <si>
    <t>25: Shaibu Z, Zhu W. To the Editor: Levosimendan in sepsis-induced cardiac dysfunction: consolidating evidence within a complex clinical landscape. Eur J Clin Pharmacol. 2026 Mar 21;82(4):98. doi: 10.1007/s00228-026-04036-4. PMID: 41862691</t>
  </si>
  <si>
    <t>26: Cao F, Yan T, Liang C, Liu A, Wang J. Sepsis-induced cardiomyopathy: mechanisms, epidemiology, diagnosis, and treatments. Front Immunol. 2026 Mar 11;17:1785463. doi: 10.3389/fimmu.2026.1785463. PMID: 41890740; PMCID: PMC13012987.</t>
  </si>
  <si>
    <t>27: Kloka JA, Popescu A, Friedrichson B, Jasny T, Blum LV, Noone S, Flinspach A, Kranke P, Zacharowski K, Neef V. Clinical Characteristics and Outcomes of 1894 Women with Peripartum Cardiomyopathy Treated with and Without Levosimendan in Germany. J Cardiovasc Dev Dis. 2026 Mar 9;13(3):126. doi: 10.3390/jcdd13030126. PMID: 41892714; PMCID: PMC13026767.</t>
  </si>
  <si>
    <t>28: Semenycheva I, Larina S, Zakharova L, Vakolyuk R. Safety of Repeated Levosimendan Use in Chronic Heart Failure. J Cardiovasc Pharmacol. 2026 Mar 1;87(3):150-159. doi: 10.1097/FJC.0000000000001797. PMID: 41568919.</t>
  </si>
  <si>
    <t>29: Sarto G, Simeone B, Sbandi F, Valenti V, Forte M, Spadafora L, Bernardi M, Golino M, Tres G, Cantiello G, Frati L, Frati G, Di Mario R, Colaiori I, Biondi-Zoccai G, Versaci F, Sciarretta S. Magnitude of blood pressure reduction in response to levosimendan infusion independently predicts in-hospital mortality in patients with acute heart failure. J Cardiovasc Pharmacol. 2026 Feb 23. doi: 10.1097/FJC.0000000000001811. Epub ahead of print. PMID: 41729537.</t>
  </si>
  <si>
    <t>30: Riccardi M, D'Elia E, Fazzari F, Cirelli C, Bisegna S, Bellicini MG, Pagnesi M, Nodari S, Pini D, Bragato RM, Senni M, Lombardi CM, Metra M, Inciardi RM. Clinical and echocardiographic changes after intermittent levosimendan infusion in patients with advanced heart failure. ESC Heart Fail. 2026 Feb 3;13(1):xvag017. doi: 10.1093/eschf/xvag017. PMID: 41711719; PMCID: PMC13108296.</t>
  </si>
  <si>
    <t>31: Kazimierczyk E, Kazimierczyk R, Imiela AM, Południewska D, Rogalska E, Szyszkowska A, Mickiewicz K, Kukliński F, Fernandez-Moreno T, Gierlotka M, Straburzyńska-Migaj E, Nessler JM, Pawlak A, Gąsior M, Kubica J, Jaguszewski M, Kasprzak JD, Bielecka-Dąbrowa A, Wojakowski W, Leszek P, Szarpak Ł, Tycińska A. The possible impact of levosimendan infusions on clinical course of heart failure: the results of the LEIA-HF study. ESC Heart Fail. 2026 Feb 3;13(1):xvag021. doi: 10.1093/eschf/xvag021. PMID: 41711226; PMCID: PMC13108320.</t>
  </si>
  <si>
    <t>32: Raja A, Kumar L, Kumar M, Khurram L, Ali SME, Kumar N, Rao H, Mustafa I, Warisha S, Parvez M, Gulfaraz S, Saeed T, Saeed M, Sanober L, Tabasum, Abdullah, Ayalew BD, Chaulagain A. Comparative safety and efficacy of levosimendan versus dobutamine in acute heart failure: a systematic review, meta-analysis, and meta-regression. Ann Med Surg (Lond). 2026 Jan 21;88(2):1826-1841. doi:10.1097/MS9.0000000000004706. PMID: 41675848; PMCID: PMC12889367.</t>
  </si>
  <si>
    <t>33: Bertin S, Guidi M, Haefliger D, Thoueille P, Bardinet C, Decosterd LA, Perez MH, Giraud R, Assouline B, Schneider A, Buclin T, Livio F. Population Pharmacokinetics of Levosimendan and its Metabolites OR-1855 and OR-1896 in Critically Ill Adults, Neonates and Infants on Veno-Arterial ECMO. Clin Pharmacokinet. 2026 Feb;65(2):241-255. doi: 10.1007/s40262-025-01591-4. Epub 2025 Nov 25. PMID: 41288922; PMCID: PMC12881041.</t>
  </si>
  <si>
    <t>34: Cherbi M, Roubille F, Lamblin N, Puymirat E, Elbaz M, Bonnefoy E, Delmas C. Cardiogenic shock: Who benefits from heart replacement therapy? Int J Cardiol. 2026 Feb 1;444:134003. doi: 10.1016/j.ijcard.2025.134003. Epub 2025 Nov 7. PMID: 41207326</t>
  </si>
  <si>
    <t>35: Ali AOH, Ameer F, Ibrahim AA, Ali MS, Abdelhamid TA, Elmasry MH, Alrumaih F, Soliman KAR, Alghannami A, Abdalla SS, Hassan AA. Comparative Efficacy and Safety of Vasopressors and Inotropes in Acute Myocardial Infarction-Related Cardiogenic Shock: A Systematic Review and Network Meta Analysis of Randomized and Observational Studies. Cureus. 2026 Jan 24;18(1):e102204. doi:10.7759/cureus.102204. PMID: 41737078; PMCID: PMC12927664.</t>
  </si>
  <si>
    <t>36: Flórez-Rodríguez C, Rubio-Duarte AF, Basto-Duarte MC, Colmenares-Mejia CC, Macias-Franco E, Plata-Vanegas S, Castro-Monsalve J. Perioperative use of levosimendan in complex congenital heart disease management. Eur J Pediatr. 2026 Jan 23;185(2):100. doi: 10.1007/s00431-025-06719-z. PMID: 41575556.</t>
  </si>
  <si>
    <t>37: Combes A, Saura O, Nesseler N, Lebbah S, Rozec B, Levy B, Fellahi JL, Beurton A, Meslin S, Gaudard P, Bouglé A, Vincentelli A, Sonneville R, Lebreton G, Lévy D, Ouattara A, Tubach F; LEVOECMO Trial Group and the International ECMO Network (ECMONet). Levosimendan to Facilitate Weaning From ECMO in Patients With Severe Cardiogenic Shock: The LEVOECMO Randomized Clinical Trial. JAMA. 2026 Jan 6;335(1):60-69. doi: 10.1001/jama.2025.19843. PMID: 41324946; PMCID: PMC12670262.</t>
  </si>
  <si>
    <t>38: Levosimendan to Facilitate Weaning From ECMO in Patients With Severe Cardiogenic Shock: Research Summary. JAMA. 2026 Jan 6;335(1):e2522261. doi: 10.1001/jama.2025.22261. Epub 2026 Jan 6. PMID: 41324935.</t>
  </si>
  <si>
    <t>39: Drazner MH. Levosimendan and Weaning From VA-ECMO. JAMA. 2026 Jan 6;335(1):33-34. doi: 10.1001/jama.2025.20299. PMID: 41324919.</t>
  </si>
  <si>
    <t>40: Mehta R, Jayakumar I, Manne P, Uppuluri R, Raj R. Efficacy and Safety of Levosimendan in Severe Cardiac Dysfunction in Children Undergoing Cancer Chemotherapy and Hematopoietic Stem Cell Transplantation. Indian J Hematol Blood Transfus. 2026 Jan;42(1):50-53. doi: 10.1007/s12288-025-01963-7. Epub 2025 Jan 17. PMID: 41522568; PMCID: PMC12789347.</t>
  </si>
  <si>
    <t>41: Rysz S, Flam B, Hedberg M, Galmén K, Mårtensson J, Djärv T, Jonsson Fagerlund M. Levosimendan in Cardiac Arrest (LeiCA): Protocol for a Randomized, Double-Blind, Phase II Clinical Trial. Acta Anaesthesiol Scand. 2026 Jan;70(1):e70159. doi: 10.1111/aas.70159. PMID: 41287413; PMCID: PMC12645084.</t>
  </si>
  <si>
    <t>204: Masarone D, Kittleson MM, Martucci ML, Valente F, Gravino R, Verrengia M, Ammendola E, Contaldi C, Di Palma V, Caiazzo A, Petraio A, Pollesello P, Pacileo G. Levosimendan as a "Bridge to Optimization" in Patients with Advanced Heart Failure with Reduced Ejection-A Single-Center Study. J Clin Med. 2022 Jul 21;11(14):4227. doi: 10.3390/jcm11144227. PMID: 35887992; PMCID: PMC9317236.</t>
  </si>
  <si>
    <t>205: Kuzmiszyn AK, Selli AL, Smaglyukova N, Kondratiev T, Fuskevåg OM, Lyså RA, Ravna AW, Tveita T, Sager G, Dietrichs ES. Treatment of Cardiovascular Dysfunction with PDE3-Inhibitors in Moderate and Severe Hypothermia-Effects on Cellular Elimination of Cyclic Adenosine Monophosphate and Cyclic Guanosine Monophosphate. Front Physiol. 2022 Jul 13;13:923091. doi:10.3389/fphys.2022.923091. PMID: 35910566; PMCID: PMC9326216.</t>
  </si>
  <si>
    <t>206: Lee WC, Wu PJ, Fang HY, Fang YN, Chen HC, Tong MS, Sung PH, Lee CH, Chung WJ. Levosimendan Administration May Provide More Benefit for Survival in Patients with Non-Ischemic Cardiomyopathy Experiencing Acute Decompensated Heart Failure. J Clin Med. 2022 Jul 10;11(14):3997. doi: 10.3390/jcm11143997. PMID: 35887759; PMCID: PMC9322737.</t>
  </si>
  <si>
    <t>207: Chen YW, Lee WC, Wu PJ, Fang HY, Fang YN, Chen HC, Tong MS, Sung PH, Lee CH, Chung WJ. Early Levosimendan Administration Improved Weaning Success Rate in Extracorporeal Membrane Oxygenation in Patients With Cardiogenic Shock. Front Cardiovasc Med. 2022 Jun 30;9:912321. doi: 10.3389/fcvm.2022.912321. PMID: 35845047; PMCID: PMC9279688.</t>
  </si>
  <si>
    <t>208: Segev A, Lavee J, Kassif Y, Shemesh Y, Kogan A, Freimark D, Morgan A, Lotan D, Itelman E, Grupper A. Effect of levosimendan infusion prior to left ventricular assist device implantation on right ventricular failure. J Cardiothorac Surg. 2022 Jun 16;17(1):158. doi: 10.1186/s13019-022-01915-6. PMID: 35710438; PMCID: PMC9205013.</t>
  </si>
  <si>
    <t>209: Hau M, Fong KM, Au SY. Levosimendan's effect on venoarterial extracorporeal membrane oxygenation weaning. Int J Artif Organs. 2022 Jun;45(6):571-579. doi: 10.1177/03913988221098773. Epub 2022 May 14. PMID: 35570732.</t>
  </si>
  <si>
    <t>210: Cui X, Wang Z, Dong X, Cheng Z, Zhang L, Mu Y, Huang X, Li Y, Hong Y, Han Y. Comparative Effectiveness and Safety of Milrinone and Levosimendan as Initial Inotrope Therapy in Patients With Acute Heart Failure With Renal Dysfunction. J Cardiovasc Pharmacol. 2022 Jun 1;79(6):781-790. doi:10.1097/FJC.0000000000001255. PMID: 35507915.</t>
  </si>
  <si>
    <t>Retrospective, Renal</t>
  </si>
  <si>
    <t>211: Verma S, Rathwell S, Fremes S, Zheng Y, Mehta R, Lopes RD, Alexander JH, Goodman SG, Diepen SV; LEVO-CTS investigators. Associated factors and clinical outcomes in mechanical circulatory support use in patients undergoing high risk on-pump cardiac surgery: Insights from the LEVO-CTS trial. Am Heart J. 2022 Jun;248:35-41. doi: 10.1016/j.ahj.2022.02.013. Epub 2022 Mar 7. PMID: 35263653.</t>
  </si>
  <si>
    <t>212: Levijoki J, Pollesello P, Grossini E, Papp Z. The Adenylate Cyclase Activator Forskolin Potentiates the Positive Inotropic Effect of the Phosphodiesterase Inhibitor Milrinone But Not of the Calcium Sensitizer Levosimendan nor of Its Hemodynamically Active Metabolites: An Apparent Conundrum. J Cardiovasc Pharmacol. 2022 Jun 1;79(6):827-832. doi: 10.1097/FJC.0000000000001235. PMID: 35170487; PMCID: PMC9162272.</t>
  </si>
  <si>
    <t>213: Emara AN, Mansour NO, Elnaem MH, Wadie M, Dehele IS, Shams MEE. Efficacy of Nondiuretic Pharmacotherapy for Improving the Treatment of Congestion in Patients with Acute Heart Failure: A Systematic Review of Randomised Controlled Trials. J Clin Med. 2022 May 31;11(11):3112. doi: 10.3390/jcm11113112. PMID: 35683505; PMCID: PMC9181246.</t>
  </si>
  <si>
    <t>213: Rysz S, Fagerlund MJ, Lundberg J, Ringh M, Hollenberg J, Lindgren M, Jonsson M, Djärv T, Nordberg P. The Use of Levosimendan after Out-of-Hospital Cardiac Arrest and Its Association with Outcome-An Observational Study. J Clin Med. 2022 May 6;11(9):2621. doi: 10.3390/jcm11092621. PMID: 35566747; PMCID: PMC9103888.</t>
  </si>
  <si>
    <t>214: Li ZS, Wang K, Pan T, Sun YH, Liu C, Cheng YQ, Zhang H, Zhang HT, Wang DJ, Chen ZJ. The evaluation of levosimendan in patients with acute myocardial infarction related ventricular septal rupture undergoing cardiac surgery: a prospective observational cohort study with propensity score analysis. BMC Anesthesiol. 2022 May 3;22(1):135. doi: 10.1186/s12871-022-01663-z. PMID: 35501683; PMCID: PMC9063086.</t>
  </si>
  <si>
    <t>215: Gutiérrez-Riveroll KI, Mejía Picazo HJ, Dosta-Herrera JJ. Levosimendán para prevenir el síndrome de bajo gasto en pacientes pediátricos con corrección de tetralogía de Fallot [Levosimendan for preventing low output syndrome in pediatric patients with correction of tetralogy of Fallot]. Rev Med Inst Mex Seguro Soc. 2022 May 2;60(3):304-314. Spanish. PMID: 35763357; PMCID: PMC10396041.</t>
  </si>
  <si>
    <t>216: Rissel R, Gosling M, Kamuf J, Renz M, Ruemmler R, Ziebart A, Hartmann EK. Levosimendan Ameliorates Cardiopulmonary Function but Not Inflammatory Response in a Dual Model of Experimental ARDS. Biomedicines. 2022 Apr 29;10(5):1031. doi:10.3390/biomedicines10051031. PMID: 35625767; PMCID: PMC9138326.</t>
  </si>
  <si>
    <t>217: Abdelshafy M, Elsherbini H, Elkoumy A, Simpkin AJ, Elzomor H, Caliskan K, Soliman O. Perioperative Levosimendan Infusion in Patients With End-Stage Heart Failure Undergoing Left Ventricular Assist Device Implantation. Front Cardiovasc Med. 2022 Apr 28;9:888136. doi: 10.3389/fcvm.2022.888136. PMID: 35571194; PMCID: PMC9095918.</t>
  </si>
  <si>
    <t>218: Hassoun R, Erdmann C, Schmitt S, Fujita-Becker S, Mügge A, Schröder RR, Geyer M, Borbor M, Jaquet K, Hamdani N, Mannherz HG. Functional Characterization of Cardiac Actin Mutants Causing Hypertrophic (p.A295S) and Dilated Cardiomyopathy (p.R312H and p.E361G). Int J Mol Sci. 2022 Apr 18;23(8):4465. doi: 10.3390/ijms23084465. PMID: 35457283; PMCID: PMC9024677.</t>
  </si>
  <si>
    <t>219: Visco V, Esposito C, Manzo M, Fiorentino A, Galasso G, Vecchione C, Ciccarelli M. A Multistep Approach to Deal With Advanced Heart Failure: A Case Report on the Positive Effect of Cardiac Contractility Modulation Therapy on Pulmonary Pressure Measured by CardioMEMS. Front Cardiovasc Med. 2022 Apr 4;9:874433. doi: 10.3389/fcvm.2022.874433. PMID: 35445087; PMCID: PMC9013826.</t>
  </si>
  <si>
    <t>220: Vincenza Polito M, De Angelis E, Hagendorff A, Puzziello A, Vigorito F, Ravera A. Adrenergic Shock Presenting with Atypical Takotsubo Syndrome: The Alliance Between Levosimendan and Intraaortic Balloon Pump Against the Pheochromocytoma. Anatol J Cardiol. 2022 Apr;26(4):325-327. doi:10.5152/AnatolJCardiol.2021.522. PMID: 35435844; PMCID: PMC9366387.</t>
  </si>
  <si>
    <t>221: Sung PH, Chai HT, Yang CC, Chiang JY, Chen CH, Chen YL, Yip HK. Combined levosimendan and Sacubitril/Valsartan markedly protected the heart and kidney against cardiorenal syndrome in rat. Biomed Pharmacother. 2022 Apr;148:112745. doi: 10.1016/j.biopha.2022.112745. Epub 2022 Feb 21. PMID: 35202913.</t>
  </si>
  <si>
    <t>222: Milwidsky A, Frydman S, Laufer-Perl M, Sadeh B, Sapir O, Granot Y, Hochstadt A, Korotetski L, Ketchker L, Topilsky Y, Banai S, Havakuk O. Intermittent inotropic therapy with levosimendan vs. milrinone in advanced heart failure patients. ESC Heart Fail. 2022 Apr;9(2):1487-1491. doi:10.1002/ehf2.13807. Epub 2022 Jan 27. PMID: 35083882; PMCID: PMC8934941.</t>
  </si>
  <si>
    <t>201: Girardis M, Bettex D, Bojan M, Demponeras C, Fruhwald S, Gál J, Groesdonk HV, Guarracino F, Guerrero-Orriach JL, Heringlake M, Herpain A, Heunks L, Jin J, Kindgen-Milles D, Mauriat P, Michels G, Psallida V, Rich S, Ricksten SE, Rudiger A, Siegemund M, Toller W, Treskatsch S, Župan Ž, Pollesello P. Levosimendan in intensive care and emergency medicine: literature update and expert recommendations for optimal efficacy and safety. J Anesth Analg Crit Care. 2022 Jan 24;2(1):4. doi: 10.1186/s44158-021-00030-7. PMID: 37386589; PMCID: PMC8785009.</t>
  </si>
  <si>
    <t>202: Reiterer C, Kabon B, Taschner A, Adamowitsch N, Graf A, Fraunschiel M, Horvath K, Kuhrn M, Clement T, Treskatsch S, Berger C, Fleischmann E. Effect of perioperative levosimendan administration on postoperative N-terminal pro-B-type natriuretic peptide concentration in patients with increased cardiovascular risk factors undergoing non-cardiac surgery: protocol for the double-blind, randomised, placebo-controlled IMPROVE trial. BMJ Open. 2022 Jan 21;12(1):e058216. doi: 10.1136/bmjopen-2021-058216. PMID: 35063963; PMCID: PMC8785196.</t>
  </si>
  <si>
    <t>203: Wang D, Song M, Shen LF, Han L, Zhu P, Jia X, Shang GK, Cao Y, Zhang W, Zhong M, Wang ZH. Exercise Capacity Is Improved by Levosimendan in Heart Failure and Sarcopenia via Alleviation of Apoptosis of Skeletal Muscle. Front Physiol. 2022 Jan 20;12:786895. doi: 10.3389/fphys.2021.786895. PMID: 35126176; PMCID: PMC8811365.</t>
  </si>
  <si>
    <t>204: Yu S, Zhang J. Effects of Levosimendan Preconditioning on Left Ventricular Remodeling after Myocardial Reperfusion in Acute Myocardial Infarction Patients Receiving Percutaneous Coronary Intervention. Heart Surg Forum. 2022 Jan 12;25(1):E001-E007. doi: 10.1532/hsf.4267. PMID: 35238311.</t>
  </si>
  <si>
    <t>205: Whelan AJ, Ricci M, Harthan AA, Deshpande G. Calcium Responsive Pediatric Septic Shock Refractory to Isotonic Crystalloids and Inotropic Agents. J Pediatr Pharmacol Ther. 2022;27(8):765-769. doi: 10.5863/1551-6776-27.8.765. Epub 2022 Nov 17. PMID: 36989008; PMCID: PMC9674360.</t>
  </si>
  <si>
    <t>206: Krishnan K, Wassermann TB, Tednes P, Bonderski V, Rech MA. Beyond the bundle: Clinical controversies in the management of sepsis in emergency medicine patients. Am J Emerg Med. 2022 Jan;51:296-303. doi: 10.1016/j.ajem.2021.11.003. Epub 2021 Nov 9. PMID: 34785486.</t>
  </si>
  <si>
    <t>207: Masarone D, Melillo E, Errigo V, Martucci ML, Pacileo R, Pollesello P, Petraio A, Pacileo G. Hemodynamic Effects of Levosimendan in Outpatients With Advanced Heart Failure: An Echocardiographic Pilot Study. J Cardiovasc Pharmacol. 2022 Jan 1;79(1):e36-e40. doi: 10.1097/FJC.0000000000001163. PMID: 34711750</t>
  </si>
  <si>
    <t>208: Fox H, Gummert JF, Sommer P, Knabbe C, Sohns C. Synergistic effects of levosimendan and convalescence plasma as bailout strategy in acute cardiogenic shock in COVID-19: A case report. Cardiol J. 2022;29(1):157-159. doi:10.5603/CJ.a2021.0119. Epub 2021 Oct 8. PMID: 34622432; PMCID: PMC8890408.</t>
  </si>
  <si>
    <t>208: Ruocco G, Pastorini G, Feola M. Echocardiography and impedance cardiography as determinants of successful slow levosimendan infusion in advanced older heart failure patients. J Geriatr Cardiol. 2021 Dec 28;18(12):1058-1062. doi:10.11909/j.issn.1671-5411.2021.12.010. PMID: 35136400; PMCID: PMC8782766.</t>
  </si>
  <si>
    <t>209: Wagner S, Güthe T, Bhogal P, Cimpoca A, Ganslandt O, Bäzner H, Henkes H. Aneurysmal subarachnoid hemorrhage as a trigger for Takotsubo syndrome: a comprehensive review. Rev Cardiovasc Med. 2021 Dec 22;22(4):1241-1251. doi:10.31083/j.rcm2204132. PMID: 34957767.</t>
  </si>
  <si>
    <t>209: Zettersten E, Jäderling G, Bell M, Larsson E. A cohort study investigating the occurrence of differences in care provided to men and women in an intensive care unit. Sci Rep. 2021 Dec 3;11(1):23396. doi: 10.1038/s41598-021-02815-w. PMID: 34862443; PMCID: PMC8642468.</t>
  </si>
  <si>
    <t>210: Burkhoff D, Rich S, Pollesello P, Papp Z. Levosimendan-induced venodilation is mediated by opening of potassium channels. ESC Heart Fail. 2021 Dec;8(6):4454-4464. doi: 10.1002/ehf2.13669. Epub 2021 Oct 30. PMID: 34716759; PMCID: PMC8712848.</t>
  </si>
  <si>
    <t>211: García-González MJ, Aldea Perona A, Lara Padron A, Morales Rull JL, Martínez-Sellés M, de Mora Martin M, López Díaz J, López Fernandez S, Ortiz Oficialdegui P, Jiménez Sosa A. Efficacy and safety of intermittent repeated levosimendan infusions in advanced heart failure patients: the LAICA study. ESC Heart Fail. 2021 Dec;8(6):4820-4831. doi: 10.1002/ehf2.13670. Epub 2021 Oct 30. PMID: 34716753; PMCID: PMC8712777.</t>
  </si>
  <si>
    <t>212: Honore PM, Redant S, Moorthamers S, Preseau T, Kaefer K, Barreto Gutierrez L, Attou R, Gallerani A, Boer W, De Bels D. What should clinicians know about the renal effect and the mechanism of action of levosimendan? Expert Opin Drug Saf. 2021 Dec;20(12):1459-1461. doi: 10.1080/14740338.2021.1986483. Epub 2021 Oct 18. PMID: 34612116.</t>
  </si>
  <si>
    <t>213: Xiangli S, Lan L, Libiya Z, Jun M, Shubin J. Effect of levosimendan combined with recombinant human brain natriuretic peptide on diuretic resistance. Libyan J Med. 2021 Dec;16(1):1973762. doi: 10.1080/19932820.2021.1973762. PMID: 34493175; PMCID: PMC8439246.</t>
  </si>
  <si>
    <t>214: Durur-Subasi I, Kose D, Yayla M, Sirin B, Karaman A, Calik I, Alper F. Does the cardiovascular drug levosimendan prevent iodinated contrast medium nephrotoxicity with glycerol aggravation in rats? Eur Radiol Exp. 2021 Nov 17;5(1):49. doi: 10.1186/s41747-021-00249-7. PMID: 34786647; PMCID: PMC8595362.</t>
  </si>
  <si>
    <t>215: Trinh-Duc A, Labeyrie MA, Caillard A, Ben Hassen W, Mebazaa A, Chousterman BG. Effects of levosimendan on occurrence of cerebral vasospasm after aneurysmal subarachnoid hemorrhage: a case-control study. Crit Care. 2021 Nov 16;25(1):396. doi: 10.1186/s13054-021-03824-x. PMID: 34784938; PMCID: PMC8597255.</t>
  </si>
  <si>
    <t>216: Kong X, Hu X, Hua B, Fedele F, Farmakis D, Pollesello P. Levosimendan in Europe and China: An Appraisal of Evidence and Context. Eur Cardiol. 2021 Nov 8;16:e42. doi: 10.15420/ecr.2021.41. PMID: 34815750; PMCID: PMC8591618.</t>
  </si>
  <si>
    <t>217: González Bardanca S, Pato López Ó, Díaz Allegue M, Ramos López L. Therapeutic utility of levosimendan during the postoperative period of lung transplantation: initial experience in right ventricular dysfunction. Rev Esp Anestesiol Reanim (Engl Ed). 2021 Nov;68(9):548-550. doi:10.1016/j.redare.2020.12.004. Epub 2021 Nov 4. PMID: 34743909.</t>
  </si>
  <si>
    <t>218: Wood H. Levosimendan fails to improve respiratory function in amyotrophic lateral sclerosis. Nat Rev Neurol. 2021 Nov;17(11):660. doi:10.1038/s41582-021-00569-7. PMID: 34594004.</t>
  </si>
  <si>
    <t>219: Armandeh M, Bameri B, Baeeri M, Haghi-Aminjan H, Rahimifard M, Hassani S, Hooshangi Shayesteh MR, Khalid M, Samadi M, Hosseini R, Masoudi Fard M, Abdollahi M. The role of levosimendan in phosphine-induced cardiotoxicity: evaluation of electrocardiographic, echocardiographic, and biochemical parameters. Toxicol Mech Methods. 2021 Nov;31(9):631-643. doi:10.1080/15376516.2021.1950248. Epub 2021 Aug 1. PMID: 34219611.</t>
  </si>
  <si>
    <t>220: Long YX, Cui DY, Kuang X, Hu Y, Hu S, Wang CP, Liu ZZ. Effect of levosimendan on renal function in background of left ventricular dysfunction: a meta-analysis of randomized trials. Expert Opin Drug Saf. 2021 Nov;20(11):1411-1420. doi: 10.1080/14740338.2021.1951700. Epub 2021 Jul 10. PMID: 34214005.</t>
  </si>
  <si>
    <t>220: Luo JC, Zheng WH, Meng C, Zhou H, Xu Y, Tu GW, Luo Z, Huang HB. Levosimendan to Facilitate Weaning From Cardiorespiratory Support in Critically Ill Patients: A Meta-Analysis. Front Med (Lausanne). 2021 Oct 12;8:741108. doi:10.3389/fmed.2021.741108. PMID: 34712681; PMCID: PMC8546177.</t>
  </si>
  <si>
    <t>221: Tumminello G, Cereda A, Barbieri L, Biondi-Zoccai G, Lucreziotti S, Mafrici A, Carugo S. Meta-Analysis of Placebo-Controlled Trials of Levosimendan in Acute Myocardial Infarction. J Cardiovasc Dev Dis. 2021 Oct 7;8(10):129. doi:10.3390/jcdd8100129. PMID: 34677198; PMCID: PMC8539734.</t>
  </si>
  <si>
    <t>222: Van den Eynde J, Cloet N, Van Lerberghe R, Sá MPBO, Vlasselaers D, Toelen J, Verbakel JY, Budts W, Gewillig M, Kutty S, Pottel H, Mekahli D. Strategies to Prevent Acute Kidney Injury after Pediatric Cardiac Surgery: A Network Meta-Analysis. Clin J Am Soc Nephrol. 2021 Oct;16(10):1480-1490. doi:10.2215/CJN.05800421. PMID: 34620647; PMCID: PMC8498996.</t>
  </si>
  <si>
    <t>222: Cudkowicz M, Genge A, Maragakis N, Petri S, van den Berg L, Aho VV, Sarapohja T, Kuoppamäki M, Garratt C, Al-Chalabi A; REFALS investigators. Safety and efficacy of oral levosimendan in people with amyotrophic lateral sclerosis (the REFALS study): a randomised, double-blind, placebo-controlled phase 3 trial. Lancet Neurol. 2021 Oct;20(10):821-831. doi:10.1016/S1474-4422(21)00242-8. PMID: 34536404.</t>
  </si>
  <si>
    <t>223: Carvalho M, Swash M. Levosimendan for amyotrophic lateral sclerosis. Lancet Neurol. 2021 Oct;20(10):775-777. doi: 10.1016/S1474-4422(21)00255-6. PMID: 34536395</t>
  </si>
  <si>
    <t>224: Masarone D, Melillo E, Gravino R, Errigo V, Martucci ML, Caiazzo A, Petraio A, Pölzl G, Pacileo G. Inotropes in Patients with Advanced Heart Failure: Not Only Palliative Care. Heart Fail Clin. 2021 Oct;17(4):587-598. doi:10.1016/j.hfc.2021.05.004. Epub 2021 Jul 22. PMID: 34511207.</t>
  </si>
  <si>
    <t>225: Jaguszewski MJ, Gasecka A, Hering D, Filipiak KJ, Szarpak L, Fijałkowski M, Gruchała M. Levosimendan improves the acute course of takotsubo syndrome: a pooled analysis. ESC Heart Fail. 2021 Oct;8(5):4360-4363. doi:10.1002/ehf2.13486. Epub 2021 Aug 2. PMID: 34342162; PMCID: PMC8497347.</t>
  </si>
  <si>
    <t>226: Evans MA, Suresh S. Inhaled levosimendan: New opportunities with an old drug. J Clin Anesth. 2021 Oct;73:110337. doi: 10.1016/j.jclinane.2021.110337. Epub 2021 May 10. PMID: 33984811.</t>
  </si>
  <si>
    <t>227: Jia T, Wang S, Luo C, Wang Z, Liu G, Shang Z, Lu X, Yang Q, Zhu C. Levosimendan Ameliorates Post-resuscitation Acute Intestinal Microcirculation Dysfunction Partly Independent of its Effects on Systemic Circulation: A Pilot Study on Cardiac Arrest in a Rat Model. Shock. 2021 Oct 1;56(4):639-646. doi:10.1097/SHK.0000000000001771. PMID: 33710108.</t>
  </si>
  <si>
    <t>228: Yao YT, He LX, Zhao YY. The effect of levosimendan on postoperative bleeding and blood transfusion in cardiac surgical patients: a PRISMA-compliant systematic review and meta-analysis. Perfusion. 2021 Oct;36(7):694-703. doi:10.1177/0267659120963909. Epub 2020 Oct 17. PMID: 33070760.</t>
  </si>
  <si>
    <t>229: Belletti A, Lerose CC, Zangrillo A, Landoni G. Vasoactive-Inotropic Score: Evolution, Clinical Utility, and Pitfalls. J Cardiothorac Vasc Anesth. 2021 Oct;35(10):3067-3077. doi: 10.1053/j.jvca.2020.09.117. Epub 2020 Sep 22. PMID: 33069558</t>
  </si>
  <si>
    <t>230: Sheng W, Qiao H, Niu Z, Wang T, Li H, Zhang W, Wu J, Lv X. Prospective Study on the Postoperative Use of Levosimendan After Conventional Heart Valve Replacement. Med Sci Monit. 2021 Sep 30;27:e932001. doi: 10.12659/MSM.932001. PMID: 34588413; PMCID: PMC8491556.</t>
  </si>
  <si>
    <t>231: Chen WC, Lin MH, Chen CL, Lai YC, Chen CY, Lin YC, Hung CC. Comprehensive Comparison of the Effect of Inotropes on Cardiorenal Syndrome in Patients with Advanced Heart Failure: A Network Meta-Analysis of Randomized Controlled Trials. J Clin Med. 2021 Sep 13;10(18):4120. doi: 10.3390/jcm10184120. PMID: 34575231; PMCID: PMC8471363.</t>
  </si>
  <si>
    <t>232: M'Pembele R, Roth S, Stroda A, Lurati Buse G, Sixt SU, Westenfeld R, Polzin A, Rellecke P, Tudorache I, Hollmann MW, Aubin H, Akhyari P, Lichtenberg A, Huhn R, Boeken U. Risk Factors for Acute Kidney Injury Requiring Renal Replacement Therapy after Orthotopic Heart Transplantation in Patients with Preserved Renal Function. J Clin Med. 2021 Sep 12;10(18):4117. doi: 10.3390/jcm10184117. PMID: 34575227; PMCID: PMC8470552.</t>
  </si>
  <si>
    <t>233: Hassoun R, Budde H, Mannherz HG, Lódi M, Fujita-Becker S, Laser KT, Gärtner A, Klingel K, Möhner D, Stehle R, Sultana I, Schaaf T, Majchrzak M, Krause V, Herrmann C, Nowaczyk MM, Mügge A, Pfitzer G, Schröder RR, Hamdani N, Milting H, Jaquet K, Cimiotti D. De Novo Missense Mutations in &lt;i&gt;TNNC1&lt;/i&gt; and &lt;i&gt;TNNI3&lt;/i&gt; Causing Severe Infantile Cardiomyopathy Affect Myofilament Structure and Function and Are Modulated by Troponin Targeting Agents. Int J Mol Sci. 2021 Sep 6;22(17):9625. doi: 10.3390/ijms22179625. PMID: 34502534; PMCID: PMC8431798.</t>
  </si>
  <si>
    <t>234: Wang YH, Chen JL, Tsai CS, Tsai YT, Lin CY, Ke HY, Hsu PS. Effects of Levosimendan on Systemic Perfusion in Patients with Low Interagency Registry for Mechanically Assisted Circulatory Support (INTERMACS) Score: Experience from a Single Center in Taiwan. Acta Cardiol Sin. 2021 Sep;37(5):512-521. doi:10.6515/ACS.202109_37(5).20210310B. PMID: 34584384; PMCID: PMC8414063.</t>
  </si>
  <si>
    <t>235: Brener MI, Hamid NB, Sunagawa K, Borlaug BA, Shah SJ, Rich S, Burkhoff D. Changes in Stressed Blood Volume with Levosimendan in Pulmonary Hypertension from Heart Failure with Preserved Ejection Fraction: Insights Regarding Mechanism of Action From the HELP Trial. J Card Fail. 2021 Sep;27(9):1023-1026. doi: 10.1016/j.cardfail.2021.05.022. Epub 2021 Jun 16. PMID: 34144177.</t>
  </si>
  <si>
    <t>236: Wang M, Luo B. Levosimendan is safe to patients with advanced heart failure and hypotension. Int J Cardiol. 2021 Sep 1;338:153. doi:10.1016/j.ijcard.2021.05.057. Epub 2021 Jun 9. PMID: 34118325.</t>
  </si>
  <si>
    <t>237: Nandkeolyar S, Ryu R, Mohammad A, Cordero-Caban K, Abramov D, Tran H, Hauschild C, Stoletniy L, Hilliard A, Sakr A. A Review of Inotropes and Inopressors for Effective Utilization in Patients With Acute Decompensated Heart Failure. J Cardiovasc Pharmacol. 2021 Sep 1;78(3):336-345. doi:10.1097/FJC.0000000000001078. PMID: 34117179.</t>
  </si>
  <si>
    <t>238: Conti N, Gatti M, Raschi E, Diemberger I, Potena L. Evidence and Current Use of Levosimendan in the Treatment of Heart Failure: Filling the Gap. Drug Des Devel Ther. 2021 Aug 4;15:3391-3409. doi: 10.2147/DDDT.S295214. PMID: 34376973; PMCID: PMC8350150.</t>
  </si>
  <si>
    <t>239: Ellouze O, Soudry Faure A, Radhouani M, Abou-Arab O, Besnier E, Moussa M, Cransac A, Ksiazek E, Fischer MO, Mertes PM, Bouhemad B, Guinot PG. Levosimendan in venoarterial ECMO weaning. Rational and design of a randomized double blind multicentre trial. ESC Heart Fail. 2021 Aug;8(4):3339-3347. doi:10.1002/ehf2.13427. Epub 2021 Jun 18. PMID: 34145993; PMCID: PMC8318420.</t>
  </si>
  <si>
    <t>240: Tian L, Wang S, Zhao L, Lu X, Zhu C, Gong H, Yang W. Renoprotective effects of levosimendan on acute kidney injury following cardiac arrest via anti-inflammation, anti-apoptosis, and ERK activation. FEBS Open Bio. 2021 Aug;11(8):2236-2244. doi: 10.1002/2211-5463.13227. Epub 2021 Jul 12. PMID: 34115930; PMCID: PMC8329773.</t>
  </si>
  <si>
    <t>241: Patel SJ, Augoustides JG. Levosimendan and Venoarterial ECMO-A Promising Application. J Cardiothorac Vasc Anesth. 2021 Aug;35(8):2496-2498. doi:10.1053/j.jvca.2021.03.052. Epub 2021 Apr 11. PMID: 34006467.</t>
  </si>
  <si>
    <t>242: Putzu A, Belletti A, Clivio S, Cassina T. Reply to: Levosimendan or dobutamine in patients with low cardiac output syndrome: Results from meta-analysis. Int J Cardiol. 2021 Aug 1;336:86. doi: 10.1016/j.ijcard.2021.05.008. Epub 2021 May 7. PMID: 33965469.</t>
  </si>
  <si>
    <t>HELP</t>
  </si>
  <si>
    <t>Protocol</t>
  </si>
  <si>
    <t>13: Pfeffer TJ, Matinmehr F, Radocaj A, Haidari S, Eisen L, List M, Erschow S, Kasten M, Piep B, Weber N, Stojanovski M, Sieweke JT, Berliner D, Schäfer A, Kraft T, Hilfiker-Kleiner D, Bauersachs J, Ricke-Hoch M. Cardiogenic shock complicating peripartum cardiomyopathy benefits from combination therapy with levosimendan and bromocriptine. Eur J Heart Fail. 2026 May 11;28(2):326-338. doi: 10.1093/ejhf/xuag002. PMID: 41771115.</t>
  </si>
  <si>
    <t>14: Manrique-Samer M, Medina NR, Mariño A, Mendez EC, García ÁA. Performance of the LEVO-D score in patients with advanced heart failure at a referral hospital. Acta Cardiol. 2026 May;81(3):374-385. doi: 10.1080/00015385.2026.2633465. Epub 2026 Mar 26. PMID: 41885778.</t>
  </si>
  <si>
    <t>15: Tebib N, Liaudet L, Ltaief Z. Drug sequestration and metabolite formation: key pharmacokinetic challenges for levosimendan use during ECMO support in cardiogenic shock. J Intensive Care. 2026 Apr 24;14(1):40. doi: 10.1186/s40560-026-00884-5. PMID: 42032778; PMCID: PMC13107766.</t>
  </si>
  <si>
    <t>16: Mkoma GF, Hviid A, Pasternak B, Svanström H. Utilization patterns and determinants of guideline-recommended therapies for acute heart failure in Denmark. Eur Heart J Acute Cardiovasc Care. 2026 Apr 20;15(3):197-205. doi: 10.1093/ehjacc/zuaf156. PMID: 41290528; PMCID: PMC13093576.</t>
  </si>
  <si>
    <t>17: Liu W, Yang L, Chen Z, Wu Y, Lai H. Efficacy and safety of levosimendan in acute heart failure patients with different body mass index: a multicenter, retrospective, observational real-world study. Front Cardiovasc Med. 2026 Apr 13;13:1790085. doi: 10.3389/fcvm.2026.1790085. PMID: 42051433; PMCID: PMC13111429.</t>
  </si>
  <si>
    <t>18: Manca P, Matassini MV, Gentile P, D'Elia E, Di Nora C, Fazzini L, Baldetti L, Inciardi RM, De Maria R, Carigi S, Nuzzi V, Cipriani M, De Gennaro L, Bianco M, Tinti MD, Palmieri V, Rizzello V, Doimo S, Cappannelli S, Marini M, Garascia A, Masciocco G, Senni M, Driussi M, Ajello S, Scandroglio AM, Metra M, Corda M, Colivicchi F, Grimaldi M, Oliva F, Gori M. Terapia con inotropi nel paziente ambulatoriale con insufficienza cardiaca in aggravamento/avanzata. Evidenze di letteratura e confronto di modelli gestionali italiani [Inotropic therapy in outpatients with worsening or advanced heart failure: literature evidence and comparison of Italian management models]. G Ital Cardiol (Rome). 2026 Apr;27(4):264-275. Italian. doi: 10.1714/4663.46754. PMID: 41879241.</t>
  </si>
  <si>
    <t>19: Boillat L, Pache-Wannaz L, Maitre G, Rizzati F, Marin MP, Chanez V, Di Bernardo S, Perez MH. Preoperative Administration of Levosimendan to Prevent Low Cardiac Output Syndrome Following Pediatric Cardiac Surgery: A Retrospective Study. Clin Pract. 2026 Mar 22;16(3):63. doi: 10.3390/clinpract16030063. PMID: 41892507; PMCID: PMC13025122.</t>
  </si>
  <si>
    <t>20: Caroleo Z, Madeo M, Garofalo E, Bruni A. Levosimendan and dobutamine in sepsis induced cardiac dysfunction: when pharmacological elegance meets clinical complexity. Eur J Clin Pharmacol. 2026 Mar 21;82(4):99. doi: 10.1007/s00228-026-04035-5. PMID: 41863554.</t>
  </si>
  <si>
    <t>242: De Backer D, Arias Ortiz J, Levy B. The medical treatment of cardiogenic shock: cardiovascular drugs. Curr Opin Crit Care. 2021 Aug 1;27(4):426-432. doi:10.1097/MCC.0000000000000822. PMID: 33797431.</t>
  </si>
  <si>
    <t>243: Abdelbaser I, Mageed NA, Elfayoumy SI, Elgamal MF, Elmorsy MM, Taman HI. The direct comparison of inhaled versus intravenous levosimendan in children with pulmonary hypertension undergoing on-cardiopulmonary bypass cardiac surgery: A randomized, controlled, non-inferiority study. J Clin Anesth. 2021 Aug;71:110231. doi: 10.1016/j.jclinane.2021.110231. Epub 2021 Mar 16. PMID: 33735670</t>
  </si>
  <si>
    <t>244: Kaddoura R, Omar AS, Ibrahim MIM, Alkhulaifi A, Lorusso R, Elsherbini H, Soliman O, Caliskan K. The Effectiveness of Levosimendan on Veno-Arterial Extracorporeal Membrane Oxygenation Management and Outcome: A Systematic Review and Meta-Analysis. J Cardiothorac Vasc Anesth. 2021 Aug;35(8):2483-2495. doi:10.1053/j.jvca.2021.01.019. Epub 2021 Jan 16. PMID: 33583718.</t>
  </si>
  <si>
    <t>244: Seilitz J, Grafver I, Kiszakiewicz L, Oikonomakis I, Jansson K, Axelsson B, Nilsson KF. A Randomized Porcine Study in Low Cardiac Output of Vasoactive and Inotropic Drug Effects on the Gastrointestinal Tract. Shock. 2021 Aug 1;56(2):308-317. doi: 10.1097/SHK.0000000000001726. PMID: 33443363; PMCID: PMC8529897.</t>
  </si>
  <si>
    <t>244: Kaddoura R, Elmoheen A, Badawy E, Eltawagny MF, Seif MA, Bashir K, Salam AM. Vasoactive pharmacologic therapy in cardiogenic shock: a critical review. J Drug Assess. 2021 Jul 20;10(1):68-85. doi: 10.1080/21556660.2021.1930548. PMID: 34350058; PMCID: PMC8293961.</t>
  </si>
  <si>
    <t>245: García-Bardon A, Kamuf J, Ziebart A, Liu T, Krebs N, Dünges B, Kelm RF, Morsbach S, Mohr K, Heimann A, Hartmann EK, Thal SC. Levosimendan increases brain tissue oxygen levels after cardiopulmonary resuscitation independent of cardiac function and cerebral perfusion. Sci Rep. 2021 Jul 9;11(1):14220. doi:10.1038/s41598-021-93621-x. PMID: 34244561; PMCID: PMC8270955.</t>
  </si>
  <si>
    <t>246: Zhao L, Tian L, Wang S, Yang W, Lu X, Zhu C. Levosimendan in rats decreases acute kidney injury after cardiopulmonary resuscitation by improving mitochondrial dysfunction. Transl Androl Urol. 2021 Jul;10(7):3010-3020. doi:10.21037/tau-21-443. PMID: 34430404; PMCID: PMC8350249.</t>
  </si>
  <si>
    <t>LIDO</t>
  </si>
  <si>
    <t>n=29 milrinone</t>
  </si>
  <si>
    <t xml:space="preserve">statistically significant reduction in quality of life scores (60 +/- 20 versus 35 +/- 18; p &lt; 0.00001) </t>
  </si>
  <si>
    <t>with an increase in 6-minute walk test assessments (959 +/- 431 versus 1269 +/- 469; p &lt; 0.01) was noted. Most importantly, in patients assigned to inotropes a 23% increase in 6-minute walk test scores was noted at the end of the study when compared to baseline scores.</t>
  </si>
  <si>
    <t>There were no significant differences in NYHA functional class and in 6-minute walking test.</t>
  </si>
  <si>
    <t>DICE - dobutamine</t>
  </si>
  <si>
    <t>beat dobutamine</t>
  </si>
  <si>
    <t>enoximone</t>
  </si>
  <si>
    <t>doesn’t make people feel better</t>
  </si>
  <si>
    <t xml:space="preserve">KCCQ (+10±13 versus -3±15 placebo; P=0.046). </t>
  </si>
  <si>
    <t>Milrinone ER n=23</t>
  </si>
  <si>
    <t>6MW distance also tended to improve in the treatment group (+22 [-8 to 49] versus -47 [-97 to 12]; P=0.092).</t>
  </si>
  <si>
    <t>ivabridine</t>
  </si>
  <si>
    <t>Vericiguat</t>
  </si>
  <si>
    <t>Agent</t>
  </si>
  <si>
    <t>Time</t>
  </si>
  <si>
    <t>Baseline</t>
  </si>
  <si>
    <t>Endpoint</t>
  </si>
  <si>
    <t>Delta</t>
  </si>
  <si>
    <t>Source</t>
  </si>
  <si>
    <t>n</t>
  </si>
  <si>
    <t>24 weeks</t>
  </si>
  <si>
    <t>KCCQ delta</t>
  </si>
  <si>
    <t>vericiguat 15mg</t>
  </si>
  <si>
    <t>vericiguat 10mg</t>
  </si>
  <si>
    <t>vericiguat placebo</t>
  </si>
  <si>
    <t>PMID 33079152</t>
  </si>
  <si>
    <t>KCCQ pre</t>
  </si>
  <si>
    <t>KCCQ post</t>
  </si>
  <si>
    <t>empagliflozin</t>
  </si>
  <si>
    <t>NS</t>
  </si>
  <si>
    <t>PMID 33351892</t>
  </si>
  <si>
    <t>nebivolol</t>
  </si>
  <si>
    <t>nebivolol placebo</t>
  </si>
  <si>
    <t>PMID 33136223</t>
  </si>
  <si>
    <t>SD</t>
  </si>
  <si>
    <t>30m</t>
  </si>
  <si>
    <t>40m</t>
  </si>
  <si>
    <t>50m</t>
  </si>
  <si>
    <t>dapagliflozin</t>
  </si>
  <si>
    <t>12 weeks</t>
  </si>
  <si>
    <t>dapagliflozin placebo</t>
  </si>
  <si>
    <t>PMID 34711976</t>
  </si>
  <si>
    <t>semaglutide</t>
  </si>
  <si>
    <t>52 weeks</t>
  </si>
  <si>
    <t>semaglutide placebo</t>
  </si>
  <si>
    <t>PMID 37622681</t>
  </si>
  <si>
    <t>PMID 38587233</t>
  </si>
  <si>
    <t>ferric carboxymaltose</t>
  </si>
  <si>
    <t>ferric carboxymaltose placebo</t>
  </si>
  <si>
    <t>PMID 37632463</t>
  </si>
  <si>
    <t>tirzepatide HFpEF</t>
  </si>
  <si>
    <t>tirzepatide HFpEF CKD</t>
  </si>
  <si>
    <t>tirzepatide HFpEF CKD placebo</t>
  </si>
  <si>
    <t>tirzepatide HFpEF placebo</t>
  </si>
  <si>
    <t>104 weeks</t>
  </si>
  <si>
    <t>PMID 40162940</t>
  </si>
  <si>
    <t>sGC</t>
  </si>
  <si>
    <t>SGLT2</t>
  </si>
  <si>
    <t>BB</t>
  </si>
  <si>
    <t>GLP1</t>
  </si>
  <si>
    <t>iron</t>
  </si>
  <si>
    <t>dapagliflozin DETERMINE-Reduced</t>
  </si>
  <si>
    <t>dapagliflozin placebo DETERMINE-Reduced</t>
  </si>
  <si>
    <t>dapagliflozin DETERMINE-Preserved</t>
  </si>
  <si>
    <t>dapagliflozin placebo DETERMINE-Preserved</t>
  </si>
  <si>
    <t>PMID 38059368</t>
  </si>
  <si>
    <t>16 weeks</t>
  </si>
  <si>
    <t>sacubitril/valsartan</t>
  </si>
  <si>
    <t>sacubitril/valsartan control</t>
  </si>
  <si>
    <t>ARB</t>
  </si>
  <si>
    <t>PMID 34783839</t>
  </si>
  <si>
    <t>tadalafil</t>
  </si>
  <si>
    <t>tadalafil placebo</t>
  </si>
  <si>
    <t>PMID 38939948</t>
  </si>
  <si>
    <t>N/A</t>
  </si>
  <si>
    <t>PDE5</t>
  </si>
  <si>
    <t>spironolactone</t>
  </si>
  <si>
    <t>milrinone XR</t>
  </si>
  <si>
    <t>milrinone XR placebo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</si>
</sst>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5" x14ac:knownFonts="1">
    <font>
      <sz val="10"/>
      <color theme="1"/>
      <name val="Arial"/>
      <family val="2"/>
    </font>
    <font>
      <u/>
      <sz val="10"/>
      <color theme="10"/>
      <name val="Arial"/>
      <family val="2"/>
    </font>
    <font>
      <b/>
      <u/>
      <sz val="10"/>
      <color theme="1"/>
      <name val="Arial"/>
      <family val="2"/>
    </font>
    <font>
      <b/>
      <sz val="10"/>
      <color theme="1"/>
      <name val="Arial"/>
      <family val="2"/>
    </font>
    <font>
      <i/>
      <sz val="10"/>
      <color theme="1"/>
      <name val="Arial"/>
      <family val="2"/>
    </font>
  </fonts>
  <fills count="5">
    <fill>
      <patternFill patternType="none"/>
    </fill>
    <fill>
      <patternFill patternType="gray125"/>
    </fill>
    <fill>
      <patternFill patternType="solid">
        <fgColor rgb="FF00B050"/>
        <bgColor indexed="64"/>
      </patternFill>
    </fill>
    <fill>
      <patternFill patternType="solid">
        <fgColor theme="5" tint="0.79998168889431442"/>
        <bgColor indexed="64"/>
      </patternFill>
    </fill>
    <fill>
      <patternFill patternType="solid">
        <fgColor theme="6" tint="0.79998168889431442"/>
        <bgColor indexed="64"/>
      </patternFill>
    </fill>
  </fills>
  <borders count="9">
    <border>
      <left/>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36">
    <xf numFmtId="0" fontId="0" fillId="0" borderId="0" xfId="0"/>
    <xf numFmtId="3" fontId="0" fillId="0" borderId="0" xfId="0" applyNumberFormat="1"/>
    <xf numFmtId="0" fontId="0" fillId="0" borderId="0" xfId="0" applyAlignment="1">
      <alignment horizontal="right"/>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0" xfId="1"/>
    <xf numFmtId="0" fontId="1" fillId="0" borderId="1" xfId="1" applyBorder="1"/>
    <xf numFmtId="0" fontId="2" fillId="0" borderId="0" xfId="0" applyFont="1"/>
    <xf numFmtId="4" fontId="0" fillId="0" borderId="0" xfId="0" applyNumberFormat="1"/>
    <xf numFmtId="4" fontId="0" fillId="0" borderId="0" xfId="0" applyNumberFormat="1" applyAlignment="1">
      <alignment horizontal="left"/>
    </xf>
    <xf numFmtId="4" fontId="0" fillId="0" borderId="0" xfId="0" applyNumberFormat="1" applyAlignment="1">
      <alignment horizontal="right"/>
    </xf>
    <xf numFmtId="4" fontId="3" fillId="0" borderId="0" xfId="0" applyNumberFormat="1" applyFont="1"/>
    <xf numFmtId="4" fontId="3" fillId="0" borderId="0" xfId="0" applyNumberFormat="1" applyFont="1" applyAlignment="1">
      <alignment horizontal="right"/>
    </xf>
    <xf numFmtId="9" fontId="0" fillId="0" borderId="0" xfId="0" applyNumberFormat="1"/>
    <xf numFmtId="9" fontId="0" fillId="2" borderId="0" xfId="0" applyNumberFormat="1" applyFill="1"/>
    <xf numFmtId="3" fontId="3" fillId="0" borderId="0" xfId="0" applyNumberFormat="1" applyFont="1"/>
    <xf numFmtId="0" fontId="0" fillId="0" borderId="0" xfId="0" quotePrefix="1"/>
    <xf numFmtId="0" fontId="3" fillId="0" borderId="0" xfId="0" applyFont="1"/>
    <xf numFmtId="0" fontId="4" fillId="0" borderId="0" xfId="0" applyFont="1"/>
    <xf numFmtId="0" fontId="0" fillId="0" borderId="0" xfId="0" applyAlignment="1">
      <alignment horizontal="left"/>
    </xf>
    <xf numFmtId="0" fontId="2" fillId="0" borderId="0" xfId="0" applyFont="1" applyAlignment="1">
      <alignment horizontal="left"/>
    </xf>
    <xf numFmtId="164" fontId="0" fillId="0" borderId="0" xfId="0" applyNumberFormat="1" applyAlignment="1">
      <alignment horizontal="left"/>
    </xf>
    <xf numFmtId="3" fontId="0" fillId="0" borderId="0" xfId="0" applyNumberFormat="1" applyAlignment="1">
      <alignment horizontal="left"/>
    </xf>
    <xf numFmtId="0" fontId="2" fillId="0" borderId="0" xfId="0" applyFont="1" applyAlignment="1">
      <alignment horizontal="right"/>
    </xf>
    <xf numFmtId="164" fontId="0" fillId="3" borderId="0" xfId="0" applyNumberFormat="1" applyFill="1" applyAlignment="1">
      <alignment horizontal="right"/>
    </xf>
    <xf numFmtId="164" fontId="0" fillId="4" borderId="0" xfId="0" applyNumberFormat="1" applyFill="1" applyAlignment="1">
      <alignment horizontal="right"/>
    </xf>
    <xf numFmtId="0" fontId="0" fillId="4" borderId="0" xfId="0" applyFill="1" applyAlignment="1">
      <alignment horizontal="right"/>
    </xf>
    <xf numFmtId="0" fontId="0" fillId="3" borderId="0" xfId="0" applyFill="1" applyAlignment="1">
      <alignment horizontal="right"/>
    </xf>
    <xf numFmtId="3" fontId="2" fillId="0" borderId="0" xfId="0" applyNumberFormat="1" applyFont="1" applyAlignment="1">
      <alignment horizontal="left"/>
    </xf>
    <xf numFmtId="164" fontId="2" fillId="0" borderId="0" xfId="0" applyNumberFormat="1" applyFont="1" applyAlignment="1">
      <alignment horizontal="right"/>
    </xf>
  </cellXfs>
  <cellStyles count="2">
    <cellStyle name="Hyperlink" xfId="1" builtinId="8"/>
    <cellStyle name="Normal" xfId="0" builtinId="0"/>
  </cellStyles>
  <dxfs count="0"/>
  <tableStyles count="1" defaultTableStyle="TableStyleMedium2" defaultPivotStyle="PivotStyleLight16">
    <tableStyle name="Invisible" pivot="0" table="0" count="0" xr9:uid="{44BE128D-A0FD-4F6D-87BB-FFD20D73ABE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E195F-F999-4BE3-B0C3-EDF3322A6CCD}">
  <dimension ref="B2:M29"/>
  <sheetViews>
    <sheetView tabSelected="1" zoomScale="130" zoomScaleNormal="130" workbookViewId="0">
      <selection activeCell="G17" sqref="G17"/>
    </sheetView>
  </sheetViews>
  <sheetFormatPr defaultRowHeight="12.5" x14ac:dyDescent="0.25"/>
  <cols>
    <col min="1" max="1" width="3.54296875" customWidth="1"/>
    <col min="2" max="2" width="15" customWidth="1"/>
    <col min="3" max="3" width="13" customWidth="1"/>
    <col min="4" max="4" width="11.81640625" customWidth="1"/>
    <col min="12" max="12" width="8.90625" bestFit="1" customWidth="1"/>
  </cols>
  <sheetData>
    <row r="2" spans="2:13" x14ac:dyDescent="0.25">
      <c r="B2" s="8" t="s">
        <v>6</v>
      </c>
      <c r="C2" s="9" t="s">
        <v>8</v>
      </c>
      <c r="D2" s="9" t="s">
        <v>10</v>
      </c>
      <c r="E2" s="9"/>
      <c r="F2" s="9"/>
      <c r="G2" s="9"/>
      <c r="H2" s="10"/>
      <c r="J2" t="s">
        <v>0</v>
      </c>
      <c r="K2" s="14">
        <v>40</v>
      </c>
    </row>
    <row r="3" spans="2:13" x14ac:dyDescent="0.25">
      <c r="B3" s="12" t="s">
        <v>7</v>
      </c>
      <c r="C3" t="s">
        <v>9</v>
      </c>
      <c r="D3" t="s">
        <v>11</v>
      </c>
      <c r="H3" s="4"/>
      <c r="J3" t="s">
        <v>1</v>
      </c>
      <c r="K3" s="1">
        <v>37.423917000000003</v>
      </c>
      <c r="L3" s="2" t="s">
        <v>1627</v>
      </c>
    </row>
    <row r="4" spans="2:13" x14ac:dyDescent="0.25">
      <c r="B4" s="3"/>
      <c r="H4" s="4"/>
      <c r="J4" t="s">
        <v>2</v>
      </c>
      <c r="K4" s="1">
        <f>+K2*K3</f>
        <v>1496.9566800000002</v>
      </c>
    </row>
    <row r="5" spans="2:13" x14ac:dyDescent="0.25">
      <c r="B5" s="3"/>
      <c r="H5" s="4"/>
      <c r="J5" t="s">
        <v>3</v>
      </c>
      <c r="K5" s="1">
        <v>117.976</v>
      </c>
      <c r="L5" s="2" t="s">
        <v>17</v>
      </c>
    </row>
    <row r="6" spans="2:13" x14ac:dyDescent="0.25">
      <c r="B6" s="5"/>
      <c r="C6" s="6"/>
      <c r="D6" s="6"/>
      <c r="E6" s="6"/>
      <c r="F6" s="6"/>
      <c r="G6" s="6"/>
      <c r="H6" s="7"/>
      <c r="J6" t="s">
        <v>4</v>
      </c>
      <c r="K6" s="1">
        <v>0</v>
      </c>
      <c r="L6" s="2" t="s">
        <v>17</v>
      </c>
    </row>
    <row r="7" spans="2:13" x14ac:dyDescent="0.25">
      <c r="J7" t="s">
        <v>5</v>
      </c>
      <c r="K7" s="1">
        <f>+K4-K5+K6</f>
        <v>1378.9806800000001</v>
      </c>
    </row>
    <row r="10" spans="2:13" x14ac:dyDescent="0.25">
      <c r="B10" t="s">
        <v>20</v>
      </c>
      <c r="I10" s="2" t="s">
        <v>22</v>
      </c>
    </row>
    <row r="11" spans="2:13" x14ac:dyDescent="0.25">
      <c r="B11" t="s">
        <v>21</v>
      </c>
      <c r="C11" s="2" t="s">
        <v>23</v>
      </c>
      <c r="D11" s="2" t="s">
        <v>24</v>
      </c>
      <c r="E11" s="2" t="s">
        <v>25</v>
      </c>
      <c r="F11" s="2" t="s">
        <v>26</v>
      </c>
      <c r="I11" s="2" t="s">
        <v>23</v>
      </c>
      <c r="J11" s="2" t="s">
        <v>24</v>
      </c>
      <c r="K11" s="2" t="s">
        <v>25</v>
      </c>
      <c r="L11" s="2" t="s">
        <v>26</v>
      </c>
      <c r="M11" s="2" t="s">
        <v>27</v>
      </c>
    </row>
    <row r="12" spans="2:13" ht="13" x14ac:dyDescent="0.3">
      <c r="B12" s="15">
        <v>2.5</v>
      </c>
      <c r="C12" s="16">
        <v>9</v>
      </c>
      <c r="D12" s="16">
        <v>13.2</v>
      </c>
      <c r="E12" s="18">
        <f t="shared" ref="E12:E22" si="0">AVERAGE(C12:D12)</f>
        <v>11.1</v>
      </c>
      <c r="F12" s="14">
        <f>IF(B12&gt;$K$2,0,($K$2-B12))</f>
        <v>37.5</v>
      </c>
      <c r="G12" s="19">
        <f>+F12/E12-1</f>
        <v>2.3783783783783785</v>
      </c>
      <c r="I12" s="14">
        <v>0.3</v>
      </c>
      <c r="J12" s="16">
        <v>0.35</v>
      </c>
      <c r="K12" s="17">
        <f>AVERAGE(I12,J12)</f>
        <v>0.32499999999999996</v>
      </c>
      <c r="L12" s="14">
        <f>IF(B12&lt;$K$2,0,(B12-$K$2))</f>
        <v>0</v>
      </c>
      <c r="M12" s="19">
        <f>+L12/K12-1</f>
        <v>-1</v>
      </c>
    </row>
    <row r="13" spans="2:13" ht="13" x14ac:dyDescent="0.3">
      <c r="B13" s="15">
        <f t="shared" ref="B13:B21" si="1">B12+2.5</f>
        <v>5</v>
      </c>
      <c r="C13" s="16">
        <v>7.5</v>
      </c>
      <c r="D13" s="16">
        <v>10.6</v>
      </c>
      <c r="E13" s="18">
        <f t="shared" si="0"/>
        <v>9.0500000000000007</v>
      </c>
      <c r="F13" s="14">
        <f t="shared" ref="F13:F23" si="2">IF(B13&gt;$K$2,0,($K$2-B13))</f>
        <v>35</v>
      </c>
      <c r="G13" s="19">
        <f t="shared" ref="G13:G23" si="3">+F13/E13-1</f>
        <v>2.867403314917127</v>
      </c>
      <c r="I13" s="14">
        <v>1.25</v>
      </c>
      <c r="J13" s="16">
        <v>1.35</v>
      </c>
      <c r="K13" s="17">
        <f t="shared" ref="K13:K23" si="4">AVERAGE(I13,J13)</f>
        <v>1.3</v>
      </c>
      <c r="L13" s="14">
        <f t="shared" ref="L13:L23" si="5">IF(B13&lt;$K$2,0,(B13-$K$2))</f>
        <v>0</v>
      </c>
      <c r="M13" s="19">
        <f t="shared" ref="M13:M23" si="6">+L13/K13-1</f>
        <v>-1</v>
      </c>
    </row>
    <row r="14" spans="2:13" ht="13" x14ac:dyDescent="0.3">
      <c r="B14" s="15">
        <f t="shared" si="1"/>
        <v>7.5</v>
      </c>
      <c r="C14" s="16">
        <v>7.1</v>
      </c>
      <c r="D14" s="16">
        <v>10.3</v>
      </c>
      <c r="E14" s="18">
        <f t="shared" si="0"/>
        <v>8.6999999999999993</v>
      </c>
      <c r="F14" s="14">
        <f t="shared" si="2"/>
        <v>32.5</v>
      </c>
      <c r="G14" s="19">
        <f t="shared" si="3"/>
        <v>2.7356321839080464</v>
      </c>
      <c r="I14" s="14">
        <v>2.4</v>
      </c>
      <c r="J14" s="16">
        <v>2.4500000000000002</v>
      </c>
      <c r="K14" s="17">
        <f t="shared" si="4"/>
        <v>2.4249999999999998</v>
      </c>
      <c r="L14" s="14">
        <f t="shared" si="5"/>
        <v>0</v>
      </c>
      <c r="M14" s="20">
        <f t="shared" si="6"/>
        <v>-1</v>
      </c>
    </row>
    <row r="15" spans="2:13" ht="13" x14ac:dyDescent="0.3">
      <c r="B15" s="15">
        <f t="shared" si="1"/>
        <v>10</v>
      </c>
      <c r="C15" s="16">
        <v>6.3</v>
      </c>
      <c r="D15" s="16">
        <v>9</v>
      </c>
      <c r="E15" s="18">
        <f t="shared" si="0"/>
        <v>7.65</v>
      </c>
      <c r="F15" s="14">
        <f t="shared" si="2"/>
        <v>30</v>
      </c>
      <c r="G15" s="19">
        <f t="shared" si="3"/>
        <v>2.9215686274509802</v>
      </c>
      <c r="I15" s="14">
        <v>3.8</v>
      </c>
      <c r="J15" s="16">
        <v>3.9</v>
      </c>
      <c r="K15" s="17">
        <f t="shared" si="4"/>
        <v>3.8499999999999996</v>
      </c>
      <c r="L15" s="14">
        <f t="shared" si="5"/>
        <v>0</v>
      </c>
      <c r="M15" s="20">
        <f t="shared" si="6"/>
        <v>-1</v>
      </c>
    </row>
    <row r="16" spans="2:13" ht="13" x14ac:dyDescent="0.3">
      <c r="B16" s="15">
        <f t="shared" si="1"/>
        <v>12.5</v>
      </c>
      <c r="C16" s="16">
        <v>5.9</v>
      </c>
      <c r="D16" s="16">
        <v>6.9</v>
      </c>
      <c r="E16" s="18">
        <f t="shared" si="0"/>
        <v>6.4</v>
      </c>
      <c r="F16" s="14">
        <f t="shared" si="2"/>
        <v>27.5</v>
      </c>
      <c r="G16" s="19">
        <f t="shared" si="3"/>
        <v>3.296875</v>
      </c>
      <c r="I16" s="14">
        <v>4.5</v>
      </c>
      <c r="J16" s="16">
        <v>5.3</v>
      </c>
      <c r="K16" s="17">
        <f t="shared" si="4"/>
        <v>4.9000000000000004</v>
      </c>
      <c r="L16" s="14">
        <f t="shared" si="5"/>
        <v>0</v>
      </c>
      <c r="M16" s="19">
        <f t="shared" si="6"/>
        <v>-1</v>
      </c>
    </row>
    <row r="17" spans="2:13" ht="13" x14ac:dyDescent="0.3">
      <c r="B17" s="15">
        <f t="shared" si="1"/>
        <v>15</v>
      </c>
      <c r="C17" s="16">
        <v>4.8</v>
      </c>
      <c r="D17" s="16">
        <v>5.6</v>
      </c>
      <c r="E17" s="18">
        <f t="shared" si="0"/>
        <v>5.1999999999999993</v>
      </c>
      <c r="F17" s="14">
        <f t="shared" si="2"/>
        <v>25</v>
      </c>
      <c r="G17" s="19">
        <f t="shared" si="3"/>
        <v>3.8076923076923084</v>
      </c>
      <c r="I17" s="14">
        <v>6.3</v>
      </c>
      <c r="J17" s="16">
        <v>7.1</v>
      </c>
      <c r="K17" s="17">
        <f t="shared" si="4"/>
        <v>6.6999999999999993</v>
      </c>
      <c r="L17" s="14">
        <f t="shared" si="5"/>
        <v>0</v>
      </c>
      <c r="M17" s="19">
        <f t="shared" si="6"/>
        <v>-1</v>
      </c>
    </row>
    <row r="18" spans="2:13" ht="13" x14ac:dyDescent="0.3">
      <c r="B18" s="15">
        <f t="shared" si="1"/>
        <v>17.5</v>
      </c>
      <c r="C18" s="16">
        <v>3.5</v>
      </c>
      <c r="D18" s="16">
        <v>5.0999999999999996</v>
      </c>
      <c r="E18" s="18">
        <f t="shared" si="0"/>
        <v>4.3</v>
      </c>
      <c r="F18" s="14">
        <f t="shared" si="2"/>
        <v>22.5</v>
      </c>
      <c r="G18" s="19">
        <f t="shared" si="3"/>
        <v>4.2325581395348841</v>
      </c>
      <c r="I18" s="14">
        <v>8</v>
      </c>
      <c r="J18" s="16">
        <v>10.9</v>
      </c>
      <c r="K18" s="17">
        <f t="shared" si="4"/>
        <v>9.4499999999999993</v>
      </c>
      <c r="L18" s="14">
        <f t="shared" si="5"/>
        <v>0</v>
      </c>
      <c r="M18" s="19">
        <f t="shared" si="6"/>
        <v>-1</v>
      </c>
    </row>
    <row r="19" spans="2:13" ht="13" x14ac:dyDescent="0.3">
      <c r="B19" s="15">
        <f t="shared" si="1"/>
        <v>20</v>
      </c>
      <c r="C19" s="16">
        <v>3.8</v>
      </c>
      <c r="D19" s="16">
        <v>4.5999999999999996</v>
      </c>
      <c r="E19" s="18">
        <f t="shared" si="0"/>
        <v>4.1999999999999993</v>
      </c>
      <c r="F19" s="14">
        <f t="shared" si="2"/>
        <v>20</v>
      </c>
      <c r="G19" s="19">
        <f t="shared" si="3"/>
        <v>3.7619047619047628</v>
      </c>
      <c r="I19" s="14">
        <v>9.8000000000000007</v>
      </c>
      <c r="J19" s="16">
        <v>12.9</v>
      </c>
      <c r="K19" s="17">
        <f t="shared" si="4"/>
        <v>11.350000000000001</v>
      </c>
      <c r="L19" s="14">
        <f t="shared" si="5"/>
        <v>0</v>
      </c>
      <c r="M19" s="19">
        <f t="shared" si="6"/>
        <v>-1</v>
      </c>
    </row>
    <row r="20" spans="2:13" ht="13" x14ac:dyDescent="0.3">
      <c r="B20" s="15">
        <f t="shared" si="1"/>
        <v>22.5</v>
      </c>
      <c r="C20" s="16">
        <v>3</v>
      </c>
      <c r="D20" s="16">
        <v>4.5999999999999996</v>
      </c>
      <c r="E20" s="18">
        <f t="shared" si="0"/>
        <v>3.8</v>
      </c>
      <c r="F20" s="14">
        <f t="shared" si="2"/>
        <v>17.5</v>
      </c>
      <c r="G20" s="19">
        <f t="shared" si="3"/>
        <v>3.6052631578947372</v>
      </c>
      <c r="I20" s="14">
        <v>11.1</v>
      </c>
      <c r="J20" s="16">
        <v>14.9</v>
      </c>
      <c r="K20" s="17">
        <f t="shared" si="4"/>
        <v>13</v>
      </c>
      <c r="L20" s="14">
        <f t="shared" si="5"/>
        <v>0</v>
      </c>
      <c r="M20" s="19">
        <f t="shared" si="6"/>
        <v>-1</v>
      </c>
    </row>
    <row r="21" spans="2:13" ht="13" x14ac:dyDescent="0.3">
      <c r="B21" s="15">
        <f t="shared" si="1"/>
        <v>25</v>
      </c>
      <c r="C21" s="16">
        <v>3.5</v>
      </c>
      <c r="D21" s="16">
        <v>4.3</v>
      </c>
      <c r="E21" s="18">
        <f t="shared" si="0"/>
        <v>3.9</v>
      </c>
      <c r="F21" s="14">
        <f t="shared" si="2"/>
        <v>15</v>
      </c>
      <c r="G21" s="19">
        <f t="shared" si="3"/>
        <v>2.8461538461538463</v>
      </c>
      <c r="I21" s="14">
        <v>13.8</v>
      </c>
      <c r="J21" s="16">
        <v>17</v>
      </c>
      <c r="K21" s="17">
        <f t="shared" si="4"/>
        <v>15.4</v>
      </c>
      <c r="L21" s="14">
        <f t="shared" si="5"/>
        <v>0</v>
      </c>
      <c r="M21" s="19">
        <f t="shared" si="6"/>
        <v>-1</v>
      </c>
    </row>
    <row r="22" spans="2:13" ht="13" x14ac:dyDescent="0.3">
      <c r="B22" s="15">
        <f>B21+5</f>
        <v>30</v>
      </c>
      <c r="C22" s="16">
        <v>2.8</v>
      </c>
      <c r="D22" s="16">
        <v>3.2</v>
      </c>
      <c r="E22" s="18">
        <f t="shared" si="0"/>
        <v>3</v>
      </c>
      <c r="F22" s="14">
        <f t="shared" si="2"/>
        <v>10</v>
      </c>
      <c r="G22" s="19">
        <f t="shared" si="3"/>
        <v>2.3333333333333335</v>
      </c>
      <c r="I22" s="14">
        <v>18.600000000000001</v>
      </c>
      <c r="J22" s="16">
        <v>21.7</v>
      </c>
      <c r="K22" s="17">
        <f t="shared" si="4"/>
        <v>20.149999999999999</v>
      </c>
      <c r="L22" s="14">
        <f t="shared" si="5"/>
        <v>0</v>
      </c>
      <c r="M22" s="19">
        <f t="shared" si="6"/>
        <v>-1</v>
      </c>
    </row>
    <row r="23" spans="2:13" ht="13" x14ac:dyDescent="0.3">
      <c r="B23" s="15">
        <f>B22+5</f>
        <v>35</v>
      </c>
      <c r="C23" s="16">
        <v>2.0499999999999998</v>
      </c>
      <c r="D23" s="16">
        <v>2.4500000000000002</v>
      </c>
      <c r="E23" s="18">
        <f>AVERAGE(C23:D23)</f>
        <v>2.25</v>
      </c>
      <c r="F23" s="14">
        <f t="shared" si="2"/>
        <v>5</v>
      </c>
      <c r="G23" s="19">
        <f t="shared" si="3"/>
        <v>1.2222222222222223</v>
      </c>
      <c r="I23" s="14">
        <v>21.7</v>
      </c>
      <c r="J23" s="16">
        <v>25.8</v>
      </c>
      <c r="K23" s="17">
        <f t="shared" si="4"/>
        <v>23.75</v>
      </c>
      <c r="L23" s="14">
        <f t="shared" si="5"/>
        <v>0</v>
      </c>
      <c r="M23" s="19">
        <f t="shared" si="6"/>
        <v>-1</v>
      </c>
    </row>
    <row r="26" spans="2:13" x14ac:dyDescent="0.25">
      <c r="G26" t="s">
        <v>31</v>
      </c>
      <c r="I26" s="14">
        <v>3</v>
      </c>
      <c r="K26" t="s">
        <v>32</v>
      </c>
      <c r="M26" s="14">
        <v>40</v>
      </c>
    </row>
    <row r="27" spans="2:13" x14ac:dyDescent="0.25">
      <c r="B27">
        <v>250</v>
      </c>
      <c r="C27" t="s">
        <v>33</v>
      </c>
      <c r="D27" s="14">
        <v>5</v>
      </c>
      <c r="E27" s="1">
        <f>+D27*B27*100</f>
        <v>125000</v>
      </c>
      <c r="G27" s="14">
        <v>0</v>
      </c>
      <c r="H27">
        <f>+G27*B27*100</f>
        <v>0</v>
      </c>
      <c r="I27" s="1">
        <f>+H27-E27</f>
        <v>-125000</v>
      </c>
      <c r="K27" s="14">
        <f>+M26-25</f>
        <v>15</v>
      </c>
      <c r="L27" s="1">
        <f>+K27*B27*100</f>
        <v>375000</v>
      </c>
      <c r="M27" s="1">
        <f>+L27-E27</f>
        <v>250000</v>
      </c>
    </row>
    <row r="28" spans="2:13" x14ac:dyDescent="0.25">
      <c r="B28">
        <v>1000</v>
      </c>
      <c r="C28" t="s">
        <v>30</v>
      </c>
      <c r="D28" s="14">
        <v>2</v>
      </c>
      <c r="E28" s="1">
        <f>+D28*B28*100</f>
        <v>200000</v>
      </c>
      <c r="G28" s="14">
        <f>7.5-I26</f>
        <v>4.5</v>
      </c>
      <c r="H28" s="1">
        <f>+G28*B28*100</f>
        <v>450000</v>
      </c>
      <c r="I28" s="1">
        <f>+H28-E28</f>
        <v>250000</v>
      </c>
      <c r="K28" s="14">
        <v>0</v>
      </c>
      <c r="L28" s="1">
        <f>+K28*B28*100</f>
        <v>0</v>
      </c>
      <c r="M28" s="1">
        <f>+L28-E28</f>
        <v>-200000</v>
      </c>
    </row>
    <row r="29" spans="2:13" ht="13" x14ac:dyDescent="0.3">
      <c r="E29" s="1">
        <f>+E27+E28</f>
        <v>325000</v>
      </c>
      <c r="I29" s="21">
        <f>SUM(I27:I28)</f>
        <v>125000</v>
      </c>
      <c r="M29" s="21">
        <f>+M27+M28</f>
        <v>50000</v>
      </c>
    </row>
  </sheetData>
  <hyperlinks>
    <hyperlink ref="B3" location="'levosimendan '!A1" display="levosimendan " xr:uid="{02BF805B-DF28-46C6-9E72-BF380A952B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8E0D7-C9CE-48E6-A4BE-0BCC3561E401}">
  <dimension ref="A1:H52"/>
  <sheetViews>
    <sheetView topLeftCell="A22" zoomScale="145" zoomScaleNormal="145" workbookViewId="0">
      <selection activeCell="H29" sqref="H29"/>
    </sheetView>
  </sheetViews>
  <sheetFormatPr defaultRowHeight="12.5" x14ac:dyDescent="0.25"/>
  <cols>
    <col min="1" max="1" width="5" bestFit="1" customWidth="1"/>
    <col min="2" max="2" width="13.54296875" customWidth="1"/>
  </cols>
  <sheetData>
    <row r="1" spans="1:4" x14ac:dyDescent="0.25">
      <c r="A1" s="11" t="s">
        <v>12</v>
      </c>
    </row>
    <row r="2" spans="1:4" x14ac:dyDescent="0.25">
      <c r="B2" t="s">
        <v>13</v>
      </c>
      <c r="C2" t="s">
        <v>46</v>
      </c>
    </row>
    <row r="3" spans="1:4" x14ac:dyDescent="0.25">
      <c r="B3" t="s">
        <v>14</v>
      </c>
      <c r="C3" t="s">
        <v>15</v>
      </c>
    </row>
    <row r="4" spans="1:4" x14ac:dyDescent="0.25">
      <c r="B4" t="s">
        <v>10</v>
      </c>
      <c r="C4" t="s">
        <v>16</v>
      </c>
    </row>
    <row r="5" spans="1:4" x14ac:dyDescent="0.25">
      <c r="C5" t="s">
        <v>28</v>
      </c>
    </row>
    <row r="6" spans="1:4" x14ac:dyDescent="0.25">
      <c r="C6" t="s">
        <v>29</v>
      </c>
    </row>
    <row r="7" spans="1:4" x14ac:dyDescent="0.25">
      <c r="B7" t="s">
        <v>43</v>
      </c>
      <c r="C7" t="s">
        <v>44</v>
      </c>
    </row>
    <row r="8" spans="1:4" x14ac:dyDescent="0.25">
      <c r="C8" t="s">
        <v>45</v>
      </c>
    </row>
    <row r="9" spans="1:4" x14ac:dyDescent="0.25">
      <c r="C9" t="s">
        <v>1595</v>
      </c>
    </row>
    <row r="10" spans="1:4" x14ac:dyDescent="0.25">
      <c r="C10" t="s">
        <v>1645</v>
      </c>
    </row>
    <row r="11" spans="1:4" x14ac:dyDescent="0.25">
      <c r="C11" t="s">
        <v>1647</v>
      </c>
    </row>
    <row r="12" spans="1:4" x14ac:dyDescent="0.25">
      <c r="C12" t="s">
        <v>1648</v>
      </c>
    </row>
    <row r="13" spans="1:4" x14ac:dyDescent="0.25">
      <c r="C13" t="s">
        <v>1649</v>
      </c>
    </row>
    <row r="14" spans="1:4" x14ac:dyDescent="0.25">
      <c r="D14" t="s">
        <v>1650</v>
      </c>
    </row>
    <row r="15" spans="1:4" x14ac:dyDescent="0.25">
      <c r="D15" t="s">
        <v>1651</v>
      </c>
    </row>
    <row r="16" spans="1:4" x14ac:dyDescent="0.25">
      <c r="C16" t="s">
        <v>1652</v>
      </c>
    </row>
    <row r="17" spans="2:8" x14ac:dyDescent="0.25">
      <c r="C17" t="s">
        <v>1653</v>
      </c>
    </row>
    <row r="18" spans="2:8" x14ac:dyDescent="0.25">
      <c r="D18" t="s">
        <v>1654</v>
      </c>
    </row>
    <row r="19" spans="2:8" x14ac:dyDescent="0.25">
      <c r="C19" t="s">
        <v>1655</v>
      </c>
    </row>
    <row r="20" spans="2:8" x14ac:dyDescent="0.25">
      <c r="D20" t="s">
        <v>1656</v>
      </c>
    </row>
    <row r="21" spans="2:8" x14ac:dyDescent="0.25">
      <c r="C21" t="s">
        <v>1657</v>
      </c>
    </row>
    <row r="22" spans="2:8" x14ac:dyDescent="0.25">
      <c r="B22" t="s">
        <v>34</v>
      </c>
      <c r="C22" t="s">
        <v>35</v>
      </c>
    </row>
    <row r="23" spans="2:8" x14ac:dyDescent="0.25">
      <c r="B23" t="s">
        <v>1612</v>
      </c>
      <c r="C23" t="s">
        <v>1646</v>
      </c>
    </row>
    <row r="24" spans="2:8" x14ac:dyDescent="0.25">
      <c r="B24" t="s">
        <v>18</v>
      </c>
    </row>
    <row r="25" spans="2:8" ht="13" x14ac:dyDescent="0.3">
      <c r="C25" s="13" t="s">
        <v>36</v>
      </c>
    </row>
    <row r="26" spans="2:8" x14ac:dyDescent="0.25">
      <c r="C26" t="s">
        <v>1626</v>
      </c>
    </row>
    <row r="28" spans="2:8" ht="13" x14ac:dyDescent="0.3">
      <c r="C28" s="13" t="s">
        <v>1998</v>
      </c>
      <c r="D28" s="13">
        <v>25</v>
      </c>
      <c r="E28" s="13">
        <v>50</v>
      </c>
      <c r="F28" s="13">
        <v>75</v>
      </c>
      <c r="G28" s="13">
        <v>100</v>
      </c>
      <c r="H28" s="13">
        <v>150</v>
      </c>
    </row>
    <row r="29" spans="2:8" x14ac:dyDescent="0.25">
      <c r="C29" t="s">
        <v>1999</v>
      </c>
      <c r="D29">
        <v>100</v>
      </c>
      <c r="E29">
        <v>99.5</v>
      </c>
      <c r="F29">
        <v>85.6</v>
      </c>
      <c r="G29">
        <v>62</v>
      </c>
      <c r="H29">
        <v>32.700000000000003</v>
      </c>
    </row>
    <row r="30" spans="2:8" x14ac:dyDescent="0.25">
      <c r="C30" t="s">
        <v>2000</v>
      </c>
      <c r="D30">
        <v>100</v>
      </c>
      <c r="E30">
        <v>100</v>
      </c>
      <c r="F30">
        <v>98.1</v>
      </c>
      <c r="G30">
        <v>85.6</v>
      </c>
      <c r="H30">
        <v>52.1</v>
      </c>
    </row>
    <row r="31" spans="2:8" x14ac:dyDescent="0.25">
      <c r="C31" t="s">
        <v>2001</v>
      </c>
      <c r="D31">
        <v>100</v>
      </c>
      <c r="E31">
        <v>100</v>
      </c>
      <c r="F31">
        <v>99.9</v>
      </c>
      <c r="G31">
        <v>96.5</v>
      </c>
      <c r="H31">
        <v>71.099999999999994</v>
      </c>
    </row>
    <row r="33" spans="3:4" ht="13" x14ac:dyDescent="0.3">
      <c r="C33" s="13" t="s">
        <v>19</v>
      </c>
    </row>
    <row r="36" spans="3:4" ht="13" x14ac:dyDescent="0.3">
      <c r="C36" s="13" t="s">
        <v>1588</v>
      </c>
    </row>
    <row r="37" spans="3:4" x14ac:dyDescent="0.25">
      <c r="C37" t="s">
        <v>1590</v>
      </c>
    </row>
    <row r="38" spans="3:4" x14ac:dyDescent="0.25">
      <c r="C38" t="s">
        <v>1591</v>
      </c>
    </row>
    <row r="39" spans="3:4" x14ac:dyDescent="0.25">
      <c r="C39" t="s">
        <v>1592</v>
      </c>
    </row>
    <row r="40" spans="3:4" x14ac:dyDescent="0.25">
      <c r="D40" t="s">
        <v>1593</v>
      </c>
    </row>
    <row r="41" spans="3:4" x14ac:dyDescent="0.25">
      <c r="D41" t="s">
        <v>1594</v>
      </c>
    </row>
    <row r="42" spans="3:4" x14ac:dyDescent="0.25">
      <c r="C42" t="s">
        <v>1587</v>
      </c>
    </row>
    <row r="43" spans="3:4" x14ac:dyDescent="0.25">
      <c r="C43" t="s">
        <v>1589</v>
      </c>
    </row>
    <row r="44" spans="3:4" x14ac:dyDescent="0.25">
      <c r="C44" t="s">
        <v>1596</v>
      </c>
    </row>
    <row r="46" spans="3:4" ht="13" x14ac:dyDescent="0.3">
      <c r="C46" s="13" t="s">
        <v>37</v>
      </c>
    </row>
    <row r="47" spans="3:4" x14ac:dyDescent="0.25">
      <c r="C47" t="s">
        <v>38</v>
      </c>
    </row>
    <row r="48" spans="3:4" x14ac:dyDescent="0.25">
      <c r="D48" t="s">
        <v>39</v>
      </c>
    </row>
    <row r="49" spans="3:3" x14ac:dyDescent="0.25">
      <c r="C49" t="s">
        <v>40</v>
      </c>
    </row>
    <row r="50" spans="3:3" x14ac:dyDescent="0.25">
      <c r="C50" s="22" t="s">
        <v>41</v>
      </c>
    </row>
    <row r="52" spans="3:3" x14ac:dyDescent="0.25">
      <c r="C52" t="s">
        <v>42</v>
      </c>
    </row>
  </sheetData>
  <hyperlinks>
    <hyperlink ref="A1" location="Main!A1" display="Main" xr:uid="{EC240879-B685-43C5-AA50-F0F3B7A18C8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EF831-8A92-4C36-BE8B-C9656CAD756D}">
  <dimension ref="A1:L31"/>
  <sheetViews>
    <sheetView topLeftCell="A24" zoomScale="160" zoomScaleNormal="160" workbookViewId="0">
      <selection activeCell="F30" sqref="F30:F31"/>
    </sheetView>
  </sheetViews>
  <sheetFormatPr defaultRowHeight="12.5" x14ac:dyDescent="0.25"/>
  <cols>
    <col min="1" max="1" width="4.7265625" bestFit="1" customWidth="1"/>
    <col min="2" max="2" width="15.7265625" customWidth="1"/>
    <col min="4" max="5" width="8.7265625" style="25"/>
    <col min="6" max="6" width="5.36328125" style="2" customWidth="1"/>
    <col min="7" max="7" width="4.90625" style="25" bestFit="1" customWidth="1"/>
    <col min="9" max="9" width="9.90625" style="25" customWidth="1"/>
    <col min="10" max="10" width="10.81640625" style="25" customWidth="1"/>
    <col min="11" max="11" width="11.54296875" style="2" customWidth="1"/>
  </cols>
  <sheetData>
    <row r="1" spans="1:12" x14ac:dyDescent="0.25">
      <c r="A1" s="11" t="s">
        <v>12</v>
      </c>
    </row>
    <row r="2" spans="1:12" ht="13" x14ac:dyDescent="0.3">
      <c r="B2" s="13" t="s">
        <v>1977</v>
      </c>
      <c r="C2" s="13" t="s">
        <v>1978</v>
      </c>
      <c r="D2" s="34" t="s">
        <v>1979</v>
      </c>
      <c r="E2" s="34" t="s">
        <v>1980</v>
      </c>
      <c r="F2" s="35" t="s">
        <v>1981</v>
      </c>
      <c r="G2" s="26" t="s">
        <v>1983</v>
      </c>
      <c r="H2" s="13" t="s">
        <v>1982</v>
      </c>
      <c r="I2" s="26" t="s">
        <v>1990</v>
      </c>
      <c r="J2" s="26" t="s">
        <v>1991</v>
      </c>
      <c r="K2" s="29" t="s">
        <v>1985</v>
      </c>
      <c r="L2" s="26" t="s">
        <v>10</v>
      </c>
    </row>
    <row r="3" spans="1:12" x14ac:dyDescent="0.25">
      <c r="B3" t="s">
        <v>1986</v>
      </c>
      <c r="C3" t="s">
        <v>1984</v>
      </c>
      <c r="D3" s="28">
        <v>295</v>
      </c>
      <c r="E3" s="28">
        <v>311.8</v>
      </c>
      <c r="F3" s="30">
        <f>+E3-D3</f>
        <v>16.800000000000011</v>
      </c>
      <c r="G3" s="25">
        <v>264</v>
      </c>
      <c r="H3" t="s">
        <v>1989</v>
      </c>
      <c r="I3" s="27">
        <v>60</v>
      </c>
      <c r="J3" s="27">
        <v>68.3</v>
      </c>
      <c r="K3" s="30">
        <f t="shared" ref="K3:K4" si="0">+J3-I3</f>
        <v>8.2999999999999972</v>
      </c>
      <c r="L3" t="s">
        <v>2020</v>
      </c>
    </row>
    <row r="4" spans="1:12" x14ac:dyDescent="0.25">
      <c r="B4" t="s">
        <v>1987</v>
      </c>
      <c r="C4" t="s">
        <v>1984</v>
      </c>
      <c r="D4" s="28">
        <v>292.10000000000002</v>
      </c>
      <c r="E4" s="28">
        <v>318.3</v>
      </c>
      <c r="F4" s="30">
        <f>+E4-D4</f>
        <v>26.199999999999989</v>
      </c>
      <c r="G4" s="25">
        <v>263</v>
      </c>
      <c r="H4" t="s">
        <v>1989</v>
      </c>
      <c r="I4" s="27">
        <v>57.3</v>
      </c>
      <c r="J4" s="27">
        <v>69</v>
      </c>
      <c r="K4" s="30">
        <f t="shared" si="0"/>
        <v>11.700000000000003</v>
      </c>
      <c r="L4" t="s">
        <v>2020</v>
      </c>
    </row>
    <row r="5" spans="1:12" x14ac:dyDescent="0.25">
      <c r="B5" t="s">
        <v>1988</v>
      </c>
      <c r="C5" t="s">
        <v>1984</v>
      </c>
      <c r="D5" s="28">
        <v>295.8</v>
      </c>
      <c r="E5" s="28">
        <v>311.39999999999998</v>
      </c>
      <c r="F5" s="30">
        <f>+E5-D5</f>
        <v>15.599999999999966</v>
      </c>
      <c r="G5" s="25">
        <v>262</v>
      </c>
      <c r="H5" t="s">
        <v>1989</v>
      </c>
      <c r="I5" s="27">
        <v>59</v>
      </c>
      <c r="J5" s="27">
        <v>67.099999999999994</v>
      </c>
      <c r="K5" s="30">
        <f>+J5-I5</f>
        <v>8.0999999999999943</v>
      </c>
      <c r="L5" t="s">
        <v>2020</v>
      </c>
    </row>
    <row r="6" spans="1:12" x14ac:dyDescent="0.25">
      <c r="B6" t="s">
        <v>1992</v>
      </c>
      <c r="D6" s="28"/>
      <c r="E6" s="28"/>
      <c r="F6" s="30" t="s">
        <v>1993</v>
      </c>
      <c r="G6" s="25">
        <f>312+315</f>
        <v>627</v>
      </c>
      <c r="H6" t="s">
        <v>1994</v>
      </c>
      <c r="K6" s="33" t="s">
        <v>1993</v>
      </c>
      <c r="L6" t="s">
        <v>2021</v>
      </c>
    </row>
    <row r="7" spans="1:12" x14ac:dyDescent="0.25">
      <c r="B7" t="s">
        <v>1995</v>
      </c>
      <c r="C7" t="s">
        <v>1984</v>
      </c>
      <c r="D7" s="28">
        <v>282.3</v>
      </c>
      <c r="E7" s="28">
        <f>+D7+21</f>
        <v>303.3</v>
      </c>
      <c r="F7" s="30">
        <f>+E7-D7</f>
        <v>21</v>
      </c>
      <c r="G7" s="25">
        <v>1716</v>
      </c>
      <c r="H7" t="s">
        <v>1997</v>
      </c>
      <c r="L7" t="s">
        <v>2022</v>
      </c>
    </row>
    <row r="8" spans="1:12" x14ac:dyDescent="0.25">
      <c r="B8" t="s">
        <v>1996</v>
      </c>
      <c r="C8" t="s">
        <v>1984</v>
      </c>
      <c r="D8" s="28">
        <v>278.10000000000002</v>
      </c>
      <c r="E8" s="28">
        <f>+D8+22.2</f>
        <v>300.3</v>
      </c>
      <c r="F8" s="30">
        <f>+E8-D8</f>
        <v>22.199999999999989</v>
      </c>
      <c r="G8" s="25">
        <v>1716</v>
      </c>
      <c r="H8" t="s">
        <v>1997</v>
      </c>
      <c r="L8" t="s">
        <v>2022</v>
      </c>
    </row>
    <row r="9" spans="1:12" x14ac:dyDescent="0.25">
      <c r="B9" t="s">
        <v>2002</v>
      </c>
      <c r="C9" t="s">
        <v>2003</v>
      </c>
      <c r="D9" s="28">
        <v>244</v>
      </c>
      <c r="E9" s="28">
        <v>262</v>
      </c>
      <c r="F9" s="31">
        <f>+E9-D9</f>
        <v>18</v>
      </c>
      <c r="G9" s="25">
        <v>162</v>
      </c>
      <c r="H9" t="s">
        <v>2005</v>
      </c>
      <c r="I9" s="27">
        <v>63.4</v>
      </c>
      <c r="J9" s="27">
        <v>68.599999999999994</v>
      </c>
      <c r="K9" s="31">
        <f>+J9-I9</f>
        <v>5.1999999999999957</v>
      </c>
      <c r="L9" t="s">
        <v>2021</v>
      </c>
    </row>
    <row r="10" spans="1:12" x14ac:dyDescent="0.25">
      <c r="B10" t="s">
        <v>2004</v>
      </c>
      <c r="C10" t="s">
        <v>2003</v>
      </c>
      <c r="D10" s="28">
        <v>244</v>
      </c>
      <c r="E10" s="28">
        <v>242</v>
      </c>
      <c r="F10" s="31">
        <f>+E10-D10</f>
        <v>-2</v>
      </c>
      <c r="G10" s="25">
        <v>162</v>
      </c>
      <c r="H10" t="s">
        <v>2005</v>
      </c>
      <c r="I10" s="27">
        <v>61.8</v>
      </c>
      <c r="J10" s="27">
        <v>62.8</v>
      </c>
      <c r="K10" s="31">
        <f>+J10-I10</f>
        <v>1</v>
      </c>
      <c r="L10" t="s">
        <v>2021</v>
      </c>
    </row>
    <row r="11" spans="1:12" x14ac:dyDescent="0.25">
      <c r="B11" t="s">
        <v>2006</v>
      </c>
      <c r="C11" t="s">
        <v>2007</v>
      </c>
      <c r="D11" s="28">
        <v>316</v>
      </c>
      <c r="E11" s="28">
        <f>+D11+F11</f>
        <v>337.5</v>
      </c>
      <c r="F11" s="31">
        <v>21.5</v>
      </c>
      <c r="G11" s="25">
        <v>263</v>
      </c>
      <c r="H11" t="s">
        <v>2009</v>
      </c>
      <c r="I11" s="27">
        <v>59.4</v>
      </c>
      <c r="J11" s="27">
        <f>+I11+K11</f>
        <v>76.2</v>
      </c>
      <c r="K11" s="31">
        <v>16.8</v>
      </c>
      <c r="L11" t="s">
        <v>2023</v>
      </c>
    </row>
    <row r="12" spans="1:12" x14ac:dyDescent="0.25">
      <c r="B12" t="s">
        <v>2008</v>
      </c>
      <c r="C12" t="s">
        <v>2007</v>
      </c>
      <c r="D12" s="28">
        <v>325.8</v>
      </c>
      <c r="E12" s="28">
        <f>+D12+F12</f>
        <v>327</v>
      </c>
      <c r="F12" s="31">
        <v>1.2</v>
      </c>
      <c r="G12" s="25">
        <v>266</v>
      </c>
      <c r="H12" t="s">
        <v>2009</v>
      </c>
      <c r="I12" s="27">
        <v>58.3</v>
      </c>
      <c r="J12" s="27">
        <f>+I12+K12</f>
        <v>67</v>
      </c>
      <c r="K12" s="31">
        <v>8.6999999999999993</v>
      </c>
      <c r="L12" t="s">
        <v>2023</v>
      </c>
    </row>
    <row r="13" spans="1:12" x14ac:dyDescent="0.25">
      <c r="B13" t="s">
        <v>2006</v>
      </c>
      <c r="C13" t="s">
        <v>2007</v>
      </c>
      <c r="D13" s="28">
        <v>280</v>
      </c>
      <c r="E13" s="28">
        <f>+D13+F13</f>
        <v>292.7</v>
      </c>
      <c r="F13" s="31">
        <v>12.7</v>
      </c>
      <c r="G13" s="25">
        <v>310</v>
      </c>
      <c r="H13" t="s">
        <v>2010</v>
      </c>
      <c r="I13" s="25">
        <v>60.4</v>
      </c>
      <c r="J13" s="25">
        <f>+I13+K13</f>
        <v>74.099999999999994</v>
      </c>
      <c r="K13" s="32">
        <v>13.7</v>
      </c>
      <c r="L13" t="s">
        <v>2023</v>
      </c>
    </row>
    <row r="14" spans="1:12" x14ac:dyDescent="0.25">
      <c r="B14" t="s">
        <v>2008</v>
      </c>
      <c r="C14" t="s">
        <v>2007</v>
      </c>
      <c r="D14" s="28">
        <v>280</v>
      </c>
      <c r="E14" s="28">
        <f>+D14+F14</f>
        <v>278.39999999999998</v>
      </c>
      <c r="F14" s="31">
        <v>-1.6</v>
      </c>
      <c r="G14" s="25">
        <v>306</v>
      </c>
      <c r="H14" t="s">
        <v>2010</v>
      </c>
      <c r="I14" s="25">
        <v>58.3</v>
      </c>
      <c r="J14" s="25">
        <f>+I14+K14</f>
        <v>64.7</v>
      </c>
      <c r="K14" s="32">
        <v>6.4</v>
      </c>
      <c r="L14" t="s">
        <v>2023</v>
      </c>
    </row>
    <row r="15" spans="1:12" x14ac:dyDescent="0.25">
      <c r="B15" t="s">
        <v>2011</v>
      </c>
      <c r="C15" t="s">
        <v>2007</v>
      </c>
      <c r="D15" s="28">
        <v>273.89999999999998</v>
      </c>
      <c r="E15" s="28">
        <f>+D15+F15</f>
        <v>281.89999999999998</v>
      </c>
      <c r="F15" s="30">
        <v>8</v>
      </c>
      <c r="G15" s="25">
        <v>1532</v>
      </c>
      <c r="H15" t="s">
        <v>2013</v>
      </c>
      <c r="L15" t="s">
        <v>2024</v>
      </c>
    </row>
    <row r="16" spans="1:12" x14ac:dyDescent="0.25">
      <c r="B16" t="s">
        <v>2012</v>
      </c>
      <c r="C16" t="s">
        <v>2007</v>
      </c>
      <c r="D16" s="28">
        <v>274.7</v>
      </c>
      <c r="E16" s="28">
        <f>+D16+F16</f>
        <v>278.7</v>
      </c>
      <c r="F16" s="30">
        <v>4</v>
      </c>
      <c r="G16" s="25">
        <v>1533</v>
      </c>
      <c r="H16" t="s">
        <v>2013</v>
      </c>
      <c r="L16" t="s">
        <v>2024</v>
      </c>
    </row>
    <row r="17" spans="2:12" x14ac:dyDescent="0.25">
      <c r="B17" t="s">
        <v>2015</v>
      </c>
      <c r="C17" t="s">
        <v>2018</v>
      </c>
      <c r="D17" s="28">
        <v>278</v>
      </c>
      <c r="E17" s="28">
        <f>+D17+F17</f>
        <v>297</v>
      </c>
      <c r="F17" s="30">
        <v>19</v>
      </c>
      <c r="G17" s="25">
        <v>212</v>
      </c>
      <c r="H17" t="s">
        <v>2019</v>
      </c>
      <c r="I17" s="25">
        <v>53.1</v>
      </c>
      <c r="J17" s="25">
        <f>+I17+K17</f>
        <v>72</v>
      </c>
      <c r="K17" s="33">
        <v>18.899999999999999</v>
      </c>
      <c r="L17" t="s">
        <v>2023</v>
      </c>
    </row>
    <row r="18" spans="2:12" x14ac:dyDescent="0.25">
      <c r="B18" t="s">
        <v>2016</v>
      </c>
      <c r="C18" t="s">
        <v>2018</v>
      </c>
      <c r="D18" s="28">
        <v>279</v>
      </c>
      <c r="E18" s="28">
        <f>+D18+F18</f>
        <v>289</v>
      </c>
      <c r="F18" s="30">
        <v>10</v>
      </c>
      <c r="G18" s="25">
        <v>229</v>
      </c>
      <c r="H18" t="s">
        <v>2019</v>
      </c>
      <c r="I18" s="25">
        <v>50.6</v>
      </c>
      <c r="J18" s="25">
        <f>+I18+K18</f>
        <v>62.5</v>
      </c>
      <c r="K18" s="33">
        <v>11.9</v>
      </c>
      <c r="L18" t="s">
        <v>2023</v>
      </c>
    </row>
    <row r="19" spans="2:12" x14ac:dyDescent="0.25">
      <c r="B19" t="s">
        <v>2014</v>
      </c>
      <c r="C19" t="s">
        <v>2018</v>
      </c>
      <c r="D19" s="28">
        <v>344</v>
      </c>
      <c r="E19" s="28">
        <f>+D19+F19</f>
        <v>364.7</v>
      </c>
      <c r="F19" s="30">
        <v>20.7</v>
      </c>
      <c r="G19" s="25">
        <v>145</v>
      </c>
      <c r="H19" t="s">
        <v>2019</v>
      </c>
      <c r="I19" s="25">
        <v>55.1</v>
      </c>
      <c r="J19" s="25">
        <f>+I19+K19</f>
        <v>75.8</v>
      </c>
      <c r="K19" s="33">
        <v>20.7</v>
      </c>
      <c r="L19" t="s">
        <v>2023</v>
      </c>
    </row>
    <row r="20" spans="2:12" x14ac:dyDescent="0.25">
      <c r="B20" t="s">
        <v>2017</v>
      </c>
      <c r="C20" t="s">
        <v>2018</v>
      </c>
      <c r="D20" s="28">
        <v>337</v>
      </c>
      <c r="E20" s="28">
        <f>+D20+F20</f>
        <v>351.5</v>
      </c>
      <c r="F20" s="30">
        <v>14.5</v>
      </c>
      <c r="G20" s="25">
        <v>133</v>
      </c>
      <c r="H20" t="s">
        <v>2019</v>
      </c>
      <c r="I20" s="25">
        <v>57.1</v>
      </c>
      <c r="J20" s="25">
        <f>+I20+K20</f>
        <v>71.599999999999994</v>
      </c>
      <c r="K20" s="33">
        <v>14.5</v>
      </c>
      <c r="L20" t="s">
        <v>2023</v>
      </c>
    </row>
    <row r="21" spans="2:12" x14ac:dyDescent="0.25">
      <c r="B21" t="s">
        <v>2025</v>
      </c>
      <c r="C21" t="s">
        <v>2030</v>
      </c>
      <c r="D21" s="25">
        <v>328</v>
      </c>
      <c r="E21" s="25">
        <v>351</v>
      </c>
      <c r="F21" s="30">
        <v>20</v>
      </c>
      <c r="G21" s="25">
        <v>156</v>
      </c>
      <c r="H21" t="s">
        <v>2029</v>
      </c>
      <c r="I21" s="25">
        <v>79.2</v>
      </c>
      <c r="J21" s="25">
        <v>85.4</v>
      </c>
      <c r="K21" s="31">
        <v>2.1</v>
      </c>
      <c r="L21" t="s">
        <v>2021</v>
      </c>
    </row>
    <row r="22" spans="2:12" x14ac:dyDescent="0.25">
      <c r="B22" t="s">
        <v>2026</v>
      </c>
      <c r="C22" t="s">
        <v>2030</v>
      </c>
      <c r="D22" s="25">
        <v>344</v>
      </c>
      <c r="E22" s="25">
        <v>350</v>
      </c>
      <c r="F22" s="30">
        <v>14</v>
      </c>
      <c r="G22" s="25">
        <v>157</v>
      </c>
      <c r="H22" t="s">
        <v>2029</v>
      </c>
      <c r="I22" s="25">
        <v>80.2</v>
      </c>
      <c r="J22" s="25">
        <v>83.3</v>
      </c>
      <c r="K22" s="31">
        <v>0</v>
      </c>
      <c r="L22" t="s">
        <v>2021</v>
      </c>
    </row>
    <row r="23" spans="2:12" x14ac:dyDescent="0.25">
      <c r="B23" t="s">
        <v>2027</v>
      </c>
      <c r="C23" t="s">
        <v>2030</v>
      </c>
      <c r="D23" s="25">
        <v>320</v>
      </c>
      <c r="E23" s="25">
        <v>330</v>
      </c>
      <c r="F23" s="30">
        <v>9</v>
      </c>
      <c r="G23" s="25">
        <v>253</v>
      </c>
      <c r="H23" t="s">
        <v>2029</v>
      </c>
      <c r="I23" s="25">
        <v>77.099999999999994</v>
      </c>
      <c r="J23" s="25">
        <v>81.8</v>
      </c>
      <c r="K23" s="30">
        <v>5.2</v>
      </c>
      <c r="L23" t="s">
        <v>2021</v>
      </c>
    </row>
    <row r="24" spans="2:12" x14ac:dyDescent="0.25">
      <c r="B24" t="s">
        <v>2028</v>
      </c>
      <c r="C24" t="s">
        <v>2030</v>
      </c>
      <c r="D24" s="25">
        <v>323</v>
      </c>
      <c r="E24" s="25">
        <v>332</v>
      </c>
      <c r="F24" s="30">
        <v>9</v>
      </c>
      <c r="G24" s="25">
        <v>251</v>
      </c>
      <c r="H24" t="s">
        <v>2029</v>
      </c>
      <c r="I24" s="28">
        <v>78.099999999999994</v>
      </c>
      <c r="J24" s="28">
        <v>81.3</v>
      </c>
      <c r="K24" s="30">
        <v>1</v>
      </c>
      <c r="L24" t="s">
        <v>2021</v>
      </c>
    </row>
    <row r="25" spans="2:12" x14ac:dyDescent="0.25">
      <c r="B25" t="s">
        <v>2031</v>
      </c>
      <c r="C25" t="s">
        <v>1984</v>
      </c>
      <c r="D25" s="25">
        <v>305</v>
      </c>
      <c r="E25" s="28">
        <f>+D25+F25</f>
        <v>314.7</v>
      </c>
      <c r="F25" s="33">
        <v>9.6999999999999993</v>
      </c>
      <c r="G25" s="25">
        <v>1281</v>
      </c>
      <c r="H25" t="s">
        <v>2034</v>
      </c>
      <c r="I25" s="28">
        <v>52.7</v>
      </c>
      <c r="J25" s="28">
        <f>+I25+K25</f>
        <v>65</v>
      </c>
      <c r="K25" s="2">
        <v>12.3</v>
      </c>
      <c r="L25" t="s">
        <v>2033</v>
      </c>
    </row>
    <row r="26" spans="2:12" x14ac:dyDescent="0.25">
      <c r="B26" t="s">
        <v>2032</v>
      </c>
      <c r="C26" t="s">
        <v>1984</v>
      </c>
      <c r="D26" s="25">
        <v>308</v>
      </c>
      <c r="E26" s="28">
        <f>+D26+F26</f>
        <v>321.2</v>
      </c>
      <c r="F26" s="33">
        <v>13.2</v>
      </c>
      <c r="G26" s="25">
        <v>1285</v>
      </c>
      <c r="H26" t="s">
        <v>2034</v>
      </c>
      <c r="I26" s="28">
        <v>53.3</v>
      </c>
      <c r="J26" s="28">
        <f>+I26+K26</f>
        <v>65.099999999999994</v>
      </c>
      <c r="K26" s="2">
        <v>11.8</v>
      </c>
      <c r="L26" t="s">
        <v>2033</v>
      </c>
    </row>
    <row r="27" spans="2:12" x14ac:dyDescent="0.25">
      <c r="B27" t="s">
        <v>2035</v>
      </c>
      <c r="C27" t="s">
        <v>2038</v>
      </c>
      <c r="D27" s="25">
        <v>300</v>
      </c>
      <c r="E27" s="28">
        <f>+D27+F27</f>
        <v>294.8</v>
      </c>
      <c r="F27" s="33">
        <v>-5.2</v>
      </c>
      <c r="G27" s="25">
        <v>62</v>
      </c>
      <c r="H27" t="s">
        <v>2037</v>
      </c>
      <c r="I27" s="25" t="s">
        <v>2038</v>
      </c>
      <c r="J27" s="25" t="s">
        <v>2038</v>
      </c>
      <c r="K27" s="25" t="s">
        <v>2038</v>
      </c>
      <c r="L27" s="25" t="s">
        <v>2039</v>
      </c>
    </row>
    <row r="28" spans="2:12" x14ac:dyDescent="0.25">
      <c r="B28" t="s">
        <v>2036</v>
      </c>
      <c r="C28" t="s">
        <v>2038</v>
      </c>
      <c r="D28" s="25">
        <v>270</v>
      </c>
      <c r="E28" s="28">
        <f>+D28+F28</f>
        <v>253.7</v>
      </c>
      <c r="F28" s="33">
        <v>-16.3</v>
      </c>
      <c r="G28" s="25">
        <v>63</v>
      </c>
      <c r="H28" t="s">
        <v>2037</v>
      </c>
      <c r="I28" s="25" t="s">
        <v>2038</v>
      </c>
      <c r="J28" s="25" t="s">
        <v>2038</v>
      </c>
      <c r="K28" s="25" t="s">
        <v>2038</v>
      </c>
      <c r="L28" s="25" t="s">
        <v>2039</v>
      </c>
    </row>
    <row r="29" spans="2:12" x14ac:dyDescent="0.25">
      <c r="B29" t="s">
        <v>2040</v>
      </c>
      <c r="F29" s="2" t="s">
        <v>1993</v>
      </c>
    </row>
    <row r="30" spans="2:12" x14ac:dyDescent="0.25">
      <c r="B30" t="s">
        <v>2041</v>
      </c>
      <c r="F30" s="2">
        <v>22</v>
      </c>
      <c r="K30" s="2">
        <v>10</v>
      </c>
      <c r="L30" t="s">
        <v>16</v>
      </c>
    </row>
    <row r="31" spans="2:12" x14ac:dyDescent="0.25">
      <c r="B31" t="s">
        <v>2042</v>
      </c>
      <c r="F31" s="2">
        <v>-47</v>
      </c>
      <c r="K31" s="2">
        <v>-3</v>
      </c>
      <c r="L31" t="s">
        <v>16</v>
      </c>
    </row>
  </sheetData>
  <hyperlinks>
    <hyperlink ref="A1" location="Main!A1" display="Main" xr:uid="{2507B77D-7508-4905-85D5-130A0314291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89C9-51AB-461E-9D2D-673314B4FB89}">
  <dimension ref="B1:E1854"/>
  <sheetViews>
    <sheetView zoomScale="115" zoomScaleNormal="115" workbookViewId="0">
      <pane xSplit="4" ySplit="2" topLeftCell="E35" activePane="bottomRight" state="frozen"/>
      <selection pane="topRight" activeCell="E1" sqref="E1"/>
      <selection pane="bottomLeft" activeCell="A3" sqref="A3"/>
      <selection pane="bottomRight" activeCell="E37" sqref="E37"/>
    </sheetView>
  </sheetViews>
  <sheetFormatPr defaultRowHeight="12.5" x14ac:dyDescent="0.25"/>
  <cols>
    <col min="4" max="4" width="10.1796875" customWidth="1"/>
  </cols>
  <sheetData>
    <row r="1" spans="2:5" x14ac:dyDescent="0.25">
      <c r="E1" t="s">
        <v>12</v>
      </c>
    </row>
    <row r="2" spans="2:5" x14ac:dyDescent="0.25">
      <c r="B2" t="s">
        <v>1600</v>
      </c>
      <c r="C2" t="s">
        <v>1599</v>
      </c>
      <c r="D2" t="s">
        <v>1597</v>
      </c>
      <c r="E2" t="s">
        <v>1598</v>
      </c>
    </row>
    <row r="3" spans="2:5" x14ac:dyDescent="0.25">
      <c r="D3" t="s">
        <v>1606</v>
      </c>
      <c r="E3" t="s">
        <v>48</v>
      </c>
    </row>
    <row r="4" spans="2:5" s="24" customFormat="1" ht="13" x14ac:dyDescent="0.3">
      <c r="B4" s="24" t="s">
        <v>1614</v>
      </c>
      <c r="C4" s="24">
        <v>3</v>
      </c>
      <c r="D4" s="24" t="s">
        <v>1613</v>
      </c>
      <c r="E4" s="24" t="s">
        <v>47</v>
      </c>
    </row>
    <row r="5" spans="2:5" ht="13" x14ac:dyDescent="0.3">
      <c r="D5" t="s">
        <v>1601</v>
      </c>
      <c r="E5" s="23" t="s">
        <v>1607</v>
      </c>
    </row>
    <row r="6" spans="2:5" x14ac:dyDescent="0.25">
      <c r="B6" t="s">
        <v>1617</v>
      </c>
      <c r="C6">
        <v>5</v>
      </c>
      <c r="D6" t="s">
        <v>1616</v>
      </c>
      <c r="E6" t="s">
        <v>1608</v>
      </c>
    </row>
    <row r="7" spans="2:5" ht="13" x14ac:dyDescent="0.3">
      <c r="B7" s="23" t="s">
        <v>1579</v>
      </c>
      <c r="C7" s="23">
        <v>10</v>
      </c>
      <c r="D7" s="23" t="s">
        <v>1602</v>
      </c>
      <c r="E7" s="23" t="s">
        <v>1624</v>
      </c>
    </row>
    <row r="8" spans="2:5" x14ac:dyDescent="0.25">
      <c r="E8" t="s">
        <v>1642</v>
      </c>
    </row>
    <row r="9" spans="2:5" x14ac:dyDescent="0.25">
      <c r="E9" t="s">
        <v>1948</v>
      </c>
    </row>
    <row r="10" spans="2:5" x14ac:dyDescent="0.25">
      <c r="E10" t="s">
        <v>1949</v>
      </c>
    </row>
    <row r="11" spans="2:5" x14ac:dyDescent="0.25">
      <c r="E11" t="s">
        <v>1950</v>
      </c>
    </row>
    <row r="12" spans="2:5" x14ac:dyDescent="0.25">
      <c r="E12" t="s">
        <v>1951</v>
      </c>
    </row>
    <row r="13" spans="2:5" x14ac:dyDescent="0.25">
      <c r="E13" t="s">
        <v>1952</v>
      </c>
    </row>
    <row r="14" spans="2:5" x14ac:dyDescent="0.25">
      <c r="E14" t="s">
        <v>1953</v>
      </c>
    </row>
    <row r="15" spans="2:5" x14ac:dyDescent="0.25">
      <c r="E15" t="s">
        <v>1954</v>
      </c>
    </row>
    <row r="16" spans="2:5" x14ac:dyDescent="0.25">
      <c r="E16" t="s">
        <v>1955</v>
      </c>
    </row>
    <row r="17" spans="2:5" x14ac:dyDescent="0.25">
      <c r="E17" t="s">
        <v>1862</v>
      </c>
    </row>
    <row r="18" spans="2:5" x14ac:dyDescent="0.25">
      <c r="E18" t="s">
        <v>1863</v>
      </c>
    </row>
    <row r="19" spans="2:5" x14ac:dyDescent="0.25">
      <c r="E19" t="s">
        <v>1864</v>
      </c>
    </row>
    <row r="20" spans="2:5" ht="13" x14ac:dyDescent="0.3">
      <c r="B20" t="s">
        <v>1636</v>
      </c>
      <c r="D20" t="s">
        <v>1637</v>
      </c>
      <c r="E20" s="23" t="s">
        <v>1865</v>
      </c>
    </row>
    <row r="21" spans="2:5" x14ac:dyDescent="0.25">
      <c r="E21" t="s">
        <v>1866</v>
      </c>
    </row>
    <row r="22" spans="2:5" x14ac:dyDescent="0.25">
      <c r="E22" t="s">
        <v>1867</v>
      </c>
    </row>
    <row r="23" spans="2:5" ht="13" x14ac:dyDescent="0.3">
      <c r="E23" s="23" t="s">
        <v>1868</v>
      </c>
    </row>
    <row r="24" spans="2:5" x14ac:dyDescent="0.25">
      <c r="E24" t="s">
        <v>1869</v>
      </c>
    </row>
    <row r="25" spans="2:5" x14ac:dyDescent="0.25">
      <c r="E25" t="s">
        <v>1870</v>
      </c>
    </row>
    <row r="26" spans="2:5" x14ac:dyDescent="0.25">
      <c r="E26" t="s">
        <v>1871</v>
      </c>
    </row>
    <row r="27" spans="2:5" x14ac:dyDescent="0.25">
      <c r="E27" t="s">
        <v>1872</v>
      </c>
    </row>
    <row r="28" spans="2:5" x14ac:dyDescent="0.25">
      <c r="E28" t="s">
        <v>1873</v>
      </c>
    </row>
    <row r="29" spans="2:5" x14ac:dyDescent="0.25">
      <c r="E29" t="s">
        <v>1874</v>
      </c>
    </row>
    <row r="30" spans="2:5" x14ac:dyDescent="0.25">
      <c r="E30" t="s">
        <v>1875</v>
      </c>
    </row>
    <row r="31" spans="2:5" x14ac:dyDescent="0.25">
      <c r="E31" t="s">
        <v>1876</v>
      </c>
    </row>
    <row r="32" spans="2:5" x14ac:dyDescent="0.25">
      <c r="E32" t="s">
        <v>1877</v>
      </c>
    </row>
    <row r="33" spans="2:5" x14ac:dyDescent="0.25">
      <c r="E33" t="s">
        <v>1878</v>
      </c>
    </row>
    <row r="34" spans="2:5" x14ac:dyDescent="0.25">
      <c r="E34" t="s">
        <v>1658</v>
      </c>
    </row>
    <row r="35" spans="2:5" x14ac:dyDescent="0.25">
      <c r="B35" t="s">
        <v>1976</v>
      </c>
      <c r="E35" t="s">
        <v>1659</v>
      </c>
    </row>
    <row r="36" spans="2:5" x14ac:dyDescent="0.25">
      <c r="E36" t="s">
        <v>1660</v>
      </c>
    </row>
    <row r="37" spans="2:5" x14ac:dyDescent="0.25">
      <c r="E37" t="s">
        <v>1661</v>
      </c>
    </row>
    <row r="38" spans="2:5" x14ac:dyDescent="0.25">
      <c r="E38" t="s">
        <v>1663</v>
      </c>
    </row>
    <row r="39" spans="2:5" x14ac:dyDescent="0.25">
      <c r="E39" t="s">
        <v>1665</v>
      </c>
    </row>
    <row r="40" spans="2:5" x14ac:dyDescent="0.25">
      <c r="E40" t="s">
        <v>1666</v>
      </c>
    </row>
    <row r="41" spans="2:5" x14ac:dyDescent="0.25">
      <c r="E41" t="s">
        <v>1667</v>
      </c>
    </row>
    <row r="42" spans="2:5" x14ac:dyDescent="0.25">
      <c r="E42" t="s">
        <v>1668</v>
      </c>
    </row>
    <row r="43" spans="2:5" x14ac:dyDescent="0.25">
      <c r="E43" t="s">
        <v>1669</v>
      </c>
    </row>
    <row r="44" spans="2:5" s="23" customFormat="1" ht="13" x14ac:dyDescent="0.3">
      <c r="E44" s="23" t="s">
        <v>1671</v>
      </c>
    </row>
    <row r="45" spans="2:5" x14ac:dyDescent="0.25">
      <c r="E45" t="s">
        <v>1673</v>
      </c>
    </row>
    <row r="46" spans="2:5" x14ac:dyDescent="0.25">
      <c r="E46" t="s">
        <v>1674</v>
      </c>
    </row>
    <row r="47" spans="2:5" x14ac:dyDescent="0.25">
      <c r="E47" t="s">
        <v>1675</v>
      </c>
    </row>
    <row r="48" spans="2:5" x14ac:dyDescent="0.25">
      <c r="E48" t="s">
        <v>1676</v>
      </c>
    </row>
    <row r="49" spans="5:5" x14ac:dyDescent="0.25">
      <c r="E49" t="s">
        <v>1677</v>
      </c>
    </row>
    <row r="50" spans="5:5" x14ac:dyDescent="0.25">
      <c r="E50" t="s">
        <v>1679</v>
      </c>
    </row>
    <row r="51" spans="5:5" x14ac:dyDescent="0.25">
      <c r="E51" t="s">
        <v>1680</v>
      </c>
    </row>
    <row r="52" spans="5:5" x14ac:dyDescent="0.25">
      <c r="E52" t="s">
        <v>1682</v>
      </c>
    </row>
    <row r="53" spans="5:5" x14ac:dyDescent="0.25">
      <c r="E53" t="s">
        <v>1683</v>
      </c>
    </row>
    <row r="54" spans="5:5" x14ac:dyDescent="0.25">
      <c r="E54" t="s">
        <v>1684</v>
      </c>
    </row>
    <row r="55" spans="5:5" x14ac:dyDescent="0.25">
      <c r="E55" t="s">
        <v>1685</v>
      </c>
    </row>
    <row r="56" spans="5:5" x14ac:dyDescent="0.25">
      <c r="E56" t="s">
        <v>1686</v>
      </c>
    </row>
    <row r="57" spans="5:5" x14ac:dyDescent="0.25">
      <c r="E57" t="s">
        <v>1687</v>
      </c>
    </row>
    <row r="58" spans="5:5" x14ac:dyDescent="0.25">
      <c r="E58" t="s">
        <v>1688</v>
      </c>
    </row>
    <row r="59" spans="5:5" x14ac:dyDescent="0.25">
      <c r="E59" t="s">
        <v>1689</v>
      </c>
    </row>
    <row r="60" spans="5:5" x14ac:dyDescent="0.25">
      <c r="E60" t="s">
        <v>1690</v>
      </c>
    </row>
    <row r="61" spans="5:5" ht="13" x14ac:dyDescent="0.3">
      <c r="E61" s="23" t="s">
        <v>1691</v>
      </c>
    </row>
    <row r="62" spans="5:5" x14ac:dyDescent="0.25">
      <c r="E62" t="s">
        <v>1692</v>
      </c>
    </row>
    <row r="63" spans="5:5" x14ac:dyDescent="0.25">
      <c r="E63" t="s">
        <v>1693</v>
      </c>
    </row>
    <row r="64" spans="5:5" x14ac:dyDescent="0.25">
      <c r="E64" t="s">
        <v>1694</v>
      </c>
    </row>
    <row r="65" spans="5:5" x14ac:dyDescent="0.25">
      <c r="E65" t="s">
        <v>1695</v>
      </c>
    </row>
    <row r="66" spans="5:5" x14ac:dyDescent="0.25">
      <c r="E66" t="s">
        <v>1696</v>
      </c>
    </row>
    <row r="67" spans="5:5" x14ac:dyDescent="0.25">
      <c r="E67" t="s">
        <v>1697</v>
      </c>
    </row>
    <row r="68" spans="5:5" x14ac:dyDescent="0.25">
      <c r="E68" t="s">
        <v>1698</v>
      </c>
    </row>
    <row r="69" spans="5:5" x14ac:dyDescent="0.25">
      <c r="E69" t="s">
        <v>1699</v>
      </c>
    </row>
    <row r="70" spans="5:5" x14ac:dyDescent="0.25">
      <c r="E70" t="s">
        <v>1700</v>
      </c>
    </row>
    <row r="71" spans="5:5" x14ac:dyDescent="0.25">
      <c r="E71" t="s">
        <v>1701</v>
      </c>
    </row>
    <row r="72" spans="5:5" x14ac:dyDescent="0.25">
      <c r="E72" t="s">
        <v>1702</v>
      </c>
    </row>
    <row r="73" spans="5:5" x14ac:dyDescent="0.25">
      <c r="E73" t="s">
        <v>1703</v>
      </c>
    </row>
    <row r="74" spans="5:5" x14ac:dyDescent="0.25">
      <c r="E74" t="s">
        <v>1704</v>
      </c>
    </row>
    <row r="75" spans="5:5" x14ac:dyDescent="0.25">
      <c r="E75" t="s">
        <v>1705</v>
      </c>
    </row>
    <row r="76" spans="5:5" x14ac:dyDescent="0.25">
      <c r="E76" t="s">
        <v>1707</v>
      </c>
    </row>
    <row r="77" spans="5:5" x14ac:dyDescent="0.25">
      <c r="E77" t="s">
        <v>1708</v>
      </c>
    </row>
    <row r="78" spans="5:5" x14ac:dyDescent="0.25">
      <c r="E78" t="s">
        <v>1710</v>
      </c>
    </row>
    <row r="79" spans="5:5" x14ac:dyDescent="0.25">
      <c r="E79" t="s">
        <v>1711</v>
      </c>
    </row>
    <row r="80" spans="5:5" x14ac:dyDescent="0.25">
      <c r="E80" t="s">
        <v>1712</v>
      </c>
    </row>
    <row r="81" spans="5:5" x14ac:dyDescent="0.25">
      <c r="E81" t="s">
        <v>1713</v>
      </c>
    </row>
    <row r="82" spans="5:5" x14ac:dyDescent="0.25">
      <c r="E82" t="s">
        <v>1714</v>
      </c>
    </row>
    <row r="83" spans="5:5" x14ac:dyDescent="0.25">
      <c r="E83" t="s">
        <v>1715</v>
      </c>
    </row>
    <row r="84" spans="5:5" x14ac:dyDescent="0.25">
      <c r="E84" t="s">
        <v>1716</v>
      </c>
    </row>
    <row r="85" spans="5:5" x14ac:dyDescent="0.25">
      <c r="E85" t="s">
        <v>1717</v>
      </c>
    </row>
    <row r="86" spans="5:5" x14ac:dyDescent="0.25">
      <c r="E86" t="s">
        <v>1718</v>
      </c>
    </row>
    <row r="87" spans="5:5" x14ac:dyDescent="0.25">
      <c r="E87" t="s">
        <v>1719</v>
      </c>
    </row>
    <row r="88" spans="5:5" x14ac:dyDescent="0.25">
      <c r="E88" t="s">
        <v>1720</v>
      </c>
    </row>
    <row r="89" spans="5:5" x14ac:dyDescent="0.25">
      <c r="E89" t="s">
        <v>1722</v>
      </c>
    </row>
    <row r="90" spans="5:5" x14ac:dyDescent="0.25">
      <c r="E90" t="s">
        <v>1723</v>
      </c>
    </row>
    <row r="91" spans="5:5" x14ac:dyDescent="0.25">
      <c r="E91" t="s">
        <v>1724</v>
      </c>
    </row>
    <row r="92" spans="5:5" x14ac:dyDescent="0.25">
      <c r="E92" t="s">
        <v>1726</v>
      </c>
    </row>
    <row r="93" spans="5:5" x14ac:dyDescent="0.25">
      <c r="E93" t="s">
        <v>1727</v>
      </c>
    </row>
    <row r="94" spans="5:5" x14ac:dyDescent="0.25">
      <c r="E94" t="s">
        <v>1728</v>
      </c>
    </row>
    <row r="95" spans="5:5" x14ac:dyDescent="0.25">
      <c r="E95" t="s">
        <v>1729</v>
      </c>
    </row>
    <row r="96" spans="5:5" x14ac:dyDescent="0.25">
      <c r="E96" t="s">
        <v>1730</v>
      </c>
    </row>
    <row r="97" spans="5:5" x14ac:dyDescent="0.25">
      <c r="E97" t="s">
        <v>1732</v>
      </c>
    </row>
    <row r="98" spans="5:5" x14ac:dyDescent="0.25">
      <c r="E98" t="s">
        <v>1733</v>
      </c>
    </row>
    <row r="99" spans="5:5" x14ac:dyDescent="0.25">
      <c r="E99" t="s">
        <v>1735</v>
      </c>
    </row>
    <row r="100" spans="5:5" x14ac:dyDescent="0.25">
      <c r="E100" t="s">
        <v>1737</v>
      </c>
    </row>
    <row r="101" spans="5:5" x14ac:dyDescent="0.25">
      <c r="E101" t="s">
        <v>1739</v>
      </c>
    </row>
    <row r="102" spans="5:5" x14ac:dyDescent="0.25">
      <c r="E102" t="s">
        <v>1740</v>
      </c>
    </row>
    <row r="103" spans="5:5" x14ac:dyDescent="0.25">
      <c r="E103" t="s">
        <v>1744</v>
      </c>
    </row>
    <row r="104" spans="5:5" x14ac:dyDescent="0.25">
      <c r="E104" t="s">
        <v>1745</v>
      </c>
    </row>
    <row r="105" spans="5:5" x14ac:dyDescent="0.25">
      <c r="E105" t="s">
        <v>1746</v>
      </c>
    </row>
    <row r="106" spans="5:5" x14ac:dyDescent="0.25">
      <c r="E106" t="s">
        <v>1747</v>
      </c>
    </row>
    <row r="107" spans="5:5" x14ac:dyDescent="0.25">
      <c r="E107" t="s">
        <v>1753</v>
      </c>
    </row>
    <row r="108" spans="5:5" x14ac:dyDescent="0.25">
      <c r="E108" t="s">
        <v>1757</v>
      </c>
    </row>
    <row r="109" spans="5:5" x14ac:dyDescent="0.25">
      <c r="E109" t="s">
        <v>1758</v>
      </c>
    </row>
    <row r="110" spans="5:5" x14ac:dyDescent="0.25">
      <c r="E110" t="s">
        <v>1759</v>
      </c>
    </row>
    <row r="111" spans="5:5" x14ac:dyDescent="0.25">
      <c r="E111" t="s">
        <v>1760</v>
      </c>
    </row>
    <row r="112" spans="5:5" x14ac:dyDescent="0.25">
      <c r="E112" t="s">
        <v>1763</v>
      </c>
    </row>
    <row r="113" spans="2:5" x14ac:dyDescent="0.25">
      <c r="E113" t="s">
        <v>1767</v>
      </c>
    </row>
    <row r="114" spans="2:5" ht="13" x14ac:dyDescent="0.3">
      <c r="E114" s="23" t="s">
        <v>1766</v>
      </c>
    </row>
    <row r="115" spans="2:5" x14ac:dyDescent="0.25">
      <c r="B115" t="s">
        <v>1765</v>
      </c>
      <c r="E115" t="s">
        <v>1768</v>
      </c>
    </row>
    <row r="116" spans="2:5" x14ac:dyDescent="0.25">
      <c r="E116" t="s">
        <v>1770</v>
      </c>
    </row>
    <row r="117" spans="2:5" x14ac:dyDescent="0.25">
      <c r="E117" t="s">
        <v>1771</v>
      </c>
    </row>
    <row r="118" spans="2:5" x14ac:dyDescent="0.25">
      <c r="E118" t="s">
        <v>1772</v>
      </c>
    </row>
    <row r="119" spans="2:5" x14ac:dyDescent="0.25">
      <c r="E119" t="s">
        <v>1773</v>
      </c>
    </row>
    <row r="120" spans="2:5" x14ac:dyDescent="0.25">
      <c r="E120" t="s">
        <v>1774</v>
      </c>
    </row>
    <row r="121" spans="2:5" x14ac:dyDescent="0.25">
      <c r="E121" t="s">
        <v>1775</v>
      </c>
    </row>
    <row r="122" spans="2:5" x14ac:dyDescent="0.25">
      <c r="E122" t="s">
        <v>1776</v>
      </c>
    </row>
    <row r="123" spans="2:5" ht="13" x14ac:dyDescent="0.3">
      <c r="E123" s="23" t="s">
        <v>1778</v>
      </c>
    </row>
    <row r="124" spans="2:5" x14ac:dyDescent="0.25">
      <c r="E124" t="s">
        <v>1780</v>
      </c>
    </row>
    <row r="125" spans="2:5" x14ac:dyDescent="0.25">
      <c r="E125" t="s">
        <v>1781</v>
      </c>
    </row>
    <row r="126" spans="2:5" x14ac:dyDescent="0.25">
      <c r="E126" t="s">
        <v>1782</v>
      </c>
    </row>
    <row r="127" spans="2:5" x14ac:dyDescent="0.25">
      <c r="E127" t="s">
        <v>1783</v>
      </c>
    </row>
    <row r="128" spans="2:5" ht="13" x14ac:dyDescent="0.3">
      <c r="E128" s="23" t="s">
        <v>1784</v>
      </c>
    </row>
    <row r="129" spans="5:5" x14ac:dyDescent="0.25">
      <c r="E129" t="s">
        <v>1787</v>
      </c>
    </row>
    <row r="130" spans="5:5" ht="13" x14ac:dyDescent="0.3">
      <c r="E130" s="23" t="s">
        <v>1788</v>
      </c>
    </row>
    <row r="131" spans="5:5" x14ac:dyDescent="0.25">
      <c r="E131" t="s">
        <v>1791</v>
      </c>
    </row>
    <row r="132" spans="5:5" x14ac:dyDescent="0.25">
      <c r="E132" t="s">
        <v>1792</v>
      </c>
    </row>
    <row r="133" spans="5:5" x14ac:dyDescent="0.25">
      <c r="E133" t="s">
        <v>1793</v>
      </c>
    </row>
    <row r="134" spans="5:5" x14ac:dyDescent="0.25">
      <c r="E134" t="s">
        <v>1794</v>
      </c>
    </row>
    <row r="135" spans="5:5" x14ac:dyDescent="0.25">
      <c r="E135" t="s">
        <v>1795</v>
      </c>
    </row>
    <row r="136" spans="5:5" x14ac:dyDescent="0.25">
      <c r="E136" t="s">
        <v>1796</v>
      </c>
    </row>
    <row r="137" spans="5:5" x14ac:dyDescent="0.25">
      <c r="E137" t="s">
        <v>1798</v>
      </c>
    </row>
    <row r="138" spans="5:5" x14ac:dyDescent="0.25">
      <c r="E138" t="s">
        <v>1799</v>
      </c>
    </row>
    <row r="139" spans="5:5" x14ac:dyDescent="0.25">
      <c r="E139" t="s">
        <v>1800</v>
      </c>
    </row>
    <row r="140" spans="5:5" ht="13" x14ac:dyDescent="0.3">
      <c r="E140" s="23" t="s">
        <v>1801</v>
      </c>
    </row>
    <row r="141" spans="5:5" x14ac:dyDescent="0.25">
      <c r="E141" t="s">
        <v>1802</v>
      </c>
    </row>
    <row r="142" spans="5:5" x14ac:dyDescent="0.25">
      <c r="E142" t="s">
        <v>1803</v>
      </c>
    </row>
    <row r="143" spans="5:5" x14ac:dyDescent="0.25">
      <c r="E143" t="s">
        <v>1804</v>
      </c>
    </row>
    <row r="144" spans="5:5" x14ac:dyDescent="0.25">
      <c r="E144" t="s">
        <v>1805</v>
      </c>
    </row>
    <row r="145" spans="5:5" x14ac:dyDescent="0.25">
      <c r="E145" t="s">
        <v>1806</v>
      </c>
    </row>
    <row r="146" spans="5:5" x14ac:dyDescent="0.25">
      <c r="E146" t="s">
        <v>1811</v>
      </c>
    </row>
    <row r="147" spans="5:5" x14ac:dyDescent="0.25">
      <c r="E147" t="s">
        <v>1812</v>
      </c>
    </row>
    <row r="148" spans="5:5" x14ac:dyDescent="0.25">
      <c r="E148" t="s">
        <v>1813</v>
      </c>
    </row>
    <row r="149" spans="5:5" x14ac:dyDescent="0.25">
      <c r="E149" t="s">
        <v>1814</v>
      </c>
    </row>
    <row r="150" spans="5:5" x14ac:dyDescent="0.25">
      <c r="E150" t="s">
        <v>1816</v>
      </c>
    </row>
    <row r="151" spans="5:5" x14ac:dyDescent="0.25">
      <c r="E151" t="s">
        <v>1817</v>
      </c>
    </row>
    <row r="152" spans="5:5" x14ac:dyDescent="0.25">
      <c r="E152" t="s">
        <v>1819</v>
      </c>
    </row>
    <row r="153" spans="5:5" x14ac:dyDescent="0.25">
      <c r="E153" t="s">
        <v>1821</v>
      </c>
    </row>
    <row r="154" spans="5:5" x14ac:dyDescent="0.25">
      <c r="E154" t="s">
        <v>1822</v>
      </c>
    </row>
    <row r="155" spans="5:5" x14ac:dyDescent="0.25">
      <c r="E155" t="s">
        <v>1823</v>
      </c>
    </row>
    <row r="156" spans="5:5" x14ac:dyDescent="0.25">
      <c r="E156" t="s">
        <v>1825</v>
      </c>
    </row>
    <row r="157" spans="5:5" x14ac:dyDescent="0.25">
      <c r="E157" t="s">
        <v>1826</v>
      </c>
    </row>
    <row r="158" spans="5:5" x14ac:dyDescent="0.25">
      <c r="E158" t="s">
        <v>1827</v>
      </c>
    </row>
    <row r="159" spans="5:5" x14ac:dyDescent="0.25">
      <c r="E159" t="s">
        <v>1829</v>
      </c>
    </row>
    <row r="160" spans="5:5" x14ac:dyDescent="0.25">
      <c r="E160" t="s">
        <v>1830</v>
      </c>
    </row>
    <row r="161" spans="5:5" x14ac:dyDescent="0.25">
      <c r="E161" t="s">
        <v>1831</v>
      </c>
    </row>
    <row r="162" spans="5:5" x14ac:dyDescent="0.25">
      <c r="E162" t="s">
        <v>1832</v>
      </c>
    </row>
    <row r="163" spans="5:5" x14ac:dyDescent="0.25">
      <c r="E163" t="s">
        <v>1833</v>
      </c>
    </row>
    <row r="164" spans="5:5" x14ac:dyDescent="0.25">
      <c r="E164" t="s">
        <v>1834</v>
      </c>
    </row>
    <row r="165" spans="5:5" x14ac:dyDescent="0.25">
      <c r="E165" t="s">
        <v>1835</v>
      </c>
    </row>
    <row r="166" spans="5:5" x14ac:dyDescent="0.25">
      <c r="E166" t="s">
        <v>1836</v>
      </c>
    </row>
    <row r="167" spans="5:5" x14ac:dyDescent="0.25">
      <c r="E167" t="s">
        <v>1837</v>
      </c>
    </row>
    <row r="168" spans="5:5" x14ac:dyDescent="0.25">
      <c r="E168" t="s">
        <v>1839</v>
      </c>
    </row>
    <row r="169" spans="5:5" x14ac:dyDescent="0.25">
      <c r="E169" t="s">
        <v>1840</v>
      </c>
    </row>
    <row r="170" spans="5:5" x14ac:dyDescent="0.25">
      <c r="E170" t="s">
        <v>1841</v>
      </c>
    </row>
    <row r="171" spans="5:5" ht="13" x14ac:dyDescent="0.3">
      <c r="E171" s="23" t="s">
        <v>1843</v>
      </c>
    </row>
    <row r="172" spans="5:5" x14ac:dyDescent="0.25">
      <c r="E172" t="s">
        <v>1845</v>
      </c>
    </row>
    <row r="173" spans="5:5" x14ac:dyDescent="0.25">
      <c r="E173" t="s">
        <v>1846</v>
      </c>
    </row>
    <row r="174" spans="5:5" x14ac:dyDescent="0.25">
      <c r="E174" t="s">
        <v>1847</v>
      </c>
    </row>
    <row r="175" spans="5:5" x14ac:dyDescent="0.25">
      <c r="E175" t="s">
        <v>1848</v>
      </c>
    </row>
    <row r="176" spans="5:5" x14ac:dyDescent="0.25">
      <c r="E176" t="s">
        <v>1850</v>
      </c>
    </row>
    <row r="177" spans="2:5" x14ac:dyDescent="0.25">
      <c r="E177" t="s">
        <v>1851</v>
      </c>
    </row>
    <row r="178" spans="2:5" x14ac:dyDescent="0.25">
      <c r="E178" t="s">
        <v>1852</v>
      </c>
    </row>
    <row r="179" spans="2:5" x14ac:dyDescent="0.25">
      <c r="E179" t="s">
        <v>1854</v>
      </c>
    </row>
    <row r="180" spans="2:5" x14ac:dyDescent="0.25">
      <c r="E180" t="s">
        <v>1856</v>
      </c>
    </row>
    <row r="181" spans="2:5" x14ac:dyDescent="0.25">
      <c r="E181" t="s">
        <v>1879</v>
      </c>
    </row>
    <row r="182" spans="2:5" x14ac:dyDescent="0.25">
      <c r="E182" t="s">
        <v>1880</v>
      </c>
    </row>
    <row r="183" spans="2:5" x14ac:dyDescent="0.25">
      <c r="E183" t="s">
        <v>1881</v>
      </c>
    </row>
    <row r="184" spans="2:5" x14ac:dyDescent="0.25">
      <c r="E184" t="s">
        <v>1882</v>
      </c>
    </row>
    <row r="185" spans="2:5" x14ac:dyDescent="0.25">
      <c r="E185" t="s">
        <v>1883</v>
      </c>
    </row>
    <row r="186" spans="2:5" x14ac:dyDescent="0.25">
      <c r="E186" t="s">
        <v>1884</v>
      </c>
    </row>
    <row r="187" spans="2:5" x14ac:dyDescent="0.25">
      <c r="B187" t="s">
        <v>1886</v>
      </c>
      <c r="C187">
        <v>4</v>
      </c>
      <c r="E187" t="s">
        <v>1885</v>
      </c>
    </row>
    <row r="188" spans="2:5" x14ac:dyDescent="0.25">
      <c r="E188" t="s">
        <v>1887</v>
      </c>
    </row>
    <row r="189" spans="2:5" x14ac:dyDescent="0.25">
      <c r="E189" t="s">
        <v>1888</v>
      </c>
    </row>
    <row r="190" spans="2:5" x14ac:dyDescent="0.25">
      <c r="E190" t="s">
        <v>1890</v>
      </c>
    </row>
    <row r="191" spans="2:5" x14ac:dyDescent="0.25">
      <c r="E191" t="s">
        <v>1891</v>
      </c>
    </row>
    <row r="192" spans="2:5" x14ac:dyDescent="0.25">
      <c r="E192" t="s">
        <v>1892</v>
      </c>
    </row>
    <row r="193" spans="5:5" x14ac:dyDescent="0.25">
      <c r="E193" t="s">
        <v>1893</v>
      </c>
    </row>
    <row r="194" spans="5:5" x14ac:dyDescent="0.25">
      <c r="E194" t="s">
        <v>1894</v>
      </c>
    </row>
    <row r="195" spans="5:5" x14ac:dyDescent="0.25">
      <c r="E195" t="s">
        <v>1895</v>
      </c>
    </row>
    <row r="196" spans="5:5" x14ac:dyDescent="0.25">
      <c r="E196" t="s">
        <v>1896</v>
      </c>
    </row>
    <row r="197" spans="5:5" x14ac:dyDescent="0.25">
      <c r="E197" t="s">
        <v>1897</v>
      </c>
    </row>
    <row r="198" spans="5:5" x14ac:dyDescent="0.25">
      <c r="E198" t="s">
        <v>1898</v>
      </c>
    </row>
    <row r="199" spans="5:5" x14ac:dyDescent="0.25">
      <c r="E199" t="s">
        <v>1899</v>
      </c>
    </row>
    <row r="200" spans="5:5" x14ac:dyDescent="0.25">
      <c r="E200" t="s">
        <v>202</v>
      </c>
    </row>
    <row r="201" spans="5:5" x14ac:dyDescent="0.25">
      <c r="E201" t="s">
        <v>201</v>
      </c>
    </row>
    <row r="202" spans="5:5" x14ac:dyDescent="0.25">
      <c r="E202" t="s">
        <v>200</v>
      </c>
    </row>
    <row r="203" spans="5:5" x14ac:dyDescent="0.25">
      <c r="E203" t="s">
        <v>199</v>
      </c>
    </row>
    <row r="204" spans="5:5" x14ac:dyDescent="0.25">
      <c r="E204" t="s">
        <v>67</v>
      </c>
    </row>
    <row r="205" spans="5:5" x14ac:dyDescent="0.25">
      <c r="E205" t="s">
        <v>66</v>
      </c>
    </row>
    <row r="206" spans="5:5" x14ac:dyDescent="0.25">
      <c r="E206" t="s">
        <v>65</v>
      </c>
    </row>
    <row r="207" spans="5:5" x14ac:dyDescent="0.25">
      <c r="E207" t="s">
        <v>64</v>
      </c>
    </row>
    <row r="208" spans="5:5" x14ac:dyDescent="0.25">
      <c r="E208" t="s">
        <v>63</v>
      </c>
    </row>
    <row r="209" spans="5:5" x14ac:dyDescent="0.25">
      <c r="E209" t="s">
        <v>62</v>
      </c>
    </row>
    <row r="210" spans="5:5" x14ac:dyDescent="0.25">
      <c r="E210" t="s">
        <v>61</v>
      </c>
    </row>
    <row r="211" spans="5:5" x14ac:dyDescent="0.25">
      <c r="E211" t="s">
        <v>60</v>
      </c>
    </row>
    <row r="212" spans="5:5" x14ac:dyDescent="0.25">
      <c r="E212" t="s">
        <v>59</v>
      </c>
    </row>
    <row r="213" spans="5:5" x14ac:dyDescent="0.25">
      <c r="E213" t="s">
        <v>58</v>
      </c>
    </row>
    <row r="214" spans="5:5" x14ac:dyDescent="0.25">
      <c r="E214" t="s">
        <v>57</v>
      </c>
    </row>
    <row r="215" spans="5:5" x14ac:dyDescent="0.25">
      <c r="E215" t="s">
        <v>56</v>
      </c>
    </row>
    <row r="216" spans="5:5" x14ac:dyDescent="0.25">
      <c r="E216" t="s">
        <v>55</v>
      </c>
    </row>
    <row r="217" spans="5:5" x14ac:dyDescent="0.25">
      <c r="E217" t="s">
        <v>54</v>
      </c>
    </row>
    <row r="218" spans="5:5" x14ac:dyDescent="0.25">
      <c r="E218" t="s">
        <v>1900</v>
      </c>
    </row>
    <row r="219" spans="5:5" x14ac:dyDescent="0.25">
      <c r="E219" t="s">
        <v>1901</v>
      </c>
    </row>
    <row r="220" spans="5:5" x14ac:dyDescent="0.25">
      <c r="E220" t="s">
        <v>1902</v>
      </c>
    </row>
    <row r="221" spans="5:5" x14ac:dyDescent="0.25">
      <c r="E221" t="s">
        <v>1903</v>
      </c>
    </row>
    <row r="222" spans="5:5" x14ac:dyDescent="0.25">
      <c r="E222" t="s">
        <v>1904</v>
      </c>
    </row>
    <row r="223" spans="5:5" x14ac:dyDescent="0.25">
      <c r="E223" t="s">
        <v>1905</v>
      </c>
    </row>
    <row r="224" spans="5:5" x14ac:dyDescent="0.25">
      <c r="E224" t="s">
        <v>1906</v>
      </c>
    </row>
    <row r="225" spans="5:5" x14ac:dyDescent="0.25">
      <c r="E225" t="s">
        <v>1908</v>
      </c>
    </row>
    <row r="226" spans="5:5" x14ac:dyDescent="0.25">
      <c r="E226" t="s">
        <v>1910</v>
      </c>
    </row>
    <row r="227" spans="5:5" s="23" customFormat="1" ht="13" x14ac:dyDescent="0.3">
      <c r="E227" s="23" t="s">
        <v>1911</v>
      </c>
    </row>
    <row r="228" spans="5:5" ht="13" x14ac:dyDescent="0.3">
      <c r="E228" s="23" t="s">
        <v>1912</v>
      </c>
    </row>
    <row r="229" spans="5:5" x14ac:dyDescent="0.25">
      <c r="E229" t="s">
        <v>1913</v>
      </c>
    </row>
    <row r="230" spans="5:5" x14ac:dyDescent="0.25">
      <c r="E230" t="s">
        <v>1914</v>
      </c>
    </row>
    <row r="231" spans="5:5" x14ac:dyDescent="0.25">
      <c r="E231" t="s">
        <v>1915</v>
      </c>
    </row>
    <row r="232" spans="5:5" x14ac:dyDescent="0.25">
      <c r="E232" t="s">
        <v>1916</v>
      </c>
    </row>
    <row r="233" spans="5:5" x14ac:dyDescent="0.25">
      <c r="E233" t="s">
        <v>1917</v>
      </c>
    </row>
    <row r="234" spans="5:5" x14ac:dyDescent="0.25">
      <c r="E234" t="s">
        <v>1918</v>
      </c>
    </row>
    <row r="235" spans="5:5" ht="13" x14ac:dyDescent="0.3">
      <c r="E235" s="23" t="s">
        <v>1919</v>
      </c>
    </row>
    <row r="236" spans="5:5" x14ac:dyDescent="0.25">
      <c r="E236" t="s">
        <v>1920</v>
      </c>
    </row>
    <row r="237" spans="5:5" x14ac:dyDescent="0.25">
      <c r="E237" t="s">
        <v>1922</v>
      </c>
    </row>
    <row r="238" spans="5:5" x14ac:dyDescent="0.25">
      <c r="E238" t="s">
        <v>1923</v>
      </c>
    </row>
    <row r="239" spans="5:5" ht="13" x14ac:dyDescent="0.3">
      <c r="E239" s="23" t="s">
        <v>1925</v>
      </c>
    </row>
    <row r="240" spans="5:5" x14ac:dyDescent="0.25">
      <c r="E240" t="s">
        <v>1926</v>
      </c>
    </row>
    <row r="241" spans="5:5" x14ac:dyDescent="0.25">
      <c r="E241" t="s">
        <v>1927</v>
      </c>
    </row>
    <row r="242" spans="5:5" x14ac:dyDescent="0.25">
      <c r="E242" t="s">
        <v>1928</v>
      </c>
    </row>
    <row r="243" spans="5:5" x14ac:dyDescent="0.25">
      <c r="E243" t="s">
        <v>1929</v>
      </c>
    </row>
    <row r="244" spans="5:5" x14ac:dyDescent="0.25">
      <c r="E244" t="s">
        <v>1930</v>
      </c>
    </row>
    <row r="245" spans="5:5" x14ac:dyDescent="0.25">
      <c r="E245" t="s">
        <v>1931</v>
      </c>
    </row>
    <row r="246" spans="5:5" x14ac:dyDescent="0.25">
      <c r="E246" t="s">
        <v>1932</v>
      </c>
    </row>
    <row r="247" spans="5:5" x14ac:dyDescent="0.25">
      <c r="E247" t="s">
        <v>1933</v>
      </c>
    </row>
    <row r="248" spans="5:5" x14ac:dyDescent="0.25">
      <c r="E248" t="s">
        <v>1934</v>
      </c>
    </row>
    <row r="249" spans="5:5" x14ac:dyDescent="0.25">
      <c r="E249" t="s">
        <v>1935</v>
      </c>
    </row>
    <row r="250" spans="5:5" x14ac:dyDescent="0.25">
      <c r="E250" t="s">
        <v>1936</v>
      </c>
    </row>
    <row r="251" spans="5:5" x14ac:dyDescent="0.25">
      <c r="E251" t="s">
        <v>1937</v>
      </c>
    </row>
    <row r="252" spans="5:5" x14ac:dyDescent="0.25">
      <c r="E252" t="s">
        <v>1938</v>
      </c>
    </row>
    <row r="253" spans="5:5" x14ac:dyDescent="0.25">
      <c r="E253" t="s">
        <v>1939</v>
      </c>
    </row>
    <row r="254" spans="5:5" x14ac:dyDescent="0.25">
      <c r="E254" t="s">
        <v>1940</v>
      </c>
    </row>
    <row r="255" spans="5:5" x14ac:dyDescent="0.25">
      <c r="E255" t="s">
        <v>1941</v>
      </c>
    </row>
    <row r="256" spans="5:5" x14ac:dyDescent="0.25">
      <c r="E256" t="s">
        <v>1943</v>
      </c>
    </row>
    <row r="257" spans="5:5" x14ac:dyDescent="0.25">
      <c r="E257" t="s">
        <v>1944</v>
      </c>
    </row>
    <row r="258" spans="5:5" x14ac:dyDescent="0.25">
      <c r="E258" t="s">
        <v>1956</v>
      </c>
    </row>
    <row r="259" spans="5:5" x14ac:dyDescent="0.25">
      <c r="E259" t="s">
        <v>1957</v>
      </c>
    </row>
    <row r="260" spans="5:5" x14ac:dyDescent="0.25">
      <c r="E260" t="s">
        <v>1961</v>
      </c>
    </row>
    <row r="261" spans="5:5" x14ac:dyDescent="0.25">
      <c r="E261" t="s">
        <v>1962</v>
      </c>
    </row>
    <row r="262" spans="5:5" x14ac:dyDescent="0.25">
      <c r="E262" t="s">
        <v>149</v>
      </c>
    </row>
    <row r="263" spans="5:5" x14ac:dyDescent="0.25">
      <c r="E263" t="s">
        <v>150</v>
      </c>
    </row>
    <row r="264" spans="5:5" x14ac:dyDescent="0.25">
      <c r="E264" t="s">
        <v>148</v>
      </c>
    </row>
    <row r="265" spans="5:5" x14ac:dyDescent="0.25">
      <c r="E265" t="s">
        <v>147</v>
      </c>
    </row>
    <row r="266" spans="5:5" x14ac:dyDescent="0.25">
      <c r="E266" t="s">
        <v>118</v>
      </c>
    </row>
    <row r="267" spans="5:5" x14ac:dyDescent="0.25">
      <c r="E267" t="s">
        <v>117</v>
      </c>
    </row>
    <row r="268" spans="5:5" x14ac:dyDescent="0.25">
      <c r="E268" t="s">
        <v>116</v>
      </c>
    </row>
    <row r="269" spans="5:5" x14ac:dyDescent="0.25">
      <c r="E269" t="s">
        <v>115</v>
      </c>
    </row>
    <row r="270" spans="5:5" x14ac:dyDescent="0.25">
      <c r="E270" t="s">
        <v>114</v>
      </c>
    </row>
    <row r="271" spans="5:5" x14ac:dyDescent="0.25">
      <c r="E271" t="s">
        <v>112</v>
      </c>
    </row>
    <row r="272" spans="5:5" x14ac:dyDescent="0.25">
      <c r="E272" t="s">
        <v>110</v>
      </c>
    </row>
    <row r="273" spans="2:5" x14ac:dyDescent="0.25">
      <c r="E273" t="s">
        <v>109</v>
      </c>
    </row>
    <row r="274" spans="2:5" x14ac:dyDescent="0.25">
      <c r="E274" t="s">
        <v>108</v>
      </c>
    </row>
    <row r="275" spans="2:5" ht="13" x14ac:dyDescent="0.3">
      <c r="B275" t="s">
        <v>1946</v>
      </c>
      <c r="C275">
        <v>10</v>
      </c>
      <c r="E275" s="23" t="s">
        <v>106</v>
      </c>
    </row>
    <row r="276" spans="2:5" x14ac:dyDescent="0.25">
      <c r="E276" t="s">
        <v>105</v>
      </c>
    </row>
    <row r="277" spans="2:5" x14ac:dyDescent="0.25">
      <c r="E277" t="s">
        <v>101</v>
      </c>
    </row>
    <row r="278" spans="2:5" x14ac:dyDescent="0.25">
      <c r="E278" t="s">
        <v>102</v>
      </c>
    </row>
    <row r="279" spans="2:5" x14ac:dyDescent="0.25">
      <c r="E279" t="s">
        <v>103</v>
      </c>
    </row>
    <row r="280" spans="2:5" x14ac:dyDescent="0.25">
      <c r="E280" t="s">
        <v>104</v>
      </c>
    </row>
    <row r="281" spans="2:5" x14ac:dyDescent="0.25">
      <c r="E281" t="s">
        <v>153</v>
      </c>
    </row>
    <row r="282" spans="2:5" x14ac:dyDescent="0.25">
      <c r="E282" t="s">
        <v>152</v>
      </c>
    </row>
    <row r="283" spans="2:5" x14ac:dyDescent="0.25">
      <c r="E283" t="s">
        <v>120</v>
      </c>
    </row>
    <row r="284" spans="2:5" x14ac:dyDescent="0.25">
      <c r="E284" t="s">
        <v>151</v>
      </c>
    </row>
    <row r="285" spans="2:5" x14ac:dyDescent="0.25">
      <c r="E285" t="s">
        <v>146</v>
      </c>
    </row>
    <row r="286" spans="2:5" x14ac:dyDescent="0.25">
      <c r="E286" t="s">
        <v>198</v>
      </c>
    </row>
    <row r="287" spans="2:5" x14ac:dyDescent="0.25">
      <c r="E287" t="s">
        <v>145</v>
      </c>
    </row>
    <row r="288" spans="2:5" x14ac:dyDescent="0.25">
      <c r="E288" t="s">
        <v>197</v>
      </c>
    </row>
    <row r="289" spans="5:5" ht="13" x14ac:dyDescent="0.3">
      <c r="E289" s="24" t="s">
        <v>171</v>
      </c>
    </row>
    <row r="290" spans="5:5" x14ac:dyDescent="0.25">
      <c r="E290" t="s">
        <v>143</v>
      </c>
    </row>
    <row r="291" spans="5:5" x14ac:dyDescent="0.25">
      <c r="E291" t="s">
        <v>172</v>
      </c>
    </row>
    <row r="292" spans="5:5" x14ac:dyDescent="0.25">
      <c r="E292" t="s">
        <v>144</v>
      </c>
    </row>
    <row r="293" spans="5:5" x14ac:dyDescent="0.25">
      <c r="E293" t="s">
        <v>173</v>
      </c>
    </row>
    <row r="294" spans="5:5" x14ac:dyDescent="0.25">
      <c r="E294" t="s">
        <v>190</v>
      </c>
    </row>
    <row r="295" spans="5:5" x14ac:dyDescent="0.25">
      <c r="E295" t="s">
        <v>189</v>
      </c>
    </row>
    <row r="296" spans="5:5" x14ac:dyDescent="0.25">
      <c r="E296" t="s">
        <v>188</v>
      </c>
    </row>
    <row r="297" spans="5:5" x14ac:dyDescent="0.25">
      <c r="E297" t="s">
        <v>155</v>
      </c>
    </row>
    <row r="298" spans="5:5" x14ac:dyDescent="0.25">
      <c r="E298" t="s">
        <v>154</v>
      </c>
    </row>
    <row r="299" spans="5:5" x14ac:dyDescent="0.25">
      <c r="E299" t="s">
        <v>187</v>
      </c>
    </row>
    <row r="300" spans="5:5" x14ac:dyDescent="0.25">
      <c r="E300" t="s">
        <v>186</v>
      </c>
    </row>
    <row r="301" spans="5:5" x14ac:dyDescent="0.25">
      <c r="E301" t="s">
        <v>185</v>
      </c>
    </row>
    <row r="302" spans="5:5" x14ac:dyDescent="0.25">
      <c r="E302" t="s">
        <v>184</v>
      </c>
    </row>
    <row r="303" spans="5:5" x14ac:dyDescent="0.25">
      <c r="E303" t="s">
        <v>183</v>
      </c>
    </row>
    <row r="304" spans="5:5" x14ac:dyDescent="0.25">
      <c r="E304" t="s">
        <v>121</v>
      </c>
    </row>
    <row r="305" spans="5:5" x14ac:dyDescent="0.25">
      <c r="E305" t="s">
        <v>122</v>
      </c>
    </row>
    <row r="306" spans="5:5" x14ac:dyDescent="0.25">
      <c r="E306" t="s">
        <v>123</v>
      </c>
    </row>
    <row r="307" spans="5:5" x14ac:dyDescent="0.25">
      <c r="E307" t="s">
        <v>182</v>
      </c>
    </row>
    <row r="308" spans="5:5" x14ac:dyDescent="0.25">
      <c r="E308" t="s">
        <v>181</v>
      </c>
    </row>
    <row r="309" spans="5:5" x14ac:dyDescent="0.25">
      <c r="E309" t="s">
        <v>125</v>
      </c>
    </row>
    <row r="310" spans="5:5" x14ac:dyDescent="0.25">
      <c r="E310" t="s">
        <v>124</v>
      </c>
    </row>
    <row r="311" spans="5:5" x14ac:dyDescent="0.25">
      <c r="E311" t="s">
        <v>180</v>
      </c>
    </row>
    <row r="312" spans="5:5" x14ac:dyDescent="0.25">
      <c r="E312" t="s">
        <v>179</v>
      </c>
    </row>
    <row r="313" spans="5:5" x14ac:dyDescent="0.25">
      <c r="E313" t="s">
        <v>178</v>
      </c>
    </row>
    <row r="314" spans="5:5" x14ac:dyDescent="0.25">
      <c r="E314" t="s">
        <v>192</v>
      </c>
    </row>
    <row r="315" spans="5:5" x14ac:dyDescent="0.25">
      <c r="E315" t="s">
        <v>193</v>
      </c>
    </row>
    <row r="316" spans="5:5" s="23" customFormat="1" ht="13" x14ac:dyDescent="0.3">
      <c r="E316" s="23" t="s">
        <v>194</v>
      </c>
    </row>
    <row r="317" spans="5:5" x14ac:dyDescent="0.25">
      <c r="E317" t="s">
        <v>196</v>
      </c>
    </row>
    <row r="318" spans="5:5" x14ac:dyDescent="0.25">
      <c r="E318" t="s">
        <v>195</v>
      </c>
    </row>
    <row r="319" spans="5:5" x14ac:dyDescent="0.25">
      <c r="E319" t="s">
        <v>142</v>
      </c>
    </row>
    <row r="320" spans="5:5" x14ac:dyDescent="0.25">
      <c r="E320" t="s">
        <v>177</v>
      </c>
    </row>
    <row r="321" spans="5:5" x14ac:dyDescent="0.25">
      <c r="E321" t="s">
        <v>176</v>
      </c>
    </row>
    <row r="322" spans="5:5" x14ac:dyDescent="0.25">
      <c r="E322" t="s">
        <v>156</v>
      </c>
    </row>
    <row r="323" spans="5:5" x14ac:dyDescent="0.25">
      <c r="E323" t="s">
        <v>141</v>
      </c>
    </row>
    <row r="324" spans="5:5" x14ac:dyDescent="0.25">
      <c r="E324" t="s">
        <v>157</v>
      </c>
    </row>
    <row r="325" spans="5:5" x14ac:dyDescent="0.25">
      <c r="E325" t="s">
        <v>175</v>
      </c>
    </row>
    <row r="326" spans="5:5" x14ac:dyDescent="0.25">
      <c r="E326" t="s">
        <v>140</v>
      </c>
    </row>
    <row r="327" spans="5:5" x14ac:dyDescent="0.25">
      <c r="E327" t="s">
        <v>169</v>
      </c>
    </row>
    <row r="328" spans="5:5" x14ac:dyDescent="0.25">
      <c r="E328" t="s">
        <v>168</v>
      </c>
    </row>
    <row r="329" spans="5:5" x14ac:dyDescent="0.25">
      <c r="E329" t="s">
        <v>137</v>
      </c>
    </row>
    <row r="330" spans="5:5" x14ac:dyDescent="0.25">
      <c r="E330" t="s">
        <v>138</v>
      </c>
    </row>
    <row r="331" spans="5:5" x14ac:dyDescent="0.25">
      <c r="E331" t="s">
        <v>139</v>
      </c>
    </row>
    <row r="332" spans="5:5" x14ac:dyDescent="0.25">
      <c r="E332" t="s">
        <v>136</v>
      </c>
    </row>
    <row r="333" spans="5:5" x14ac:dyDescent="0.25">
      <c r="E333" t="s">
        <v>135</v>
      </c>
    </row>
    <row r="334" spans="5:5" x14ac:dyDescent="0.25">
      <c r="E334" t="s">
        <v>170</v>
      </c>
    </row>
    <row r="335" spans="5:5" x14ac:dyDescent="0.25">
      <c r="E335" t="s">
        <v>128</v>
      </c>
    </row>
    <row r="336" spans="5:5" x14ac:dyDescent="0.25">
      <c r="E336" t="s">
        <v>127</v>
      </c>
    </row>
    <row r="337" spans="5:5" x14ac:dyDescent="0.25">
      <c r="E337" t="s">
        <v>126</v>
      </c>
    </row>
    <row r="338" spans="5:5" x14ac:dyDescent="0.25">
      <c r="E338" t="s">
        <v>129</v>
      </c>
    </row>
    <row r="339" spans="5:5" x14ac:dyDescent="0.25">
      <c r="E339" t="s">
        <v>130</v>
      </c>
    </row>
    <row r="340" spans="5:5" x14ac:dyDescent="0.25">
      <c r="E340" t="s">
        <v>133</v>
      </c>
    </row>
    <row r="341" spans="5:5" x14ac:dyDescent="0.25">
      <c r="E341" t="s">
        <v>134</v>
      </c>
    </row>
    <row r="342" spans="5:5" x14ac:dyDescent="0.25">
      <c r="E342" t="s">
        <v>174</v>
      </c>
    </row>
    <row r="343" spans="5:5" x14ac:dyDescent="0.25">
      <c r="E343" t="s">
        <v>167</v>
      </c>
    </row>
    <row r="344" spans="5:5" x14ac:dyDescent="0.25">
      <c r="E344" t="s">
        <v>99</v>
      </c>
    </row>
    <row r="345" spans="5:5" x14ac:dyDescent="0.25">
      <c r="E345" t="s">
        <v>98</v>
      </c>
    </row>
    <row r="346" spans="5:5" x14ac:dyDescent="0.25">
      <c r="E346" t="s">
        <v>100</v>
      </c>
    </row>
    <row r="347" spans="5:5" x14ac:dyDescent="0.25">
      <c r="E347" t="s">
        <v>97</v>
      </c>
    </row>
    <row r="348" spans="5:5" x14ac:dyDescent="0.25">
      <c r="E348" t="s">
        <v>96</v>
      </c>
    </row>
    <row r="349" spans="5:5" x14ac:dyDescent="0.25">
      <c r="E349" t="s">
        <v>95</v>
      </c>
    </row>
    <row r="350" spans="5:5" x14ac:dyDescent="0.25">
      <c r="E350" t="s">
        <v>166</v>
      </c>
    </row>
    <row r="351" spans="5:5" x14ac:dyDescent="0.25">
      <c r="E351" t="s">
        <v>94</v>
      </c>
    </row>
    <row r="352" spans="5:5" x14ac:dyDescent="0.25">
      <c r="E352" t="s">
        <v>93</v>
      </c>
    </row>
    <row r="353" spans="5:5" x14ac:dyDescent="0.25">
      <c r="E353" t="s">
        <v>92</v>
      </c>
    </row>
    <row r="354" spans="5:5" x14ac:dyDescent="0.25">
      <c r="E354" t="s">
        <v>91</v>
      </c>
    </row>
    <row r="355" spans="5:5" x14ac:dyDescent="0.25">
      <c r="E355" t="s">
        <v>165</v>
      </c>
    </row>
    <row r="356" spans="5:5" x14ac:dyDescent="0.25">
      <c r="E356" t="s">
        <v>132</v>
      </c>
    </row>
    <row r="357" spans="5:5" x14ac:dyDescent="0.25">
      <c r="E357" t="s">
        <v>131</v>
      </c>
    </row>
    <row r="358" spans="5:5" x14ac:dyDescent="0.25">
      <c r="E358" t="s">
        <v>164</v>
      </c>
    </row>
    <row r="359" spans="5:5" x14ac:dyDescent="0.25">
      <c r="E359" t="s">
        <v>163</v>
      </c>
    </row>
    <row r="360" spans="5:5" x14ac:dyDescent="0.25">
      <c r="E360" t="s">
        <v>162</v>
      </c>
    </row>
    <row r="361" spans="5:5" x14ac:dyDescent="0.25">
      <c r="E361" t="s">
        <v>161</v>
      </c>
    </row>
    <row r="362" spans="5:5" x14ac:dyDescent="0.25">
      <c r="E362" t="s">
        <v>160</v>
      </c>
    </row>
    <row r="363" spans="5:5" x14ac:dyDescent="0.25">
      <c r="E363" t="s">
        <v>159</v>
      </c>
    </row>
    <row r="364" spans="5:5" x14ac:dyDescent="0.25">
      <c r="E364" t="s">
        <v>158</v>
      </c>
    </row>
    <row r="365" spans="5:5" x14ac:dyDescent="0.25">
      <c r="E365" t="s">
        <v>89</v>
      </c>
    </row>
    <row r="366" spans="5:5" x14ac:dyDescent="0.25">
      <c r="E366" t="s">
        <v>90</v>
      </c>
    </row>
    <row r="367" spans="5:5" x14ac:dyDescent="0.25">
      <c r="E367" t="s">
        <v>88</v>
      </c>
    </row>
    <row r="368" spans="5:5" x14ac:dyDescent="0.25">
      <c r="E368" t="s">
        <v>87</v>
      </c>
    </row>
    <row r="369" spans="5:5" x14ac:dyDescent="0.25">
      <c r="E369" t="s">
        <v>86</v>
      </c>
    </row>
    <row r="370" spans="5:5" x14ac:dyDescent="0.25">
      <c r="E370" t="s">
        <v>83</v>
      </c>
    </row>
    <row r="371" spans="5:5" x14ac:dyDescent="0.25">
      <c r="E371" t="s">
        <v>82</v>
      </c>
    </row>
    <row r="372" spans="5:5" x14ac:dyDescent="0.25">
      <c r="E372" t="s">
        <v>81</v>
      </c>
    </row>
    <row r="373" spans="5:5" x14ac:dyDescent="0.25">
      <c r="E373" t="s">
        <v>80</v>
      </c>
    </row>
    <row r="374" spans="5:5" x14ac:dyDescent="0.25">
      <c r="E374" t="s">
        <v>79</v>
      </c>
    </row>
    <row r="375" spans="5:5" x14ac:dyDescent="0.25">
      <c r="E375" t="s">
        <v>85</v>
      </c>
    </row>
    <row r="376" spans="5:5" x14ac:dyDescent="0.25">
      <c r="E376" t="s">
        <v>84</v>
      </c>
    </row>
    <row r="377" spans="5:5" x14ac:dyDescent="0.25">
      <c r="E377" t="s">
        <v>78</v>
      </c>
    </row>
    <row r="378" spans="5:5" x14ac:dyDescent="0.25">
      <c r="E378" t="s">
        <v>77</v>
      </c>
    </row>
    <row r="379" spans="5:5" x14ac:dyDescent="0.25">
      <c r="E379" t="s">
        <v>76</v>
      </c>
    </row>
    <row r="380" spans="5:5" x14ac:dyDescent="0.25">
      <c r="E380" t="s">
        <v>75</v>
      </c>
    </row>
    <row r="381" spans="5:5" x14ac:dyDescent="0.25">
      <c r="E381" t="s">
        <v>74</v>
      </c>
    </row>
    <row r="382" spans="5:5" x14ac:dyDescent="0.25">
      <c r="E382" t="s">
        <v>73</v>
      </c>
    </row>
    <row r="383" spans="5:5" x14ac:dyDescent="0.25">
      <c r="E383" t="s">
        <v>72</v>
      </c>
    </row>
    <row r="384" spans="5:5" x14ac:dyDescent="0.25">
      <c r="E384" t="s">
        <v>71</v>
      </c>
    </row>
    <row r="385" spans="5:5" x14ac:dyDescent="0.25">
      <c r="E385" t="s">
        <v>70</v>
      </c>
    </row>
    <row r="386" spans="5:5" x14ac:dyDescent="0.25">
      <c r="E386" t="s">
        <v>69</v>
      </c>
    </row>
    <row r="387" spans="5:5" x14ac:dyDescent="0.25">
      <c r="E387" t="s">
        <v>68</v>
      </c>
    </row>
    <row r="388" spans="5:5" x14ac:dyDescent="0.25">
      <c r="E388" t="s">
        <v>230</v>
      </c>
    </row>
    <row r="389" spans="5:5" x14ac:dyDescent="0.25">
      <c r="E389" t="s">
        <v>231</v>
      </c>
    </row>
    <row r="390" spans="5:5" x14ac:dyDescent="0.25">
      <c r="E390" t="s">
        <v>232</v>
      </c>
    </row>
    <row r="391" spans="5:5" ht="13" x14ac:dyDescent="0.3">
      <c r="E391" s="23" t="s">
        <v>233</v>
      </c>
    </row>
    <row r="392" spans="5:5" x14ac:dyDescent="0.25">
      <c r="E392" t="s">
        <v>234</v>
      </c>
    </row>
    <row r="393" spans="5:5" x14ac:dyDescent="0.25">
      <c r="E393" t="s">
        <v>235</v>
      </c>
    </row>
    <row r="394" spans="5:5" x14ac:dyDescent="0.25">
      <c r="E394" t="s">
        <v>413</v>
      </c>
    </row>
    <row r="395" spans="5:5" x14ac:dyDescent="0.25">
      <c r="E395" t="s">
        <v>412</v>
      </c>
    </row>
    <row r="396" spans="5:5" x14ac:dyDescent="0.25">
      <c r="E396" t="s">
        <v>411</v>
      </c>
    </row>
    <row r="397" spans="5:5" x14ac:dyDescent="0.25">
      <c r="E397" t="s">
        <v>410</v>
      </c>
    </row>
    <row r="398" spans="5:5" x14ac:dyDescent="0.25">
      <c r="E398" t="s">
        <v>401</v>
      </c>
    </row>
    <row r="399" spans="5:5" x14ac:dyDescent="0.25">
      <c r="E399" t="s">
        <v>402</v>
      </c>
    </row>
    <row r="400" spans="5:5" x14ac:dyDescent="0.25">
      <c r="E400" t="s">
        <v>403</v>
      </c>
    </row>
    <row r="401" spans="5:5" x14ac:dyDescent="0.25">
      <c r="E401" t="s">
        <v>404</v>
      </c>
    </row>
    <row r="402" spans="5:5" x14ac:dyDescent="0.25">
      <c r="E402" t="s">
        <v>405</v>
      </c>
    </row>
    <row r="403" spans="5:5" x14ac:dyDescent="0.25">
      <c r="E403" t="s">
        <v>406</v>
      </c>
    </row>
    <row r="404" spans="5:5" x14ac:dyDescent="0.25">
      <c r="E404" t="s">
        <v>407</v>
      </c>
    </row>
    <row r="405" spans="5:5" x14ac:dyDescent="0.25">
      <c r="E405" t="s">
        <v>408</v>
      </c>
    </row>
    <row r="406" spans="5:5" x14ac:dyDescent="0.25">
      <c r="E406" t="s">
        <v>409</v>
      </c>
    </row>
    <row r="407" spans="5:5" ht="13" x14ac:dyDescent="0.3">
      <c r="E407" s="23" t="s">
        <v>400</v>
      </c>
    </row>
    <row r="408" spans="5:5" x14ac:dyDescent="0.25">
      <c r="E408" t="s">
        <v>394</v>
      </c>
    </row>
    <row r="409" spans="5:5" ht="13" x14ac:dyDescent="0.3">
      <c r="E409" s="24" t="s">
        <v>395</v>
      </c>
    </row>
    <row r="410" spans="5:5" x14ac:dyDescent="0.25">
      <c r="E410" t="s">
        <v>396</v>
      </c>
    </row>
    <row r="411" spans="5:5" ht="13" x14ac:dyDescent="0.3">
      <c r="E411" s="24" t="s">
        <v>397</v>
      </c>
    </row>
    <row r="412" spans="5:5" x14ac:dyDescent="0.25">
      <c r="E412" t="s">
        <v>398</v>
      </c>
    </row>
    <row r="413" spans="5:5" x14ac:dyDescent="0.25">
      <c r="E413" t="s">
        <v>399</v>
      </c>
    </row>
    <row r="414" spans="5:5" x14ac:dyDescent="0.25">
      <c r="E414" t="s">
        <v>386</v>
      </c>
    </row>
    <row r="415" spans="5:5" x14ac:dyDescent="0.25">
      <c r="E415" t="s">
        <v>389</v>
      </c>
    </row>
    <row r="416" spans="5:5" x14ac:dyDescent="0.25">
      <c r="E416" t="s">
        <v>387</v>
      </c>
    </row>
    <row r="417" spans="5:5" x14ac:dyDescent="0.25">
      <c r="E417" t="s">
        <v>388</v>
      </c>
    </row>
    <row r="418" spans="5:5" x14ac:dyDescent="0.25">
      <c r="E418" t="s">
        <v>390</v>
      </c>
    </row>
    <row r="419" spans="5:5" x14ac:dyDescent="0.25">
      <c r="E419" t="s">
        <v>391</v>
      </c>
    </row>
    <row r="420" spans="5:5" x14ac:dyDescent="0.25">
      <c r="E420" t="s">
        <v>392</v>
      </c>
    </row>
    <row r="421" spans="5:5" x14ac:dyDescent="0.25">
      <c r="E421" t="s">
        <v>393</v>
      </c>
    </row>
    <row r="422" spans="5:5" x14ac:dyDescent="0.25">
      <c r="E422" t="s">
        <v>385</v>
      </c>
    </row>
    <row r="423" spans="5:5" x14ac:dyDescent="0.25">
      <c r="E423" t="s">
        <v>377</v>
      </c>
    </row>
    <row r="424" spans="5:5" ht="13" x14ac:dyDescent="0.3">
      <c r="E424" s="24" t="s">
        <v>378</v>
      </c>
    </row>
    <row r="425" spans="5:5" x14ac:dyDescent="0.25">
      <c r="E425" t="s">
        <v>379</v>
      </c>
    </row>
    <row r="426" spans="5:5" x14ac:dyDescent="0.25">
      <c r="E426" t="s">
        <v>380</v>
      </c>
    </row>
    <row r="427" spans="5:5" x14ac:dyDescent="0.25">
      <c r="E427" t="s">
        <v>381</v>
      </c>
    </row>
    <row r="428" spans="5:5" ht="13" x14ac:dyDescent="0.3">
      <c r="E428" s="23" t="s">
        <v>382</v>
      </c>
    </row>
    <row r="429" spans="5:5" x14ac:dyDescent="0.25">
      <c r="E429" t="s">
        <v>383</v>
      </c>
    </row>
    <row r="430" spans="5:5" x14ac:dyDescent="0.25">
      <c r="E430" t="s">
        <v>384</v>
      </c>
    </row>
    <row r="431" spans="5:5" x14ac:dyDescent="0.25">
      <c r="E431" t="s">
        <v>373</v>
      </c>
    </row>
    <row r="432" spans="5:5" x14ac:dyDescent="0.25">
      <c r="E432" t="s">
        <v>374</v>
      </c>
    </row>
    <row r="433" spans="5:5" x14ac:dyDescent="0.25">
      <c r="E433" t="s">
        <v>375</v>
      </c>
    </row>
    <row r="434" spans="5:5" x14ac:dyDescent="0.25">
      <c r="E434" t="s">
        <v>376</v>
      </c>
    </row>
    <row r="435" spans="5:5" x14ac:dyDescent="0.25">
      <c r="E435" t="s">
        <v>367</v>
      </c>
    </row>
    <row r="436" spans="5:5" x14ac:dyDescent="0.25">
      <c r="E436" t="s">
        <v>368</v>
      </c>
    </row>
    <row r="437" spans="5:5" x14ac:dyDescent="0.25">
      <c r="E437" t="s">
        <v>369</v>
      </c>
    </row>
    <row r="438" spans="5:5" ht="13" x14ac:dyDescent="0.3">
      <c r="E438" s="24" t="s">
        <v>370</v>
      </c>
    </row>
    <row r="439" spans="5:5" x14ac:dyDescent="0.25">
      <c r="E439" t="s">
        <v>372</v>
      </c>
    </row>
    <row r="440" spans="5:5" x14ac:dyDescent="0.25">
      <c r="E440" t="s">
        <v>356</v>
      </c>
    </row>
    <row r="441" spans="5:5" x14ac:dyDescent="0.25">
      <c r="E441" t="s">
        <v>355</v>
      </c>
    </row>
    <row r="442" spans="5:5" x14ac:dyDescent="0.25">
      <c r="E442" t="s">
        <v>354</v>
      </c>
    </row>
    <row r="443" spans="5:5" x14ac:dyDescent="0.25">
      <c r="E443" t="s">
        <v>357</v>
      </c>
    </row>
    <row r="444" spans="5:5" x14ac:dyDescent="0.25">
      <c r="E444" t="s">
        <v>359</v>
      </c>
    </row>
    <row r="445" spans="5:5" x14ac:dyDescent="0.25">
      <c r="E445" t="s">
        <v>358</v>
      </c>
    </row>
    <row r="446" spans="5:5" x14ac:dyDescent="0.25">
      <c r="E446" t="s">
        <v>364</v>
      </c>
    </row>
    <row r="447" spans="5:5" x14ac:dyDescent="0.25">
      <c r="E447" t="s">
        <v>363</v>
      </c>
    </row>
    <row r="448" spans="5:5" x14ac:dyDescent="0.25">
      <c r="E448" t="s">
        <v>362</v>
      </c>
    </row>
    <row r="449" spans="5:5" ht="13" x14ac:dyDescent="0.3">
      <c r="E449" s="24" t="s">
        <v>361</v>
      </c>
    </row>
    <row r="450" spans="5:5" x14ac:dyDescent="0.25">
      <c r="E450" t="s">
        <v>360</v>
      </c>
    </row>
    <row r="451" spans="5:5" x14ac:dyDescent="0.25">
      <c r="E451" t="s">
        <v>353</v>
      </c>
    </row>
    <row r="452" spans="5:5" x14ac:dyDescent="0.25">
      <c r="E452" t="s">
        <v>365</v>
      </c>
    </row>
    <row r="453" spans="5:5" x14ac:dyDescent="0.25">
      <c r="E453" t="s">
        <v>366</v>
      </c>
    </row>
    <row r="454" spans="5:5" x14ac:dyDescent="0.25">
      <c r="E454" t="s">
        <v>346</v>
      </c>
    </row>
    <row r="455" spans="5:5" ht="13" x14ac:dyDescent="0.3">
      <c r="E455" s="24" t="s">
        <v>345</v>
      </c>
    </row>
    <row r="456" spans="5:5" x14ac:dyDescent="0.25">
      <c r="E456" t="s">
        <v>344</v>
      </c>
    </row>
    <row r="457" spans="5:5" ht="13" x14ac:dyDescent="0.3">
      <c r="E457" s="24" t="s">
        <v>347</v>
      </c>
    </row>
    <row r="458" spans="5:5" ht="13" x14ac:dyDescent="0.3">
      <c r="E458" s="24" t="s">
        <v>348</v>
      </c>
    </row>
    <row r="459" spans="5:5" x14ac:dyDescent="0.25">
      <c r="E459" t="s">
        <v>349</v>
      </c>
    </row>
    <row r="460" spans="5:5" x14ac:dyDescent="0.25">
      <c r="E460" t="s">
        <v>350</v>
      </c>
    </row>
    <row r="461" spans="5:5" x14ac:dyDescent="0.25">
      <c r="E461" t="s">
        <v>343</v>
      </c>
    </row>
    <row r="462" spans="5:5" x14ac:dyDescent="0.25">
      <c r="E462" t="s">
        <v>351</v>
      </c>
    </row>
    <row r="463" spans="5:5" x14ac:dyDescent="0.25">
      <c r="E463" t="s">
        <v>352</v>
      </c>
    </row>
    <row r="464" spans="5:5" x14ac:dyDescent="0.25">
      <c r="E464" t="s">
        <v>337</v>
      </c>
    </row>
    <row r="465" spans="5:5" x14ac:dyDescent="0.25">
      <c r="E465" t="s">
        <v>338</v>
      </c>
    </row>
    <row r="466" spans="5:5" x14ac:dyDescent="0.25">
      <c r="E466" t="s">
        <v>339</v>
      </c>
    </row>
    <row r="467" spans="5:5" ht="13" x14ac:dyDescent="0.3">
      <c r="E467" s="24" t="s">
        <v>340</v>
      </c>
    </row>
    <row r="468" spans="5:5" x14ac:dyDescent="0.25">
      <c r="E468" t="s">
        <v>341</v>
      </c>
    </row>
    <row r="469" spans="5:5" x14ac:dyDescent="0.25">
      <c r="E469" t="s">
        <v>342</v>
      </c>
    </row>
    <row r="470" spans="5:5" x14ac:dyDescent="0.25">
      <c r="E470" t="s">
        <v>333</v>
      </c>
    </row>
    <row r="471" spans="5:5" x14ac:dyDescent="0.25">
      <c r="E471" t="s">
        <v>327</v>
      </c>
    </row>
    <row r="472" spans="5:5" x14ac:dyDescent="0.25">
      <c r="E472" t="s">
        <v>328</v>
      </c>
    </row>
    <row r="473" spans="5:5" x14ac:dyDescent="0.25">
      <c r="E473" t="s">
        <v>329</v>
      </c>
    </row>
    <row r="474" spans="5:5" x14ac:dyDescent="0.25">
      <c r="E474" t="s">
        <v>330</v>
      </c>
    </row>
    <row r="475" spans="5:5" x14ac:dyDescent="0.25">
      <c r="E475" t="s">
        <v>332</v>
      </c>
    </row>
    <row r="476" spans="5:5" x14ac:dyDescent="0.25">
      <c r="E476" t="s">
        <v>331</v>
      </c>
    </row>
    <row r="477" spans="5:5" x14ac:dyDescent="0.25">
      <c r="E477" t="s">
        <v>334</v>
      </c>
    </row>
    <row r="478" spans="5:5" x14ac:dyDescent="0.25">
      <c r="E478" t="s">
        <v>336</v>
      </c>
    </row>
    <row r="479" spans="5:5" x14ac:dyDescent="0.25">
      <c r="E479" t="s">
        <v>335</v>
      </c>
    </row>
    <row r="480" spans="5:5" x14ac:dyDescent="0.25">
      <c r="E480" t="s">
        <v>326</v>
      </c>
    </row>
    <row r="481" spans="5:5" ht="13" x14ac:dyDescent="0.3">
      <c r="E481" s="23" t="s">
        <v>321</v>
      </c>
    </row>
    <row r="482" spans="5:5" x14ac:dyDescent="0.25">
      <c r="E482" t="s">
        <v>322</v>
      </c>
    </row>
    <row r="483" spans="5:5" ht="13" x14ac:dyDescent="0.3">
      <c r="E483" s="24" t="s">
        <v>323</v>
      </c>
    </row>
    <row r="484" spans="5:5" ht="13" x14ac:dyDescent="0.3">
      <c r="E484" s="24" t="s">
        <v>324</v>
      </c>
    </row>
    <row r="485" spans="5:5" ht="13" x14ac:dyDescent="0.3">
      <c r="E485" s="24" t="s">
        <v>325</v>
      </c>
    </row>
    <row r="486" spans="5:5" x14ac:dyDescent="0.25">
      <c r="E486" t="s">
        <v>316</v>
      </c>
    </row>
    <row r="487" spans="5:5" x14ac:dyDescent="0.25">
      <c r="E487" t="s">
        <v>315</v>
      </c>
    </row>
    <row r="488" spans="5:5" x14ac:dyDescent="0.25">
      <c r="E488" t="s">
        <v>314</v>
      </c>
    </row>
    <row r="489" spans="5:5" x14ac:dyDescent="0.25">
      <c r="E489" t="s">
        <v>313</v>
      </c>
    </row>
    <row r="490" spans="5:5" x14ac:dyDescent="0.25">
      <c r="E490" t="s">
        <v>312</v>
      </c>
    </row>
    <row r="491" spans="5:5" x14ac:dyDescent="0.25">
      <c r="E491" t="s">
        <v>311</v>
      </c>
    </row>
    <row r="492" spans="5:5" x14ac:dyDescent="0.25">
      <c r="E492" t="s">
        <v>317</v>
      </c>
    </row>
    <row r="493" spans="5:5" x14ac:dyDescent="0.25">
      <c r="E493" t="s">
        <v>318</v>
      </c>
    </row>
    <row r="494" spans="5:5" x14ac:dyDescent="0.25">
      <c r="E494" t="s">
        <v>319</v>
      </c>
    </row>
    <row r="495" spans="5:5" x14ac:dyDescent="0.25">
      <c r="E495" t="s">
        <v>320</v>
      </c>
    </row>
    <row r="496" spans="5:5" x14ac:dyDescent="0.25">
      <c r="E496" t="s">
        <v>310</v>
      </c>
    </row>
    <row r="497" spans="4:5" x14ac:dyDescent="0.25">
      <c r="E497" t="s">
        <v>309</v>
      </c>
    </row>
    <row r="498" spans="4:5" ht="13" x14ac:dyDescent="0.3">
      <c r="E498" s="23" t="s">
        <v>308</v>
      </c>
    </row>
    <row r="499" spans="4:5" x14ac:dyDescent="0.25">
      <c r="E499" t="s">
        <v>306</v>
      </c>
    </row>
    <row r="500" spans="4:5" ht="13" x14ac:dyDescent="0.3">
      <c r="D500" t="s">
        <v>1603</v>
      </c>
      <c r="E500" s="23" t="s">
        <v>307</v>
      </c>
    </row>
    <row r="501" spans="4:5" x14ac:dyDescent="0.25">
      <c r="E501" t="s">
        <v>298</v>
      </c>
    </row>
    <row r="502" spans="4:5" x14ac:dyDescent="0.25">
      <c r="E502" t="s">
        <v>299</v>
      </c>
    </row>
    <row r="503" spans="4:5" x14ac:dyDescent="0.25">
      <c r="E503" t="s">
        <v>300</v>
      </c>
    </row>
    <row r="504" spans="4:5" x14ac:dyDescent="0.25">
      <c r="E504" t="s">
        <v>301</v>
      </c>
    </row>
    <row r="505" spans="4:5" x14ac:dyDescent="0.25">
      <c r="E505" t="s">
        <v>302</v>
      </c>
    </row>
    <row r="506" spans="4:5" x14ac:dyDescent="0.25">
      <c r="E506" t="s">
        <v>303</v>
      </c>
    </row>
    <row r="507" spans="4:5" x14ac:dyDescent="0.25">
      <c r="E507" t="s">
        <v>304</v>
      </c>
    </row>
    <row r="508" spans="4:5" x14ac:dyDescent="0.25">
      <c r="E508" t="s">
        <v>305</v>
      </c>
    </row>
    <row r="509" spans="4:5" x14ac:dyDescent="0.25">
      <c r="E509" t="s">
        <v>297</v>
      </c>
    </row>
    <row r="510" spans="4:5" x14ac:dyDescent="0.25">
      <c r="E510" t="s">
        <v>291</v>
      </c>
    </row>
    <row r="511" spans="4:5" x14ac:dyDescent="0.25">
      <c r="E511" t="s">
        <v>292</v>
      </c>
    </row>
    <row r="512" spans="4:5" ht="13" x14ac:dyDescent="0.3">
      <c r="E512" s="24" t="s">
        <v>293</v>
      </c>
    </row>
    <row r="513" spans="5:5" x14ac:dyDescent="0.25">
      <c r="E513" t="s">
        <v>294</v>
      </c>
    </row>
    <row r="514" spans="5:5" ht="13" x14ac:dyDescent="0.3">
      <c r="E514" s="24" t="s">
        <v>295</v>
      </c>
    </row>
    <row r="515" spans="5:5" x14ac:dyDescent="0.25">
      <c r="E515" t="s">
        <v>296</v>
      </c>
    </row>
    <row r="516" spans="5:5" x14ac:dyDescent="0.25">
      <c r="E516" t="s">
        <v>280</v>
      </c>
    </row>
    <row r="517" spans="5:5" x14ac:dyDescent="0.25">
      <c r="E517" t="s">
        <v>278</v>
      </c>
    </row>
    <row r="518" spans="5:5" x14ac:dyDescent="0.25">
      <c r="E518" t="s">
        <v>279</v>
      </c>
    </row>
    <row r="519" spans="5:5" x14ac:dyDescent="0.25">
      <c r="E519" t="s">
        <v>282</v>
      </c>
    </row>
    <row r="520" spans="5:5" x14ac:dyDescent="0.25">
      <c r="E520" t="s">
        <v>281</v>
      </c>
    </row>
    <row r="521" spans="5:5" x14ac:dyDescent="0.25">
      <c r="E521" t="s">
        <v>283</v>
      </c>
    </row>
    <row r="522" spans="5:5" ht="13" x14ac:dyDescent="0.3">
      <c r="E522" s="23" t="s">
        <v>284</v>
      </c>
    </row>
    <row r="523" spans="5:5" x14ac:dyDescent="0.25">
      <c r="E523" t="s">
        <v>285</v>
      </c>
    </row>
    <row r="524" spans="5:5" x14ac:dyDescent="0.25">
      <c r="E524" t="s">
        <v>286</v>
      </c>
    </row>
    <row r="525" spans="5:5" x14ac:dyDescent="0.25">
      <c r="E525" t="s">
        <v>287</v>
      </c>
    </row>
    <row r="526" spans="5:5" x14ac:dyDescent="0.25">
      <c r="E526" t="s">
        <v>277</v>
      </c>
    </row>
    <row r="527" spans="5:5" x14ac:dyDescent="0.25">
      <c r="E527" t="s">
        <v>272</v>
      </c>
    </row>
    <row r="528" spans="5:5" x14ac:dyDescent="0.25">
      <c r="E528" t="s">
        <v>273</v>
      </c>
    </row>
    <row r="529" spans="5:5" x14ac:dyDescent="0.25">
      <c r="E529" t="s">
        <v>274</v>
      </c>
    </row>
    <row r="530" spans="5:5" x14ac:dyDescent="0.25">
      <c r="E530" t="s">
        <v>275</v>
      </c>
    </row>
    <row r="531" spans="5:5" x14ac:dyDescent="0.25">
      <c r="E531" t="s">
        <v>276</v>
      </c>
    </row>
    <row r="532" spans="5:5" x14ac:dyDescent="0.25">
      <c r="E532" t="s">
        <v>288</v>
      </c>
    </row>
    <row r="533" spans="5:5" x14ac:dyDescent="0.25">
      <c r="E533" t="s">
        <v>270</v>
      </c>
    </row>
    <row r="534" spans="5:5" x14ac:dyDescent="0.25">
      <c r="E534" t="s">
        <v>289</v>
      </c>
    </row>
    <row r="535" spans="5:5" x14ac:dyDescent="0.25">
      <c r="E535" t="s">
        <v>290</v>
      </c>
    </row>
    <row r="536" spans="5:5" x14ac:dyDescent="0.25">
      <c r="E536" t="s">
        <v>271</v>
      </c>
    </row>
    <row r="537" spans="5:5" x14ac:dyDescent="0.25">
      <c r="E537" t="s">
        <v>266</v>
      </c>
    </row>
    <row r="538" spans="5:5" x14ac:dyDescent="0.25">
      <c r="E538" t="s">
        <v>265</v>
      </c>
    </row>
    <row r="539" spans="5:5" x14ac:dyDescent="0.25">
      <c r="E539" t="s">
        <v>264</v>
      </c>
    </row>
    <row r="540" spans="5:5" x14ac:dyDescent="0.25">
      <c r="E540" t="s">
        <v>263</v>
      </c>
    </row>
    <row r="541" spans="5:5" x14ac:dyDescent="0.25">
      <c r="E541" t="s">
        <v>267</v>
      </c>
    </row>
    <row r="542" spans="5:5" x14ac:dyDescent="0.25">
      <c r="E542" t="s">
        <v>268</v>
      </c>
    </row>
    <row r="543" spans="5:5" x14ac:dyDescent="0.25">
      <c r="E543" t="s">
        <v>269</v>
      </c>
    </row>
    <row r="544" spans="5:5" x14ac:dyDescent="0.25">
      <c r="E544" t="s">
        <v>262</v>
      </c>
    </row>
    <row r="545" spans="5:5" x14ac:dyDescent="0.25">
      <c r="E545" t="s">
        <v>260</v>
      </c>
    </row>
    <row r="546" spans="5:5" x14ac:dyDescent="0.25">
      <c r="E546" t="s">
        <v>261</v>
      </c>
    </row>
    <row r="547" spans="5:5" x14ac:dyDescent="0.25">
      <c r="E547" t="s">
        <v>257</v>
      </c>
    </row>
    <row r="548" spans="5:5" x14ac:dyDescent="0.25">
      <c r="E548" t="s">
        <v>258</v>
      </c>
    </row>
    <row r="549" spans="5:5" x14ac:dyDescent="0.25">
      <c r="E549" t="s">
        <v>259</v>
      </c>
    </row>
    <row r="550" spans="5:5" x14ac:dyDescent="0.25">
      <c r="E550" t="s">
        <v>256</v>
      </c>
    </row>
    <row r="551" spans="5:5" x14ac:dyDescent="0.25">
      <c r="E551" t="s">
        <v>255</v>
      </c>
    </row>
    <row r="552" spans="5:5" x14ac:dyDescent="0.25">
      <c r="E552" t="s">
        <v>254</v>
      </c>
    </row>
    <row r="553" spans="5:5" ht="13" x14ac:dyDescent="0.3">
      <c r="E553" s="23" t="s">
        <v>252</v>
      </c>
    </row>
    <row r="554" spans="5:5" x14ac:dyDescent="0.25">
      <c r="E554" t="s">
        <v>253</v>
      </c>
    </row>
    <row r="555" spans="5:5" ht="13" x14ac:dyDescent="0.3">
      <c r="E555" s="23" t="s">
        <v>251</v>
      </c>
    </row>
    <row r="556" spans="5:5" ht="13" x14ac:dyDescent="0.3">
      <c r="E556" s="23" t="s">
        <v>250</v>
      </c>
    </row>
    <row r="557" spans="5:5" x14ac:dyDescent="0.25">
      <c r="E557" t="s">
        <v>249</v>
      </c>
    </row>
    <row r="558" spans="5:5" x14ac:dyDescent="0.25">
      <c r="E558" t="s">
        <v>248</v>
      </c>
    </row>
    <row r="559" spans="5:5" x14ac:dyDescent="0.25">
      <c r="E559" t="s">
        <v>247</v>
      </c>
    </row>
    <row r="560" spans="5:5" x14ac:dyDescent="0.25">
      <c r="E560" t="s">
        <v>246</v>
      </c>
    </row>
    <row r="561" spans="5:5" x14ac:dyDescent="0.25">
      <c r="E561" t="s">
        <v>243</v>
      </c>
    </row>
    <row r="562" spans="5:5" x14ac:dyDescent="0.25">
      <c r="E562" t="s">
        <v>244</v>
      </c>
    </row>
    <row r="563" spans="5:5" x14ac:dyDescent="0.25">
      <c r="E563" t="s">
        <v>245</v>
      </c>
    </row>
    <row r="564" spans="5:5" x14ac:dyDescent="0.25">
      <c r="E564" t="s">
        <v>242</v>
      </c>
    </row>
    <row r="565" spans="5:5" x14ac:dyDescent="0.25">
      <c r="E565" t="s">
        <v>241</v>
      </c>
    </row>
    <row r="566" spans="5:5" x14ac:dyDescent="0.25">
      <c r="E566" t="s">
        <v>238</v>
      </c>
    </row>
    <row r="567" spans="5:5" x14ac:dyDescent="0.25">
      <c r="E567" t="s">
        <v>239</v>
      </c>
    </row>
    <row r="568" spans="5:5" x14ac:dyDescent="0.25">
      <c r="E568" t="s">
        <v>240</v>
      </c>
    </row>
    <row r="569" spans="5:5" x14ac:dyDescent="0.25">
      <c r="E569" t="s">
        <v>237</v>
      </c>
    </row>
    <row r="570" spans="5:5" x14ac:dyDescent="0.25">
      <c r="E570" t="s">
        <v>236</v>
      </c>
    </row>
    <row r="571" spans="5:5" x14ac:dyDescent="0.25">
      <c r="E571" t="s">
        <v>414</v>
      </c>
    </row>
    <row r="572" spans="5:5" x14ac:dyDescent="0.25">
      <c r="E572" t="s">
        <v>415</v>
      </c>
    </row>
    <row r="573" spans="5:5" x14ac:dyDescent="0.25">
      <c r="E573" t="s">
        <v>416</v>
      </c>
    </row>
    <row r="574" spans="5:5" x14ac:dyDescent="0.25">
      <c r="E574" t="s">
        <v>427</v>
      </c>
    </row>
    <row r="575" spans="5:5" x14ac:dyDescent="0.25">
      <c r="E575" t="s">
        <v>426</v>
      </c>
    </row>
    <row r="576" spans="5:5" x14ac:dyDescent="0.25">
      <c r="E576" t="s">
        <v>425</v>
      </c>
    </row>
    <row r="577" spans="3:5" x14ac:dyDescent="0.25">
      <c r="E577" t="s">
        <v>424</v>
      </c>
    </row>
    <row r="578" spans="3:5" x14ac:dyDescent="0.25">
      <c r="E578" t="s">
        <v>419</v>
      </c>
    </row>
    <row r="579" spans="3:5" x14ac:dyDescent="0.25">
      <c r="E579" t="s">
        <v>418</v>
      </c>
    </row>
    <row r="580" spans="3:5" x14ac:dyDescent="0.25">
      <c r="E580" t="s">
        <v>417</v>
      </c>
    </row>
    <row r="581" spans="3:5" x14ac:dyDescent="0.25">
      <c r="E581" t="s">
        <v>423</v>
      </c>
    </row>
    <row r="582" spans="3:5" x14ac:dyDescent="0.25">
      <c r="E582" t="s">
        <v>421</v>
      </c>
    </row>
    <row r="583" spans="3:5" x14ac:dyDescent="0.25">
      <c r="E583" t="s">
        <v>420</v>
      </c>
    </row>
    <row r="584" spans="3:5" x14ac:dyDescent="0.25">
      <c r="E584" t="s">
        <v>422</v>
      </c>
    </row>
    <row r="585" spans="3:5" ht="13" x14ac:dyDescent="0.3">
      <c r="C585">
        <v>10</v>
      </c>
      <c r="D585" t="s">
        <v>1586</v>
      </c>
      <c r="E585" s="23" t="s">
        <v>476</v>
      </c>
    </row>
    <row r="586" spans="3:5" x14ac:dyDescent="0.25">
      <c r="E586" t="s">
        <v>477</v>
      </c>
    </row>
    <row r="587" spans="3:5" x14ac:dyDescent="0.25">
      <c r="E587" t="s">
        <v>478</v>
      </c>
    </row>
    <row r="588" spans="3:5" x14ac:dyDescent="0.25">
      <c r="E588" t="s">
        <v>479</v>
      </c>
    </row>
    <row r="589" spans="3:5" x14ac:dyDescent="0.25">
      <c r="E589" t="s">
        <v>480</v>
      </c>
    </row>
    <row r="590" spans="3:5" x14ac:dyDescent="0.25">
      <c r="E590" t="s">
        <v>481</v>
      </c>
    </row>
    <row r="591" spans="3:5" x14ac:dyDescent="0.25">
      <c r="E591" t="s">
        <v>485</v>
      </c>
    </row>
    <row r="592" spans="3:5" x14ac:dyDescent="0.25">
      <c r="E592" t="s">
        <v>483</v>
      </c>
    </row>
    <row r="593" spans="2:5" x14ac:dyDescent="0.25">
      <c r="E593" t="s">
        <v>482</v>
      </c>
    </row>
    <row r="594" spans="2:5" x14ac:dyDescent="0.25">
      <c r="E594" t="s">
        <v>484</v>
      </c>
    </row>
    <row r="595" spans="2:5" x14ac:dyDescent="0.25">
      <c r="E595" t="s">
        <v>486</v>
      </c>
    </row>
    <row r="596" spans="2:5" x14ac:dyDescent="0.25">
      <c r="E596" t="s">
        <v>489</v>
      </c>
    </row>
    <row r="597" spans="2:5" x14ac:dyDescent="0.25">
      <c r="E597" t="s">
        <v>487</v>
      </c>
    </row>
    <row r="598" spans="2:5" x14ac:dyDescent="0.25">
      <c r="E598" t="s">
        <v>488</v>
      </c>
    </row>
    <row r="599" spans="2:5" x14ac:dyDescent="0.25">
      <c r="E599" t="s">
        <v>540</v>
      </c>
    </row>
    <row r="600" spans="2:5" ht="13" x14ac:dyDescent="0.3">
      <c r="E600" s="24" t="s">
        <v>490</v>
      </c>
    </row>
    <row r="601" spans="2:5" x14ac:dyDescent="0.25">
      <c r="E601" t="s">
        <v>541</v>
      </c>
    </row>
    <row r="602" spans="2:5" ht="13" x14ac:dyDescent="0.3">
      <c r="B602" t="s">
        <v>1604</v>
      </c>
      <c r="E602" s="23" t="s">
        <v>542</v>
      </c>
    </row>
    <row r="603" spans="2:5" x14ac:dyDescent="0.25">
      <c r="B603" t="s">
        <v>1604</v>
      </c>
      <c r="E603" t="s">
        <v>543</v>
      </c>
    </row>
    <row r="604" spans="2:5" x14ac:dyDescent="0.25">
      <c r="B604" t="s">
        <v>1604</v>
      </c>
      <c r="E604" t="s">
        <v>544</v>
      </c>
    </row>
    <row r="605" spans="2:5" x14ac:dyDescent="0.25">
      <c r="B605" t="s">
        <v>1604</v>
      </c>
      <c r="E605" t="s">
        <v>545</v>
      </c>
    </row>
    <row r="606" spans="2:5" x14ac:dyDescent="0.25">
      <c r="B606" t="s">
        <v>1604</v>
      </c>
      <c r="E606" t="s">
        <v>546</v>
      </c>
    </row>
    <row r="607" spans="2:5" x14ac:dyDescent="0.25">
      <c r="E607" t="s">
        <v>547</v>
      </c>
    </row>
    <row r="608" spans="2:5" x14ac:dyDescent="0.25">
      <c r="E608" t="s">
        <v>548</v>
      </c>
    </row>
    <row r="609" spans="2:5" x14ac:dyDescent="0.25">
      <c r="E609" t="s">
        <v>497</v>
      </c>
    </row>
    <row r="610" spans="2:5" x14ac:dyDescent="0.25">
      <c r="E610" t="s">
        <v>496</v>
      </c>
    </row>
    <row r="611" spans="2:5" x14ac:dyDescent="0.25">
      <c r="E611" t="s">
        <v>495</v>
      </c>
    </row>
    <row r="612" spans="2:5" x14ac:dyDescent="0.25">
      <c r="E612" t="s">
        <v>491</v>
      </c>
    </row>
    <row r="613" spans="2:5" x14ac:dyDescent="0.25">
      <c r="E613" t="s">
        <v>492</v>
      </c>
    </row>
    <row r="614" spans="2:5" x14ac:dyDescent="0.25">
      <c r="B614" t="s">
        <v>1605</v>
      </c>
      <c r="E614" t="s">
        <v>494</v>
      </c>
    </row>
    <row r="615" spans="2:5" x14ac:dyDescent="0.25">
      <c r="E615" t="s">
        <v>493</v>
      </c>
    </row>
    <row r="616" spans="2:5" x14ac:dyDescent="0.25">
      <c r="E616" t="s">
        <v>500</v>
      </c>
    </row>
    <row r="617" spans="2:5" ht="13" x14ac:dyDescent="0.3">
      <c r="E617" s="24" t="s">
        <v>499</v>
      </c>
    </row>
    <row r="618" spans="2:5" ht="13" x14ac:dyDescent="0.3">
      <c r="E618" s="24" t="s">
        <v>498</v>
      </c>
    </row>
    <row r="619" spans="2:5" x14ac:dyDescent="0.25">
      <c r="E619" t="s">
        <v>501</v>
      </c>
    </row>
    <row r="620" spans="2:5" x14ac:dyDescent="0.25">
      <c r="E620" t="s">
        <v>502</v>
      </c>
    </row>
    <row r="621" spans="2:5" x14ac:dyDescent="0.25">
      <c r="E621" t="s">
        <v>552</v>
      </c>
    </row>
    <row r="622" spans="2:5" x14ac:dyDescent="0.25">
      <c r="E622" t="s">
        <v>551</v>
      </c>
    </row>
    <row r="623" spans="2:5" x14ac:dyDescent="0.25">
      <c r="E623" t="s">
        <v>550</v>
      </c>
    </row>
    <row r="624" spans="2:5" x14ac:dyDescent="0.25">
      <c r="E624" t="s">
        <v>549</v>
      </c>
    </row>
    <row r="625" spans="5:5" x14ac:dyDescent="0.25">
      <c r="E625" t="s">
        <v>553</v>
      </c>
    </row>
    <row r="626" spans="5:5" x14ac:dyDescent="0.25">
      <c r="E626" t="s">
        <v>503</v>
      </c>
    </row>
    <row r="627" spans="5:5" x14ac:dyDescent="0.25">
      <c r="E627" t="s">
        <v>504</v>
      </c>
    </row>
    <row r="628" spans="5:5" x14ac:dyDescent="0.25">
      <c r="E628" t="s">
        <v>554</v>
      </c>
    </row>
    <row r="629" spans="5:5" x14ac:dyDescent="0.25">
      <c r="E629" t="s">
        <v>555</v>
      </c>
    </row>
    <row r="630" spans="5:5" x14ac:dyDescent="0.25">
      <c r="E630" t="s">
        <v>556</v>
      </c>
    </row>
    <row r="631" spans="5:5" x14ac:dyDescent="0.25">
      <c r="E631" t="s">
        <v>505</v>
      </c>
    </row>
    <row r="632" spans="5:5" x14ac:dyDescent="0.25">
      <c r="E632" t="s">
        <v>506</v>
      </c>
    </row>
    <row r="633" spans="5:5" x14ac:dyDescent="0.25">
      <c r="E633" t="s">
        <v>507</v>
      </c>
    </row>
    <row r="634" spans="5:5" x14ac:dyDescent="0.25">
      <c r="E634" t="s">
        <v>508</v>
      </c>
    </row>
    <row r="635" spans="5:5" x14ac:dyDescent="0.25">
      <c r="E635" t="s">
        <v>558</v>
      </c>
    </row>
    <row r="636" spans="5:5" x14ac:dyDescent="0.25">
      <c r="E636" t="s">
        <v>509</v>
      </c>
    </row>
    <row r="637" spans="5:5" x14ac:dyDescent="0.25">
      <c r="E637" t="s">
        <v>557</v>
      </c>
    </row>
    <row r="638" spans="5:5" x14ac:dyDescent="0.25">
      <c r="E638" t="s">
        <v>510</v>
      </c>
    </row>
    <row r="639" spans="5:5" x14ac:dyDescent="0.25">
      <c r="E639" t="s">
        <v>559</v>
      </c>
    </row>
    <row r="640" spans="5:5" x14ac:dyDescent="0.25">
      <c r="E640" t="s">
        <v>560</v>
      </c>
    </row>
    <row r="641" spans="5:5" x14ac:dyDescent="0.25">
      <c r="E641" t="s">
        <v>561</v>
      </c>
    </row>
    <row r="642" spans="5:5" x14ac:dyDescent="0.25">
      <c r="E642" t="s">
        <v>522</v>
      </c>
    </row>
    <row r="643" spans="5:5" x14ac:dyDescent="0.25">
      <c r="E643" t="s">
        <v>519</v>
      </c>
    </row>
    <row r="644" spans="5:5" x14ac:dyDescent="0.25">
      <c r="E644" t="s">
        <v>518</v>
      </c>
    </row>
    <row r="645" spans="5:5" x14ac:dyDescent="0.25">
      <c r="E645" t="s">
        <v>517</v>
      </c>
    </row>
    <row r="646" spans="5:5" x14ac:dyDescent="0.25">
      <c r="E646" t="s">
        <v>511</v>
      </c>
    </row>
    <row r="647" spans="5:5" x14ac:dyDescent="0.25">
      <c r="E647" t="s">
        <v>512</v>
      </c>
    </row>
    <row r="648" spans="5:5" x14ac:dyDescent="0.25">
      <c r="E648" t="s">
        <v>513</v>
      </c>
    </row>
    <row r="649" spans="5:5" x14ac:dyDescent="0.25">
      <c r="E649" t="s">
        <v>514</v>
      </c>
    </row>
    <row r="650" spans="5:5" x14ac:dyDescent="0.25">
      <c r="E650" t="s">
        <v>515</v>
      </c>
    </row>
    <row r="651" spans="5:5" x14ac:dyDescent="0.25">
      <c r="E651" t="s">
        <v>516</v>
      </c>
    </row>
    <row r="652" spans="5:5" x14ac:dyDescent="0.25">
      <c r="E652" t="s">
        <v>520</v>
      </c>
    </row>
    <row r="653" spans="5:5" x14ac:dyDescent="0.25">
      <c r="E653" t="s">
        <v>521</v>
      </c>
    </row>
    <row r="654" spans="5:5" x14ac:dyDescent="0.25">
      <c r="E654" t="s">
        <v>562</v>
      </c>
    </row>
    <row r="655" spans="5:5" ht="13" x14ac:dyDescent="0.3">
      <c r="E655" s="24" t="s">
        <v>601</v>
      </c>
    </row>
    <row r="656" spans="5:5" x14ac:dyDescent="0.25">
      <c r="E656" t="s">
        <v>602</v>
      </c>
    </row>
    <row r="657" spans="4:5" x14ac:dyDescent="0.25">
      <c r="E657" t="s">
        <v>599</v>
      </c>
    </row>
    <row r="658" spans="4:5" x14ac:dyDescent="0.25">
      <c r="E658" t="s">
        <v>461</v>
      </c>
    </row>
    <row r="659" spans="4:5" x14ac:dyDescent="0.25">
      <c r="E659" t="s">
        <v>462</v>
      </c>
    </row>
    <row r="660" spans="4:5" x14ac:dyDescent="0.25">
      <c r="E660" t="s">
        <v>463</v>
      </c>
    </row>
    <row r="661" spans="4:5" x14ac:dyDescent="0.25">
      <c r="E661" t="s">
        <v>523</v>
      </c>
    </row>
    <row r="662" spans="4:5" x14ac:dyDescent="0.25">
      <c r="E662" t="s">
        <v>600</v>
      </c>
    </row>
    <row r="663" spans="4:5" x14ac:dyDescent="0.25">
      <c r="E663" t="s">
        <v>598</v>
      </c>
    </row>
    <row r="664" spans="4:5" x14ac:dyDescent="0.25">
      <c r="E664" t="s">
        <v>597</v>
      </c>
    </row>
    <row r="665" spans="4:5" x14ac:dyDescent="0.25">
      <c r="E665" t="s">
        <v>460</v>
      </c>
    </row>
    <row r="666" spans="4:5" x14ac:dyDescent="0.25">
      <c r="E666" t="s">
        <v>459</v>
      </c>
    </row>
    <row r="667" spans="4:5" x14ac:dyDescent="0.25">
      <c r="E667" t="s">
        <v>596</v>
      </c>
    </row>
    <row r="668" spans="4:5" ht="13" x14ac:dyDescent="0.3">
      <c r="E668" s="24" t="s">
        <v>595</v>
      </c>
    </row>
    <row r="669" spans="4:5" x14ac:dyDescent="0.25">
      <c r="E669" t="s">
        <v>524</v>
      </c>
    </row>
    <row r="670" spans="4:5" x14ac:dyDescent="0.25">
      <c r="D670" t="s">
        <v>1585</v>
      </c>
      <c r="E670" t="s">
        <v>470</v>
      </c>
    </row>
    <row r="671" spans="4:5" x14ac:dyDescent="0.25">
      <c r="E671" t="s">
        <v>469</v>
      </c>
    </row>
    <row r="672" spans="4:5" x14ac:dyDescent="0.25">
      <c r="E672" t="s">
        <v>468</v>
      </c>
    </row>
    <row r="673" spans="5:5" x14ac:dyDescent="0.25">
      <c r="E673" t="s">
        <v>471</v>
      </c>
    </row>
    <row r="674" spans="5:5" x14ac:dyDescent="0.25">
      <c r="E674" t="s">
        <v>472</v>
      </c>
    </row>
    <row r="675" spans="5:5" x14ac:dyDescent="0.25">
      <c r="E675" t="s">
        <v>473</v>
      </c>
    </row>
    <row r="676" spans="5:5" x14ac:dyDescent="0.25">
      <c r="E676" t="s">
        <v>474</v>
      </c>
    </row>
    <row r="677" spans="5:5" x14ac:dyDescent="0.25">
      <c r="E677" t="s">
        <v>475</v>
      </c>
    </row>
    <row r="678" spans="5:5" x14ac:dyDescent="0.25">
      <c r="E678" t="s">
        <v>594</v>
      </c>
    </row>
    <row r="679" spans="5:5" x14ac:dyDescent="0.25">
      <c r="E679" t="s">
        <v>457</v>
      </c>
    </row>
    <row r="680" spans="5:5" x14ac:dyDescent="0.25">
      <c r="E680" t="s">
        <v>456</v>
      </c>
    </row>
    <row r="681" spans="5:5" x14ac:dyDescent="0.25">
      <c r="E681" t="s">
        <v>458</v>
      </c>
    </row>
    <row r="682" spans="5:5" x14ac:dyDescent="0.25">
      <c r="E682" t="s">
        <v>467</v>
      </c>
    </row>
    <row r="683" spans="5:5" x14ac:dyDescent="0.25">
      <c r="E683" t="s">
        <v>466</v>
      </c>
    </row>
    <row r="684" spans="5:5" x14ac:dyDescent="0.25">
      <c r="E684" t="s">
        <v>592</v>
      </c>
    </row>
    <row r="685" spans="5:5" x14ac:dyDescent="0.25">
      <c r="E685" t="s">
        <v>593</v>
      </c>
    </row>
    <row r="686" spans="5:5" x14ac:dyDescent="0.25">
      <c r="E686" t="s">
        <v>453</v>
      </c>
    </row>
    <row r="687" spans="5:5" x14ac:dyDescent="0.25">
      <c r="E687" t="s">
        <v>591</v>
      </c>
    </row>
    <row r="688" spans="5:5" x14ac:dyDescent="0.25">
      <c r="E688" t="s">
        <v>454</v>
      </c>
    </row>
    <row r="689" spans="5:5" x14ac:dyDescent="0.25">
      <c r="E689" t="s">
        <v>455</v>
      </c>
    </row>
    <row r="690" spans="5:5" x14ac:dyDescent="0.25">
      <c r="E690" t="s">
        <v>525</v>
      </c>
    </row>
    <row r="691" spans="5:5" x14ac:dyDescent="0.25">
      <c r="E691" t="s">
        <v>590</v>
      </c>
    </row>
    <row r="692" spans="5:5" x14ac:dyDescent="0.25">
      <c r="E692" t="s">
        <v>589</v>
      </c>
    </row>
    <row r="693" spans="5:5" x14ac:dyDescent="0.25">
      <c r="E693" t="s">
        <v>465</v>
      </c>
    </row>
    <row r="694" spans="5:5" x14ac:dyDescent="0.25">
      <c r="E694" t="s">
        <v>452</v>
      </c>
    </row>
    <row r="695" spans="5:5" x14ac:dyDescent="0.25">
      <c r="E695" t="s">
        <v>451</v>
      </c>
    </row>
    <row r="696" spans="5:5" x14ac:dyDescent="0.25">
      <c r="E696" t="s">
        <v>450</v>
      </c>
    </row>
    <row r="697" spans="5:5" x14ac:dyDescent="0.25">
      <c r="E697" t="s">
        <v>449</v>
      </c>
    </row>
    <row r="698" spans="5:5" x14ac:dyDescent="0.25">
      <c r="E698" t="s">
        <v>464</v>
      </c>
    </row>
    <row r="699" spans="5:5" x14ac:dyDescent="0.25">
      <c r="E699" t="s">
        <v>587</v>
      </c>
    </row>
    <row r="700" spans="5:5" x14ac:dyDescent="0.25">
      <c r="E700" t="s">
        <v>588</v>
      </c>
    </row>
    <row r="701" spans="5:5" x14ac:dyDescent="0.25">
      <c r="E701" t="s">
        <v>527</v>
      </c>
    </row>
    <row r="702" spans="5:5" ht="13" x14ac:dyDescent="0.3">
      <c r="E702" s="24" t="s">
        <v>526</v>
      </c>
    </row>
    <row r="703" spans="5:5" ht="13" x14ac:dyDescent="0.3">
      <c r="E703" s="24" t="s">
        <v>586</v>
      </c>
    </row>
    <row r="704" spans="5:5" x14ac:dyDescent="0.25">
      <c r="E704" t="s">
        <v>585</v>
      </c>
    </row>
    <row r="705" spans="2:5" x14ac:dyDescent="0.25">
      <c r="E705" t="s">
        <v>584</v>
      </c>
    </row>
    <row r="706" spans="2:5" x14ac:dyDescent="0.25">
      <c r="E706" t="s">
        <v>583</v>
      </c>
    </row>
    <row r="707" spans="2:5" x14ac:dyDescent="0.25">
      <c r="E707" t="s">
        <v>582</v>
      </c>
    </row>
    <row r="708" spans="2:5" x14ac:dyDescent="0.25">
      <c r="E708" t="s">
        <v>581</v>
      </c>
    </row>
    <row r="709" spans="2:5" x14ac:dyDescent="0.25">
      <c r="E709" t="s">
        <v>580</v>
      </c>
    </row>
    <row r="710" spans="2:5" x14ac:dyDescent="0.25">
      <c r="E710" t="s">
        <v>528</v>
      </c>
    </row>
    <row r="711" spans="2:5" x14ac:dyDescent="0.25">
      <c r="E711" t="s">
        <v>529</v>
      </c>
    </row>
    <row r="712" spans="2:5" ht="13" x14ac:dyDescent="0.3">
      <c r="E712" s="24" t="s">
        <v>530</v>
      </c>
    </row>
    <row r="713" spans="2:5" x14ac:dyDescent="0.25">
      <c r="E713" t="s">
        <v>531</v>
      </c>
    </row>
    <row r="714" spans="2:5" x14ac:dyDescent="0.25">
      <c r="E714" t="s">
        <v>579</v>
      </c>
    </row>
    <row r="715" spans="2:5" ht="13" x14ac:dyDescent="0.3">
      <c r="B715" t="s">
        <v>1574</v>
      </c>
      <c r="E715" s="23" t="s">
        <v>576</v>
      </c>
    </row>
    <row r="716" spans="2:5" x14ac:dyDescent="0.25">
      <c r="E716" t="s">
        <v>577</v>
      </c>
    </row>
    <row r="717" spans="2:5" x14ac:dyDescent="0.25">
      <c r="E717" t="s">
        <v>578</v>
      </c>
    </row>
    <row r="718" spans="2:5" x14ac:dyDescent="0.25">
      <c r="E718" t="s">
        <v>572</v>
      </c>
    </row>
    <row r="719" spans="2:5" x14ac:dyDescent="0.25">
      <c r="D719" t="s">
        <v>1584</v>
      </c>
      <c r="E719" t="s">
        <v>575</v>
      </c>
    </row>
    <row r="720" spans="2:5" x14ac:dyDescent="0.25">
      <c r="E720" t="s">
        <v>573</v>
      </c>
    </row>
    <row r="721" spans="2:5" x14ac:dyDescent="0.25">
      <c r="E721" t="s">
        <v>574</v>
      </c>
    </row>
    <row r="722" spans="2:5" ht="13" x14ac:dyDescent="0.3">
      <c r="E722" s="24" t="s">
        <v>571</v>
      </c>
    </row>
    <row r="723" spans="2:5" ht="13" x14ac:dyDescent="0.3">
      <c r="E723" s="24" t="s">
        <v>570</v>
      </c>
    </row>
    <row r="724" spans="2:5" ht="13" x14ac:dyDescent="0.3">
      <c r="B724" t="s">
        <v>1574</v>
      </c>
      <c r="E724" s="23" t="s">
        <v>536</v>
      </c>
    </row>
    <row r="725" spans="2:5" x14ac:dyDescent="0.25">
      <c r="E725" t="s">
        <v>534</v>
      </c>
    </row>
    <row r="726" spans="2:5" x14ac:dyDescent="0.25">
      <c r="E726" t="s">
        <v>535</v>
      </c>
    </row>
    <row r="727" spans="2:5" x14ac:dyDescent="0.25">
      <c r="E727" t="s">
        <v>537</v>
      </c>
    </row>
    <row r="728" spans="2:5" x14ac:dyDescent="0.25">
      <c r="E728" t="s">
        <v>538</v>
      </c>
    </row>
    <row r="729" spans="2:5" x14ac:dyDescent="0.25">
      <c r="E729" t="s">
        <v>539</v>
      </c>
    </row>
    <row r="730" spans="2:5" x14ac:dyDescent="0.25">
      <c r="E730" t="s">
        <v>569</v>
      </c>
    </row>
    <row r="731" spans="2:5" x14ac:dyDescent="0.25">
      <c r="E731" t="s">
        <v>568</v>
      </c>
    </row>
    <row r="732" spans="2:5" x14ac:dyDescent="0.25">
      <c r="E732" t="s">
        <v>566</v>
      </c>
    </row>
    <row r="733" spans="2:5" x14ac:dyDescent="0.25">
      <c r="E733" t="s">
        <v>567</v>
      </c>
    </row>
    <row r="734" spans="2:5" x14ac:dyDescent="0.25">
      <c r="E734" t="s">
        <v>565</v>
      </c>
    </row>
    <row r="735" spans="2:5" x14ac:dyDescent="0.25">
      <c r="E735" t="s">
        <v>564</v>
      </c>
    </row>
    <row r="736" spans="2:5" x14ac:dyDescent="0.25">
      <c r="E736" t="s">
        <v>563</v>
      </c>
    </row>
    <row r="737" spans="5:5" x14ac:dyDescent="0.25">
      <c r="E737" t="s">
        <v>447</v>
      </c>
    </row>
    <row r="738" spans="5:5" x14ac:dyDescent="0.25">
      <c r="E738" t="s">
        <v>442</v>
      </c>
    </row>
    <row r="739" spans="5:5" x14ac:dyDescent="0.25">
      <c r="E739" t="s">
        <v>441</v>
      </c>
    </row>
    <row r="740" spans="5:5" x14ac:dyDescent="0.25">
      <c r="E740" t="s">
        <v>446</v>
      </c>
    </row>
    <row r="741" spans="5:5" x14ac:dyDescent="0.25">
      <c r="E741" t="s">
        <v>445</v>
      </c>
    </row>
    <row r="742" spans="5:5" x14ac:dyDescent="0.25">
      <c r="E742" t="s">
        <v>444</v>
      </c>
    </row>
    <row r="743" spans="5:5" x14ac:dyDescent="0.25">
      <c r="E743" t="s">
        <v>443</v>
      </c>
    </row>
    <row r="744" spans="5:5" x14ac:dyDescent="0.25">
      <c r="E744" t="s">
        <v>533</v>
      </c>
    </row>
    <row r="745" spans="5:5" ht="13" x14ac:dyDescent="0.3">
      <c r="E745" s="24" t="s">
        <v>532</v>
      </c>
    </row>
    <row r="746" spans="5:5" x14ac:dyDescent="0.25">
      <c r="E746" t="s">
        <v>448</v>
      </c>
    </row>
    <row r="747" spans="5:5" x14ac:dyDescent="0.25">
      <c r="E747" t="s">
        <v>440</v>
      </c>
    </row>
    <row r="748" spans="5:5" x14ac:dyDescent="0.25">
      <c r="E748" t="s">
        <v>439</v>
      </c>
    </row>
    <row r="749" spans="5:5" x14ac:dyDescent="0.25">
      <c r="E749" t="s">
        <v>431</v>
      </c>
    </row>
    <row r="750" spans="5:5" x14ac:dyDescent="0.25">
      <c r="E750" t="s">
        <v>430</v>
      </c>
    </row>
    <row r="751" spans="5:5" x14ac:dyDescent="0.25">
      <c r="E751" t="s">
        <v>432</v>
      </c>
    </row>
    <row r="752" spans="5:5" ht="13" x14ac:dyDescent="0.3">
      <c r="E752" s="24" t="s">
        <v>433</v>
      </c>
    </row>
    <row r="753" spans="2:5" ht="13" x14ac:dyDescent="0.3">
      <c r="B753" t="s">
        <v>1574</v>
      </c>
      <c r="E753" s="23" t="s">
        <v>434</v>
      </c>
    </row>
    <row r="754" spans="2:5" ht="13" x14ac:dyDescent="0.3">
      <c r="E754" s="24" t="s">
        <v>435</v>
      </c>
    </row>
    <row r="755" spans="2:5" x14ac:dyDescent="0.25">
      <c r="E755" t="s">
        <v>436</v>
      </c>
    </row>
    <row r="756" spans="2:5" x14ac:dyDescent="0.25">
      <c r="E756" t="s">
        <v>437</v>
      </c>
    </row>
    <row r="757" spans="2:5" x14ac:dyDescent="0.25">
      <c r="E757" t="s">
        <v>438</v>
      </c>
    </row>
    <row r="758" spans="2:5" ht="13" x14ac:dyDescent="0.3">
      <c r="E758" s="24" t="s">
        <v>429</v>
      </c>
    </row>
    <row r="759" spans="2:5" ht="13" x14ac:dyDescent="0.3">
      <c r="E759" s="24" t="s">
        <v>428</v>
      </c>
    </row>
    <row r="760" spans="2:5" ht="13" x14ac:dyDescent="0.3">
      <c r="E760" s="24" t="s">
        <v>606</v>
      </c>
    </row>
    <row r="761" spans="2:5" ht="13" x14ac:dyDescent="0.3">
      <c r="E761" s="24" t="s">
        <v>605</v>
      </c>
    </row>
    <row r="762" spans="2:5" x14ac:dyDescent="0.25">
      <c r="E762" t="s">
        <v>603</v>
      </c>
    </row>
    <row r="763" spans="2:5" x14ac:dyDescent="0.25">
      <c r="E763" t="s">
        <v>604</v>
      </c>
    </row>
    <row r="764" spans="2:5" x14ac:dyDescent="0.25">
      <c r="E764" t="s">
        <v>607</v>
      </c>
    </row>
    <row r="765" spans="2:5" x14ac:dyDescent="0.25">
      <c r="E765" t="s">
        <v>613</v>
      </c>
    </row>
    <row r="766" spans="2:5" x14ac:dyDescent="0.25">
      <c r="E766" t="s">
        <v>612</v>
      </c>
    </row>
    <row r="767" spans="2:5" x14ac:dyDescent="0.25">
      <c r="E767" t="s">
        <v>608</v>
      </c>
    </row>
    <row r="768" spans="2:5" x14ac:dyDescent="0.25">
      <c r="E768" t="s">
        <v>609</v>
      </c>
    </row>
    <row r="769" spans="5:5" x14ac:dyDescent="0.25">
      <c r="E769" t="s">
        <v>610</v>
      </c>
    </row>
    <row r="770" spans="5:5" x14ac:dyDescent="0.25">
      <c r="E770" t="s">
        <v>611</v>
      </c>
    </row>
    <row r="771" spans="5:5" x14ac:dyDescent="0.25">
      <c r="E771" t="s">
        <v>614</v>
      </c>
    </row>
    <row r="772" spans="5:5" x14ac:dyDescent="0.25">
      <c r="E772" t="s">
        <v>615</v>
      </c>
    </row>
    <row r="773" spans="5:5" x14ac:dyDescent="0.25">
      <c r="E773" t="s">
        <v>628</v>
      </c>
    </row>
    <row r="774" spans="5:5" x14ac:dyDescent="0.25">
      <c r="E774" t="s">
        <v>627</v>
      </c>
    </row>
    <row r="775" spans="5:5" x14ac:dyDescent="0.25">
      <c r="E775" t="s">
        <v>626</v>
      </c>
    </row>
    <row r="776" spans="5:5" x14ac:dyDescent="0.25">
      <c r="E776" t="s">
        <v>625</v>
      </c>
    </row>
    <row r="777" spans="5:5" ht="13" x14ac:dyDescent="0.3">
      <c r="E777" s="24" t="s">
        <v>624</v>
      </c>
    </row>
    <row r="778" spans="5:5" x14ac:dyDescent="0.25">
      <c r="E778" t="s">
        <v>623</v>
      </c>
    </row>
    <row r="779" spans="5:5" x14ac:dyDescent="0.25">
      <c r="E779" t="s">
        <v>622</v>
      </c>
    </row>
    <row r="780" spans="5:5" x14ac:dyDescent="0.25">
      <c r="E780" t="s">
        <v>621</v>
      </c>
    </row>
    <row r="781" spans="5:5" ht="13" x14ac:dyDescent="0.3">
      <c r="E781" s="24" t="s">
        <v>617</v>
      </c>
    </row>
    <row r="782" spans="5:5" x14ac:dyDescent="0.25">
      <c r="E782" t="s">
        <v>616</v>
      </c>
    </row>
    <row r="783" spans="5:5" x14ac:dyDescent="0.25">
      <c r="E783" t="s">
        <v>619</v>
      </c>
    </row>
    <row r="784" spans="5:5" x14ac:dyDescent="0.25">
      <c r="E784" t="s">
        <v>618</v>
      </c>
    </row>
    <row r="785" spans="5:5" x14ac:dyDescent="0.25">
      <c r="E785" t="s">
        <v>620</v>
      </c>
    </row>
    <row r="786" spans="5:5" x14ac:dyDescent="0.25">
      <c r="E786" t="s">
        <v>630</v>
      </c>
    </row>
    <row r="787" spans="5:5" x14ac:dyDescent="0.25">
      <c r="E787" t="s">
        <v>629</v>
      </c>
    </row>
    <row r="788" spans="5:5" x14ac:dyDescent="0.25">
      <c r="E788" t="s">
        <v>631</v>
      </c>
    </row>
    <row r="789" spans="5:5" x14ac:dyDescent="0.25">
      <c r="E789" t="s">
        <v>632</v>
      </c>
    </row>
    <row r="790" spans="5:5" x14ac:dyDescent="0.25">
      <c r="E790" t="s">
        <v>633</v>
      </c>
    </row>
    <row r="791" spans="5:5" x14ac:dyDescent="0.25">
      <c r="E791" t="s">
        <v>634</v>
      </c>
    </row>
    <row r="792" spans="5:5" x14ac:dyDescent="0.25">
      <c r="E792" t="s">
        <v>635</v>
      </c>
    </row>
    <row r="793" spans="5:5" x14ac:dyDescent="0.25">
      <c r="E793" t="s">
        <v>636</v>
      </c>
    </row>
    <row r="794" spans="5:5" x14ac:dyDescent="0.25">
      <c r="E794" t="s">
        <v>637</v>
      </c>
    </row>
    <row r="795" spans="5:5" x14ac:dyDescent="0.25">
      <c r="E795" t="s">
        <v>638</v>
      </c>
    </row>
    <row r="796" spans="5:5" x14ac:dyDescent="0.25">
      <c r="E796" t="s">
        <v>639</v>
      </c>
    </row>
    <row r="797" spans="5:5" x14ac:dyDescent="0.25">
      <c r="E797" t="s">
        <v>640</v>
      </c>
    </row>
    <row r="798" spans="5:5" ht="13" x14ac:dyDescent="0.3">
      <c r="E798" s="24" t="s">
        <v>641</v>
      </c>
    </row>
    <row r="799" spans="5:5" x14ac:dyDescent="0.25">
      <c r="E799" t="s">
        <v>642</v>
      </c>
    </row>
    <row r="800" spans="5:5" x14ac:dyDescent="0.25">
      <c r="E800" t="s">
        <v>643</v>
      </c>
    </row>
    <row r="801" spans="5:5" x14ac:dyDescent="0.25">
      <c r="E801" t="s">
        <v>644</v>
      </c>
    </row>
    <row r="802" spans="5:5" x14ac:dyDescent="0.25">
      <c r="E802" t="s">
        <v>646</v>
      </c>
    </row>
    <row r="803" spans="5:5" x14ac:dyDescent="0.25">
      <c r="E803" t="s">
        <v>645</v>
      </c>
    </row>
    <row r="804" spans="5:5" x14ac:dyDescent="0.25">
      <c r="E804" t="s">
        <v>647</v>
      </c>
    </row>
    <row r="805" spans="5:5" x14ac:dyDescent="0.25">
      <c r="E805" t="s">
        <v>648</v>
      </c>
    </row>
    <row r="806" spans="5:5" x14ac:dyDescent="0.25">
      <c r="E806" t="s">
        <v>653</v>
      </c>
    </row>
    <row r="807" spans="5:5" x14ac:dyDescent="0.25">
      <c r="E807" t="s">
        <v>652</v>
      </c>
    </row>
    <row r="808" spans="5:5" x14ac:dyDescent="0.25">
      <c r="E808" t="s">
        <v>651</v>
      </c>
    </row>
    <row r="809" spans="5:5" x14ac:dyDescent="0.25">
      <c r="E809" t="s">
        <v>649</v>
      </c>
    </row>
    <row r="810" spans="5:5" x14ac:dyDescent="0.25">
      <c r="E810" t="s">
        <v>650</v>
      </c>
    </row>
    <row r="811" spans="5:5" x14ac:dyDescent="0.25">
      <c r="E811" t="s">
        <v>655</v>
      </c>
    </row>
    <row r="812" spans="5:5" x14ac:dyDescent="0.25">
      <c r="E812" t="s">
        <v>654</v>
      </c>
    </row>
    <row r="813" spans="5:5" x14ac:dyDescent="0.25">
      <c r="E813" t="s">
        <v>656</v>
      </c>
    </row>
    <row r="814" spans="5:5" x14ac:dyDescent="0.25">
      <c r="E814" t="s">
        <v>657</v>
      </c>
    </row>
    <row r="815" spans="5:5" x14ac:dyDescent="0.25">
      <c r="E815" t="s">
        <v>661</v>
      </c>
    </row>
    <row r="816" spans="5:5" x14ac:dyDescent="0.25">
      <c r="E816" t="s">
        <v>660</v>
      </c>
    </row>
    <row r="817" spans="5:5" x14ac:dyDescent="0.25">
      <c r="E817" t="s">
        <v>659</v>
      </c>
    </row>
    <row r="818" spans="5:5" x14ac:dyDescent="0.25">
      <c r="E818" t="s">
        <v>658</v>
      </c>
    </row>
    <row r="819" spans="5:5" x14ac:dyDescent="0.25">
      <c r="E819" t="s">
        <v>662</v>
      </c>
    </row>
    <row r="820" spans="5:5" x14ac:dyDescent="0.25">
      <c r="E820" t="s">
        <v>663</v>
      </c>
    </row>
    <row r="821" spans="5:5" x14ac:dyDescent="0.25">
      <c r="E821" t="s">
        <v>667</v>
      </c>
    </row>
    <row r="822" spans="5:5" x14ac:dyDescent="0.25">
      <c r="E822" t="s">
        <v>666</v>
      </c>
    </row>
    <row r="823" spans="5:5" x14ac:dyDescent="0.25">
      <c r="E823" t="s">
        <v>665</v>
      </c>
    </row>
    <row r="824" spans="5:5" x14ac:dyDescent="0.25">
      <c r="E824" t="s">
        <v>664</v>
      </c>
    </row>
    <row r="825" spans="5:5" x14ac:dyDescent="0.25">
      <c r="E825" t="s">
        <v>668</v>
      </c>
    </row>
    <row r="826" spans="5:5" x14ac:dyDescent="0.25">
      <c r="E826" t="s">
        <v>669</v>
      </c>
    </row>
    <row r="827" spans="5:5" x14ac:dyDescent="0.25">
      <c r="E827" t="s">
        <v>670</v>
      </c>
    </row>
    <row r="828" spans="5:5" x14ac:dyDescent="0.25">
      <c r="E828" t="s">
        <v>671</v>
      </c>
    </row>
    <row r="829" spans="5:5" x14ac:dyDescent="0.25">
      <c r="E829" t="s">
        <v>672</v>
      </c>
    </row>
    <row r="830" spans="5:5" x14ac:dyDescent="0.25">
      <c r="E830" t="s">
        <v>673</v>
      </c>
    </row>
    <row r="831" spans="5:5" x14ac:dyDescent="0.25">
      <c r="E831" t="s">
        <v>674</v>
      </c>
    </row>
    <row r="832" spans="5:5" x14ac:dyDescent="0.25">
      <c r="E832" t="s">
        <v>679</v>
      </c>
    </row>
    <row r="833" spans="5:5" x14ac:dyDescent="0.25">
      <c r="E833" t="s">
        <v>678</v>
      </c>
    </row>
    <row r="834" spans="5:5" x14ac:dyDescent="0.25">
      <c r="E834" t="s">
        <v>677</v>
      </c>
    </row>
    <row r="835" spans="5:5" x14ac:dyDescent="0.25">
      <c r="E835" t="s">
        <v>676</v>
      </c>
    </row>
    <row r="836" spans="5:5" x14ac:dyDescent="0.25">
      <c r="E836" t="s">
        <v>675</v>
      </c>
    </row>
    <row r="837" spans="5:5" x14ac:dyDescent="0.25">
      <c r="E837" t="s">
        <v>680</v>
      </c>
    </row>
    <row r="838" spans="5:5" x14ac:dyDescent="0.25">
      <c r="E838" t="s">
        <v>681</v>
      </c>
    </row>
    <row r="839" spans="5:5" x14ac:dyDescent="0.25">
      <c r="E839" t="s">
        <v>682</v>
      </c>
    </row>
    <row r="840" spans="5:5" x14ac:dyDescent="0.25">
      <c r="E840" t="s">
        <v>683</v>
      </c>
    </row>
    <row r="841" spans="5:5" x14ac:dyDescent="0.25">
      <c r="E841" t="s">
        <v>684</v>
      </c>
    </row>
    <row r="842" spans="5:5" x14ac:dyDescent="0.25">
      <c r="E842" t="s">
        <v>685</v>
      </c>
    </row>
    <row r="843" spans="5:5" x14ac:dyDescent="0.25">
      <c r="E843" t="s">
        <v>687</v>
      </c>
    </row>
    <row r="844" spans="5:5" x14ac:dyDescent="0.25">
      <c r="E844" t="s">
        <v>686</v>
      </c>
    </row>
    <row r="845" spans="5:5" x14ac:dyDescent="0.25">
      <c r="E845" t="s">
        <v>688</v>
      </c>
    </row>
    <row r="846" spans="5:5" ht="13" x14ac:dyDescent="0.3">
      <c r="E846" s="24" t="s">
        <v>770</v>
      </c>
    </row>
    <row r="847" spans="5:5" x14ac:dyDescent="0.25">
      <c r="E847" t="s">
        <v>767</v>
      </c>
    </row>
    <row r="848" spans="5:5" ht="13" x14ac:dyDescent="0.3">
      <c r="E848" s="24" t="s">
        <v>768</v>
      </c>
    </row>
    <row r="849" spans="5:5" x14ac:dyDescent="0.25">
      <c r="E849" t="s">
        <v>769</v>
      </c>
    </row>
    <row r="850" spans="5:5" x14ac:dyDescent="0.25">
      <c r="E850" t="s">
        <v>766</v>
      </c>
    </row>
    <row r="851" spans="5:5" x14ac:dyDescent="0.25">
      <c r="E851" t="s">
        <v>765</v>
      </c>
    </row>
    <row r="852" spans="5:5" x14ac:dyDescent="0.25">
      <c r="E852" t="s">
        <v>762</v>
      </c>
    </row>
    <row r="853" spans="5:5" x14ac:dyDescent="0.25">
      <c r="E853" t="s">
        <v>763</v>
      </c>
    </row>
    <row r="854" spans="5:5" x14ac:dyDescent="0.25">
      <c r="E854" t="s">
        <v>764</v>
      </c>
    </row>
    <row r="855" spans="5:5" x14ac:dyDescent="0.25">
      <c r="E855" t="s">
        <v>759</v>
      </c>
    </row>
    <row r="856" spans="5:5" x14ac:dyDescent="0.25">
      <c r="E856" t="s">
        <v>760</v>
      </c>
    </row>
    <row r="857" spans="5:5" x14ac:dyDescent="0.25">
      <c r="E857" t="s">
        <v>761</v>
      </c>
    </row>
    <row r="858" spans="5:5" x14ac:dyDescent="0.25">
      <c r="E858" t="s">
        <v>758</v>
      </c>
    </row>
    <row r="859" spans="5:5" x14ac:dyDescent="0.25">
      <c r="E859" t="s">
        <v>756</v>
      </c>
    </row>
    <row r="860" spans="5:5" x14ac:dyDescent="0.25">
      <c r="E860" t="s">
        <v>757</v>
      </c>
    </row>
    <row r="861" spans="5:5" x14ac:dyDescent="0.25">
      <c r="E861" t="s">
        <v>755</v>
      </c>
    </row>
    <row r="862" spans="5:5" x14ac:dyDescent="0.25">
      <c r="E862" t="s">
        <v>753</v>
      </c>
    </row>
    <row r="863" spans="5:5" x14ac:dyDescent="0.25">
      <c r="E863" t="s">
        <v>754</v>
      </c>
    </row>
    <row r="864" spans="5:5" x14ac:dyDescent="0.25">
      <c r="E864" t="s">
        <v>752</v>
      </c>
    </row>
    <row r="865" spans="3:5" x14ac:dyDescent="0.25">
      <c r="E865" t="s">
        <v>749</v>
      </c>
    </row>
    <row r="866" spans="3:5" x14ac:dyDescent="0.25">
      <c r="E866" t="s">
        <v>750</v>
      </c>
    </row>
    <row r="867" spans="3:5" x14ac:dyDescent="0.25">
      <c r="E867" t="s">
        <v>751</v>
      </c>
    </row>
    <row r="868" spans="3:5" x14ac:dyDescent="0.25">
      <c r="E868" t="s">
        <v>748</v>
      </c>
    </row>
    <row r="869" spans="3:5" ht="13" x14ac:dyDescent="0.3">
      <c r="E869" s="24" t="s">
        <v>746</v>
      </c>
    </row>
    <row r="870" spans="3:5" x14ac:dyDescent="0.25">
      <c r="E870" t="s">
        <v>747</v>
      </c>
    </row>
    <row r="871" spans="3:5" ht="13" x14ac:dyDescent="0.3">
      <c r="E871" s="24" t="s">
        <v>745</v>
      </c>
    </row>
    <row r="872" spans="3:5" x14ac:dyDescent="0.25">
      <c r="E872" t="s">
        <v>744</v>
      </c>
    </row>
    <row r="873" spans="3:5" ht="13" x14ac:dyDescent="0.3">
      <c r="E873" s="24" t="s">
        <v>743</v>
      </c>
    </row>
    <row r="874" spans="3:5" x14ac:dyDescent="0.25">
      <c r="E874" t="s">
        <v>742</v>
      </c>
    </row>
    <row r="875" spans="3:5" x14ac:dyDescent="0.25">
      <c r="E875" t="s">
        <v>734</v>
      </c>
    </row>
    <row r="876" spans="3:5" x14ac:dyDescent="0.25">
      <c r="E876" t="s">
        <v>735</v>
      </c>
    </row>
    <row r="877" spans="3:5" x14ac:dyDescent="0.25">
      <c r="E877" t="s">
        <v>736</v>
      </c>
    </row>
    <row r="878" spans="3:5" x14ac:dyDescent="0.25">
      <c r="E878" t="s">
        <v>737</v>
      </c>
    </row>
    <row r="879" spans="3:5" ht="13" x14ac:dyDescent="0.3">
      <c r="E879" s="24" t="s">
        <v>741</v>
      </c>
    </row>
    <row r="880" spans="3:5" ht="13" x14ac:dyDescent="0.3">
      <c r="C880">
        <v>7</v>
      </c>
      <c r="D880" t="s">
        <v>1583</v>
      </c>
      <c r="E880" s="23" t="s">
        <v>740</v>
      </c>
    </row>
    <row r="881" spans="3:5" x14ac:dyDescent="0.25">
      <c r="E881" t="s">
        <v>739</v>
      </c>
    </row>
    <row r="882" spans="3:5" x14ac:dyDescent="0.25">
      <c r="E882" t="s">
        <v>738</v>
      </c>
    </row>
    <row r="883" spans="3:5" ht="13" x14ac:dyDescent="0.3">
      <c r="C883">
        <v>10</v>
      </c>
      <c r="D883" t="s">
        <v>1582</v>
      </c>
      <c r="E883" s="23" t="s">
        <v>733</v>
      </c>
    </row>
    <row r="884" spans="3:5" x14ac:dyDescent="0.25">
      <c r="E884" t="s">
        <v>732</v>
      </c>
    </row>
    <row r="885" spans="3:5" x14ac:dyDescent="0.25">
      <c r="E885" t="s">
        <v>730</v>
      </c>
    </row>
    <row r="886" spans="3:5" x14ac:dyDescent="0.25">
      <c r="E886" t="s">
        <v>731</v>
      </c>
    </row>
    <row r="887" spans="3:5" x14ac:dyDescent="0.25">
      <c r="E887" t="s">
        <v>727</v>
      </c>
    </row>
    <row r="888" spans="3:5" x14ac:dyDescent="0.25">
      <c r="E888" t="s">
        <v>728</v>
      </c>
    </row>
    <row r="889" spans="3:5" x14ac:dyDescent="0.25">
      <c r="E889" t="s">
        <v>729</v>
      </c>
    </row>
    <row r="890" spans="3:5" x14ac:dyDescent="0.25">
      <c r="E890" t="s">
        <v>726</v>
      </c>
    </row>
    <row r="891" spans="3:5" x14ac:dyDescent="0.25">
      <c r="E891" t="s">
        <v>725</v>
      </c>
    </row>
    <row r="892" spans="3:5" x14ac:dyDescent="0.25">
      <c r="E892" t="s">
        <v>724</v>
      </c>
    </row>
    <row r="893" spans="3:5" x14ac:dyDescent="0.25">
      <c r="E893" t="s">
        <v>723</v>
      </c>
    </row>
    <row r="894" spans="3:5" x14ac:dyDescent="0.25">
      <c r="E894" t="s">
        <v>722</v>
      </c>
    </row>
    <row r="895" spans="3:5" x14ac:dyDescent="0.25">
      <c r="E895" t="s">
        <v>721</v>
      </c>
    </row>
    <row r="896" spans="3:5" x14ac:dyDescent="0.25">
      <c r="E896" t="s">
        <v>720</v>
      </c>
    </row>
    <row r="897" spans="5:5" x14ac:dyDescent="0.25">
      <c r="E897" t="s">
        <v>719</v>
      </c>
    </row>
    <row r="898" spans="5:5" x14ac:dyDescent="0.25">
      <c r="E898" t="s">
        <v>718</v>
      </c>
    </row>
    <row r="899" spans="5:5" ht="13" x14ac:dyDescent="0.3">
      <c r="E899" s="24" t="s">
        <v>717</v>
      </c>
    </row>
    <row r="900" spans="5:5" x14ac:dyDescent="0.25">
      <c r="E900" t="s">
        <v>690</v>
      </c>
    </row>
    <row r="901" spans="5:5" x14ac:dyDescent="0.25">
      <c r="E901" t="s">
        <v>689</v>
      </c>
    </row>
    <row r="902" spans="5:5" x14ac:dyDescent="0.25">
      <c r="E902" t="s">
        <v>691</v>
      </c>
    </row>
    <row r="903" spans="5:5" x14ac:dyDescent="0.25">
      <c r="E903" t="s">
        <v>692</v>
      </c>
    </row>
    <row r="904" spans="5:5" x14ac:dyDescent="0.25">
      <c r="E904" t="s">
        <v>716</v>
      </c>
    </row>
    <row r="905" spans="5:5" x14ac:dyDescent="0.25">
      <c r="E905" t="s">
        <v>715</v>
      </c>
    </row>
    <row r="906" spans="5:5" x14ac:dyDescent="0.25">
      <c r="E906" t="s">
        <v>700</v>
      </c>
    </row>
    <row r="907" spans="5:5" x14ac:dyDescent="0.25">
      <c r="E907" t="s">
        <v>699</v>
      </c>
    </row>
    <row r="908" spans="5:5" ht="13" x14ac:dyDescent="0.3">
      <c r="E908" s="24" t="s">
        <v>698</v>
      </c>
    </row>
    <row r="909" spans="5:5" x14ac:dyDescent="0.25">
      <c r="E909" t="s">
        <v>697</v>
      </c>
    </row>
    <row r="910" spans="5:5" x14ac:dyDescent="0.25">
      <c r="E910" t="s">
        <v>696</v>
      </c>
    </row>
    <row r="911" spans="5:5" x14ac:dyDescent="0.25">
      <c r="E911" t="s">
        <v>695</v>
      </c>
    </row>
    <row r="912" spans="5:5" x14ac:dyDescent="0.25">
      <c r="E912" t="s">
        <v>694</v>
      </c>
    </row>
    <row r="913" spans="5:5" x14ac:dyDescent="0.25">
      <c r="E913" t="s">
        <v>693</v>
      </c>
    </row>
    <row r="914" spans="5:5" x14ac:dyDescent="0.25">
      <c r="E914" t="s">
        <v>714</v>
      </c>
    </row>
    <row r="915" spans="5:5" x14ac:dyDescent="0.25">
      <c r="E915" t="s">
        <v>713</v>
      </c>
    </row>
    <row r="916" spans="5:5" x14ac:dyDescent="0.25">
      <c r="E916" t="s">
        <v>712</v>
      </c>
    </row>
    <row r="917" spans="5:5" x14ac:dyDescent="0.25">
      <c r="E917" t="s">
        <v>711</v>
      </c>
    </row>
    <row r="918" spans="5:5" x14ac:dyDescent="0.25">
      <c r="E918" t="s">
        <v>701</v>
      </c>
    </row>
    <row r="919" spans="5:5" x14ac:dyDescent="0.25">
      <c r="E919" t="s">
        <v>702</v>
      </c>
    </row>
    <row r="920" spans="5:5" x14ac:dyDescent="0.25">
      <c r="E920" t="s">
        <v>710</v>
      </c>
    </row>
    <row r="921" spans="5:5" x14ac:dyDescent="0.25">
      <c r="E921" t="s">
        <v>703</v>
      </c>
    </row>
    <row r="922" spans="5:5" x14ac:dyDescent="0.25">
      <c r="E922" t="s">
        <v>706</v>
      </c>
    </row>
    <row r="923" spans="5:5" x14ac:dyDescent="0.25">
      <c r="E923" t="s">
        <v>704</v>
      </c>
    </row>
    <row r="924" spans="5:5" x14ac:dyDescent="0.25">
      <c r="E924" t="s">
        <v>705</v>
      </c>
    </row>
    <row r="925" spans="5:5" x14ac:dyDescent="0.25">
      <c r="E925" t="s">
        <v>707</v>
      </c>
    </row>
    <row r="926" spans="5:5" x14ac:dyDescent="0.25">
      <c r="E926" t="s">
        <v>709</v>
      </c>
    </row>
    <row r="927" spans="5:5" x14ac:dyDescent="0.25">
      <c r="E927" t="s">
        <v>708</v>
      </c>
    </row>
    <row r="928" spans="5:5" x14ac:dyDescent="0.25">
      <c r="E928" t="s">
        <v>895</v>
      </c>
    </row>
    <row r="929" spans="5:5" x14ac:dyDescent="0.25">
      <c r="E929" t="s">
        <v>906</v>
      </c>
    </row>
    <row r="930" spans="5:5" x14ac:dyDescent="0.25">
      <c r="E930" t="s">
        <v>905</v>
      </c>
    </row>
    <row r="931" spans="5:5" x14ac:dyDescent="0.25">
      <c r="E931" t="s">
        <v>904</v>
      </c>
    </row>
    <row r="932" spans="5:5" x14ac:dyDescent="0.25">
      <c r="E932" t="s">
        <v>896</v>
      </c>
    </row>
    <row r="933" spans="5:5" x14ac:dyDescent="0.25">
      <c r="E933" t="s">
        <v>897</v>
      </c>
    </row>
    <row r="934" spans="5:5" x14ac:dyDescent="0.25">
      <c r="E934" t="s">
        <v>898</v>
      </c>
    </row>
    <row r="935" spans="5:5" x14ac:dyDescent="0.25">
      <c r="E935" t="s">
        <v>899</v>
      </c>
    </row>
    <row r="936" spans="5:5" x14ac:dyDescent="0.25">
      <c r="E936" t="s">
        <v>900</v>
      </c>
    </row>
    <row r="937" spans="5:5" x14ac:dyDescent="0.25">
      <c r="E937" t="s">
        <v>894</v>
      </c>
    </row>
    <row r="938" spans="5:5" x14ac:dyDescent="0.25">
      <c r="E938" t="s">
        <v>892</v>
      </c>
    </row>
    <row r="939" spans="5:5" x14ac:dyDescent="0.25">
      <c r="E939" t="s">
        <v>891</v>
      </c>
    </row>
    <row r="940" spans="5:5" x14ac:dyDescent="0.25">
      <c r="E940" t="s">
        <v>890</v>
      </c>
    </row>
    <row r="941" spans="5:5" x14ac:dyDescent="0.25">
      <c r="E941" t="s">
        <v>889</v>
      </c>
    </row>
    <row r="942" spans="5:5" x14ac:dyDescent="0.25">
      <c r="E942" t="s">
        <v>888</v>
      </c>
    </row>
    <row r="943" spans="5:5" x14ac:dyDescent="0.25">
      <c r="E943" t="s">
        <v>893</v>
      </c>
    </row>
    <row r="944" spans="5:5" x14ac:dyDescent="0.25">
      <c r="E944" t="s">
        <v>901</v>
      </c>
    </row>
    <row r="945" spans="5:5" x14ac:dyDescent="0.25">
      <c r="E945" t="s">
        <v>902</v>
      </c>
    </row>
    <row r="946" spans="5:5" ht="13" x14ac:dyDescent="0.3">
      <c r="E946" s="24" t="s">
        <v>903</v>
      </c>
    </row>
    <row r="947" spans="5:5" x14ac:dyDescent="0.25">
      <c r="E947" t="s">
        <v>929</v>
      </c>
    </row>
    <row r="948" spans="5:5" x14ac:dyDescent="0.25">
      <c r="E948" t="s">
        <v>925</v>
      </c>
    </row>
    <row r="949" spans="5:5" x14ac:dyDescent="0.25">
      <c r="E949" t="s">
        <v>926</v>
      </c>
    </row>
    <row r="950" spans="5:5" x14ac:dyDescent="0.25">
      <c r="E950" t="s">
        <v>927</v>
      </c>
    </row>
    <row r="951" spans="5:5" x14ac:dyDescent="0.25">
      <c r="E951" t="s">
        <v>928</v>
      </c>
    </row>
    <row r="952" spans="5:5" x14ac:dyDescent="0.25">
      <c r="E952" t="s">
        <v>930</v>
      </c>
    </row>
    <row r="953" spans="5:5" x14ac:dyDescent="0.25">
      <c r="E953" t="s">
        <v>931</v>
      </c>
    </row>
    <row r="954" spans="5:5" x14ac:dyDescent="0.25">
      <c r="E954" t="s">
        <v>932</v>
      </c>
    </row>
    <row r="955" spans="5:5" x14ac:dyDescent="0.25">
      <c r="E955" t="s">
        <v>885</v>
      </c>
    </row>
    <row r="956" spans="5:5" x14ac:dyDescent="0.25">
      <c r="E956" t="s">
        <v>886</v>
      </c>
    </row>
    <row r="957" spans="5:5" x14ac:dyDescent="0.25">
      <c r="E957" t="s">
        <v>933</v>
      </c>
    </row>
    <row r="958" spans="5:5" x14ac:dyDescent="0.25">
      <c r="E958" t="s">
        <v>887</v>
      </c>
    </row>
    <row r="959" spans="5:5" x14ac:dyDescent="0.25">
      <c r="E959" t="s">
        <v>924</v>
      </c>
    </row>
    <row r="960" spans="5:5" x14ac:dyDescent="0.25">
      <c r="E960" t="s">
        <v>878</v>
      </c>
    </row>
    <row r="961" spans="5:5" x14ac:dyDescent="0.25">
      <c r="E961" t="s">
        <v>879</v>
      </c>
    </row>
    <row r="962" spans="5:5" x14ac:dyDescent="0.25">
      <c r="E962" t="s">
        <v>880</v>
      </c>
    </row>
    <row r="963" spans="5:5" x14ac:dyDescent="0.25">
      <c r="E963" t="s">
        <v>881</v>
      </c>
    </row>
    <row r="964" spans="5:5" x14ac:dyDescent="0.25">
      <c r="E964" t="s">
        <v>882</v>
      </c>
    </row>
    <row r="965" spans="5:5" x14ac:dyDescent="0.25">
      <c r="E965" t="s">
        <v>883</v>
      </c>
    </row>
    <row r="966" spans="5:5" x14ac:dyDescent="0.25">
      <c r="E966" t="s">
        <v>922</v>
      </c>
    </row>
    <row r="967" spans="5:5" x14ac:dyDescent="0.25">
      <c r="E967" t="s">
        <v>923</v>
      </c>
    </row>
    <row r="968" spans="5:5" x14ac:dyDescent="0.25">
      <c r="E968" t="s">
        <v>884</v>
      </c>
    </row>
    <row r="969" spans="5:5" x14ac:dyDescent="0.25">
      <c r="E969" t="s">
        <v>877</v>
      </c>
    </row>
    <row r="970" spans="5:5" x14ac:dyDescent="0.25">
      <c r="E970" t="s">
        <v>875</v>
      </c>
    </row>
    <row r="971" spans="5:5" x14ac:dyDescent="0.25">
      <c r="E971" t="s">
        <v>876</v>
      </c>
    </row>
    <row r="972" spans="5:5" x14ac:dyDescent="0.25">
      <c r="E972" t="s">
        <v>934</v>
      </c>
    </row>
    <row r="973" spans="5:5" x14ac:dyDescent="0.25">
      <c r="E973" t="s">
        <v>936</v>
      </c>
    </row>
    <row r="974" spans="5:5" x14ac:dyDescent="0.25">
      <c r="E974" t="s">
        <v>935</v>
      </c>
    </row>
    <row r="975" spans="5:5" ht="13" x14ac:dyDescent="0.3">
      <c r="E975" s="24" t="s">
        <v>937</v>
      </c>
    </row>
    <row r="976" spans="5:5" x14ac:dyDescent="0.25">
      <c r="E976" t="s">
        <v>938</v>
      </c>
    </row>
    <row r="977" spans="5:5" x14ac:dyDescent="0.25">
      <c r="E977" t="s">
        <v>939</v>
      </c>
    </row>
    <row r="978" spans="5:5" x14ac:dyDescent="0.25">
      <c r="E978" t="s">
        <v>941</v>
      </c>
    </row>
    <row r="979" spans="5:5" x14ac:dyDescent="0.25">
      <c r="E979" t="s">
        <v>940</v>
      </c>
    </row>
    <row r="980" spans="5:5" x14ac:dyDescent="0.25">
      <c r="E980" t="s">
        <v>942</v>
      </c>
    </row>
    <row r="981" spans="5:5" x14ac:dyDescent="0.25">
      <c r="E981" t="s">
        <v>944</v>
      </c>
    </row>
    <row r="982" spans="5:5" x14ac:dyDescent="0.25">
      <c r="E982" t="s">
        <v>943</v>
      </c>
    </row>
    <row r="983" spans="5:5" x14ac:dyDescent="0.25">
      <c r="E983" t="s">
        <v>945</v>
      </c>
    </row>
    <row r="984" spans="5:5" x14ac:dyDescent="0.25">
      <c r="E984" t="s">
        <v>921</v>
      </c>
    </row>
    <row r="985" spans="5:5" ht="13" x14ac:dyDescent="0.3">
      <c r="E985" s="24" t="s">
        <v>946</v>
      </c>
    </row>
    <row r="986" spans="5:5" x14ac:dyDescent="0.25">
      <c r="E986" t="s">
        <v>947</v>
      </c>
    </row>
    <row r="987" spans="5:5" x14ac:dyDescent="0.25">
      <c r="E987" t="s">
        <v>948</v>
      </c>
    </row>
    <row r="988" spans="5:5" x14ac:dyDescent="0.25">
      <c r="E988" t="s">
        <v>949</v>
      </c>
    </row>
    <row r="989" spans="5:5" x14ac:dyDescent="0.25">
      <c r="E989" t="s">
        <v>950</v>
      </c>
    </row>
    <row r="990" spans="5:5" x14ac:dyDescent="0.25">
      <c r="E990" t="s">
        <v>951</v>
      </c>
    </row>
    <row r="991" spans="5:5" x14ac:dyDescent="0.25">
      <c r="E991" t="s">
        <v>954</v>
      </c>
    </row>
    <row r="992" spans="5:5" x14ac:dyDescent="0.25">
      <c r="E992" t="s">
        <v>953</v>
      </c>
    </row>
    <row r="993" spans="3:5" x14ac:dyDescent="0.25">
      <c r="E993" t="s">
        <v>920</v>
      </c>
    </row>
    <row r="994" spans="3:5" ht="13" x14ac:dyDescent="0.3">
      <c r="C994">
        <v>7</v>
      </c>
      <c r="D994" t="s">
        <v>1581</v>
      </c>
      <c r="E994" s="23" t="s">
        <v>916</v>
      </c>
    </row>
    <row r="995" spans="3:5" x14ac:dyDescent="0.25">
      <c r="E995" t="s">
        <v>874</v>
      </c>
    </row>
    <row r="996" spans="3:5" x14ac:dyDescent="0.25">
      <c r="E996" t="s">
        <v>867</v>
      </c>
    </row>
    <row r="997" spans="3:5" x14ac:dyDescent="0.25">
      <c r="E997" t="s">
        <v>868</v>
      </c>
    </row>
    <row r="998" spans="3:5" x14ac:dyDescent="0.25">
      <c r="E998" t="s">
        <v>869</v>
      </c>
    </row>
    <row r="999" spans="3:5" x14ac:dyDescent="0.25">
      <c r="E999" t="s">
        <v>873</v>
      </c>
    </row>
    <row r="1000" spans="3:5" x14ac:dyDescent="0.25">
      <c r="E1000" t="s">
        <v>872</v>
      </c>
    </row>
    <row r="1001" spans="3:5" x14ac:dyDescent="0.25">
      <c r="E1001" t="s">
        <v>870</v>
      </c>
    </row>
    <row r="1002" spans="3:5" x14ac:dyDescent="0.25">
      <c r="E1002" t="s">
        <v>871</v>
      </c>
    </row>
    <row r="1003" spans="3:5" x14ac:dyDescent="0.25">
      <c r="E1003" t="s">
        <v>852</v>
      </c>
    </row>
    <row r="1004" spans="3:5" ht="13" x14ac:dyDescent="0.3">
      <c r="E1004" s="24" t="s">
        <v>853</v>
      </c>
    </row>
    <row r="1005" spans="3:5" x14ac:dyDescent="0.25">
      <c r="E1005" t="s">
        <v>854</v>
      </c>
    </row>
    <row r="1006" spans="3:5" x14ac:dyDescent="0.25">
      <c r="E1006" t="s">
        <v>856</v>
      </c>
    </row>
    <row r="1007" spans="3:5" x14ac:dyDescent="0.25">
      <c r="E1007" t="s">
        <v>855</v>
      </c>
    </row>
    <row r="1008" spans="3:5" ht="13" x14ac:dyDescent="0.3">
      <c r="E1008" s="24" t="s">
        <v>862</v>
      </c>
    </row>
    <row r="1009" spans="3:5" x14ac:dyDescent="0.25">
      <c r="E1009" t="s">
        <v>861</v>
      </c>
    </row>
    <row r="1010" spans="3:5" x14ac:dyDescent="0.25">
      <c r="E1010" t="s">
        <v>860</v>
      </c>
    </row>
    <row r="1011" spans="3:5" x14ac:dyDescent="0.25">
      <c r="E1011" t="s">
        <v>859</v>
      </c>
    </row>
    <row r="1012" spans="3:5" x14ac:dyDescent="0.25">
      <c r="E1012" t="s">
        <v>851</v>
      </c>
    </row>
    <row r="1013" spans="3:5" ht="13" x14ac:dyDescent="0.3">
      <c r="C1013">
        <v>5</v>
      </c>
      <c r="D1013" t="s">
        <v>1580</v>
      </c>
      <c r="E1013" s="23" t="s">
        <v>858</v>
      </c>
    </row>
    <row r="1014" spans="3:5" ht="13" x14ac:dyDescent="0.3">
      <c r="E1014" s="23" t="s">
        <v>857</v>
      </c>
    </row>
    <row r="1015" spans="3:5" x14ac:dyDescent="0.25">
      <c r="E1015" t="s">
        <v>863</v>
      </c>
    </row>
    <row r="1016" spans="3:5" x14ac:dyDescent="0.25">
      <c r="E1016" t="s">
        <v>864</v>
      </c>
    </row>
    <row r="1017" spans="3:5" x14ac:dyDescent="0.25">
      <c r="E1017" t="s">
        <v>917</v>
      </c>
    </row>
    <row r="1018" spans="3:5" x14ac:dyDescent="0.25">
      <c r="E1018" t="s">
        <v>915</v>
      </c>
    </row>
    <row r="1019" spans="3:5" x14ac:dyDescent="0.25">
      <c r="E1019" t="s">
        <v>849</v>
      </c>
    </row>
    <row r="1020" spans="3:5" x14ac:dyDescent="0.25">
      <c r="E1020" t="s">
        <v>850</v>
      </c>
    </row>
    <row r="1021" spans="3:5" x14ac:dyDescent="0.25">
      <c r="E1021" t="s">
        <v>918</v>
      </c>
    </row>
    <row r="1022" spans="3:5" x14ac:dyDescent="0.25">
      <c r="E1022" t="s">
        <v>914</v>
      </c>
    </row>
    <row r="1023" spans="3:5" x14ac:dyDescent="0.25">
      <c r="E1023" t="s">
        <v>911</v>
      </c>
    </row>
    <row r="1024" spans="3:5" x14ac:dyDescent="0.25">
      <c r="E1024" t="s">
        <v>912</v>
      </c>
    </row>
    <row r="1025" spans="5:5" x14ac:dyDescent="0.25">
      <c r="E1025" t="s">
        <v>913</v>
      </c>
    </row>
    <row r="1026" spans="5:5" x14ac:dyDescent="0.25">
      <c r="E1026" t="s">
        <v>865</v>
      </c>
    </row>
    <row r="1027" spans="5:5" x14ac:dyDescent="0.25">
      <c r="E1027" t="s">
        <v>866</v>
      </c>
    </row>
    <row r="1028" spans="5:5" x14ac:dyDescent="0.25">
      <c r="E1028" t="s">
        <v>919</v>
      </c>
    </row>
    <row r="1029" spans="5:5" x14ac:dyDescent="0.25">
      <c r="E1029" t="s">
        <v>952</v>
      </c>
    </row>
    <row r="1030" spans="5:5" x14ac:dyDescent="0.25">
      <c r="E1030" t="s">
        <v>955</v>
      </c>
    </row>
    <row r="1031" spans="5:5" x14ac:dyDescent="0.25">
      <c r="E1031" t="s">
        <v>956</v>
      </c>
    </row>
    <row r="1032" spans="5:5" x14ac:dyDescent="0.25">
      <c r="E1032" t="s">
        <v>909</v>
      </c>
    </row>
    <row r="1033" spans="5:5" x14ac:dyDescent="0.25">
      <c r="E1033" t="s">
        <v>910</v>
      </c>
    </row>
    <row r="1034" spans="5:5" x14ac:dyDescent="0.25">
      <c r="E1034" t="s">
        <v>908</v>
      </c>
    </row>
    <row r="1035" spans="5:5" x14ac:dyDescent="0.25">
      <c r="E1035" t="s">
        <v>907</v>
      </c>
    </row>
    <row r="1036" spans="5:5" x14ac:dyDescent="0.25">
      <c r="E1036" t="s">
        <v>847</v>
      </c>
    </row>
    <row r="1037" spans="5:5" x14ac:dyDescent="0.25">
      <c r="E1037" t="s">
        <v>848</v>
      </c>
    </row>
    <row r="1038" spans="5:5" x14ac:dyDescent="0.25">
      <c r="E1038" t="s">
        <v>846</v>
      </c>
    </row>
    <row r="1039" spans="5:5" x14ac:dyDescent="0.25">
      <c r="E1039" t="s">
        <v>844</v>
      </c>
    </row>
    <row r="1040" spans="5:5" x14ac:dyDescent="0.25">
      <c r="E1040" t="s">
        <v>845</v>
      </c>
    </row>
    <row r="1041" spans="2:5" x14ac:dyDescent="0.25">
      <c r="E1041" t="s">
        <v>843</v>
      </c>
    </row>
    <row r="1042" spans="2:5" x14ac:dyDescent="0.25">
      <c r="E1042" t="s">
        <v>841</v>
      </c>
    </row>
    <row r="1043" spans="2:5" x14ac:dyDescent="0.25">
      <c r="E1043" t="s">
        <v>842</v>
      </c>
    </row>
    <row r="1044" spans="2:5" x14ac:dyDescent="0.25">
      <c r="E1044" t="s">
        <v>840</v>
      </c>
    </row>
    <row r="1045" spans="2:5" ht="13" x14ac:dyDescent="0.3">
      <c r="B1045" t="s">
        <v>1574</v>
      </c>
      <c r="E1045" s="23" t="s">
        <v>837</v>
      </c>
    </row>
    <row r="1046" spans="2:5" x14ac:dyDescent="0.25">
      <c r="E1046" t="s">
        <v>838</v>
      </c>
    </row>
    <row r="1047" spans="2:5" x14ac:dyDescent="0.25">
      <c r="E1047" t="s">
        <v>836</v>
      </c>
    </row>
    <row r="1048" spans="2:5" ht="13" x14ac:dyDescent="0.3">
      <c r="E1048" s="24" t="s">
        <v>839</v>
      </c>
    </row>
    <row r="1049" spans="2:5" x14ac:dyDescent="0.25">
      <c r="E1049" t="s">
        <v>833</v>
      </c>
    </row>
    <row r="1050" spans="2:5" x14ac:dyDescent="0.25">
      <c r="E1050" t="s">
        <v>834</v>
      </c>
    </row>
    <row r="1051" spans="2:5" x14ac:dyDescent="0.25">
      <c r="E1051" t="s">
        <v>835</v>
      </c>
    </row>
    <row r="1052" spans="2:5" x14ac:dyDescent="0.25">
      <c r="E1052" t="s">
        <v>829</v>
      </c>
    </row>
    <row r="1053" spans="2:5" x14ac:dyDescent="0.25">
      <c r="E1053" t="s">
        <v>830</v>
      </c>
    </row>
    <row r="1054" spans="2:5" x14ac:dyDescent="0.25">
      <c r="E1054" t="s">
        <v>831</v>
      </c>
    </row>
    <row r="1055" spans="2:5" x14ac:dyDescent="0.25">
      <c r="E1055" t="s">
        <v>832</v>
      </c>
    </row>
    <row r="1056" spans="2:5" ht="13" x14ac:dyDescent="0.3">
      <c r="E1056" s="24" t="s">
        <v>826</v>
      </c>
    </row>
    <row r="1057" spans="5:5" x14ac:dyDescent="0.25">
      <c r="E1057" t="s">
        <v>827</v>
      </c>
    </row>
    <row r="1058" spans="5:5" x14ac:dyDescent="0.25">
      <c r="E1058" t="s">
        <v>828</v>
      </c>
    </row>
    <row r="1059" spans="5:5" x14ac:dyDescent="0.25">
      <c r="E1059" t="s">
        <v>825</v>
      </c>
    </row>
    <row r="1060" spans="5:5" x14ac:dyDescent="0.25">
      <c r="E1060" t="s">
        <v>819</v>
      </c>
    </row>
    <row r="1061" spans="5:5" x14ac:dyDescent="0.25">
      <c r="E1061" t="s">
        <v>818</v>
      </c>
    </row>
    <row r="1062" spans="5:5" x14ac:dyDescent="0.25">
      <c r="E1062" t="s">
        <v>817</v>
      </c>
    </row>
    <row r="1063" spans="5:5" x14ac:dyDescent="0.25">
      <c r="E1063" t="s">
        <v>816</v>
      </c>
    </row>
    <row r="1064" spans="5:5" ht="13" x14ac:dyDescent="0.3">
      <c r="E1064" s="24" t="s">
        <v>815</v>
      </c>
    </row>
    <row r="1065" spans="5:5" x14ac:dyDescent="0.25">
      <c r="E1065" t="s">
        <v>812</v>
      </c>
    </row>
    <row r="1066" spans="5:5" x14ac:dyDescent="0.25">
      <c r="E1066" t="s">
        <v>813</v>
      </c>
    </row>
    <row r="1067" spans="5:5" x14ac:dyDescent="0.25">
      <c r="E1067" t="s">
        <v>814</v>
      </c>
    </row>
    <row r="1068" spans="5:5" x14ac:dyDescent="0.25">
      <c r="E1068" t="s">
        <v>820</v>
      </c>
    </row>
    <row r="1069" spans="5:5" x14ac:dyDescent="0.25">
      <c r="E1069" t="s">
        <v>821</v>
      </c>
    </row>
    <row r="1070" spans="5:5" x14ac:dyDescent="0.25">
      <c r="E1070" t="s">
        <v>822</v>
      </c>
    </row>
    <row r="1071" spans="5:5" x14ac:dyDescent="0.25">
      <c r="E1071" t="s">
        <v>823</v>
      </c>
    </row>
    <row r="1072" spans="5:5" ht="13" x14ac:dyDescent="0.3">
      <c r="E1072" s="24" t="s">
        <v>810</v>
      </c>
    </row>
    <row r="1073" spans="5:5" ht="13" x14ac:dyDescent="0.3">
      <c r="E1073" s="24" t="s">
        <v>809</v>
      </c>
    </row>
    <row r="1074" spans="5:5" x14ac:dyDescent="0.25">
      <c r="E1074" t="s">
        <v>824</v>
      </c>
    </row>
    <row r="1075" spans="5:5" x14ac:dyDescent="0.25">
      <c r="E1075" t="s">
        <v>811</v>
      </c>
    </row>
    <row r="1076" spans="5:5" x14ac:dyDescent="0.25">
      <c r="E1076" t="s">
        <v>808</v>
      </c>
    </row>
    <row r="1077" spans="5:5" x14ac:dyDescent="0.25">
      <c r="E1077" t="s">
        <v>803</v>
      </c>
    </row>
    <row r="1078" spans="5:5" x14ac:dyDescent="0.25">
      <c r="E1078" t="s">
        <v>804</v>
      </c>
    </row>
    <row r="1079" spans="5:5" x14ac:dyDescent="0.25">
      <c r="E1079" t="s">
        <v>805</v>
      </c>
    </row>
    <row r="1080" spans="5:5" x14ac:dyDescent="0.25">
      <c r="E1080" t="s">
        <v>806</v>
      </c>
    </row>
    <row r="1081" spans="5:5" x14ac:dyDescent="0.25">
      <c r="E1081" t="s">
        <v>807</v>
      </c>
    </row>
    <row r="1082" spans="5:5" x14ac:dyDescent="0.25">
      <c r="E1082" t="s">
        <v>802</v>
      </c>
    </row>
    <row r="1083" spans="5:5" x14ac:dyDescent="0.25">
      <c r="E1083" t="s">
        <v>796</v>
      </c>
    </row>
    <row r="1084" spans="5:5" x14ac:dyDescent="0.25">
      <c r="E1084" t="s">
        <v>797</v>
      </c>
    </row>
    <row r="1085" spans="5:5" x14ac:dyDescent="0.25">
      <c r="E1085" t="s">
        <v>798</v>
      </c>
    </row>
    <row r="1086" spans="5:5" x14ac:dyDescent="0.25">
      <c r="E1086" t="s">
        <v>799</v>
      </c>
    </row>
    <row r="1087" spans="5:5" x14ac:dyDescent="0.25">
      <c r="E1087" t="s">
        <v>800</v>
      </c>
    </row>
    <row r="1088" spans="5:5" x14ac:dyDescent="0.25">
      <c r="E1088" t="s">
        <v>801</v>
      </c>
    </row>
    <row r="1089" spans="2:5" x14ac:dyDescent="0.25">
      <c r="E1089" t="s">
        <v>791</v>
      </c>
    </row>
    <row r="1090" spans="2:5" x14ac:dyDescent="0.25">
      <c r="E1090" t="s">
        <v>792</v>
      </c>
    </row>
    <row r="1091" spans="2:5" x14ac:dyDescent="0.25">
      <c r="E1091" t="s">
        <v>793</v>
      </c>
    </row>
    <row r="1092" spans="2:5" x14ac:dyDescent="0.25">
      <c r="E1092" t="s">
        <v>794</v>
      </c>
    </row>
    <row r="1093" spans="2:5" x14ac:dyDescent="0.25">
      <c r="E1093" t="s">
        <v>795</v>
      </c>
    </row>
    <row r="1094" spans="2:5" x14ac:dyDescent="0.25">
      <c r="E1094" t="s">
        <v>790</v>
      </c>
    </row>
    <row r="1095" spans="2:5" x14ac:dyDescent="0.25">
      <c r="E1095" t="s">
        <v>789</v>
      </c>
    </row>
    <row r="1096" spans="2:5" x14ac:dyDescent="0.25">
      <c r="E1096" t="s">
        <v>788</v>
      </c>
    </row>
    <row r="1097" spans="2:5" x14ac:dyDescent="0.25">
      <c r="E1097" t="s">
        <v>787</v>
      </c>
    </row>
    <row r="1098" spans="2:5" x14ac:dyDescent="0.25">
      <c r="E1098" t="s">
        <v>783</v>
      </c>
    </row>
    <row r="1099" spans="2:5" x14ac:dyDescent="0.25">
      <c r="E1099" t="s">
        <v>784</v>
      </c>
    </row>
    <row r="1100" spans="2:5" x14ac:dyDescent="0.25">
      <c r="E1100" t="s">
        <v>785</v>
      </c>
    </row>
    <row r="1101" spans="2:5" x14ac:dyDescent="0.25">
      <c r="E1101" t="s">
        <v>786</v>
      </c>
    </row>
    <row r="1102" spans="2:5" ht="13" x14ac:dyDescent="0.3">
      <c r="E1102" s="24" t="s">
        <v>782</v>
      </c>
    </row>
    <row r="1103" spans="2:5" x14ac:dyDescent="0.25">
      <c r="B1103" t="s">
        <v>1579</v>
      </c>
      <c r="C1103">
        <v>6</v>
      </c>
      <c r="E1103" t="s">
        <v>781</v>
      </c>
    </row>
    <row r="1104" spans="2:5" x14ac:dyDescent="0.25">
      <c r="E1104" t="s">
        <v>780</v>
      </c>
    </row>
    <row r="1105" spans="5:5" x14ac:dyDescent="0.25">
      <c r="E1105" t="s">
        <v>779</v>
      </c>
    </row>
    <row r="1106" spans="5:5" x14ac:dyDescent="0.25">
      <c r="E1106" t="s">
        <v>778</v>
      </c>
    </row>
    <row r="1107" spans="5:5" x14ac:dyDescent="0.25">
      <c r="E1107" t="s">
        <v>777</v>
      </c>
    </row>
    <row r="1108" spans="5:5" x14ac:dyDescent="0.25">
      <c r="E1108" t="s">
        <v>776</v>
      </c>
    </row>
    <row r="1109" spans="5:5" x14ac:dyDescent="0.25">
      <c r="E1109" t="s">
        <v>775</v>
      </c>
    </row>
    <row r="1110" spans="5:5" x14ac:dyDescent="0.25">
      <c r="E1110" t="s">
        <v>774</v>
      </c>
    </row>
    <row r="1111" spans="5:5" x14ac:dyDescent="0.25">
      <c r="E1111" t="s">
        <v>773</v>
      </c>
    </row>
    <row r="1112" spans="5:5" x14ac:dyDescent="0.25">
      <c r="E1112" t="s">
        <v>772</v>
      </c>
    </row>
    <row r="1113" spans="5:5" x14ac:dyDescent="0.25">
      <c r="E1113" t="s">
        <v>771</v>
      </c>
    </row>
    <row r="1114" spans="5:5" x14ac:dyDescent="0.25">
      <c r="E1114" t="s">
        <v>1151</v>
      </c>
    </row>
    <row r="1115" spans="5:5" x14ac:dyDescent="0.25">
      <c r="E1115" t="s">
        <v>1152</v>
      </c>
    </row>
    <row r="1116" spans="5:5" x14ac:dyDescent="0.25">
      <c r="E1116" t="s">
        <v>1153</v>
      </c>
    </row>
    <row r="1117" spans="5:5" x14ac:dyDescent="0.25">
      <c r="E1117" t="s">
        <v>1154</v>
      </c>
    </row>
    <row r="1118" spans="5:5" x14ac:dyDescent="0.25">
      <c r="E1118" t="s">
        <v>1149</v>
      </c>
    </row>
    <row r="1119" spans="5:5" x14ac:dyDescent="0.25">
      <c r="E1119" t="s">
        <v>1148</v>
      </c>
    </row>
    <row r="1120" spans="5:5" x14ac:dyDescent="0.25">
      <c r="E1120" t="s">
        <v>1146</v>
      </c>
    </row>
    <row r="1121" spans="2:5" x14ac:dyDescent="0.25">
      <c r="E1121" t="s">
        <v>1147</v>
      </c>
    </row>
    <row r="1122" spans="2:5" x14ac:dyDescent="0.25">
      <c r="E1122" t="s">
        <v>1150</v>
      </c>
    </row>
    <row r="1123" spans="2:5" x14ac:dyDescent="0.25">
      <c r="E1123" t="s">
        <v>1145</v>
      </c>
    </row>
    <row r="1124" spans="2:5" x14ac:dyDescent="0.25">
      <c r="E1124" t="s">
        <v>1143</v>
      </c>
    </row>
    <row r="1125" spans="2:5" x14ac:dyDescent="0.25">
      <c r="E1125" t="s">
        <v>1144</v>
      </c>
    </row>
    <row r="1126" spans="2:5" x14ac:dyDescent="0.25">
      <c r="B1126" t="s">
        <v>1574</v>
      </c>
      <c r="E1126" t="s">
        <v>1142</v>
      </c>
    </row>
    <row r="1127" spans="2:5" x14ac:dyDescent="0.25">
      <c r="E1127" t="s">
        <v>1141</v>
      </c>
    </row>
    <row r="1128" spans="2:5" x14ac:dyDescent="0.25">
      <c r="E1128" t="s">
        <v>1122</v>
      </c>
    </row>
    <row r="1129" spans="2:5" x14ac:dyDescent="0.25">
      <c r="E1129" t="s">
        <v>1121</v>
      </c>
    </row>
    <row r="1130" spans="2:5" x14ac:dyDescent="0.25">
      <c r="E1130" t="s">
        <v>1120</v>
      </c>
    </row>
    <row r="1131" spans="2:5" x14ac:dyDescent="0.25">
      <c r="E1131" t="s">
        <v>1119</v>
      </c>
    </row>
    <row r="1132" spans="2:5" x14ac:dyDescent="0.25">
      <c r="E1132" t="s">
        <v>1124</v>
      </c>
    </row>
    <row r="1133" spans="2:5" x14ac:dyDescent="0.25">
      <c r="E1133" t="s">
        <v>1123</v>
      </c>
    </row>
    <row r="1134" spans="2:5" x14ac:dyDescent="0.25">
      <c r="E1134" t="s">
        <v>1125</v>
      </c>
    </row>
    <row r="1135" spans="2:5" x14ac:dyDescent="0.25">
      <c r="E1135" t="s">
        <v>1126</v>
      </c>
    </row>
    <row r="1136" spans="2:5" x14ac:dyDescent="0.25">
      <c r="E1136" t="s">
        <v>1127</v>
      </c>
    </row>
    <row r="1137" spans="5:5" x14ac:dyDescent="0.25">
      <c r="E1137" t="s">
        <v>1128</v>
      </c>
    </row>
    <row r="1138" spans="5:5" ht="13" x14ac:dyDescent="0.3">
      <c r="E1138" s="24" t="s">
        <v>1129</v>
      </c>
    </row>
    <row r="1139" spans="5:5" x14ac:dyDescent="0.25">
      <c r="E1139" t="s">
        <v>1130</v>
      </c>
    </row>
    <row r="1140" spans="5:5" x14ac:dyDescent="0.25">
      <c r="E1140" t="s">
        <v>1131</v>
      </c>
    </row>
    <row r="1141" spans="5:5" x14ac:dyDescent="0.25">
      <c r="E1141" t="s">
        <v>1132</v>
      </c>
    </row>
    <row r="1142" spans="5:5" x14ac:dyDescent="0.25">
      <c r="E1142" t="s">
        <v>1133</v>
      </c>
    </row>
    <row r="1143" spans="5:5" x14ac:dyDescent="0.25">
      <c r="E1143" t="s">
        <v>1134</v>
      </c>
    </row>
    <row r="1144" spans="5:5" x14ac:dyDescent="0.25">
      <c r="E1144" t="s">
        <v>1135</v>
      </c>
    </row>
    <row r="1145" spans="5:5" x14ac:dyDescent="0.25">
      <c r="E1145" t="s">
        <v>1136</v>
      </c>
    </row>
    <row r="1146" spans="5:5" x14ac:dyDescent="0.25">
      <c r="E1146" t="s">
        <v>1137</v>
      </c>
    </row>
    <row r="1147" spans="5:5" x14ac:dyDescent="0.25">
      <c r="E1147" t="s">
        <v>1138</v>
      </c>
    </row>
    <row r="1148" spans="5:5" x14ac:dyDescent="0.25">
      <c r="E1148" t="s">
        <v>1139</v>
      </c>
    </row>
    <row r="1149" spans="5:5" x14ac:dyDescent="0.25">
      <c r="E1149" t="s">
        <v>1140</v>
      </c>
    </row>
    <row r="1150" spans="5:5" x14ac:dyDescent="0.25">
      <c r="E1150" t="s">
        <v>1114</v>
      </c>
    </row>
    <row r="1151" spans="5:5" x14ac:dyDescent="0.25">
      <c r="E1151" t="s">
        <v>1115</v>
      </c>
    </row>
    <row r="1152" spans="5:5" x14ac:dyDescent="0.25">
      <c r="E1152" t="s">
        <v>1116</v>
      </c>
    </row>
    <row r="1153" spans="5:5" x14ac:dyDescent="0.25">
      <c r="E1153" t="s">
        <v>1117</v>
      </c>
    </row>
    <row r="1154" spans="5:5" x14ac:dyDescent="0.25">
      <c r="E1154" t="s">
        <v>1118</v>
      </c>
    </row>
    <row r="1155" spans="5:5" x14ac:dyDescent="0.25">
      <c r="E1155" t="s">
        <v>1113</v>
      </c>
    </row>
    <row r="1156" spans="5:5" x14ac:dyDescent="0.25">
      <c r="E1156" t="s">
        <v>1112</v>
      </c>
    </row>
    <row r="1157" spans="5:5" x14ac:dyDescent="0.25">
      <c r="E1157" t="s">
        <v>1111</v>
      </c>
    </row>
    <row r="1158" spans="5:5" x14ac:dyDescent="0.25">
      <c r="E1158" t="s">
        <v>1109</v>
      </c>
    </row>
    <row r="1159" spans="5:5" x14ac:dyDescent="0.25">
      <c r="E1159" t="s">
        <v>1110</v>
      </c>
    </row>
    <row r="1160" spans="5:5" x14ac:dyDescent="0.25">
      <c r="E1160" t="s">
        <v>1108</v>
      </c>
    </row>
    <row r="1161" spans="5:5" x14ac:dyDescent="0.25">
      <c r="E1161" t="s">
        <v>1107</v>
      </c>
    </row>
    <row r="1162" spans="5:5" ht="13" x14ac:dyDescent="0.3">
      <c r="E1162" s="24" t="s">
        <v>1095</v>
      </c>
    </row>
    <row r="1163" spans="5:5" x14ac:dyDescent="0.25">
      <c r="E1163" t="s">
        <v>1102</v>
      </c>
    </row>
    <row r="1164" spans="5:5" x14ac:dyDescent="0.25">
      <c r="E1164" t="s">
        <v>1096</v>
      </c>
    </row>
    <row r="1165" spans="5:5" x14ac:dyDescent="0.25">
      <c r="E1165" t="s">
        <v>1101</v>
      </c>
    </row>
    <row r="1166" spans="5:5" x14ac:dyDescent="0.25">
      <c r="E1166" t="s">
        <v>1097</v>
      </c>
    </row>
    <row r="1167" spans="5:5" x14ac:dyDescent="0.25">
      <c r="E1167" t="s">
        <v>1098</v>
      </c>
    </row>
    <row r="1168" spans="5:5" x14ac:dyDescent="0.25">
      <c r="E1168" t="s">
        <v>1099</v>
      </c>
    </row>
    <row r="1169" spans="5:5" x14ac:dyDescent="0.25">
      <c r="E1169" t="s">
        <v>1100</v>
      </c>
    </row>
    <row r="1170" spans="5:5" x14ac:dyDescent="0.25">
      <c r="E1170" t="s">
        <v>1106</v>
      </c>
    </row>
    <row r="1171" spans="5:5" x14ac:dyDescent="0.25">
      <c r="E1171" t="s">
        <v>1094</v>
      </c>
    </row>
    <row r="1172" spans="5:5" x14ac:dyDescent="0.25">
      <c r="E1172" t="s">
        <v>1093</v>
      </c>
    </row>
    <row r="1173" spans="5:5" x14ac:dyDescent="0.25">
      <c r="E1173" t="s">
        <v>1092</v>
      </c>
    </row>
    <row r="1174" spans="5:5" x14ac:dyDescent="0.25">
      <c r="E1174" t="s">
        <v>1105</v>
      </c>
    </row>
    <row r="1175" spans="5:5" x14ac:dyDescent="0.25">
      <c r="E1175" t="s">
        <v>1104</v>
      </c>
    </row>
    <row r="1176" spans="5:5" x14ac:dyDescent="0.25">
      <c r="E1176" t="s">
        <v>1103</v>
      </c>
    </row>
    <row r="1177" spans="5:5" x14ac:dyDescent="0.25">
      <c r="E1177" t="s">
        <v>1091</v>
      </c>
    </row>
    <row r="1178" spans="5:5" x14ac:dyDescent="0.25">
      <c r="E1178" t="s">
        <v>1087</v>
      </c>
    </row>
    <row r="1179" spans="5:5" x14ac:dyDescent="0.25">
      <c r="E1179" t="s">
        <v>1088</v>
      </c>
    </row>
    <row r="1180" spans="5:5" x14ac:dyDescent="0.25">
      <c r="E1180" t="s">
        <v>1089</v>
      </c>
    </row>
    <row r="1181" spans="5:5" x14ac:dyDescent="0.25">
      <c r="E1181" t="s">
        <v>1090</v>
      </c>
    </row>
    <row r="1182" spans="5:5" x14ac:dyDescent="0.25">
      <c r="E1182" t="s">
        <v>1081</v>
      </c>
    </row>
    <row r="1183" spans="5:5" ht="13" x14ac:dyDescent="0.3">
      <c r="E1183" s="23" t="s">
        <v>1082</v>
      </c>
    </row>
    <row r="1184" spans="5:5" ht="13" x14ac:dyDescent="0.3">
      <c r="E1184" s="24" t="s">
        <v>1083</v>
      </c>
    </row>
    <row r="1185" spans="3:5" ht="13" x14ac:dyDescent="0.3">
      <c r="E1185" s="24" t="s">
        <v>1084</v>
      </c>
    </row>
    <row r="1186" spans="3:5" ht="13" x14ac:dyDescent="0.3">
      <c r="C1186">
        <v>5</v>
      </c>
      <c r="D1186" t="s">
        <v>1578</v>
      </c>
      <c r="E1186" s="23" t="s">
        <v>1085</v>
      </c>
    </row>
    <row r="1187" spans="3:5" x14ac:dyDescent="0.25">
      <c r="E1187" t="s">
        <v>1086</v>
      </c>
    </row>
    <row r="1188" spans="3:5" x14ac:dyDescent="0.25">
      <c r="E1188" t="s">
        <v>1080</v>
      </c>
    </row>
    <row r="1189" spans="3:5" x14ac:dyDescent="0.25">
      <c r="E1189" t="s">
        <v>1079</v>
      </c>
    </row>
    <row r="1190" spans="3:5" x14ac:dyDescent="0.25">
      <c r="E1190" t="s">
        <v>1078</v>
      </c>
    </row>
    <row r="1191" spans="3:5" x14ac:dyDescent="0.25">
      <c r="E1191" t="s">
        <v>1077</v>
      </c>
    </row>
    <row r="1192" spans="3:5" x14ac:dyDescent="0.25">
      <c r="E1192" t="s">
        <v>1076</v>
      </c>
    </row>
    <row r="1193" spans="3:5" x14ac:dyDescent="0.25">
      <c r="E1193" t="s">
        <v>1075</v>
      </c>
    </row>
    <row r="1194" spans="3:5" x14ac:dyDescent="0.25">
      <c r="E1194" t="s">
        <v>1074</v>
      </c>
    </row>
    <row r="1195" spans="3:5" x14ac:dyDescent="0.25">
      <c r="E1195" t="s">
        <v>1073</v>
      </c>
    </row>
    <row r="1196" spans="3:5" x14ac:dyDescent="0.25">
      <c r="E1196" t="s">
        <v>1072</v>
      </c>
    </row>
    <row r="1197" spans="3:5" x14ac:dyDescent="0.25">
      <c r="E1197" t="s">
        <v>1071</v>
      </c>
    </row>
    <row r="1198" spans="3:5" x14ac:dyDescent="0.25">
      <c r="E1198" t="s">
        <v>1070</v>
      </c>
    </row>
    <row r="1199" spans="3:5" x14ac:dyDescent="0.25">
      <c r="E1199" t="s">
        <v>1066</v>
      </c>
    </row>
    <row r="1200" spans="3:5" x14ac:dyDescent="0.25">
      <c r="E1200" t="s">
        <v>1067</v>
      </c>
    </row>
    <row r="1201" spans="3:5" x14ac:dyDescent="0.25">
      <c r="E1201" t="s">
        <v>1068</v>
      </c>
    </row>
    <row r="1202" spans="3:5" x14ac:dyDescent="0.25">
      <c r="E1202" t="s">
        <v>1069</v>
      </c>
    </row>
    <row r="1203" spans="3:5" x14ac:dyDescent="0.25">
      <c r="E1203" t="s">
        <v>1065</v>
      </c>
    </row>
    <row r="1204" spans="3:5" x14ac:dyDescent="0.25">
      <c r="E1204" t="s">
        <v>1064</v>
      </c>
    </row>
    <row r="1205" spans="3:5" x14ac:dyDescent="0.25">
      <c r="E1205" t="s">
        <v>1063</v>
      </c>
    </row>
    <row r="1206" spans="3:5" x14ac:dyDescent="0.25">
      <c r="E1206" t="s">
        <v>1062</v>
      </c>
    </row>
    <row r="1207" spans="3:5" x14ac:dyDescent="0.25">
      <c r="E1207" t="s">
        <v>1060</v>
      </c>
    </row>
    <row r="1208" spans="3:5" ht="13" x14ac:dyDescent="0.3">
      <c r="C1208">
        <v>10</v>
      </c>
      <c r="D1208" t="s">
        <v>1577</v>
      </c>
      <c r="E1208" s="23" t="s">
        <v>1061</v>
      </c>
    </row>
    <row r="1209" spans="3:5" x14ac:dyDescent="0.25">
      <c r="E1209" t="s">
        <v>1049</v>
      </c>
    </row>
    <row r="1210" spans="3:5" x14ac:dyDescent="0.25">
      <c r="E1210" t="s">
        <v>1048</v>
      </c>
    </row>
    <row r="1211" spans="3:5" x14ac:dyDescent="0.25">
      <c r="E1211" t="s">
        <v>1050</v>
      </c>
    </row>
    <row r="1212" spans="3:5" x14ac:dyDescent="0.25">
      <c r="E1212" t="s">
        <v>1051</v>
      </c>
    </row>
    <row r="1213" spans="3:5" x14ac:dyDescent="0.25">
      <c r="E1213" t="s">
        <v>1052</v>
      </c>
    </row>
    <row r="1214" spans="3:5" x14ac:dyDescent="0.25">
      <c r="E1214" t="s">
        <v>1053</v>
      </c>
    </row>
    <row r="1215" spans="3:5" x14ac:dyDescent="0.25">
      <c r="E1215" t="s">
        <v>1054</v>
      </c>
    </row>
    <row r="1216" spans="3:5" x14ac:dyDescent="0.25">
      <c r="E1216" t="s">
        <v>1055</v>
      </c>
    </row>
    <row r="1217" spans="5:5" x14ac:dyDescent="0.25">
      <c r="E1217" t="s">
        <v>1043</v>
      </c>
    </row>
    <row r="1218" spans="5:5" x14ac:dyDescent="0.25">
      <c r="E1218" t="s">
        <v>1042</v>
      </c>
    </row>
    <row r="1219" spans="5:5" x14ac:dyDescent="0.25">
      <c r="E1219" t="s">
        <v>1041</v>
      </c>
    </row>
    <row r="1220" spans="5:5" x14ac:dyDescent="0.25">
      <c r="E1220" t="s">
        <v>1047</v>
      </c>
    </row>
    <row r="1221" spans="5:5" x14ac:dyDescent="0.25">
      <c r="E1221" t="s">
        <v>1046</v>
      </c>
    </row>
    <row r="1222" spans="5:5" x14ac:dyDescent="0.25">
      <c r="E1222" t="s">
        <v>1045</v>
      </c>
    </row>
    <row r="1223" spans="5:5" x14ac:dyDescent="0.25">
      <c r="E1223" t="s">
        <v>1044</v>
      </c>
    </row>
    <row r="1224" spans="5:5" x14ac:dyDescent="0.25">
      <c r="E1224" t="s">
        <v>1056</v>
      </c>
    </row>
    <row r="1225" spans="5:5" x14ac:dyDescent="0.25">
      <c r="E1225" t="s">
        <v>1057</v>
      </c>
    </row>
    <row r="1226" spans="5:5" x14ac:dyDescent="0.25">
      <c r="E1226" t="s">
        <v>1059</v>
      </c>
    </row>
    <row r="1227" spans="5:5" x14ac:dyDescent="0.25">
      <c r="E1227" t="s">
        <v>1058</v>
      </c>
    </row>
    <row r="1228" spans="5:5" x14ac:dyDescent="0.25">
      <c r="E1228" t="s">
        <v>1037</v>
      </c>
    </row>
    <row r="1229" spans="5:5" x14ac:dyDescent="0.25">
      <c r="E1229" t="s">
        <v>1038</v>
      </c>
    </row>
    <row r="1230" spans="5:5" x14ac:dyDescent="0.25">
      <c r="E1230" t="s">
        <v>1040</v>
      </c>
    </row>
    <row r="1231" spans="5:5" x14ac:dyDescent="0.25">
      <c r="E1231" t="s">
        <v>1039</v>
      </c>
    </row>
    <row r="1232" spans="5:5" x14ac:dyDescent="0.25">
      <c r="E1232" t="s">
        <v>1031</v>
      </c>
    </row>
    <row r="1233" spans="2:5" x14ac:dyDescent="0.25">
      <c r="E1233" t="s">
        <v>1032</v>
      </c>
    </row>
    <row r="1234" spans="2:5" x14ac:dyDescent="0.25">
      <c r="E1234" t="s">
        <v>1033</v>
      </c>
    </row>
    <row r="1235" spans="2:5" x14ac:dyDescent="0.25">
      <c r="E1235" t="s">
        <v>1034</v>
      </c>
    </row>
    <row r="1236" spans="2:5" x14ac:dyDescent="0.25">
      <c r="E1236" t="s">
        <v>1035</v>
      </c>
    </row>
    <row r="1237" spans="2:5" x14ac:dyDescent="0.25">
      <c r="E1237" t="s">
        <v>1036</v>
      </c>
    </row>
    <row r="1238" spans="2:5" ht="13" x14ac:dyDescent="0.3">
      <c r="B1238" t="s">
        <v>1574</v>
      </c>
      <c r="E1238" s="23" t="s">
        <v>1027</v>
      </c>
    </row>
    <row r="1239" spans="2:5" ht="13" x14ac:dyDescent="0.3">
      <c r="C1239">
        <v>5</v>
      </c>
      <c r="D1239" t="s">
        <v>1576</v>
      </c>
      <c r="E1239" s="23" t="s">
        <v>1028</v>
      </c>
    </row>
    <row r="1240" spans="2:5" x14ac:dyDescent="0.25">
      <c r="E1240" t="s">
        <v>1029</v>
      </c>
    </row>
    <row r="1241" spans="2:5" x14ac:dyDescent="0.25">
      <c r="E1241" t="s">
        <v>1030</v>
      </c>
    </row>
    <row r="1242" spans="2:5" x14ac:dyDescent="0.25">
      <c r="E1242" t="s">
        <v>1012</v>
      </c>
    </row>
    <row r="1243" spans="2:5" x14ac:dyDescent="0.25">
      <c r="E1243" t="s">
        <v>1013</v>
      </c>
    </row>
    <row r="1244" spans="2:5" x14ac:dyDescent="0.25">
      <c r="E1244" t="s">
        <v>1014</v>
      </c>
    </row>
    <row r="1245" spans="2:5" x14ac:dyDescent="0.25">
      <c r="E1245" t="s">
        <v>1015</v>
      </c>
    </row>
    <row r="1246" spans="2:5" x14ac:dyDescent="0.25">
      <c r="E1246" t="s">
        <v>1017</v>
      </c>
    </row>
    <row r="1247" spans="2:5" ht="13" x14ac:dyDescent="0.3">
      <c r="E1247" s="24" t="s">
        <v>1016</v>
      </c>
    </row>
    <row r="1248" spans="2:5" ht="13" x14ac:dyDescent="0.3">
      <c r="E1248" s="24" t="s">
        <v>1018</v>
      </c>
    </row>
    <row r="1249" spans="5:5" x14ac:dyDescent="0.25">
      <c r="E1249" t="s">
        <v>1019</v>
      </c>
    </row>
    <row r="1250" spans="5:5" ht="13" x14ac:dyDescent="0.3">
      <c r="E1250" s="24" t="s">
        <v>1020</v>
      </c>
    </row>
    <row r="1251" spans="5:5" x14ac:dyDescent="0.25">
      <c r="E1251" t="s">
        <v>1010</v>
      </c>
    </row>
    <row r="1252" spans="5:5" x14ac:dyDescent="0.25">
      <c r="E1252" t="s">
        <v>1011</v>
      </c>
    </row>
    <row r="1253" spans="5:5" x14ac:dyDescent="0.25">
      <c r="E1253" t="s">
        <v>1021</v>
      </c>
    </row>
    <row r="1254" spans="5:5" x14ac:dyDescent="0.25">
      <c r="E1254" t="s">
        <v>1022</v>
      </c>
    </row>
    <row r="1255" spans="5:5" x14ac:dyDescent="0.25">
      <c r="E1255" t="s">
        <v>1023</v>
      </c>
    </row>
    <row r="1256" spans="5:5" x14ac:dyDescent="0.25">
      <c r="E1256" t="s">
        <v>1024</v>
      </c>
    </row>
    <row r="1257" spans="5:5" x14ac:dyDescent="0.25">
      <c r="E1257" t="s">
        <v>1025</v>
      </c>
    </row>
    <row r="1258" spans="5:5" x14ac:dyDescent="0.25">
      <c r="E1258" t="s">
        <v>1026</v>
      </c>
    </row>
    <row r="1259" spans="5:5" x14ac:dyDescent="0.25">
      <c r="E1259" t="s">
        <v>1001</v>
      </c>
    </row>
    <row r="1260" spans="5:5" x14ac:dyDescent="0.25">
      <c r="E1260" t="s">
        <v>1000</v>
      </c>
    </row>
    <row r="1261" spans="5:5" x14ac:dyDescent="0.25">
      <c r="E1261" t="s">
        <v>999</v>
      </c>
    </row>
    <row r="1262" spans="5:5" x14ac:dyDescent="0.25">
      <c r="E1262" t="s">
        <v>998</v>
      </c>
    </row>
    <row r="1263" spans="5:5" x14ac:dyDescent="0.25">
      <c r="E1263" t="s">
        <v>997</v>
      </c>
    </row>
    <row r="1264" spans="5:5" x14ac:dyDescent="0.25">
      <c r="E1264" t="s">
        <v>996</v>
      </c>
    </row>
    <row r="1265" spans="5:5" x14ac:dyDescent="0.25">
      <c r="E1265" t="s">
        <v>1002</v>
      </c>
    </row>
    <row r="1266" spans="5:5" x14ac:dyDescent="0.25">
      <c r="E1266" t="s">
        <v>1003</v>
      </c>
    </row>
    <row r="1267" spans="5:5" x14ac:dyDescent="0.25">
      <c r="E1267" t="s">
        <v>1004</v>
      </c>
    </row>
    <row r="1268" spans="5:5" x14ac:dyDescent="0.25">
      <c r="E1268" t="s">
        <v>994</v>
      </c>
    </row>
    <row r="1269" spans="5:5" x14ac:dyDescent="0.25">
      <c r="E1269" t="s">
        <v>993</v>
      </c>
    </row>
    <row r="1270" spans="5:5" x14ac:dyDescent="0.25">
      <c r="E1270" t="s">
        <v>992</v>
      </c>
    </row>
    <row r="1271" spans="5:5" x14ac:dyDescent="0.25">
      <c r="E1271" t="s">
        <v>995</v>
      </c>
    </row>
    <row r="1272" spans="5:5" x14ac:dyDescent="0.25">
      <c r="E1272" t="s">
        <v>1006</v>
      </c>
    </row>
    <row r="1273" spans="5:5" x14ac:dyDescent="0.25">
      <c r="E1273" t="s">
        <v>1005</v>
      </c>
    </row>
    <row r="1274" spans="5:5" x14ac:dyDescent="0.25">
      <c r="E1274" t="s">
        <v>1007</v>
      </c>
    </row>
    <row r="1275" spans="5:5" x14ac:dyDescent="0.25">
      <c r="E1275" t="s">
        <v>1008</v>
      </c>
    </row>
    <row r="1276" spans="5:5" x14ac:dyDescent="0.25">
      <c r="E1276" t="s">
        <v>1009</v>
      </c>
    </row>
    <row r="1277" spans="5:5" x14ac:dyDescent="0.25">
      <c r="E1277" t="s">
        <v>983</v>
      </c>
    </row>
    <row r="1278" spans="5:5" x14ac:dyDescent="0.25">
      <c r="E1278" t="s">
        <v>984</v>
      </c>
    </row>
    <row r="1279" spans="5:5" x14ac:dyDescent="0.25">
      <c r="E1279" t="s">
        <v>985</v>
      </c>
    </row>
    <row r="1280" spans="5:5" x14ac:dyDescent="0.25">
      <c r="E1280" t="s">
        <v>991</v>
      </c>
    </row>
    <row r="1281" spans="5:5" x14ac:dyDescent="0.25">
      <c r="E1281" t="s">
        <v>990</v>
      </c>
    </row>
    <row r="1282" spans="5:5" x14ac:dyDescent="0.25">
      <c r="E1282" t="s">
        <v>989</v>
      </c>
    </row>
    <row r="1283" spans="5:5" x14ac:dyDescent="0.25">
      <c r="E1283" t="s">
        <v>988</v>
      </c>
    </row>
    <row r="1284" spans="5:5" x14ac:dyDescent="0.25">
      <c r="E1284" t="s">
        <v>987</v>
      </c>
    </row>
    <row r="1285" spans="5:5" x14ac:dyDescent="0.25">
      <c r="E1285" t="s">
        <v>986</v>
      </c>
    </row>
    <row r="1286" spans="5:5" x14ac:dyDescent="0.25">
      <c r="E1286" t="s">
        <v>982</v>
      </c>
    </row>
    <row r="1287" spans="5:5" x14ac:dyDescent="0.25">
      <c r="E1287" t="s">
        <v>978</v>
      </c>
    </row>
    <row r="1288" spans="5:5" x14ac:dyDescent="0.25">
      <c r="E1288" t="s">
        <v>979</v>
      </c>
    </row>
    <row r="1289" spans="5:5" x14ac:dyDescent="0.25">
      <c r="E1289" t="s">
        <v>980</v>
      </c>
    </row>
    <row r="1290" spans="5:5" x14ac:dyDescent="0.25">
      <c r="E1290" t="s">
        <v>981</v>
      </c>
    </row>
    <row r="1291" spans="5:5" x14ac:dyDescent="0.25">
      <c r="E1291" t="s">
        <v>977</v>
      </c>
    </row>
    <row r="1292" spans="5:5" x14ac:dyDescent="0.25">
      <c r="E1292" t="s">
        <v>968</v>
      </c>
    </row>
    <row r="1293" spans="5:5" x14ac:dyDescent="0.25">
      <c r="E1293" t="s">
        <v>969</v>
      </c>
    </row>
    <row r="1294" spans="5:5" x14ac:dyDescent="0.25">
      <c r="E1294" t="s">
        <v>976</v>
      </c>
    </row>
    <row r="1295" spans="5:5" x14ac:dyDescent="0.25">
      <c r="E1295" t="s">
        <v>975</v>
      </c>
    </row>
    <row r="1296" spans="5:5" x14ac:dyDescent="0.25">
      <c r="E1296" t="s">
        <v>974</v>
      </c>
    </row>
    <row r="1297" spans="5:5" x14ac:dyDescent="0.25">
      <c r="E1297" t="s">
        <v>973</v>
      </c>
    </row>
    <row r="1298" spans="5:5" x14ac:dyDescent="0.25">
      <c r="E1298" t="s">
        <v>970</v>
      </c>
    </row>
    <row r="1299" spans="5:5" x14ac:dyDescent="0.25">
      <c r="E1299" t="s">
        <v>971</v>
      </c>
    </row>
    <row r="1300" spans="5:5" x14ac:dyDescent="0.25">
      <c r="E1300" t="s">
        <v>972</v>
      </c>
    </row>
    <row r="1301" spans="5:5" x14ac:dyDescent="0.25">
      <c r="E1301" t="s">
        <v>965</v>
      </c>
    </row>
    <row r="1302" spans="5:5" x14ac:dyDescent="0.25">
      <c r="E1302" t="s">
        <v>964</v>
      </c>
    </row>
    <row r="1303" spans="5:5" x14ac:dyDescent="0.25">
      <c r="E1303" t="s">
        <v>963</v>
      </c>
    </row>
    <row r="1304" spans="5:5" x14ac:dyDescent="0.25">
      <c r="E1304" t="s">
        <v>966</v>
      </c>
    </row>
    <row r="1305" spans="5:5" x14ac:dyDescent="0.25">
      <c r="E1305" t="s">
        <v>967</v>
      </c>
    </row>
    <row r="1306" spans="5:5" x14ac:dyDescent="0.25">
      <c r="E1306" t="s">
        <v>962</v>
      </c>
    </row>
    <row r="1307" spans="5:5" x14ac:dyDescent="0.25">
      <c r="E1307" t="s">
        <v>961</v>
      </c>
    </row>
    <row r="1308" spans="5:5" x14ac:dyDescent="0.25">
      <c r="E1308" t="s">
        <v>960</v>
      </c>
    </row>
    <row r="1309" spans="5:5" x14ac:dyDescent="0.25">
      <c r="E1309" t="s">
        <v>959</v>
      </c>
    </row>
    <row r="1310" spans="5:5" x14ac:dyDescent="0.25">
      <c r="E1310" t="s">
        <v>958</v>
      </c>
    </row>
    <row r="1311" spans="5:5" x14ac:dyDescent="0.25">
      <c r="E1311" t="s">
        <v>957</v>
      </c>
    </row>
    <row r="1312" spans="5:5" x14ac:dyDescent="0.25">
      <c r="E1312" t="s">
        <v>1334</v>
      </c>
    </row>
    <row r="1313" spans="5:5" x14ac:dyDescent="0.25">
      <c r="E1313" t="s">
        <v>1335</v>
      </c>
    </row>
    <row r="1314" spans="5:5" x14ac:dyDescent="0.25">
      <c r="E1314" t="s">
        <v>1336</v>
      </c>
    </row>
    <row r="1315" spans="5:5" x14ac:dyDescent="0.25">
      <c r="E1315" t="s">
        <v>1337</v>
      </c>
    </row>
    <row r="1316" spans="5:5" x14ac:dyDescent="0.25">
      <c r="E1316" t="s">
        <v>1338</v>
      </c>
    </row>
    <row r="1317" spans="5:5" x14ac:dyDescent="0.25">
      <c r="E1317" t="s">
        <v>1339</v>
      </c>
    </row>
    <row r="1318" spans="5:5" x14ac:dyDescent="0.25">
      <c r="E1318" t="s">
        <v>1340</v>
      </c>
    </row>
    <row r="1319" spans="5:5" ht="13" x14ac:dyDescent="0.3">
      <c r="E1319" s="23" t="s">
        <v>1341</v>
      </c>
    </row>
    <row r="1320" spans="5:5" x14ac:dyDescent="0.25">
      <c r="E1320" t="s">
        <v>1342</v>
      </c>
    </row>
    <row r="1321" spans="5:5" x14ac:dyDescent="0.25">
      <c r="E1321" t="s">
        <v>1343</v>
      </c>
    </row>
    <row r="1322" spans="5:5" x14ac:dyDescent="0.25">
      <c r="E1322" t="s">
        <v>1344</v>
      </c>
    </row>
    <row r="1323" spans="5:5" x14ac:dyDescent="0.25">
      <c r="E1323" t="s">
        <v>1345</v>
      </c>
    </row>
    <row r="1324" spans="5:5" x14ac:dyDescent="0.25">
      <c r="E1324" t="s">
        <v>1346</v>
      </c>
    </row>
    <row r="1325" spans="5:5" x14ac:dyDescent="0.25">
      <c r="E1325" t="s">
        <v>1348</v>
      </c>
    </row>
    <row r="1326" spans="5:5" x14ac:dyDescent="0.25">
      <c r="E1326" t="s">
        <v>1347</v>
      </c>
    </row>
    <row r="1327" spans="5:5" x14ac:dyDescent="0.25">
      <c r="E1327" t="s">
        <v>1349</v>
      </c>
    </row>
    <row r="1328" spans="5:5" x14ac:dyDescent="0.25">
      <c r="E1328" t="s">
        <v>1351</v>
      </c>
    </row>
    <row r="1329" spans="5:5" x14ac:dyDescent="0.25">
      <c r="E1329" t="s">
        <v>1350</v>
      </c>
    </row>
    <row r="1330" spans="5:5" x14ac:dyDescent="0.25">
      <c r="E1330" t="s">
        <v>1333</v>
      </c>
    </row>
    <row r="1331" spans="5:5" x14ac:dyDescent="0.25">
      <c r="E1331" t="s">
        <v>1332</v>
      </c>
    </row>
    <row r="1332" spans="5:5" x14ac:dyDescent="0.25">
      <c r="E1332" t="s">
        <v>1331</v>
      </c>
    </row>
    <row r="1333" spans="5:5" x14ac:dyDescent="0.25">
      <c r="E1333" t="s">
        <v>1330</v>
      </c>
    </row>
    <row r="1334" spans="5:5" x14ac:dyDescent="0.25">
      <c r="E1334" t="s">
        <v>1329</v>
      </c>
    </row>
    <row r="1335" spans="5:5" x14ac:dyDescent="0.25">
      <c r="E1335" t="s">
        <v>1328</v>
      </c>
    </row>
    <row r="1336" spans="5:5" x14ac:dyDescent="0.25">
      <c r="E1336" t="s">
        <v>1327</v>
      </c>
    </row>
    <row r="1337" spans="5:5" x14ac:dyDescent="0.25">
      <c r="E1337" t="s">
        <v>1326</v>
      </c>
    </row>
    <row r="1338" spans="5:5" x14ac:dyDescent="0.25">
      <c r="E1338" t="s">
        <v>1325</v>
      </c>
    </row>
    <row r="1339" spans="5:5" x14ac:dyDescent="0.25">
      <c r="E1339" t="s">
        <v>1324</v>
      </c>
    </row>
    <row r="1340" spans="5:5" x14ac:dyDescent="0.25">
      <c r="E1340" t="s">
        <v>1323</v>
      </c>
    </row>
    <row r="1341" spans="5:5" x14ac:dyDescent="0.25">
      <c r="E1341" t="s">
        <v>1322</v>
      </c>
    </row>
    <row r="1342" spans="5:5" x14ac:dyDescent="0.25">
      <c r="E1342" t="s">
        <v>1321</v>
      </c>
    </row>
    <row r="1343" spans="5:5" x14ac:dyDescent="0.25">
      <c r="E1343" t="s">
        <v>1320</v>
      </c>
    </row>
    <row r="1344" spans="5:5" x14ac:dyDescent="0.25">
      <c r="E1344" t="s">
        <v>1319</v>
      </c>
    </row>
    <row r="1345" spans="3:5" x14ac:dyDescent="0.25">
      <c r="E1345" t="s">
        <v>1316</v>
      </c>
    </row>
    <row r="1346" spans="3:5" x14ac:dyDescent="0.25">
      <c r="E1346" t="s">
        <v>1317</v>
      </c>
    </row>
    <row r="1347" spans="3:5" x14ac:dyDescent="0.25">
      <c r="E1347" t="s">
        <v>1318</v>
      </c>
    </row>
    <row r="1348" spans="3:5" ht="13" x14ac:dyDescent="0.3">
      <c r="C1348">
        <v>10</v>
      </c>
      <c r="D1348" t="s">
        <v>1575</v>
      </c>
      <c r="E1348" s="23" t="s">
        <v>1315</v>
      </c>
    </row>
    <row r="1349" spans="3:5" x14ac:dyDescent="0.25">
      <c r="E1349" t="s">
        <v>1314</v>
      </c>
    </row>
    <row r="1350" spans="3:5" x14ac:dyDescent="0.25">
      <c r="E1350" t="s">
        <v>1313</v>
      </c>
    </row>
    <row r="1351" spans="3:5" x14ac:dyDescent="0.25">
      <c r="E1351" t="s">
        <v>1312</v>
      </c>
    </row>
    <row r="1352" spans="3:5" x14ac:dyDescent="0.25">
      <c r="E1352" t="s">
        <v>1311</v>
      </c>
    </row>
    <row r="1353" spans="3:5" x14ac:dyDescent="0.25">
      <c r="E1353" t="s">
        <v>1309</v>
      </c>
    </row>
    <row r="1354" spans="3:5" x14ac:dyDescent="0.25">
      <c r="E1354" t="s">
        <v>1310</v>
      </c>
    </row>
    <row r="1355" spans="3:5" x14ac:dyDescent="0.25">
      <c r="E1355" t="s">
        <v>1308</v>
      </c>
    </row>
    <row r="1356" spans="3:5" x14ac:dyDescent="0.25">
      <c r="E1356" t="s">
        <v>1307</v>
      </c>
    </row>
    <row r="1357" spans="3:5" ht="13" x14ac:dyDescent="0.3">
      <c r="E1357" s="24" t="s">
        <v>1306</v>
      </c>
    </row>
    <row r="1358" spans="3:5" x14ac:dyDescent="0.25">
      <c r="E1358" t="s">
        <v>1305</v>
      </c>
    </row>
    <row r="1359" spans="3:5" x14ac:dyDescent="0.25">
      <c r="E1359" t="s">
        <v>1304</v>
      </c>
    </row>
    <row r="1360" spans="3:5" x14ac:dyDescent="0.25">
      <c r="E1360" t="s">
        <v>1303</v>
      </c>
    </row>
    <row r="1361" spans="5:5" x14ac:dyDescent="0.25">
      <c r="E1361" t="s">
        <v>1302</v>
      </c>
    </row>
    <row r="1362" spans="5:5" x14ac:dyDescent="0.25">
      <c r="E1362" t="s">
        <v>1301</v>
      </c>
    </row>
    <row r="1363" spans="5:5" x14ac:dyDescent="0.25">
      <c r="E1363" t="s">
        <v>1297</v>
      </c>
    </row>
    <row r="1364" spans="5:5" x14ac:dyDescent="0.25">
      <c r="E1364" t="s">
        <v>1298</v>
      </c>
    </row>
    <row r="1365" spans="5:5" x14ac:dyDescent="0.25">
      <c r="E1365" t="s">
        <v>1299</v>
      </c>
    </row>
    <row r="1366" spans="5:5" x14ac:dyDescent="0.25">
      <c r="E1366" t="s">
        <v>1300</v>
      </c>
    </row>
    <row r="1367" spans="5:5" x14ac:dyDescent="0.25">
      <c r="E1367" t="s">
        <v>1296</v>
      </c>
    </row>
    <row r="1368" spans="5:5" x14ac:dyDescent="0.25">
      <c r="E1368" t="s">
        <v>1295</v>
      </c>
    </row>
    <row r="1369" spans="5:5" x14ac:dyDescent="0.25">
      <c r="E1369" t="s">
        <v>1294</v>
      </c>
    </row>
    <row r="1370" spans="5:5" x14ac:dyDescent="0.25">
      <c r="E1370" t="s">
        <v>1293</v>
      </c>
    </row>
    <row r="1371" spans="5:5" x14ac:dyDescent="0.25">
      <c r="E1371" t="s">
        <v>1292</v>
      </c>
    </row>
    <row r="1372" spans="5:5" x14ac:dyDescent="0.25">
      <c r="E1372" t="s">
        <v>1288</v>
      </c>
    </row>
    <row r="1373" spans="5:5" x14ac:dyDescent="0.25">
      <c r="E1373" t="s">
        <v>1289</v>
      </c>
    </row>
    <row r="1374" spans="5:5" x14ac:dyDescent="0.25">
      <c r="E1374" t="s">
        <v>1291</v>
      </c>
    </row>
    <row r="1375" spans="5:5" x14ac:dyDescent="0.25">
      <c r="E1375" t="s">
        <v>1290</v>
      </c>
    </row>
    <row r="1376" spans="5:5" x14ac:dyDescent="0.25">
      <c r="E1376" t="s">
        <v>1277</v>
      </c>
    </row>
    <row r="1377" spans="5:5" x14ac:dyDescent="0.25">
      <c r="E1377" t="s">
        <v>1278</v>
      </c>
    </row>
    <row r="1378" spans="5:5" x14ac:dyDescent="0.25">
      <c r="E1378" t="s">
        <v>1279</v>
      </c>
    </row>
    <row r="1379" spans="5:5" x14ac:dyDescent="0.25">
      <c r="E1379" t="s">
        <v>1280</v>
      </c>
    </row>
    <row r="1380" spans="5:5" x14ac:dyDescent="0.25">
      <c r="E1380" t="s">
        <v>1281</v>
      </c>
    </row>
    <row r="1381" spans="5:5" x14ac:dyDescent="0.25">
      <c r="E1381" t="s">
        <v>1282</v>
      </c>
    </row>
    <row r="1382" spans="5:5" x14ac:dyDescent="0.25">
      <c r="E1382" t="s">
        <v>1287</v>
      </c>
    </row>
    <row r="1383" spans="5:5" x14ac:dyDescent="0.25">
      <c r="E1383" t="s">
        <v>1286</v>
      </c>
    </row>
    <row r="1384" spans="5:5" x14ac:dyDescent="0.25">
      <c r="E1384" t="s">
        <v>1285</v>
      </c>
    </row>
    <row r="1385" spans="5:5" x14ac:dyDescent="0.25">
      <c r="E1385" t="s">
        <v>1284</v>
      </c>
    </row>
    <row r="1386" spans="5:5" x14ac:dyDescent="0.25">
      <c r="E1386" t="s">
        <v>1283</v>
      </c>
    </row>
    <row r="1387" spans="5:5" x14ac:dyDescent="0.25">
      <c r="E1387" t="s">
        <v>1269</v>
      </c>
    </row>
    <row r="1388" spans="5:5" x14ac:dyDescent="0.25">
      <c r="E1388" t="s">
        <v>1268</v>
      </c>
    </row>
    <row r="1389" spans="5:5" x14ac:dyDescent="0.25">
      <c r="E1389" t="s">
        <v>1267</v>
      </c>
    </row>
    <row r="1390" spans="5:5" x14ac:dyDescent="0.25">
      <c r="E1390" t="s">
        <v>1266</v>
      </c>
    </row>
    <row r="1391" spans="5:5" x14ac:dyDescent="0.25">
      <c r="E1391" t="s">
        <v>1270</v>
      </c>
    </row>
    <row r="1392" spans="5:5" x14ac:dyDescent="0.25">
      <c r="E1392" t="s">
        <v>1271</v>
      </c>
    </row>
    <row r="1393" spans="5:5" x14ac:dyDescent="0.25">
      <c r="E1393" t="s">
        <v>1272</v>
      </c>
    </row>
    <row r="1394" spans="5:5" x14ac:dyDescent="0.25">
      <c r="E1394" t="s">
        <v>1273</v>
      </c>
    </row>
    <row r="1395" spans="5:5" x14ac:dyDescent="0.25">
      <c r="E1395" t="s">
        <v>1274</v>
      </c>
    </row>
    <row r="1396" spans="5:5" x14ac:dyDescent="0.25">
      <c r="E1396" t="s">
        <v>1275</v>
      </c>
    </row>
    <row r="1397" spans="5:5" x14ac:dyDescent="0.25">
      <c r="E1397" t="s">
        <v>1276</v>
      </c>
    </row>
    <row r="1398" spans="5:5" x14ac:dyDescent="0.25">
      <c r="E1398" t="s">
        <v>1256</v>
      </c>
    </row>
    <row r="1399" spans="5:5" x14ac:dyDescent="0.25">
      <c r="E1399" t="s">
        <v>1257</v>
      </c>
    </row>
    <row r="1400" spans="5:5" x14ac:dyDescent="0.25">
      <c r="E1400" t="s">
        <v>1258</v>
      </c>
    </row>
    <row r="1401" spans="5:5" x14ac:dyDescent="0.25">
      <c r="E1401" t="s">
        <v>1259</v>
      </c>
    </row>
    <row r="1402" spans="5:5" x14ac:dyDescent="0.25">
      <c r="E1402" t="s">
        <v>1260</v>
      </c>
    </row>
    <row r="1403" spans="5:5" x14ac:dyDescent="0.25">
      <c r="E1403" t="s">
        <v>1261</v>
      </c>
    </row>
    <row r="1404" spans="5:5" x14ac:dyDescent="0.25">
      <c r="E1404" t="s">
        <v>1265</v>
      </c>
    </row>
    <row r="1405" spans="5:5" x14ac:dyDescent="0.25">
      <c r="E1405" t="s">
        <v>1264</v>
      </c>
    </row>
    <row r="1406" spans="5:5" x14ac:dyDescent="0.25">
      <c r="E1406" t="s">
        <v>1262</v>
      </c>
    </row>
    <row r="1407" spans="5:5" x14ac:dyDescent="0.25">
      <c r="E1407" t="s">
        <v>1263</v>
      </c>
    </row>
    <row r="1408" spans="5:5" x14ac:dyDescent="0.25">
      <c r="E1408" t="s">
        <v>1237</v>
      </c>
    </row>
    <row r="1409" spans="5:5" x14ac:dyDescent="0.25">
      <c r="E1409" t="s">
        <v>1236</v>
      </c>
    </row>
    <row r="1410" spans="5:5" x14ac:dyDescent="0.25">
      <c r="E1410" t="s">
        <v>1231</v>
      </c>
    </row>
    <row r="1411" spans="5:5" x14ac:dyDescent="0.25">
      <c r="E1411" t="s">
        <v>1232</v>
      </c>
    </row>
    <row r="1412" spans="5:5" ht="13" x14ac:dyDescent="0.3">
      <c r="E1412" s="24" t="s">
        <v>1233</v>
      </c>
    </row>
    <row r="1413" spans="5:5" x14ac:dyDescent="0.25">
      <c r="E1413" t="s">
        <v>1234</v>
      </c>
    </row>
    <row r="1414" spans="5:5" x14ac:dyDescent="0.25">
      <c r="E1414" t="s">
        <v>1235</v>
      </c>
    </row>
    <row r="1415" spans="5:5" x14ac:dyDescent="0.25">
      <c r="E1415" t="s">
        <v>1251</v>
      </c>
    </row>
    <row r="1416" spans="5:5" x14ac:dyDescent="0.25">
      <c r="E1416" t="s">
        <v>1252</v>
      </c>
    </row>
    <row r="1417" spans="5:5" x14ac:dyDescent="0.25">
      <c r="E1417" t="s">
        <v>1253</v>
      </c>
    </row>
    <row r="1418" spans="5:5" x14ac:dyDescent="0.25">
      <c r="E1418" t="s">
        <v>1254</v>
      </c>
    </row>
    <row r="1419" spans="5:5" x14ac:dyDescent="0.25">
      <c r="E1419" t="s">
        <v>1255</v>
      </c>
    </row>
    <row r="1420" spans="5:5" x14ac:dyDescent="0.25">
      <c r="E1420" t="s">
        <v>1250</v>
      </c>
    </row>
    <row r="1421" spans="5:5" x14ac:dyDescent="0.25">
      <c r="E1421" t="s">
        <v>1249</v>
      </c>
    </row>
    <row r="1422" spans="5:5" x14ac:dyDescent="0.25">
      <c r="E1422" t="s">
        <v>1242</v>
      </c>
    </row>
    <row r="1423" spans="5:5" x14ac:dyDescent="0.25">
      <c r="E1423" t="s">
        <v>1243</v>
      </c>
    </row>
    <row r="1424" spans="5:5" x14ac:dyDescent="0.25">
      <c r="E1424" t="s">
        <v>1244</v>
      </c>
    </row>
    <row r="1425" spans="5:5" x14ac:dyDescent="0.25">
      <c r="E1425" t="s">
        <v>1245</v>
      </c>
    </row>
    <row r="1426" spans="5:5" x14ac:dyDescent="0.25">
      <c r="E1426" t="s">
        <v>1246</v>
      </c>
    </row>
    <row r="1427" spans="5:5" x14ac:dyDescent="0.25">
      <c r="E1427" t="s">
        <v>1229</v>
      </c>
    </row>
    <row r="1428" spans="5:5" x14ac:dyDescent="0.25">
      <c r="E1428" t="s">
        <v>1230</v>
      </c>
    </row>
    <row r="1429" spans="5:5" x14ac:dyDescent="0.25">
      <c r="E1429" t="s">
        <v>1248</v>
      </c>
    </row>
    <row r="1430" spans="5:5" x14ac:dyDescent="0.25">
      <c r="E1430" t="s">
        <v>1247</v>
      </c>
    </row>
    <row r="1431" spans="5:5" x14ac:dyDescent="0.25">
      <c r="E1431" t="s">
        <v>1241</v>
      </c>
    </row>
    <row r="1432" spans="5:5" x14ac:dyDescent="0.25">
      <c r="E1432" t="s">
        <v>1240</v>
      </c>
    </row>
    <row r="1433" spans="5:5" x14ac:dyDescent="0.25">
      <c r="E1433" t="s">
        <v>1239</v>
      </c>
    </row>
    <row r="1434" spans="5:5" x14ac:dyDescent="0.25">
      <c r="E1434" t="s">
        <v>1238</v>
      </c>
    </row>
    <row r="1435" spans="5:5" x14ac:dyDescent="0.25">
      <c r="E1435" t="s">
        <v>1224</v>
      </c>
    </row>
    <row r="1436" spans="5:5" x14ac:dyDescent="0.25">
      <c r="E1436" t="s">
        <v>1225</v>
      </c>
    </row>
    <row r="1437" spans="5:5" x14ac:dyDescent="0.25">
      <c r="E1437" t="s">
        <v>1226</v>
      </c>
    </row>
    <row r="1438" spans="5:5" x14ac:dyDescent="0.25">
      <c r="E1438" t="s">
        <v>1227</v>
      </c>
    </row>
    <row r="1439" spans="5:5" x14ac:dyDescent="0.25">
      <c r="E1439" t="s">
        <v>1228</v>
      </c>
    </row>
    <row r="1440" spans="5:5" x14ac:dyDescent="0.25">
      <c r="E1440" t="s">
        <v>1221</v>
      </c>
    </row>
    <row r="1441" spans="5:5" x14ac:dyDescent="0.25">
      <c r="E1441" t="s">
        <v>1220</v>
      </c>
    </row>
    <row r="1442" spans="5:5" x14ac:dyDescent="0.25">
      <c r="E1442" t="s">
        <v>1219</v>
      </c>
    </row>
    <row r="1443" spans="5:5" x14ac:dyDescent="0.25">
      <c r="E1443" t="s">
        <v>1218</v>
      </c>
    </row>
    <row r="1444" spans="5:5" x14ac:dyDescent="0.25">
      <c r="E1444" t="s">
        <v>1223</v>
      </c>
    </row>
    <row r="1445" spans="5:5" x14ac:dyDescent="0.25">
      <c r="E1445" t="s">
        <v>1222</v>
      </c>
    </row>
    <row r="1446" spans="5:5" x14ac:dyDescent="0.25">
      <c r="E1446" t="s">
        <v>1215</v>
      </c>
    </row>
    <row r="1447" spans="5:5" x14ac:dyDescent="0.25">
      <c r="E1447" t="s">
        <v>1216</v>
      </c>
    </row>
    <row r="1448" spans="5:5" x14ac:dyDescent="0.25">
      <c r="E1448" t="s">
        <v>1217</v>
      </c>
    </row>
    <row r="1449" spans="5:5" x14ac:dyDescent="0.25">
      <c r="E1449" t="s">
        <v>1214</v>
      </c>
    </row>
    <row r="1450" spans="5:5" x14ac:dyDescent="0.25">
      <c r="E1450" t="s">
        <v>1213</v>
      </c>
    </row>
    <row r="1451" spans="5:5" x14ac:dyDescent="0.25">
      <c r="E1451" t="s">
        <v>1212</v>
      </c>
    </row>
    <row r="1452" spans="5:5" x14ac:dyDescent="0.25">
      <c r="E1452" t="s">
        <v>1211</v>
      </c>
    </row>
    <row r="1453" spans="5:5" x14ac:dyDescent="0.25">
      <c r="E1453" t="s">
        <v>1208</v>
      </c>
    </row>
    <row r="1454" spans="5:5" x14ac:dyDescent="0.25">
      <c r="E1454" t="s">
        <v>1209</v>
      </c>
    </row>
    <row r="1455" spans="5:5" x14ac:dyDescent="0.25">
      <c r="E1455" t="s">
        <v>1210</v>
      </c>
    </row>
    <row r="1456" spans="5:5" x14ac:dyDescent="0.25">
      <c r="E1456" t="s">
        <v>1207</v>
      </c>
    </row>
    <row r="1457" spans="5:5" x14ac:dyDescent="0.25">
      <c r="E1457" t="s">
        <v>1206</v>
      </c>
    </row>
    <row r="1458" spans="5:5" x14ac:dyDescent="0.25">
      <c r="E1458" t="s">
        <v>1205</v>
      </c>
    </row>
    <row r="1459" spans="5:5" x14ac:dyDescent="0.25">
      <c r="E1459" t="s">
        <v>1204</v>
      </c>
    </row>
    <row r="1460" spans="5:5" x14ac:dyDescent="0.25">
      <c r="E1460" t="s">
        <v>1203</v>
      </c>
    </row>
    <row r="1461" spans="5:5" x14ac:dyDescent="0.25">
      <c r="E1461" t="s">
        <v>1202</v>
      </c>
    </row>
    <row r="1462" spans="5:5" x14ac:dyDescent="0.25">
      <c r="E1462" t="s">
        <v>1201</v>
      </c>
    </row>
    <row r="1463" spans="5:5" x14ac:dyDescent="0.25">
      <c r="E1463" t="s">
        <v>1200</v>
      </c>
    </row>
    <row r="1464" spans="5:5" x14ac:dyDescent="0.25">
      <c r="E1464" t="s">
        <v>1199</v>
      </c>
    </row>
    <row r="1465" spans="5:5" x14ac:dyDescent="0.25">
      <c r="E1465" t="s">
        <v>1198</v>
      </c>
    </row>
    <row r="1466" spans="5:5" x14ac:dyDescent="0.25">
      <c r="E1466" t="s">
        <v>1197</v>
      </c>
    </row>
    <row r="1467" spans="5:5" x14ac:dyDescent="0.25">
      <c r="E1467" t="s">
        <v>1196</v>
      </c>
    </row>
    <row r="1468" spans="5:5" x14ac:dyDescent="0.25">
      <c r="E1468" t="s">
        <v>1195</v>
      </c>
    </row>
    <row r="1469" spans="5:5" x14ac:dyDescent="0.25">
      <c r="E1469" t="s">
        <v>1193</v>
      </c>
    </row>
    <row r="1470" spans="5:5" x14ac:dyDescent="0.25">
      <c r="E1470" t="s">
        <v>1194</v>
      </c>
    </row>
    <row r="1471" spans="5:5" x14ac:dyDescent="0.25">
      <c r="E1471" t="s">
        <v>1192</v>
      </c>
    </row>
    <row r="1472" spans="5:5" x14ac:dyDescent="0.25">
      <c r="E1472" t="s">
        <v>1191</v>
      </c>
    </row>
    <row r="1473" spans="2:5" x14ac:dyDescent="0.25">
      <c r="E1473" t="s">
        <v>1190</v>
      </c>
    </row>
    <row r="1474" spans="2:5" x14ac:dyDescent="0.25">
      <c r="E1474" t="s">
        <v>1189</v>
      </c>
    </row>
    <row r="1475" spans="2:5" x14ac:dyDescent="0.25">
      <c r="E1475" t="s">
        <v>1188</v>
      </c>
    </row>
    <row r="1476" spans="2:5" x14ac:dyDescent="0.25">
      <c r="E1476" t="s">
        <v>1187</v>
      </c>
    </row>
    <row r="1477" spans="2:5" x14ac:dyDescent="0.25">
      <c r="E1477" t="s">
        <v>1186</v>
      </c>
    </row>
    <row r="1478" spans="2:5" x14ac:dyDescent="0.25">
      <c r="E1478" t="s">
        <v>1179</v>
      </c>
    </row>
    <row r="1479" spans="2:5" x14ac:dyDescent="0.25">
      <c r="E1479" t="s">
        <v>1177</v>
      </c>
    </row>
    <row r="1480" spans="2:5" x14ac:dyDescent="0.25">
      <c r="E1480" t="s">
        <v>1178</v>
      </c>
    </row>
    <row r="1481" spans="2:5" ht="13" x14ac:dyDescent="0.3">
      <c r="B1481" t="s">
        <v>1574</v>
      </c>
      <c r="E1481" s="23" t="s">
        <v>1180</v>
      </c>
    </row>
    <row r="1482" spans="2:5" ht="13" x14ac:dyDescent="0.3">
      <c r="E1482" s="24" t="s">
        <v>1181</v>
      </c>
    </row>
    <row r="1483" spans="2:5" x14ac:dyDescent="0.25">
      <c r="E1483" t="s">
        <v>1182</v>
      </c>
    </row>
    <row r="1484" spans="2:5" x14ac:dyDescent="0.25">
      <c r="E1484" t="s">
        <v>1183</v>
      </c>
    </row>
    <row r="1485" spans="2:5" x14ac:dyDescent="0.25">
      <c r="E1485" t="s">
        <v>1184</v>
      </c>
    </row>
    <row r="1486" spans="2:5" x14ac:dyDescent="0.25">
      <c r="E1486" t="s">
        <v>1185</v>
      </c>
    </row>
    <row r="1487" spans="2:5" x14ac:dyDescent="0.25">
      <c r="E1487" t="s">
        <v>1169</v>
      </c>
    </row>
    <row r="1488" spans="2:5" x14ac:dyDescent="0.25">
      <c r="E1488" t="s">
        <v>1168</v>
      </c>
    </row>
    <row r="1489" spans="5:5" x14ac:dyDescent="0.25">
      <c r="E1489" t="s">
        <v>1170</v>
      </c>
    </row>
    <row r="1490" spans="5:5" x14ac:dyDescent="0.25">
      <c r="E1490" t="s">
        <v>1171</v>
      </c>
    </row>
    <row r="1491" spans="5:5" x14ac:dyDescent="0.25">
      <c r="E1491" t="s">
        <v>1172</v>
      </c>
    </row>
    <row r="1492" spans="5:5" x14ac:dyDescent="0.25">
      <c r="E1492" t="s">
        <v>1173</v>
      </c>
    </row>
    <row r="1493" spans="5:5" x14ac:dyDescent="0.25">
      <c r="E1493" t="s">
        <v>1174</v>
      </c>
    </row>
    <row r="1494" spans="5:5" x14ac:dyDescent="0.25">
      <c r="E1494" t="s">
        <v>1175</v>
      </c>
    </row>
    <row r="1495" spans="5:5" x14ac:dyDescent="0.25">
      <c r="E1495" t="s">
        <v>1176</v>
      </c>
    </row>
    <row r="1496" spans="5:5" x14ac:dyDescent="0.25">
      <c r="E1496" t="s">
        <v>1164</v>
      </c>
    </row>
    <row r="1497" spans="5:5" x14ac:dyDescent="0.25">
      <c r="E1497" t="s">
        <v>1165</v>
      </c>
    </row>
    <row r="1498" spans="5:5" x14ac:dyDescent="0.25">
      <c r="E1498" t="s">
        <v>1167</v>
      </c>
    </row>
    <row r="1499" spans="5:5" x14ac:dyDescent="0.25">
      <c r="E1499" t="s">
        <v>1166</v>
      </c>
    </row>
    <row r="1500" spans="5:5" x14ac:dyDescent="0.25">
      <c r="E1500" t="s">
        <v>1163</v>
      </c>
    </row>
    <row r="1501" spans="5:5" x14ac:dyDescent="0.25">
      <c r="E1501" t="s">
        <v>1159</v>
      </c>
    </row>
    <row r="1502" spans="5:5" x14ac:dyDescent="0.25">
      <c r="E1502" t="s">
        <v>1160</v>
      </c>
    </row>
    <row r="1503" spans="5:5" x14ac:dyDescent="0.25">
      <c r="E1503" t="s">
        <v>1161</v>
      </c>
    </row>
    <row r="1504" spans="5:5" x14ac:dyDescent="0.25">
      <c r="E1504" t="s">
        <v>1162</v>
      </c>
    </row>
    <row r="1505" spans="5:5" x14ac:dyDescent="0.25">
      <c r="E1505" t="s">
        <v>1158</v>
      </c>
    </row>
    <row r="1506" spans="5:5" x14ac:dyDescent="0.25">
      <c r="E1506" t="s">
        <v>1157</v>
      </c>
    </row>
    <row r="1507" spans="5:5" x14ac:dyDescent="0.25">
      <c r="E1507" t="s">
        <v>1156</v>
      </c>
    </row>
    <row r="1508" spans="5:5" x14ac:dyDescent="0.25">
      <c r="E1508" t="s">
        <v>1155</v>
      </c>
    </row>
    <row r="1509" spans="5:5" x14ac:dyDescent="0.25">
      <c r="E1509" t="s">
        <v>1352</v>
      </c>
    </row>
    <row r="1510" spans="5:5" x14ac:dyDescent="0.25">
      <c r="E1510" t="s">
        <v>1461</v>
      </c>
    </row>
    <row r="1511" spans="5:5" x14ac:dyDescent="0.25">
      <c r="E1511" t="s">
        <v>1462</v>
      </c>
    </row>
    <row r="1512" spans="5:5" x14ac:dyDescent="0.25">
      <c r="E1512" t="s">
        <v>1463</v>
      </c>
    </row>
    <row r="1513" spans="5:5" x14ac:dyDescent="0.25">
      <c r="E1513" t="s">
        <v>1464</v>
      </c>
    </row>
    <row r="1514" spans="5:5" x14ac:dyDescent="0.25">
      <c r="E1514" t="s">
        <v>1465</v>
      </c>
    </row>
    <row r="1515" spans="5:5" x14ac:dyDescent="0.25">
      <c r="E1515" t="s">
        <v>1466</v>
      </c>
    </row>
    <row r="1516" spans="5:5" x14ac:dyDescent="0.25">
      <c r="E1516" t="s">
        <v>1460</v>
      </c>
    </row>
    <row r="1517" spans="5:5" x14ac:dyDescent="0.25">
      <c r="E1517" t="s">
        <v>1459</v>
      </c>
    </row>
    <row r="1518" spans="5:5" x14ac:dyDescent="0.25">
      <c r="E1518" t="s">
        <v>1458</v>
      </c>
    </row>
    <row r="1519" spans="5:5" x14ac:dyDescent="0.25">
      <c r="E1519" t="s">
        <v>1457</v>
      </c>
    </row>
    <row r="1520" spans="5:5" x14ac:dyDescent="0.25">
      <c r="E1520" t="s">
        <v>1456</v>
      </c>
    </row>
    <row r="1521" spans="5:5" x14ac:dyDescent="0.25">
      <c r="E1521" t="s">
        <v>1455</v>
      </c>
    </row>
    <row r="1522" spans="5:5" x14ac:dyDescent="0.25">
      <c r="E1522" t="s">
        <v>1454</v>
      </c>
    </row>
    <row r="1523" spans="5:5" x14ac:dyDescent="0.25">
      <c r="E1523" t="s">
        <v>1467</v>
      </c>
    </row>
    <row r="1524" spans="5:5" x14ac:dyDescent="0.25">
      <c r="E1524" t="s">
        <v>1468</v>
      </c>
    </row>
    <row r="1525" spans="5:5" x14ac:dyDescent="0.25">
      <c r="E1525" t="s">
        <v>1469</v>
      </c>
    </row>
    <row r="1526" spans="5:5" x14ac:dyDescent="0.25">
      <c r="E1526" t="s">
        <v>1470</v>
      </c>
    </row>
    <row r="1527" spans="5:5" x14ac:dyDescent="0.25">
      <c r="E1527" t="s">
        <v>1471</v>
      </c>
    </row>
    <row r="1528" spans="5:5" x14ac:dyDescent="0.25">
      <c r="E1528" t="s">
        <v>1472</v>
      </c>
    </row>
    <row r="1529" spans="5:5" x14ac:dyDescent="0.25">
      <c r="E1529" t="s">
        <v>1452</v>
      </c>
    </row>
    <row r="1530" spans="5:5" x14ac:dyDescent="0.25">
      <c r="E1530" t="s">
        <v>1453</v>
      </c>
    </row>
    <row r="1531" spans="5:5" x14ac:dyDescent="0.25">
      <c r="E1531" t="s">
        <v>1473</v>
      </c>
    </row>
    <row r="1532" spans="5:5" x14ac:dyDescent="0.25">
      <c r="E1532" t="s">
        <v>1474</v>
      </c>
    </row>
    <row r="1533" spans="5:5" x14ac:dyDescent="0.25">
      <c r="E1533" t="s">
        <v>1475</v>
      </c>
    </row>
    <row r="1534" spans="5:5" x14ac:dyDescent="0.25">
      <c r="E1534" t="s">
        <v>1476</v>
      </c>
    </row>
    <row r="1535" spans="5:5" x14ac:dyDescent="0.25">
      <c r="E1535" t="s">
        <v>1477</v>
      </c>
    </row>
    <row r="1536" spans="5:5" x14ac:dyDescent="0.25">
      <c r="E1536" t="s">
        <v>1478</v>
      </c>
    </row>
    <row r="1537" spans="5:5" x14ac:dyDescent="0.25">
      <c r="E1537" t="s">
        <v>1487</v>
      </c>
    </row>
    <row r="1538" spans="5:5" x14ac:dyDescent="0.25">
      <c r="E1538" t="s">
        <v>1486</v>
      </c>
    </row>
    <row r="1539" spans="5:5" x14ac:dyDescent="0.25">
      <c r="E1539" t="s">
        <v>1481</v>
      </c>
    </row>
    <row r="1540" spans="5:5" x14ac:dyDescent="0.25">
      <c r="E1540" t="s">
        <v>1480</v>
      </c>
    </row>
    <row r="1541" spans="5:5" x14ac:dyDescent="0.25">
      <c r="E1541" t="s">
        <v>1479</v>
      </c>
    </row>
    <row r="1542" spans="5:5" x14ac:dyDescent="0.25">
      <c r="E1542" t="s">
        <v>1485</v>
      </c>
    </row>
    <row r="1543" spans="5:5" x14ac:dyDescent="0.25">
      <c r="E1543" t="s">
        <v>1482</v>
      </c>
    </row>
    <row r="1544" spans="5:5" x14ac:dyDescent="0.25">
      <c r="E1544" t="s">
        <v>1483</v>
      </c>
    </row>
    <row r="1545" spans="5:5" x14ac:dyDescent="0.25">
      <c r="E1545" t="s">
        <v>1484</v>
      </c>
    </row>
    <row r="1546" spans="5:5" ht="13" x14ac:dyDescent="0.3">
      <c r="E1546" s="24" t="s">
        <v>1488</v>
      </c>
    </row>
    <row r="1547" spans="5:5" ht="13" x14ac:dyDescent="0.3">
      <c r="E1547" s="24" t="s">
        <v>1489</v>
      </c>
    </row>
    <row r="1548" spans="5:5" x14ac:dyDescent="0.25">
      <c r="E1548" t="s">
        <v>1490</v>
      </c>
    </row>
    <row r="1549" spans="5:5" ht="13" x14ac:dyDescent="0.3">
      <c r="E1549" s="24" t="s">
        <v>1491</v>
      </c>
    </row>
    <row r="1550" spans="5:5" x14ac:dyDescent="0.25">
      <c r="E1550" t="s">
        <v>1492</v>
      </c>
    </row>
    <row r="1551" spans="5:5" x14ac:dyDescent="0.25">
      <c r="E1551" t="s">
        <v>1493</v>
      </c>
    </row>
    <row r="1552" spans="5:5" x14ac:dyDescent="0.25">
      <c r="E1552" t="s">
        <v>1498</v>
      </c>
    </row>
    <row r="1553" spans="5:5" x14ac:dyDescent="0.25">
      <c r="E1553" t="s">
        <v>1497</v>
      </c>
    </row>
    <row r="1554" spans="5:5" x14ac:dyDescent="0.25">
      <c r="E1554" t="s">
        <v>1494</v>
      </c>
    </row>
    <row r="1555" spans="5:5" x14ac:dyDescent="0.25">
      <c r="E1555" t="s">
        <v>1495</v>
      </c>
    </row>
    <row r="1556" spans="5:5" x14ac:dyDescent="0.25">
      <c r="E1556" t="s">
        <v>1496</v>
      </c>
    </row>
    <row r="1557" spans="5:5" ht="13" x14ac:dyDescent="0.3">
      <c r="E1557" s="24" t="s">
        <v>1537</v>
      </c>
    </row>
    <row r="1558" spans="5:5" x14ac:dyDescent="0.25">
      <c r="E1558" t="s">
        <v>1538</v>
      </c>
    </row>
    <row r="1559" spans="5:5" x14ac:dyDescent="0.25">
      <c r="E1559" t="s">
        <v>1539</v>
      </c>
    </row>
    <row r="1560" spans="5:5" ht="13" x14ac:dyDescent="0.3">
      <c r="E1560" s="24" t="s">
        <v>1540</v>
      </c>
    </row>
    <row r="1561" spans="5:5" x14ac:dyDescent="0.25">
      <c r="E1561" t="s">
        <v>1541</v>
      </c>
    </row>
    <row r="1562" spans="5:5" x14ac:dyDescent="0.25">
      <c r="E1562" t="s">
        <v>1542</v>
      </c>
    </row>
    <row r="1563" spans="5:5" x14ac:dyDescent="0.25">
      <c r="E1563" t="s">
        <v>1536</v>
      </c>
    </row>
    <row r="1564" spans="5:5" x14ac:dyDescent="0.25">
      <c r="E1564" t="s">
        <v>1529</v>
      </c>
    </row>
    <row r="1565" spans="5:5" x14ac:dyDescent="0.25">
      <c r="E1565" t="s">
        <v>1530</v>
      </c>
    </row>
    <row r="1566" spans="5:5" x14ac:dyDescent="0.25">
      <c r="E1566" t="s">
        <v>1531</v>
      </c>
    </row>
    <row r="1567" spans="5:5" x14ac:dyDescent="0.25">
      <c r="E1567" t="s">
        <v>1532</v>
      </c>
    </row>
    <row r="1568" spans="5:5" x14ac:dyDescent="0.25">
      <c r="E1568" t="s">
        <v>1533</v>
      </c>
    </row>
    <row r="1569" spans="5:5" x14ac:dyDescent="0.25">
      <c r="E1569" t="s">
        <v>1535</v>
      </c>
    </row>
    <row r="1570" spans="5:5" x14ac:dyDescent="0.25">
      <c r="E1570" t="s">
        <v>1534</v>
      </c>
    </row>
    <row r="1571" spans="5:5" x14ac:dyDescent="0.25">
      <c r="E1571" t="s">
        <v>1528</v>
      </c>
    </row>
    <row r="1572" spans="5:5" x14ac:dyDescent="0.25">
      <c r="E1572" t="s">
        <v>1527</v>
      </c>
    </row>
    <row r="1573" spans="5:5" x14ac:dyDescent="0.25">
      <c r="E1573" t="s">
        <v>1525</v>
      </c>
    </row>
    <row r="1574" spans="5:5" x14ac:dyDescent="0.25">
      <c r="E1574" t="s">
        <v>1526</v>
      </c>
    </row>
    <row r="1575" spans="5:5" x14ac:dyDescent="0.25">
      <c r="E1575" t="s">
        <v>1524</v>
      </c>
    </row>
    <row r="1576" spans="5:5" x14ac:dyDescent="0.25">
      <c r="E1576" t="s">
        <v>1523</v>
      </c>
    </row>
    <row r="1577" spans="5:5" x14ac:dyDescent="0.25">
      <c r="E1577" t="s">
        <v>1522</v>
      </c>
    </row>
    <row r="1578" spans="5:5" x14ac:dyDescent="0.25">
      <c r="E1578" t="s">
        <v>1521</v>
      </c>
    </row>
    <row r="1579" spans="5:5" x14ac:dyDescent="0.25">
      <c r="E1579" t="s">
        <v>1520</v>
      </c>
    </row>
    <row r="1580" spans="5:5" x14ac:dyDescent="0.25">
      <c r="E1580" t="s">
        <v>1519</v>
      </c>
    </row>
    <row r="1581" spans="5:5" x14ac:dyDescent="0.25">
      <c r="E1581" t="s">
        <v>1518</v>
      </c>
    </row>
    <row r="1582" spans="5:5" x14ac:dyDescent="0.25">
      <c r="E1582" t="s">
        <v>1517</v>
      </c>
    </row>
    <row r="1583" spans="5:5" x14ac:dyDescent="0.25">
      <c r="E1583" t="s">
        <v>1514</v>
      </c>
    </row>
    <row r="1584" spans="5:5" x14ac:dyDescent="0.25">
      <c r="E1584" t="s">
        <v>1515</v>
      </c>
    </row>
    <row r="1585" spans="2:5" x14ac:dyDescent="0.25">
      <c r="E1585" t="s">
        <v>1516</v>
      </c>
    </row>
    <row r="1586" spans="2:5" x14ac:dyDescent="0.25">
      <c r="E1586" t="s">
        <v>1513</v>
      </c>
    </row>
    <row r="1587" spans="2:5" ht="13" x14ac:dyDescent="0.3">
      <c r="B1587" t="s">
        <v>1574</v>
      </c>
      <c r="E1587" s="23" t="s">
        <v>1507</v>
      </c>
    </row>
    <row r="1588" spans="2:5" x14ac:dyDescent="0.25">
      <c r="E1588" t="s">
        <v>1508</v>
      </c>
    </row>
    <row r="1589" spans="2:5" x14ac:dyDescent="0.25">
      <c r="E1589" t="s">
        <v>1509</v>
      </c>
    </row>
    <row r="1590" spans="2:5" x14ac:dyDescent="0.25">
      <c r="E1590" t="s">
        <v>1510</v>
      </c>
    </row>
    <row r="1591" spans="2:5" x14ac:dyDescent="0.25">
      <c r="E1591" t="s">
        <v>1511</v>
      </c>
    </row>
    <row r="1592" spans="2:5" x14ac:dyDescent="0.25">
      <c r="E1592" t="s">
        <v>1512</v>
      </c>
    </row>
    <row r="1593" spans="2:5" x14ac:dyDescent="0.25">
      <c r="E1593" t="s">
        <v>1506</v>
      </c>
    </row>
    <row r="1594" spans="2:5" x14ac:dyDescent="0.25">
      <c r="E1594" t="s">
        <v>1505</v>
      </c>
    </row>
    <row r="1595" spans="2:5" x14ac:dyDescent="0.25">
      <c r="E1595" t="s">
        <v>1504</v>
      </c>
    </row>
    <row r="1596" spans="2:5" ht="13" x14ac:dyDescent="0.3">
      <c r="B1596" t="s">
        <v>1573</v>
      </c>
      <c r="C1596">
        <v>6</v>
      </c>
      <c r="E1596" s="23" t="s">
        <v>1503</v>
      </c>
    </row>
    <row r="1597" spans="2:5" x14ac:dyDescent="0.25">
      <c r="E1597" t="s">
        <v>1502</v>
      </c>
    </row>
    <row r="1598" spans="2:5" x14ac:dyDescent="0.25">
      <c r="E1598" t="s">
        <v>1501</v>
      </c>
    </row>
    <row r="1599" spans="2:5" x14ac:dyDescent="0.25">
      <c r="E1599" t="s">
        <v>1500</v>
      </c>
    </row>
    <row r="1600" spans="2:5" x14ac:dyDescent="0.25">
      <c r="E1600" t="s">
        <v>1499</v>
      </c>
    </row>
    <row r="1601" spans="5:5" x14ac:dyDescent="0.25">
      <c r="E1601" t="s">
        <v>1451</v>
      </c>
    </row>
    <row r="1602" spans="5:5" x14ac:dyDescent="0.25">
      <c r="E1602" t="s">
        <v>1450</v>
      </c>
    </row>
    <row r="1603" spans="5:5" x14ac:dyDescent="0.25">
      <c r="E1603" t="s">
        <v>1446</v>
      </c>
    </row>
    <row r="1604" spans="5:5" x14ac:dyDescent="0.25">
      <c r="E1604" t="s">
        <v>1447</v>
      </c>
    </row>
    <row r="1605" spans="5:5" x14ac:dyDescent="0.25">
      <c r="E1605" t="s">
        <v>1448</v>
      </c>
    </row>
    <row r="1606" spans="5:5" x14ac:dyDescent="0.25">
      <c r="E1606" t="s">
        <v>1449</v>
      </c>
    </row>
    <row r="1607" spans="5:5" x14ac:dyDescent="0.25">
      <c r="E1607" t="s">
        <v>1445</v>
      </c>
    </row>
    <row r="1608" spans="5:5" x14ac:dyDescent="0.25">
      <c r="E1608" t="s">
        <v>1444</v>
      </c>
    </row>
    <row r="1609" spans="5:5" x14ac:dyDescent="0.25">
      <c r="E1609" t="s">
        <v>1443</v>
      </c>
    </row>
    <row r="1610" spans="5:5" x14ac:dyDescent="0.25">
      <c r="E1610" t="s">
        <v>1442</v>
      </c>
    </row>
    <row r="1611" spans="5:5" x14ac:dyDescent="0.25">
      <c r="E1611" t="s">
        <v>1441</v>
      </c>
    </row>
    <row r="1612" spans="5:5" x14ac:dyDescent="0.25">
      <c r="E1612" t="s">
        <v>1440</v>
      </c>
    </row>
    <row r="1613" spans="5:5" x14ac:dyDescent="0.25">
      <c r="E1613" t="s">
        <v>1439</v>
      </c>
    </row>
    <row r="1614" spans="5:5" x14ac:dyDescent="0.25">
      <c r="E1614" t="s">
        <v>1438</v>
      </c>
    </row>
    <row r="1615" spans="5:5" x14ac:dyDescent="0.25">
      <c r="E1615" t="s">
        <v>1437</v>
      </c>
    </row>
    <row r="1616" spans="5:5" x14ac:dyDescent="0.25">
      <c r="E1616" t="s">
        <v>1435</v>
      </c>
    </row>
    <row r="1617" spans="3:5" x14ac:dyDescent="0.25">
      <c r="E1617" t="s">
        <v>1436</v>
      </c>
    </row>
    <row r="1618" spans="3:5" x14ac:dyDescent="0.25">
      <c r="E1618" t="s">
        <v>1434</v>
      </c>
    </row>
    <row r="1619" spans="3:5" x14ac:dyDescent="0.25">
      <c r="E1619" t="s">
        <v>1433</v>
      </c>
    </row>
    <row r="1620" spans="3:5" x14ac:dyDescent="0.25">
      <c r="E1620" t="s">
        <v>1430</v>
      </c>
    </row>
    <row r="1621" spans="3:5" ht="13" x14ac:dyDescent="0.3">
      <c r="C1621">
        <v>10</v>
      </c>
      <c r="D1621" t="s">
        <v>1572</v>
      </c>
      <c r="E1621" s="23" t="s">
        <v>1432</v>
      </c>
    </row>
    <row r="1622" spans="3:5" x14ac:dyDescent="0.25">
      <c r="E1622" t="s">
        <v>1431</v>
      </c>
    </row>
    <row r="1623" spans="3:5" x14ac:dyDescent="0.25">
      <c r="E1623" t="s">
        <v>1426</v>
      </c>
    </row>
    <row r="1624" spans="3:5" ht="13" x14ac:dyDescent="0.3">
      <c r="C1624">
        <v>8</v>
      </c>
      <c r="D1624" t="s">
        <v>1571</v>
      </c>
      <c r="E1624" s="23" t="s">
        <v>1427</v>
      </c>
    </row>
    <row r="1625" spans="3:5" x14ac:dyDescent="0.25">
      <c r="E1625" t="s">
        <v>1428</v>
      </c>
    </row>
    <row r="1626" spans="3:5" x14ac:dyDescent="0.25">
      <c r="E1626" t="s">
        <v>1429</v>
      </c>
    </row>
    <row r="1627" spans="3:5" x14ac:dyDescent="0.25">
      <c r="E1627" t="s">
        <v>1425</v>
      </c>
    </row>
    <row r="1628" spans="3:5" x14ac:dyDescent="0.25">
      <c r="E1628" t="s">
        <v>1424</v>
      </c>
    </row>
    <row r="1629" spans="3:5" x14ac:dyDescent="0.25">
      <c r="E1629" t="s">
        <v>1423</v>
      </c>
    </row>
    <row r="1630" spans="3:5" x14ac:dyDescent="0.25">
      <c r="E1630" t="s">
        <v>1422</v>
      </c>
    </row>
    <row r="1631" spans="3:5" x14ac:dyDescent="0.25">
      <c r="E1631" t="s">
        <v>1421</v>
      </c>
    </row>
    <row r="1632" spans="3:5" x14ac:dyDescent="0.25">
      <c r="E1632" t="s">
        <v>1420</v>
      </c>
    </row>
    <row r="1633" spans="2:5" x14ac:dyDescent="0.25">
      <c r="E1633" t="s">
        <v>1419</v>
      </c>
    </row>
    <row r="1634" spans="2:5" x14ac:dyDescent="0.25">
      <c r="E1634" t="s">
        <v>1390</v>
      </c>
    </row>
    <row r="1635" spans="2:5" x14ac:dyDescent="0.25">
      <c r="E1635" t="s">
        <v>1389</v>
      </c>
    </row>
    <row r="1636" spans="2:5" x14ac:dyDescent="0.25">
      <c r="E1636" t="s">
        <v>1388</v>
      </c>
    </row>
    <row r="1637" spans="2:5" x14ac:dyDescent="0.25">
      <c r="E1637" t="s">
        <v>1387</v>
      </c>
    </row>
    <row r="1638" spans="2:5" x14ac:dyDescent="0.25">
      <c r="E1638" t="s">
        <v>1386</v>
      </c>
    </row>
    <row r="1639" spans="2:5" x14ac:dyDescent="0.25">
      <c r="E1639" t="s">
        <v>1385</v>
      </c>
    </row>
    <row r="1640" spans="2:5" x14ac:dyDescent="0.25">
      <c r="E1640" t="s">
        <v>1384</v>
      </c>
    </row>
    <row r="1641" spans="2:5" x14ac:dyDescent="0.25">
      <c r="E1641" t="s">
        <v>1383</v>
      </c>
    </row>
    <row r="1642" spans="2:5" ht="13" x14ac:dyDescent="0.3">
      <c r="B1642" t="s">
        <v>1574</v>
      </c>
      <c r="E1642" s="23" t="s">
        <v>1382</v>
      </c>
    </row>
    <row r="1643" spans="2:5" x14ac:dyDescent="0.25">
      <c r="E1643" t="s">
        <v>1376</v>
      </c>
    </row>
    <row r="1644" spans="2:5" x14ac:dyDescent="0.25">
      <c r="E1644" t="s">
        <v>1377</v>
      </c>
    </row>
    <row r="1645" spans="2:5" x14ac:dyDescent="0.25">
      <c r="E1645" t="s">
        <v>1378</v>
      </c>
    </row>
    <row r="1646" spans="2:5" x14ac:dyDescent="0.25">
      <c r="E1646" t="s">
        <v>1379</v>
      </c>
    </row>
    <row r="1647" spans="2:5" x14ac:dyDescent="0.25">
      <c r="E1647" t="s">
        <v>1380</v>
      </c>
    </row>
    <row r="1648" spans="2:5" x14ac:dyDescent="0.25">
      <c r="E1648" t="s">
        <v>1381</v>
      </c>
    </row>
    <row r="1649" spans="2:5" x14ac:dyDescent="0.25">
      <c r="E1649" t="s">
        <v>1391</v>
      </c>
    </row>
    <row r="1650" spans="2:5" x14ac:dyDescent="0.25">
      <c r="E1650" t="s">
        <v>1392</v>
      </c>
    </row>
    <row r="1651" spans="2:5" x14ac:dyDescent="0.25">
      <c r="E1651" t="s">
        <v>1395</v>
      </c>
    </row>
    <row r="1652" spans="2:5" x14ac:dyDescent="0.25">
      <c r="E1652" t="s">
        <v>1393</v>
      </c>
    </row>
    <row r="1653" spans="2:5" x14ac:dyDescent="0.25">
      <c r="E1653" t="s">
        <v>1394</v>
      </c>
    </row>
    <row r="1654" spans="2:5" x14ac:dyDescent="0.25">
      <c r="E1654" t="s">
        <v>1396</v>
      </c>
    </row>
    <row r="1655" spans="2:5" x14ac:dyDescent="0.25">
      <c r="E1655" t="s">
        <v>1397</v>
      </c>
    </row>
    <row r="1656" spans="2:5" x14ac:dyDescent="0.25">
      <c r="E1656" t="s">
        <v>1412</v>
      </c>
    </row>
    <row r="1657" spans="2:5" x14ac:dyDescent="0.25">
      <c r="E1657" t="s">
        <v>1413</v>
      </c>
    </row>
    <row r="1658" spans="2:5" x14ac:dyDescent="0.25">
      <c r="E1658" t="s">
        <v>1414</v>
      </c>
    </row>
    <row r="1659" spans="2:5" x14ac:dyDescent="0.25">
      <c r="E1659" t="s">
        <v>1415</v>
      </c>
    </row>
    <row r="1660" spans="2:5" x14ac:dyDescent="0.25">
      <c r="E1660" t="s">
        <v>1416</v>
      </c>
    </row>
    <row r="1661" spans="2:5" x14ac:dyDescent="0.25">
      <c r="E1661" t="s">
        <v>1417</v>
      </c>
    </row>
    <row r="1662" spans="2:5" ht="13" x14ac:dyDescent="0.3">
      <c r="B1662" t="s">
        <v>1574</v>
      </c>
      <c r="E1662" s="23" t="s">
        <v>1418</v>
      </c>
    </row>
    <row r="1663" spans="2:5" x14ac:dyDescent="0.25">
      <c r="E1663" t="s">
        <v>1403</v>
      </c>
    </row>
    <row r="1664" spans="2:5" x14ac:dyDescent="0.25">
      <c r="E1664" t="s">
        <v>1404</v>
      </c>
    </row>
    <row r="1665" spans="2:5" x14ac:dyDescent="0.25">
      <c r="E1665" t="s">
        <v>1405</v>
      </c>
    </row>
    <row r="1666" spans="2:5" x14ac:dyDescent="0.25">
      <c r="E1666" t="s">
        <v>1406</v>
      </c>
    </row>
    <row r="1667" spans="2:5" x14ac:dyDescent="0.25">
      <c r="E1667" t="s">
        <v>1407</v>
      </c>
    </row>
    <row r="1668" spans="2:5" x14ac:dyDescent="0.25">
      <c r="E1668" t="s">
        <v>1408</v>
      </c>
    </row>
    <row r="1669" spans="2:5" ht="13" x14ac:dyDescent="0.3">
      <c r="B1669" t="s">
        <v>1574</v>
      </c>
      <c r="C1669">
        <v>5</v>
      </c>
      <c r="E1669" s="23" t="s">
        <v>1409</v>
      </c>
    </row>
    <row r="1670" spans="2:5" x14ac:dyDescent="0.25">
      <c r="E1670" t="s">
        <v>1410</v>
      </c>
    </row>
    <row r="1671" spans="2:5" x14ac:dyDescent="0.25">
      <c r="E1671" t="s">
        <v>1411</v>
      </c>
    </row>
    <row r="1672" spans="2:5" x14ac:dyDescent="0.25">
      <c r="B1672">
        <v>5</v>
      </c>
      <c r="C1672" t="s">
        <v>1569</v>
      </c>
      <c r="D1672" t="s">
        <v>1570</v>
      </c>
      <c r="E1672" t="s">
        <v>1400</v>
      </c>
    </row>
    <row r="1673" spans="2:5" x14ac:dyDescent="0.25">
      <c r="E1673" t="s">
        <v>1401</v>
      </c>
    </row>
    <row r="1674" spans="2:5" x14ac:dyDescent="0.25">
      <c r="E1674" t="s">
        <v>1402</v>
      </c>
    </row>
    <row r="1675" spans="2:5" x14ac:dyDescent="0.25">
      <c r="E1675" t="s">
        <v>1399</v>
      </c>
    </row>
    <row r="1676" spans="2:5" x14ac:dyDescent="0.25">
      <c r="E1676" t="s">
        <v>1398</v>
      </c>
    </row>
    <row r="1677" spans="2:5" x14ac:dyDescent="0.25">
      <c r="E1677" t="s">
        <v>1375</v>
      </c>
    </row>
    <row r="1678" spans="2:5" x14ac:dyDescent="0.25">
      <c r="E1678" t="s">
        <v>1374</v>
      </c>
    </row>
    <row r="1679" spans="2:5" x14ac:dyDescent="0.25">
      <c r="E1679" t="s">
        <v>1373</v>
      </c>
    </row>
    <row r="1680" spans="2:5" x14ac:dyDescent="0.25">
      <c r="E1680" t="s">
        <v>1372</v>
      </c>
    </row>
    <row r="1681" spans="5:5" x14ac:dyDescent="0.25">
      <c r="E1681" t="s">
        <v>1371</v>
      </c>
    </row>
    <row r="1682" spans="5:5" x14ac:dyDescent="0.25">
      <c r="E1682" t="s">
        <v>1370</v>
      </c>
    </row>
    <row r="1683" spans="5:5" x14ac:dyDescent="0.25">
      <c r="E1683" t="s">
        <v>1369</v>
      </c>
    </row>
    <row r="1684" spans="5:5" x14ac:dyDescent="0.25">
      <c r="E1684" t="s">
        <v>1361</v>
      </c>
    </row>
    <row r="1685" spans="5:5" x14ac:dyDescent="0.25">
      <c r="E1685" t="s">
        <v>1368</v>
      </c>
    </row>
    <row r="1686" spans="5:5" x14ac:dyDescent="0.25">
      <c r="E1686" t="s">
        <v>1362</v>
      </c>
    </row>
    <row r="1687" spans="5:5" x14ac:dyDescent="0.25">
      <c r="E1687" t="s">
        <v>1363</v>
      </c>
    </row>
    <row r="1688" spans="5:5" x14ac:dyDescent="0.25">
      <c r="E1688" t="s">
        <v>1364</v>
      </c>
    </row>
    <row r="1689" spans="5:5" x14ac:dyDescent="0.25">
      <c r="E1689" t="s">
        <v>1365</v>
      </c>
    </row>
    <row r="1690" spans="5:5" x14ac:dyDescent="0.25">
      <c r="E1690" t="s">
        <v>1366</v>
      </c>
    </row>
    <row r="1691" spans="5:5" x14ac:dyDescent="0.25">
      <c r="E1691" t="s">
        <v>1367</v>
      </c>
    </row>
    <row r="1692" spans="5:5" x14ac:dyDescent="0.25">
      <c r="E1692" t="s">
        <v>1360</v>
      </c>
    </row>
    <row r="1693" spans="5:5" x14ac:dyDescent="0.25">
      <c r="E1693" t="s">
        <v>1359</v>
      </c>
    </row>
    <row r="1694" spans="5:5" x14ac:dyDescent="0.25">
      <c r="E1694" t="s">
        <v>1358</v>
      </c>
    </row>
    <row r="1695" spans="5:5" x14ac:dyDescent="0.25">
      <c r="E1695" t="s">
        <v>1357</v>
      </c>
    </row>
    <row r="1696" spans="5:5" x14ac:dyDescent="0.25">
      <c r="E1696" t="s">
        <v>1356</v>
      </c>
    </row>
    <row r="1697" spans="5:5" ht="13" x14ac:dyDescent="0.3">
      <c r="E1697" s="24" t="s">
        <v>1355</v>
      </c>
    </row>
    <row r="1698" spans="5:5" x14ac:dyDescent="0.25">
      <c r="E1698" t="s">
        <v>1354</v>
      </c>
    </row>
    <row r="1699" spans="5:5" x14ac:dyDescent="0.25">
      <c r="E1699" t="s">
        <v>1353</v>
      </c>
    </row>
    <row r="1700" spans="5:5" ht="13" x14ac:dyDescent="0.3">
      <c r="E1700" s="24" t="s">
        <v>1543</v>
      </c>
    </row>
    <row r="1701" spans="5:5" x14ac:dyDescent="0.25">
      <c r="E1701" t="s">
        <v>1544</v>
      </c>
    </row>
    <row r="1702" spans="5:5" x14ac:dyDescent="0.25">
      <c r="E1702" t="s">
        <v>1568</v>
      </c>
    </row>
    <row r="1703" spans="5:5" x14ac:dyDescent="0.25">
      <c r="E1703" t="s">
        <v>1567</v>
      </c>
    </row>
    <row r="1704" spans="5:5" x14ac:dyDescent="0.25">
      <c r="E1704" t="s">
        <v>1566</v>
      </c>
    </row>
    <row r="1705" spans="5:5" x14ac:dyDescent="0.25">
      <c r="E1705" t="s">
        <v>1565</v>
      </c>
    </row>
    <row r="1706" spans="5:5" x14ac:dyDescent="0.25">
      <c r="E1706" t="s">
        <v>1564</v>
      </c>
    </row>
    <row r="1707" spans="5:5" x14ac:dyDescent="0.25">
      <c r="E1707" t="s">
        <v>1563</v>
      </c>
    </row>
    <row r="1708" spans="5:5" x14ac:dyDescent="0.25">
      <c r="E1708" t="s">
        <v>1562</v>
      </c>
    </row>
    <row r="1709" spans="5:5" x14ac:dyDescent="0.25">
      <c r="E1709" t="s">
        <v>1561</v>
      </c>
    </row>
    <row r="1710" spans="5:5" x14ac:dyDescent="0.25">
      <c r="E1710" t="s">
        <v>1560</v>
      </c>
    </row>
    <row r="1711" spans="5:5" x14ac:dyDescent="0.25">
      <c r="E1711" t="s">
        <v>1559</v>
      </c>
    </row>
    <row r="1712" spans="5:5" x14ac:dyDescent="0.25">
      <c r="E1712" t="s">
        <v>1558</v>
      </c>
    </row>
    <row r="1713" spans="5:5" x14ac:dyDescent="0.25">
      <c r="E1713" t="s">
        <v>1557</v>
      </c>
    </row>
    <row r="1714" spans="5:5" x14ac:dyDescent="0.25">
      <c r="E1714" t="s">
        <v>1556</v>
      </c>
    </row>
    <row r="1715" spans="5:5" x14ac:dyDescent="0.25">
      <c r="E1715" t="s">
        <v>1555</v>
      </c>
    </row>
    <row r="1716" spans="5:5" x14ac:dyDescent="0.25">
      <c r="E1716" t="s">
        <v>1552</v>
      </c>
    </row>
    <row r="1717" spans="5:5" x14ac:dyDescent="0.25">
      <c r="E1717" t="s">
        <v>1553</v>
      </c>
    </row>
    <row r="1718" spans="5:5" x14ac:dyDescent="0.25">
      <c r="E1718" t="s">
        <v>1554</v>
      </c>
    </row>
    <row r="1719" spans="5:5" x14ac:dyDescent="0.25">
      <c r="E1719" t="s">
        <v>1551</v>
      </c>
    </row>
    <row r="1720" spans="5:5" x14ac:dyDescent="0.25">
      <c r="E1720" t="s">
        <v>1550</v>
      </c>
    </row>
    <row r="1721" spans="5:5" x14ac:dyDescent="0.25">
      <c r="E1721" t="s">
        <v>1549</v>
      </c>
    </row>
    <row r="1722" spans="5:5" x14ac:dyDescent="0.25">
      <c r="E1722" t="s">
        <v>1548</v>
      </c>
    </row>
    <row r="1723" spans="5:5" x14ac:dyDescent="0.25">
      <c r="E1723" t="s">
        <v>1547</v>
      </c>
    </row>
    <row r="1724" spans="5:5" x14ac:dyDescent="0.25">
      <c r="E1724" t="s">
        <v>1546</v>
      </c>
    </row>
    <row r="1725" spans="5:5" x14ac:dyDescent="0.25">
      <c r="E1725" t="s">
        <v>1545</v>
      </c>
    </row>
    <row r="1732" spans="2:5" s="24" customFormat="1" ht="13" x14ac:dyDescent="0.3">
      <c r="B1732" s="24" t="s">
        <v>1618</v>
      </c>
      <c r="C1732" s="24">
        <v>3</v>
      </c>
      <c r="E1732" s="24" t="s">
        <v>1628</v>
      </c>
    </row>
    <row r="1733" spans="2:5" s="24" customFormat="1" ht="13" x14ac:dyDescent="0.3">
      <c r="B1733" s="24" t="s">
        <v>1618</v>
      </c>
      <c r="C1733" s="24">
        <v>3</v>
      </c>
      <c r="E1733" s="24" t="s">
        <v>1629</v>
      </c>
    </row>
    <row r="1734" spans="2:5" ht="13" x14ac:dyDescent="0.3">
      <c r="B1734" s="24" t="s">
        <v>1619</v>
      </c>
      <c r="C1734" s="24">
        <v>3</v>
      </c>
      <c r="E1734" s="24" t="s">
        <v>1630</v>
      </c>
    </row>
    <row r="1735" spans="2:5" s="24" customFormat="1" ht="13" x14ac:dyDescent="0.3">
      <c r="B1735" s="24" t="s">
        <v>1605</v>
      </c>
      <c r="C1735" s="24">
        <v>3</v>
      </c>
      <c r="E1735" s="24" t="s">
        <v>1631</v>
      </c>
    </row>
    <row r="1736" spans="2:5" ht="13" x14ac:dyDescent="0.3">
      <c r="B1736" s="24" t="s">
        <v>1605</v>
      </c>
      <c r="C1736" s="24">
        <v>3</v>
      </c>
      <c r="E1736" s="24" t="s">
        <v>1632</v>
      </c>
    </row>
    <row r="1737" spans="2:5" s="24" customFormat="1" ht="13" x14ac:dyDescent="0.3">
      <c r="B1737" s="24" t="s">
        <v>1574</v>
      </c>
      <c r="C1737" s="24">
        <v>3</v>
      </c>
      <c r="E1737" s="24" t="s">
        <v>1634</v>
      </c>
    </row>
    <row r="1738" spans="2:5" s="24" customFormat="1" ht="13" x14ac:dyDescent="0.3">
      <c r="B1738" s="24" t="s">
        <v>1619</v>
      </c>
      <c r="C1738" s="24">
        <v>3</v>
      </c>
      <c r="E1738" s="24" t="s">
        <v>1635</v>
      </c>
    </row>
    <row r="1739" spans="2:5" s="24" customFormat="1" ht="13" x14ac:dyDescent="0.3">
      <c r="B1739" s="24" t="s">
        <v>1618</v>
      </c>
      <c r="C1739" s="24">
        <v>3</v>
      </c>
      <c r="E1739" s="24" t="s">
        <v>1638</v>
      </c>
    </row>
    <row r="1740" spans="2:5" s="24" customFormat="1" ht="13" x14ac:dyDescent="0.3">
      <c r="B1740" s="24" t="s">
        <v>1605</v>
      </c>
      <c r="C1740" s="24">
        <v>3</v>
      </c>
      <c r="E1740" s="24" t="s">
        <v>1639</v>
      </c>
    </row>
    <row r="1741" spans="2:5" ht="13" x14ac:dyDescent="0.3">
      <c r="B1741" t="s">
        <v>1605</v>
      </c>
      <c r="C1741">
        <v>3</v>
      </c>
      <c r="E1741" s="24" t="s">
        <v>1641</v>
      </c>
    </row>
    <row r="1742" spans="2:5" x14ac:dyDescent="0.25">
      <c r="B1742" t="s">
        <v>1605</v>
      </c>
      <c r="C1742">
        <v>3</v>
      </c>
      <c r="E1742" t="s">
        <v>1640</v>
      </c>
    </row>
    <row r="1743" spans="2:5" s="24" customFormat="1" ht="13" x14ac:dyDescent="0.3">
      <c r="B1743" s="24" t="s">
        <v>1605</v>
      </c>
      <c r="C1743" s="24">
        <v>3</v>
      </c>
      <c r="E1743" s="24" t="s">
        <v>1633</v>
      </c>
    </row>
    <row r="1744" spans="2:5" x14ac:dyDescent="0.25">
      <c r="B1744" t="s">
        <v>1618</v>
      </c>
      <c r="C1744">
        <v>3</v>
      </c>
      <c r="E1744" t="s">
        <v>221</v>
      </c>
    </row>
    <row r="1745" spans="2:5" x14ac:dyDescent="0.25">
      <c r="B1745" t="s">
        <v>1618</v>
      </c>
      <c r="C1745">
        <v>3</v>
      </c>
      <c r="E1745" t="s">
        <v>49</v>
      </c>
    </row>
    <row r="1746" spans="2:5" x14ac:dyDescent="0.25">
      <c r="B1746" t="s">
        <v>1574</v>
      </c>
      <c r="C1746">
        <v>3</v>
      </c>
      <c r="E1746" t="s">
        <v>219</v>
      </c>
    </row>
    <row r="1747" spans="2:5" x14ac:dyDescent="0.25">
      <c r="B1747" t="s">
        <v>1618</v>
      </c>
      <c r="E1747" t="s">
        <v>50</v>
      </c>
    </row>
    <row r="1748" spans="2:5" x14ac:dyDescent="0.25">
      <c r="B1748" t="s">
        <v>1618</v>
      </c>
      <c r="E1748" t="s">
        <v>220</v>
      </c>
    </row>
    <row r="1749" spans="2:5" x14ac:dyDescent="0.25">
      <c r="B1749" t="s">
        <v>1618</v>
      </c>
      <c r="E1749" t="s">
        <v>223</v>
      </c>
    </row>
    <row r="1750" spans="2:5" x14ac:dyDescent="0.25">
      <c r="B1750" t="s">
        <v>1574</v>
      </c>
      <c r="E1750" t="s">
        <v>51</v>
      </c>
    </row>
    <row r="1751" spans="2:5" x14ac:dyDescent="0.25">
      <c r="B1751" t="s">
        <v>1574</v>
      </c>
      <c r="E1751" t="s">
        <v>224</v>
      </c>
    </row>
    <row r="1752" spans="2:5" x14ac:dyDescent="0.25">
      <c r="B1752" t="s">
        <v>1605</v>
      </c>
      <c r="E1752" t="s">
        <v>222</v>
      </c>
    </row>
    <row r="1753" spans="2:5" x14ac:dyDescent="0.25">
      <c r="B1753" t="s">
        <v>1605</v>
      </c>
      <c r="E1753" t="s">
        <v>1662</v>
      </c>
    </row>
    <row r="1754" spans="2:5" x14ac:dyDescent="0.25">
      <c r="B1754" t="s">
        <v>1615</v>
      </c>
      <c r="E1754" t="s">
        <v>1664</v>
      </c>
    </row>
    <row r="1755" spans="2:5" x14ac:dyDescent="0.25">
      <c r="B1755" t="s">
        <v>1619</v>
      </c>
      <c r="E1755" t="s">
        <v>1678</v>
      </c>
    </row>
    <row r="1756" spans="2:5" x14ac:dyDescent="0.25">
      <c r="B1756" t="s">
        <v>1619</v>
      </c>
      <c r="E1756" t="s">
        <v>1681</v>
      </c>
    </row>
    <row r="1757" spans="2:5" x14ac:dyDescent="0.25">
      <c r="B1757" t="s">
        <v>1618</v>
      </c>
      <c r="E1757" t="s">
        <v>1706</v>
      </c>
    </row>
    <row r="1758" spans="2:5" x14ac:dyDescent="0.25">
      <c r="B1758" t="s">
        <v>1618</v>
      </c>
      <c r="E1758" t="s">
        <v>1709</v>
      </c>
    </row>
    <row r="1759" spans="2:5" x14ac:dyDescent="0.25">
      <c r="B1759" t="s">
        <v>1605</v>
      </c>
      <c r="E1759" t="s">
        <v>1721</v>
      </c>
    </row>
    <row r="1760" spans="2:5" x14ac:dyDescent="0.25">
      <c r="B1760" t="s">
        <v>1605</v>
      </c>
      <c r="E1760" t="s">
        <v>1725</v>
      </c>
    </row>
    <row r="1761" spans="2:5" x14ac:dyDescent="0.25">
      <c r="B1761" t="s">
        <v>1574</v>
      </c>
      <c r="E1761" t="s">
        <v>1731</v>
      </c>
    </row>
    <row r="1762" spans="2:5" x14ac:dyDescent="0.25">
      <c r="B1762" t="s">
        <v>1574</v>
      </c>
      <c r="E1762" t="s">
        <v>1734</v>
      </c>
    </row>
    <row r="1763" spans="2:5" x14ac:dyDescent="0.25">
      <c r="B1763" t="s">
        <v>1619</v>
      </c>
      <c r="E1763" t="s">
        <v>1736</v>
      </c>
    </row>
    <row r="1764" spans="2:5" x14ac:dyDescent="0.25">
      <c r="B1764" t="s">
        <v>1618</v>
      </c>
      <c r="E1764" t="s">
        <v>1738</v>
      </c>
    </row>
    <row r="1765" spans="2:5" x14ac:dyDescent="0.25">
      <c r="B1765" t="s">
        <v>1574</v>
      </c>
      <c r="E1765" t="s">
        <v>1741</v>
      </c>
    </row>
    <row r="1766" spans="2:5" x14ac:dyDescent="0.25">
      <c r="B1766" t="s">
        <v>1618</v>
      </c>
      <c r="E1766" t="s">
        <v>1742</v>
      </c>
    </row>
    <row r="1767" spans="2:5" x14ac:dyDescent="0.25">
      <c r="B1767" t="s">
        <v>1605</v>
      </c>
      <c r="E1767" t="s">
        <v>1743</v>
      </c>
    </row>
    <row r="1768" spans="2:5" x14ac:dyDescent="0.25">
      <c r="B1768" t="s">
        <v>1605</v>
      </c>
      <c r="E1768" t="s">
        <v>52</v>
      </c>
    </row>
    <row r="1769" spans="2:5" x14ac:dyDescent="0.25">
      <c r="B1769" t="s">
        <v>1574</v>
      </c>
      <c r="E1769" t="s">
        <v>53</v>
      </c>
    </row>
    <row r="1770" spans="2:5" x14ac:dyDescent="0.25">
      <c r="B1770" t="s">
        <v>1618</v>
      </c>
      <c r="E1770" t="s">
        <v>1748</v>
      </c>
    </row>
    <row r="1771" spans="2:5" x14ac:dyDescent="0.25">
      <c r="B1771" t="s">
        <v>1574</v>
      </c>
      <c r="E1771" t="s">
        <v>1749</v>
      </c>
    </row>
    <row r="1772" spans="2:5" x14ac:dyDescent="0.25">
      <c r="B1772" t="s">
        <v>1574</v>
      </c>
      <c r="E1772" t="s">
        <v>1750</v>
      </c>
    </row>
    <row r="1773" spans="2:5" x14ac:dyDescent="0.25">
      <c r="B1773" t="s">
        <v>1605</v>
      </c>
      <c r="E1773" t="s">
        <v>1751</v>
      </c>
    </row>
    <row r="1774" spans="2:5" x14ac:dyDescent="0.25">
      <c r="B1774" t="s">
        <v>1574</v>
      </c>
      <c r="E1774" t="s">
        <v>1752</v>
      </c>
    </row>
    <row r="1775" spans="2:5" x14ac:dyDescent="0.25">
      <c r="B1775" t="s">
        <v>1619</v>
      </c>
      <c r="E1775" t="s">
        <v>1754</v>
      </c>
    </row>
    <row r="1776" spans="2:5" x14ac:dyDescent="0.25">
      <c r="B1776" t="s">
        <v>1574</v>
      </c>
      <c r="E1776" t="s">
        <v>1755</v>
      </c>
    </row>
    <row r="1777" spans="2:5" x14ac:dyDescent="0.25">
      <c r="B1777" t="s">
        <v>1619</v>
      </c>
      <c r="E1777" t="s">
        <v>229</v>
      </c>
    </row>
    <row r="1778" spans="2:5" x14ac:dyDescent="0.25">
      <c r="B1778" t="s">
        <v>1618</v>
      </c>
      <c r="E1778" t="s">
        <v>1756</v>
      </c>
    </row>
    <row r="1779" spans="2:5" x14ac:dyDescent="0.25">
      <c r="B1779" t="s">
        <v>1618</v>
      </c>
      <c r="E1779" t="s">
        <v>228</v>
      </c>
    </row>
    <row r="1780" spans="2:5" x14ac:dyDescent="0.25">
      <c r="B1780" t="s">
        <v>1618</v>
      </c>
      <c r="E1780" t="s">
        <v>227</v>
      </c>
    </row>
    <row r="1781" spans="2:5" x14ac:dyDescent="0.25">
      <c r="B1781" t="s">
        <v>1574</v>
      </c>
      <c r="E1781" t="s">
        <v>226</v>
      </c>
    </row>
    <row r="1782" spans="2:5" x14ac:dyDescent="0.25">
      <c r="B1782" t="s">
        <v>1605</v>
      </c>
      <c r="E1782" t="s">
        <v>225</v>
      </c>
    </row>
    <row r="1783" spans="2:5" x14ac:dyDescent="0.25">
      <c r="B1783" t="s">
        <v>1618</v>
      </c>
      <c r="E1783" t="s">
        <v>218</v>
      </c>
    </row>
    <row r="1784" spans="2:5" x14ac:dyDescent="0.25">
      <c r="B1784" t="s">
        <v>1618</v>
      </c>
      <c r="E1784" t="s">
        <v>1761</v>
      </c>
    </row>
    <row r="1785" spans="2:5" x14ac:dyDescent="0.25">
      <c r="B1785" t="s">
        <v>1618</v>
      </c>
      <c r="E1785" t="s">
        <v>1762</v>
      </c>
    </row>
    <row r="1786" spans="2:5" x14ac:dyDescent="0.25">
      <c r="B1786" t="s">
        <v>1619</v>
      </c>
      <c r="E1786" t="s">
        <v>1764</v>
      </c>
    </row>
    <row r="1787" spans="2:5" x14ac:dyDescent="0.25">
      <c r="B1787" t="s">
        <v>1605</v>
      </c>
      <c r="E1787" t="s">
        <v>1777</v>
      </c>
    </row>
    <row r="1788" spans="2:5" x14ac:dyDescent="0.25">
      <c r="B1788" t="s">
        <v>1605</v>
      </c>
      <c r="E1788" t="s">
        <v>217</v>
      </c>
    </row>
    <row r="1789" spans="2:5" x14ac:dyDescent="0.25">
      <c r="B1789" t="s">
        <v>1574</v>
      </c>
      <c r="E1789" t="s">
        <v>1769</v>
      </c>
    </row>
    <row r="1790" spans="2:5" x14ac:dyDescent="0.25">
      <c r="B1790" t="s">
        <v>1574</v>
      </c>
      <c r="E1790" t="s">
        <v>1779</v>
      </c>
    </row>
    <row r="1791" spans="2:5" x14ac:dyDescent="0.25">
      <c r="B1791" t="s">
        <v>1605</v>
      </c>
      <c r="E1791" t="s">
        <v>1785</v>
      </c>
    </row>
    <row r="1792" spans="2:5" x14ac:dyDescent="0.25">
      <c r="B1792" t="s">
        <v>1618</v>
      </c>
      <c r="E1792" t="s">
        <v>1786</v>
      </c>
    </row>
    <row r="1793" spans="2:5" x14ac:dyDescent="0.25">
      <c r="B1793" t="s">
        <v>1618</v>
      </c>
      <c r="E1793" t="s">
        <v>1789</v>
      </c>
    </row>
    <row r="1794" spans="2:5" x14ac:dyDescent="0.25">
      <c r="B1794" t="s">
        <v>1618</v>
      </c>
      <c r="E1794" t="s">
        <v>1790</v>
      </c>
    </row>
    <row r="1795" spans="2:5" x14ac:dyDescent="0.25">
      <c r="B1795" t="s">
        <v>1615</v>
      </c>
      <c r="E1795" t="s">
        <v>215</v>
      </c>
    </row>
    <row r="1796" spans="2:5" x14ac:dyDescent="0.25">
      <c r="B1796" t="s">
        <v>1574</v>
      </c>
      <c r="E1796" t="s">
        <v>216</v>
      </c>
    </row>
    <row r="1797" spans="2:5" x14ac:dyDescent="0.25">
      <c r="B1797" t="s">
        <v>1605</v>
      </c>
      <c r="E1797" t="s">
        <v>1797</v>
      </c>
    </row>
    <row r="1798" spans="2:5" x14ac:dyDescent="0.25">
      <c r="B1798" t="s">
        <v>1574</v>
      </c>
      <c r="E1798" t="s">
        <v>214</v>
      </c>
    </row>
    <row r="1799" spans="2:5" x14ac:dyDescent="0.25">
      <c r="B1799" t="s">
        <v>1615</v>
      </c>
      <c r="E1799" t="s">
        <v>213</v>
      </c>
    </row>
    <row r="1800" spans="2:5" x14ac:dyDescent="0.25">
      <c r="B1800" t="s">
        <v>1618</v>
      </c>
      <c r="E1800" t="s">
        <v>212</v>
      </c>
    </row>
    <row r="1801" spans="2:5" x14ac:dyDescent="0.25">
      <c r="B1801" t="s">
        <v>1808</v>
      </c>
      <c r="E1801" t="s">
        <v>1807</v>
      </c>
    </row>
    <row r="1802" spans="2:5" x14ac:dyDescent="0.25">
      <c r="B1802" t="s">
        <v>1574</v>
      </c>
      <c r="E1802" t="s">
        <v>1809</v>
      </c>
    </row>
    <row r="1803" spans="2:5" x14ac:dyDescent="0.25">
      <c r="B1803" t="s">
        <v>1618</v>
      </c>
      <c r="E1803" t="s">
        <v>211</v>
      </c>
    </row>
    <row r="1804" spans="2:5" x14ac:dyDescent="0.25">
      <c r="B1804" t="s">
        <v>1574</v>
      </c>
      <c r="E1804" t="s">
        <v>1810</v>
      </c>
    </row>
    <row r="1805" spans="2:5" x14ac:dyDescent="0.25">
      <c r="B1805" t="s">
        <v>1574</v>
      </c>
      <c r="E1805" t="s">
        <v>1815</v>
      </c>
    </row>
    <row r="1806" spans="2:5" x14ac:dyDescent="0.25">
      <c r="B1806" t="s">
        <v>1574</v>
      </c>
      <c r="E1806" t="s">
        <v>1818</v>
      </c>
    </row>
    <row r="1807" spans="2:5" x14ac:dyDescent="0.25">
      <c r="B1807" t="s">
        <v>1574</v>
      </c>
      <c r="E1807" t="s">
        <v>1820</v>
      </c>
    </row>
    <row r="1808" spans="2:5" x14ac:dyDescent="0.25">
      <c r="B1808" t="s">
        <v>1618</v>
      </c>
      <c r="E1808" t="s">
        <v>210</v>
      </c>
    </row>
    <row r="1809" spans="2:5" x14ac:dyDescent="0.25">
      <c r="B1809" t="s">
        <v>1619</v>
      </c>
      <c r="E1809" t="s">
        <v>1828</v>
      </c>
    </row>
    <row r="1810" spans="2:5" x14ac:dyDescent="0.25">
      <c r="B1810" t="s">
        <v>1574</v>
      </c>
      <c r="E1810" t="s">
        <v>1838</v>
      </c>
    </row>
    <row r="1811" spans="2:5" x14ac:dyDescent="0.25">
      <c r="B1811" t="s">
        <v>1618</v>
      </c>
      <c r="E1811" t="s">
        <v>208</v>
      </c>
    </row>
    <row r="1812" spans="2:5" x14ac:dyDescent="0.25">
      <c r="B1812" t="s">
        <v>1574</v>
      </c>
      <c r="E1812" t="s">
        <v>209</v>
      </c>
    </row>
    <row r="1813" spans="2:5" x14ac:dyDescent="0.25">
      <c r="B1813" t="s">
        <v>1618</v>
      </c>
      <c r="E1813" t="s">
        <v>207</v>
      </c>
    </row>
    <row r="1814" spans="2:5" x14ac:dyDescent="0.25">
      <c r="B1814" t="s">
        <v>1618</v>
      </c>
      <c r="E1814" t="s">
        <v>1842</v>
      </c>
    </row>
    <row r="1815" spans="2:5" x14ac:dyDescent="0.25">
      <c r="B1815" t="s">
        <v>1574</v>
      </c>
      <c r="E1815" t="s">
        <v>1844</v>
      </c>
    </row>
    <row r="1816" spans="2:5" ht="13" x14ac:dyDescent="0.3">
      <c r="B1816" t="s">
        <v>1574</v>
      </c>
      <c r="E1816" s="24" t="s">
        <v>1849</v>
      </c>
    </row>
    <row r="1817" spans="2:5" s="24" customFormat="1" ht="13" x14ac:dyDescent="0.3">
      <c r="B1817" t="s">
        <v>1574</v>
      </c>
      <c r="E1817" s="24" t="s">
        <v>1853</v>
      </c>
    </row>
    <row r="1818" spans="2:5" x14ac:dyDescent="0.25">
      <c r="B1818" t="s">
        <v>1618</v>
      </c>
      <c r="E1818" t="s">
        <v>1855</v>
      </c>
    </row>
    <row r="1819" spans="2:5" x14ac:dyDescent="0.25">
      <c r="B1819" t="s">
        <v>1618</v>
      </c>
      <c r="E1819" t="s">
        <v>1857</v>
      </c>
    </row>
    <row r="1820" spans="2:5" x14ac:dyDescent="0.25">
      <c r="E1820" t="s">
        <v>1858</v>
      </c>
    </row>
    <row r="1821" spans="2:5" x14ac:dyDescent="0.25">
      <c r="E1821" t="s">
        <v>1859</v>
      </c>
    </row>
    <row r="1822" spans="2:5" x14ac:dyDescent="0.25">
      <c r="E1822" t="s">
        <v>206</v>
      </c>
    </row>
    <row r="1823" spans="2:5" x14ac:dyDescent="0.25">
      <c r="E1823" t="s">
        <v>1889</v>
      </c>
    </row>
    <row r="1824" spans="2:5" x14ac:dyDescent="0.25">
      <c r="B1824" t="s">
        <v>1619</v>
      </c>
      <c r="E1824" t="s">
        <v>1907</v>
      </c>
    </row>
    <row r="1825" spans="2:5" x14ac:dyDescent="0.25">
      <c r="B1825" t="s">
        <v>1618</v>
      </c>
      <c r="E1825" t="s">
        <v>1909</v>
      </c>
    </row>
    <row r="1826" spans="2:5" x14ac:dyDescent="0.25">
      <c r="B1826" t="s">
        <v>1618</v>
      </c>
      <c r="E1826" t="s">
        <v>205</v>
      </c>
    </row>
    <row r="1827" spans="2:5" x14ac:dyDescent="0.25">
      <c r="B1827" t="s">
        <v>1618</v>
      </c>
      <c r="E1827" t="s">
        <v>1921</v>
      </c>
    </row>
    <row r="1828" spans="2:5" x14ac:dyDescent="0.25">
      <c r="B1828" t="s">
        <v>1618</v>
      </c>
      <c r="E1828" t="s">
        <v>204</v>
      </c>
    </row>
    <row r="1829" spans="2:5" x14ac:dyDescent="0.25">
      <c r="B1829" t="s">
        <v>1618</v>
      </c>
      <c r="E1829" t="s">
        <v>203</v>
      </c>
    </row>
    <row r="1830" spans="2:5" x14ac:dyDescent="0.25">
      <c r="B1830" t="s">
        <v>1605</v>
      </c>
      <c r="E1830" t="s">
        <v>1924</v>
      </c>
    </row>
    <row r="1831" spans="2:5" x14ac:dyDescent="0.25">
      <c r="B1831" t="s">
        <v>1618</v>
      </c>
      <c r="E1831" t="s">
        <v>1945</v>
      </c>
    </row>
    <row r="1832" spans="2:5" x14ac:dyDescent="0.25">
      <c r="B1832" t="s">
        <v>1615</v>
      </c>
      <c r="E1832" t="s">
        <v>1824</v>
      </c>
    </row>
    <row r="1833" spans="2:5" x14ac:dyDescent="0.25">
      <c r="B1833" t="s">
        <v>1574</v>
      </c>
      <c r="E1833" t="s">
        <v>1644</v>
      </c>
    </row>
    <row r="1834" spans="2:5" ht="13" x14ac:dyDescent="0.3">
      <c r="B1834" s="24" t="s">
        <v>1947</v>
      </c>
      <c r="E1834" t="s">
        <v>1643</v>
      </c>
    </row>
    <row r="1835" spans="2:5" x14ac:dyDescent="0.25">
      <c r="B1835" t="s">
        <v>1605</v>
      </c>
      <c r="E1835" t="s">
        <v>1860</v>
      </c>
    </row>
    <row r="1836" spans="2:5" x14ac:dyDescent="0.25">
      <c r="E1836" t="s">
        <v>1861</v>
      </c>
    </row>
    <row r="1837" spans="2:5" x14ac:dyDescent="0.25">
      <c r="B1837" t="s">
        <v>1574</v>
      </c>
      <c r="E1837" t="s">
        <v>1670</v>
      </c>
    </row>
    <row r="1838" spans="2:5" x14ac:dyDescent="0.25">
      <c r="B1838" t="s">
        <v>1574</v>
      </c>
      <c r="E1838" t="s">
        <v>1672</v>
      </c>
    </row>
    <row r="1839" spans="2:5" s="24" customFormat="1" ht="13" x14ac:dyDescent="0.3">
      <c r="B1839" s="24" t="s">
        <v>1618</v>
      </c>
      <c r="C1839" s="24">
        <v>3</v>
      </c>
      <c r="E1839" s="24" t="s">
        <v>1609</v>
      </c>
    </row>
    <row r="1840" spans="2:5" s="24" customFormat="1" ht="13" x14ac:dyDescent="0.3">
      <c r="B1840" s="24" t="s">
        <v>1615</v>
      </c>
      <c r="C1840" s="24">
        <v>3</v>
      </c>
      <c r="E1840" s="24" t="s">
        <v>1610</v>
      </c>
    </row>
    <row r="1841" spans="2:5" s="24" customFormat="1" ht="13" x14ac:dyDescent="0.3">
      <c r="B1841" s="24" t="s">
        <v>1619</v>
      </c>
      <c r="C1841" s="24">
        <v>3</v>
      </c>
      <c r="E1841" s="24" t="s">
        <v>1611</v>
      </c>
    </row>
    <row r="1842" spans="2:5" ht="13" x14ac:dyDescent="0.3">
      <c r="B1842" s="24" t="s">
        <v>1621</v>
      </c>
      <c r="C1842" s="24">
        <v>5</v>
      </c>
      <c r="E1842" t="s">
        <v>1620</v>
      </c>
    </row>
    <row r="1843" spans="2:5" ht="13" x14ac:dyDescent="0.3">
      <c r="B1843" s="24" t="s">
        <v>1619</v>
      </c>
      <c r="C1843" s="24">
        <v>3</v>
      </c>
      <c r="E1843" t="s">
        <v>1622</v>
      </c>
    </row>
    <row r="1844" spans="2:5" ht="13" x14ac:dyDescent="0.3">
      <c r="B1844" s="24" t="s">
        <v>1625</v>
      </c>
      <c r="E1844" t="s">
        <v>1623</v>
      </c>
    </row>
    <row r="1845" spans="2:5" x14ac:dyDescent="0.25">
      <c r="B1845" t="s">
        <v>1618</v>
      </c>
      <c r="E1845" t="s">
        <v>1958</v>
      </c>
    </row>
    <row r="1846" spans="2:5" x14ac:dyDescent="0.25">
      <c r="E1846" t="s">
        <v>1959</v>
      </c>
    </row>
    <row r="1847" spans="2:5" x14ac:dyDescent="0.25">
      <c r="E1847" t="s">
        <v>1960</v>
      </c>
    </row>
    <row r="1848" spans="2:5" x14ac:dyDescent="0.25">
      <c r="E1848" t="s">
        <v>113</v>
      </c>
    </row>
    <row r="1849" spans="2:5" x14ac:dyDescent="0.25">
      <c r="E1849" t="s">
        <v>111</v>
      </c>
    </row>
    <row r="1850" spans="2:5" x14ac:dyDescent="0.25">
      <c r="E1850" t="s">
        <v>119</v>
      </c>
    </row>
    <row r="1851" spans="2:5" x14ac:dyDescent="0.25">
      <c r="E1851" t="s">
        <v>107</v>
      </c>
    </row>
    <row r="1852" spans="2:5" x14ac:dyDescent="0.25">
      <c r="E1852" t="s">
        <v>1942</v>
      </c>
    </row>
    <row r="1853" spans="2:5" x14ac:dyDescent="0.25">
      <c r="E1853" t="s">
        <v>191</v>
      </c>
    </row>
    <row r="1854" spans="2:5" x14ac:dyDescent="0.25">
      <c r="E1854" t="s">
        <v>371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B603E-3E59-43D4-8439-25918319732D}">
  <dimension ref="A1:B21"/>
  <sheetViews>
    <sheetView zoomScale="160" zoomScaleNormal="160" workbookViewId="0"/>
  </sheetViews>
  <sheetFormatPr defaultRowHeight="12.5" x14ac:dyDescent="0.25"/>
  <cols>
    <col min="1" max="1" width="4.7265625" bestFit="1" customWidth="1"/>
  </cols>
  <sheetData>
    <row r="1" spans="1:2" x14ac:dyDescent="0.25">
      <c r="A1" s="11" t="s">
        <v>12</v>
      </c>
    </row>
    <row r="2" spans="1:2" ht="13" x14ac:dyDescent="0.3">
      <c r="B2" s="13" t="s">
        <v>1973</v>
      </c>
    </row>
    <row r="3" spans="1:2" x14ac:dyDescent="0.25">
      <c r="B3" t="s">
        <v>1972</v>
      </c>
    </row>
    <row r="4" spans="1:2" x14ac:dyDescent="0.25">
      <c r="B4" s="22" t="s">
        <v>1974</v>
      </c>
    </row>
    <row r="6" spans="1:2" ht="13" x14ac:dyDescent="0.3">
      <c r="B6" s="13" t="s">
        <v>1963</v>
      </c>
    </row>
    <row r="7" spans="1:2" x14ac:dyDescent="0.25">
      <c r="B7" t="s">
        <v>1969</v>
      </c>
    </row>
    <row r="10" spans="1:2" ht="13" x14ac:dyDescent="0.3">
      <c r="B10" s="13" t="s">
        <v>1964</v>
      </c>
    </row>
    <row r="11" spans="1:2" x14ac:dyDescent="0.25">
      <c r="B11" s="22" t="s">
        <v>1965</v>
      </c>
    </row>
    <row r="12" spans="1:2" x14ac:dyDescent="0.25">
      <c r="B12" s="22" t="s">
        <v>1966</v>
      </c>
    </row>
    <row r="15" spans="1:2" ht="13" x14ac:dyDescent="0.3">
      <c r="B15" s="13" t="s">
        <v>1968</v>
      </c>
    </row>
    <row r="16" spans="1:2" x14ac:dyDescent="0.25">
      <c r="B16" s="22" t="s">
        <v>1967</v>
      </c>
    </row>
    <row r="17" spans="2:2" x14ac:dyDescent="0.25">
      <c r="B17" t="s">
        <v>1971</v>
      </c>
    </row>
    <row r="19" spans="2:2" ht="13" x14ac:dyDescent="0.3">
      <c r="B19" s="13" t="s">
        <v>1970</v>
      </c>
    </row>
    <row r="21" spans="2:2" ht="13" x14ac:dyDescent="0.3">
      <c r="B21" s="13" t="s">
        <v>1975</v>
      </c>
    </row>
  </sheetData>
  <hyperlinks>
    <hyperlink ref="A1" location="Main!A1" display="Main" xr:uid="{E20D5DAB-78E7-4276-8655-2C8F5EE633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vt:lpstr>
      <vt:lpstr>levosimendan </vt:lpstr>
      <vt:lpstr>6MW in HF</vt:lpstr>
      <vt:lpstr>Papers</vt:lpstr>
      <vt:lpstr>inotropes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Shkreli</dc:creator>
  <cp:lastModifiedBy>Martin Shkreli</cp:lastModifiedBy>
  <dcterms:created xsi:type="dcterms:W3CDTF">2025-01-03T16:47:25Z</dcterms:created>
  <dcterms:modified xsi:type="dcterms:W3CDTF">2026-08-09T15:57:14Z</dcterms:modified>
</cp:coreProperties>
</file>