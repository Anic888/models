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6C144C01-A1AB-400B-AE71-DDF8B73FB44A}" xr6:coauthVersionLast="47" xr6:coauthVersionMax="47" xr10:uidLastSave="{00000000-0000-0000-0000-000000000000}"/>
  <bookViews>
    <workbookView xWindow="12700" yWindow="3570" windowWidth="22360" windowHeight="16580" xr2:uid="{05E02582-5E0F-421D-9EE5-27201CCE7F6D}"/>
  </bookViews>
  <sheets>
    <sheet name="Main" sheetId="1" r:id="rId1"/>
    <sheet name="atacicep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1" l="1"/>
  <c r="J5" i="1"/>
  <c r="J4" i="1"/>
</calcChain>
</file>

<file path=xl/sharedStrings.xml><?xml version="1.0" encoding="utf-8"?>
<sst xmlns="http://schemas.openxmlformats.org/spreadsheetml/2006/main" count="46" uniqueCount="37">
  <si>
    <t>Price</t>
  </si>
  <si>
    <t>Shares</t>
  </si>
  <si>
    <t>MC</t>
  </si>
  <si>
    <t>Cash</t>
  </si>
  <si>
    <t>Debt</t>
  </si>
  <si>
    <t>EV</t>
  </si>
  <si>
    <t>Q126</t>
  </si>
  <si>
    <t>PIC</t>
  </si>
  <si>
    <t>AD</t>
  </si>
  <si>
    <t>Founed May 2016</t>
  </si>
  <si>
    <t>Brand</t>
  </si>
  <si>
    <t>atacicept</t>
  </si>
  <si>
    <t>Generic</t>
  </si>
  <si>
    <t>Indication</t>
  </si>
  <si>
    <t>IgA Nephropathy</t>
  </si>
  <si>
    <t>5/13/21: prices IPO of 4.35m at 11.00 for 47.9m</t>
  </si>
  <si>
    <t>Main</t>
  </si>
  <si>
    <t>Clinical Trials</t>
  </si>
  <si>
    <t>UPCR week 24 primary endpoint</t>
  </si>
  <si>
    <t>Phase IIa "JANUS"</t>
  </si>
  <si>
    <t>Phase IIb ORIGIN n=115 IgAN - NCT04716231</t>
  </si>
  <si>
    <t>MAU868</t>
  </si>
  <si>
    <t>Phase III "COMPASS"</t>
  </si>
  <si>
    <t>Week 36: -31% proteinuria</t>
  </si>
  <si>
    <t>MOA</t>
  </si>
  <si>
    <t>BLyS/APRIL</t>
  </si>
  <si>
    <t>Week 24: -26% proteinuria reduction</t>
  </si>
  <si>
    <t>UPCR week 36</t>
  </si>
  <si>
    <t>enrollment completed 9/12/24</t>
  </si>
  <si>
    <t>11/7/25 files BLA</t>
  </si>
  <si>
    <t>Regulatory</t>
  </si>
  <si>
    <t>met PE -42% vs placebo</t>
  </si>
  <si>
    <t>Phase III "ORIGIN-3" n=431 IgAN - NCT04716231</t>
  </si>
  <si>
    <t>VT-109</t>
  </si>
  <si>
    <t>Phase</t>
  </si>
  <si>
    <t>PDUFA 7/7/26</t>
  </si>
  <si>
    <t xml:space="preserve">EGFR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</si>
</sst>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/>
    <xf numFmtId="0" fontId="4" fillId="0" borderId="0" xfId="0" applyFont="1"/>
    <xf numFmtId="0" fontId="5" fillId="0" borderId="0" xfId="1" applyFont="1" applyBorder="1"/>
    <xf numFmtId="0" fontId="5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754742</xdr:colOff>
      <xdr:row>19</xdr:row>
      <xdr:rowOff>129348</xdr:rowOff>
    </xdr:from>
    <xdr:to>
      <xdr:col>8</xdr:col>
      <xdr:colOff>71663</xdr:colOff>
      <xdr:row>25</xdr:row>
      <xdr:rowOff>16327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049AE6-B7AF-C0B8-DC78-1EC8EEEFF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685" y="2059748"/>
          <a:ext cx="3761921" cy="870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D4F94-0290-43EF-9808-09F3574DBBC5}">
  <dimension ref="B2:K12"/>
  <sheetViews>
    <sheetView tabSelected="1" zoomScale="145" zoomScaleNormal="145" workbookViewId="0">
      <selection activeCell="E4" sqref="E4"/>
    </sheetView>
  </sheetViews>
  <sheetFormatPr defaultRowHeight="12.5" x14ac:dyDescent="0.25"/>
  <cols>
    <col min="1" max="1" width="3.36328125" style="1" customWidth="1"/>
    <col min="2" max="3" width="8.7265625" style="1"/>
    <col min="4" max="4" width="14.26953125" style="1" bestFit="1" customWidth="1"/>
    <col min="5" max="5" width="10.81640625" style="1" bestFit="1" customWidth="1"/>
    <col min="6" max="16384" width="8.7265625" style="1"/>
  </cols>
  <sheetData>
    <row r="2" spans="2:11" x14ac:dyDescent="0.25">
      <c r="B2" s="10" t="s">
        <v>10</v>
      </c>
      <c r="C2" s="11" t="s">
        <v>12</v>
      </c>
      <c r="D2" s="11" t="s">
        <v>13</v>
      </c>
      <c r="E2" s="11" t="s">
        <v>24</v>
      </c>
      <c r="F2" s="11" t="s">
        <v>34</v>
      </c>
      <c r="G2" s="12"/>
      <c r="I2" s="1" t="s">
        <v>0</v>
      </c>
      <c r="J2" s="1">
        <v>41.26</v>
      </c>
    </row>
    <row r="3" spans="2:11" x14ac:dyDescent="0.25">
      <c r="B3" s="4"/>
      <c r="C3" s="15" t="s">
        <v>11</v>
      </c>
      <c r="D3" s="5" t="s">
        <v>14</v>
      </c>
      <c r="E3" s="5" t="s">
        <v>25</v>
      </c>
      <c r="F3" s="5" t="s">
        <v>35</v>
      </c>
      <c r="G3" s="6"/>
      <c r="I3" s="1" t="s">
        <v>1</v>
      </c>
      <c r="J3" s="2">
        <v>71.782904000000002</v>
      </c>
      <c r="K3" s="3" t="s">
        <v>6</v>
      </c>
    </row>
    <row r="4" spans="2:11" x14ac:dyDescent="0.25">
      <c r="B4" s="4" t="s">
        <v>21</v>
      </c>
      <c r="C4" s="5"/>
      <c r="D4" s="5"/>
      <c r="E4" s="5"/>
      <c r="F4" s="5"/>
      <c r="G4" s="6"/>
      <c r="I4" s="1" t="s">
        <v>2</v>
      </c>
      <c r="J4" s="2">
        <f>+J2*J3</f>
        <v>2961.7626190400001</v>
      </c>
    </row>
    <row r="5" spans="2:11" x14ac:dyDescent="0.25">
      <c r="B5" s="4" t="s">
        <v>33</v>
      </c>
      <c r="C5" s="5"/>
      <c r="D5" s="5"/>
      <c r="E5" s="5"/>
      <c r="F5" s="5"/>
      <c r="G5" s="6"/>
      <c r="I5" s="1" t="s">
        <v>3</v>
      </c>
      <c r="J5" s="2">
        <f>114.351+482.409</f>
        <v>596.76</v>
      </c>
      <c r="K5" s="3" t="s">
        <v>6</v>
      </c>
    </row>
    <row r="6" spans="2:11" x14ac:dyDescent="0.25">
      <c r="B6" s="7"/>
      <c r="C6" s="8"/>
      <c r="D6" s="8"/>
      <c r="E6" s="8"/>
      <c r="F6" s="8"/>
      <c r="G6" s="9"/>
      <c r="I6" s="1" t="s">
        <v>4</v>
      </c>
      <c r="J6" s="2">
        <v>75.028999999999996</v>
      </c>
      <c r="K6" s="3" t="s">
        <v>6</v>
      </c>
    </row>
    <row r="7" spans="2:11" x14ac:dyDescent="0.25">
      <c r="I7" s="1" t="s">
        <v>5</v>
      </c>
      <c r="J7" s="2">
        <f>+J4-J5+J6</f>
        <v>2440.0316190400004</v>
      </c>
    </row>
    <row r="8" spans="2:11" x14ac:dyDescent="0.25">
      <c r="F8" s="1" t="s">
        <v>15</v>
      </c>
    </row>
    <row r="9" spans="2:11" x14ac:dyDescent="0.25">
      <c r="I9" s="1" t="s">
        <v>7</v>
      </c>
      <c r="J9" s="2">
        <v>1381.6780000000001</v>
      </c>
      <c r="K9" s="3" t="s">
        <v>6</v>
      </c>
    </row>
    <row r="10" spans="2:11" x14ac:dyDescent="0.25">
      <c r="I10" s="1" t="s">
        <v>8</v>
      </c>
      <c r="J10" s="2">
        <v>881.89700000000005</v>
      </c>
      <c r="K10" s="3" t="s">
        <v>6</v>
      </c>
    </row>
    <row r="12" spans="2:11" x14ac:dyDescent="0.25">
      <c r="I12" s="1" t="s">
        <v>9</v>
      </c>
    </row>
  </sheetData>
  <hyperlinks>
    <hyperlink ref="C3" location="atacicept!A1" display="atacicept" xr:uid="{59FED038-5831-4A2C-B82C-DAEB941081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3463-DC29-46CF-9C6F-CE3843C604A3}">
  <dimension ref="A1:D27"/>
  <sheetViews>
    <sheetView zoomScale="175" zoomScaleNormal="175" workbookViewId="0"/>
  </sheetViews>
  <sheetFormatPr defaultRowHeight="12.5" x14ac:dyDescent="0.25"/>
  <cols>
    <col min="1" max="1" width="4.6328125" style="1" bestFit="1" customWidth="1"/>
    <col min="2" max="2" width="11.26953125" style="1" bestFit="1" customWidth="1"/>
    <col min="3" max="16384" width="8.7265625" style="1"/>
  </cols>
  <sheetData>
    <row r="1" spans="1:4" x14ac:dyDescent="0.25">
      <c r="A1" s="16" t="s">
        <v>16</v>
      </c>
    </row>
    <row r="2" spans="1:4" x14ac:dyDescent="0.25">
      <c r="B2" s="1" t="s">
        <v>10</v>
      </c>
    </row>
    <row r="3" spans="1:4" x14ac:dyDescent="0.25">
      <c r="B3" s="1" t="s">
        <v>12</v>
      </c>
      <c r="C3" s="1" t="s">
        <v>11</v>
      </c>
    </row>
    <row r="4" spans="1:4" x14ac:dyDescent="0.25">
      <c r="B4" s="1" t="s">
        <v>13</v>
      </c>
      <c r="C4" s="1" t="s">
        <v>14</v>
      </c>
    </row>
    <row r="5" spans="1:4" x14ac:dyDescent="0.25">
      <c r="B5" s="1" t="s">
        <v>30</v>
      </c>
      <c r="C5" s="1" t="s">
        <v>29</v>
      </c>
    </row>
    <row r="6" spans="1:4" x14ac:dyDescent="0.25">
      <c r="B6" s="1" t="s">
        <v>17</v>
      </c>
    </row>
    <row r="7" spans="1:4" ht="13" x14ac:dyDescent="0.3">
      <c r="C7" s="13" t="s">
        <v>32</v>
      </c>
    </row>
    <row r="8" spans="1:4" x14ac:dyDescent="0.25">
      <c r="C8" s="1" t="s">
        <v>27</v>
      </c>
    </row>
    <row r="9" spans="1:4" ht="13" x14ac:dyDescent="0.3">
      <c r="D9" s="14" t="s">
        <v>31</v>
      </c>
    </row>
    <row r="10" spans="1:4" x14ac:dyDescent="0.25">
      <c r="C10" s="1" t="s">
        <v>28</v>
      </c>
    </row>
    <row r="11" spans="1:4" x14ac:dyDescent="0.25">
      <c r="C11" s="1" t="s">
        <v>36</v>
      </c>
    </row>
    <row r="13" spans="1:4" ht="13" x14ac:dyDescent="0.3">
      <c r="C13" s="13" t="s">
        <v>22</v>
      </c>
    </row>
    <row r="16" spans="1:4" ht="13" x14ac:dyDescent="0.3">
      <c r="C16" s="13" t="s">
        <v>20</v>
      </c>
    </row>
    <row r="17" spans="3:3" x14ac:dyDescent="0.25">
      <c r="C17" s="1" t="s">
        <v>18</v>
      </c>
    </row>
    <row r="18" spans="3:3" x14ac:dyDescent="0.25">
      <c r="C18" s="1" t="s">
        <v>23</v>
      </c>
    </row>
    <row r="19" spans="3:3" x14ac:dyDescent="0.25">
      <c r="C19" s="1" t="s">
        <v>26</v>
      </c>
    </row>
    <row r="20" spans="3:3" ht="14.5" x14ac:dyDescent="0.35">
      <c r="C20"/>
    </row>
    <row r="27" spans="3:3" ht="13" x14ac:dyDescent="0.3">
      <c r="C27" s="13" t="s">
        <v>19</v>
      </c>
    </row>
  </sheetData>
  <hyperlinks>
    <hyperlink ref="A1" location="Main!A1" display="Main" xr:uid="{5F73A7A7-0281-4A48-B9BC-2E73561220C3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atacicept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2026-07-06T14:43:05Z</dcterms:created>
  <dcterms:modified xsi:type="dcterms:W3CDTF">2026-07-06T15:23:16Z</dcterms:modified>
</cp:coreProperties>
</file>