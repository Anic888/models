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16ECAFC-2BF5-487C-9F8E-D997A34EE2CE}" xr6:coauthVersionLast="47" xr6:coauthVersionMax="47" xr10:uidLastSave="{00000000-0000-0000-0000-000000000000}"/>
  <bookViews>
    <workbookView xWindow="4180" yWindow="4180" windowWidth="20170" windowHeight="14480" activeTab="1" xr2:uid="{E0485071-92A8-4146-84EE-E6D3FABA3574}"/>
  </bookViews>
  <sheets>
    <sheet name="Main" sheetId="1" r:id="rId1"/>
    <sheet name="Trappsol" sheetId="2" r:id="rId2"/>
    <sheet name="Niemann Pick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" i="1" l="1"/>
  <c r="M4" i="1"/>
  <c r="M7" i="1" s="1"/>
  <c r="M3" i="1"/>
</calcChain>
</file>

<file path=xl/sharedStrings.xml><?xml version="1.0" encoding="utf-8"?>
<sst xmlns="http://schemas.openxmlformats.org/spreadsheetml/2006/main" count="68" uniqueCount="64">
  <si>
    <t>Price</t>
  </si>
  <si>
    <t>Shares</t>
  </si>
  <si>
    <t>Q126</t>
  </si>
  <si>
    <t>MC</t>
  </si>
  <si>
    <t>Cash</t>
  </si>
  <si>
    <t>Debt</t>
  </si>
  <si>
    <t>EV</t>
  </si>
  <si>
    <t>Brand</t>
  </si>
  <si>
    <t>Trappsol Cyclo (hydroxypropyl beta cyclodextrin)</t>
  </si>
  <si>
    <t>NPC1</t>
  </si>
  <si>
    <t>Indication</t>
  </si>
  <si>
    <t>Main</t>
  </si>
  <si>
    <t>Name</t>
  </si>
  <si>
    <t>Generic</t>
  </si>
  <si>
    <t>'Trappsol Cyclo</t>
  </si>
  <si>
    <t>Niemann Pick C</t>
  </si>
  <si>
    <t>Niemann-Pick disease type C. Marie Vanier. Orphanet J Rare Dis 2010</t>
  </si>
  <si>
    <t>Hepatomegaly</t>
  </si>
  <si>
    <t>Sphingomyelin storage in reticuloendothelial and parenchymal tissue</t>
  </si>
  <si>
    <t>Type A: severe, early CNS deterioration, massive visceral and cerebral sphingomyelin storage</t>
  </si>
  <si>
    <t>Type B: chronic course, no nervous system involvement</t>
  </si>
  <si>
    <t>Type C/D: subacute nervous system involvement, moderate and slower progression</t>
  </si>
  <si>
    <t>Type C became a cholesterol storage disorder involving not only endocytosed cholesterol</t>
  </si>
  <si>
    <t>Sequestration of unesterified cholesterol in lysosomes and late endosomes</t>
  </si>
  <si>
    <t>NPC1/NPC2 genes identified; mysterious function, probably involves cholesterol transport</t>
  </si>
  <si>
    <t>Brady found acid sphingomyelinase deficiency (SMPD1 mutations) in A/B but not C/D</t>
  </si>
  <si>
    <t>Autosomal recessive, 0.66-0.83/100,000 births. 0.35-2.20 also reported.</t>
  </si>
  <si>
    <t>onset includes perinatal age to old age</t>
  </si>
  <si>
    <t>lifespan includes a few days to old age</t>
  </si>
  <si>
    <t>majority die between 10 and 25 years of age</t>
  </si>
  <si>
    <t>neurovisceral condition</t>
  </si>
  <si>
    <t>liver, spleen, lung</t>
  </si>
  <si>
    <t>miglustat</t>
  </si>
  <si>
    <t>In the brain, the primary stored lipids are gangliosides</t>
  </si>
  <si>
    <t>ataxia, dysarthria, dysphagia, dementia, VSGP (ventricular supranuclear gaze palsy)</t>
  </si>
  <si>
    <t>Clinical Trials</t>
  </si>
  <si>
    <t>Phase I/II "CTD-TCNCP-201"</t>
  </si>
  <si>
    <t>hydroxypropyl beta cyclodextrin, 2-hydroxypropyl-β-cyclodextrin</t>
  </si>
  <si>
    <t>no placebo, 1500mg/kg or 2500mg/kg IV q2w</t>
  </si>
  <si>
    <t>1 dropout and 2 hearling loss dropouts</t>
  </si>
  <si>
    <t>n=6 1500</t>
  </si>
  <si>
    <t>OLE NCT03893071</t>
  </si>
  <si>
    <t>Chemistry</t>
  </si>
  <si>
    <t>hydrophilic exterior, lipophilic core</t>
  </si>
  <si>
    <t>Phase I n=13 - UCSF site only - Mol Genet Metab 2022 - NCT02939547</t>
  </si>
  <si>
    <t>patients must not have had 17D-NPC-CSS &gt; 30</t>
  </si>
  <si>
    <t>Enrollment began 10/2017, completed 2/2020</t>
  </si>
  <si>
    <t>n=7 2500mg/kg, 3 dropped out? 5/7 had hearing loss</t>
  </si>
  <si>
    <t>2h T1/2, no dose-dependent AUC, CMAX 2mg/ml-2.5mg/ml</t>
  </si>
  <si>
    <t xml:space="preserve">  around 10% ended up in CSF: 40-50ug/ml</t>
  </si>
  <si>
    <t>strong filipin staining</t>
  </si>
  <si>
    <t>but no change in plasma lathosterol or 4beta-hydroxycholesterol</t>
  </si>
  <si>
    <t>in low-dose liver size INCREASED from 16.88cm to 17.55cm, spleen decreased 16.42 to 16.33cm</t>
  </si>
  <si>
    <t>in high-dose liver size decreased from 17.34 to 17.18cm, spleen decreased from 14.94cm to 13.50cm</t>
  </si>
  <si>
    <t>symptoms decreased from 15.2 to 14.8 (4.83) in low dose</t>
  </si>
  <si>
    <t>symptoms INCREASED from 17.7 to 19.8 (6.34) in high dose</t>
  </si>
  <si>
    <t>NCT02912793?</t>
  </si>
  <si>
    <t>interim analysis was not met, p=0.025</t>
  </si>
  <si>
    <t>only p=0.025 of alpha left</t>
  </si>
  <si>
    <t>80% power for 0.7 4D/5D-NPC-SS</t>
  </si>
  <si>
    <t>NCT02534844</t>
  </si>
  <si>
    <t>NCT02612129</t>
  </si>
  <si>
    <t>score is 0-25</t>
  </si>
  <si>
    <t>Phase III "TCNCP-301" n=93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</si>
</sst>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arrow"/>
    </font>
    <font>
      <sz val="10"/>
      <color theme="1"/>
      <name val="Ariaarrow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u/>
      <sz val="10"/>
      <color theme="1"/>
      <name val="Aria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" fillId="0" borderId="1" xfId="0" quotePrefix="1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1" applyFont="1"/>
    <xf numFmtId="0" fontId="4" fillId="0" borderId="0" xfId="0" applyFont="1"/>
    <xf numFmtId="0" fontId="4" fillId="0" borderId="0" xfId="0" quotePrefix="1" applyFont="1"/>
    <xf numFmtId="0" fontId="5" fillId="0" borderId="0" xfId="1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6A9E-5F88-47DC-A3F5-6A3D168D54E2}">
  <dimension ref="B2:N9"/>
  <sheetViews>
    <sheetView workbookViewId="0">
      <selection activeCell="C3" sqref="C3"/>
    </sheetView>
  </sheetViews>
  <sheetFormatPr defaultRowHeight="12.5"/>
  <cols>
    <col min="1" max="1" width="4.08984375" style="1" customWidth="1"/>
    <col min="2" max="2" width="40.36328125" style="1" bestFit="1" customWidth="1"/>
    <col min="3" max="16384" width="8.7265625" style="1"/>
  </cols>
  <sheetData>
    <row r="2" spans="2:14">
      <c r="B2" s="11" t="s">
        <v>7</v>
      </c>
      <c r="C2" s="12" t="s">
        <v>10</v>
      </c>
      <c r="D2" s="12"/>
      <c r="E2" s="12"/>
      <c r="F2" s="13"/>
      <c r="L2" s="1" t="s">
        <v>0</v>
      </c>
      <c r="M2" s="2">
        <v>2</v>
      </c>
    </row>
    <row r="3" spans="2:14">
      <c r="B3" s="5" t="s">
        <v>8</v>
      </c>
      <c r="C3" s="1" t="s">
        <v>9</v>
      </c>
      <c r="F3" s="6"/>
      <c r="L3" s="1" t="s">
        <v>1</v>
      </c>
      <c r="M3" s="4">
        <f>51.212833+0.787163</f>
        <v>51.999996000000003</v>
      </c>
      <c r="N3" s="3" t="s">
        <v>2</v>
      </c>
    </row>
    <row r="4" spans="2:14">
      <c r="B4" s="7"/>
      <c r="F4" s="6"/>
      <c r="L4" s="1" t="s">
        <v>3</v>
      </c>
      <c r="M4" s="4">
        <f>+M2*M3</f>
        <v>103.99999200000001</v>
      </c>
      <c r="N4" s="3"/>
    </row>
    <row r="5" spans="2:14">
      <c r="B5" s="7"/>
      <c r="F5" s="6"/>
      <c r="L5" s="1" t="s">
        <v>4</v>
      </c>
      <c r="M5" s="4">
        <v>30.497</v>
      </c>
      <c r="N5" s="3" t="s">
        <v>2</v>
      </c>
    </row>
    <row r="6" spans="2:14">
      <c r="B6" s="8"/>
      <c r="C6" s="9"/>
      <c r="D6" s="9"/>
      <c r="E6" s="9"/>
      <c r="F6" s="10"/>
      <c r="L6" s="1" t="s">
        <v>5</v>
      </c>
      <c r="M6" s="4">
        <v>0</v>
      </c>
      <c r="N6" s="3" t="s">
        <v>2</v>
      </c>
    </row>
    <row r="7" spans="2:14">
      <c r="L7" s="1" t="s">
        <v>6</v>
      </c>
      <c r="M7" s="4">
        <f>+M4-M5+M6</f>
        <v>73.502992000000006</v>
      </c>
    </row>
    <row r="9" spans="2:14">
      <c r="M9" s="1">
        <f>+M5/M3</f>
        <v>0.58648081434467803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EFD6-D69B-4931-8318-639C9C959C32}">
  <dimension ref="A1:K37"/>
  <sheetViews>
    <sheetView tabSelected="1" topLeftCell="A2" zoomScale="145" zoomScaleNormal="145" workbookViewId="0">
      <selection activeCell="C8" sqref="C8"/>
    </sheetView>
  </sheetViews>
  <sheetFormatPr defaultRowHeight="12.5"/>
  <cols>
    <col min="1" max="1" width="4.7265625" style="15" bestFit="1" customWidth="1"/>
    <col min="2" max="2" width="11.90625" style="15" bestFit="1" customWidth="1"/>
    <col min="3" max="16384" width="8.7265625" style="15"/>
  </cols>
  <sheetData>
    <row r="1" spans="1:11">
      <c r="A1" s="14" t="s">
        <v>11</v>
      </c>
    </row>
    <row r="2" spans="1:11">
      <c r="B2" s="15" t="s">
        <v>12</v>
      </c>
      <c r="C2" s="16" t="s">
        <v>14</v>
      </c>
    </row>
    <row r="3" spans="1:11">
      <c r="B3" s="15" t="s">
        <v>13</v>
      </c>
      <c r="C3" s="16" t="s">
        <v>37</v>
      </c>
    </row>
    <row r="4" spans="1:11">
      <c r="B4" s="15" t="s">
        <v>10</v>
      </c>
      <c r="C4" s="15" t="s">
        <v>15</v>
      </c>
    </row>
    <row r="5" spans="1:11">
      <c r="B5" s="15" t="s">
        <v>42</v>
      </c>
      <c r="C5" s="15" t="s">
        <v>43</v>
      </c>
    </row>
    <row r="6" spans="1:11">
      <c r="B6" s="15" t="s">
        <v>35</v>
      </c>
    </row>
    <row r="7" spans="1:11" ht="13">
      <c r="C7" s="19" t="s">
        <v>63</v>
      </c>
    </row>
    <row r="8" spans="1:11">
      <c r="C8" s="15" t="s">
        <v>57</v>
      </c>
    </row>
    <row r="9" spans="1:11">
      <c r="C9" s="15" t="s">
        <v>58</v>
      </c>
      <c r="K9" s="15" t="s">
        <v>60</v>
      </c>
    </row>
    <row r="10" spans="1:11">
      <c r="C10" s="15" t="s">
        <v>59</v>
      </c>
      <c r="K10" s="15" t="s">
        <v>61</v>
      </c>
    </row>
    <row r="11" spans="1:11">
      <c r="C11" s="15" t="s">
        <v>62</v>
      </c>
    </row>
    <row r="13" spans="1:11" ht="13">
      <c r="C13" s="19" t="s">
        <v>36</v>
      </c>
    </row>
    <row r="14" spans="1:11">
      <c r="C14" s="15" t="s">
        <v>56</v>
      </c>
    </row>
    <row r="20" spans="3:3" ht="13">
      <c r="C20" s="19" t="s">
        <v>44</v>
      </c>
    </row>
    <row r="21" spans="3:3">
      <c r="C21" s="15" t="s">
        <v>46</v>
      </c>
    </row>
    <row r="22" spans="3:3">
      <c r="C22" s="15" t="s">
        <v>38</v>
      </c>
    </row>
    <row r="23" spans="3:3">
      <c r="C23" s="15" t="s">
        <v>39</v>
      </c>
    </row>
    <row r="24" spans="3:3">
      <c r="C24" s="15" t="s">
        <v>40</v>
      </c>
    </row>
    <row r="25" spans="3:3">
      <c r="C25" s="15" t="s">
        <v>47</v>
      </c>
    </row>
    <row r="26" spans="3:3">
      <c r="C26" s="15" t="s">
        <v>48</v>
      </c>
    </row>
    <row r="27" spans="3:3">
      <c r="C27" s="15" t="s">
        <v>49</v>
      </c>
    </row>
    <row r="28" spans="3:3">
      <c r="C28" s="15" t="s">
        <v>45</v>
      </c>
    </row>
    <row r="29" spans="3:3">
      <c r="C29" s="15" t="s">
        <v>41</v>
      </c>
    </row>
    <row r="31" spans="3:3">
      <c r="C31" s="15" t="s">
        <v>50</v>
      </c>
    </row>
    <row r="32" spans="3:3">
      <c r="C32" s="15" t="s">
        <v>51</v>
      </c>
    </row>
    <row r="34" spans="3:3">
      <c r="C34" s="15" t="s">
        <v>52</v>
      </c>
    </row>
    <row r="35" spans="3:3">
      <c r="C35" s="15" t="s">
        <v>53</v>
      </c>
    </row>
    <row r="36" spans="3:3">
      <c r="C36" s="15" t="s">
        <v>54</v>
      </c>
    </row>
    <row r="37" spans="3:3">
      <c r="C37" s="15" t="s">
        <v>55</v>
      </c>
    </row>
  </sheetData>
  <hyperlinks>
    <hyperlink ref="A1" location="Main!A1" display="Main" xr:uid="{B389E044-EB72-4153-AB2F-B1D7834F8D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EBA3-5BC8-4E4A-B35C-FBE373C4DE99}">
  <dimension ref="A1:D22"/>
  <sheetViews>
    <sheetView zoomScale="175" zoomScaleNormal="175" workbookViewId="0">
      <selection activeCell="B23" sqref="B23"/>
    </sheetView>
  </sheetViews>
  <sheetFormatPr defaultRowHeight="12.5"/>
  <cols>
    <col min="1" max="1" width="4.7265625" style="1" bestFit="1" customWidth="1"/>
    <col min="2" max="16384" width="8.7265625" style="1"/>
  </cols>
  <sheetData>
    <row r="1" spans="1:3">
      <c r="A1" s="17" t="s">
        <v>11</v>
      </c>
    </row>
    <row r="2" spans="1:3" ht="13">
      <c r="B2" s="18" t="s">
        <v>16</v>
      </c>
    </row>
    <row r="3" spans="1:3">
      <c r="B3" s="1" t="s">
        <v>32</v>
      </c>
    </row>
    <row r="4" spans="1:3" ht="13">
      <c r="B4" s="18"/>
    </row>
    <row r="5" spans="1:3">
      <c r="B5" s="1" t="s">
        <v>17</v>
      </c>
    </row>
    <row r="6" spans="1:3">
      <c r="B6" s="1" t="s">
        <v>18</v>
      </c>
    </row>
    <row r="7" spans="1:3">
      <c r="B7" s="1" t="s">
        <v>19</v>
      </c>
    </row>
    <row r="8" spans="1:3">
      <c r="B8" s="1" t="s">
        <v>20</v>
      </c>
    </row>
    <row r="9" spans="1:3">
      <c r="B9" s="1" t="s">
        <v>21</v>
      </c>
    </row>
    <row r="10" spans="1:3">
      <c r="C10" s="1" t="s">
        <v>25</v>
      </c>
    </row>
    <row r="11" spans="1:3">
      <c r="B11" s="1" t="s">
        <v>22</v>
      </c>
    </row>
    <row r="12" spans="1:3">
      <c r="C12" s="1" t="s">
        <v>23</v>
      </c>
    </row>
    <row r="13" spans="1:3">
      <c r="C13" s="1" t="s">
        <v>24</v>
      </c>
    </row>
    <row r="14" spans="1:3">
      <c r="C14" s="1" t="s">
        <v>33</v>
      </c>
    </row>
    <row r="16" spans="1:3">
      <c r="B16" s="1" t="s">
        <v>26</v>
      </c>
    </row>
    <row r="17" spans="2:4">
      <c r="C17" s="1" t="s">
        <v>27</v>
      </c>
    </row>
    <row r="18" spans="2:4">
      <c r="C18" s="1" t="s">
        <v>28</v>
      </c>
    </row>
    <row r="19" spans="2:4">
      <c r="D19" s="1" t="s">
        <v>29</v>
      </c>
    </row>
    <row r="20" spans="2:4">
      <c r="B20" s="1" t="s">
        <v>30</v>
      </c>
    </row>
    <row r="21" spans="2:4">
      <c r="C21" s="1" t="s">
        <v>31</v>
      </c>
    </row>
    <row r="22" spans="2:4">
      <c r="B22" s="1" t="s">
        <v>34</v>
      </c>
    </row>
  </sheetData>
  <hyperlinks>
    <hyperlink ref="A1" location="Main!A1" display="Main" xr:uid="{23C1F00A-DD8A-4C8E-B19E-B46DDFE4EA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Trappsol</vt:lpstr>
      <vt:lpstr>Niemann Pick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2026-07-03T21:15:09Z</dcterms:created>
  <dcterms:modified xsi:type="dcterms:W3CDTF">2026-08-24T02:45:06Z</dcterms:modified>
</cp:coreProperties>
</file>