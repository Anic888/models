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571DFE2-964E-402B-8FC7-D5F05EC94387}" xr6:coauthVersionLast="47" xr6:coauthVersionMax="47" xr10:uidLastSave="{00000000-0000-0000-0000-000000000000}"/>
  <bookViews>
    <workbookView xWindow="21420" yWindow="4210" windowWidth="20170" windowHeight="14480" activeTab="1" xr2:uid="{E7BFF71A-2904-4F34-A901-1B8DEA033DF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16" i="2"/>
  <c r="J17" i="2"/>
  <c r="J16" i="2"/>
  <c r="J18" i="2" s="1"/>
  <c r="F18" i="2"/>
  <c r="F14" i="2"/>
  <c r="F13" i="2"/>
  <c r="F12" i="2"/>
  <c r="F11" i="2"/>
  <c r="J14" i="2"/>
  <c r="J13" i="2"/>
  <c r="J12" i="2"/>
  <c r="J11" i="2"/>
  <c r="J15" i="2" s="1"/>
  <c r="E18" i="2"/>
  <c r="I18" i="2"/>
  <c r="D18" i="2"/>
  <c r="F15" i="2"/>
  <c r="E15" i="2"/>
  <c r="D15" i="2"/>
  <c r="C15" i="2"/>
  <c r="I15" i="2"/>
  <c r="C18" i="2"/>
  <c r="H18" i="2"/>
  <c r="H15" i="2"/>
  <c r="G15" i="2"/>
  <c r="K15" i="2"/>
  <c r="K18" i="2"/>
  <c r="G18" i="2"/>
  <c r="L18" i="2"/>
  <c r="L15" i="2"/>
  <c r="H29" i="2"/>
  <c r="D22" i="2"/>
  <c r="D21" i="2"/>
  <c r="H22" i="2"/>
  <c r="H21" i="2"/>
  <c r="H23" i="2" s="1"/>
  <c r="J3" i="1"/>
  <c r="P34" i="2"/>
  <c r="P35" i="2" s="1"/>
  <c r="Q34" i="2"/>
  <c r="Q35" i="2" s="1"/>
  <c r="R34" i="2"/>
  <c r="R35" i="2" s="1"/>
  <c r="P22" i="2"/>
  <c r="Q22" i="2"/>
  <c r="R22" i="2"/>
  <c r="R21" i="2"/>
  <c r="R30" i="2" s="1"/>
  <c r="Q21" i="2"/>
  <c r="Q30" i="2" s="1"/>
  <c r="P21" i="2"/>
  <c r="P30" i="2" s="1"/>
  <c r="J4" i="1"/>
  <c r="J7" i="1" s="1"/>
  <c r="Q29" i="2"/>
  <c r="R29" i="2"/>
  <c r="R9" i="2"/>
  <c r="D23" i="2" l="1"/>
  <c r="D25" i="2" s="1"/>
  <c r="D26" i="2" s="1"/>
  <c r="H25" i="2"/>
  <c r="H26" i="2" s="1"/>
  <c r="H30" i="2"/>
  <c r="R23" i="2"/>
  <c r="R25" i="2" s="1"/>
  <c r="R26" i="2" s="1"/>
  <c r="P23" i="2"/>
  <c r="P25" i="2" s="1"/>
  <c r="P26" i="2" s="1"/>
  <c r="Q23" i="2"/>
  <c r="Q25" i="2" s="1"/>
  <c r="Q26" i="2" s="1"/>
  <c r="D30" i="2" l="1"/>
</calcChain>
</file>

<file path=xl/sharedStrings.xml><?xml version="1.0" encoding="utf-8"?>
<sst xmlns="http://schemas.openxmlformats.org/spreadsheetml/2006/main" count="50" uniqueCount="46">
  <si>
    <t>Price</t>
  </si>
  <si>
    <t>Shares</t>
  </si>
  <si>
    <t>MC</t>
  </si>
  <si>
    <t>Cash</t>
  </si>
  <si>
    <t>Debt</t>
  </si>
  <si>
    <t>EV</t>
  </si>
  <si>
    <t>Main</t>
  </si>
  <si>
    <t>Revenue</t>
  </si>
  <si>
    <t>GDV</t>
  </si>
  <si>
    <t>Switched</t>
  </si>
  <si>
    <t xml:space="preserve">  Consumer Credit</t>
  </si>
  <si>
    <t xml:space="preserve">  Consumer Debit/Prepaid</t>
  </si>
  <si>
    <t xml:space="preserve">  Commercial Credit/Debit</t>
  </si>
  <si>
    <t>Cards</t>
  </si>
  <si>
    <t>Revenue y/y</t>
  </si>
  <si>
    <t>G&amp;A</t>
  </si>
  <si>
    <t>A&amp;M</t>
  </si>
  <si>
    <t>Operating Income</t>
  </si>
  <si>
    <t>Operating Margin</t>
  </si>
  <si>
    <t>Interest</t>
  </si>
  <si>
    <t>Pretax Income</t>
  </si>
  <si>
    <t>Taxes</t>
  </si>
  <si>
    <t>Net Income</t>
  </si>
  <si>
    <t>EPS</t>
  </si>
  <si>
    <t>Q424</t>
  </si>
  <si>
    <t>CFFO</t>
  </si>
  <si>
    <t>CX</t>
  </si>
  <si>
    <t>FCF</t>
  </si>
  <si>
    <t>Q225</t>
  </si>
  <si>
    <t>Q124</t>
  </si>
  <si>
    <t>Q224</t>
  </si>
  <si>
    <t>Q324</t>
  </si>
  <si>
    <t>Q125</t>
  </si>
  <si>
    <t>Q325</t>
  </si>
  <si>
    <t>Q425</t>
  </si>
  <si>
    <t>Q126</t>
  </si>
  <si>
    <t>Q226</t>
  </si>
  <si>
    <t>Q326</t>
  </si>
  <si>
    <t>Q426</t>
  </si>
  <si>
    <t>Payment Network</t>
  </si>
  <si>
    <t>VAS</t>
  </si>
  <si>
    <t>Network</t>
  </si>
  <si>
    <t>Other Network</t>
  </si>
  <si>
    <t>Transaction Processing</t>
  </si>
  <si>
    <t>Domestic assessments</t>
  </si>
  <si>
    <t>Cross-border assessments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</si>
</sst>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9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29CF7AD-A73C-4665-B904-E32AA73B5E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33131</xdr:colOff>
      <xdr:row>0</xdr:row>
      <xdr:rowOff>27609</xdr:rowOff>
    </xdr:from>
    <xdr:to>
      <xdr:col>12</xdr:col>
      <xdr:colOff>33131</xdr:colOff>
      <xdr:row>46</xdr:row>
      <xdr:rowOff>16565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11E295D-8D17-FF9F-2843-94DD90136A53}"/>
            </a:ext>
          </a:extLst>
        </xdr:cNvPr>
        <xdr:cNvCxnSpPr/>
      </xdr:nvCxnSpPr>
      <xdr:spPr>
        <a:xfrm>
          <a:off x="8045174" y="27609"/>
          <a:ext cx="0" cy="736047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05BA-E2E2-4BF2-B869-5C1F5041633C}">
  <dimension ref="I2:K7"/>
  <sheetViews>
    <sheetView zoomScale="175" zoomScaleNormal="175" workbookViewId="0"/>
  </sheetViews>
  <sheetFormatPr defaultRowHeight="12.5" x14ac:dyDescent="0.25"/>
  <sheetData>
    <row r="2" spans="9:11" x14ac:dyDescent="0.25">
      <c r="I2" t="s">
        <v>0</v>
      </c>
      <c r="J2" s="1">
        <v>552</v>
      </c>
    </row>
    <row r="3" spans="9:11" x14ac:dyDescent="0.25">
      <c r="I3" t="s">
        <v>1</v>
      </c>
      <c r="J3" s="3">
        <f>897.274172+6.737665</f>
        <v>904.01183700000001</v>
      </c>
      <c r="K3" s="5" t="s">
        <v>28</v>
      </c>
    </row>
    <row r="4" spans="9:11" x14ac:dyDescent="0.25">
      <c r="I4" t="s">
        <v>2</v>
      </c>
      <c r="J4" s="3">
        <f>+J2*J3</f>
        <v>499014.53402399999</v>
      </c>
    </row>
    <row r="5" spans="9:11" x14ac:dyDescent="0.25">
      <c r="I5" t="s">
        <v>3</v>
      </c>
      <c r="J5" s="3">
        <v>9031</v>
      </c>
      <c r="K5" s="5" t="s">
        <v>28</v>
      </c>
    </row>
    <row r="6" spans="9:11" x14ac:dyDescent="0.25">
      <c r="I6" t="s">
        <v>4</v>
      </c>
      <c r="J6" s="3">
        <v>18970</v>
      </c>
      <c r="K6" s="5" t="s">
        <v>28</v>
      </c>
    </row>
    <row r="7" spans="9:11" x14ac:dyDescent="0.25">
      <c r="I7" t="s">
        <v>5</v>
      </c>
      <c r="J7" s="3">
        <f>+J4-J5+J6</f>
        <v>508953.53402399999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91AB-6F07-4B83-AF2A-CD982404D2A5}">
  <dimension ref="A1:R35"/>
  <sheetViews>
    <sheetView tabSelected="1"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2" sqref="G12"/>
    </sheetView>
  </sheetViews>
  <sheetFormatPr defaultRowHeight="12.5" x14ac:dyDescent="0.25"/>
  <cols>
    <col min="1" max="1" width="5" bestFit="1" customWidth="1"/>
    <col min="2" max="2" width="22.7265625" bestFit="1" customWidth="1"/>
    <col min="3" max="14" width="8.7265625" style="5"/>
  </cols>
  <sheetData>
    <row r="1" spans="1:18" x14ac:dyDescent="0.25">
      <c r="A1" s="6" t="s">
        <v>6</v>
      </c>
    </row>
    <row r="2" spans="1:18" x14ac:dyDescent="0.25">
      <c r="C2" s="5" t="s">
        <v>29</v>
      </c>
      <c r="D2" s="5" t="s">
        <v>30</v>
      </c>
      <c r="E2" s="5" t="s">
        <v>31</v>
      </c>
      <c r="F2" s="5" t="s">
        <v>24</v>
      </c>
      <c r="G2" s="5" t="s">
        <v>32</v>
      </c>
      <c r="H2" s="5" t="s">
        <v>28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P2">
        <v>2022</v>
      </c>
      <c r="Q2">
        <v>2023</v>
      </c>
      <c r="R2">
        <v>2024</v>
      </c>
    </row>
    <row r="3" spans="1:18" s="3" customFormat="1" x14ac:dyDescent="0.25">
      <c r="B3" s="3" t="s">
        <v>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R3" s="3">
        <v>9800</v>
      </c>
    </row>
    <row r="4" spans="1:18" s="3" customFormat="1" x14ac:dyDescent="0.25">
      <c r="B4" s="3" t="s">
        <v>10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R4" s="3">
        <v>3634</v>
      </c>
    </row>
    <row r="5" spans="1:18" s="3" customFormat="1" x14ac:dyDescent="0.25">
      <c r="B5" s="3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R5" s="3">
        <v>4865</v>
      </c>
    </row>
    <row r="6" spans="1:18" s="3" customFormat="1" x14ac:dyDescent="0.25">
      <c r="B6" s="3" t="s">
        <v>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R6" s="3">
        <v>1258</v>
      </c>
    </row>
    <row r="7" spans="1:18" s="3" customFormat="1" x14ac:dyDescent="0.25">
      <c r="B7" s="3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R7" s="3">
        <v>159.4</v>
      </c>
    </row>
    <row r="8" spans="1:18" s="3" customFormat="1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8" s="3" customFormat="1" x14ac:dyDescent="0.25">
      <c r="B9" s="3" t="s">
        <v>13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R9" s="3">
        <f>1070+1035+153</f>
        <v>2258</v>
      </c>
    </row>
    <row r="10" spans="1:18" s="3" customFormat="1" x14ac:dyDescent="0.25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8" s="3" customFormat="1" x14ac:dyDescent="0.25">
      <c r="B11" s="3" t="s">
        <v>44</v>
      </c>
      <c r="C11" s="7">
        <v>2470</v>
      </c>
      <c r="D11" s="7">
        <v>2596</v>
      </c>
      <c r="E11" s="7">
        <v>2641</v>
      </c>
      <c r="F11" s="7">
        <f>10245-E11-D11-C11</f>
        <v>2538</v>
      </c>
      <c r="G11" s="7">
        <v>2658</v>
      </c>
      <c r="H11" s="7">
        <v>2789</v>
      </c>
      <c r="I11" s="7">
        <v>2809</v>
      </c>
      <c r="J11" s="7">
        <f>11029-I11-H11-G11</f>
        <v>2773</v>
      </c>
      <c r="K11" s="7">
        <v>2896</v>
      </c>
      <c r="L11" s="7">
        <v>3154</v>
      </c>
      <c r="M11" s="7"/>
      <c r="N11" s="7"/>
    </row>
    <row r="12" spans="1:18" s="3" customFormat="1" x14ac:dyDescent="0.25">
      <c r="B12" s="3" t="s">
        <v>45</v>
      </c>
      <c r="C12" s="7">
        <v>2338</v>
      </c>
      <c r="D12" s="7">
        <v>2433</v>
      </c>
      <c r="E12" s="7">
        <v>2804</v>
      </c>
      <c r="F12" s="7">
        <f>10181-E12-D12-C12</f>
        <v>2606</v>
      </c>
      <c r="G12" s="7">
        <v>2595</v>
      </c>
      <c r="H12" s="7">
        <v>2848</v>
      </c>
      <c r="I12" s="7">
        <v>3313</v>
      </c>
      <c r="J12" s="7">
        <f>12021-I12-H12-G12</f>
        <v>3265</v>
      </c>
      <c r="K12" s="7">
        <v>3190</v>
      </c>
      <c r="L12" s="7">
        <v>3460</v>
      </c>
      <c r="M12" s="7"/>
      <c r="N12" s="7"/>
    </row>
    <row r="13" spans="1:18" s="3" customFormat="1" x14ac:dyDescent="0.25">
      <c r="B13" s="3" t="s">
        <v>43</v>
      </c>
      <c r="C13" s="7">
        <v>3086</v>
      </c>
      <c r="D13" s="7">
        <v>3324</v>
      </c>
      <c r="E13" s="7">
        <v>3587</v>
      </c>
      <c r="F13" s="7">
        <f>13602-E13-D13-C13</f>
        <v>3605</v>
      </c>
      <c r="G13" s="7">
        <v>3527</v>
      </c>
      <c r="H13" s="7">
        <v>2971</v>
      </c>
      <c r="I13" s="7">
        <v>4191</v>
      </c>
      <c r="J13" s="7">
        <f>15930-I13-H13-G13</f>
        <v>5241</v>
      </c>
      <c r="K13" s="7">
        <v>4224</v>
      </c>
      <c r="L13" s="7">
        <v>4508</v>
      </c>
      <c r="M13" s="7"/>
      <c r="N13" s="7"/>
    </row>
    <row r="14" spans="1:18" s="3" customFormat="1" x14ac:dyDescent="0.25">
      <c r="B14" s="3" t="s">
        <v>42</v>
      </c>
      <c r="C14" s="7">
        <v>226</v>
      </c>
      <c r="D14" s="7">
        <v>244</v>
      </c>
      <c r="E14" s="7">
        <v>227</v>
      </c>
      <c r="F14" s="7">
        <f>936-E14-D14-C14</f>
        <v>239</v>
      </c>
      <c r="G14" s="7">
        <v>231</v>
      </c>
      <c r="H14" s="7">
        <v>260</v>
      </c>
      <c r="I14" s="7">
        <v>255</v>
      </c>
      <c r="J14" s="7">
        <f>1018-I14-H14-G14</f>
        <v>272</v>
      </c>
      <c r="K14" s="7">
        <v>277</v>
      </c>
      <c r="L14" s="7">
        <v>326</v>
      </c>
      <c r="M14" s="7"/>
      <c r="N14" s="7"/>
    </row>
    <row r="15" spans="1:18" s="3" customFormat="1" x14ac:dyDescent="0.25">
      <c r="B15" s="3" t="s">
        <v>41</v>
      </c>
      <c r="C15" s="7">
        <f t="shared" ref="C15:F15" si="0">SUM(C11:C14)</f>
        <v>8120</v>
      </c>
      <c r="D15" s="7">
        <f t="shared" si="0"/>
        <v>8597</v>
      </c>
      <c r="E15" s="7">
        <f t="shared" si="0"/>
        <v>9259</v>
      </c>
      <c r="F15" s="7">
        <f t="shared" si="0"/>
        <v>8988</v>
      </c>
      <c r="G15" s="7">
        <f>SUM(G11:G14)</f>
        <v>9011</v>
      </c>
      <c r="H15" s="7">
        <f>SUM(H11:H14)</f>
        <v>8868</v>
      </c>
      <c r="I15" s="7">
        <f>SUM(I11:I14)</f>
        <v>10568</v>
      </c>
      <c r="J15" s="7">
        <f>SUM(J11:J14)</f>
        <v>11551</v>
      </c>
      <c r="K15" s="7">
        <f>SUM(K11:K14)</f>
        <v>10587</v>
      </c>
      <c r="L15" s="7">
        <f>SUM(L11:L14)</f>
        <v>11448</v>
      </c>
      <c r="M15" s="7"/>
      <c r="N15" s="7"/>
    </row>
    <row r="16" spans="1:18" s="3" customFormat="1" x14ac:dyDescent="0.25">
      <c r="B16" s="3" t="s">
        <v>39</v>
      </c>
      <c r="C16" s="7">
        <v>3920</v>
      </c>
      <c r="D16" s="7">
        <v>4375</v>
      </c>
      <c r="E16" s="7">
        <v>4629</v>
      </c>
      <c r="F16" s="7">
        <f>17335-E16-D16-C16</f>
        <v>4411</v>
      </c>
      <c r="G16" s="7">
        <v>4432</v>
      </c>
      <c r="H16" s="7">
        <v>4945</v>
      </c>
      <c r="I16" s="7">
        <v>5179</v>
      </c>
      <c r="J16" s="7">
        <f>19476-I16-H16-G16</f>
        <v>4920</v>
      </c>
      <c r="K16" s="7">
        <v>4948</v>
      </c>
      <c r="L16" s="7">
        <v>5451</v>
      </c>
      <c r="M16" s="7"/>
      <c r="N16" s="7"/>
    </row>
    <row r="17" spans="2:18" s="3" customFormat="1" x14ac:dyDescent="0.25">
      <c r="B17" s="3" t="s">
        <v>40</v>
      </c>
      <c r="C17" s="7">
        <v>2428</v>
      </c>
      <c r="D17" s="7">
        <v>2586</v>
      </c>
      <c r="E17" s="7">
        <v>2740</v>
      </c>
      <c r="F17" s="7">
        <f>10832-E17-D17-C17</f>
        <v>3078</v>
      </c>
      <c r="G17" s="7">
        <v>2818</v>
      </c>
      <c r="H17" s="7">
        <v>3188</v>
      </c>
      <c r="I17" s="7">
        <v>3423</v>
      </c>
      <c r="J17" s="7">
        <f>13315-I17-H17-G17</f>
        <v>3886</v>
      </c>
      <c r="K17" s="7">
        <v>3450</v>
      </c>
      <c r="L17" s="7">
        <v>3826</v>
      </c>
      <c r="M17" s="7"/>
      <c r="N17" s="7"/>
    </row>
    <row r="18" spans="2:18" s="4" customFormat="1" ht="13" x14ac:dyDescent="0.3">
      <c r="B18" s="4" t="s">
        <v>7</v>
      </c>
      <c r="C18" s="8">
        <f>+C17+C16</f>
        <v>6348</v>
      </c>
      <c r="D18" s="8">
        <f>+D17+D16</f>
        <v>6961</v>
      </c>
      <c r="E18" s="8">
        <f>+E17+E16</f>
        <v>7369</v>
      </c>
      <c r="F18" s="8">
        <f>+F17+F16</f>
        <v>7489</v>
      </c>
      <c r="G18" s="8">
        <f>+G17+G16</f>
        <v>7250</v>
      </c>
      <c r="H18" s="8">
        <f>+H17+H16</f>
        <v>8133</v>
      </c>
      <c r="I18" s="8">
        <f>+I17+I16</f>
        <v>8602</v>
      </c>
      <c r="J18" s="8">
        <f>+J17+J16</f>
        <v>8806</v>
      </c>
      <c r="K18" s="8">
        <f>+K17+K16</f>
        <v>8398</v>
      </c>
      <c r="L18" s="8">
        <f>+L17+L16</f>
        <v>9277</v>
      </c>
      <c r="M18" s="8"/>
      <c r="N18" s="8"/>
      <c r="P18" s="4">
        <v>22237</v>
      </c>
      <c r="Q18" s="4">
        <v>25098</v>
      </c>
      <c r="R18" s="4">
        <v>28167</v>
      </c>
    </row>
    <row r="19" spans="2:18" s="3" customFormat="1" x14ac:dyDescent="0.25">
      <c r="B19" s="3" t="s">
        <v>15</v>
      </c>
      <c r="C19" s="7"/>
      <c r="D19" s="7">
        <v>2418</v>
      </c>
      <c r="E19" s="7"/>
      <c r="F19" s="7"/>
      <c r="G19" s="7"/>
      <c r="H19" s="7">
        <v>2766</v>
      </c>
      <c r="I19" s="7"/>
      <c r="J19" s="7"/>
      <c r="K19" s="7"/>
      <c r="L19" s="7"/>
      <c r="M19" s="7"/>
      <c r="N19" s="7"/>
      <c r="P19" s="3">
        <v>8078</v>
      </c>
      <c r="Q19" s="3">
        <v>8927</v>
      </c>
      <c r="R19" s="3">
        <v>10193</v>
      </c>
    </row>
    <row r="20" spans="2:18" s="3" customFormat="1" x14ac:dyDescent="0.25">
      <c r="B20" s="3" t="s">
        <v>16</v>
      </c>
      <c r="C20" s="7"/>
      <c r="D20" s="7">
        <v>184</v>
      </c>
      <c r="E20" s="7"/>
      <c r="F20" s="7"/>
      <c r="G20" s="7"/>
      <c r="H20" s="7">
        <v>213</v>
      </c>
      <c r="I20" s="7"/>
      <c r="J20" s="7"/>
      <c r="K20" s="7"/>
      <c r="L20" s="7"/>
      <c r="M20" s="7"/>
      <c r="N20" s="7"/>
      <c r="P20" s="3">
        <v>789</v>
      </c>
      <c r="Q20" s="3">
        <v>825</v>
      </c>
      <c r="R20" s="3">
        <v>815</v>
      </c>
    </row>
    <row r="21" spans="2:18" s="3" customFormat="1" x14ac:dyDescent="0.25">
      <c r="B21" s="3" t="s">
        <v>17</v>
      </c>
      <c r="C21" s="7"/>
      <c r="D21" s="7">
        <f>+D18-D19-D20</f>
        <v>4359</v>
      </c>
      <c r="E21" s="7"/>
      <c r="F21" s="7"/>
      <c r="G21" s="7"/>
      <c r="H21" s="7">
        <f>+H18-H19-H20</f>
        <v>5154</v>
      </c>
      <c r="I21" s="7"/>
      <c r="J21" s="7"/>
      <c r="K21" s="7"/>
      <c r="L21" s="7"/>
      <c r="M21" s="7"/>
      <c r="N21" s="7"/>
      <c r="P21" s="3">
        <f>+P18-P19-P20</f>
        <v>13370</v>
      </c>
      <c r="Q21" s="3">
        <f>+Q18-Q19-Q20</f>
        <v>15346</v>
      </c>
      <c r="R21" s="3">
        <f>+R18-R19-R20</f>
        <v>17159</v>
      </c>
    </row>
    <row r="22" spans="2:18" s="3" customFormat="1" x14ac:dyDescent="0.25">
      <c r="B22" s="3" t="s">
        <v>19</v>
      </c>
      <c r="C22" s="7"/>
      <c r="D22" s="7">
        <f>60-153+9</f>
        <v>-84</v>
      </c>
      <c r="E22" s="7"/>
      <c r="F22" s="7"/>
      <c r="G22" s="7"/>
      <c r="H22" s="7">
        <f>70-195+16</f>
        <v>-109</v>
      </c>
      <c r="I22" s="7"/>
      <c r="J22" s="7"/>
      <c r="K22" s="7"/>
      <c r="L22" s="7"/>
      <c r="M22" s="7"/>
      <c r="N22" s="7"/>
      <c r="P22" s="3">
        <f>61-471</f>
        <v>-410</v>
      </c>
      <c r="Q22" s="3">
        <f>274-575</f>
        <v>-301</v>
      </c>
      <c r="R22" s="3">
        <f>327-646</f>
        <v>-319</v>
      </c>
    </row>
    <row r="23" spans="2:18" s="3" customFormat="1" x14ac:dyDescent="0.25">
      <c r="B23" s="3" t="s">
        <v>20</v>
      </c>
      <c r="C23" s="7"/>
      <c r="D23" s="7">
        <f>+D21+D22</f>
        <v>4275</v>
      </c>
      <c r="E23" s="7"/>
      <c r="F23" s="7"/>
      <c r="G23" s="7"/>
      <c r="H23" s="7">
        <f>+H21+H22</f>
        <v>5045</v>
      </c>
      <c r="I23" s="7"/>
      <c r="J23" s="7"/>
      <c r="K23" s="7"/>
      <c r="L23" s="7"/>
      <c r="M23" s="7"/>
      <c r="N23" s="7"/>
      <c r="P23" s="3">
        <f t="shared" ref="P23:Q23" si="1">+P21+P22</f>
        <v>12960</v>
      </c>
      <c r="Q23" s="3">
        <f t="shared" si="1"/>
        <v>15045</v>
      </c>
      <c r="R23" s="3">
        <f>+R21+R22</f>
        <v>16840</v>
      </c>
    </row>
    <row r="24" spans="2:18" s="3" customFormat="1" x14ac:dyDescent="0.25">
      <c r="B24" s="3" t="s">
        <v>21</v>
      </c>
      <c r="C24" s="7"/>
      <c r="D24" s="7">
        <v>681</v>
      </c>
      <c r="E24" s="7"/>
      <c r="F24" s="7"/>
      <c r="G24" s="7"/>
      <c r="H24" s="7">
        <v>971</v>
      </c>
      <c r="I24" s="7"/>
      <c r="J24" s="7"/>
      <c r="K24" s="7"/>
      <c r="L24" s="7"/>
      <c r="M24" s="7"/>
      <c r="N24" s="7"/>
      <c r="P24" s="3">
        <v>1802</v>
      </c>
      <c r="Q24" s="3">
        <v>2444</v>
      </c>
      <c r="R24" s="3">
        <v>2380</v>
      </c>
    </row>
    <row r="25" spans="2:18" s="3" customFormat="1" x14ac:dyDescent="0.25">
      <c r="B25" s="3" t="s">
        <v>22</v>
      </c>
      <c r="C25" s="7"/>
      <c r="D25" s="7">
        <f>+D23-D24</f>
        <v>3594</v>
      </c>
      <c r="E25" s="7"/>
      <c r="F25" s="7"/>
      <c r="G25" s="7"/>
      <c r="H25" s="7">
        <f>+H23-H24</f>
        <v>4074</v>
      </c>
      <c r="I25" s="7"/>
      <c r="J25" s="7"/>
      <c r="K25" s="7"/>
      <c r="L25" s="7"/>
      <c r="M25" s="7"/>
      <c r="N25" s="7"/>
      <c r="P25" s="3">
        <f>+P23-P24</f>
        <v>11158</v>
      </c>
      <c r="Q25" s="3">
        <f>+Q23-Q24</f>
        <v>12601</v>
      </c>
      <c r="R25" s="3">
        <f>+R23-R24</f>
        <v>14460</v>
      </c>
    </row>
    <row r="26" spans="2:18" x14ac:dyDescent="0.25">
      <c r="B26" s="3" t="s">
        <v>23</v>
      </c>
      <c r="C26" s="9"/>
      <c r="D26" s="9">
        <f>+D25/D27</f>
        <v>3.8645161290322583</v>
      </c>
      <c r="E26" s="9"/>
      <c r="F26" s="9"/>
      <c r="G26" s="9"/>
      <c r="H26" s="9">
        <f>+H25/H27</f>
        <v>4.4818481848184817</v>
      </c>
      <c r="I26" s="9"/>
      <c r="J26" s="9"/>
      <c r="K26" s="9"/>
      <c r="L26" s="9"/>
      <c r="M26" s="9"/>
      <c r="N26" s="9"/>
      <c r="O26" s="1"/>
      <c r="P26" s="1">
        <f t="shared" ref="P26:Q26" si="2">+P25/P27</f>
        <v>11.49124613800206</v>
      </c>
      <c r="Q26" s="1">
        <f t="shared" si="2"/>
        <v>13.32029598308668</v>
      </c>
      <c r="R26" s="1">
        <f>+R25/R27</f>
        <v>15.598705501618124</v>
      </c>
    </row>
    <row r="27" spans="2:18" x14ac:dyDescent="0.25">
      <c r="B27" s="3" t="s">
        <v>1</v>
      </c>
      <c r="C27" s="7"/>
      <c r="D27" s="7">
        <v>930</v>
      </c>
      <c r="E27" s="7"/>
      <c r="F27" s="7"/>
      <c r="G27" s="7"/>
      <c r="H27" s="7">
        <v>909</v>
      </c>
      <c r="I27" s="7"/>
      <c r="J27" s="7"/>
      <c r="K27" s="7"/>
      <c r="L27" s="7"/>
      <c r="M27" s="7"/>
      <c r="N27" s="7"/>
      <c r="O27" s="3"/>
      <c r="P27" s="3">
        <v>971</v>
      </c>
      <c r="Q27" s="3">
        <v>946</v>
      </c>
      <c r="R27" s="3">
        <v>927</v>
      </c>
    </row>
    <row r="29" spans="2:18" x14ac:dyDescent="0.25">
      <c r="B29" t="s">
        <v>14</v>
      </c>
      <c r="H29" s="10">
        <f>+H18/D18-1</f>
        <v>0.1683666139922424</v>
      </c>
      <c r="Q29" s="2">
        <f>+Q18/P18-1</f>
        <v>0.1286594414714215</v>
      </c>
      <c r="R29" s="2">
        <f>+R18/Q18-1</f>
        <v>0.12228065981353087</v>
      </c>
    </row>
    <row r="30" spans="2:18" x14ac:dyDescent="0.25">
      <c r="B30" s="3" t="s">
        <v>18</v>
      </c>
      <c r="C30" s="10"/>
      <c r="D30" s="10">
        <f>+D23/D18</f>
        <v>0.6141359000143658</v>
      </c>
      <c r="E30" s="10"/>
      <c r="F30" s="10"/>
      <c r="G30" s="10"/>
      <c r="H30" s="10">
        <f>+H23/H18</f>
        <v>0.62031230788147051</v>
      </c>
      <c r="I30" s="10"/>
      <c r="J30" s="10"/>
      <c r="K30" s="10"/>
      <c r="L30" s="10"/>
      <c r="M30" s="10"/>
      <c r="N30" s="10"/>
      <c r="O30" s="2"/>
      <c r="P30" s="2">
        <f>+P21/P18</f>
        <v>0.60125016863785585</v>
      </c>
      <c r="Q30" s="2">
        <f>+Q21/Q18</f>
        <v>0.61144314287991075</v>
      </c>
      <c r="R30" s="2">
        <f>+R21/R18</f>
        <v>0.6091880569460717</v>
      </c>
    </row>
    <row r="33" spans="2:18" x14ac:dyDescent="0.25">
      <c r="B33" t="s">
        <v>25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3"/>
      <c r="P33" s="3">
        <v>11195</v>
      </c>
      <c r="Q33" s="3">
        <v>11980</v>
      </c>
      <c r="R33" s="3">
        <v>14780</v>
      </c>
    </row>
    <row r="34" spans="2:18" x14ac:dyDescent="0.25">
      <c r="B34" t="s">
        <v>26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3"/>
      <c r="P34" s="3">
        <f>-442-655</f>
        <v>-1097</v>
      </c>
      <c r="Q34" s="3">
        <f>-371-717</f>
        <v>-1088</v>
      </c>
      <c r="R34" s="3">
        <f>-474-720</f>
        <v>-1194</v>
      </c>
    </row>
    <row r="35" spans="2:18" x14ac:dyDescent="0.25">
      <c r="B35" t="s">
        <v>27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3"/>
      <c r="P35" s="3">
        <f>+P33+P34</f>
        <v>10098</v>
      </c>
      <c r="Q35" s="3">
        <f>+Q33+Q34</f>
        <v>10892</v>
      </c>
      <c r="R35" s="3">
        <f>+R33+R34</f>
        <v>13586</v>
      </c>
    </row>
  </sheetData>
  <hyperlinks>
    <hyperlink ref="A1" location="Main!A1" display="Main" xr:uid="{692A3948-F9D8-491D-99DB-9365EE33A2B2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2025-03-07T18:04:39Z</dcterms:created>
  <dcterms:modified xsi:type="dcterms:W3CDTF">2026-08-20T20:53:15Z</dcterms:modified>
</cp:coreProperties>
</file>