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9A7E7DE-85B5-40DF-B882-AAF8C3B39DB1}" xr6:coauthVersionLast="47" xr6:coauthVersionMax="47" xr10:uidLastSave="{00000000-0000-0000-0000-000000000000}"/>
  <bookViews>
    <workbookView xWindow="13160" yWindow="4120" windowWidth="19050" windowHeight="16100" xr2:uid="{3A74DB1B-C260-4238-86AA-B6C86577BDB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2" i="2"/>
  <c r="J4" i="1"/>
</calcChain>
</file>

<file path=xl/sharedStrings.xml><?xml version="1.0" encoding="utf-8"?>
<sst xmlns="http://schemas.openxmlformats.org/spreadsheetml/2006/main" count="48" uniqueCount="42">
  <si>
    <t>Price EUR</t>
  </si>
  <si>
    <t>Shares</t>
  </si>
  <si>
    <t>MC EUR</t>
  </si>
  <si>
    <t>Cash EUR</t>
  </si>
  <si>
    <t>Debt EUR</t>
  </si>
  <si>
    <t>EV EUR</t>
  </si>
  <si>
    <t>Brand</t>
  </si>
  <si>
    <t>Evenity (romosozumab)</t>
  </si>
  <si>
    <t>Bimzelx (bimekizumab)</t>
  </si>
  <si>
    <t>Psoriasis</t>
  </si>
  <si>
    <t>Osteoporosis</t>
  </si>
  <si>
    <t>Indication</t>
  </si>
  <si>
    <t>Rystiggo (rozanolixizumab)</t>
  </si>
  <si>
    <t>gMG</t>
  </si>
  <si>
    <t>Fintepla (fenfluramine)</t>
  </si>
  <si>
    <t>LGS</t>
  </si>
  <si>
    <t>Zilbrysq (zilucoplan)</t>
  </si>
  <si>
    <t>Cimzia (certolizumab pegol)</t>
  </si>
  <si>
    <t>RA</t>
  </si>
  <si>
    <t>Briviact (brivaracetam)</t>
  </si>
  <si>
    <t>Epilepsy</t>
  </si>
  <si>
    <t>Keppra (levetiracetam)</t>
  </si>
  <si>
    <t>Vimpat (lacosamide)</t>
  </si>
  <si>
    <t>Nayzilam (midazolam)</t>
  </si>
  <si>
    <t>MOA</t>
  </si>
  <si>
    <t>Q425</t>
  </si>
  <si>
    <t>Main</t>
  </si>
  <si>
    <t>Revenue</t>
  </si>
  <si>
    <t>1H25</t>
  </si>
  <si>
    <t>2H25</t>
  </si>
  <si>
    <t>1H26</t>
  </si>
  <si>
    <t>2H26</t>
  </si>
  <si>
    <t>Bimzelx</t>
  </si>
  <si>
    <t>Fintepla</t>
  </si>
  <si>
    <t>Rystiggo</t>
  </si>
  <si>
    <t>Zilbrysq</t>
  </si>
  <si>
    <t>Evenity</t>
  </si>
  <si>
    <t>Cimzia</t>
  </si>
  <si>
    <t>Briviact</t>
  </si>
  <si>
    <t>sclerostin mab</t>
  </si>
  <si>
    <t>IL-17A/F mab</t>
  </si>
  <si>
    <t>5HT2B antagonist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</si>
</sst>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297685-6899-4639-A90C-1B1F29CB3B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9C1F-2240-416B-87AB-18B7C02D930D}">
  <dimension ref="B2:K12"/>
  <sheetViews>
    <sheetView tabSelected="1" zoomScale="130" zoomScaleNormal="130" workbookViewId="0">
      <selection activeCell="J8" sqref="J8"/>
    </sheetView>
  </sheetViews>
  <sheetFormatPr defaultRowHeight="12.5" x14ac:dyDescent="0.25"/>
  <cols>
    <col min="1" max="1" width="3.7265625" customWidth="1"/>
    <col min="2" max="2" width="23.81640625" bestFit="1" customWidth="1"/>
    <col min="3" max="3" width="13.81640625" customWidth="1"/>
    <col min="9" max="9" width="9.81640625" bestFit="1" customWidth="1"/>
  </cols>
  <sheetData>
    <row r="2" spans="2:11" x14ac:dyDescent="0.25">
      <c r="B2" s="7" t="s">
        <v>6</v>
      </c>
      <c r="C2" s="8" t="s">
        <v>11</v>
      </c>
      <c r="D2" s="8" t="s">
        <v>24</v>
      </c>
      <c r="E2" s="8"/>
      <c r="F2" s="8"/>
      <c r="G2" s="9"/>
      <c r="I2" t="s">
        <v>0</v>
      </c>
      <c r="J2" s="1">
        <v>248.7</v>
      </c>
    </row>
    <row r="3" spans="2:11" x14ac:dyDescent="0.25">
      <c r="B3" s="2" t="s">
        <v>7</v>
      </c>
      <c r="C3" t="s">
        <v>10</v>
      </c>
      <c r="D3" t="s">
        <v>39</v>
      </c>
      <c r="G3" s="3"/>
      <c r="I3" t="s">
        <v>1</v>
      </c>
      <c r="J3" s="11">
        <v>190</v>
      </c>
      <c r="K3" s="10" t="s">
        <v>25</v>
      </c>
    </row>
    <row r="4" spans="2:11" x14ac:dyDescent="0.25">
      <c r="B4" s="2" t="s">
        <v>8</v>
      </c>
      <c r="C4" t="s">
        <v>9</v>
      </c>
      <c r="D4" t="s">
        <v>40</v>
      </c>
      <c r="G4" s="3"/>
      <c r="I4" t="s">
        <v>2</v>
      </c>
      <c r="J4" s="11">
        <f>+J2*J3</f>
        <v>47253</v>
      </c>
    </row>
    <row r="5" spans="2:11" x14ac:dyDescent="0.25">
      <c r="B5" s="2" t="s">
        <v>12</v>
      </c>
      <c r="C5" t="s">
        <v>13</v>
      </c>
      <c r="G5" s="3"/>
      <c r="I5" t="s">
        <v>3</v>
      </c>
      <c r="J5" s="11">
        <v>7</v>
      </c>
      <c r="K5" s="10" t="s">
        <v>25</v>
      </c>
    </row>
    <row r="6" spans="2:11" x14ac:dyDescent="0.25">
      <c r="B6" s="2" t="s">
        <v>14</v>
      </c>
      <c r="C6" t="s">
        <v>15</v>
      </c>
      <c r="D6" t="s">
        <v>41</v>
      </c>
      <c r="G6" s="3"/>
      <c r="I6" t="s">
        <v>4</v>
      </c>
      <c r="J6" s="11">
        <v>0</v>
      </c>
      <c r="K6" s="10" t="s">
        <v>25</v>
      </c>
    </row>
    <row r="7" spans="2:11" x14ac:dyDescent="0.25">
      <c r="B7" s="2" t="s">
        <v>16</v>
      </c>
      <c r="C7" t="s">
        <v>13</v>
      </c>
      <c r="G7" s="3"/>
      <c r="I7" t="s">
        <v>5</v>
      </c>
      <c r="J7" s="11">
        <f>+J4-J5+J6</f>
        <v>47246</v>
      </c>
    </row>
    <row r="8" spans="2:11" x14ac:dyDescent="0.25">
      <c r="B8" s="2" t="s">
        <v>17</v>
      </c>
      <c r="C8" t="s">
        <v>18</v>
      </c>
      <c r="G8" s="3"/>
    </row>
    <row r="9" spans="2:11" x14ac:dyDescent="0.25">
      <c r="B9" s="2" t="s">
        <v>19</v>
      </c>
      <c r="C9" t="s">
        <v>20</v>
      </c>
      <c r="G9" s="3"/>
    </row>
    <row r="10" spans="2:11" x14ac:dyDescent="0.25">
      <c r="B10" s="2" t="s">
        <v>22</v>
      </c>
      <c r="C10" t="s">
        <v>20</v>
      </c>
      <c r="G10" s="3"/>
    </row>
    <row r="11" spans="2:11" x14ac:dyDescent="0.25">
      <c r="B11" s="2" t="s">
        <v>23</v>
      </c>
      <c r="C11" t="s">
        <v>20</v>
      </c>
      <c r="G11" s="3"/>
    </row>
    <row r="12" spans="2:11" x14ac:dyDescent="0.25">
      <c r="B12" s="4" t="s">
        <v>21</v>
      </c>
      <c r="C12" s="5" t="s">
        <v>20</v>
      </c>
      <c r="D12" s="5"/>
      <c r="E12" s="5"/>
      <c r="F12" s="5"/>
      <c r="G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506C-27B4-4C9E-882F-496D81B1851C}">
  <dimension ref="A1:K10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9" sqref="K9"/>
    </sheetView>
  </sheetViews>
  <sheetFormatPr defaultRowHeight="12.5" x14ac:dyDescent="0.25"/>
  <cols>
    <col min="1" max="1" width="4.6328125" bestFit="1" customWidth="1"/>
    <col min="3" max="11" width="8.7265625" style="10"/>
  </cols>
  <sheetData>
    <row r="1" spans="1:11" x14ac:dyDescent="0.25">
      <c r="A1" t="s">
        <v>26</v>
      </c>
    </row>
    <row r="2" spans="1:11" x14ac:dyDescent="0.25">
      <c r="C2" s="10" t="s">
        <v>28</v>
      </c>
      <c r="D2" s="10" t="s">
        <v>29</v>
      </c>
      <c r="E2" s="10" t="s">
        <v>30</v>
      </c>
      <c r="F2" s="10" t="s">
        <v>31</v>
      </c>
      <c r="I2" s="10">
        <v>2024</v>
      </c>
      <c r="J2" s="10">
        <v>2025</v>
      </c>
      <c r="K2" s="10">
        <f>+J2+1</f>
        <v>2026</v>
      </c>
    </row>
    <row r="3" spans="1:11" x14ac:dyDescent="0.25">
      <c r="B3" t="s">
        <v>32</v>
      </c>
      <c r="I3" s="10">
        <v>607</v>
      </c>
      <c r="J3" s="10">
        <v>2227</v>
      </c>
    </row>
    <row r="4" spans="1:11" x14ac:dyDescent="0.25">
      <c r="B4" t="s">
        <v>33</v>
      </c>
      <c r="I4" s="10">
        <v>340</v>
      </c>
      <c r="J4" s="10">
        <v>427</v>
      </c>
    </row>
    <row r="5" spans="1:11" x14ac:dyDescent="0.25">
      <c r="B5" t="s">
        <v>34</v>
      </c>
      <c r="I5" s="10">
        <v>202</v>
      </c>
      <c r="J5" s="10">
        <v>332</v>
      </c>
    </row>
    <row r="6" spans="1:11" x14ac:dyDescent="0.25">
      <c r="B6" t="s">
        <v>35</v>
      </c>
      <c r="I6" s="10">
        <v>72</v>
      </c>
      <c r="J6" s="10">
        <v>217</v>
      </c>
    </row>
    <row r="7" spans="1:11" x14ac:dyDescent="0.25">
      <c r="B7" t="s">
        <v>36</v>
      </c>
      <c r="I7" s="10">
        <v>103</v>
      </c>
      <c r="J7" s="10">
        <v>137</v>
      </c>
    </row>
    <row r="8" spans="1:11" x14ac:dyDescent="0.25">
      <c r="B8" t="s">
        <v>37</v>
      </c>
      <c r="I8" s="10">
        <v>2033</v>
      </c>
      <c r="J8" s="10">
        <v>1954</v>
      </c>
    </row>
    <row r="9" spans="1:11" x14ac:dyDescent="0.25">
      <c r="B9" t="s">
        <v>38</v>
      </c>
      <c r="I9" s="10">
        <v>686</v>
      </c>
      <c r="J9" s="10">
        <v>758</v>
      </c>
    </row>
    <row r="10" spans="1:11" x14ac:dyDescent="0.25">
      <c r="B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2024-09-02T22:41:41Z</dcterms:created>
  <dcterms:modified xsi:type="dcterms:W3CDTF">2026-07-29T14:33:24Z</dcterms:modified>
</cp:coreProperties>
</file>