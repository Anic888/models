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0B1FF276-616A-437E-BAD6-E8EC0444FA38}" xr6:coauthVersionLast="47" xr6:coauthVersionMax="47" xr10:uidLastSave="{00000000-0000-0000-0000-000000000000}"/>
  <bookViews>
    <workbookView xWindow="60" yWindow="1140" windowWidth="17430" windowHeight="15500" activeTab="1" xr2:uid="{A60D6F5D-C7AD-4CE4-9596-6485E651EC61}"/>
  </bookViews>
  <sheets>
    <sheet name="Main" sheetId="1" r:id="rId1"/>
    <sheet name="Model" sheetId="9" r:id="rId2"/>
    <sheet name="Dupixent" sheetId="8" r:id="rId3"/>
    <sheet name="Eylea" sheetId="3" r:id="rId4"/>
    <sheet name="linvoseltamab" sheetId="11" r:id="rId5"/>
    <sheet name="odronextamab" sheetId="12" r:id="rId6"/>
    <sheet name="pozelimab" sheetId="15" r:id="rId7"/>
    <sheet name="mibavademab" sheetId="16" r:id="rId8"/>
    <sheet name="DB-OTO" sheetId="20" r:id="rId9"/>
    <sheet name="trevogrumab" sheetId="17" r:id="rId10"/>
    <sheet name="fianlimab" sheetId="21" r:id="rId11"/>
    <sheet name="garetosmab" sheetId="19" r:id="rId12"/>
    <sheet name="itepekimab" sheetId="18" r:id="rId13"/>
    <sheet name="REGN7508" sheetId="13" r:id="rId14"/>
    <sheet name="REGN9933" sheetId="14" r:id="rId15"/>
    <sheet name="Arcalyst" sheetId="2" r:id="rId16"/>
    <sheet name="Zaltrap" sheetId="4" r:id="rId17"/>
    <sheet name="VEGF Trap" sheetId="5" r:id="rId18"/>
    <sheet name="Praluent" sheetId="6" r:id="rId19"/>
    <sheet name="Libtayo" sheetId="10" r:id="rId20"/>
    <sheet name="Kevzara" sheetId="7"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R26" i="9" l="1"/>
  <c r="BQ26" i="9"/>
  <c r="BP26" i="9"/>
  <c r="BO26" i="9"/>
  <c r="BN26" i="9"/>
  <c r="BM26" i="9"/>
  <c r="BE27" i="9"/>
  <c r="BL44" i="9"/>
  <c r="BK44" i="9"/>
  <c r="BL43" i="9"/>
  <c r="BK43" i="9"/>
  <c r="BL42" i="9"/>
  <c r="BK42" i="9"/>
  <c r="BL41" i="9"/>
  <c r="BK41" i="9"/>
  <c r="BK31" i="9"/>
  <c r="BK25" i="9"/>
  <c r="BI25" i="9"/>
  <c r="BJ25" i="9"/>
  <c r="BL31" i="9" l="1"/>
  <c r="BK26" i="9"/>
  <c r="BL25" i="9"/>
  <c r="BL26" i="9" s="1"/>
  <c r="J5" i="1"/>
  <c r="H8" i="17"/>
  <c r="F13" i="17"/>
  <c r="F12" i="17"/>
  <c r="F11" i="17"/>
  <c r="F10" i="17"/>
  <c r="O26" i="9"/>
  <c r="P37" i="9"/>
  <c r="P26" i="9"/>
  <c r="Q37" i="9"/>
  <c r="Q26" i="9"/>
  <c r="V37" i="9"/>
  <c r="U37" i="9"/>
  <c r="T37" i="9"/>
  <c r="S37" i="9"/>
  <c r="R37" i="9"/>
  <c r="V26" i="9"/>
  <c r="V47" i="9" s="1"/>
  <c r="U26" i="9"/>
  <c r="U47" i="9" s="1"/>
  <c r="T26" i="9"/>
  <c r="T47" i="9" s="1"/>
  <c r="S26" i="9"/>
  <c r="S47" i="9" s="1"/>
  <c r="R26" i="9"/>
  <c r="R47" i="9" s="1"/>
  <c r="X37" i="9"/>
  <c r="W37" i="9"/>
  <c r="Y47" i="9"/>
  <c r="AJ44" i="9"/>
  <c r="AI44" i="9"/>
  <c r="AH44" i="9"/>
  <c r="AJ43" i="9"/>
  <c r="AI43" i="9"/>
  <c r="AH43" i="9"/>
  <c r="AG43" i="9"/>
  <c r="AC41" i="9"/>
  <c r="AB41" i="9"/>
  <c r="AA41" i="9"/>
  <c r="AH41" i="9"/>
  <c r="AG41" i="9"/>
  <c r="AF41" i="9"/>
  <c r="AE41" i="9"/>
  <c r="AD41" i="9"/>
  <c r="W26" i="9"/>
  <c r="W47" i="9" s="1"/>
  <c r="X26" i="9"/>
  <c r="Y31" i="9"/>
  <c r="Y32" i="9" s="1"/>
  <c r="Y34" i="9" s="1"/>
  <c r="Y36" i="9" s="1"/>
  <c r="Y37" i="9" s="1"/>
  <c r="Y26" i="9"/>
  <c r="AD31" i="9"/>
  <c r="AC31" i="9"/>
  <c r="AB31" i="9"/>
  <c r="AA31" i="9"/>
  <c r="Z31" i="9"/>
  <c r="Z27" i="9"/>
  <c r="AD27" i="9"/>
  <c r="AD26" i="9"/>
  <c r="AC26" i="9"/>
  <c r="AC28" i="9" s="1"/>
  <c r="AC47" i="9" s="1"/>
  <c r="AB26" i="9"/>
  <c r="AB28" i="9" s="1"/>
  <c r="AB47" i="9" s="1"/>
  <c r="AA26" i="9"/>
  <c r="AA28" i="9" s="1"/>
  <c r="AA47" i="9" s="1"/>
  <c r="Z26" i="9"/>
  <c r="Z40" i="9" s="1"/>
  <c r="AL44" i="9"/>
  <c r="AK44" i="9"/>
  <c r="AL43" i="9"/>
  <c r="AK43" i="9"/>
  <c r="AP44" i="9"/>
  <c r="AO44" i="9"/>
  <c r="AN44" i="9"/>
  <c r="AM44" i="9"/>
  <c r="AL41" i="9"/>
  <c r="AK41" i="9"/>
  <c r="AJ41" i="9"/>
  <c r="AI41" i="9"/>
  <c r="AP41" i="9"/>
  <c r="AO41" i="9"/>
  <c r="AN41" i="9"/>
  <c r="AM41" i="9"/>
  <c r="AG31" i="9"/>
  <c r="AG32" i="9" s="1"/>
  <c r="AG34" i="9" s="1"/>
  <c r="AG36" i="9" s="1"/>
  <c r="AG37" i="9" s="1"/>
  <c r="AF31" i="9"/>
  <c r="AE31" i="9"/>
  <c r="AI31" i="9"/>
  <c r="AE27" i="9"/>
  <c r="AI27" i="9"/>
  <c r="AE26" i="9"/>
  <c r="AF27" i="9"/>
  <c r="AJ27" i="9"/>
  <c r="AF26" i="9"/>
  <c r="AG26" i="9"/>
  <c r="AK26" i="9"/>
  <c r="AK47" i="9" s="1"/>
  <c r="AH31" i="9"/>
  <c r="AH27" i="9"/>
  <c r="AL31" i="9"/>
  <c r="AK31" i="9"/>
  <c r="AK32" i="9" s="1"/>
  <c r="AK34" i="9" s="1"/>
  <c r="AK36" i="9" s="1"/>
  <c r="AK37" i="9" s="1"/>
  <c r="AJ31" i="9"/>
  <c r="AL27" i="9"/>
  <c r="AL26" i="9"/>
  <c r="AH26" i="9"/>
  <c r="BC29" i="9"/>
  <c r="AY27" i="9"/>
  <c r="BC27" i="9"/>
  <c r="AY30" i="9"/>
  <c r="BC30" i="9"/>
  <c r="AY29" i="9"/>
  <c r="AY33" i="9"/>
  <c r="BD30" i="9"/>
  <c r="BD27" i="9"/>
  <c r="BD33" i="9"/>
  <c r="AZ33" i="9"/>
  <c r="BD29" i="9"/>
  <c r="BE33" i="9"/>
  <c r="BE30" i="9"/>
  <c r="BE29" i="9"/>
  <c r="BE35" i="9"/>
  <c r="BG49" i="9"/>
  <c r="CM13" i="9"/>
  <c r="CN13" i="9" s="1"/>
  <c r="CO13" i="9" s="1"/>
  <c r="CP13" i="9" s="1"/>
  <c r="CQ13" i="9" s="1"/>
  <c r="CR13" i="9" s="1"/>
  <c r="CS13" i="9" s="1"/>
  <c r="CN12" i="9"/>
  <c r="CO12" i="9" s="1"/>
  <c r="CP12" i="9" s="1"/>
  <c r="CQ12" i="9" s="1"/>
  <c r="CR12" i="9" s="1"/>
  <c r="CS12" i="9" s="1"/>
  <c r="CN11" i="9"/>
  <c r="CO11" i="9" s="1"/>
  <c r="CP11" i="9" s="1"/>
  <c r="CQ11" i="9" s="1"/>
  <c r="CR11" i="9" s="1"/>
  <c r="CS11" i="9" s="1"/>
  <c r="CI9" i="9"/>
  <c r="BG67" i="9"/>
  <c r="BG58" i="9"/>
  <c r="BG42" i="9"/>
  <c r="BG25" i="9"/>
  <c r="BD77" i="9"/>
  <c r="BE77" i="9" s="1"/>
  <c r="BD75" i="9"/>
  <c r="BE75" i="9" s="1"/>
  <c r="BF75" i="9" s="1"/>
  <c r="BD74" i="9"/>
  <c r="BE74" i="9" s="1"/>
  <c r="BF74" i="9" s="1"/>
  <c r="BD73" i="9"/>
  <c r="BE73" i="9" s="1"/>
  <c r="BF73" i="9" s="1"/>
  <c r="BD72" i="9"/>
  <c r="BE72" i="9" s="1"/>
  <c r="BD71" i="9"/>
  <c r="BE71" i="9" s="1"/>
  <c r="BF71" i="9" s="1"/>
  <c r="BD70" i="9"/>
  <c r="BE62" i="9"/>
  <c r="BE67" i="9" s="1"/>
  <c r="BD62" i="9"/>
  <c r="BD67" i="9" s="1"/>
  <c r="BD50" i="9"/>
  <c r="BD58" i="9" s="1"/>
  <c r="BE14" i="9"/>
  <c r="BE23" i="9"/>
  <c r="BE89" i="9"/>
  <c r="BF89" i="9" s="1"/>
  <c r="BE88" i="9"/>
  <c r="BF88" i="9" s="1"/>
  <c r="BE86" i="9"/>
  <c r="BF86" i="9" s="1"/>
  <c r="BE87" i="9"/>
  <c r="BF87" i="9" s="1"/>
  <c r="BE83" i="9"/>
  <c r="BF83" i="9" s="1"/>
  <c r="BE82" i="9"/>
  <c r="BF82" i="9" s="1"/>
  <c r="BE81" i="9"/>
  <c r="BE80" i="9"/>
  <c r="BE25" i="9"/>
  <c r="BC78" i="9"/>
  <c r="BF76" i="9"/>
  <c r="BE50" i="9"/>
  <c r="BE49" i="9" s="1"/>
  <c r="CH66" i="9"/>
  <c r="CH65" i="9"/>
  <c r="CH64" i="9"/>
  <c r="CH63" i="9"/>
  <c r="CH62" i="9"/>
  <c r="CH61" i="9"/>
  <c r="CH60" i="9"/>
  <c r="CH57" i="9"/>
  <c r="CH56" i="9"/>
  <c r="CH55" i="9"/>
  <c r="CH54" i="9"/>
  <c r="CH53" i="9"/>
  <c r="CH52" i="9"/>
  <c r="CH51" i="9"/>
  <c r="CH50" i="9"/>
  <c r="CG90" i="9"/>
  <c r="CF90" i="9"/>
  <c r="CH90" i="9"/>
  <c r="CF80" i="9"/>
  <c r="CF84" i="9" s="1"/>
  <c r="CG80" i="9"/>
  <c r="CG84" i="9" s="1"/>
  <c r="CH81" i="9"/>
  <c r="CH80" i="9"/>
  <c r="CH84" i="9" s="1"/>
  <c r="CF77" i="9"/>
  <c r="CF78" i="9" s="1"/>
  <c r="CG77" i="9"/>
  <c r="CG78" i="9" s="1"/>
  <c r="CH77" i="9"/>
  <c r="CH78" i="9" s="1"/>
  <c r="G17" i="1"/>
  <c r="G13" i="1"/>
  <c r="G15" i="1"/>
  <c r="G16" i="1"/>
  <c r="BB35" i="9"/>
  <c r="BF35" i="9"/>
  <c r="BB33" i="9"/>
  <c r="BF33" i="9"/>
  <c r="BB27" i="9"/>
  <c r="BF27" i="9"/>
  <c r="BB67" i="9"/>
  <c r="BB58" i="9"/>
  <c r="BF49" i="9"/>
  <c r="BF67" i="9"/>
  <c r="BF58" i="9"/>
  <c r="BG41" i="9"/>
  <c r="CH96" i="9"/>
  <c r="CH95" i="9"/>
  <c r="CG96" i="9"/>
  <c r="CG95" i="9"/>
  <c r="CF96" i="9"/>
  <c r="CF95" i="9"/>
  <c r="CE96" i="9"/>
  <c r="CE95" i="9"/>
  <c r="CD96" i="9"/>
  <c r="CD95" i="9"/>
  <c r="CC96" i="9"/>
  <c r="CC95" i="9"/>
  <c r="CB96" i="9"/>
  <c r="CB95" i="9"/>
  <c r="CA96" i="9"/>
  <c r="CA95" i="9"/>
  <c r="BZ96" i="9"/>
  <c r="BZ95" i="9"/>
  <c r="BY96" i="9"/>
  <c r="BY95" i="9"/>
  <c r="BX96" i="9"/>
  <c r="BW96" i="9"/>
  <c r="BX95" i="9"/>
  <c r="BW95" i="9"/>
  <c r="BV96" i="9"/>
  <c r="BU96" i="9"/>
  <c r="BV95" i="9"/>
  <c r="BU95" i="9"/>
  <c r="CE7" i="9"/>
  <c r="CD10" i="9"/>
  <c r="CG14" i="9"/>
  <c r="BY26" i="9"/>
  <c r="BZ26" i="9"/>
  <c r="BY19" i="9"/>
  <c r="BZ19" i="9"/>
  <c r="CA19" i="9"/>
  <c r="CC41" i="9"/>
  <c r="CB41" i="9"/>
  <c r="CA41" i="9"/>
  <c r="BZ41" i="9"/>
  <c r="BY41" i="9"/>
  <c r="BX41" i="9"/>
  <c r="BF42" i="9"/>
  <c r="BF41" i="9"/>
  <c r="CG4" i="9"/>
  <c r="CG3" i="9"/>
  <c r="CH4" i="9"/>
  <c r="CH3" i="9"/>
  <c r="BG31" i="9"/>
  <c r="BJ44" i="9"/>
  <c r="BI44" i="9"/>
  <c r="BH44" i="9"/>
  <c r="BG44" i="9"/>
  <c r="BJ43" i="9"/>
  <c r="BG43" i="9"/>
  <c r="BF44" i="9"/>
  <c r="BE44" i="9"/>
  <c r="BF43" i="9"/>
  <c r="BE41" i="9"/>
  <c r="CH24" i="9"/>
  <c r="CH21" i="9"/>
  <c r="CH19" i="9"/>
  <c r="BA25" i="9"/>
  <c r="AD28" i="9" l="1"/>
  <c r="AD47" i="9" s="1"/>
  <c r="BL28" i="9"/>
  <c r="BL47" i="9" s="1"/>
  <c r="BK28" i="9"/>
  <c r="AH28" i="9"/>
  <c r="AH47" i="9" s="1"/>
  <c r="BL32" i="9"/>
  <c r="BL34" i="9" s="1"/>
  <c r="BL36" i="9" s="1"/>
  <c r="BL37" i="9" s="1"/>
  <c r="BZ40" i="9"/>
  <c r="AL40" i="9"/>
  <c r="BD78" i="9"/>
  <c r="AG40" i="9"/>
  <c r="AE40" i="9"/>
  <c r="AG47" i="9"/>
  <c r="AK40" i="9"/>
  <c r="AD40" i="9"/>
  <c r="AF40" i="9"/>
  <c r="AB40" i="9"/>
  <c r="AH40" i="9"/>
  <c r="AC40" i="9"/>
  <c r="AE28" i="9"/>
  <c r="X47" i="9"/>
  <c r="AF28" i="9"/>
  <c r="CH29" i="9"/>
  <c r="AA40" i="9"/>
  <c r="Y40" i="9"/>
  <c r="AD32" i="9"/>
  <c r="AD34" i="9" s="1"/>
  <c r="AD36" i="9" s="1"/>
  <c r="AD37" i="9" s="1"/>
  <c r="CH49" i="9"/>
  <c r="Z28" i="9"/>
  <c r="Z47" i="9" s="1"/>
  <c r="AA32" i="9"/>
  <c r="AA34" i="9" s="1"/>
  <c r="AA36" i="9" s="1"/>
  <c r="AA37" i="9" s="1"/>
  <c r="AB32" i="9"/>
  <c r="AB34" i="9" s="1"/>
  <c r="AB36" i="9" s="1"/>
  <c r="AB37" i="9" s="1"/>
  <c r="AC32" i="9"/>
  <c r="AC34" i="9" s="1"/>
  <c r="AC36" i="9" s="1"/>
  <c r="AC37" i="9" s="1"/>
  <c r="AL28" i="9"/>
  <c r="AL47" i="9" s="1"/>
  <c r="CH30" i="9"/>
  <c r="BH31" i="9"/>
  <c r="BI31" i="9"/>
  <c r="CH33" i="9"/>
  <c r="CH27" i="9"/>
  <c r="CI14" i="9"/>
  <c r="CJ14" i="9" s="1"/>
  <c r="CK14" i="9" s="1"/>
  <c r="CL14" i="9" s="1"/>
  <c r="CM14" i="9" s="1"/>
  <c r="CN14" i="9" s="1"/>
  <c r="CO14" i="9" s="1"/>
  <c r="CP14" i="9" s="1"/>
  <c r="CQ14" i="9" s="1"/>
  <c r="CR14" i="9" s="1"/>
  <c r="CS14" i="9" s="1"/>
  <c r="BF81" i="9"/>
  <c r="CG92" i="9"/>
  <c r="BE70" i="9"/>
  <c r="BF70" i="9" s="1"/>
  <c r="BJ31" i="9"/>
  <c r="CH58" i="9"/>
  <c r="CI23" i="9"/>
  <c r="BF77" i="9"/>
  <c r="BE84" i="9"/>
  <c r="CI6" i="9"/>
  <c r="CH92" i="9"/>
  <c r="CF92" i="9"/>
  <c r="BF80" i="9"/>
  <c r="CH67" i="9"/>
  <c r="BH43" i="9"/>
  <c r="BI43" i="9"/>
  <c r="BD49" i="9"/>
  <c r="BE58" i="9"/>
  <c r="BE90" i="9"/>
  <c r="BF72" i="9"/>
  <c r="BE43" i="9"/>
  <c r="CH14" i="9"/>
  <c r="BF90" i="9"/>
  <c r="CI5" i="9"/>
  <c r="BZ98" i="9"/>
  <c r="BG26" i="9"/>
  <c r="BG28" i="9" s="1"/>
  <c r="BG47" i="9" s="1"/>
  <c r="CH41" i="9"/>
  <c r="CH42" i="9"/>
  <c r="BF25" i="9"/>
  <c r="CI25" i="9" s="1"/>
  <c r="CJ25" i="9" s="1"/>
  <c r="CK25" i="9" s="1"/>
  <c r="CL25" i="9" s="1"/>
  <c r="CM25" i="9" s="1"/>
  <c r="CN25" i="9" s="1"/>
  <c r="CO25" i="9" s="1"/>
  <c r="CP25" i="9" s="1"/>
  <c r="CQ25" i="9" s="1"/>
  <c r="CR25" i="9" s="1"/>
  <c r="CS25" i="9" s="1"/>
  <c r="CH18" i="9"/>
  <c r="CH23" i="9"/>
  <c r="CH10" i="9"/>
  <c r="CH9" i="9"/>
  <c r="CJ9" i="9" s="1"/>
  <c r="CK9" i="9" s="1"/>
  <c r="CL9" i="9" s="1"/>
  <c r="CM9" i="9" s="1"/>
  <c r="CN9" i="9" s="1"/>
  <c r="CO9" i="9" s="1"/>
  <c r="CP9" i="9" s="1"/>
  <c r="CQ9" i="9" s="1"/>
  <c r="CR9" i="9" s="1"/>
  <c r="CS9" i="9" s="1"/>
  <c r="CH7" i="9"/>
  <c r="CH6" i="9"/>
  <c r="CH5" i="9"/>
  <c r="BF31" i="9"/>
  <c r="BE31" i="9"/>
  <c r="BE26" i="9"/>
  <c r="N38" i="9"/>
  <c r="N35" i="9"/>
  <c r="N30" i="9"/>
  <c r="N29" i="9"/>
  <c r="N23" i="9"/>
  <c r="N14" i="9"/>
  <c r="N10" i="9"/>
  <c r="N3" i="9"/>
  <c r="M31" i="9"/>
  <c r="M27" i="9"/>
  <c r="M25" i="9"/>
  <c r="M26" i="9" s="1"/>
  <c r="K31" i="9"/>
  <c r="K25" i="9"/>
  <c r="J38" i="9"/>
  <c r="J35" i="9"/>
  <c r="J33" i="9"/>
  <c r="J30" i="9"/>
  <c r="J29" i="9"/>
  <c r="J27" i="9"/>
  <c r="F38" i="9"/>
  <c r="F35" i="9"/>
  <c r="F30" i="9"/>
  <c r="F29" i="9"/>
  <c r="F27" i="9"/>
  <c r="J23" i="9"/>
  <c r="BV23" i="9" s="1"/>
  <c r="F23" i="9"/>
  <c r="BU23" i="9" s="1"/>
  <c r="J14" i="9"/>
  <c r="BV14" i="9" s="1"/>
  <c r="F14" i="9"/>
  <c r="BU14" i="9" s="1"/>
  <c r="F10" i="9"/>
  <c r="BU10" i="9" s="1"/>
  <c r="J10" i="9"/>
  <c r="BV10" i="9" s="1"/>
  <c r="J3" i="9"/>
  <c r="BV3" i="9" s="1"/>
  <c r="BU3" i="9"/>
  <c r="BT36" i="9"/>
  <c r="BT37" i="9" s="1"/>
  <c r="BU31" i="9"/>
  <c r="BV31" i="9"/>
  <c r="I31" i="9"/>
  <c r="E25" i="9"/>
  <c r="I25" i="9"/>
  <c r="D33" i="9"/>
  <c r="F33" i="9" s="1"/>
  <c r="D25" i="9"/>
  <c r="AL32" i="9" l="1"/>
  <c r="AL34" i="9" s="1"/>
  <c r="AL36" i="9" s="1"/>
  <c r="AL37" i="9" s="1"/>
  <c r="BK47" i="9"/>
  <c r="BK32" i="9"/>
  <c r="BK34" i="9" s="1"/>
  <c r="BK36" i="9" s="1"/>
  <c r="BK37" i="9" s="1"/>
  <c r="BK40" i="9"/>
  <c r="AH32" i="9"/>
  <c r="AH34" i="9" s="1"/>
  <c r="AH36" i="9" s="1"/>
  <c r="AH37" i="9" s="1"/>
  <c r="CH31" i="9"/>
  <c r="CJ6" i="9"/>
  <c r="CK6" i="9" s="1"/>
  <c r="CL6" i="9" s="1"/>
  <c r="CM6" i="9" s="1"/>
  <c r="CN6" i="9" s="1"/>
  <c r="CO6" i="9" s="1"/>
  <c r="CP6" i="9" s="1"/>
  <c r="CQ6" i="9" s="1"/>
  <c r="CR6" i="9" s="1"/>
  <c r="CS6" i="9" s="1"/>
  <c r="BE78" i="9"/>
  <c r="BE92" i="9" s="1"/>
  <c r="AF47" i="9"/>
  <c r="AF32" i="9"/>
  <c r="AF34" i="9" s="1"/>
  <c r="AF36" i="9" s="1"/>
  <c r="AF37" i="9" s="1"/>
  <c r="Z32" i="9"/>
  <c r="Z34" i="9" s="1"/>
  <c r="Z36" i="9" s="1"/>
  <c r="Z37" i="9" s="1"/>
  <c r="BF78" i="9"/>
  <c r="BF84" i="9"/>
  <c r="AE32" i="9"/>
  <c r="AE34" i="9" s="1"/>
  <c r="AE36" i="9" s="1"/>
  <c r="AE37" i="9" s="1"/>
  <c r="AE47" i="9"/>
  <c r="CJ23" i="9"/>
  <c r="CK23" i="9" s="1"/>
  <c r="CL23" i="9" s="1"/>
  <c r="CM23" i="9" s="1"/>
  <c r="CN23" i="9" s="1"/>
  <c r="CO23" i="9" s="1"/>
  <c r="CP23" i="9" s="1"/>
  <c r="CQ23" i="9" s="1"/>
  <c r="CR23" i="9" s="1"/>
  <c r="CS23" i="9" s="1"/>
  <c r="BH42" i="9"/>
  <c r="BG32" i="9"/>
  <c r="BG34" i="9" s="1"/>
  <c r="M28" i="9"/>
  <c r="M32" i="9" s="1"/>
  <c r="M34" i="9" s="1"/>
  <c r="M36" i="9" s="1"/>
  <c r="M37" i="9" s="1"/>
  <c r="BF92" i="9"/>
  <c r="CJ5" i="9"/>
  <c r="CK5" i="9" s="1"/>
  <c r="CL5" i="9" s="1"/>
  <c r="CM5" i="9" s="1"/>
  <c r="CN5" i="9" s="1"/>
  <c r="CO5" i="9" s="1"/>
  <c r="CP5" i="9" s="1"/>
  <c r="CQ5" i="9" s="1"/>
  <c r="CR5" i="9" s="1"/>
  <c r="CS5" i="9" s="1"/>
  <c r="BH26" i="9"/>
  <c r="BH41" i="9"/>
  <c r="BW41" i="9"/>
  <c r="BV41" i="9"/>
  <c r="N31" i="9"/>
  <c r="J31" i="9"/>
  <c r="BE28" i="9"/>
  <c r="BE47" i="9" s="1"/>
  <c r="BF26" i="9"/>
  <c r="CH25" i="9"/>
  <c r="CH26" i="9" s="1"/>
  <c r="CD3" i="9"/>
  <c r="CD41" i="9" s="1"/>
  <c r="BY33" i="9"/>
  <c r="BY31" i="9"/>
  <c r="BY27" i="9"/>
  <c r="BW33" i="9"/>
  <c r="N33" i="9" s="1"/>
  <c r="BW27" i="9"/>
  <c r="BW31" i="9"/>
  <c r="BX33" i="9"/>
  <c r="BX31" i="9"/>
  <c r="BX27" i="9"/>
  <c r="CC26" i="9"/>
  <c r="CB26" i="9"/>
  <c r="CA26" i="9"/>
  <c r="BX26" i="9"/>
  <c r="BW26" i="9"/>
  <c r="BV26" i="9"/>
  <c r="BT26" i="9"/>
  <c r="L31" i="9"/>
  <c r="L27" i="9"/>
  <c r="H25" i="9"/>
  <c r="H26" i="9" s="1"/>
  <c r="H28" i="9" s="1"/>
  <c r="L25" i="9"/>
  <c r="L26" i="9" s="1"/>
  <c r="K26" i="9"/>
  <c r="K28" i="9" s="1"/>
  <c r="K32" i="9" s="1"/>
  <c r="K34" i="9" s="1"/>
  <c r="K36" i="9" s="1"/>
  <c r="K37" i="9" s="1"/>
  <c r="I26" i="9"/>
  <c r="I28" i="9" s="1"/>
  <c r="I32" i="9" s="1"/>
  <c r="I34" i="9" s="1"/>
  <c r="I36" i="9" s="1"/>
  <c r="I37" i="9" s="1"/>
  <c r="E26" i="9"/>
  <c r="E28" i="9" s="1"/>
  <c r="D26" i="9"/>
  <c r="D28" i="9" s="1"/>
  <c r="C31" i="9"/>
  <c r="C25" i="9"/>
  <c r="C26" i="9" s="1"/>
  <c r="C28" i="9" s="1"/>
  <c r="G25" i="9"/>
  <c r="G26" i="9" s="1"/>
  <c r="G28" i="9" s="1"/>
  <c r="G31" i="9"/>
  <c r="F31" i="9"/>
  <c r="E31" i="9"/>
  <c r="D31" i="9"/>
  <c r="H31" i="9"/>
  <c r="BD44" i="9"/>
  <c r="BC44" i="9"/>
  <c r="BD43" i="9"/>
  <c r="BC43" i="9"/>
  <c r="BD41" i="9"/>
  <c r="BC41" i="9"/>
  <c r="BD31" i="9"/>
  <c r="BC31" i="9"/>
  <c r="BD26" i="9"/>
  <c r="BC26" i="9"/>
  <c r="AX62" i="9"/>
  <c r="AX67" i="9" s="1"/>
  <c r="AX50" i="9"/>
  <c r="AX58" i="9" s="1"/>
  <c r="AX33" i="9"/>
  <c r="AX30" i="9"/>
  <c r="BB31" i="9" s="1"/>
  <c r="AX29" i="9"/>
  <c r="AX27" i="9"/>
  <c r="AX44" i="9"/>
  <c r="AX41" i="9"/>
  <c r="AX14" i="9"/>
  <c r="AX5" i="9"/>
  <c r="CF38" i="9"/>
  <c r="CE38" i="9"/>
  <c r="CD38" i="9"/>
  <c r="CE35" i="9"/>
  <c r="CD35" i="9"/>
  <c r="CG33" i="9"/>
  <c r="CE30" i="9"/>
  <c r="CG29" i="9"/>
  <c r="CE29" i="9"/>
  <c r="CD29" i="9"/>
  <c r="CG21" i="9"/>
  <c r="CG19" i="9"/>
  <c r="CG18" i="9"/>
  <c r="CG10" i="9"/>
  <c r="CF25" i="9"/>
  <c r="CF24" i="9"/>
  <c r="CF23" i="9"/>
  <c r="CF21" i="9"/>
  <c r="CF19" i="9"/>
  <c r="CF18" i="9"/>
  <c r="CF16" i="9"/>
  <c r="CF15" i="9"/>
  <c r="CF10" i="9"/>
  <c r="CF9" i="9"/>
  <c r="CF7" i="9"/>
  <c r="CF6" i="9"/>
  <c r="CF3" i="9"/>
  <c r="CE25" i="9"/>
  <c r="CE24" i="9"/>
  <c r="CE23" i="9"/>
  <c r="CE21" i="9"/>
  <c r="CE19" i="9"/>
  <c r="CE18" i="9"/>
  <c r="CE16" i="9"/>
  <c r="CE15" i="9"/>
  <c r="CE10" i="9"/>
  <c r="CE9" i="9"/>
  <c r="CE6" i="9"/>
  <c r="CE5" i="9"/>
  <c r="CE3" i="9"/>
  <c r="CD25" i="9"/>
  <c r="CD24" i="9"/>
  <c r="CD23" i="9"/>
  <c r="CD21" i="9"/>
  <c r="CD19" i="9"/>
  <c r="CD18" i="9"/>
  <c r="CD16" i="9"/>
  <c r="CD15" i="9"/>
  <c r="CD9" i="9"/>
  <c r="CD7" i="9"/>
  <c r="CD6" i="9"/>
  <c r="CD5" i="9"/>
  <c r="AM33" i="9"/>
  <c r="AM30" i="9"/>
  <c r="CD30" i="9" s="1"/>
  <c r="AM27" i="9"/>
  <c r="AM17" i="9"/>
  <c r="AM14" i="9" s="1"/>
  <c r="AM43" i="9" s="1"/>
  <c r="AJ26" i="9"/>
  <c r="AI26" i="9"/>
  <c r="AQ44" i="9"/>
  <c r="AQ41" i="9"/>
  <c r="AN33" i="9"/>
  <c r="AN31" i="9"/>
  <c r="AN27" i="9"/>
  <c r="AN17" i="9"/>
  <c r="AN14" i="9" s="1"/>
  <c r="AN43" i="9" s="1"/>
  <c r="AR44" i="9"/>
  <c r="AR41" i="9"/>
  <c r="AW41" i="9"/>
  <c r="AV41" i="9"/>
  <c r="AU41" i="9"/>
  <c r="AT41" i="9"/>
  <c r="AS41" i="9"/>
  <c r="BB44" i="9"/>
  <c r="BA44" i="9"/>
  <c r="AZ44" i="9"/>
  <c r="AY44" i="9"/>
  <c r="BA41" i="9"/>
  <c r="AZ41" i="9"/>
  <c r="AY41" i="9"/>
  <c r="BA31" i="9"/>
  <c r="AY31" i="9"/>
  <c r="AW14" i="9"/>
  <c r="BA43" i="9" s="1"/>
  <c r="AW5" i="9"/>
  <c r="BU2" i="9"/>
  <c r="BV2" i="9" s="1"/>
  <c r="BW2" i="9" s="1"/>
  <c r="BX2" i="9" s="1"/>
  <c r="BY2" i="9" s="1"/>
  <c r="BZ2" i="9" s="1"/>
  <c r="CA2" i="9" s="1"/>
  <c r="CB2" i="9" s="1"/>
  <c r="CC2" i="9" s="1"/>
  <c r="CD2" i="9" s="1"/>
  <c r="CE2" i="9" s="1"/>
  <c r="CF2" i="9" s="1"/>
  <c r="CG2" i="9" s="1"/>
  <c r="CH2" i="9" s="1"/>
  <c r="CI2" i="9" s="1"/>
  <c r="CJ2" i="9" s="1"/>
  <c r="CK2" i="9" s="1"/>
  <c r="CL2" i="9" s="1"/>
  <c r="CM2" i="9" s="1"/>
  <c r="CN2" i="9" s="1"/>
  <c r="CO2" i="9" s="1"/>
  <c r="CP2" i="9" s="1"/>
  <c r="CQ2" i="9" s="1"/>
  <c r="CR2" i="9" s="1"/>
  <c r="CS2" i="9" s="1"/>
  <c r="CT2" i="9" s="1"/>
  <c r="CU2" i="9" s="1"/>
  <c r="CV2" i="9" s="1"/>
  <c r="CW2" i="9" s="1"/>
  <c r="CX2" i="9" s="1"/>
  <c r="CY2" i="9" s="1"/>
  <c r="CZ2" i="9" s="1"/>
  <c r="DA2" i="9" s="1"/>
  <c r="DB2" i="9" s="1"/>
  <c r="AW31" i="9"/>
  <c r="AW44" i="9"/>
  <c r="AV44" i="9"/>
  <c r="AU44" i="9"/>
  <c r="AT44" i="9"/>
  <c r="AS44" i="9"/>
  <c r="AO17" i="9"/>
  <c r="AO14" i="9" s="1"/>
  <c r="AS17" i="9"/>
  <c r="AS14" i="9" s="1"/>
  <c r="AS31" i="9"/>
  <c r="AR31" i="9"/>
  <c r="AQ31" i="9"/>
  <c r="AP31" i="9"/>
  <c r="AO31" i="9"/>
  <c r="BB41" i="9"/>
  <c r="AT33" i="9"/>
  <c r="AP27" i="9"/>
  <c r="AT27" i="9"/>
  <c r="AP17" i="9"/>
  <c r="AP14" i="9" s="1"/>
  <c r="AT17" i="9"/>
  <c r="AT14" i="9" s="1"/>
  <c r="AT31" i="9"/>
  <c r="AQ17" i="9"/>
  <c r="AQ14" i="9" s="1"/>
  <c r="AU17" i="9"/>
  <c r="AU14" i="9" s="1"/>
  <c r="AQ33" i="9"/>
  <c r="AQ27" i="9"/>
  <c r="AU33" i="9"/>
  <c r="AU31" i="9"/>
  <c r="AU27" i="9"/>
  <c r="AR17" i="9"/>
  <c r="AR14" i="9" s="1"/>
  <c r="AV17" i="9"/>
  <c r="AV14" i="9" s="1"/>
  <c r="AV26" i="9" s="1"/>
  <c r="AV30" i="9"/>
  <c r="AZ31" i="9" s="1"/>
  <c r="AV29" i="9"/>
  <c r="AR33" i="9"/>
  <c r="AR27" i="9"/>
  <c r="AV33" i="9"/>
  <c r="AV27" i="9"/>
  <c r="BH28" i="9" l="1"/>
  <c r="BL40" i="9"/>
  <c r="AI40" i="9"/>
  <c r="AI28" i="9"/>
  <c r="AJ28" i="9"/>
  <c r="AJ40" i="9"/>
  <c r="AP26" i="9"/>
  <c r="AP40" i="9" s="1"/>
  <c r="AP43" i="9"/>
  <c r="AO26" i="9"/>
  <c r="AO43" i="9"/>
  <c r="BG35" i="9"/>
  <c r="BG36" i="9" s="1"/>
  <c r="BI42" i="9"/>
  <c r="BE32" i="9"/>
  <c r="BE34" i="9" s="1"/>
  <c r="BE36" i="9" s="1"/>
  <c r="CC98" i="9"/>
  <c r="CA40" i="9"/>
  <c r="CA98" i="9"/>
  <c r="CB98" i="9"/>
  <c r="BI26" i="9"/>
  <c r="BI28" i="9" s="1"/>
  <c r="BI41" i="9"/>
  <c r="BX98" i="9"/>
  <c r="BY98" i="9"/>
  <c r="BW98" i="9"/>
  <c r="CE41" i="9"/>
  <c r="AU26" i="9"/>
  <c r="AU28" i="9" s="1"/>
  <c r="AU47" i="9" s="1"/>
  <c r="CF14" i="9"/>
  <c r="CD14" i="9"/>
  <c r="CD26" i="9" s="1"/>
  <c r="CD98" i="9" s="1"/>
  <c r="BV28" i="9"/>
  <c r="BV32" i="9" s="1"/>
  <c r="BV34" i="9" s="1"/>
  <c r="BV36" i="9" s="1"/>
  <c r="BV37" i="9" s="1"/>
  <c r="BX40" i="9"/>
  <c r="BY40" i="9"/>
  <c r="AQ26" i="9"/>
  <c r="CE14" i="9"/>
  <c r="CE26" i="9" s="1"/>
  <c r="BW40" i="9"/>
  <c r="CC40" i="9"/>
  <c r="CB40" i="9"/>
  <c r="L28" i="9"/>
  <c r="L32" i="9" s="1"/>
  <c r="L34" i="9" s="1"/>
  <c r="L36" i="9" s="1"/>
  <c r="L37" i="9" s="1"/>
  <c r="CF41" i="9"/>
  <c r="CG41" i="9"/>
  <c r="CG42" i="9"/>
  <c r="CG44" i="9"/>
  <c r="CE44" i="9"/>
  <c r="J25" i="9"/>
  <c r="J26" i="9" s="1"/>
  <c r="J28" i="9" s="1"/>
  <c r="J32" i="9" s="1"/>
  <c r="J34" i="9" s="1"/>
  <c r="J36" i="9" s="1"/>
  <c r="J37" i="9" s="1"/>
  <c r="BY28" i="9"/>
  <c r="BY32" i="9" s="1"/>
  <c r="BY34" i="9" s="1"/>
  <c r="BY36" i="9" s="1"/>
  <c r="BY37" i="9" s="1"/>
  <c r="N25" i="9"/>
  <c r="N26" i="9" s="1"/>
  <c r="CF44" i="9"/>
  <c r="BC28" i="9"/>
  <c r="BC47" i="9" s="1"/>
  <c r="BG40" i="9"/>
  <c r="BD28" i="9"/>
  <c r="BD47" i="9" s="1"/>
  <c r="BH40" i="9"/>
  <c r="AX43" i="9"/>
  <c r="BF28" i="9"/>
  <c r="CH44" i="9"/>
  <c r="F25" i="9"/>
  <c r="F26" i="9" s="1"/>
  <c r="F28" i="9" s="1"/>
  <c r="F32" i="9" s="1"/>
  <c r="F34" i="9" s="1"/>
  <c r="F36" i="9" s="1"/>
  <c r="F37" i="9" s="1"/>
  <c r="N27" i="9"/>
  <c r="CH28" i="9"/>
  <c r="CH32" i="9" s="1"/>
  <c r="CH34" i="9" s="1"/>
  <c r="BW28" i="9"/>
  <c r="BW32" i="9" s="1"/>
  <c r="BW34" i="9" s="1"/>
  <c r="BW36" i="9" s="1"/>
  <c r="BW37" i="9" s="1"/>
  <c r="BX28" i="9"/>
  <c r="BX32" i="9" s="1"/>
  <c r="BX34" i="9" s="1"/>
  <c r="BX36" i="9" s="1"/>
  <c r="BX37" i="9" s="1"/>
  <c r="H32" i="9"/>
  <c r="H34" i="9" s="1"/>
  <c r="H36" i="9" s="1"/>
  <c r="H37" i="9" s="1"/>
  <c r="E32" i="9"/>
  <c r="E34" i="9" s="1"/>
  <c r="E36" i="9" s="1"/>
  <c r="E37" i="9" s="1"/>
  <c r="G32" i="9"/>
  <c r="G34" i="9" s="1"/>
  <c r="G36" i="9" s="1"/>
  <c r="G37" i="9" s="1"/>
  <c r="D32" i="9"/>
  <c r="D34" i="9" s="1"/>
  <c r="D36" i="9" s="1"/>
  <c r="D37" i="9" s="1"/>
  <c r="C32" i="9"/>
  <c r="C34" i="9" s="1"/>
  <c r="C36" i="9" s="1"/>
  <c r="C37" i="9" s="1"/>
  <c r="CG23" i="9"/>
  <c r="CE33" i="9"/>
  <c r="CF29" i="9"/>
  <c r="CE17" i="9"/>
  <c r="CE31" i="9"/>
  <c r="CF30" i="9"/>
  <c r="CD33" i="9"/>
  <c r="AX31" i="9"/>
  <c r="CD31" i="9"/>
  <c r="CF33" i="9"/>
  <c r="CD27" i="9"/>
  <c r="CF17" i="9"/>
  <c r="CE27" i="9"/>
  <c r="CF5" i="9"/>
  <c r="CG7" i="9"/>
  <c r="CD17" i="9"/>
  <c r="CG9" i="9"/>
  <c r="AM31" i="9"/>
  <c r="CG30" i="9"/>
  <c r="CG31" i="9" s="1"/>
  <c r="CG6" i="9"/>
  <c r="AQ43" i="9"/>
  <c r="AM26" i="9"/>
  <c r="AM40" i="9" s="1"/>
  <c r="AR43" i="9"/>
  <c r="AN26" i="9"/>
  <c r="AN40" i="9" s="1"/>
  <c r="AV43" i="9"/>
  <c r="AW43" i="9"/>
  <c r="AS43" i="9"/>
  <c r="AY43" i="9"/>
  <c r="AU43" i="9"/>
  <c r="AT43" i="9"/>
  <c r="AZ43" i="9"/>
  <c r="AY26" i="9"/>
  <c r="AT26" i="9"/>
  <c r="AX26" i="9"/>
  <c r="AS26" i="9"/>
  <c r="AR26" i="9"/>
  <c r="AV40" i="9" s="1"/>
  <c r="AW26" i="9"/>
  <c r="AW28" i="9" s="1"/>
  <c r="AV28" i="9"/>
  <c r="AV47" i="9" s="1"/>
  <c r="AV31" i="9"/>
  <c r="J4" i="1"/>
  <c r="AP28" i="9" l="1"/>
  <c r="AP47" i="9" s="1"/>
  <c r="AO28" i="9"/>
  <c r="AO40" i="9"/>
  <c r="AJ47" i="9"/>
  <c r="AJ32" i="9"/>
  <c r="AJ34" i="9" s="1"/>
  <c r="AJ36" i="9" s="1"/>
  <c r="AJ37" i="9" s="1"/>
  <c r="AS40" i="9"/>
  <c r="AI32" i="9"/>
  <c r="AI34" i="9" s="1"/>
  <c r="AI36" i="9" s="1"/>
  <c r="AI37" i="9" s="1"/>
  <c r="AI47" i="9"/>
  <c r="BG69" i="9"/>
  <c r="BG37" i="9"/>
  <c r="BI40" i="9"/>
  <c r="BJ42" i="9"/>
  <c r="CI4" i="9"/>
  <c r="CJ4" i="9" s="1"/>
  <c r="CK4" i="9" s="1"/>
  <c r="CL4" i="9" s="1"/>
  <c r="CM4" i="9" s="1"/>
  <c r="CN4" i="9" s="1"/>
  <c r="CO4" i="9" s="1"/>
  <c r="CP4" i="9" s="1"/>
  <c r="CQ4" i="9" s="1"/>
  <c r="CR4" i="9" s="1"/>
  <c r="CS4" i="9" s="1"/>
  <c r="BH47" i="9"/>
  <c r="BH32" i="9"/>
  <c r="BH34" i="9" s="1"/>
  <c r="BE37" i="9"/>
  <c r="BE69" i="9"/>
  <c r="CE98" i="9"/>
  <c r="AU40" i="9"/>
  <c r="BF32" i="9"/>
  <c r="BF34" i="9" s="1"/>
  <c r="BF36" i="9" s="1"/>
  <c r="BF47" i="9"/>
  <c r="AQ28" i="9"/>
  <c r="AQ47" i="9" s="1"/>
  <c r="BJ41" i="9"/>
  <c r="BJ26" i="9"/>
  <c r="BJ28" i="9" s="1"/>
  <c r="CI3" i="9"/>
  <c r="CJ3" i="9" s="1"/>
  <c r="CK3" i="9" s="1"/>
  <c r="CL3" i="9" s="1"/>
  <c r="CM3" i="9" s="1"/>
  <c r="CN3" i="9" s="1"/>
  <c r="CO3" i="9" s="1"/>
  <c r="CP3" i="9" s="1"/>
  <c r="CQ3" i="9" s="1"/>
  <c r="CR3" i="9" s="1"/>
  <c r="CS3" i="9" s="1"/>
  <c r="BD32" i="9"/>
  <c r="BD34" i="9" s="1"/>
  <c r="BD36" i="9" s="1"/>
  <c r="BD69" i="9" s="1"/>
  <c r="CE40" i="9"/>
  <c r="CD40" i="9"/>
  <c r="BC32" i="9"/>
  <c r="BC34" i="9" s="1"/>
  <c r="BU25" i="9"/>
  <c r="BU26" i="9" s="1"/>
  <c r="AP32" i="9"/>
  <c r="AP34" i="9" s="1"/>
  <c r="AP36" i="9" s="1"/>
  <c r="AP37" i="9" s="1"/>
  <c r="CI38" i="9"/>
  <c r="N28" i="9"/>
  <c r="N32" i="9" s="1"/>
  <c r="N34" i="9" s="1"/>
  <c r="N36" i="9" s="1"/>
  <c r="N37" i="9" s="1"/>
  <c r="BA26" i="9"/>
  <c r="CG5" i="9"/>
  <c r="CH45" i="9" s="1"/>
  <c r="CF31" i="9"/>
  <c r="AY40" i="9"/>
  <c r="BC40" i="9"/>
  <c r="AX40" i="9"/>
  <c r="CF26" i="9"/>
  <c r="CF98" i="9" s="1"/>
  <c r="CD28" i="9"/>
  <c r="CD32" i="9" s="1"/>
  <c r="CD34" i="9" s="1"/>
  <c r="CD36" i="9" s="1"/>
  <c r="CD37" i="9" s="1"/>
  <c r="CE28" i="9"/>
  <c r="CE32" i="9" s="1"/>
  <c r="CE34" i="9" s="1"/>
  <c r="CE36" i="9" s="1"/>
  <c r="CE37" i="9" s="1"/>
  <c r="AQ40" i="9"/>
  <c r="AM28" i="9"/>
  <c r="AM47" i="9" s="1"/>
  <c r="AX28" i="9"/>
  <c r="AR40" i="9"/>
  <c r="AN28" i="9"/>
  <c r="AS28" i="9"/>
  <c r="AS32" i="9" s="1"/>
  <c r="AS34" i="9" s="1"/>
  <c r="AS36" i="9" s="1"/>
  <c r="AS37" i="9" s="1"/>
  <c r="AZ26" i="9"/>
  <c r="BD40" i="9" s="1"/>
  <c r="BB43" i="9"/>
  <c r="AU32" i="9"/>
  <c r="AU34" i="9" s="1"/>
  <c r="AU36" i="9" s="1"/>
  <c r="AU37" i="9" s="1"/>
  <c r="AR28" i="9"/>
  <c r="AR47" i="9" s="1"/>
  <c r="CF27" i="9"/>
  <c r="AW32" i="9"/>
  <c r="AW34" i="9" s="1"/>
  <c r="AW36" i="9" s="1"/>
  <c r="AW37" i="9" s="1"/>
  <c r="AT28" i="9"/>
  <c r="AT40" i="9"/>
  <c r="AW40" i="9"/>
  <c r="J7" i="1"/>
  <c r="AV32" i="9"/>
  <c r="AV34" i="9" s="1"/>
  <c r="AV36" i="9" s="1"/>
  <c r="AV37" i="9" s="1"/>
  <c r="AO47" i="9" l="1"/>
  <c r="AO32" i="9"/>
  <c r="AO34" i="9" s="1"/>
  <c r="AO36" i="9" s="1"/>
  <c r="AO37" i="9" s="1"/>
  <c r="BJ40" i="9"/>
  <c r="BF37" i="9"/>
  <c r="BF69" i="9"/>
  <c r="BH36" i="9"/>
  <c r="BH37" i="9" s="1"/>
  <c r="AQ32" i="9"/>
  <c r="AQ34" i="9" s="1"/>
  <c r="AQ36" i="9" s="1"/>
  <c r="AQ37" i="9" s="1"/>
  <c r="BI47" i="9"/>
  <c r="BI32" i="9"/>
  <c r="BI34" i="9" s="1"/>
  <c r="CH35" i="9"/>
  <c r="CH36" i="9" s="1"/>
  <c r="CH69" i="9" s="1"/>
  <c r="CI26" i="9"/>
  <c r="BU98" i="9"/>
  <c r="BV98" i="9"/>
  <c r="BU28" i="9"/>
  <c r="BU32" i="9" s="1"/>
  <c r="BU34" i="9" s="1"/>
  <c r="BU36" i="9" s="1"/>
  <c r="BU37" i="9" s="1"/>
  <c r="BU40" i="9"/>
  <c r="BV40" i="9"/>
  <c r="CF40" i="9"/>
  <c r="BE40" i="9"/>
  <c r="BA28" i="9"/>
  <c r="CF28" i="9"/>
  <c r="CF32" i="9" s="1"/>
  <c r="CF34" i="9" s="1"/>
  <c r="BA40" i="9"/>
  <c r="AM32" i="9"/>
  <c r="AM34" i="9" s="1"/>
  <c r="AM36" i="9" s="1"/>
  <c r="AM37" i="9" s="1"/>
  <c r="CG38" i="9"/>
  <c r="AS47" i="9"/>
  <c r="CG25" i="9"/>
  <c r="BB26" i="9"/>
  <c r="BB28" i="9" s="1"/>
  <c r="AZ40" i="9"/>
  <c r="AZ28" i="9"/>
  <c r="AN47" i="9"/>
  <c r="AN32" i="9"/>
  <c r="AN34" i="9" s="1"/>
  <c r="AN36" i="9" s="1"/>
  <c r="AN37" i="9" s="1"/>
  <c r="AX47" i="9"/>
  <c r="AX32" i="9"/>
  <c r="AX34" i="9" s="1"/>
  <c r="AR32" i="9"/>
  <c r="AR34" i="9" s="1"/>
  <c r="AR36" i="9" s="1"/>
  <c r="AR37" i="9" s="1"/>
  <c r="CG24" i="9"/>
  <c r="AW47" i="9"/>
  <c r="AT47" i="9"/>
  <c r="AT32" i="9"/>
  <c r="AT34" i="9" s="1"/>
  <c r="AT36" i="9" s="1"/>
  <c r="AT37" i="9" s="1"/>
  <c r="BC36" i="9" l="1"/>
  <c r="BC69" i="9" s="1"/>
  <c r="BI36" i="9"/>
  <c r="BI37" i="9" s="1"/>
  <c r="BJ47" i="9"/>
  <c r="BJ32" i="9"/>
  <c r="BJ34" i="9" s="1"/>
  <c r="CI30" i="9"/>
  <c r="CI31" i="9" s="1"/>
  <c r="CI28" i="9"/>
  <c r="CJ26" i="9"/>
  <c r="CG26" i="9"/>
  <c r="BB40" i="9"/>
  <c r="BF40" i="9"/>
  <c r="BD37" i="9"/>
  <c r="AZ32" i="9"/>
  <c r="AZ34" i="9" s="1"/>
  <c r="AZ36" i="9" s="1"/>
  <c r="AZ37" i="9" s="1"/>
  <c r="AZ47" i="9"/>
  <c r="BA32" i="9"/>
  <c r="BA34" i="9" s="1"/>
  <c r="BA36" i="9" s="1"/>
  <c r="BA37" i="9" s="1"/>
  <c r="BA47" i="9"/>
  <c r="AX36" i="9"/>
  <c r="AX37" i="9" s="1"/>
  <c r="CF35" i="9"/>
  <c r="CF36" i="9" s="1"/>
  <c r="BC37" i="9" l="1"/>
  <c r="CF37" i="9"/>
  <c r="CF69" i="9"/>
  <c r="BJ36" i="9"/>
  <c r="BJ37" i="9" s="1"/>
  <c r="CI32" i="9"/>
  <c r="CI34" i="9" s="1"/>
  <c r="CI35" i="9" s="1"/>
  <c r="CI36" i="9" s="1"/>
  <c r="CJ30" i="9"/>
  <c r="CJ31" i="9" s="1"/>
  <c r="CJ28" i="9"/>
  <c r="CG98" i="9"/>
  <c r="CH98" i="9"/>
  <c r="CK26" i="9"/>
  <c r="CH40" i="9"/>
  <c r="CG40" i="9"/>
  <c r="CH38" i="9"/>
  <c r="BB47" i="9"/>
  <c r="BB32" i="9"/>
  <c r="BB34" i="9" s="1"/>
  <c r="CJ32" i="9" l="1"/>
  <c r="CJ34" i="9" s="1"/>
  <c r="CJ35" i="9" s="1"/>
  <c r="CJ36" i="9" s="1"/>
  <c r="CK30" i="9"/>
  <c r="CK31" i="9" s="1"/>
  <c r="CK28" i="9"/>
  <c r="CL26" i="9"/>
  <c r="CH37" i="9"/>
  <c r="BB36" i="9"/>
  <c r="CG27" i="9"/>
  <c r="CG28" i="9" s="1"/>
  <c r="CG32" i="9" s="1"/>
  <c r="CG34" i="9" s="1"/>
  <c r="AY28" i="9"/>
  <c r="AY32" i="9" s="1"/>
  <c r="AY34" i="9" s="1"/>
  <c r="CG35" i="9" s="1"/>
  <c r="BB37" i="9" l="1"/>
  <c r="BB69" i="9"/>
  <c r="CK32" i="9"/>
  <c r="CK34" i="9" s="1"/>
  <c r="CK35" i="9" s="1"/>
  <c r="CK36" i="9" s="1"/>
  <c r="CM26" i="9"/>
  <c r="CL28" i="9"/>
  <c r="CL30" i="9"/>
  <c r="CL31" i="9" s="1"/>
  <c r="CJ38" i="9"/>
  <c r="CI37" i="9"/>
  <c r="AY47" i="9"/>
  <c r="CG36" i="9"/>
  <c r="AY36" i="9"/>
  <c r="AY37" i="9" s="1"/>
  <c r="CL32" i="9" l="1"/>
  <c r="CL34" i="9" s="1"/>
  <c r="CL35" i="9" s="1"/>
  <c r="CL36" i="9" s="1"/>
  <c r="CG37" i="9"/>
  <c r="CG69" i="9"/>
  <c r="CM30" i="9"/>
  <c r="CM31" i="9" s="1"/>
  <c r="CM28" i="9"/>
  <c r="CN26" i="9"/>
  <c r="CK38" i="9"/>
  <c r="CJ37" i="9"/>
  <c r="CM32" i="9" l="1"/>
  <c r="CM34" i="9" s="1"/>
  <c r="CM35" i="9" s="1"/>
  <c r="CM36" i="9" s="1"/>
  <c r="CO26" i="9"/>
  <c r="CN28" i="9"/>
  <c r="CN30" i="9"/>
  <c r="CN31" i="9" s="1"/>
  <c r="CL38" i="9"/>
  <c r="CK37" i="9"/>
  <c r="CN32" i="9" l="1"/>
  <c r="CN34" i="9" s="1"/>
  <c r="CN35" i="9" s="1"/>
  <c r="CN36" i="9" s="1"/>
  <c r="CO30" i="9"/>
  <c r="CO31" i="9" s="1"/>
  <c r="CO28" i="9"/>
  <c r="CP26" i="9"/>
  <c r="CM38" i="9"/>
  <c r="CL37" i="9"/>
  <c r="CO32" i="9" l="1"/>
  <c r="CO34" i="9" s="1"/>
  <c r="CO35" i="9" s="1"/>
  <c r="CO36" i="9" s="1"/>
  <c r="CQ26" i="9"/>
  <c r="CP28" i="9"/>
  <c r="CP30" i="9"/>
  <c r="CP31" i="9" s="1"/>
  <c r="CN38" i="9"/>
  <c r="CM37" i="9"/>
  <c r="CP32" i="9" l="1"/>
  <c r="CP34" i="9" s="1"/>
  <c r="CP35" i="9" s="1"/>
  <c r="CP36" i="9" s="1"/>
  <c r="CQ28" i="9"/>
  <c r="CQ30" i="9"/>
  <c r="CQ31" i="9" s="1"/>
  <c r="CS26" i="9"/>
  <c r="CR26" i="9"/>
  <c r="CO38" i="9"/>
  <c r="CN37" i="9"/>
  <c r="CR28" i="9" l="1"/>
  <c r="CR30" i="9"/>
  <c r="CR31" i="9" s="1"/>
  <c r="CS30" i="9"/>
  <c r="CS31" i="9" s="1"/>
  <c r="CS28" i="9"/>
  <c r="CQ32" i="9"/>
  <c r="CQ34" i="9" s="1"/>
  <c r="CQ35" i="9" s="1"/>
  <c r="CQ36" i="9" s="1"/>
  <c r="CP38" i="9"/>
  <c r="CO37" i="9"/>
  <c r="CS32" i="9" l="1"/>
  <c r="CS34" i="9" s="1"/>
  <c r="CR32" i="9"/>
  <c r="CR34" i="9" s="1"/>
  <c r="CR35" i="9" s="1"/>
  <c r="CR36" i="9" s="1"/>
  <c r="CQ38" i="9"/>
  <c r="CP37" i="9"/>
  <c r="CS35" i="9" l="1"/>
  <c r="CS36" i="9" s="1"/>
  <c r="CT36" i="9" s="1"/>
  <c r="CR38" i="9"/>
  <c r="CQ37" i="9"/>
  <c r="CU36" i="9" l="1"/>
  <c r="CV36" i="9" s="1"/>
  <c r="CW36" i="9" s="1"/>
  <c r="CX36" i="9" s="1"/>
  <c r="CY36" i="9" s="1"/>
  <c r="CZ36" i="9" s="1"/>
  <c r="DA36" i="9" s="1"/>
  <c r="DB36" i="9" s="1"/>
  <c r="DC36" i="9" s="1"/>
  <c r="DD36" i="9" s="1"/>
  <c r="DE36" i="9" s="1"/>
  <c r="DF36" i="9" s="1"/>
  <c r="DG36" i="9" s="1"/>
  <c r="DH36" i="9" s="1"/>
  <c r="DI36" i="9" s="1"/>
  <c r="DJ36" i="9" s="1"/>
  <c r="DK36" i="9" s="1"/>
  <c r="DL36" i="9" s="1"/>
  <c r="DM36" i="9" s="1"/>
  <c r="DN36" i="9" s="1"/>
  <c r="DO36" i="9" s="1"/>
  <c r="DP36" i="9" s="1"/>
  <c r="DQ36" i="9" s="1"/>
  <c r="DR36" i="9" s="1"/>
  <c r="DS36" i="9" s="1"/>
  <c r="DT36" i="9" s="1"/>
  <c r="DU36" i="9" s="1"/>
  <c r="DV36" i="9" s="1"/>
  <c r="DW36" i="9" s="1"/>
  <c r="DX36" i="9" s="1"/>
  <c r="DY36" i="9" s="1"/>
  <c r="DZ36" i="9" s="1"/>
  <c r="EA36" i="9" s="1"/>
  <c r="EB36" i="9" s="1"/>
  <c r="EC36" i="9" s="1"/>
  <c r="ED36" i="9" s="1"/>
  <c r="EE36" i="9" s="1"/>
  <c r="EF36" i="9" s="1"/>
  <c r="EG36" i="9" s="1"/>
  <c r="EH36" i="9" s="1"/>
  <c r="CS38" i="9"/>
  <c r="CS37" i="9" s="1"/>
  <c r="CR37" i="9"/>
  <c r="CU42" i="9" l="1"/>
  <c r="CU4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tc={CFF3BC2E-892D-4995-B558-D2A9395BF1AF}</author>
    <author>tc={E621A5CA-53E8-48F9-80F2-12D076620DD9}</author>
    <author>tc={D3D5216B-4988-49C7-99A4-DA91FFA880E8}</author>
    <author>Martin Shkreli</author>
    <author>tc={A95EDEE9-78F2-4942-8307-5D690E42CB8B}</author>
    <author>tc={C838F7CA-FAD9-482A-B48C-72B198B21072}</author>
    <author>tc={2471E570-2248-4E4F-8018-AEC8997DEC40}</author>
  </authors>
  <commentList>
    <comment ref="AP36" authorId="0" shapeId="0" xr:uid="{CFF3BC2E-892D-4995-B558-D2A9395BF1AF}">
      <text>
        <t>[Threaded comment]
Your version of Excel allows you to read this threaded comment; however, any edits to it will get removed if the file is opened in a newer version of Excel. Learn more: https://go.microsoft.com/fwlink/?linkid=870924
Comment:
    NGNI 1080.2</t>
      </text>
    </comment>
    <comment ref="AT36" authorId="1" shapeId="0" xr:uid="{E621A5CA-53E8-48F9-80F2-12D076620DD9}">
      <text>
        <t>[Threaded comment]
Your version of Excel allows you to read this threaded comment; however, any edits to it will get removed if the file is opened in a newer version of Excel. Learn more: https://go.microsoft.com/fwlink/?linkid=870924
Comment:
    NGNI 2711.5</t>
      </text>
    </comment>
    <comment ref="BB36" authorId="2" shapeId="0" xr:uid="{D3D5216B-4988-49C7-99A4-DA91FFA880E8}">
      <text>
        <t>[Threaded comment]
Your version of Excel allows you to read this threaded comment; however, any edits to it will get removed if the file is opened in a newer version of Excel. Learn more: https://go.microsoft.com/fwlink/?linkid=870924
Comment:
    1366 reported</t>
      </text>
    </comment>
    <comment ref="BF36" authorId="3" shapeId="0" xr:uid="{8D6C7B3A-5ED9-4D56-BC1E-370A0328DDBE}">
      <text>
        <r>
          <rPr>
            <b/>
            <sz val="9"/>
            <color indexed="81"/>
            <rFont val="Tahoma"/>
            <family val="2"/>
          </rPr>
          <t>Martin Shkreli:</t>
        </r>
        <r>
          <rPr>
            <sz val="9"/>
            <color indexed="81"/>
            <rFont val="Tahoma"/>
            <family val="2"/>
          </rPr>
          <t xml:space="preserve">
1390 reported</t>
        </r>
      </text>
    </comment>
    <comment ref="BB37" authorId="4" shapeId="0" xr:uid="{A95EDEE9-78F2-4942-8307-5D690E42CB8B}">
      <text>
        <t>[Threaded comment]
Your version of Excel allows you to read this threaded comment; however, any edits to it will get removed if the file is opened in a newer version of Excel. Learn more: https://go.microsoft.com/fwlink/?linkid=870924
Comment:
    11.86 reported</t>
      </text>
    </comment>
    <comment ref="BF37" authorId="5" shapeId="0" xr:uid="{C838F7CA-FAD9-482A-B48C-72B198B21072}">
      <text>
        <t>[Threaded comment]
Your version of Excel allows you to read this threaded comment; however, any edits to it will get removed if the file is opened in a newer version of Excel. Learn more: https://go.microsoft.com/fwlink/?linkid=870924
Comment:
    Reported 12.07, including 0.11 acquired IPR&amp;D</t>
      </text>
    </comment>
    <comment ref="CH40" authorId="6" shapeId="0" xr:uid="{2471E570-2248-4E4F-8018-AEC8997DEC40}">
      <text>
        <t>[Threaded comment]
Your version of Excel allows you to read this threaded comment; however, any edits to it will get removed if the file is opened in a newer version of Excel. Learn more: https://go.microsoft.com/fwlink/?linkid=870924
Comment:
    +10% excluding Ronapreve</t>
      </text>
    </comment>
  </commentList>
</comments>
</file>

<file path=xl/sharedStrings.xml><?xml version="1.0" encoding="utf-8"?>
<sst xmlns="http://schemas.openxmlformats.org/spreadsheetml/2006/main" count="780" uniqueCount="566">
  <si>
    <t>Nov. 11:  Eylea approved. Priced at $1,700/injection.</t>
  </si>
  <si>
    <t>2012: final results for Ph3 VENICE study of ZALTRAP in prostate cancer</t>
  </si>
  <si>
    <t>2012: Bayer will submit application for regulatory approval of VEGF-Trap in CRVO</t>
  </si>
  <si>
    <t>2H11: results fr Ph2 AFFIRM study of ZALTRAP plus FOLFOX in first-line mCRC</t>
  </si>
  <si>
    <t>2H11: plan to initiate another DME study of VEGF-Trap in US</t>
  </si>
  <si>
    <t>2H11: plan to submit regulatory application for ZALTRAP in second-line mCRC to FDA &amp; EMA</t>
  </si>
  <si>
    <t>Aug 20, 2011: PDUFA for VEGF-Trap for wet AMD</t>
  </si>
  <si>
    <t>mid-'11: submit sBLA for Arcalyst in gout to FDA</t>
  </si>
  <si>
    <t>mid-'11: interim analysis of Ph3 VENICE study of ZALTRAP as first-line tx for hormone-refractory prostate cancer in combo w docetaxel/prednisone</t>
  </si>
  <si>
    <t>1H11: plan to submit application for marketing approval of VEGF-Trap in CRVO in the US</t>
  </si>
  <si>
    <t>1H11: Bayer will submit application for VEGF-Trap in EU</t>
  </si>
  <si>
    <t>Apr 2011: announced positive Ph3 VELOUR study of ZALTRAP plus FOLFIRI in second-line mCRC</t>
  </si>
  <si>
    <t>Apr 2011: Bayer initiated Ph3 VIVID-DME study ex-US</t>
  </si>
  <si>
    <t>Apr 2011: BLA for VEGF-Trap accepted and granted Priority Review</t>
  </si>
  <si>
    <t>Apr 2011: announced positive GALILEO study of VEGF-Trap inCRVO (Bayer-led)</t>
  </si>
  <si>
    <t>Feb 2011: BLA for VEGF-Trap submitted to FDA</t>
  </si>
  <si>
    <t>Feb 2011: announced positive results of PRE-SURGE 2 and RE-SURGE of Arcalyst in gout</t>
  </si>
  <si>
    <t>Dec 2010: announced positive COPERNICUS study of VEGF-Trap for CRVO</t>
  </si>
  <si>
    <t>Nov 2010: announced positive VIEW 1 &amp; 2 results of VEGF-Trap in wet AMD</t>
  </si>
  <si>
    <t>Jun 2010: announced positive results of PRE-SURGE 1 of Arcalyst in gout prevention</t>
  </si>
  <si>
    <t>Sanofi</t>
  </si>
  <si>
    <t>NGF</t>
  </si>
  <si>
    <t>I (on hold)</t>
  </si>
  <si>
    <t>Pain</t>
  </si>
  <si>
    <t>fasinumab (REGN475)</t>
  </si>
  <si>
    <t>RA</t>
  </si>
  <si>
    <t>EV</t>
  </si>
  <si>
    <t>Phase</t>
  </si>
  <si>
    <t>Q222</t>
  </si>
  <si>
    <t>Debt</t>
  </si>
  <si>
    <t>AMD</t>
  </si>
  <si>
    <t>Eylea</t>
  </si>
  <si>
    <t>Cash</t>
  </si>
  <si>
    <t>Dupixent (dupilumab)</t>
  </si>
  <si>
    <t>MC</t>
  </si>
  <si>
    <t>Colorectal cancer</t>
  </si>
  <si>
    <t>Zaltrap</t>
  </si>
  <si>
    <t>Shares</t>
  </si>
  <si>
    <t>IL-1</t>
  </si>
  <si>
    <t>CAPS</t>
  </si>
  <si>
    <t>Arcalyst (rilonacept)</t>
  </si>
  <si>
    <t>Price</t>
  </si>
  <si>
    <t>IP</t>
  </si>
  <si>
    <t>Mechanism</t>
  </si>
  <si>
    <t>Economics</t>
  </si>
  <si>
    <t>Competition</t>
  </si>
  <si>
    <t>Approved</t>
  </si>
  <si>
    <t>Indication</t>
  </si>
  <si>
    <t>Name</t>
  </si>
  <si>
    <t>sBLA expected to be filed in 2011.</t>
  </si>
  <si>
    <t>Would be used when patients start on urate inhibitors, but just be used short term.  REGN estimates ~750K/year in US.</t>
  </si>
  <si>
    <t>Drug appears to reduce gout flares, which occur even with urate inhibitors.</t>
  </si>
  <si>
    <t># gout flares</t>
  </si>
  <si>
    <t>160 mg Artcalyst</t>
  </si>
  <si>
    <t>80 mg Arcalyst</t>
  </si>
  <si>
    <t>PBO</t>
  </si>
  <si>
    <t>16 week study, Arcalyst dosed SC.</t>
  </si>
  <si>
    <t>Phase 3 gout study (n = 248)</t>
  </si>
  <si>
    <t>The senior investigators in this study are Raphaela Goldbach-Mansky, M.D., Staff Clinician with NIAMS, and Daniel Kastner, M.D., Ph.D., Chief, Genetics and Genomics Branch with NIAMS</t>
  </si>
  <si>
    <t xml:space="preserve">the study was conducted with the National Institute of Arthriits and Musculoskeletal and Skin Diseases </t>
  </si>
  <si>
    <t xml:space="preserve">this includes a sizable reduction in daily patient diary scores and acute phase reactant levels </t>
  </si>
  <si>
    <t>all 4 patients enrolled to date experienced a positive response to a subcutaneous loading dose regimen</t>
  </si>
  <si>
    <t>(a family of autoinflammitory diseases)</t>
  </si>
  <si>
    <t xml:space="preserve">preliminary results from once weekly dosing of interleukin-1 trap in patients with cias1 associated periodic syndrome (caps) </t>
  </si>
  <si>
    <t>6/10/2005 - Phase II results</t>
  </si>
  <si>
    <t>Clinical Trials</t>
  </si>
  <si>
    <t>Once attached to the trap, IL1 cannot bind to the cell surface and is flushed from the body together with the trap</t>
  </si>
  <si>
    <t>The Il 1 trap is designed to attach to and neutralize IL1 in the bloodstream before it can generate signals that can trigger disease activity</t>
  </si>
  <si>
    <t>In excess it is harmful and has been linked to a variety of inflammitory diseases</t>
  </si>
  <si>
    <t>acts as a messenger to help regulate immune and inflammitory responses by attaching to cell surface receptors in cells that participate in the immune system</t>
  </si>
  <si>
    <t>IL1 is a Protein secreted naturally by the body</t>
  </si>
  <si>
    <t>IL-1 receptor.</t>
  </si>
  <si>
    <t>1000 patients WW</t>
  </si>
  <si>
    <t>Gout and CAPS (CIAS1-associated periodic syndrome, Cryopyrin-Associated Periodic Syndromes).</t>
  </si>
  <si>
    <t>rilonacept</t>
  </si>
  <si>
    <t>Generic Name</t>
  </si>
  <si>
    <t>Arcalyst, fka IL-1 TRAP</t>
  </si>
  <si>
    <t>Brand Name</t>
  </si>
  <si>
    <t>Main</t>
  </si>
  <si>
    <t>additional patients are now being tested at the 4mg level</t>
  </si>
  <si>
    <t>maximum tolerated dose has not yet been reached, and no evidence of ocular inflamation</t>
  </si>
  <si>
    <t>patients received a single dose of VEGF trap at levels up to 2mg intravitreally</t>
  </si>
  <si>
    <t>patients demonstrated rapid, substantial and prolonged (up to 6 week) reductions in retinal thickness as measured by optical coherene topography. Lucentis only stabilizes retinal lesions.</t>
  </si>
  <si>
    <t xml:space="preserve">18 patients with the neovascular form of wet amd </t>
  </si>
  <si>
    <t xml:space="preserve">  This compares favorably with 0.5 letter and 2.0 letter improvement at 52 weeks for 0.3mg and 0.5mg of Lucentis in SAILOR.</t>
  </si>
  <si>
    <t>5.4 letter improvement and 9.0 letter improvement at 52 weeks at 0.5mg and 2.0mg.</t>
  </si>
  <si>
    <t>5.9 letter improvement.</t>
  </si>
  <si>
    <t>Phase II in AMD - March 2007</t>
  </si>
  <si>
    <t>97% did not require additional dose at week 16.</t>
  </si>
  <si>
    <t>Phase II in AMD - monthly dosing for 12 weeks - ARVO 2008 32-week update</t>
  </si>
  <si>
    <r>
      <t xml:space="preserve">An editorial by Rosenfeld in </t>
    </r>
    <r>
      <rPr>
        <i/>
        <sz val="10"/>
        <rFont val="Arial"/>
        <family val="2"/>
      </rPr>
      <t>NEJM</t>
    </r>
    <r>
      <rPr>
        <sz val="10"/>
        <rFont val="Arial"/>
        <family val="2"/>
      </rPr>
      <t xml:space="preserve"> (</t>
    </r>
    <r>
      <rPr>
        <b/>
        <sz val="10"/>
        <rFont val="Arial"/>
        <family val="2"/>
      </rPr>
      <t>2011</t>
    </r>
    <r>
      <rPr>
        <sz val="10"/>
        <rFont val="Arial"/>
        <family val="2"/>
      </rPr>
      <t xml:space="preserve">, </t>
    </r>
    <r>
      <rPr>
        <i/>
        <sz val="10"/>
        <rFont val="Arial"/>
        <family val="2"/>
      </rPr>
      <t>364</t>
    </r>
    <r>
      <rPr>
        <sz val="10"/>
        <rFont val="Arial"/>
        <family val="2"/>
      </rPr>
      <t>, 1966) suggested that even in the absence of long term safety data there is no reason not to use Avastin, and challenges that healthcare rpvodiers will need to justify uise of the more expensive Lucentis.</t>
    </r>
  </si>
  <si>
    <t>Average # of injections/ year is &lt;7.</t>
  </si>
  <si>
    <t>Given as needed, Lucentis afforded improvement of 6.8 letters, compared to 5.9 for Avastin (p = 0.45).</t>
  </si>
  <si>
    <t>Dosing as needed was equivalent to monthly dosing for both.</t>
  </si>
  <si>
    <t>No stat sig differecnes in AEs</t>
  </si>
  <si>
    <t>Monthly, 2 were equivalent in visual acquity.</t>
  </si>
  <si>
    <t>Dosing was monthly or as needed, primary endpoint was change in visual acquity at 1 year.</t>
  </si>
  <si>
    <t>n = 1208, single blind, non-inferiority study</t>
  </si>
  <si>
    <r>
      <rPr>
        <i/>
        <sz val="10"/>
        <rFont val="Arial"/>
        <family val="2"/>
      </rPr>
      <t>Martin</t>
    </r>
    <r>
      <rPr>
        <sz val="10"/>
        <rFont val="Arial"/>
        <family val="2"/>
      </rPr>
      <t xml:space="preserve"> et al.</t>
    </r>
    <r>
      <rPr>
        <i/>
        <sz val="10"/>
        <rFont val="Arial"/>
        <family val="2"/>
      </rPr>
      <t>, NEJM</t>
    </r>
    <r>
      <rPr>
        <sz val="10"/>
        <rFont val="Arial"/>
        <family val="2"/>
      </rPr>
      <t xml:space="preserve">, </t>
    </r>
    <r>
      <rPr>
        <b/>
        <sz val="10"/>
        <rFont val="Arial"/>
        <family val="2"/>
      </rPr>
      <t>2011</t>
    </r>
    <r>
      <rPr>
        <sz val="10"/>
        <rFont val="Arial"/>
        <family val="2"/>
      </rPr>
      <t xml:space="preserve">, </t>
    </r>
    <r>
      <rPr>
        <i/>
        <sz val="10"/>
        <rFont val="Arial"/>
        <family val="2"/>
      </rPr>
      <t>364</t>
    </r>
    <r>
      <rPr>
        <sz val="10"/>
        <rFont val="Arial"/>
        <family val="2"/>
      </rPr>
      <t>, 1897.</t>
    </r>
  </si>
  <si>
    <t>CATT study, Lucentis comparison with Avastin</t>
  </si>
  <si>
    <t>Aug 2011, PDUFA date extended to Nov. 18, 2011, based on responses to questions on CMC section tha FDA considered major amendements.</t>
  </si>
  <si>
    <t>June 2011, Ad Panel voted unanimously (10 to 0) to approve Eylea for wet AMD at the 2 mg/q8 week dose, following 3 initial doses given q4 weeks.</t>
  </si>
  <si>
    <t>Filed BLA Feb 2011, and receive priority review.  PDUFA date of Aug. 28, 2011.</t>
  </si>
  <si>
    <t>FDA action</t>
  </si>
  <si>
    <r>
      <t xml:space="preserve">% gaining </t>
    </r>
    <r>
      <rPr>
        <u/>
        <sz val="10"/>
        <rFont val="Arial"/>
        <family val="2"/>
      </rPr>
      <t>&gt;</t>
    </r>
    <r>
      <rPr>
        <sz val="10"/>
        <rFont val="Arial"/>
        <family val="2"/>
      </rPr>
      <t>15 letters</t>
    </r>
  </si>
  <si>
    <t>* p = NS vs luc</t>
  </si>
  <si>
    <t>8.9*</t>
  </si>
  <si>
    <t>9.7*</t>
  </si>
  <si>
    <t>7.6*</t>
  </si>
  <si>
    <t>Change vis acquity 1 yr</t>
  </si>
  <si>
    <t>Vision maint at 1 yr</t>
  </si>
  <si>
    <t>ETDRS BCVA</t>
  </si>
  <si>
    <t>Female</t>
  </si>
  <si>
    <t>2mg/q8wk Eyl</t>
  </si>
  <si>
    <t>Age</t>
  </si>
  <si>
    <t>0.5mg/q4wk Eyl</t>
  </si>
  <si>
    <t>n</t>
  </si>
  <si>
    <t>2mg/q4wk Eyl</t>
  </si>
  <si>
    <t>Luc</t>
  </si>
  <si>
    <t xml:space="preserve">Luc: </t>
  </si>
  <si>
    <t>% completing 52 weeks</t>
  </si>
  <si>
    <t>Secondary endpoint was mean change in BCVA.</t>
  </si>
  <si>
    <t>Primary endpoint was vision maintenance at 1 year, measured by letters readable.</t>
  </si>
  <si>
    <t>4 groups.  Eylea 2 mg/q4 weeks, 0.5 mg/q4 weeks, 2 mg/8 weeks, Lucentis 0.5 mg/q4 weeks.</t>
  </si>
  <si>
    <t>n = 1240, double blinded, radomized, Lucentis control</t>
  </si>
  <si>
    <t xml:space="preserve">Phase 3 - VIEW-2 </t>
  </si>
  <si>
    <t>7.9*</t>
  </si>
  <si>
    <t>6.9*</t>
  </si>
  <si>
    <t>Female %</t>
  </si>
  <si>
    <t>n = 1217, double blinded, radomized, Lucentis control</t>
  </si>
  <si>
    <t xml:space="preserve">Phase 3 - VIEW-1 </t>
  </si>
  <si>
    <t>Administration</t>
  </si>
  <si>
    <t>Bayer 50/50 outside US, all Regeneron in the US.</t>
  </si>
  <si>
    <t>VEGF A/B trap.  Intraocular half life estimated to be 65% longer than Lucentis, but on par with Avastin.</t>
  </si>
  <si>
    <t xml:space="preserve">aflibercept </t>
  </si>
  <si>
    <t>Did not improve OS</t>
  </si>
  <si>
    <t>n = 913, in combination with Docetaxel</t>
  </si>
  <si>
    <t>Phase 3, 2nd line NSCLC</t>
  </si>
  <si>
    <t>Not clear why this drug would garner much market share</t>
  </si>
  <si>
    <t>Expect BLA filing by end of year.</t>
  </si>
  <si>
    <t>Median OS (mths)</t>
  </si>
  <si>
    <t>Median PFS (mths)</t>
  </si>
  <si>
    <t>ORR</t>
  </si>
  <si>
    <t>ZAL + FOL</t>
  </si>
  <si>
    <t>FOLFIRI</t>
  </si>
  <si>
    <t>AV + Folfox</t>
  </si>
  <si>
    <t>FOLFOX</t>
  </si>
  <si>
    <t>Velour</t>
  </si>
  <si>
    <t>ECOG 3200</t>
  </si>
  <si>
    <t>Phase 3 Refractory metastatic colorectal cancer (VELOUR)'</t>
  </si>
  <si>
    <t>IV</t>
  </si>
  <si>
    <t>50/50 with SNY</t>
  </si>
  <si>
    <t xml:space="preserve">VEGF A/B trap. </t>
  </si>
  <si>
    <t>Abstract: Background: Vascular endothelial growth factor (VEGF) is an important target in MCRC. Aflibercept (VEGF Trap) is a recombinant fusion protein of the human VEGFR1 and R2 extracellular domains and the Fc portion of human IgG1. Methods: This is an open-label, multi-centre, 2-stage phase II trial in pts with MCRC. Eligibility criteria: &gt;1 prior systemic therapy for MCRC, ECOG &lt; 2. Exclusion criteria: prior treatment with a VEGF or VEGFR inhibitor other than bevacizumab (BEV). IV VEGF Trap (4 mg/kg) was administered every 2 weeks (1 cycle). The primary endpoint was RR and 4-month PFS. Pts were enrolled in two cohorts: BEV naïve and prior BEV. Planned sample size in each cohort was 40 pts. Results: In total, 51 pts were enrolled (BEV naive = 24 pts; prior BEV = 27; median age=59, range 39-80; M:F = 30:21; ECOG 0:1:2 = 21:27:3; median # prior regimens for MCRC = 2, range 1-6). After 287 cycles of therapy, most common treatment adverse events (TAEs) of any grade were (#pts): fatigue (40), hypertension (28), proteinuria (25), headache (22), voice alteration (16), anorexia (12), and joint pain (9). Grade 3+ TAEs in &gt; 1 pt were (#pts): hypertension (4), proteinuria (4), fatigue (3), headache (3). One pt died on treatment due to PD. In the BEV naïve cohort (n=24), 4 pts were inevaluable: 7 pts maintained 4-mo PFS, disease control rate (PR + SD &gt; 16 wks) = 29% [95% CI 13-51%], and median PFS was 2.0 mo [95% CI 1.7- not reached(NR)]. In the prior BEV cohort (n=27), 1 pt was inevaluable. There was 1 confirmed PR and 7 pts maintained 4-mo PFS, disease control rate 30% [95% CI 14-50%], and median PFS was 3.4 mo [95% CI 1.9-NR]. Conclusions: Aflibercept (VEGF Trap) is well tolerated in pretreated pts with MCRC. Single agent activity has been observed in the prior BEV cohort, and accrual is ongoing in this stratum. Based on the study results, studies of aflibercept as single agent or in combination should be explored.</t>
  </si>
  <si>
    <t xml:space="preserve">Phase II trial of aflibercept (VEGF Trap) in previously treated patients with metastatic colorectal cancer (MCRC): A PMH phase II consortium trial. </t>
  </si>
  <si>
    <t>n=215 failed to demonstrate &gt;5% RR with ORR of 4.6% to 0.9%.</t>
  </si>
  <si>
    <t>Phase II mOC - Failed</t>
  </si>
  <si>
    <t xml:space="preserve">32% RR update? </t>
  </si>
  <si>
    <t>30% RR, 3% 6-month PFS vs 43% with Avastin. Lower PFS was a function of patient advancement.</t>
  </si>
  <si>
    <t>Phase II GBM - AAN 2008, ASCO 2008</t>
  </si>
  <si>
    <t>Final data expected in 1H09 and may support approval - Birchenough.</t>
  </si>
  <si>
    <t>77.5% response rate, 80% rate of doubling in time to paracentesis in symptomatic malignant ascites.</t>
  </si>
  <si>
    <t>Phase II malignant ascites</t>
  </si>
  <si>
    <t>Phase III mPC n=650 "VANILLA"? - terminated</t>
  </si>
  <si>
    <t>Phase III mCRC 2L n=1200 - IFL combination - 2010 data? "VELOUR"?</t>
  </si>
  <si>
    <t>Phase III mNSCLC 2L n=900 - Taxotere combination - 2010 data? "VITAL"?</t>
  </si>
  <si>
    <t>Phase III HRPC n=1200 - Taxotere combination - 2009 data? "VENICE"?</t>
  </si>
  <si>
    <t>WW collaboration with SNY who pays 100% of expenses. REGN repays 50% of dev costs paid by SNY out of VEGF trap profits.</t>
  </si>
  <si>
    <t>VEGF and PLGF binder.</t>
  </si>
  <si>
    <t>Cancer</t>
  </si>
  <si>
    <t>afilbercept</t>
  </si>
  <si>
    <t>ZALTRAP</t>
  </si>
  <si>
    <t>at highest dose tested (at the time), in 11 pts, a single dose achieved ~40% max mean add'l reduction of LDL fr baseline</t>
  </si>
  <si>
    <t>dose-escalating, randomized, double-blind, on pts on stalbe doses of statins whose LDL levels were &gt;100 mg/dL</t>
  </si>
  <si>
    <t>Phase 1 in hyperlipidemic pts (familial &amp; non-familial hypercholesterolemia) -- July 2010 interim analyses</t>
  </si>
  <si>
    <t>at highest SC dose, single dose achieved &gt;60% mas mean reduction of LDL fr baseline that lasted for &gt;2 wks</t>
  </si>
  <si>
    <t>at highest IV dose, single dose achieved &gt;60% max mean reduction of LDL fr baseline that lasted for &gt;1 mo</t>
  </si>
  <si>
    <t>July 2010 further data presented</t>
  </si>
  <si>
    <t>dose-escalating, randomized, double-blind, each dosing cohort consisted of 6 tx and 2 placebo pts</t>
  </si>
  <si>
    <t>Phase 1 in healthy volunteers -- May 2010 announced interim analyses of Ph1 healthy volunteer study</t>
  </si>
  <si>
    <t>Phase 2 in hypercholesterolemia pts in combo w statin tx -- started in early 2011</t>
  </si>
  <si>
    <t>IV, SC</t>
  </si>
  <si>
    <t>statins</t>
  </si>
  <si>
    <t>reduce LDL</t>
  </si>
  <si>
    <t>fully human monoclonal antibody against PCSK9 antibody (proprotein convertase subtilisin/kexin type 9)</t>
  </si>
  <si>
    <t>REGN727</t>
  </si>
  <si>
    <t>dose-related reductions in biomarkers of inflammation</t>
  </si>
  <si>
    <t>Phase 1 data from EULAR 2010 and ACR 2010</t>
  </si>
  <si>
    <t>Actemra (IL-6R antibody tocilizumab fr DNA), TNFs, etc</t>
  </si>
  <si>
    <t>RA, ankylosing spondylitis</t>
  </si>
  <si>
    <t>fully human monoclonal antibody against IL-R6</t>
  </si>
  <si>
    <t>REGN88</t>
  </si>
  <si>
    <t>Phase 1 in asthma</t>
  </si>
  <si>
    <t>Phase 2 in eosinophilic asthma</t>
  </si>
  <si>
    <t>Dupixent, fka REGN668</t>
  </si>
  <si>
    <t>dupilumab</t>
  </si>
  <si>
    <t>Q120</t>
  </si>
  <si>
    <t>Q220</t>
  </si>
  <si>
    <t>Q320</t>
  </si>
  <si>
    <t>Q420</t>
  </si>
  <si>
    <t>Q121</t>
  </si>
  <si>
    <t>Q221</t>
  </si>
  <si>
    <t>Q321</t>
  </si>
  <si>
    <t>Q421</t>
  </si>
  <si>
    <t>Q122</t>
  </si>
  <si>
    <t>Q322</t>
  </si>
  <si>
    <t>Q422</t>
  </si>
  <si>
    <t>Libtayo</t>
  </si>
  <si>
    <t>Praluent</t>
  </si>
  <si>
    <t>Evkeeza</t>
  </si>
  <si>
    <t>Bayer</t>
  </si>
  <si>
    <t>Roche</t>
  </si>
  <si>
    <t>Other</t>
  </si>
  <si>
    <t>Revenue</t>
  </si>
  <si>
    <t>COGS</t>
  </si>
  <si>
    <t>Gross Margin</t>
  </si>
  <si>
    <t>R&amp;D</t>
  </si>
  <si>
    <t>SG&amp;A</t>
  </si>
  <si>
    <t>OpEx</t>
  </si>
  <si>
    <t>OpInc</t>
  </si>
  <si>
    <t>Interest Expense</t>
  </si>
  <si>
    <t>Pretax Income</t>
  </si>
  <si>
    <t>Taxes</t>
  </si>
  <si>
    <t>Net Income</t>
  </si>
  <si>
    <t>EPS</t>
  </si>
  <si>
    <t xml:space="preserve">  P&amp;L Share</t>
  </si>
  <si>
    <t xml:space="preserve">  Reimbursement</t>
  </si>
  <si>
    <t xml:space="preserve">  Other</t>
  </si>
  <si>
    <t xml:space="preserve">  Dupixent</t>
  </si>
  <si>
    <t xml:space="preserve">  Praluent</t>
  </si>
  <si>
    <t xml:space="preserve">  Kevzara</t>
  </si>
  <si>
    <t>Arcalyst</t>
  </si>
  <si>
    <t>mCRC</t>
  </si>
  <si>
    <t>SNY</t>
  </si>
  <si>
    <t>IL-4</t>
  </si>
  <si>
    <t>Asthma, AD</t>
  </si>
  <si>
    <t>Libtayo (cemiplimab)</t>
  </si>
  <si>
    <t>PD-1</t>
  </si>
  <si>
    <t>VEGF</t>
  </si>
  <si>
    <t>pozelimab</t>
  </si>
  <si>
    <t>Revenue y/y</t>
  </si>
  <si>
    <t>Sanofi y/y</t>
  </si>
  <si>
    <t>Dupixent y/y</t>
  </si>
  <si>
    <t>Q123</t>
  </si>
  <si>
    <t>Q223</t>
  </si>
  <si>
    <t>Q323</t>
  </si>
  <si>
    <t>Q423</t>
  </si>
  <si>
    <t>Inmazeb/REGEN-COV</t>
  </si>
  <si>
    <t>Eylea y/y</t>
  </si>
  <si>
    <t>Q119</t>
  </si>
  <si>
    <t>Q219</t>
  </si>
  <si>
    <t>Q319</t>
  </si>
  <si>
    <t>Q419</t>
  </si>
  <si>
    <t>Praluent (alirocumab)</t>
  </si>
  <si>
    <t>Hypercholesterolemia</t>
  </si>
  <si>
    <t>PCSK9</t>
  </si>
  <si>
    <t>Kevzara (sarilumab)</t>
  </si>
  <si>
    <t>IL-6R</t>
  </si>
  <si>
    <t>BAY</t>
  </si>
  <si>
    <t>NSCLC</t>
  </si>
  <si>
    <t>Kevzara</t>
  </si>
  <si>
    <t>CHAPLE</t>
  </si>
  <si>
    <t>C5</t>
  </si>
  <si>
    <t>Filed</t>
  </si>
  <si>
    <t>fianlimab</t>
  </si>
  <si>
    <t>odronextamab</t>
  </si>
  <si>
    <t>CD20xCD3</t>
  </si>
  <si>
    <t>III</t>
  </si>
  <si>
    <t>DLBCL</t>
  </si>
  <si>
    <t>linvoseltamab</t>
  </si>
  <si>
    <t>BCMAxCD3</t>
  </si>
  <si>
    <t>MM</t>
  </si>
  <si>
    <t>Zaltrap (aflibercept)</t>
  </si>
  <si>
    <t>Eylea (aflibercept)</t>
  </si>
  <si>
    <t>mibavademab</t>
  </si>
  <si>
    <t>Lipodystrophy</t>
  </si>
  <si>
    <t>LEPR agonist</t>
  </si>
  <si>
    <t>garetosmab</t>
  </si>
  <si>
    <t>Activin A</t>
  </si>
  <si>
    <t>Evkeeza (evinacumab)</t>
  </si>
  <si>
    <t>ANGPTL3</t>
  </si>
  <si>
    <t>REGN7508</t>
  </si>
  <si>
    <t>Thrombosis</t>
  </si>
  <si>
    <t>Factor XI</t>
  </si>
  <si>
    <t>REGN7999</t>
  </si>
  <si>
    <t>Iron Overload</t>
  </si>
  <si>
    <t>TMPRSS6</t>
  </si>
  <si>
    <t>NTLA</t>
  </si>
  <si>
    <t>CRISPR</t>
  </si>
  <si>
    <t>ATTR</t>
  </si>
  <si>
    <t>REGN7257</t>
  </si>
  <si>
    <t>Aplastic Anemia</t>
  </si>
  <si>
    <t>IL-2Rgamma</t>
  </si>
  <si>
    <t>REGN7075</t>
  </si>
  <si>
    <t>EGFR/CD28</t>
  </si>
  <si>
    <t>REGN6569</t>
  </si>
  <si>
    <t>GITR</t>
  </si>
  <si>
    <t>REGN5093</t>
  </si>
  <si>
    <t>MET</t>
  </si>
  <si>
    <t>REGN4336</t>
  </si>
  <si>
    <t>Prostate Cancer</t>
  </si>
  <si>
    <t>PSMAxCD3</t>
  </si>
  <si>
    <t>AR</t>
  </si>
  <si>
    <t>Inventories</t>
  </si>
  <si>
    <t>Prepaids</t>
  </si>
  <si>
    <t>PP&amp;E</t>
  </si>
  <si>
    <t>Goodwill</t>
  </si>
  <si>
    <t>ONCA</t>
  </si>
  <si>
    <t>Assets</t>
  </si>
  <si>
    <t>AP</t>
  </si>
  <si>
    <t>AE</t>
  </si>
  <si>
    <t>DR</t>
  </si>
  <si>
    <t>Leases</t>
  </si>
  <si>
    <t>L+SE</t>
  </si>
  <si>
    <t>SE</t>
  </si>
  <si>
    <t>ONCL</t>
  </si>
  <si>
    <t>CFO: Chris Fenimore</t>
  </si>
  <si>
    <t>Eylea HD</t>
  </si>
  <si>
    <t>Q124</t>
  </si>
  <si>
    <t>Q224</t>
  </si>
  <si>
    <t>Q324</t>
  </si>
  <si>
    <t>Q424</t>
  </si>
  <si>
    <t>Q125</t>
  </si>
  <si>
    <t>Q225</t>
  </si>
  <si>
    <t>Q325</t>
  </si>
  <si>
    <t>Q425</t>
  </si>
  <si>
    <t>Q118</t>
  </si>
  <si>
    <t>Q218</t>
  </si>
  <si>
    <t>Q318</t>
  </si>
  <si>
    <t>Q418</t>
  </si>
  <si>
    <t>Q117</t>
  </si>
  <si>
    <t>Q217</t>
  </si>
  <si>
    <t>Q317</t>
  </si>
  <si>
    <t>Q417</t>
  </si>
  <si>
    <t>Q116</t>
  </si>
  <si>
    <t>Q216</t>
  </si>
  <si>
    <t>Q316</t>
  </si>
  <si>
    <t>Q416</t>
  </si>
  <si>
    <t>Q115</t>
  </si>
  <si>
    <t>Q215</t>
  </si>
  <si>
    <t>Q315</t>
  </si>
  <si>
    <t>Q415</t>
  </si>
  <si>
    <t>Q114</t>
  </si>
  <si>
    <t>Q214</t>
  </si>
  <si>
    <t>Q314</t>
  </si>
  <si>
    <t>Q414</t>
  </si>
  <si>
    <t>Q113</t>
  </si>
  <si>
    <t>Q213</t>
  </si>
  <si>
    <t>Q313</t>
  </si>
  <si>
    <t>Q413</t>
  </si>
  <si>
    <t>Q112</t>
  </si>
  <si>
    <t>Q212</t>
  </si>
  <si>
    <t>Q312</t>
  </si>
  <si>
    <t>Q412</t>
  </si>
  <si>
    <t>Q111</t>
  </si>
  <si>
    <t>Q211</t>
  </si>
  <si>
    <t>Q311</t>
  </si>
  <si>
    <t>Q411</t>
  </si>
  <si>
    <t>Founded: 1988</t>
  </si>
  <si>
    <t>IPO: 1991</t>
  </si>
  <si>
    <t>Eylea ROW</t>
  </si>
  <si>
    <t>2,689</t>
  </si>
  <si>
    <t>2,897</t>
  </si>
  <si>
    <t>Maturity</t>
  </si>
  <si>
    <t>Discount</t>
  </si>
  <si>
    <t>NPV</t>
  </si>
  <si>
    <t>CEO: Len Schleifer</t>
  </si>
  <si>
    <t>Eylea, Eylea HD</t>
  </si>
  <si>
    <t>Phase III "QUASAR" - Eylea HD in macular edema following RVO</t>
  </si>
  <si>
    <t>monthly dosing followed by q8w were non-inferior to monthly Eylea</t>
  </si>
  <si>
    <t>sBLA Q125, prefilled syringe PDUFA mid-2025</t>
  </si>
  <si>
    <t>Regulatory</t>
  </si>
  <si>
    <t>BLA 125387 approved 11/18/2011</t>
  </si>
  <si>
    <t>intravitreal 4mg, HD 8mg</t>
  </si>
  <si>
    <t>BLA 761355 approved 8/18/2023</t>
  </si>
  <si>
    <t>BLA 761055 approved 3/28/2017</t>
  </si>
  <si>
    <t xml:space="preserve">Brand </t>
  </si>
  <si>
    <t>Generic</t>
  </si>
  <si>
    <t>cemiplimab</t>
  </si>
  <si>
    <t>cSCC</t>
  </si>
  <si>
    <t>BLA 761097 approved 9/28/2018</t>
  </si>
  <si>
    <t>Eylea family y/y</t>
  </si>
  <si>
    <t xml:space="preserve">  Zaltrap</t>
  </si>
  <si>
    <t>Stock Price</t>
  </si>
  <si>
    <t xml:space="preserve">  y/y</t>
  </si>
  <si>
    <t>Libtayo y/y</t>
  </si>
  <si>
    <t>Melanoma</t>
  </si>
  <si>
    <t>LAG3</t>
  </si>
  <si>
    <t>ALN-CIDEB</t>
  </si>
  <si>
    <t>NASH</t>
  </si>
  <si>
    <t>I</t>
  </si>
  <si>
    <t>ALNY</t>
  </si>
  <si>
    <t>REGN7544</t>
  </si>
  <si>
    <t>II</t>
  </si>
  <si>
    <t>Phase III lichen simplex chronicus</t>
  </si>
  <si>
    <t>bullous pemphigoid</t>
  </si>
  <si>
    <t xml:space="preserve">EC approves childhood EoE </t>
  </si>
  <si>
    <t>Net Cash</t>
  </si>
  <si>
    <t>sBLA for CSU resubmitted, 4/18/25 PDUFA</t>
  </si>
  <si>
    <t>atopic dermatitis, asthma, eosinophilic esophagitis (EoE), CSU, bullous pemphigoid</t>
  </si>
  <si>
    <t>Phase III adjuvant CSCC</t>
  </si>
  <si>
    <t>DFS improvement</t>
  </si>
  <si>
    <t>Phase III intralesional early-stage CSCC</t>
  </si>
  <si>
    <t>Lucentis, Avastin</t>
  </si>
  <si>
    <t>Brand</t>
  </si>
  <si>
    <t>R/R Multiple Myeloma</t>
  </si>
  <si>
    <t>Tecvayli, Elrexfio already approved</t>
  </si>
  <si>
    <t>Phase II "LINKER-MM1" n=252 MM - NCT03761108</t>
  </si>
  <si>
    <t>64% ORR</t>
  </si>
  <si>
    <t>MOA</t>
  </si>
  <si>
    <t>R/R FL</t>
  </si>
  <si>
    <t>Epkinly (epcoritamab, ABBV/GMAB), Columvi (glofitamab, Roche) 52-63% ORR, 39% CR</t>
  </si>
  <si>
    <t>Lunsumio (mosunetuzumab), imvotamab (IGM-2323)</t>
  </si>
  <si>
    <t>REGN9933</t>
  </si>
  <si>
    <t>Factor XI catalytic domain antibody</t>
  </si>
  <si>
    <t>Designed to maximize anticoagulant activity while minimizing bleeding risk</t>
  </si>
  <si>
    <t>Phase II</t>
  </si>
  <si>
    <t>robust antithrombotic effect, no clinically relevant bleeding</t>
  </si>
  <si>
    <t>Factor XI  A2 domain antibody</t>
  </si>
  <si>
    <t>For patients with highest bleeding risk</t>
  </si>
  <si>
    <t>C5 antibody</t>
  </si>
  <si>
    <t>combination with cemdisiran vs. ravulizumab - 66th ASH</t>
  </si>
  <si>
    <t>better disease control vs. ravulizumab</t>
  </si>
  <si>
    <t>Phase I with dupilumab in severe food allergy</t>
  </si>
  <si>
    <t>Phase 2/3 in RA</t>
  </si>
  <si>
    <t>Phase 2 in ankylosing spondylitis</t>
  </si>
  <si>
    <t>EC approved polymyalgia rheumatica and pJIA</t>
  </si>
  <si>
    <t>generalized lipodystrophy</t>
  </si>
  <si>
    <t>Phase III initiated</t>
  </si>
  <si>
    <t>agonist antibody to leptin receptor</t>
  </si>
  <si>
    <t>trevogrumab</t>
  </si>
  <si>
    <t>myostatin</t>
  </si>
  <si>
    <t>FOP/obesity</t>
  </si>
  <si>
    <t>obesity</t>
  </si>
  <si>
    <t>itepekimab</t>
  </si>
  <si>
    <t>IL-33</t>
  </si>
  <si>
    <t>CRSsNP</t>
  </si>
  <si>
    <t>Phase II with semaglutide and +- garetosmab</t>
  </si>
  <si>
    <t>Phase II CRS without NP</t>
  </si>
  <si>
    <t>data 2H25</t>
  </si>
  <si>
    <t>CRSsNP, COPD</t>
  </si>
  <si>
    <t>data 2H25, BLA 2H25</t>
  </si>
  <si>
    <t>more Phase III studies to be initiated 1H25</t>
  </si>
  <si>
    <t>resubmitted BLA 1/2025, decision 2H25</t>
  </si>
  <si>
    <t>Veopoz (pozelimab)</t>
  </si>
  <si>
    <t>BLA 761339 approved 8/18/2023</t>
  </si>
  <si>
    <t>CHAPLE, PNH</t>
  </si>
  <si>
    <t>Ordspono (odronextamab)</t>
  </si>
  <si>
    <t>REGN5713-5715, , REGN1908-1909, mibavademab</t>
  </si>
  <si>
    <t>resubmitted BLA 1/2025, FDA decision mid-2025</t>
  </si>
  <si>
    <t>Phase III - initiate 2025</t>
  </si>
  <si>
    <t>ovarian cancer</t>
  </si>
  <si>
    <t>MUC16xCD3</t>
  </si>
  <si>
    <t>DB-OTO</t>
  </si>
  <si>
    <t>otoferlin deafness</t>
  </si>
  <si>
    <t>otoferlin AAV</t>
  </si>
  <si>
    <t>Phase III myasthenia gravis with cemdisiran</t>
  </si>
  <si>
    <t>2H25 results</t>
  </si>
  <si>
    <t>Phase II obesity with tirzepatide</t>
  </si>
  <si>
    <t>2H25 data</t>
  </si>
  <si>
    <t>Filing sBLA for Eylea HD for q4w dosing regimen in Q125, FDA decision 2H25</t>
  </si>
  <si>
    <t>Filing sBLA for Eylea HD for RVO in Q125, decision 2H25</t>
  </si>
  <si>
    <t>FDA submission for Eylea HD pre-filled syringe, decision mid-2025</t>
  </si>
  <si>
    <t>fibrodysplasia ossificans progressiva</t>
  </si>
  <si>
    <t>activin A mab</t>
  </si>
  <si>
    <t>Phase III - reports 2H25</t>
  </si>
  <si>
    <t xml:space="preserve">Phase I/II </t>
  </si>
  <si>
    <t>new data mid 2025</t>
  </si>
  <si>
    <t>sBLA two-year wAMD, DME data decision 4/20/2025</t>
  </si>
  <si>
    <t>sBLA for bullous pemphigoid submitted, FDA decision 2H25, submit in EU 1H25</t>
  </si>
  <si>
    <t>submit sBLA for adjuvant CSCC - 1H25</t>
  </si>
  <si>
    <t>Metastatic Melanoma</t>
  </si>
  <si>
    <t>LAG-3 mab</t>
  </si>
  <si>
    <t>Phase III with Libtayo vs. pembro 1L MM</t>
  </si>
  <si>
    <t>Phase II with Libtayo 1L NSCLC</t>
  </si>
  <si>
    <t>1H25 results</t>
  </si>
  <si>
    <t>IL-4R subunit antibody</t>
  </si>
  <si>
    <t>Type II receptor: IL-4Ralpha + IL-13Ralpha1</t>
  </si>
  <si>
    <t>Type I receptor: IL-4Ralpha + common gamma chain</t>
  </si>
  <si>
    <t>Model NI</t>
  </si>
  <si>
    <t>Reported NI</t>
  </si>
  <si>
    <t>SBC</t>
  </si>
  <si>
    <t>D&amp;A</t>
  </si>
  <si>
    <t>Securities</t>
  </si>
  <si>
    <t>Non-Cash</t>
  </si>
  <si>
    <t>DT</t>
  </si>
  <si>
    <t>IPR&amp;D</t>
  </si>
  <si>
    <t>WC</t>
  </si>
  <si>
    <t>CFFO</t>
  </si>
  <si>
    <t>CFFI</t>
  </si>
  <si>
    <t>Investments</t>
  </si>
  <si>
    <t>CapEx</t>
  </si>
  <si>
    <t>Acquisitions</t>
  </si>
  <si>
    <t>Issuance</t>
  </si>
  <si>
    <t>ESOP Tax</t>
  </si>
  <si>
    <t>Buyback</t>
  </si>
  <si>
    <t>CFFF</t>
  </si>
  <si>
    <t>FX</t>
  </si>
  <si>
    <t>FCF</t>
  </si>
  <si>
    <t>Lynozyfic (linvoseltamab)</t>
  </si>
  <si>
    <t>POTS, Sepsis Hypotension</t>
  </si>
  <si>
    <t>NPR1 agonist</t>
  </si>
  <si>
    <t>REGN5381</t>
  </si>
  <si>
    <t>Hypertension</t>
  </si>
  <si>
    <t>NPR1 antagonist</t>
  </si>
  <si>
    <t>2H25: COURAGE obesity results</t>
  </si>
  <si>
    <t>nexiguran ziclumeran (NTLA-2001)</t>
  </si>
  <si>
    <t>CD3 franchise</t>
  </si>
  <si>
    <t>Share</t>
  </si>
  <si>
    <t>Obesity</t>
  </si>
  <si>
    <t>Hansoh</t>
  </si>
  <si>
    <t>GLP/GIP</t>
  </si>
  <si>
    <t>SVP, Internal Medicine: Boaz Hirshberg</t>
  </si>
  <si>
    <t>CSO: George Yancopoulos</t>
  </si>
  <si>
    <t>GDF8/myostatin mab</t>
  </si>
  <si>
    <t>Ozempic</t>
  </si>
  <si>
    <t>Lean Mass</t>
  </si>
  <si>
    <t>Fat Mass</t>
  </si>
  <si>
    <t>Low-dose combo</t>
  </si>
  <si>
    <t>higher-dose</t>
  </si>
  <si>
    <t>triplet</t>
  </si>
  <si>
    <t>TEAE</t>
  </si>
  <si>
    <t>TWO DEATHS!?!?</t>
  </si>
  <si>
    <t>n=149</t>
  </si>
  <si>
    <t>26 weeks</t>
  </si>
  <si>
    <t>Phase III "AERIFY-1" COPD</t>
  </si>
  <si>
    <t>Phase III "AERIFY-2" COPD</t>
  </si>
  <si>
    <t>REGN5837</t>
  </si>
  <si>
    <t>CD22xCD28</t>
  </si>
  <si>
    <t>NHL</t>
  </si>
  <si>
    <t>CD3xBCMA</t>
  </si>
  <si>
    <t>Multiple Myeloma, Kidney Translation, LN</t>
  </si>
  <si>
    <t>REGN5459 (vonsetamig)</t>
  </si>
  <si>
    <t>REGN7945</t>
  </si>
  <si>
    <t>CD38xCD28</t>
  </si>
  <si>
    <t>REGN9533</t>
  </si>
  <si>
    <t>Factor XII</t>
  </si>
  <si>
    <t>ALN-F1202</t>
  </si>
  <si>
    <t>REGN5668</t>
  </si>
  <si>
    <t>MUC16xCD28</t>
  </si>
  <si>
    <t>I/II</t>
  </si>
  <si>
    <t>Ovarian/Uterine Cancer</t>
  </si>
  <si>
    <t>REGN4018 (ubamatamab)</t>
  </si>
  <si>
    <t>27T51</t>
  </si>
  <si>
    <t>MUC16 cell therapy</t>
  </si>
  <si>
    <t>2SeventyBio</t>
  </si>
  <si>
    <t>REGN10597</t>
  </si>
  <si>
    <t>Oncology</t>
  </si>
  <si>
    <t xml:space="preserve"> PD-1-IL2RA-IL2 Fusion Protein</t>
  </si>
  <si>
    <t>ALN-PNP</t>
  </si>
  <si>
    <t>PNPLA3</t>
  </si>
  <si>
    <t>Q126</t>
  </si>
  <si>
    <t>HS-20094 (olatorepatide)</t>
  </si>
  <si>
    <t>REGN7508 (cenvacibart)</t>
  </si>
  <si>
    <t>cemdisiran</t>
  </si>
  <si>
    <t>Myasthenia Gravis</t>
  </si>
  <si>
    <t>Otarmeni (lunsotogene parvec)</t>
  </si>
  <si>
    <t>Failed</t>
  </si>
  <si>
    <t>Q226</t>
  </si>
  <si>
    <t>Q326</t>
  </si>
  <si>
    <t>Q426</t>
  </si>
  <si>
    <t>Lynozyfic</t>
  </si>
  <si>
    <t>Q127</t>
  </si>
  <si>
    <t>Q227</t>
  </si>
  <si>
    <t>Q327</t>
  </si>
  <si>
    <t>Q427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</si>
</sst>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5" x14ac:knownFonts="1">
    <font>
      <sz val="10"/>
      <color theme="1"/>
      <name val="Arial"/>
      <family val="2"/>
    </font>
    <font>
      <b/>
      <sz val="10"/>
      <color theme="1"/>
      <name val="Arial"/>
      <family val="2"/>
    </font>
    <font>
      <sz val="10"/>
      <name val="Arial"/>
      <family val="2"/>
    </font>
    <font>
      <i/>
      <sz val="10"/>
      <name val="Arial"/>
      <family val="2"/>
    </font>
    <font>
      <u/>
      <sz val="10"/>
      <color indexed="12"/>
      <name val="Arial"/>
      <family val="2"/>
    </font>
    <font>
      <b/>
      <u/>
      <sz val="10"/>
      <name val="Arial"/>
      <family val="2"/>
    </font>
    <font>
      <sz val="8"/>
      <name val="Verdana"/>
      <family val="2"/>
    </font>
    <font>
      <b/>
      <sz val="10"/>
      <name val="Arial"/>
      <family val="2"/>
    </font>
    <font>
      <u/>
      <sz val="10"/>
      <name val="Arial"/>
      <family val="2"/>
    </font>
    <font>
      <sz val="8"/>
      <name val="Arial"/>
      <family val="2"/>
    </font>
    <font>
      <b/>
      <u/>
      <sz val="10"/>
      <color theme="1"/>
      <name val="Arial"/>
      <family val="2"/>
    </font>
    <font>
      <sz val="9"/>
      <color indexed="81"/>
      <name val="Tahoma"/>
      <family val="2"/>
    </font>
    <font>
      <b/>
      <sz val="9"/>
      <color indexed="81"/>
      <name val="Tahoma"/>
      <family val="2"/>
    </font>
    <font>
      <b/>
      <u/>
      <sz val="10"/>
      <color indexed="12"/>
      <name val="Arial"/>
      <family val="2"/>
    </font>
    <font>
      <b/>
      <sz val="10"/>
      <color rgb="FFFF0000"/>
      <name val="Arial"/>
      <family val="2"/>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12">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3">
    <xf numFmtId="0" fontId="0" fillId="0" borderId="0"/>
    <xf numFmtId="0" fontId="4" fillId="0" borderId="0" applyNumberFormat="0" applyFill="0" applyBorder="0" applyAlignment="0" applyProtection="0">
      <alignment vertical="top"/>
      <protection locked="0"/>
    </xf>
    <xf numFmtId="0" fontId="2" fillId="0" borderId="0"/>
  </cellStyleXfs>
  <cellXfs count="74">
    <xf numFmtId="0" fontId="0" fillId="0" borderId="0" xfId="0"/>
    <xf numFmtId="3" fontId="0" fillId="0" borderId="0" xfId="0" applyNumberFormat="1"/>
    <xf numFmtId="0" fontId="2" fillId="2" borderId="0" xfId="2" applyFill="1"/>
    <xf numFmtId="3" fontId="2" fillId="2" borderId="0" xfId="2" applyNumberFormat="1" applyFill="1"/>
    <xf numFmtId="0" fontId="2" fillId="2" borderId="0" xfId="2" applyFill="1" applyAlignment="1">
      <alignment horizontal="right"/>
    </xf>
    <xf numFmtId="0" fontId="5" fillId="2" borderId="0" xfId="2" applyFont="1" applyFill="1"/>
    <xf numFmtId="0" fontId="6" fillId="2" borderId="0" xfId="2" applyFont="1" applyFill="1"/>
    <xf numFmtId="14" fontId="5" fillId="2" borderId="0" xfId="2" applyNumberFormat="1" applyFont="1" applyFill="1"/>
    <xf numFmtId="0" fontId="4" fillId="2" borderId="0" xfId="1" applyFill="1" applyAlignment="1" applyProtection="1"/>
    <xf numFmtId="0" fontId="2" fillId="0" borderId="0" xfId="2"/>
    <xf numFmtId="0" fontId="5" fillId="0" borderId="0" xfId="2" applyFont="1"/>
    <xf numFmtId="164" fontId="2" fillId="0" borderId="0" xfId="2" applyNumberFormat="1"/>
    <xf numFmtId="0" fontId="9" fillId="2" borderId="0" xfId="2" applyFont="1" applyFill="1"/>
    <xf numFmtId="0" fontId="4" fillId="0" borderId="0" xfId="1" applyAlignment="1" applyProtection="1"/>
    <xf numFmtId="0" fontId="0" fillId="0" borderId="0" xfId="0" applyAlignment="1">
      <alignment horizontal="right"/>
    </xf>
    <xf numFmtId="3" fontId="0" fillId="0" borderId="0" xfId="0" applyNumberFormat="1" applyAlignment="1">
      <alignment horizontal="right"/>
    </xf>
    <xf numFmtId="3" fontId="1" fillId="0" borderId="0" xfId="0" applyNumberFormat="1" applyFont="1"/>
    <xf numFmtId="3" fontId="1" fillId="0" borderId="0" xfId="0" applyNumberFormat="1" applyFont="1" applyAlignment="1">
      <alignment horizontal="right"/>
    </xf>
    <xf numFmtId="0" fontId="0" fillId="0" borderId="8" xfId="0" applyBorder="1"/>
    <xf numFmtId="0" fontId="0" fillId="0" borderId="7" xfId="0" applyBorder="1" applyAlignment="1">
      <alignment horizontal="center"/>
    </xf>
    <xf numFmtId="0" fontId="0" fillId="0" borderId="6" xfId="0" applyBorder="1" applyAlignment="1">
      <alignment horizontal="center"/>
    </xf>
    <xf numFmtId="4" fontId="0" fillId="0" borderId="0" xfId="0" applyNumberFormat="1"/>
    <xf numFmtId="0" fontId="2" fillId="0" borderId="0" xfId="0" applyFont="1" applyAlignment="1">
      <alignment horizontal="right"/>
    </xf>
    <xf numFmtId="0" fontId="4" fillId="0" borderId="11" xfId="1" applyFill="1" applyBorder="1" applyAlignment="1" applyProtection="1"/>
    <xf numFmtId="0" fontId="0" fillId="0" borderId="10" xfId="0" applyBorder="1" applyAlignment="1">
      <alignment horizontal="center"/>
    </xf>
    <xf numFmtId="9" fontId="0" fillId="0" borderId="10" xfId="0" applyNumberFormat="1" applyBorder="1" applyAlignment="1">
      <alignment horizontal="center"/>
    </xf>
    <xf numFmtId="0" fontId="2" fillId="0" borderId="10" xfId="0" applyFont="1" applyBorder="1" applyAlignment="1">
      <alignment horizontal="center"/>
    </xf>
    <xf numFmtId="0" fontId="2" fillId="0" borderId="9" xfId="0" applyFont="1" applyBorder="1" applyAlignment="1">
      <alignment horizontal="center"/>
    </xf>
    <xf numFmtId="3" fontId="2" fillId="0" borderId="0" xfId="0" applyNumberFormat="1" applyFont="1"/>
    <xf numFmtId="0" fontId="4" fillId="0" borderId="5" xfId="1" applyFill="1" applyBorder="1" applyAlignment="1" applyProtection="1"/>
    <xf numFmtId="0" fontId="2" fillId="0" borderId="0" xfId="0" applyFont="1" applyAlignment="1">
      <alignment horizontal="center"/>
    </xf>
    <xf numFmtId="0" fontId="0" fillId="0" borderId="4" xfId="0" applyBorder="1" applyAlignment="1">
      <alignment horizontal="center"/>
    </xf>
    <xf numFmtId="0" fontId="0" fillId="0" borderId="2" xfId="0" applyBorder="1" applyAlignment="1">
      <alignment horizontal="center"/>
    </xf>
    <xf numFmtId="0" fontId="2" fillId="0" borderId="2" xfId="0" applyFont="1" applyBorder="1" applyAlignment="1">
      <alignment horizontal="center"/>
    </xf>
    <xf numFmtId="0" fontId="2" fillId="0" borderId="0" xfId="0" applyFont="1"/>
    <xf numFmtId="0" fontId="0" fillId="0" borderId="0" xfId="0" applyAlignment="1">
      <alignment horizontal="center"/>
    </xf>
    <xf numFmtId="2" fontId="0" fillId="0" borderId="0" xfId="0" applyNumberFormat="1"/>
    <xf numFmtId="0" fontId="2" fillId="0" borderId="5" xfId="1" applyFont="1" applyFill="1" applyBorder="1" applyAlignment="1" applyProtection="1"/>
    <xf numFmtId="0" fontId="0" fillId="0" borderId="1" xfId="0" applyBorder="1" applyAlignment="1">
      <alignment horizontal="center"/>
    </xf>
    <xf numFmtId="0" fontId="3"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9" fontId="0" fillId="0" borderId="0" xfId="0" applyNumberFormat="1" applyAlignment="1">
      <alignment horizontal="right"/>
    </xf>
    <xf numFmtId="0" fontId="1" fillId="0" borderId="0" xfId="0" applyFont="1" applyAlignment="1">
      <alignment horizontal="right"/>
    </xf>
    <xf numFmtId="9" fontId="1" fillId="0" borderId="0" xfId="0" applyNumberFormat="1" applyFont="1" applyAlignment="1">
      <alignment horizontal="right"/>
    </xf>
    <xf numFmtId="0" fontId="1" fillId="0" borderId="0" xfId="0" applyFont="1"/>
    <xf numFmtId="0" fontId="2" fillId="0" borderId="4" xfId="0" applyFont="1" applyBorder="1" applyAlignment="1">
      <alignment horizontal="center"/>
    </xf>
    <xf numFmtId="0" fontId="2" fillId="0" borderId="3" xfId="1" applyFont="1" applyFill="1" applyBorder="1" applyAlignment="1" applyProtection="1"/>
    <xf numFmtId="3" fontId="0" fillId="0" borderId="0" xfId="0" quotePrefix="1" applyNumberFormat="1" applyAlignment="1">
      <alignment horizontal="right"/>
    </xf>
    <xf numFmtId="3" fontId="0" fillId="3" borderId="0" xfId="0" applyNumberFormat="1" applyFill="1" applyAlignment="1">
      <alignment horizontal="right"/>
    </xf>
    <xf numFmtId="9" fontId="0" fillId="0" borderId="0" xfId="0" applyNumberFormat="1"/>
    <xf numFmtId="9" fontId="1" fillId="0" borderId="0" xfId="0" applyNumberFormat="1" applyFont="1"/>
    <xf numFmtId="14" fontId="2" fillId="0" borderId="0" xfId="0" applyNumberFormat="1" applyFont="1" applyAlignment="1">
      <alignment horizontal="center"/>
    </xf>
    <xf numFmtId="14" fontId="0" fillId="0" borderId="10" xfId="0" applyNumberFormat="1" applyBorder="1" applyAlignment="1">
      <alignment horizontal="center"/>
    </xf>
    <xf numFmtId="0" fontId="10" fillId="0" borderId="0" xfId="0" applyFont="1"/>
    <xf numFmtId="4" fontId="1" fillId="0" borderId="0" xfId="0" applyNumberFormat="1" applyFont="1" applyAlignment="1">
      <alignment horizontal="right"/>
    </xf>
    <xf numFmtId="4" fontId="1" fillId="0" borderId="0" xfId="0" applyNumberFormat="1" applyFont="1"/>
    <xf numFmtId="0" fontId="0" fillId="0" borderId="0" xfId="0" quotePrefix="1"/>
    <xf numFmtId="9" fontId="0" fillId="0" borderId="0" xfId="0" applyNumberFormat="1" applyAlignment="1">
      <alignment horizontal="center"/>
    </xf>
    <xf numFmtId="9" fontId="2" fillId="0" borderId="0" xfId="0" applyNumberFormat="1" applyFont="1" applyAlignment="1">
      <alignment horizontal="center"/>
    </xf>
    <xf numFmtId="0" fontId="2" fillId="0" borderId="0" xfId="1" applyFont="1" applyFill="1" applyBorder="1" applyAlignment="1" applyProtection="1"/>
    <xf numFmtId="0" fontId="0" fillId="0" borderId="9" xfId="0" applyBorder="1" applyAlignment="1">
      <alignment horizontal="center"/>
    </xf>
    <xf numFmtId="0" fontId="4" fillId="0" borderId="0" xfId="1" applyFill="1" applyAlignment="1" applyProtection="1"/>
    <xf numFmtId="9" fontId="2" fillId="0" borderId="0" xfId="2" applyNumberFormat="1"/>
    <xf numFmtId="0" fontId="2" fillId="0" borderId="0" xfId="2" applyAlignment="1">
      <alignment horizontal="center"/>
    </xf>
    <xf numFmtId="0" fontId="2" fillId="0" borderId="0" xfId="2" applyAlignment="1">
      <alignment horizontal="right"/>
    </xf>
    <xf numFmtId="9" fontId="2" fillId="0" borderId="0" xfId="2" applyNumberFormat="1" applyAlignment="1">
      <alignment horizontal="center"/>
    </xf>
    <xf numFmtId="0" fontId="13" fillId="0" borderId="5" xfId="1" applyFont="1" applyFill="1" applyBorder="1" applyAlignment="1" applyProtection="1"/>
    <xf numFmtId="0" fontId="7" fillId="0" borderId="0" xfId="0" applyFont="1" applyAlignment="1">
      <alignment horizontal="center"/>
    </xf>
    <xf numFmtId="0" fontId="1" fillId="0" borderId="0" xfId="0" applyFont="1" applyAlignment="1">
      <alignment horizontal="center"/>
    </xf>
    <xf numFmtId="0" fontId="1" fillId="0" borderId="4" xfId="0" applyFont="1" applyBorder="1" applyAlignment="1">
      <alignment horizontal="center"/>
    </xf>
    <xf numFmtId="10" fontId="0" fillId="0" borderId="0" xfId="0" applyNumberFormat="1"/>
    <xf numFmtId="0" fontId="14" fillId="0" borderId="0" xfId="0" applyFont="1"/>
    <xf numFmtId="0" fontId="2" fillId="0" borderId="0" xfId="0" quotePrefix="1" applyFont="1" applyAlignment="1">
      <alignment horizontal="center"/>
    </xf>
  </cellXfs>
  <cellStyles count="3">
    <cellStyle name="Hyperlink" xfId="1" builtinId="8"/>
    <cellStyle name="Normal" xfId="0" builtinId="0"/>
    <cellStyle name="Normal 2" xfId="2" xr:uid="{E14D3674-039E-4586-B983-DD274F8F7112}"/>
  </cellStyles>
  <dxfs count="0"/>
  <tableStyles count="1" defaultTableStyle="TableStyleMedium2" defaultPivotStyle="PivotStyleLight16">
    <tableStyle name="Invisible" pivot="0" table="0" count="0" xr9:uid="{0B1FE2AF-6D72-413E-A096-49C7B60FF58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64</xdr:col>
      <xdr:colOff>35886</xdr:colOff>
      <xdr:row>0</xdr:row>
      <xdr:rowOff>0</xdr:rowOff>
    </xdr:from>
    <xdr:to>
      <xdr:col>64</xdr:col>
      <xdr:colOff>35886</xdr:colOff>
      <xdr:row>120</xdr:row>
      <xdr:rowOff>98535</xdr:rowOff>
    </xdr:to>
    <xdr:cxnSp macro="">
      <xdr:nvCxnSpPr>
        <xdr:cNvPr id="3" name="Straight Connector 2">
          <a:extLst>
            <a:ext uri="{FF2B5EF4-FFF2-40B4-BE49-F238E27FC236}">
              <a16:creationId xmlns:a16="http://schemas.microsoft.com/office/drawing/2014/main" id="{658D8025-20DF-13C6-84BC-98AAA2145166}"/>
            </a:ext>
          </a:extLst>
        </xdr:cNvPr>
        <xdr:cNvCxnSpPr/>
      </xdr:nvCxnSpPr>
      <xdr:spPr>
        <a:xfrm>
          <a:off x="40417507" y="0"/>
          <a:ext cx="0" cy="19078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19008</xdr:colOff>
      <xdr:row>0</xdr:row>
      <xdr:rowOff>0</xdr:rowOff>
    </xdr:from>
    <xdr:to>
      <xdr:col>86</xdr:col>
      <xdr:colOff>19008</xdr:colOff>
      <xdr:row>104</xdr:row>
      <xdr:rowOff>136921</xdr:rowOff>
    </xdr:to>
    <xdr:cxnSp macro="">
      <xdr:nvCxnSpPr>
        <xdr:cNvPr id="2" name="Straight Connector 1">
          <a:extLst>
            <a:ext uri="{FF2B5EF4-FFF2-40B4-BE49-F238E27FC236}">
              <a16:creationId xmlns:a16="http://schemas.microsoft.com/office/drawing/2014/main" id="{648F258B-0BD1-4851-812D-88247FE41913}"/>
            </a:ext>
          </a:extLst>
        </xdr:cNvPr>
        <xdr:cNvCxnSpPr/>
      </xdr:nvCxnSpPr>
      <xdr:spPr>
        <a:xfrm>
          <a:off x="46762946" y="0"/>
          <a:ext cx="0" cy="115490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Martin Shkreli" id="{6AE02F28-EECC-4040-93BD-26CB9CF8932E}" userId="9ffda80931a57275"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P36" dT="2022-09-16T10:03:00.58" personId="{6AE02F28-EECC-4040-93BD-26CB9CF8932E}" id="{CFF3BC2E-892D-4995-B558-D2A9395BF1AF}">
    <text>NGNI 1080.2</text>
  </threadedComment>
  <threadedComment ref="AT36" dT="2022-09-16T10:02:53.72" personId="{6AE02F28-EECC-4040-93BD-26CB9CF8932E}" id="{E621A5CA-53E8-48F9-80F2-12D076620DD9}">
    <text>NGNI 2711.5</text>
  </threadedComment>
  <threadedComment ref="BB36" dT="2025-03-01T02:07:28.50" personId="{6AE02F28-EECC-4040-93BD-26CB9CF8932E}" id="{D3D5216B-4988-49C7-99A4-DA91FFA880E8}">
    <text>1366 reported</text>
  </threadedComment>
  <threadedComment ref="BB37" dT="2025-03-01T02:07:37.13" personId="{6AE02F28-EECC-4040-93BD-26CB9CF8932E}" id="{A95EDEE9-78F2-4942-8307-5D690E42CB8B}">
    <text>11.86 reported</text>
  </threadedComment>
  <threadedComment ref="BF37" dT="2025-03-01T02:05:57.11" personId="{6AE02F28-EECC-4040-93BD-26CB9CF8932E}" id="{C838F7CA-FAD9-482A-B48C-72B198B21072}">
    <text>Reported 12.07, including 0.11 acquired IPR&amp;D</text>
  </threadedComment>
  <threadedComment ref="CH40" dT="2025-03-01T01:58:52.97" personId="{6AE02F28-EECC-4040-93BD-26CB9CF8932E}" id="{2471E570-2248-4E4F-8018-AEC8997DEC40}">
    <text>+10% excluding Ronapreve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CF22-E8A9-4919-AD75-F071CE6857D9}">
  <dimension ref="B2:K66"/>
  <sheetViews>
    <sheetView zoomScale="115" zoomScaleNormal="115" workbookViewId="0"/>
  </sheetViews>
  <sheetFormatPr defaultColWidth="8.81640625" defaultRowHeight="12.5" x14ac:dyDescent="0.25"/>
  <cols>
    <col min="1" max="1" width="3.7265625" customWidth="1"/>
    <col min="2" max="2" width="23.7265625" customWidth="1"/>
    <col min="3" max="3" width="25.1796875" customWidth="1"/>
    <col min="4" max="4" width="10.453125" bestFit="1" customWidth="1"/>
    <col min="5" max="5" width="11.7265625" customWidth="1"/>
    <col min="6" max="6" width="19.81640625" customWidth="1"/>
  </cols>
  <sheetData>
    <row r="2" spans="2:11" x14ac:dyDescent="0.25">
      <c r="B2" s="18" t="s">
        <v>48</v>
      </c>
      <c r="C2" s="19" t="s">
        <v>47</v>
      </c>
      <c r="D2" s="19" t="s">
        <v>46</v>
      </c>
      <c r="E2" s="19" t="s">
        <v>44</v>
      </c>
      <c r="F2" s="19" t="s">
        <v>43</v>
      </c>
      <c r="G2" s="20" t="s">
        <v>42</v>
      </c>
      <c r="I2" t="s">
        <v>41</v>
      </c>
      <c r="J2" s="21">
        <v>800</v>
      </c>
      <c r="K2" s="22"/>
    </row>
    <row r="3" spans="2:11" x14ac:dyDescent="0.25">
      <c r="B3" s="23" t="s">
        <v>40</v>
      </c>
      <c r="C3" s="24" t="s">
        <v>39</v>
      </c>
      <c r="D3" s="53">
        <v>39479</v>
      </c>
      <c r="E3" s="25"/>
      <c r="F3" s="26" t="s">
        <v>38</v>
      </c>
      <c r="G3" s="27"/>
      <c r="I3" t="s">
        <v>37</v>
      </c>
      <c r="J3" s="28">
        <v>106</v>
      </c>
      <c r="K3" s="22" t="s">
        <v>558</v>
      </c>
    </row>
    <row r="4" spans="2:11" x14ac:dyDescent="0.25">
      <c r="B4" s="29" t="s">
        <v>273</v>
      </c>
      <c r="C4" s="35" t="s">
        <v>30</v>
      </c>
      <c r="D4" s="52">
        <v>40865</v>
      </c>
      <c r="E4" s="30" t="s">
        <v>258</v>
      </c>
      <c r="F4" s="30" t="s">
        <v>238</v>
      </c>
      <c r="G4" s="46"/>
      <c r="I4" t="s">
        <v>34</v>
      </c>
      <c r="J4" s="1">
        <f>J2*J3</f>
        <v>84800</v>
      </c>
      <c r="K4" s="14"/>
    </row>
    <row r="5" spans="2:11" x14ac:dyDescent="0.25">
      <c r="B5" s="29" t="s">
        <v>272</v>
      </c>
      <c r="C5" s="30" t="s">
        <v>232</v>
      </c>
      <c r="D5" s="52">
        <v>41124</v>
      </c>
      <c r="E5" s="30" t="s">
        <v>233</v>
      </c>
      <c r="F5" s="30" t="s">
        <v>238</v>
      </c>
      <c r="G5" s="31"/>
      <c r="I5" t="s">
        <v>32</v>
      </c>
      <c r="J5" s="1">
        <f>2962.6+5791.1+9786</f>
        <v>18539.7</v>
      </c>
      <c r="K5" s="22" t="s">
        <v>551</v>
      </c>
    </row>
    <row r="6" spans="2:11" x14ac:dyDescent="0.25">
      <c r="B6" s="29" t="s">
        <v>253</v>
      </c>
      <c r="C6" s="35" t="s">
        <v>254</v>
      </c>
      <c r="D6" s="52">
        <v>42209</v>
      </c>
      <c r="E6" s="30" t="s">
        <v>233</v>
      </c>
      <c r="F6" s="30" t="s">
        <v>255</v>
      </c>
      <c r="G6" s="46"/>
      <c r="I6" t="s">
        <v>29</v>
      </c>
      <c r="J6" s="1">
        <v>1986.2</v>
      </c>
      <c r="K6" s="22" t="s">
        <v>551</v>
      </c>
    </row>
    <row r="7" spans="2:11" x14ac:dyDescent="0.25">
      <c r="B7" s="29" t="s">
        <v>33</v>
      </c>
      <c r="C7" s="30" t="s">
        <v>235</v>
      </c>
      <c r="D7" s="52">
        <v>42822</v>
      </c>
      <c r="E7" s="30" t="s">
        <v>233</v>
      </c>
      <c r="F7" s="30" t="s">
        <v>234</v>
      </c>
      <c r="G7" s="31"/>
      <c r="I7" s="34" t="s">
        <v>26</v>
      </c>
      <c r="J7" s="1">
        <f>J4-J5+J6</f>
        <v>68246.5</v>
      </c>
    </row>
    <row r="8" spans="2:11" x14ac:dyDescent="0.25">
      <c r="B8" s="29" t="s">
        <v>256</v>
      </c>
      <c r="C8" s="35" t="s">
        <v>25</v>
      </c>
      <c r="D8" s="52">
        <v>42969</v>
      </c>
      <c r="E8" s="30" t="s">
        <v>233</v>
      </c>
      <c r="F8" s="30" t="s">
        <v>257</v>
      </c>
      <c r="G8" s="46"/>
      <c r="I8" s="34"/>
      <c r="J8" s="1"/>
    </row>
    <row r="9" spans="2:11" x14ac:dyDescent="0.25">
      <c r="B9" s="29" t="s">
        <v>236</v>
      </c>
      <c r="C9" s="30" t="s">
        <v>259</v>
      </c>
      <c r="D9" s="52">
        <v>43371</v>
      </c>
      <c r="E9" s="30"/>
      <c r="F9" s="30" t="s">
        <v>237</v>
      </c>
      <c r="G9" s="31"/>
      <c r="I9" s="34" t="s">
        <v>366</v>
      </c>
      <c r="J9" s="1"/>
    </row>
    <row r="10" spans="2:11" x14ac:dyDescent="0.25">
      <c r="B10" s="29" t="s">
        <v>444</v>
      </c>
      <c r="C10" s="30" t="s">
        <v>261</v>
      </c>
      <c r="D10" s="52">
        <v>45156</v>
      </c>
      <c r="E10" s="58">
        <v>1</v>
      </c>
      <c r="F10" s="30" t="s">
        <v>262</v>
      </c>
      <c r="G10" s="31"/>
      <c r="I10" s="34" t="s">
        <v>513</v>
      </c>
      <c r="J10" s="1"/>
    </row>
    <row r="11" spans="2:11" x14ac:dyDescent="0.25">
      <c r="B11" s="37" t="s">
        <v>279</v>
      </c>
      <c r="C11" s="35" t="s">
        <v>254</v>
      </c>
      <c r="D11" s="52">
        <v>44238</v>
      </c>
      <c r="E11" s="59">
        <v>1</v>
      </c>
      <c r="F11" s="30" t="s">
        <v>280</v>
      </c>
      <c r="G11" s="46"/>
      <c r="I11" s="34" t="s">
        <v>316</v>
      </c>
      <c r="J11" s="36"/>
    </row>
    <row r="12" spans="2:11" x14ac:dyDescent="0.25">
      <c r="B12" s="18"/>
      <c r="C12" s="19"/>
      <c r="D12" s="19" t="s">
        <v>27</v>
      </c>
      <c r="E12" s="19"/>
      <c r="F12" s="19"/>
      <c r="G12" s="20"/>
      <c r="I12" s="34" t="s">
        <v>512</v>
      </c>
    </row>
    <row r="13" spans="2:11" x14ac:dyDescent="0.25">
      <c r="B13" s="23" t="s">
        <v>447</v>
      </c>
      <c r="C13" s="24" t="s">
        <v>268</v>
      </c>
      <c r="D13" s="26" t="s">
        <v>263</v>
      </c>
      <c r="E13" s="25">
        <v>1</v>
      </c>
      <c r="F13" s="26" t="s">
        <v>266</v>
      </c>
      <c r="G13" s="61">
        <f>129.4+96.3+66</f>
        <v>291.7</v>
      </c>
      <c r="I13" s="34" t="s">
        <v>358</v>
      </c>
    </row>
    <row r="14" spans="2:11" x14ac:dyDescent="0.25">
      <c r="B14" s="29" t="s">
        <v>274</v>
      </c>
      <c r="C14" s="30" t="s">
        <v>275</v>
      </c>
      <c r="D14" s="30" t="s">
        <v>267</v>
      </c>
      <c r="E14" s="59">
        <v>1</v>
      </c>
      <c r="F14" s="30" t="s">
        <v>276</v>
      </c>
      <c r="G14" s="31"/>
      <c r="I14" s="34" t="s">
        <v>359</v>
      </c>
    </row>
    <row r="15" spans="2:11" x14ac:dyDescent="0.25">
      <c r="B15" s="29" t="s">
        <v>499</v>
      </c>
      <c r="C15" s="35" t="s">
        <v>271</v>
      </c>
      <c r="D15" s="30" t="s">
        <v>263</v>
      </c>
      <c r="E15" s="58">
        <v>1</v>
      </c>
      <c r="F15" s="30" t="s">
        <v>270</v>
      </c>
      <c r="G15" s="31">
        <f>141.9+78.7+45.5</f>
        <v>266.10000000000002</v>
      </c>
    </row>
    <row r="16" spans="2:11" x14ac:dyDescent="0.25">
      <c r="B16" s="29" t="s">
        <v>264</v>
      </c>
      <c r="C16" s="30" t="s">
        <v>386</v>
      </c>
      <c r="D16" s="30" t="s">
        <v>557</v>
      </c>
      <c r="E16" s="58">
        <v>1</v>
      </c>
      <c r="F16" s="30" t="s">
        <v>387</v>
      </c>
      <c r="G16" s="31">
        <f>215.5+112.2+43.4</f>
        <v>371.09999999999997</v>
      </c>
    </row>
    <row r="17" spans="2:9" s="45" customFormat="1" ht="13" x14ac:dyDescent="0.3">
      <c r="B17" s="67" t="s">
        <v>434</v>
      </c>
      <c r="C17" s="68" t="s">
        <v>440</v>
      </c>
      <c r="D17" s="68" t="s">
        <v>267</v>
      </c>
      <c r="E17" s="69"/>
      <c r="F17" s="68" t="s">
        <v>435</v>
      </c>
      <c r="G17" s="70">
        <f>96.2+70.3+26.5</f>
        <v>193</v>
      </c>
    </row>
    <row r="18" spans="2:9" x14ac:dyDescent="0.25">
      <c r="B18" s="29" t="s">
        <v>413</v>
      </c>
      <c r="C18" s="30" t="s">
        <v>282</v>
      </c>
      <c r="D18" s="30" t="s">
        <v>267</v>
      </c>
      <c r="E18" s="35"/>
      <c r="F18" s="30" t="s">
        <v>283</v>
      </c>
      <c r="G18" s="31"/>
    </row>
    <row r="19" spans="2:9" x14ac:dyDescent="0.25">
      <c r="B19" s="29" t="s">
        <v>553</v>
      </c>
      <c r="C19" s="30" t="s">
        <v>282</v>
      </c>
      <c r="D19" s="30" t="s">
        <v>267</v>
      </c>
      <c r="E19" s="35"/>
      <c r="F19" s="30" t="s">
        <v>283</v>
      </c>
      <c r="G19" s="31"/>
    </row>
    <row r="20" spans="2:9" x14ac:dyDescent="0.25">
      <c r="B20" s="37" t="s">
        <v>506</v>
      </c>
      <c r="C20" s="35" t="s">
        <v>289</v>
      </c>
      <c r="D20" s="30" t="s">
        <v>267</v>
      </c>
      <c r="E20" s="35" t="s">
        <v>287</v>
      </c>
      <c r="F20" s="30" t="s">
        <v>288</v>
      </c>
      <c r="G20" s="31"/>
    </row>
    <row r="21" spans="2:9" x14ac:dyDescent="0.25">
      <c r="B21" s="37" t="s">
        <v>552</v>
      </c>
      <c r="C21" s="35" t="s">
        <v>509</v>
      </c>
      <c r="D21" s="30" t="s">
        <v>393</v>
      </c>
      <c r="E21" s="35" t="s">
        <v>510</v>
      </c>
      <c r="F21" s="30" t="s">
        <v>511</v>
      </c>
      <c r="G21" s="31"/>
    </row>
    <row r="22" spans="2:9" x14ac:dyDescent="0.25">
      <c r="B22" s="37" t="s">
        <v>290</v>
      </c>
      <c r="C22" s="30" t="s">
        <v>291</v>
      </c>
      <c r="D22" s="30"/>
      <c r="E22" s="35"/>
      <c r="F22" s="30" t="s">
        <v>292</v>
      </c>
      <c r="G22" s="31"/>
    </row>
    <row r="23" spans="2:9" x14ac:dyDescent="0.25">
      <c r="B23" s="29" t="s">
        <v>430</v>
      </c>
      <c r="C23" s="30" t="s">
        <v>433</v>
      </c>
      <c r="D23" s="30" t="s">
        <v>393</v>
      </c>
      <c r="E23" s="58">
        <v>1</v>
      </c>
      <c r="F23" s="30" t="s">
        <v>431</v>
      </c>
      <c r="G23" s="31"/>
    </row>
    <row r="24" spans="2:9" x14ac:dyDescent="0.25">
      <c r="B24" s="37" t="s">
        <v>388</v>
      </c>
      <c r="C24" s="30" t="s">
        <v>389</v>
      </c>
      <c r="D24" s="30" t="s">
        <v>390</v>
      </c>
      <c r="E24" s="35" t="s">
        <v>391</v>
      </c>
      <c r="F24" s="30"/>
      <c r="G24" s="31"/>
      <c r="I24" t="s">
        <v>448</v>
      </c>
    </row>
    <row r="25" spans="2:9" x14ac:dyDescent="0.25">
      <c r="B25" s="29" t="s">
        <v>277</v>
      </c>
      <c r="C25" s="30" t="s">
        <v>432</v>
      </c>
      <c r="D25" s="30" t="s">
        <v>393</v>
      </c>
      <c r="E25" s="58">
        <v>1</v>
      </c>
      <c r="F25" s="30" t="s">
        <v>278</v>
      </c>
      <c r="G25" s="31"/>
    </row>
    <row r="26" spans="2:9" x14ac:dyDescent="0.25">
      <c r="B26" s="37" t="s">
        <v>293</v>
      </c>
      <c r="C26" s="30" t="s">
        <v>259</v>
      </c>
      <c r="D26" s="30"/>
      <c r="E26" s="35"/>
      <c r="F26" s="30" t="s">
        <v>294</v>
      </c>
      <c r="G26" s="31"/>
    </row>
    <row r="27" spans="2:9" x14ac:dyDescent="0.25">
      <c r="B27" s="37" t="s">
        <v>284</v>
      </c>
      <c r="C27" s="30" t="s">
        <v>285</v>
      </c>
      <c r="D27" s="30"/>
      <c r="E27" s="35"/>
      <c r="F27" s="30" t="s">
        <v>286</v>
      </c>
      <c r="G27" s="31"/>
    </row>
    <row r="28" spans="2:9" x14ac:dyDescent="0.25">
      <c r="B28" s="37" t="s">
        <v>554</v>
      </c>
      <c r="C28" s="30" t="s">
        <v>555</v>
      </c>
      <c r="D28" s="30" t="s">
        <v>263</v>
      </c>
      <c r="E28" s="35" t="s">
        <v>391</v>
      </c>
      <c r="F28" s="30" t="s">
        <v>262</v>
      </c>
      <c r="G28" s="31"/>
    </row>
    <row r="29" spans="2:9" x14ac:dyDescent="0.25">
      <c r="B29" s="37" t="s">
        <v>542</v>
      </c>
      <c r="C29" s="30" t="s">
        <v>451</v>
      </c>
      <c r="D29" s="30"/>
      <c r="E29" s="35"/>
      <c r="F29" s="30" t="s">
        <v>452</v>
      </c>
      <c r="G29" s="31"/>
    </row>
    <row r="30" spans="2:9" x14ac:dyDescent="0.25">
      <c r="B30" s="37" t="s">
        <v>295</v>
      </c>
      <c r="C30" s="30"/>
      <c r="D30" s="30"/>
      <c r="E30" s="35"/>
      <c r="F30" s="30" t="s">
        <v>296</v>
      </c>
      <c r="G30" s="31"/>
    </row>
    <row r="31" spans="2:9" x14ac:dyDescent="0.25">
      <c r="B31" s="37" t="s">
        <v>556</v>
      </c>
      <c r="C31" s="30" t="s">
        <v>454</v>
      </c>
      <c r="D31" s="30" t="s">
        <v>46</v>
      </c>
      <c r="E31" s="35"/>
      <c r="F31" s="30" t="s">
        <v>455</v>
      </c>
      <c r="G31" s="31"/>
    </row>
    <row r="32" spans="2:9" x14ac:dyDescent="0.25">
      <c r="B32" s="37" t="s">
        <v>297</v>
      </c>
      <c r="C32" s="30"/>
      <c r="D32" s="30"/>
      <c r="E32" s="35"/>
      <c r="F32" s="30" t="s">
        <v>298</v>
      </c>
      <c r="G32" s="31"/>
    </row>
    <row r="33" spans="2:7" x14ac:dyDescent="0.25">
      <c r="B33" s="37" t="s">
        <v>543</v>
      </c>
      <c r="C33" s="30" t="s">
        <v>451</v>
      </c>
      <c r="D33" s="30" t="s">
        <v>390</v>
      </c>
      <c r="E33" s="35" t="s">
        <v>545</v>
      </c>
      <c r="F33" s="30" t="s">
        <v>544</v>
      </c>
      <c r="G33" s="31"/>
    </row>
    <row r="34" spans="2:7" x14ac:dyDescent="0.25">
      <c r="B34" s="37" t="s">
        <v>537</v>
      </c>
      <c r="C34" s="30" t="s">
        <v>536</v>
      </c>
      <c r="D34" s="30" t="s">
        <v>390</v>
      </c>
      <c r="E34" s="35" t="s">
        <v>391</v>
      </c>
      <c r="F34" s="30"/>
      <c r="G34" s="31"/>
    </row>
    <row r="35" spans="2:7" x14ac:dyDescent="0.25">
      <c r="B35" s="37" t="s">
        <v>549</v>
      </c>
      <c r="C35" s="30"/>
      <c r="D35" s="30"/>
      <c r="E35" s="35" t="s">
        <v>391</v>
      </c>
      <c r="F35" s="30" t="s">
        <v>550</v>
      </c>
      <c r="G35" s="31"/>
    </row>
    <row r="36" spans="2:7" x14ac:dyDescent="0.25">
      <c r="B36" s="37" t="s">
        <v>535</v>
      </c>
      <c r="C36" s="30" t="s">
        <v>536</v>
      </c>
      <c r="D36" s="30" t="s">
        <v>390</v>
      </c>
      <c r="E36" s="35"/>
      <c r="F36" s="30"/>
      <c r="G36" s="31"/>
    </row>
    <row r="37" spans="2:7" x14ac:dyDescent="0.25">
      <c r="B37" s="37" t="s">
        <v>546</v>
      </c>
      <c r="C37" s="30" t="s">
        <v>547</v>
      </c>
      <c r="D37" s="30" t="s">
        <v>390</v>
      </c>
      <c r="E37" s="35"/>
      <c r="F37" s="73" t="s">
        <v>548</v>
      </c>
      <c r="G37" s="31"/>
    </row>
    <row r="38" spans="2:7" x14ac:dyDescent="0.25">
      <c r="B38" s="37" t="s">
        <v>532</v>
      </c>
      <c r="C38" s="30" t="s">
        <v>531</v>
      </c>
      <c r="D38" s="30" t="s">
        <v>393</v>
      </c>
      <c r="E38" s="35"/>
      <c r="F38" s="35" t="s">
        <v>530</v>
      </c>
      <c r="G38" s="31"/>
    </row>
    <row r="39" spans="2:7" x14ac:dyDescent="0.25">
      <c r="B39" s="37" t="s">
        <v>533</v>
      </c>
      <c r="C39" s="30"/>
      <c r="D39" s="30" t="s">
        <v>393</v>
      </c>
      <c r="E39" s="35"/>
      <c r="F39" s="35" t="s">
        <v>534</v>
      </c>
      <c r="G39" s="31"/>
    </row>
    <row r="40" spans="2:7" x14ac:dyDescent="0.25">
      <c r="B40" s="37" t="s">
        <v>538</v>
      </c>
      <c r="C40" s="30" t="s">
        <v>541</v>
      </c>
      <c r="D40" s="30" t="s">
        <v>540</v>
      </c>
      <c r="E40" s="35"/>
      <c r="F40" s="35" t="s">
        <v>539</v>
      </c>
      <c r="G40" s="31"/>
    </row>
    <row r="41" spans="2:7" x14ac:dyDescent="0.25">
      <c r="B41" s="37" t="s">
        <v>502</v>
      </c>
      <c r="C41" s="30" t="s">
        <v>503</v>
      </c>
      <c r="D41" s="30" t="s">
        <v>393</v>
      </c>
      <c r="E41" s="35"/>
      <c r="F41" s="30" t="s">
        <v>504</v>
      </c>
      <c r="G41" s="31"/>
    </row>
    <row r="42" spans="2:7" x14ac:dyDescent="0.25">
      <c r="B42" s="37" t="s">
        <v>527</v>
      </c>
      <c r="C42" s="30" t="s">
        <v>529</v>
      </c>
      <c r="D42" s="30" t="s">
        <v>393</v>
      </c>
      <c r="E42" s="35"/>
      <c r="F42" s="35" t="s">
        <v>528</v>
      </c>
      <c r="G42" s="31"/>
    </row>
    <row r="43" spans="2:7" x14ac:dyDescent="0.25">
      <c r="B43" s="37" t="s">
        <v>392</v>
      </c>
      <c r="C43" s="30" t="s">
        <v>500</v>
      </c>
      <c r="D43" s="30" t="s">
        <v>393</v>
      </c>
      <c r="E43" s="35"/>
      <c r="F43" s="30" t="s">
        <v>501</v>
      </c>
      <c r="G43" s="31"/>
    </row>
    <row r="44" spans="2:7" x14ac:dyDescent="0.25">
      <c r="B44" s="37" t="s">
        <v>299</v>
      </c>
      <c r="C44" s="30" t="s">
        <v>300</v>
      </c>
      <c r="D44" s="30" t="s">
        <v>390</v>
      </c>
      <c r="E44" s="35"/>
      <c r="F44" s="30" t="s">
        <v>301</v>
      </c>
      <c r="G44" s="31"/>
    </row>
    <row r="45" spans="2:7" x14ac:dyDescent="0.25">
      <c r="B45" s="47" t="s">
        <v>24</v>
      </c>
      <c r="C45" s="33" t="s">
        <v>23</v>
      </c>
      <c r="D45" s="33" t="s">
        <v>22</v>
      </c>
      <c r="E45" s="32"/>
      <c r="F45" s="33" t="s">
        <v>21</v>
      </c>
      <c r="G45" s="38"/>
    </row>
    <row r="46" spans="2:7" x14ac:dyDescent="0.25">
      <c r="B46" s="60"/>
      <c r="C46" s="30"/>
      <c r="D46" s="30"/>
      <c r="E46" s="35"/>
      <c r="F46" s="30"/>
      <c r="G46" s="35"/>
    </row>
    <row r="47" spans="2:7" ht="13" x14ac:dyDescent="0.3">
      <c r="B47" s="34" t="s">
        <v>505</v>
      </c>
      <c r="C47" s="35"/>
      <c r="D47" s="35"/>
      <c r="E47" s="35"/>
      <c r="F47" s="39" t="s">
        <v>19</v>
      </c>
      <c r="G47" s="35"/>
    </row>
    <row r="48" spans="2:7" ht="13" x14ac:dyDescent="0.3">
      <c r="B48" s="34"/>
      <c r="C48" s="35"/>
      <c r="D48" s="35"/>
      <c r="E48" s="40"/>
      <c r="F48" s="39" t="s">
        <v>18</v>
      </c>
      <c r="G48" s="35"/>
    </row>
    <row r="49" spans="2:7" ht="13" x14ac:dyDescent="0.3">
      <c r="B49" s="34"/>
      <c r="C49" s="35"/>
      <c r="D49" s="35"/>
      <c r="E49" s="40"/>
      <c r="F49" s="39" t="s">
        <v>17</v>
      </c>
      <c r="G49" s="35"/>
    </row>
    <row r="50" spans="2:7" ht="13" x14ac:dyDescent="0.3">
      <c r="B50" s="34"/>
      <c r="C50" s="35"/>
      <c r="D50" s="35"/>
      <c r="E50" s="40"/>
      <c r="F50" s="39" t="s">
        <v>16</v>
      </c>
      <c r="G50" s="35"/>
    </row>
    <row r="51" spans="2:7" ht="13" x14ac:dyDescent="0.3">
      <c r="C51" s="35"/>
      <c r="D51" s="35"/>
      <c r="E51" s="35"/>
      <c r="F51" s="39" t="s">
        <v>15</v>
      </c>
      <c r="G51" s="35"/>
    </row>
    <row r="52" spans="2:7" ht="13" x14ac:dyDescent="0.3">
      <c r="C52" s="35"/>
      <c r="D52" s="35"/>
      <c r="E52" s="35"/>
      <c r="F52" s="39" t="s">
        <v>14</v>
      </c>
      <c r="G52" s="35"/>
    </row>
    <row r="53" spans="2:7" ht="13" x14ac:dyDescent="0.3">
      <c r="C53" s="35"/>
      <c r="D53" s="35"/>
      <c r="E53" s="35"/>
      <c r="F53" s="39" t="s">
        <v>13</v>
      </c>
      <c r="G53" s="35"/>
    </row>
    <row r="54" spans="2:7" ht="13" x14ac:dyDescent="0.3">
      <c r="C54" s="35"/>
      <c r="D54" s="35"/>
      <c r="E54" s="35"/>
      <c r="F54" s="39" t="s">
        <v>12</v>
      </c>
      <c r="G54" s="35"/>
    </row>
    <row r="55" spans="2:7" ht="13" x14ac:dyDescent="0.3">
      <c r="C55" s="35"/>
      <c r="D55" s="35"/>
      <c r="E55" s="35"/>
      <c r="F55" s="39" t="s">
        <v>11</v>
      </c>
      <c r="G55" s="35"/>
    </row>
    <row r="56" spans="2:7" x14ac:dyDescent="0.25">
      <c r="C56" s="35"/>
      <c r="D56" s="35"/>
      <c r="E56" s="35"/>
      <c r="F56" s="41" t="s">
        <v>10</v>
      </c>
      <c r="G56" s="35"/>
    </row>
    <row r="57" spans="2:7" x14ac:dyDescent="0.25">
      <c r="C57" s="35"/>
      <c r="D57" s="35"/>
      <c r="E57" s="35"/>
      <c r="F57" s="41" t="s">
        <v>9</v>
      </c>
      <c r="G57" s="35"/>
    </row>
    <row r="58" spans="2:7" x14ac:dyDescent="0.25">
      <c r="C58" s="35"/>
      <c r="D58" s="35"/>
      <c r="E58" s="35"/>
      <c r="F58" s="41" t="s">
        <v>8</v>
      </c>
      <c r="G58" s="35"/>
    </row>
    <row r="59" spans="2:7" x14ac:dyDescent="0.25">
      <c r="C59" s="35"/>
      <c r="D59" s="35"/>
      <c r="E59" s="35"/>
      <c r="F59" s="41" t="s">
        <v>7</v>
      </c>
      <c r="G59" s="35"/>
    </row>
    <row r="60" spans="2:7" x14ac:dyDescent="0.25">
      <c r="C60" s="35"/>
      <c r="D60" s="35"/>
      <c r="E60" s="35"/>
      <c r="F60" s="41" t="s">
        <v>6</v>
      </c>
      <c r="G60" s="35"/>
    </row>
    <row r="61" spans="2:7" x14ac:dyDescent="0.25">
      <c r="C61" s="35"/>
      <c r="D61" s="35"/>
      <c r="E61" s="35"/>
      <c r="F61" s="41" t="s">
        <v>5</v>
      </c>
      <c r="G61" s="35"/>
    </row>
    <row r="62" spans="2:7" x14ac:dyDescent="0.25">
      <c r="C62" s="35"/>
      <c r="D62" s="35"/>
      <c r="E62" s="35"/>
      <c r="F62" s="41" t="s">
        <v>4</v>
      </c>
      <c r="G62" s="35"/>
    </row>
    <row r="63" spans="2:7" x14ac:dyDescent="0.25">
      <c r="C63" s="35"/>
      <c r="D63" s="35"/>
      <c r="E63" s="35"/>
      <c r="F63" s="41" t="s">
        <v>3</v>
      </c>
      <c r="G63" s="35"/>
    </row>
    <row r="64" spans="2:7" x14ac:dyDescent="0.25">
      <c r="C64" s="35"/>
      <c r="D64" s="35"/>
      <c r="E64" s="35"/>
      <c r="F64" s="41" t="s">
        <v>2</v>
      </c>
      <c r="G64" s="35"/>
    </row>
    <row r="65" spans="3:7" x14ac:dyDescent="0.25">
      <c r="C65" s="35"/>
      <c r="D65" s="35"/>
      <c r="E65" s="35"/>
      <c r="F65" s="41" t="s">
        <v>1</v>
      </c>
      <c r="G65" s="35"/>
    </row>
    <row r="66" spans="3:7" x14ac:dyDescent="0.25">
      <c r="C66" s="35"/>
      <c r="D66" s="35"/>
      <c r="E66" s="35"/>
      <c r="F66" s="41" t="s">
        <v>0</v>
      </c>
      <c r="G66" s="35"/>
    </row>
  </sheetData>
  <hyperlinks>
    <hyperlink ref="B3" location="Arcalyst!A1" display="Arcalyst" xr:uid="{BDF22BBF-5632-43C4-825A-494559AE5BB9}"/>
    <hyperlink ref="B5" location="Zaltrap!A1" display="Zaltrap" xr:uid="{B1A779BE-0169-48CB-AB42-981661C5EA87}"/>
    <hyperlink ref="B4" location="Eylea!A1" display="Eylea (aflibercept)" xr:uid="{632465B5-10C7-43D8-A04F-89D049587F0F}"/>
    <hyperlink ref="B7" location="Dupixent!A1" display="Dupixent (dupilumab)" xr:uid="{4B303E05-22EB-4F26-B307-EFDE28905187}"/>
    <hyperlink ref="B6" location="Praluent!A1" display="Praluent (alirocumab)" xr:uid="{1FBBB777-8F0A-401F-910F-1D5972FED37A}"/>
    <hyperlink ref="B8" location="Kevzara!A1" display="Kevzara (sarilumab)" xr:uid="{87937E02-CEC4-452E-83BE-A472FFD8A1F3}"/>
    <hyperlink ref="B9" location="Libtayo!A1" display="Libtayo (cemiplimab)" xr:uid="{7F5D17B9-00FE-47D6-87D0-5B2F24F89B0F}"/>
    <hyperlink ref="B15" location="linvoseltamab!A1" display="linvoseltamab" xr:uid="{9EF34322-B5DE-405A-A223-F00FD69E4AC1}"/>
    <hyperlink ref="B13" location="odronextamab!A1" display="odronextamab" xr:uid="{FE466630-238D-4B10-B392-91FDCFBDEABC}"/>
    <hyperlink ref="B19" location="REGN7508!A1" display="REGN7508" xr:uid="{BA9EED3F-C6E1-4F40-977A-6B122D6ED6A2}"/>
    <hyperlink ref="B18" location="REGN9933!A1" display="REGN9933" xr:uid="{6073BB30-626C-4AE9-9CD5-C89B25A1BDE7}"/>
    <hyperlink ref="B10" location="pozelimab!A1" display="pozelimab" xr:uid="{6758568C-53ED-40C0-98D9-15C8F236D3F7}"/>
    <hyperlink ref="B14" location="mibavademab!A1" display="mibavademab" xr:uid="{A20A17B8-FD21-43F7-B1CD-F75FC75815B8}"/>
    <hyperlink ref="B23" location="trevogrumab!A1" display="trevogrumab" xr:uid="{866D274B-E9D2-484F-A5BA-7720D3D8A32E}"/>
    <hyperlink ref="B17" location="itepekimab!A1" display="itepekimab" xr:uid="{C265B947-394F-4472-95E2-5CE0E7DE9965}"/>
    <hyperlink ref="B25" location="garetosmab!A1" display="garetosmab" xr:uid="{35EFDBA7-99E5-41BD-BE7A-2291D620CC0F}"/>
    <hyperlink ref="B16" location="fianlimab!A1" display="fianlimab" xr:uid="{A89220F1-FBF2-4AD8-849A-7F678951CC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ECB6-C670-4D66-9069-7BDB54779CF7}">
  <dimension ref="A1:EH98"/>
  <sheetViews>
    <sheetView tabSelected="1" zoomScale="145" zoomScaleNormal="145" workbookViewId="0">
      <pane xSplit="2" ySplit="2" topLeftCell="BF3" activePane="bottomRight" state="frozen"/>
      <selection pane="topRight" activeCell="C1" sqref="C1"/>
      <selection pane="bottomLeft" activeCell="A3" sqref="A3"/>
      <selection pane="bottomRight" activeCell="BK8" sqref="BK8"/>
    </sheetView>
  </sheetViews>
  <sheetFormatPr defaultColWidth="8.81640625" defaultRowHeight="12.5" x14ac:dyDescent="0.25"/>
  <cols>
    <col min="1" max="1" width="5" bestFit="1" customWidth="1"/>
    <col min="2" max="2" width="20" bestFit="1" customWidth="1"/>
    <col min="3" max="34" width="8.81640625" style="14"/>
    <col min="35" max="50" width="9.1796875" style="14"/>
    <col min="99" max="99" width="10.7265625" bestFit="1" customWidth="1"/>
  </cols>
  <sheetData>
    <row r="1" spans="1:106" x14ac:dyDescent="0.25">
      <c r="A1" s="13" t="s">
        <v>78</v>
      </c>
    </row>
    <row r="2" spans="1:106" x14ac:dyDescent="0.25">
      <c r="C2" s="14" t="s">
        <v>354</v>
      </c>
      <c r="D2" s="14" t="s">
        <v>355</v>
      </c>
      <c r="E2" s="14" t="s">
        <v>356</v>
      </c>
      <c r="F2" s="14" t="s">
        <v>357</v>
      </c>
      <c r="G2" s="14" t="s">
        <v>350</v>
      </c>
      <c r="H2" s="14" t="s">
        <v>351</v>
      </c>
      <c r="I2" s="14" t="s">
        <v>352</v>
      </c>
      <c r="J2" s="14" t="s">
        <v>353</v>
      </c>
      <c r="K2" s="14" t="s">
        <v>346</v>
      </c>
      <c r="L2" s="14" t="s">
        <v>347</v>
      </c>
      <c r="M2" s="14" t="s">
        <v>348</v>
      </c>
      <c r="N2" s="14" t="s">
        <v>349</v>
      </c>
      <c r="O2" s="14" t="s">
        <v>342</v>
      </c>
      <c r="P2" s="14" t="s">
        <v>343</v>
      </c>
      <c r="Q2" s="14" t="s">
        <v>344</v>
      </c>
      <c r="R2" s="14" t="s">
        <v>345</v>
      </c>
      <c r="S2" s="14" t="s">
        <v>338</v>
      </c>
      <c r="T2" s="14" t="s">
        <v>339</v>
      </c>
      <c r="U2" s="14" t="s">
        <v>340</v>
      </c>
      <c r="V2" s="14" t="s">
        <v>341</v>
      </c>
      <c r="W2" s="14" t="s">
        <v>334</v>
      </c>
      <c r="X2" s="14" t="s">
        <v>335</v>
      </c>
      <c r="Y2" s="14" t="s">
        <v>336</v>
      </c>
      <c r="Z2" s="14" t="s">
        <v>337</v>
      </c>
      <c r="AA2" s="14" t="s">
        <v>330</v>
      </c>
      <c r="AB2" s="14" t="s">
        <v>331</v>
      </c>
      <c r="AC2" s="14" t="s">
        <v>332</v>
      </c>
      <c r="AD2" s="14" t="s">
        <v>333</v>
      </c>
      <c r="AE2" s="14" t="s">
        <v>326</v>
      </c>
      <c r="AF2" s="14" t="s">
        <v>327</v>
      </c>
      <c r="AG2" s="14" t="s">
        <v>328</v>
      </c>
      <c r="AH2" s="14" t="s">
        <v>329</v>
      </c>
      <c r="AI2" s="14" t="s">
        <v>249</v>
      </c>
      <c r="AJ2" s="14" t="s">
        <v>250</v>
      </c>
      <c r="AK2" s="14" t="s">
        <v>251</v>
      </c>
      <c r="AL2" s="14" t="s">
        <v>252</v>
      </c>
      <c r="AM2" s="14" t="s">
        <v>196</v>
      </c>
      <c r="AN2" s="14" t="s">
        <v>197</v>
      </c>
      <c r="AO2" s="14" t="s">
        <v>198</v>
      </c>
      <c r="AP2" s="14" t="s">
        <v>199</v>
      </c>
      <c r="AQ2" s="14" t="s">
        <v>200</v>
      </c>
      <c r="AR2" s="14" t="s">
        <v>201</v>
      </c>
      <c r="AS2" s="14" t="s">
        <v>202</v>
      </c>
      <c r="AT2" s="14" t="s">
        <v>203</v>
      </c>
      <c r="AU2" s="14" t="s">
        <v>204</v>
      </c>
      <c r="AV2" s="14" t="s">
        <v>28</v>
      </c>
      <c r="AW2" s="14" t="s">
        <v>205</v>
      </c>
      <c r="AX2" s="14" t="s">
        <v>206</v>
      </c>
      <c r="AY2" s="14" t="s">
        <v>243</v>
      </c>
      <c r="AZ2" s="14" t="s">
        <v>244</v>
      </c>
      <c r="BA2" s="14" t="s">
        <v>245</v>
      </c>
      <c r="BB2" s="14" t="s">
        <v>246</v>
      </c>
      <c r="BC2" s="14" t="s">
        <v>318</v>
      </c>
      <c r="BD2" s="14" t="s">
        <v>319</v>
      </c>
      <c r="BE2" s="14" t="s">
        <v>320</v>
      </c>
      <c r="BF2" s="14" t="s">
        <v>321</v>
      </c>
      <c r="BG2" s="14" t="s">
        <v>322</v>
      </c>
      <c r="BH2" s="14" t="s">
        <v>323</v>
      </c>
      <c r="BI2" s="14" t="s">
        <v>324</v>
      </c>
      <c r="BJ2" s="14" t="s">
        <v>325</v>
      </c>
      <c r="BK2" s="14" t="s">
        <v>551</v>
      </c>
      <c r="BL2" s="14" t="s">
        <v>558</v>
      </c>
      <c r="BM2" s="14" t="s">
        <v>559</v>
      </c>
      <c r="BN2" s="14" t="s">
        <v>560</v>
      </c>
      <c r="BO2" s="14" t="s">
        <v>562</v>
      </c>
      <c r="BP2" s="14" t="s">
        <v>563</v>
      </c>
      <c r="BQ2" s="14" t="s">
        <v>564</v>
      </c>
      <c r="BR2" s="14" t="s">
        <v>565</v>
      </c>
      <c r="BT2">
        <v>2010</v>
      </c>
      <c r="BU2">
        <f>+BT2+1</f>
        <v>2011</v>
      </c>
      <c r="BV2">
        <f t="shared" ref="BV2:DB2" si="0">+BU2+1</f>
        <v>2012</v>
      </c>
      <c r="BW2">
        <f t="shared" si="0"/>
        <v>2013</v>
      </c>
      <c r="BX2">
        <f t="shared" si="0"/>
        <v>2014</v>
      </c>
      <c r="BY2">
        <f t="shared" si="0"/>
        <v>2015</v>
      </c>
      <c r="BZ2">
        <f t="shared" si="0"/>
        <v>2016</v>
      </c>
      <c r="CA2">
        <f t="shared" si="0"/>
        <v>2017</v>
      </c>
      <c r="CB2">
        <f t="shared" si="0"/>
        <v>2018</v>
      </c>
      <c r="CC2">
        <f t="shared" si="0"/>
        <v>2019</v>
      </c>
      <c r="CD2">
        <f t="shared" si="0"/>
        <v>2020</v>
      </c>
      <c r="CE2">
        <f t="shared" si="0"/>
        <v>2021</v>
      </c>
      <c r="CF2">
        <f t="shared" si="0"/>
        <v>2022</v>
      </c>
      <c r="CG2">
        <f t="shared" si="0"/>
        <v>2023</v>
      </c>
      <c r="CH2">
        <f t="shared" si="0"/>
        <v>2024</v>
      </c>
      <c r="CI2">
        <f t="shared" si="0"/>
        <v>2025</v>
      </c>
      <c r="CJ2">
        <f t="shared" si="0"/>
        <v>2026</v>
      </c>
      <c r="CK2">
        <f t="shared" si="0"/>
        <v>2027</v>
      </c>
      <c r="CL2">
        <f t="shared" si="0"/>
        <v>2028</v>
      </c>
      <c r="CM2">
        <f t="shared" si="0"/>
        <v>2029</v>
      </c>
      <c r="CN2">
        <f t="shared" si="0"/>
        <v>2030</v>
      </c>
      <c r="CO2">
        <f t="shared" si="0"/>
        <v>2031</v>
      </c>
      <c r="CP2">
        <f t="shared" si="0"/>
        <v>2032</v>
      </c>
      <c r="CQ2">
        <f t="shared" si="0"/>
        <v>2033</v>
      </c>
      <c r="CR2">
        <f t="shared" si="0"/>
        <v>2034</v>
      </c>
      <c r="CS2">
        <f t="shared" si="0"/>
        <v>2035</v>
      </c>
      <c r="CT2">
        <f t="shared" si="0"/>
        <v>2036</v>
      </c>
      <c r="CU2">
        <f t="shared" si="0"/>
        <v>2037</v>
      </c>
      <c r="CV2">
        <f t="shared" si="0"/>
        <v>2038</v>
      </c>
      <c r="CW2">
        <f t="shared" si="0"/>
        <v>2039</v>
      </c>
      <c r="CX2">
        <f t="shared" si="0"/>
        <v>2040</v>
      </c>
      <c r="CY2">
        <f t="shared" si="0"/>
        <v>2041</v>
      </c>
      <c r="CZ2">
        <f t="shared" si="0"/>
        <v>2042</v>
      </c>
      <c r="DA2">
        <f t="shared" si="0"/>
        <v>2043</v>
      </c>
      <c r="DB2">
        <f t="shared" si="0"/>
        <v>2044</v>
      </c>
    </row>
    <row r="3" spans="1:106" s="1" customFormat="1" x14ac:dyDescent="0.25">
      <c r="B3" s="1" t="s">
        <v>31</v>
      </c>
      <c r="C3" s="15">
        <v>0</v>
      </c>
      <c r="D3" s="15">
        <v>0</v>
      </c>
      <c r="E3" s="15">
        <v>0</v>
      </c>
      <c r="F3" s="15">
        <v>24.8</v>
      </c>
      <c r="G3" s="15">
        <v>123.5</v>
      </c>
      <c r="H3" s="15">
        <v>194</v>
      </c>
      <c r="I3" s="15">
        <v>244.4</v>
      </c>
      <c r="J3" s="15">
        <f>837.9-I3-H3-G3</f>
        <v>276</v>
      </c>
      <c r="K3" s="15">
        <v>313.89999999999998</v>
      </c>
      <c r="L3" s="15">
        <v>329.8</v>
      </c>
      <c r="M3" s="15">
        <v>363.1</v>
      </c>
      <c r="N3" s="15">
        <f>+BW3-M3-L3-K3</f>
        <v>401.9</v>
      </c>
      <c r="O3" s="15">
        <v>359</v>
      </c>
      <c r="P3" s="15">
        <v>418.02199999999999</v>
      </c>
      <c r="Q3" s="15">
        <v>448.84399999999999</v>
      </c>
      <c r="R3" s="15">
        <v>518</v>
      </c>
      <c r="S3" s="15">
        <v>541</v>
      </c>
      <c r="T3" s="15">
        <v>657.81899999999996</v>
      </c>
      <c r="U3" s="15">
        <v>737.56200000000001</v>
      </c>
      <c r="V3" s="15">
        <v>746</v>
      </c>
      <c r="W3" s="15">
        <v>781</v>
      </c>
      <c r="X3" s="15">
        <v>831</v>
      </c>
      <c r="Y3" s="15">
        <v>854</v>
      </c>
      <c r="Z3" s="15">
        <v>858</v>
      </c>
      <c r="AA3" s="15">
        <v>854</v>
      </c>
      <c r="AB3" s="15">
        <v>919</v>
      </c>
      <c r="AC3" s="15">
        <v>953</v>
      </c>
      <c r="AD3" s="15">
        <v>975</v>
      </c>
      <c r="AE3" s="15">
        <v>984</v>
      </c>
      <c r="AF3" s="15">
        <v>992</v>
      </c>
      <c r="AG3" s="15">
        <v>1021.8</v>
      </c>
      <c r="AH3" s="15">
        <v>1078.9000000000001</v>
      </c>
      <c r="AI3" s="15">
        <v>1074.0999999999999</v>
      </c>
      <c r="AJ3" s="15">
        <v>1160</v>
      </c>
      <c r="AK3" s="15">
        <v>1187.7</v>
      </c>
      <c r="AL3" s="15">
        <v>1222.0999999999999</v>
      </c>
      <c r="AM3" s="15">
        <v>1172</v>
      </c>
      <c r="AN3" s="15">
        <v>1114</v>
      </c>
      <c r="AO3" s="15">
        <v>1318</v>
      </c>
      <c r="AP3" s="15">
        <v>1343</v>
      </c>
      <c r="AQ3" s="15">
        <v>1347</v>
      </c>
      <c r="AR3" s="15">
        <v>1425</v>
      </c>
      <c r="AS3" s="15">
        <v>1473</v>
      </c>
      <c r="AT3" s="15">
        <v>1547</v>
      </c>
      <c r="AU3" s="15">
        <v>1518</v>
      </c>
      <c r="AV3" s="15">
        <v>1621</v>
      </c>
      <c r="AW3" s="15">
        <v>1629</v>
      </c>
      <c r="AX3" s="15">
        <v>1496</v>
      </c>
      <c r="AY3" s="15">
        <v>1434</v>
      </c>
      <c r="AZ3" s="15">
        <v>1500</v>
      </c>
      <c r="BA3" s="15">
        <v>1448</v>
      </c>
      <c r="BB3" s="15">
        <v>1338</v>
      </c>
      <c r="BC3" s="15">
        <v>1202</v>
      </c>
      <c r="BD3" s="15">
        <v>1231</v>
      </c>
      <c r="BE3" s="15">
        <v>1144.5999999999999</v>
      </c>
      <c r="BF3" s="15">
        <v>1190</v>
      </c>
      <c r="BG3" s="15">
        <v>736</v>
      </c>
      <c r="BH3" s="15">
        <v>754</v>
      </c>
      <c r="BI3" s="15">
        <v>681</v>
      </c>
      <c r="BJ3" s="15">
        <v>577</v>
      </c>
      <c r="BK3" s="15">
        <v>473</v>
      </c>
      <c r="BL3" s="15">
        <v>412</v>
      </c>
      <c r="BM3" s="15"/>
      <c r="BN3" s="15"/>
      <c r="BO3" s="15"/>
      <c r="BP3" s="15"/>
      <c r="BQ3" s="15"/>
      <c r="BR3" s="15"/>
      <c r="BU3" s="1">
        <f>SUM(C3:F3)</f>
        <v>24.8</v>
      </c>
      <c r="BV3" s="1">
        <f>SUM(G3:J3)</f>
        <v>837.9</v>
      </c>
      <c r="BW3" s="1">
        <v>1408.7</v>
      </c>
      <c r="BX3" s="1">
        <v>1736.4</v>
      </c>
      <c r="BY3" s="1">
        <v>2676</v>
      </c>
      <c r="BZ3" s="1">
        <v>3323.1</v>
      </c>
      <c r="CA3" s="1">
        <v>3701.9</v>
      </c>
      <c r="CB3" s="1">
        <v>4076.7</v>
      </c>
      <c r="CC3" s="1">
        <v>4644.2</v>
      </c>
      <c r="CD3" s="1">
        <f>SUM(AM3:AP3)</f>
        <v>4947</v>
      </c>
      <c r="CE3" s="1">
        <f>SUM(AQ3:AT3)</f>
        <v>5792</v>
      </c>
      <c r="CF3" s="1">
        <f>SUM(AU3:AX3)</f>
        <v>6264</v>
      </c>
      <c r="CG3" s="1">
        <f>SUM(AY3:BB3)</f>
        <v>5720</v>
      </c>
      <c r="CH3" s="1">
        <f>SUM(Model!BC3:BF3)</f>
        <v>4767.6000000000004</v>
      </c>
      <c r="CI3" s="1">
        <f>SUM(BG3:BJ3)</f>
        <v>2748</v>
      </c>
      <c r="CJ3" s="1">
        <f>CI3*0.7</f>
        <v>1923.6</v>
      </c>
      <c r="CK3" s="1">
        <f t="shared" ref="CK3:CS3" si="1">CJ3*0.7</f>
        <v>1346.5199999999998</v>
      </c>
      <c r="CL3" s="1">
        <f t="shared" si="1"/>
        <v>942.56399999999974</v>
      </c>
      <c r="CM3" s="1">
        <f t="shared" si="1"/>
        <v>659.79479999999978</v>
      </c>
      <c r="CN3" s="1">
        <f t="shared" si="1"/>
        <v>461.85635999999982</v>
      </c>
      <c r="CO3" s="1">
        <f t="shared" si="1"/>
        <v>323.29945199999986</v>
      </c>
      <c r="CP3" s="1">
        <f t="shared" si="1"/>
        <v>226.3096163999999</v>
      </c>
      <c r="CQ3" s="1">
        <f t="shared" si="1"/>
        <v>158.41673147999992</v>
      </c>
      <c r="CR3" s="1">
        <f t="shared" si="1"/>
        <v>110.89171203599994</v>
      </c>
      <c r="CS3" s="1">
        <f t="shared" si="1"/>
        <v>77.62419842519995</v>
      </c>
    </row>
    <row r="4" spans="1:106" s="1" customFormat="1" x14ac:dyDescent="0.25">
      <c r="B4" s="1" t="s">
        <v>317</v>
      </c>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v>0</v>
      </c>
      <c r="AZ4" s="15">
        <v>0</v>
      </c>
      <c r="BA4" s="15">
        <v>43</v>
      </c>
      <c r="BB4" s="15">
        <v>123</v>
      </c>
      <c r="BC4" s="15">
        <v>200</v>
      </c>
      <c r="BD4" s="15">
        <v>304</v>
      </c>
      <c r="BE4" s="15">
        <v>392.3</v>
      </c>
      <c r="BF4" s="15">
        <v>305</v>
      </c>
      <c r="BG4" s="15">
        <v>307</v>
      </c>
      <c r="BH4" s="15">
        <v>393</v>
      </c>
      <c r="BI4" s="15">
        <v>431</v>
      </c>
      <c r="BJ4" s="15">
        <v>506</v>
      </c>
      <c r="BK4" s="15">
        <v>468</v>
      </c>
      <c r="BL4" s="15">
        <v>596</v>
      </c>
      <c r="BM4" s="15"/>
      <c r="BN4" s="15"/>
      <c r="BO4" s="15"/>
      <c r="BP4" s="15"/>
      <c r="BQ4" s="15"/>
      <c r="BR4" s="15"/>
      <c r="CG4" s="1">
        <f>SUM(AY4:BB4)</f>
        <v>166</v>
      </c>
      <c r="CH4" s="1">
        <f>SUM(Model!BC4:BF4)</f>
        <v>1201.3</v>
      </c>
      <c r="CI4" s="1">
        <f>SUM(BG4:BJ4)</f>
        <v>1637</v>
      </c>
      <c r="CJ4" s="1">
        <f>+CI4*1.1</f>
        <v>1800.7</v>
      </c>
      <c r="CK4" s="1">
        <f>+CJ4*0.7</f>
        <v>1260.49</v>
      </c>
      <c r="CL4" s="1">
        <f t="shared" ref="CL4:CS4" si="2">+CK4*0.7</f>
        <v>882.34299999999996</v>
      </c>
      <c r="CM4" s="1">
        <f t="shared" si="2"/>
        <v>617.64009999999996</v>
      </c>
      <c r="CN4" s="1">
        <f t="shared" si="2"/>
        <v>432.34806999999995</v>
      </c>
      <c r="CO4" s="1">
        <f t="shared" si="2"/>
        <v>302.64364899999993</v>
      </c>
      <c r="CP4" s="1">
        <f t="shared" si="2"/>
        <v>211.85055429999994</v>
      </c>
      <c r="CQ4" s="1">
        <f t="shared" si="2"/>
        <v>148.29538800999995</v>
      </c>
      <c r="CR4" s="1">
        <f t="shared" si="2"/>
        <v>103.80677160699996</v>
      </c>
      <c r="CS4" s="1">
        <f t="shared" si="2"/>
        <v>72.664740124899964</v>
      </c>
    </row>
    <row r="5" spans="1:106" s="1" customFormat="1" x14ac:dyDescent="0.25">
      <c r="B5" s="1" t="s">
        <v>207</v>
      </c>
      <c r="C5" s="15"/>
      <c r="D5" s="15"/>
      <c r="E5" s="15"/>
      <c r="F5" s="15"/>
      <c r="G5" s="15"/>
      <c r="H5" s="15"/>
      <c r="I5" s="15"/>
      <c r="J5" s="15"/>
      <c r="K5" s="15"/>
      <c r="L5" s="15"/>
      <c r="M5" s="15"/>
      <c r="N5" s="15"/>
      <c r="O5" s="15"/>
      <c r="P5" s="15"/>
      <c r="Q5" s="15"/>
      <c r="R5" s="15"/>
      <c r="S5" s="15"/>
      <c r="T5" s="15"/>
      <c r="U5" s="15"/>
      <c r="V5" s="15"/>
      <c r="W5" s="15"/>
      <c r="X5" s="15">
        <v>0</v>
      </c>
      <c r="Y5" s="15">
        <v>0</v>
      </c>
      <c r="Z5" s="15">
        <v>0</v>
      </c>
      <c r="AA5" s="15">
        <v>0</v>
      </c>
      <c r="AB5" s="15">
        <v>0</v>
      </c>
      <c r="AC5" s="15">
        <v>0</v>
      </c>
      <c r="AD5" s="15">
        <v>0</v>
      </c>
      <c r="AE5" s="15">
        <v>0</v>
      </c>
      <c r="AF5" s="15">
        <v>0</v>
      </c>
      <c r="AG5" s="15">
        <v>0</v>
      </c>
      <c r="AH5" s="15">
        <v>14.8</v>
      </c>
      <c r="AI5" s="15">
        <v>26.8</v>
      </c>
      <c r="AJ5" s="15">
        <v>40.799999999999997</v>
      </c>
      <c r="AK5" s="15">
        <v>47.6</v>
      </c>
      <c r="AL5" s="15">
        <v>60.5</v>
      </c>
      <c r="AM5" s="15">
        <v>61.7</v>
      </c>
      <c r="AN5" s="15">
        <v>63.3</v>
      </c>
      <c r="AO5" s="15">
        <v>72</v>
      </c>
      <c r="AP5" s="15">
        <v>74</v>
      </c>
      <c r="AQ5" s="15">
        <v>69</v>
      </c>
      <c r="AR5" s="15">
        <v>78</v>
      </c>
      <c r="AS5" s="15">
        <v>78</v>
      </c>
      <c r="AT5" s="15">
        <v>81</v>
      </c>
      <c r="AU5" s="15">
        <v>79</v>
      </c>
      <c r="AV5" s="15">
        <v>91</v>
      </c>
      <c r="AW5" s="15">
        <f>95+31</f>
        <v>126</v>
      </c>
      <c r="AX5" s="15">
        <f>110+42</f>
        <v>152</v>
      </c>
      <c r="AY5" s="1">
        <v>177</v>
      </c>
      <c r="AZ5" s="1">
        <v>210</v>
      </c>
      <c r="BA5" s="1">
        <v>232</v>
      </c>
      <c r="BB5" s="1">
        <v>244</v>
      </c>
      <c r="BC5" s="1">
        <v>264</v>
      </c>
      <c r="BD5" s="1">
        <v>297</v>
      </c>
      <c r="BE5" s="1">
        <v>288.60000000000002</v>
      </c>
      <c r="BF5" s="1">
        <v>367</v>
      </c>
      <c r="BG5" s="1">
        <v>285</v>
      </c>
      <c r="BH5" s="1">
        <v>377</v>
      </c>
      <c r="BI5" s="1">
        <v>365</v>
      </c>
      <c r="BJ5" s="1">
        <v>425</v>
      </c>
      <c r="BK5" s="1">
        <v>438</v>
      </c>
      <c r="BL5" s="1">
        <v>489</v>
      </c>
      <c r="CB5" s="1">
        <v>14.8</v>
      </c>
      <c r="CC5" s="1">
        <v>175.7</v>
      </c>
      <c r="CD5" s="1">
        <f t="shared" ref="CD5:CD25" si="3">SUM(AM5:AP5)</f>
        <v>271</v>
      </c>
      <c r="CE5" s="1">
        <f t="shared" ref="CE5:CE25" si="4">SUM(AQ5:AT5)</f>
        <v>306</v>
      </c>
      <c r="CF5" s="1">
        <f t="shared" ref="CF5:CF25" si="5">SUM(AU5:AX5)</f>
        <v>448</v>
      </c>
      <c r="CG5" s="1">
        <f t="shared" ref="CG5:CG25" si="6">SUM(AY5:BB5)</f>
        <v>863</v>
      </c>
      <c r="CH5" s="1">
        <f>SUM(Model!BC5:BF5)</f>
        <v>1216.5999999999999</v>
      </c>
      <c r="CI5" s="1">
        <f>SUM(BG5:BJ5)</f>
        <v>1452</v>
      </c>
      <c r="CJ5" s="1">
        <f t="shared" ref="CJ5:CQ5" si="7">CI5*1.01</f>
        <v>1466.52</v>
      </c>
      <c r="CK5" s="1">
        <f t="shared" si="7"/>
        <v>1481.1851999999999</v>
      </c>
      <c r="CL5" s="1">
        <f t="shared" si="7"/>
        <v>1495.9970519999999</v>
      </c>
      <c r="CM5" s="1">
        <f t="shared" si="7"/>
        <v>1510.95702252</v>
      </c>
      <c r="CN5" s="1">
        <f t="shared" si="7"/>
        <v>1526.0665927452001</v>
      </c>
      <c r="CO5" s="1">
        <f t="shared" si="7"/>
        <v>1541.3272586726521</v>
      </c>
      <c r="CP5" s="1">
        <f t="shared" si="7"/>
        <v>1556.7405312593787</v>
      </c>
      <c r="CQ5" s="1">
        <f t="shared" si="7"/>
        <v>1572.3079365719725</v>
      </c>
      <c r="CR5" s="1">
        <f>+CQ5*0.9</f>
        <v>1415.0771429147753</v>
      </c>
      <c r="CS5" s="1">
        <f>+CR5*0.7</f>
        <v>990.55400004034266</v>
      </c>
    </row>
    <row r="6" spans="1:106" s="1" customFormat="1" x14ac:dyDescent="0.25">
      <c r="B6" s="1" t="s">
        <v>208</v>
      </c>
      <c r="C6" s="15"/>
      <c r="D6" s="15"/>
      <c r="E6" s="15"/>
      <c r="F6" s="15"/>
      <c r="G6" s="15"/>
      <c r="H6" s="15"/>
      <c r="I6" s="15"/>
      <c r="J6" s="15"/>
      <c r="K6" s="15"/>
      <c r="L6" s="15"/>
      <c r="M6" s="15"/>
      <c r="N6" s="15"/>
      <c r="O6" s="15"/>
      <c r="P6" s="15"/>
      <c r="Q6" s="15"/>
      <c r="R6" s="15"/>
      <c r="S6" s="15"/>
      <c r="T6" s="15"/>
      <c r="U6" s="15"/>
      <c r="V6" s="15"/>
      <c r="W6" s="15"/>
      <c r="X6" s="15">
        <v>0</v>
      </c>
      <c r="Y6" s="15">
        <v>0</v>
      </c>
      <c r="Z6" s="15">
        <v>0</v>
      </c>
      <c r="AA6" s="15">
        <v>0</v>
      </c>
      <c r="AB6" s="15">
        <v>0</v>
      </c>
      <c r="AC6" s="15">
        <v>0</v>
      </c>
      <c r="AD6" s="15">
        <v>0</v>
      </c>
      <c r="AE6" s="15">
        <v>0</v>
      </c>
      <c r="AF6" s="15">
        <v>0</v>
      </c>
      <c r="AG6" s="15">
        <v>0</v>
      </c>
      <c r="AH6" s="15">
        <v>0</v>
      </c>
      <c r="AI6" s="15">
        <v>0</v>
      </c>
      <c r="AJ6" s="15">
        <v>0</v>
      </c>
      <c r="AK6" s="15">
        <v>0</v>
      </c>
      <c r="AL6" s="15">
        <v>0</v>
      </c>
      <c r="AM6" s="15">
        <v>0</v>
      </c>
      <c r="AN6" s="15">
        <v>47.2</v>
      </c>
      <c r="AO6" s="15">
        <v>49</v>
      </c>
      <c r="AP6" s="15">
        <v>55</v>
      </c>
      <c r="AQ6" s="15">
        <v>43</v>
      </c>
      <c r="AR6" s="15">
        <v>42</v>
      </c>
      <c r="AS6" s="15">
        <v>45</v>
      </c>
      <c r="AT6" s="15">
        <v>40</v>
      </c>
      <c r="AU6" s="15">
        <v>34</v>
      </c>
      <c r="AV6" s="15">
        <v>31</v>
      </c>
      <c r="AW6" s="15">
        <v>30</v>
      </c>
      <c r="AX6" s="15">
        <v>36</v>
      </c>
      <c r="AY6" s="1">
        <v>40</v>
      </c>
      <c r="AZ6" s="1">
        <v>41</v>
      </c>
      <c r="BA6" s="1">
        <v>40</v>
      </c>
      <c r="BB6" s="1">
        <v>61</v>
      </c>
      <c r="BC6" s="1">
        <v>70</v>
      </c>
      <c r="BD6" s="1">
        <v>56</v>
      </c>
      <c r="BE6" s="1">
        <v>52.9</v>
      </c>
      <c r="BF6" s="1">
        <v>63</v>
      </c>
      <c r="BG6" s="1">
        <v>57</v>
      </c>
      <c r="BH6" s="1">
        <v>66</v>
      </c>
      <c r="BI6" s="1">
        <v>67</v>
      </c>
      <c r="BJ6" s="1">
        <v>73</v>
      </c>
      <c r="BK6" s="1">
        <v>67</v>
      </c>
      <c r="BL6" s="1">
        <v>75</v>
      </c>
      <c r="CB6" s="1">
        <v>181.3</v>
      </c>
      <c r="CC6" s="1">
        <v>126</v>
      </c>
      <c r="CD6" s="1">
        <f t="shared" si="3"/>
        <v>151.19999999999999</v>
      </c>
      <c r="CE6" s="1">
        <f t="shared" si="4"/>
        <v>170</v>
      </c>
      <c r="CF6" s="1">
        <f t="shared" si="5"/>
        <v>131</v>
      </c>
      <c r="CG6" s="1">
        <f t="shared" si="6"/>
        <v>182</v>
      </c>
      <c r="CH6" s="1">
        <f>SUM(Model!BC6:BF6)</f>
        <v>241.9</v>
      </c>
      <c r="CI6" s="1">
        <f>SUM(BG6:BJ6)</f>
        <v>263</v>
      </c>
      <c r="CJ6" s="1">
        <f t="shared" ref="CJ6:CS9" si="8">CI6*1.01</f>
        <v>265.63</v>
      </c>
      <c r="CK6" s="1">
        <f t="shared" si="8"/>
        <v>268.28629999999998</v>
      </c>
      <c r="CL6" s="1">
        <f t="shared" si="8"/>
        <v>270.96916299999998</v>
      </c>
      <c r="CM6" s="1">
        <f t="shared" si="8"/>
        <v>273.67885462999999</v>
      </c>
      <c r="CN6" s="1">
        <f t="shared" si="8"/>
        <v>276.41564317629997</v>
      </c>
      <c r="CO6" s="1">
        <f t="shared" si="8"/>
        <v>279.17979960806298</v>
      </c>
      <c r="CP6" s="1">
        <f t="shared" si="8"/>
        <v>281.9715976041436</v>
      </c>
      <c r="CQ6" s="1">
        <f t="shared" si="8"/>
        <v>284.79131358018503</v>
      </c>
      <c r="CR6" s="1">
        <f t="shared" si="8"/>
        <v>287.63922671598687</v>
      </c>
      <c r="CS6" s="1">
        <f t="shared" si="8"/>
        <v>290.51561898314674</v>
      </c>
    </row>
    <row r="7" spans="1:106" s="1" customFormat="1" x14ac:dyDescent="0.25">
      <c r="B7" s="1" t="s">
        <v>247</v>
      </c>
      <c r="C7" s="15"/>
      <c r="D7" s="15"/>
      <c r="E7" s="15"/>
      <c r="F7" s="15"/>
      <c r="G7" s="15"/>
      <c r="H7" s="15"/>
      <c r="I7" s="15"/>
      <c r="J7" s="15"/>
      <c r="K7" s="15"/>
      <c r="L7" s="15"/>
      <c r="M7" s="15"/>
      <c r="N7" s="15"/>
      <c r="O7" s="15"/>
      <c r="P7" s="15"/>
      <c r="Q7" s="15"/>
      <c r="R7" s="15"/>
      <c r="S7" s="15"/>
      <c r="T7" s="15"/>
      <c r="U7" s="15"/>
      <c r="V7" s="15"/>
      <c r="W7" s="15"/>
      <c r="X7" s="15">
        <v>0</v>
      </c>
      <c r="Y7" s="15">
        <v>0</v>
      </c>
      <c r="Z7" s="15">
        <v>0</v>
      </c>
      <c r="AA7" s="15">
        <v>0</v>
      </c>
      <c r="AB7" s="15">
        <v>0</v>
      </c>
      <c r="AC7" s="15">
        <v>0</v>
      </c>
      <c r="AD7" s="15">
        <v>0</v>
      </c>
      <c r="AE7" s="15">
        <v>0</v>
      </c>
      <c r="AF7" s="15">
        <v>0</v>
      </c>
      <c r="AG7" s="15">
        <v>0</v>
      </c>
      <c r="AH7" s="15">
        <v>0</v>
      </c>
      <c r="AI7" s="15">
        <v>0</v>
      </c>
      <c r="AJ7" s="15">
        <v>0</v>
      </c>
      <c r="AK7" s="15">
        <v>0</v>
      </c>
      <c r="AL7" s="15">
        <v>0</v>
      </c>
      <c r="AM7" s="15">
        <v>0</v>
      </c>
      <c r="AN7" s="15">
        <v>0</v>
      </c>
      <c r="AO7" s="15">
        <v>40</v>
      </c>
      <c r="AP7" s="15">
        <v>146</v>
      </c>
      <c r="AQ7" s="15">
        <v>262</v>
      </c>
      <c r="AR7" s="15">
        <v>2591</v>
      </c>
      <c r="AS7" s="15">
        <v>677</v>
      </c>
      <c r="AT7" s="15">
        <v>2298</v>
      </c>
      <c r="AU7" s="15">
        <v>0</v>
      </c>
      <c r="AV7" s="15">
        <v>0</v>
      </c>
      <c r="AW7" s="15">
        <v>3</v>
      </c>
      <c r="AX7" s="15">
        <v>0</v>
      </c>
      <c r="AY7" s="15">
        <v>2</v>
      </c>
      <c r="AZ7" s="15">
        <v>2</v>
      </c>
      <c r="BA7" s="15">
        <v>4</v>
      </c>
      <c r="BB7" s="15">
        <v>62</v>
      </c>
      <c r="BC7" s="15">
        <v>1</v>
      </c>
      <c r="BD7" s="15">
        <v>0</v>
      </c>
      <c r="BE7" s="15">
        <v>35</v>
      </c>
      <c r="BF7" s="15">
        <v>40</v>
      </c>
      <c r="BG7" s="15">
        <v>0</v>
      </c>
      <c r="BH7" s="15">
        <v>0</v>
      </c>
      <c r="BI7" s="1">
        <v>0</v>
      </c>
      <c r="BJ7" s="1">
        <v>37</v>
      </c>
      <c r="BK7" s="1">
        <v>0</v>
      </c>
      <c r="CB7" s="1">
        <v>0</v>
      </c>
      <c r="CC7" s="1">
        <v>0</v>
      </c>
      <c r="CD7" s="1">
        <f t="shared" si="3"/>
        <v>186</v>
      </c>
      <c r="CE7" s="1">
        <f t="shared" si="4"/>
        <v>5828</v>
      </c>
      <c r="CF7" s="1">
        <f t="shared" si="5"/>
        <v>3</v>
      </c>
      <c r="CG7" s="1">
        <f t="shared" si="6"/>
        <v>70</v>
      </c>
      <c r="CH7" s="1">
        <f>SUM(Model!BC7:BF7)</f>
        <v>76</v>
      </c>
    </row>
    <row r="8" spans="1:106" s="1" customFormat="1" x14ac:dyDescent="0.25">
      <c r="B8" s="1" t="s">
        <v>561</v>
      </c>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K8" s="1">
        <v>11</v>
      </c>
      <c r="BL8" s="1">
        <v>17</v>
      </c>
    </row>
    <row r="9" spans="1:106" s="1" customFormat="1" x14ac:dyDescent="0.25">
      <c r="B9" s="1" t="s">
        <v>209</v>
      </c>
      <c r="C9" s="15"/>
      <c r="D9" s="15"/>
      <c r="E9" s="15"/>
      <c r="F9" s="15"/>
      <c r="G9" s="15"/>
      <c r="H9" s="15"/>
      <c r="I9" s="15"/>
      <c r="J9" s="15"/>
      <c r="K9" s="15"/>
      <c r="L9" s="15"/>
      <c r="M9" s="15"/>
      <c r="N9" s="15"/>
      <c r="O9" s="15"/>
      <c r="P9" s="15"/>
      <c r="Q9" s="15"/>
      <c r="R9" s="15"/>
      <c r="S9" s="15"/>
      <c r="T9" s="15"/>
      <c r="U9" s="15"/>
      <c r="V9" s="15"/>
      <c r="W9" s="15"/>
      <c r="X9" s="15">
        <v>0</v>
      </c>
      <c r="Y9" s="15">
        <v>0</v>
      </c>
      <c r="Z9" s="15">
        <v>0</v>
      </c>
      <c r="AA9" s="15">
        <v>0</v>
      </c>
      <c r="AB9" s="15">
        <v>0</v>
      </c>
      <c r="AC9" s="15">
        <v>0</v>
      </c>
      <c r="AD9" s="15">
        <v>0</v>
      </c>
      <c r="AE9" s="15">
        <v>0</v>
      </c>
      <c r="AF9" s="15">
        <v>0</v>
      </c>
      <c r="AG9" s="15">
        <v>0</v>
      </c>
      <c r="AH9" s="15">
        <v>0</v>
      </c>
      <c r="AI9" s="15">
        <v>0</v>
      </c>
      <c r="AJ9" s="15">
        <v>0</v>
      </c>
      <c r="AK9" s="15">
        <v>0</v>
      </c>
      <c r="AL9" s="15">
        <v>0</v>
      </c>
      <c r="AM9" s="15">
        <v>0</v>
      </c>
      <c r="AN9" s="15">
        <v>0</v>
      </c>
      <c r="AO9" s="15">
        <v>0</v>
      </c>
      <c r="AP9" s="15">
        <v>0</v>
      </c>
      <c r="AQ9" s="15">
        <v>1</v>
      </c>
      <c r="AR9" s="15">
        <v>2</v>
      </c>
      <c r="AS9" s="15">
        <v>7</v>
      </c>
      <c r="AT9" s="15">
        <v>9</v>
      </c>
      <c r="AU9" s="15">
        <v>8</v>
      </c>
      <c r="AV9" s="15">
        <v>11</v>
      </c>
      <c r="AW9" s="15">
        <v>14</v>
      </c>
      <c r="AX9" s="15">
        <v>15</v>
      </c>
      <c r="AY9" s="1">
        <v>15</v>
      </c>
      <c r="AZ9" s="1">
        <v>19</v>
      </c>
      <c r="BA9" s="1">
        <v>19</v>
      </c>
      <c r="BB9" s="1">
        <v>24</v>
      </c>
      <c r="BC9" s="1">
        <v>24</v>
      </c>
      <c r="BD9" s="1">
        <v>31</v>
      </c>
      <c r="BE9" s="1">
        <v>32.4</v>
      </c>
      <c r="BF9" s="1">
        <v>38</v>
      </c>
      <c r="BG9" s="1">
        <v>31</v>
      </c>
      <c r="BH9" s="1">
        <v>41</v>
      </c>
      <c r="BI9" s="1">
        <v>43</v>
      </c>
      <c r="BJ9" s="1">
        <v>48</v>
      </c>
      <c r="BK9" s="1">
        <v>46</v>
      </c>
      <c r="BL9" s="1">
        <v>53</v>
      </c>
      <c r="CB9" s="1">
        <v>0</v>
      </c>
      <c r="CC9" s="1">
        <v>0</v>
      </c>
      <c r="CD9" s="1">
        <f t="shared" si="3"/>
        <v>0</v>
      </c>
      <c r="CE9" s="1">
        <f t="shared" si="4"/>
        <v>19</v>
      </c>
      <c r="CF9" s="1">
        <f t="shared" si="5"/>
        <v>48</v>
      </c>
      <c r="CG9" s="1">
        <f t="shared" si="6"/>
        <v>77</v>
      </c>
      <c r="CH9" s="1">
        <f>SUM(Model!BC9:BF9)</f>
        <v>125.4</v>
      </c>
      <c r="CI9" s="1">
        <f>SUM(BG9:BJ9)</f>
        <v>163</v>
      </c>
      <c r="CJ9" s="1">
        <f t="shared" si="8"/>
        <v>164.63</v>
      </c>
      <c r="CK9" s="1">
        <f t="shared" si="8"/>
        <v>166.27629999999999</v>
      </c>
      <c r="CL9" s="1">
        <f t="shared" si="8"/>
        <v>167.939063</v>
      </c>
      <c r="CM9" s="1">
        <f t="shared" si="8"/>
        <v>169.61845363</v>
      </c>
      <c r="CN9" s="1">
        <f t="shared" si="8"/>
        <v>171.3146381663</v>
      </c>
      <c r="CO9" s="1">
        <f t="shared" si="8"/>
        <v>173.02778454796299</v>
      </c>
      <c r="CP9" s="1">
        <f t="shared" si="8"/>
        <v>174.75806239344263</v>
      </c>
      <c r="CQ9" s="1">
        <f t="shared" si="8"/>
        <v>176.50564301737705</v>
      </c>
      <c r="CR9" s="1">
        <f t="shared" si="8"/>
        <v>178.27069944755084</v>
      </c>
      <c r="CS9" s="1">
        <f t="shared" si="8"/>
        <v>180.05340644202636</v>
      </c>
    </row>
    <row r="10" spans="1:106" s="1" customFormat="1" x14ac:dyDescent="0.25">
      <c r="B10" s="1" t="s">
        <v>231</v>
      </c>
      <c r="C10" s="15">
        <v>4.4000000000000004</v>
      </c>
      <c r="D10" s="15">
        <v>5.0389999999999997</v>
      </c>
      <c r="E10" s="15">
        <v>5.5</v>
      </c>
      <c r="F10" s="15">
        <f>19.9-E10-D10-C10</f>
        <v>4.9609999999999985</v>
      </c>
      <c r="G10" s="15">
        <v>4.4000000000000004</v>
      </c>
      <c r="H10" s="15">
        <v>5.5</v>
      </c>
      <c r="I10" s="15">
        <v>4.8</v>
      </c>
      <c r="J10" s="15">
        <f>20.2-I10-H10-G10</f>
        <v>5.4999999999999982</v>
      </c>
      <c r="K10" s="15">
        <v>4.8</v>
      </c>
      <c r="L10" s="15">
        <v>4.0999999999999996</v>
      </c>
      <c r="M10" s="15">
        <v>4</v>
      </c>
      <c r="N10" s="15">
        <f t="shared" ref="N10:N14" si="9">+BW10-M10-L10-K10</f>
        <v>4.200000000000002</v>
      </c>
      <c r="O10" s="15">
        <v>3</v>
      </c>
      <c r="P10" s="15"/>
      <c r="Q10" s="15"/>
      <c r="R10" s="15">
        <v>3</v>
      </c>
      <c r="S10" s="15">
        <v>3</v>
      </c>
      <c r="T10" s="15">
        <v>0</v>
      </c>
      <c r="U10" s="15"/>
      <c r="V10" s="15">
        <v>3</v>
      </c>
      <c r="W10" s="15">
        <v>3</v>
      </c>
      <c r="X10" s="15">
        <v>3</v>
      </c>
      <c r="Y10" s="15">
        <v>3</v>
      </c>
      <c r="Z10" s="15">
        <v>5</v>
      </c>
      <c r="AA10" s="15">
        <v>4</v>
      </c>
      <c r="AB10" s="15">
        <v>5</v>
      </c>
      <c r="AC10" s="15">
        <v>4</v>
      </c>
      <c r="AD10" s="15">
        <v>4</v>
      </c>
      <c r="AE10" s="15">
        <v>3.9</v>
      </c>
      <c r="AF10" s="15">
        <v>4.2</v>
      </c>
      <c r="AG10" s="15">
        <v>3.7</v>
      </c>
      <c r="AH10" s="15">
        <v>2.7</v>
      </c>
      <c r="AI10" s="15">
        <v>3.5</v>
      </c>
      <c r="AJ10" s="15">
        <v>4.2</v>
      </c>
      <c r="AK10" s="15">
        <v>3</v>
      </c>
      <c r="AL10" s="15">
        <v>3.8</v>
      </c>
      <c r="AM10" s="15">
        <v>3</v>
      </c>
      <c r="AN10" s="15">
        <v>2.7</v>
      </c>
      <c r="AO10" s="15">
        <v>3</v>
      </c>
      <c r="AP10" s="15">
        <v>4</v>
      </c>
      <c r="AQ10" s="15">
        <v>3</v>
      </c>
      <c r="AR10" s="15">
        <v>0</v>
      </c>
      <c r="AS10" s="15">
        <v>0</v>
      </c>
      <c r="AT10" s="15">
        <v>0</v>
      </c>
      <c r="AU10" s="15">
        <v>0</v>
      </c>
      <c r="AV10" s="15">
        <v>0</v>
      </c>
      <c r="AW10" s="15">
        <v>0</v>
      </c>
      <c r="AX10" s="15">
        <v>0</v>
      </c>
      <c r="AY10" s="15">
        <v>0</v>
      </c>
      <c r="AZ10" s="15">
        <v>0</v>
      </c>
      <c r="BA10" s="15">
        <v>0</v>
      </c>
      <c r="BB10" s="15"/>
      <c r="BC10" s="15"/>
      <c r="BD10" s="15"/>
      <c r="BE10" s="15"/>
      <c r="BF10" s="15"/>
      <c r="BG10" s="15"/>
      <c r="BH10" s="15"/>
      <c r="BT10" s="1">
        <v>25.254000000000001</v>
      </c>
      <c r="BU10" s="1">
        <f>SUM(C10:F10)</f>
        <v>19.899999999999999</v>
      </c>
      <c r="BV10" s="1">
        <f>SUM(G10:J10)</f>
        <v>20.199999999999996</v>
      </c>
      <c r="BW10" s="1">
        <v>17.100000000000001</v>
      </c>
      <c r="BX10" s="1">
        <v>14.4</v>
      </c>
      <c r="BY10" s="1">
        <v>13.5</v>
      </c>
      <c r="BZ10" s="1">
        <v>15.3</v>
      </c>
      <c r="CA10" s="1">
        <v>16.5</v>
      </c>
      <c r="CB10" s="1">
        <v>14.7</v>
      </c>
      <c r="CC10" s="1">
        <v>14.5</v>
      </c>
      <c r="CD10" s="1">
        <f t="shared" si="3"/>
        <v>12.7</v>
      </c>
      <c r="CE10" s="1">
        <f t="shared" si="4"/>
        <v>3</v>
      </c>
      <c r="CF10" s="1">
        <f t="shared" si="5"/>
        <v>0</v>
      </c>
      <c r="CG10" s="1">
        <f t="shared" si="6"/>
        <v>0</v>
      </c>
      <c r="CH10" s="1">
        <f>SUM(Model!BC10:BF10)</f>
        <v>0</v>
      </c>
    </row>
    <row r="11" spans="1:106" s="1" customFormat="1" x14ac:dyDescent="0.25">
      <c r="B11" s="1" t="s">
        <v>264</v>
      </c>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CI11" s="1">
        <v>0</v>
      </c>
      <c r="CJ11" s="1">
        <v>300</v>
      </c>
      <c r="CK11" s="1">
        <v>600</v>
      </c>
      <c r="CL11" s="1">
        <v>900</v>
      </c>
      <c r="CM11" s="1">
        <v>1200</v>
      </c>
      <c r="CN11" s="1">
        <f t="shared" ref="CN11:CS12" si="10">+CM11*1.1</f>
        <v>1320</v>
      </c>
      <c r="CO11" s="1">
        <f t="shared" si="10"/>
        <v>1452.0000000000002</v>
      </c>
      <c r="CP11" s="1">
        <f t="shared" si="10"/>
        <v>1597.2000000000003</v>
      </c>
      <c r="CQ11" s="1">
        <f t="shared" si="10"/>
        <v>1756.9200000000005</v>
      </c>
      <c r="CR11" s="1">
        <f t="shared" si="10"/>
        <v>1932.6120000000008</v>
      </c>
      <c r="CS11" s="1">
        <f t="shared" si="10"/>
        <v>2125.8732000000009</v>
      </c>
    </row>
    <row r="12" spans="1:106" s="1" customFormat="1" x14ac:dyDescent="0.25">
      <c r="B12" s="1" t="s">
        <v>434</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CI12" s="1">
        <v>0</v>
      </c>
      <c r="CJ12" s="1">
        <v>300</v>
      </c>
      <c r="CK12" s="1">
        <v>600</v>
      </c>
      <c r="CL12" s="1">
        <v>900</v>
      </c>
      <c r="CM12" s="1">
        <v>1200</v>
      </c>
      <c r="CN12" s="1">
        <f t="shared" si="10"/>
        <v>1320</v>
      </c>
      <c r="CO12" s="1">
        <f t="shared" si="10"/>
        <v>1452.0000000000002</v>
      </c>
      <c r="CP12" s="1">
        <f t="shared" si="10"/>
        <v>1597.2000000000003</v>
      </c>
      <c r="CQ12" s="1">
        <f t="shared" si="10"/>
        <v>1756.9200000000005</v>
      </c>
      <c r="CR12" s="1">
        <f t="shared" si="10"/>
        <v>1932.6120000000008</v>
      </c>
      <c r="CS12" s="1">
        <f t="shared" si="10"/>
        <v>2125.8732000000009</v>
      </c>
    </row>
    <row r="13" spans="1:106" s="1" customFormat="1" x14ac:dyDescent="0.25">
      <c r="B13" s="1" t="s">
        <v>507</v>
      </c>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CI13" s="1">
        <v>0</v>
      </c>
      <c r="CJ13" s="1">
        <v>100</v>
      </c>
      <c r="CK13" s="1">
        <v>200</v>
      </c>
      <c r="CL13" s="1">
        <v>300</v>
      </c>
      <c r="CM13" s="1">
        <f>+CL13*1.01</f>
        <v>303</v>
      </c>
      <c r="CN13" s="1">
        <f t="shared" ref="CN13:CS13" si="11">+CM13*1.01</f>
        <v>306.03000000000003</v>
      </c>
      <c r="CO13" s="1">
        <f t="shared" si="11"/>
        <v>309.09030000000001</v>
      </c>
      <c r="CP13" s="1">
        <f t="shared" si="11"/>
        <v>312.18120300000004</v>
      </c>
      <c r="CQ13" s="1">
        <f t="shared" si="11"/>
        <v>315.30301503000004</v>
      </c>
      <c r="CR13" s="1">
        <f t="shared" si="11"/>
        <v>318.45604518030007</v>
      </c>
      <c r="CS13" s="1">
        <f t="shared" si="11"/>
        <v>321.64060563210307</v>
      </c>
    </row>
    <row r="14" spans="1:106" s="1" customFormat="1" x14ac:dyDescent="0.25">
      <c r="B14" s="1" t="s">
        <v>20</v>
      </c>
      <c r="C14" s="15">
        <v>85.328999999999994</v>
      </c>
      <c r="D14" s="15">
        <v>84.445999999999998</v>
      </c>
      <c r="E14" s="15">
        <v>79.8</v>
      </c>
      <c r="F14" s="15">
        <f>326.6-E14-D14-C14</f>
        <v>77.02500000000002</v>
      </c>
      <c r="G14" s="15">
        <v>85.004999999999995</v>
      </c>
      <c r="H14" s="15">
        <v>88.988</v>
      </c>
      <c r="I14" s="15">
        <v>145</v>
      </c>
      <c r="J14" s="15">
        <f>423.8-I14-H14-G14</f>
        <v>104.80700000000002</v>
      </c>
      <c r="K14" s="15">
        <v>99.272999999999996</v>
      </c>
      <c r="L14" s="15">
        <v>85.528999999999996</v>
      </c>
      <c r="M14" s="15">
        <v>134.35900000000001</v>
      </c>
      <c r="N14" s="15">
        <f t="shared" si="9"/>
        <v>110.93899999999999</v>
      </c>
      <c r="O14" s="15">
        <v>130.50800000000001</v>
      </c>
      <c r="P14" s="15">
        <v>142.595</v>
      </c>
      <c r="Q14" s="15">
        <v>132.92500000000001</v>
      </c>
      <c r="R14" s="15">
        <v>135.27099999999999</v>
      </c>
      <c r="S14" s="15">
        <v>173.35599999999999</v>
      </c>
      <c r="T14" s="15">
        <v>195.11</v>
      </c>
      <c r="U14" s="15">
        <v>224.73500000000001</v>
      </c>
      <c r="V14" s="15">
        <v>165.672</v>
      </c>
      <c r="W14" s="15">
        <v>219.69399999999999</v>
      </c>
      <c r="X14" s="15">
        <v>163.41399999999999</v>
      </c>
      <c r="Y14" s="15">
        <v>144.392</v>
      </c>
      <c r="Z14" s="15">
        <v>131.16499999999999</v>
      </c>
      <c r="AA14" s="15">
        <v>210.36699999999999</v>
      </c>
      <c r="AB14" s="15">
        <v>222.12799999999999</v>
      </c>
      <c r="AC14" s="15">
        <v>245.17500000000001</v>
      </c>
      <c r="AD14" s="15">
        <v>199.523</v>
      </c>
      <c r="AE14" s="15">
        <v>189.5</v>
      </c>
      <c r="AF14" s="15">
        <v>237.8</v>
      </c>
      <c r="AG14" s="15">
        <v>256.3</v>
      </c>
      <c r="AH14" s="15">
        <v>427.6</v>
      </c>
      <c r="AI14" s="15">
        <v>373.7</v>
      </c>
      <c r="AJ14" s="15">
        <v>349.1</v>
      </c>
      <c r="AK14" s="15">
        <v>404.2</v>
      </c>
      <c r="AL14" s="15">
        <v>427.1</v>
      </c>
      <c r="AM14" s="15">
        <f t="shared" ref="AM14:AS14" si="12">SUM(AM15:AM17)</f>
        <v>246.9</v>
      </c>
      <c r="AN14" s="15">
        <f t="shared" si="12"/>
        <v>269.10000000000002</v>
      </c>
      <c r="AO14" s="15">
        <f t="shared" si="12"/>
        <v>353.3</v>
      </c>
      <c r="AP14" s="15">
        <f t="shared" si="12"/>
        <v>317.10000000000002</v>
      </c>
      <c r="AQ14" s="15">
        <f t="shared" si="12"/>
        <v>364.80000000000007</v>
      </c>
      <c r="AR14" s="15">
        <f t="shared" si="12"/>
        <v>437.7</v>
      </c>
      <c r="AS14" s="15">
        <f t="shared" si="12"/>
        <v>581.80000000000007</v>
      </c>
      <c r="AT14" s="15">
        <f>SUM(AT15:AT17)</f>
        <v>517.9</v>
      </c>
      <c r="AU14" s="15">
        <f>SUM(AU15:AU17)</f>
        <v>630.9</v>
      </c>
      <c r="AV14" s="15">
        <f>SUM(AV15:AV17)</f>
        <v>677.5</v>
      </c>
      <c r="AW14" s="15">
        <f>SUM(AW15:AW17)</f>
        <v>711.4</v>
      </c>
      <c r="AX14" s="15">
        <f>SUM(AX15:AX17)</f>
        <v>835.9</v>
      </c>
      <c r="AY14" s="15">
        <v>798</v>
      </c>
      <c r="AZ14" s="15">
        <v>944</v>
      </c>
      <c r="BA14" s="15">
        <v>1065</v>
      </c>
      <c r="BB14" s="15">
        <v>993</v>
      </c>
      <c r="BC14" s="15">
        <v>910</v>
      </c>
      <c r="BD14" s="15">
        <v>1146</v>
      </c>
      <c r="BE14" s="15">
        <f>SUM(BE15:BE17)</f>
        <v>1263.3999999999999</v>
      </c>
      <c r="BF14" s="15">
        <v>1213</v>
      </c>
      <c r="BG14" s="15">
        <v>1183</v>
      </c>
      <c r="BH14" s="15">
        <v>1444</v>
      </c>
      <c r="BI14" s="15">
        <v>1617</v>
      </c>
      <c r="BJ14" s="15">
        <v>1640</v>
      </c>
      <c r="BK14" s="15">
        <v>1605</v>
      </c>
      <c r="BL14" s="15">
        <v>2174</v>
      </c>
      <c r="BM14" s="15"/>
      <c r="BN14" s="15"/>
      <c r="BO14" s="15"/>
      <c r="BP14" s="15"/>
      <c r="BQ14" s="15"/>
      <c r="BR14" s="15"/>
      <c r="BT14" s="1">
        <v>311.33199999999999</v>
      </c>
      <c r="BU14" s="1">
        <f>SUM(C14:F14)</f>
        <v>326.60000000000002</v>
      </c>
      <c r="BV14" s="1">
        <f>SUM(G14:J14)</f>
        <v>423.8</v>
      </c>
      <c r="BW14" s="1">
        <v>430.1</v>
      </c>
      <c r="BX14" s="1">
        <v>541.29999999999995</v>
      </c>
      <c r="BY14" s="1">
        <v>758.9</v>
      </c>
      <c r="BZ14" s="1">
        <v>658.7</v>
      </c>
      <c r="CA14" s="1">
        <v>877.2</v>
      </c>
      <c r="CB14" s="1">
        <v>1111.0999999999999</v>
      </c>
      <c r="CC14" s="1">
        <v>1426.8</v>
      </c>
      <c r="CD14" s="1">
        <f t="shared" si="3"/>
        <v>1186.4000000000001</v>
      </c>
      <c r="CE14" s="1">
        <f t="shared" si="4"/>
        <v>1902.2000000000003</v>
      </c>
      <c r="CF14" s="1">
        <f t="shared" si="5"/>
        <v>2855.7000000000003</v>
      </c>
      <c r="CG14" s="1">
        <f t="shared" si="6"/>
        <v>3800</v>
      </c>
      <c r="CH14" s="1">
        <f>SUM(Model!BC14:BF14)</f>
        <v>4532.3999999999996</v>
      </c>
      <c r="CI14" s="1">
        <f>SUM(BG14:BJ14)</f>
        <v>5884</v>
      </c>
      <c r="CJ14" s="1">
        <f>CI14*1.1</f>
        <v>6472.4000000000005</v>
      </c>
      <c r="CK14" s="1">
        <f>CJ14*1.1</f>
        <v>7119.6400000000012</v>
      </c>
      <c r="CL14" s="1">
        <f>CK14*1.05</f>
        <v>7475.6220000000012</v>
      </c>
      <c r="CM14" s="1">
        <f>CL14*1.05</f>
        <v>7849.4031000000014</v>
      </c>
      <c r="CN14" s="1">
        <f>CM14*1.05</f>
        <v>8241.8732550000022</v>
      </c>
      <c r="CO14" s="1">
        <f>CN14*1.05</f>
        <v>8653.9669177500036</v>
      </c>
      <c r="CP14" s="1">
        <f>+CO14*0.8</f>
        <v>6923.1735342000029</v>
      </c>
      <c r="CQ14" s="1">
        <f>+CP14*0.7</f>
        <v>4846.2214739400015</v>
      </c>
      <c r="CR14" s="1">
        <f>+CQ14*0.6</f>
        <v>2907.7328843640007</v>
      </c>
      <c r="CS14" s="1">
        <f>+CR14*0.6</f>
        <v>1744.6397306184003</v>
      </c>
    </row>
    <row r="15" spans="1:106" s="1" customFormat="1" x14ac:dyDescent="0.25">
      <c r="B15" s="1" t="s">
        <v>225</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v>170.9</v>
      </c>
      <c r="AN15" s="15">
        <v>171.9</v>
      </c>
      <c r="AO15" s="15">
        <v>212.8</v>
      </c>
      <c r="AP15" s="15">
        <v>229.6</v>
      </c>
      <c r="AQ15" s="15">
        <v>260.60000000000002</v>
      </c>
      <c r="AR15" s="15">
        <v>327.60000000000002</v>
      </c>
      <c r="AS15" s="15">
        <v>387</v>
      </c>
      <c r="AT15" s="15">
        <v>387.8</v>
      </c>
      <c r="AU15" s="15">
        <v>415.3</v>
      </c>
      <c r="AV15" s="15">
        <v>496.6</v>
      </c>
      <c r="AW15" s="15">
        <v>551.1</v>
      </c>
      <c r="AX15" s="15">
        <v>619</v>
      </c>
      <c r="BE15" s="1">
        <v>1088.3</v>
      </c>
      <c r="CD15" s="1">
        <f t="shared" si="3"/>
        <v>785.2</v>
      </c>
      <c r="CE15" s="1">
        <f t="shared" si="4"/>
        <v>1363</v>
      </c>
      <c r="CF15" s="1">
        <f t="shared" si="5"/>
        <v>2082</v>
      </c>
      <c r="CG15" s="1">
        <v>3136.5</v>
      </c>
      <c r="CH15" s="1">
        <v>3923.5</v>
      </c>
    </row>
    <row r="16" spans="1:106" s="1" customFormat="1" x14ac:dyDescent="0.25">
      <c r="B16" s="1" t="s">
        <v>226</v>
      </c>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v>80.099999999999994</v>
      </c>
      <c r="AN16" s="15">
        <v>100.6</v>
      </c>
      <c r="AO16" s="15">
        <v>94.3</v>
      </c>
      <c r="AP16" s="15">
        <v>93</v>
      </c>
      <c r="AQ16" s="15">
        <v>105.6</v>
      </c>
      <c r="AR16" s="15">
        <v>110.9</v>
      </c>
      <c r="AS16" s="15">
        <v>144.69999999999999</v>
      </c>
      <c r="AT16" s="15">
        <v>127.6</v>
      </c>
      <c r="AU16" s="15">
        <v>160.80000000000001</v>
      </c>
      <c r="AV16" s="15">
        <v>145.5</v>
      </c>
      <c r="AW16" s="15">
        <v>160.5</v>
      </c>
      <c r="AX16" s="15">
        <v>166.9</v>
      </c>
      <c r="BE16" s="1">
        <v>175.1</v>
      </c>
      <c r="CD16" s="1">
        <f t="shared" si="3"/>
        <v>368</v>
      </c>
      <c r="CE16" s="1">
        <f t="shared" si="4"/>
        <v>488.79999999999995</v>
      </c>
      <c r="CF16" s="1">
        <f t="shared" si="5"/>
        <v>633.70000000000005</v>
      </c>
      <c r="CG16" s="1">
        <v>613</v>
      </c>
      <c r="CH16" s="1">
        <v>607.9</v>
      </c>
    </row>
    <row r="17" spans="2:97" s="1" customFormat="1" x14ac:dyDescent="0.25">
      <c r="B17" s="1" t="s">
        <v>227</v>
      </c>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f>-6.2+2.1</f>
        <v>-4.0999999999999996</v>
      </c>
      <c r="AN17" s="15">
        <f>-6.4+3</f>
        <v>-3.4000000000000004</v>
      </c>
      <c r="AO17" s="15">
        <f>50-4.7+0.9</f>
        <v>46.199999999999996</v>
      </c>
      <c r="AP17" s="15">
        <f>-8.4+2.9</f>
        <v>-5.5</v>
      </c>
      <c r="AQ17" s="15">
        <f>-6.1+4.7</f>
        <v>-1.3999999999999995</v>
      </c>
      <c r="AR17" s="15">
        <f>-3.5+2.7</f>
        <v>-0.79999999999999982</v>
      </c>
      <c r="AS17" s="15">
        <f>50+3.1-3</f>
        <v>50.1</v>
      </c>
      <c r="AT17" s="15">
        <f>-1+3.5</f>
        <v>2.5</v>
      </c>
      <c r="AU17" s="15">
        <f>50+2.8+2</f>
        <v>54.8</v>
      </c>
      <c r="AV17" s="15">
        <f>28.9+3.9+2.6</f>
        <v>35.4</v>
      </c>
      <c r="AW17" s="15">
        <v>-0.2</v>
      </c>
      <c r="AX17" s="15">
        <v>50</v>
      </c>
      <c r="CD17" s="1">
        <f t="shared" si="3"/>
        <v>33.199999999999996</v>
      </c>
      <c r="CE17" s="1">
        <f t="shared" si="4"/>
        <v>50.400000000000006</v>
      </c>
      <c r="CF17" s="1">
        <f t="shared" si="5"/>
        <v>140</v>
      </c>
      <c r="CG17" s="1">
        <v>50</v>
      </c>
    </row>
    <row r="18" spans="2:97" s="1" customFormat="1" x14ac:dyDescent="0.25">
      <c r="B18" s="1" t="s">
        <v>228</v>
      </c>
      <c r="C18" s="15"/>
      <c r="D18" s="15"/>
      <c r="E18" s="15"/>
      <c r="F18" s="15"/>
      <c r="G18" s="15"/>
      <c r="H18" s="15"/>
      <c r="I18" s="15"/>
      <c r="J18" s="15"/>
      <c r="K18" s="15"/>
      <c r="L18" s="15"/>
      <c r="M18" s="15"/>
      <c r="N18" s="15"/>
      <c r="O18" s="15"/>
      <c r="P18" s="15"/>
      <c r="Q18" s="15"/>
      <c r="R18" s="15"/>
      <c r="S18" s="15"/>
      <c r="T18" s="15"/>
      <c r="U18" s="15"/>
      <c r="V18" s="15"/>
      <c r="W18" s="15"/>
      <c r="X18" s="15"/>
      <c r="Y18" s="15"/>
      <c r="Z18" s="15">
        <v>0</v>
      </c>
      <c r="AA18" s="15"/>
      <c r="AB18" s="15"/>
      <c r="AC18" s="15"/>
      <c r="AD18" s="15">
        <v>139</v>
      </c>
      <c r="AE18" s="15">
        <v>131.4</v>
      </c>
      <c r="AF18" s="15">
        <v>209.2</v>
      </c>
      <c r="AG18" s="15">
        <v>262.60000000000002</v>
      </c>
      <c r="AH18" s="15">
        <v>318.8</v>
      </c>
      <c r="AI18" s="15">
        <v>373.7</v>
      </c>
      <c r="AJ18" s="15">
        <v>557.29999999999995</v>
      </c>
      <c r="AK18" s="15">
        <v>633.1</v>
      </c>
      <c r="AL18" s="15">
        <v>751.5</v>
      </c>
      <c r="AM18" s="15">
        <v>855</v>
      </c>
      <c r="AN18" s="15">
        <v>945</v>
      </c>
      <c r="AO18" s="15">
        <v>1072.5999999999999</v>
      </c>
      <c r="AP18" s="15">
        <v>1172</v>
      </c>
      <c r="AQ18" s="15">
        <v>1262.9000000000001</v>
      </c>
      <c r="AR18" s="15">
        <v>1499</v>
      </c>
      <c r="AS18" s="15">
        <v>1662.9</v>
      </c>
      <c r="AT18" s="15">
        <v>1773.8</v>
      </c>
      <c r="AU18" s="15">
        <v>1810.4</v>
      </c>
      <c r="AV18" s="15">
        <v>2091.8000000000002</v>
      </c>
      <c r="AW18" s="15">
        <v>2330.1</v>
      </c>
      <c r="AX18" s="15">
        <v>2448.9</v>
      </c>
      <c r="AY18" s="1">
        <v>2485</v>
      </c>
      <c r="AZ18" s="1">
        <v>2789.4</v>
      </c>
      <c r="BA18" s="1">
        <v>3097.6</v>
      </c>
      <c r="BB18" s="1">
        <v>3216.1</v>
      </c>
      <c r="BC18" s="1">
        <v>3076.8</v>
      </c>
      <c r="BD18" s="1">
        <v>3556.4</v>
      </c>
      <c r="BE18" s="1">
        <v>3817.2</v>
      </c>
      <c r="BF18" s="1">
        <v>3697.6</v>
      </c>
      <c r="BG18" s="1">
        <v>3670</v>
      </c>
      <c r="BY18" s="1">
        <v>0</v>
      </c>
      <c r="BZ18" s="1">
        <v>0</v>
      </c>
      <c r="CA18" s="1">
        <v>256.5</v>
      </c>
      <c r="CB18" s="1">
        <v>922</v>
      </c>
      <c r="CC18" s="1">
        <v>2315.6</v>
      </c>
      <c r="CD18" s="1">
        <f t="shared" si="3"/>
        <v>4044.6</v>
      </c>
      <c r="CE18" s="1">
        <f t="shared" si="4"/>
        <v>6198.6</v>
      </c>
      <c r="CF18" s="1">
        <f t="shared" si="5"/>
        <v>8681.2000000000007</v>
      </c>
      <c r="CG18" s="1">
        <f t="shared" si="6"/>
        <v>11588.1</v>
      </c>
      <c r="CH18" s="1">
        <f>SUM(BC18:BF18)</f>
        <v>14148.000000000002</v>
      </c>
    </row>
    <row r="19" spans="2:97" s="1" customFormat="1" x14ac:dyDescent="0.25">
      <c r="B19" s="1" t="s">
        <v>229</v>
      </c>
      <c r="C19" s="15"/>
      <c r="D19" s="15"/>
      <c r="E19" s="15"/>
      <c r="F19" s="15"/>
      <c r="G19" s="15"/>
      <c r="H19" s="15"/>
      <c r="I19" s="15"/>
      <c r="J19" s="15"/>
      <c r="K19" s="15"/>
      <c r="L19" s="15"/>
      <c r="M19" s="15"/>
      <c r="N19" s="15"/>
      <c r="O19" s="15"/>
      <c r="P19" s="15"/>
      <c r="Q19" s="15"/>
      <c r="R19" s="15"/>
      <c r="S19" s="15"/>
      <c r="T19" s="15"/>
      <c r="U19" s="15"/>
      <c r="V19" s="15"/>
      <c r="W19" s="15"/>
      <c r="X19" s="15"/>
      <c r="Y19" s="15"/>
      <c r="Z19" s="15">
        <v>41</v>
      </c>
      <c r="AA19" s="15"/>
      <c r="AB19" s="15"/>
      <c r="AC19" s="15"/>
      <c r="AD19" s="15">
        <v>63</v>
      </c>
      <c r="AE19" s="15">
        <v>59.9</v>
      </c>
      <c r="AF19" s="15">
        <v>73.5</v>
      </c>
      <c r="AG19" s="15">
        <v>80.2</v>
      </c>
      <c r="AH19" s="15">
        <v>93.2</v>
      </c>
      <c r="AI19" s="15">
        <v>63.9</v>
      </c>
      <c r="AJ19" s="15">
        <v>73.7</v>
      </c>
      <c r="AK19" s="15">
        <v>69.7</v>
      </c>
      <c r="AL19" s="15">
        <v>81.400000000000006</v>
      </c>
      <c r="AM19" s="15"/>
      <c r="AN19" s="15">
        <v>86.6</v>
      </c>
      <c r="AO19" s="15">
        <v>91.5</v>
      </c>
      <c r="AP19" s="15">
        <v>100.9</v>
      </c>
      <c r="AQ19" s="15">
        <v>104.6</v>
      </c>
      <c r="AR19" s="15">
        <v>99.4</v>
      </c>
      <c r="AS19" s="15">
        <v>114.5</v>
      </c>
      <c r="AT19" s="15">
        <v>102.6</v>
      </c>
      <c r="AU19" s="15">
        <v>111.4</v>
      </c>
      <c r="AV19" s="15">
        <v>108.9</v>
      </c>
      <c r="AW19" s="15">
        <v>113.7</v>
      </c>
      <c r="AX19" s="15">
        <v>133.4</v>
      </c>
      <c r="AY19" s="1">
        <v>145.9</v>
      </c>
      <c r="AZ19" s="1">
        <v>140.30000000000001</v>
      </c>
      <c r="BA19" s="1">
        <v>165.5</v>
      </c>
      <c r="BB19" s="1">
        <v>187.2</v>
      </c>
      <c r="BC19" s="1">
        <v>201.3</v>
      </c>
      <c r="BD19" s="1">
        <v>191.9</v>
      </c>
      <c r="BE19" s="1">
        <v>191.4</v>
      </c>
      <c r="BF19" s="1">
        <v>180.4</v>
      </c>
      <c r="BY19" s="1">
        <f>9.5+1</f>
        <v>10.5</v>
      </c>
      <c r="BZ19" s="1">
        <f>94.4+21.9</f>
        <v>116.30000000000001</v>
      </c>
      <c r="CA19" s="1">
        <f>131.4+63.3</f>
        <v>194.7</v>
      </c>
      <c r="CD19" s="1">
        <f t="shared" si="3"/>
        <v>279</v>
      </c>
      <c r="CE19" s="1">
        <f t="shared" si="4"/>
        <v>421.1</v>
      </c>
      <c r="CF19" s="1">
        <f t="shared" si="5"/>
        <v>467.4</v>
      </c>
      <c r="CG19" s="1">
        <f t="shared" si="6"/>
        <v>638.90000000000009</v>
      </c>
      <c r="CH19" s="1">
        <f>SUM(BC19:BF19)</f>
        <v>765</v>
      </c>
    </row>
    <row r="20" spans="2:97" s="1" customFormat="1" x14ac:dyDescent="0.25">
      <c r="B20" s="1" t="s">
        <v>382</v>
      </c>
      <c r="C20" s="15"/>
      <c r="D20" s="15"/>
      <c r="E20" s="15"/>
      <c r="F20" s="15"/>
      <c r="G20" s="15"/>
      <c r="H20" s="15"/>
      <c r="I20" s="15"/>
      <c r="J20" s="15"/>
      <c r="K20" s="15"/>
      <c r="L20" s="15"/>
      <c r="M20" s="15"/>
      <c r="N20" s="15"/>
      <c r="O20" s="15"/>
      <c r="P20" s="15"/>
      <c r="Q20" s="15"/>
      <c r="R20" s="15"/>
      <c r="S20" s="15"/>
      <c r="T20" s="15"/>
      <c r="U20" s="15"/>
      <c r="V20" s="15"/>
      <c r="W20" s="15"/>
      <c r="X20" s="15"/>
      <c r="Y20" s="15"/>
      <c r="Z20" s="15">
        <v>16</v>
      </c>
      <c r="AA20" s="15"/>
      <c r="AB20" s="15"/>
      <c r="AC20" s="15"/>
      <c r="AD20" s="15">
        <v>25</v>
      </c>
      <c r="AE20" s="15">
        <v>26.3</v>
      </c>
      <c r="AF20" s="15">
        <v>28.4</v>
      </c>
      <c r="AG20" s="15">
        <v>25.4</v>
      </c>
      <c r="AH20" s="15">
        <v>27.8</v>
      </c>
      <c r="AI20" s="15">
        <v>24.5</v>
      </c>
      <c r="AJ20" s="15">
        <v>26.6</v>
      </c>
      <c r="AK20" s="15">
        <v>28.4</v>
      </c>
      <c r="AL20" s="15">
        <v>28.9</v>
      </c>
      <c r="AM20" s="15"/>
      <c r="AN20" s="15"/>
      <c r="AO20" s="15"/>
      <c r="AP20" s="15"/>
      <c r="AQ20" s="15"/>
      <c r="AR20" s="15"/>
      <c r="AS20" s="15"/>
      <c r="AT20" s="15"/>
      <c r="AU20" s="15"/>
      <c r="AV20" s="15"/>
      <c r="AW20" s="15"/>
      <c r="AX20" s="15"/>
      <c r="BY20" s="1">
        <v>85.7</v>
      </c>
      <c r="BZ20" s="1">
        <v>72.3</v>
      </c>
      <c r="CA20" s="1">
        <v>83.8</v>
      </c>
    </row>
    <row r="21" spans="2:97" s="1" customFormat="1" x14ac:dyDescent="0.25">
      <c r="B21" s="1" t="s">
        <v>230</v>
      </c>
      <c r="C21" s="15"/>
      <c r="D21" s="15"/>
      <c r="E21" s="15"/>
      <c r="F21" s="15"/>
      <c r="G21" s="15"/>
      <c r="H21" s="15"/>
      <c r="I21" s="15"/>
      <c r="J21" s="15"/>
      <c r="K21" s="15"/>
      <c r="L21" s="15"/>
      <c r="M21" s="15"/>
      <c r="N21" s="15"/>
      <c r="O21" s="15"/>
      <c r="P21" s="15"/>
      <c r="Q21" s="15"/>
      <c r="R21" s="15"/>
      <c r="S21" s="15"/>
      <c r="T21" s="15"/>
      <c r="U21" s="15"/>
      <c r="V21" s="15"/>
      <c r="W21" s="15"/>
      <c r="X21" s="15"/>
      <c r="Y21" s="15"/>
      <c r="Z21" s="15">
        <v>0</v>
      </c>
      <c r="AA21" s="15"/>
      <c r="AB21" s="15"/>
      <c r="AC21" s="15"/>
      <c r="AD21" s="15">
        <v>9</v>
      </c>
      <c r="AE21" s="15">
        <v>12.4</v>
      </c>
      <c r="AF21" s="15">
        <v>24.1</v>
      </c>
      <c r="AG21" s="15">
        <v>24.9</v>
      </c>
      <c r="AH21" s="15">
        <v>35.200000000000003</v>
      </c>
      <c r="AI21" s="15">
        <v>33.700000000000003</v>
      </c>
      <c r="AJ21" s="15">
        <v>58.5</v>
      </c>
      <c r="AK21" s="15">
        <v>54.8</v>
      </c>
      <c r="AL21" s="15">
        <v>59.7</v>
      </c>
      <c r="AM21" s="15"/>
      <c r="AN21" s="15">
        <v>68.3</v>
      </c>
      <c r="AO21" s="15">
        <v>70</v>
      </c>
      <c r="AP21" s="15">
        <v>71.5</v>
      </c>
      <c r="AQ21" s="15">
        <v>69.099999999999994</v>
      </c>
      <c r="AR21" s="15">
        <v>66.7</v>
      </c>
      <c r="AS21" s="15">
        <v>97.8</v>
      </c>
      <c r="AT21" s="15">
        <v>103.9</v>
      </c>
      <c r="AU21" s="15">
        <v>106.4</v>
      </c>
      <c r="AV21" s="15">
        <v>82.3</v>
      </c>
      <c r="AW21" s="15">
        <v>88.1</v>
      </c>
      <c r="AX21" s="15">
        <v>81.2</v>
      </c>
      <c r="AY21" s="1">
        <v>78.5</v>
      </c>
      <c r="AZ21" s="1">
        <v>99.5</v>
      </c>
      <c r="BA21" s="1">
        <v>95.7</v>
      </c>
      <c r="BB21" s="1">
        <v>112.2</v>
      </c>
      <c r="BC21" s="1">
        <v>94.1</v>
      </c>
      <c r="BD21" s="1">
        <v>109.7</v>
      </c>
      <c r="BE21" s="1">
        <v>120.1</v>
      </c>
      <c r="BF21" s="1">
        <v>134.80000000000001</v>
      </c>
      <c r="BY21" s="1">
        <v>0</v>
      </c>
      <c r="BZ21" s="1">
        <v>0</v>
      </c>
      <c r="CA21" s="1">
        <v>13.3</v>
      </c>
      <c r="CD21" s="1">
        <f t="shared" si="3"/>
        <v>209.8</v>
      </c>
      <c r="CE21" s="1">
        <f t="shared" si="4"/>
        <v>337.5</v>
      </c>
      <c r="CF21" s="1">
        <f t="shared" si="5"/>
        <v>357.99999999999994</v>
      </c>
      <c r="CG21" s="1">
        <f t="shared" si="6"/>
        <v>385.9</v>
      </c>
      <c r="CH21" s="1">
        <f>SUM(BC21:BF21)</f>
        <v>458.7</v>
      </c>
    </row>
    <row r="22" spans="2:97" s="1" customFormat="1" x14ac:dyDescent="0.25">
      <c r="B22" s="1" t="s">
        <v>360</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BY22" s="1">
        <v>1413.3</v>
      </c>
      <c r="BZ22" s="1">
        <v>1872.3</v>
      </c>
      <c r="CA22" s="1">
        <v>2226.9</v>
      </c>
      <c r="CB22" s="48" t="s">
        <v>361</v>
      </c>
      <c r="CC22" s="48" t="s">
        <v>362</v>
      </c>
      <c r="CD22" s="48">
        <v>2962</v>
      </c>
    </row>
    <row r="23" spans="2:97" s="1" customFormat="1" x14ac:dyDescent="0.25">
      <c r="B23" s="1" t="s">
        <v>210</v>
      </c>
      <c r="C23" s="15">
        <v>12.481</v>
      </c>
      <c r="D23" s="15">
        <v>11.122999999999999</v>
      </c>
      <c r="E23" s="15">
        <v>10.1</v>
      </c>
      <c r="F23" s="15">
        <f>43.1-E23-D23-C23</f>
        <v>9.3960000000000026</v>
      </c>
      <c r="G23" s="15">
        <v>12.483000000000001</v>
      </c>
      <c r="H23" s="15">
        <v>9.1240000000000006</v>
      </c>
      <c r="I23" s="15">
        <v>26.7</v>
      </c>
      <c r="J23" s="15">
        <f>70.1-I23-H23-G23</f>
        <v>21.792999999999989</v>
      </c>
      <c r="K23" s="15">
        <v>14.907</v>
      </c>
      <c r="L23" s="15">
        <v>31.103999999999999</v>
      </c>
      <c r="M23" s="15">
        <v>88.582999999999998</v>
      </c>
      <c r="N23" s="15">
        <f>+BW23-M23-L23-K23</f>
        <v>85.706000000000017</v>
      </c>
      <c r="O23" s="15">
        <v>125.312</v>
      </c>
      <c r="P23" s="15">
        <v>97.295000000000002</v>
      </c>
      <c r="Q23" s="15">
        <v>135.85300000000001</v>
      </c>
      <c r="R23" s="15">
        <v>137.095</v>
      </c>
      <c r="S23" s="15">
        <v>123.846</v>
      </c>
      <c r="T23" s="15">
        <v>134.23699999999999</v>
      </c>
      <c r="U23" s="15">
        <v>157.596</v>
      </c>
      <c r="V23" s="15">
        <v>164.809</v>
      </c>
      <c r="W23" s="15">
        <v>179.59200000000001</v>
      </c>
      <c r="X23" s="15">
        <v>191.89599999999999</v>
      </c>
      <c r="Y23" s="15">
        <v>191.298</v>
      </c>
      <c r="Z23" s="15">
        <v>181.48400000000001</v>
      </c>
      <c r="AA23" s="15">
        <v>193.93899999999999</v>
      </c>
      <c r="AB23" s="15">
        <v>210.35499999999999</v>
      </c>
      <c r="AC23" s="15">
        <v>236.625</v>
      </c>
      <c r="AD23" s="15">
        <v>297.13299999999998</v>
      </c>
      <c r="AE23" s="15">
        <v>247.9</v>
      </c>
      <c r="AF23" s="15">
        <v>262.89999999999998</v>
      </c>
      <c r="AG23" s="15">
        <v>264.39999999999998</v>
      </c>
      <c r="AH23" s="15">
        <v>301.5</v>
      </c>
      <c r="AI23" s="15">
        <v>264</v>
      </c>
      <c r="AJ23" s="15">
        <v>289</v>
      </c>
      <c r="AK23" s="15">
        <v>302.8</v>
      </c>
      <c r="AL23" s="15">
        <v>320.8</v>
      </c>
      <c r="AM23" s="15">
        <v>281.39999999999998</v>
      </c>
      <c r="AN23" s="15">
        <v>244.2</v>
      </c>
      <c r="AO23" s="15">
        <v>299.89999999999998</v>
      </c>
      <c r="AP23" s="15">
        <v>360.6</v>
      </c>
      <c r="AQ23" s="15">
        <v>322.8</v>
      </c>
      <c r="AR23" s="15">
        <v>349</v>
      </c>
      <c r="AS23" s="15">
        <v>365</v>
      </c>
      <c r="AT23" s="15">
        <v>372.4</v>
      </c>
      <c r="AU23" s="15">
        <v>385.3</v>
      </c>
      <c r="AV23" s="15">
        <v>358</v>
      </c>
      <c r="AW23" s="15">
        <v>333</v>
      </c>
      <c r="AX23" s="15">
        <v>355.1</v>
      </c>
      <c r="AY23" s="15">
        <v>357</v>
      </c>
      <c r="AZ23" s="15">
        <v>377</v>
      </c>
      <c r="BA23" s="15">
        <v>377</v>
      </c>
      <c r="BB23" s="15">
        <v>377</v>
      </c>
      <c r="BC23" s="15">
        <v>356</v>
      </c>
      <c r="BD23" s="15">
        <v>375</v>
      </c>
      <c r="BE23" s="15">
        <f>367.6+23.2</f>
        <v>390.8</v>
      </c>
      <c r="BF23" s="15">
        <v>377</v>
      </c>
      <c r="BG23" s="15">
        <v>344</v>
      </c>
      <c r="BH23" s="15">
        <v>415</v>
      </c>
      <c r="BI23" s="15">
        <v>345</v>
      </c>
      <c r="BJ23" s="15">
        <v>319</v>
      </c>
      <c r="BK23" s="15">
        <v>287</v>
      </c>
      <c r="BL23" s="15">
        <v>276</v>
      </c>
      <c r="BM23" s="15"/>
      <c r="BN23" s="15"/>
      <c r="BO23" s="15"/>
      <c r="BP23" s="15"/>
      <c r="BQ23" s="15"/>
      <c r="BR23" s="15"/>
      <c r="BU23" s="1">
        <f>SUM(C23:F23)</f>
        <v>43.1</v>
      </c>
      <c r="BV23" s="1">
        <f>SUM(G23:J23)</f>
        <v>70.099999999999994</v>
      </c>
      <c r="BW23" s="1">
        <v>220.3</v>
      </c>
      <c r="BX23" s="1">
        <v>495.6</v>
      </c>
      <c r="BY23" s="1">
        <v>580.5</v>
      </c>
      <c r="BZ23" s="1">
        <v>744.3</v>
      </c>
      <c r="CA23" s="1">
        <v>938.1</v>
      </c>
      <c r="CB23" s="1">
        <v>1076.7</v>
      </c>
      <c r="CC23" s="1">
        <v>1188.8</v>
      </c>
      <c r="CD23" s="1">
        <f t="shared" si="3"/>
        <v>1186.0999999999999</v>
      </c>
      <c r="CE23" s="1">
        <f t="shared" si="4"/>
        <v>1409.1999999999998</v>
      </c>
      <c r="CF23" s="1">
        <f t="shared" si="5"/>
        <v>1431.4</v>
      </c>
      <c r="CG23" s="1">
        <f t="shared" si="6"/>
        <v>1488</v>
      </c>
      <c r="CH23" s="1">
        <f>SUM(Model!BC23:BF23)</f>
        <v>1498.8</v>
      </c>
      <c r="CI23" s="1">
        <f>SUM(BG23:BJ23)</f>
        <v>1423</v>
      </c>
      <c r="CJ23" s="1">
        <f t="shared" ref="CJ23:CS23" si="13">CI23*0.8</f>
        <v>1138.4000000000001</v>
      </c>
      <c r="CK23" s="1">
        <f t="shared" si="13"/>
        <v>910.72000000000014</v>
      </c>
      <c r="CL23" s="1">
        <f t="shared" si="13"/>
        <v>728.57600000000014</v>
      </c>
      <c r="CM23" s="1">
        <f t="shared" si="13"/>
        <v>582.86080000000015</v>
      </c>
      <c r="CN23" s="1">
        <f t="shared" si="13"/>
        <v>466.28864000000016</v>
      </c>
      <c r="CO23" s="1">
        <f t="shared" si="13"/>
        <v>373.03091200000017</v>
      </c>
      <c r="CP23" s="1">
        <f t="shared" si="13"/>
        <v>298.42472960000015</v>
      </c>
      <c r="CQ23" s="1">
        <f t="shared" si="13"/>
        <v>238.73978368000013</v>
      </c>
      <c r="CR23" s="1">
        <f t="shared" si="13"/>
        <v>190.99182694400011</v>
      </c>
      <c r="CS23" s="1">
        <f t="shared" si="13"/>
        <v>152.79346155520008</v>
      </c>
    </row>
    <row r="24" spans="2:97" s="1" customFormat="1" x14ac:dyDescent="0.25">
      <c r="B24" s="1" t="s">
        <v>211</v>
      </c>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v>0</v>
      </c>
      <c r="AO24" s="15">
        <v>0</v>
      </c>
      <c r="AP24" s="15">
        <v>0</v>
      </c>
      <c r="AQ24" s="15">
        <v>66.8</v>
      </c>
      <c r="AR24" s="15">
        <v>168</v>
      </c>
      <c r="AS24" s="15">
        <v>127.1</v>
      </c>
      <c r="AT24" s="15">
        <v>0</v>
      </c>
      <c r="AU24" s="15">
        <v>216.3</v>
      </c>
      <c r="AV24" s="15">
        <v>8</v>
      </c>
      <c r="AW24" s="15">
        <v>6</v>
      </c>
      <c r="AX24" s="15">
        <v>396.4</v>
      </c>
      <c r="AY24" s="1">
        <v>223</v>
      </c>
      <c r="AZ24" s="1">
        <v>-4</v>
      </c>
      <c r="BC24" s="1">
        <v>1</v>
      </c>
      <c r="BD24" s="1">
        <v>3</v>
      </c>
      <c r="CD24" s="1">
        <f t="shared" si="3"/>
        <v>0</v>
      </c>
      <c r="CE24" s="1">
        <f t="shared" si="4"/>
        <v>361.9</v>
      </c>
      <c r="CF24" s="1">
        <f t="shared" si="5"/>
        <v>626.70000000000005</v>
      </c>
      <c r="CG24" s="1">
        <f t="shared" si="6"/>
        <v>219</v>
      </c>
      <c r="CH24" s="1">
        <f>SUM(BC24:BF24)</f>
        <v>4</v>
      </c>
    </row>
    <row r="25" spans="2:97" s="1" customFormat="1" x14ac:dyDescent="0.25">
      <c r="B25" s="1" t="s">
        <v>212</v>
      </c>
      <c r="C25" s="15">
        <f t="shared" ref="C25" si="14">7.845+2.122</f>
        <v>9.9669999999999987</v>
      </c>
      <c r="D25" s="15">
        <f>5.228+1.974</f>
        <v>7.202</v>
      </c>
      <c r="E25" s="15">
        <f>5.9+1.5</f>
        <v>7.4</v>
      </c>
      <c r="F25" s="15">
        <f>24.8+6.6-E25-D25-C25</f>
        <v>6.8310000000000031</v>
      </c>
      <c r="G25" s="15">
        <f>5.893+0.477</f>
        <v>6.37</v>
      </c>
      <c r="H25" s="15">
        <f>5.893+0.875</f>
        <v>6.7679999999999998</v>
      </c>
      <c r="I25" s="15">
        <f>5.9+0.9</f>
        <v>6.8000000000000007</v>
      </c>
      <c r="J25" s="15">
        <f>23.6+2.9-I25-H25-G25</f>
        <v>6.5619999999999985</v>
      </c>
      <c r="K25" s="15">
        <f>5.893+0.851</f>
        <v>6.7439999999999998</v>
      </c>
      <c r="L25" s="15">
        <f>5.893+1.223</f>
        <v>7.1159999999999997</v>
      </c>
      <c r="M25" s="15">
        <f>5.893+1.074</f>
        <v>6.9669999999999996</v>
      </c>
      <c r="N25" s="15">
        <f>+BW25-M25-L25-K25</f>
        <v>7.6730000000000018</v>
      </c>
      <c r="O25" s="15">
        <v>7.5419999999999998</v>
      </c>
      <c r="P25" s="15">
        <v>7.7880000000000003</v>
      </c>
      <c r="Q25" s="15">
        <v>8.1660000000000004</v>
      </c>
      <c r="R25" s="15">
        <v>8.4450000000000003</v>
      </c>
      <c r="S25" s="15">
        <v>27.837</v>
      </c>
      <c r="T25" s="15">
        <v>11.451000000000001</v>
      </c>
      <c r="U25" s="15">
        <v>17.529</v>
      </c>
      <c r="V25" s="15">
        <v>18.071999999999999</v>
      </c>
      <c r="W25" s="15">
        <v>17.381</v>
      </c>
      <c r="X25" s="15">
        <v>23.1</v>
      </c>
      <c r="Y25" s="15">
        <v>26.963999999999999</v>
      </c>
      <c r="Z25" s="15">
        <v>51.656999999999996</v>
      </c>
      <c r="AA25" s="15">
        <v>56.44</v>
      </c>
      <c r="AB25" s="15">
        <v>113.5</v>
      </c>
      <c r="AC25" s="15">
        <v>61.506</v>
      </c>
      <c r="AD25" s="15">
        <v>107.07299999999999</v>
      </c>
      <c r="AE25" s="15">
        <v>86.2</v>
      </c>
      <c r="AF25" s="15">
        <v>110.9</v>
      </c>
      <c r="AG25" s="15">
        <v>117.3</v>
      </c>
      <c r="AH25" s="15">
        <v>102.3</v>
      </c>
      <c r="AI25" s="15">
        <v>22.2</v>
      </c>
      <c r="AJ25" s="15">
        <v>90.3</v>
      </c>
      <c r="AK25" s="15">
        <v>103.1</v>
      </c>
      <c r="AL25" s="15">
        <v>135.19999999999999</v>
      </c>
      <c r="AM25" s="15">
        <v>63.2</v>
      </c>
      <c r="AN25" s="15">
        <v>211.8</v>
      </c>
      <c r="AO25" s="15">
        <v>158.6</v>
      </c>
      <c r="AP25" s="15"/>
      <c r="AQ25" s="15">
        <v>50</v>
      </c>
      <c r="AR25" s="15">
        <v>46</v>
      </c>
      <c r="AS25" s="15">
        <v>99</v>
      </c>
      <c r="AT25" s="15">
        <v>86.2</v>
      </c>
      <c r="AU25" s="15">
        <v>94</v>
      </c>
      <c r="AV25" s="15">
        <v>59</v>
      </c>
      <c r="AW25" s="15">
        <v>84</v>
      </c>
      <c r="AX25" s="15">
        <v>127.7</v>
      </c>
      <c r="AY25" s="1">
        <v>116</v>
      </c>
      <c r="AZ25" s="1">
        <v>69</v>
      </c>
      <c r="BA25" s="1">
        <f>138-3</f>
        <v>135</v>
      </c>
      <c r="BB25" s="1">
        <v>212</v>
      </c>
      <c r="BC25" s="1">
        <v>117</v>
      </c>
      <c r="BD25" s="1">
        <v>104</v>
      </c>
      <c r="BE25" s="1">
        <f>114.2+6</f>
        <v>120.2</v>
      </c>
      <c r="BF25" s="1">
        <f>17+179</f>
        <v>196</v>
      </c>
      <c r="BG25" s="1">
        <f>4+82</f>
        <v>86</v>
      </c>
      <c r="BH25" s="1">
        <v>186</v>
      </c>
      <c r="BI25" s="1">
        <f>6+198+1</f>
        <v>205</v>
      </c>
      <c r="BJ25" s="1">
        <f>9+12+238</f>
        <v>259</v>
      </c>
      <c r="BK25" s="1">
        <f>7+171+32</f>
        <v>210</v>
      </c>
      <c r="BL25" s="1">
        <f>199</f>
        <v>199</v>
      </c>
      <c r="BU25" s="1">
        <f>SUM(C25:F25)</f>
        <v>31.4</v>
      </c>
      <c r="BV25" s="1">
        <v>26.5</v>
      </c>
      <c r="BW25" s="1">
        <v>28.5</v>
      </c>
      <c r="BX25" s="1">
        <v>31.9</v>
      </c>
      <c r="BY25" s="1">
        <v>74.8</v>
      </c>
      <c r="BZ25" s="1">
        <v>119</v>
      </c>
      <c r="CA25" s="1">
        <v>338.5</v>
      </c>
      <c r="CB25" s="1">
        <v>416.8</v>
      </c>
      <c r="CC25" s="1">
        <v>413.4</v>
      </c>
      <c r="CD25" s="1">
        <f t="shared" si="3"/>
        <v>433.6</v>
      </c>
      <c r="CE25" s="1">
        <f t="shared" si="4"/>
        <v>281.2</v>
      </c>
      <c r="CF25" s="1">
        <f t="shared" si="5"/>
        <v>364.7</v>
      </c>
      <c r="CG25" s="1">
        <f t="shared" si="6"/>
        <v>532</v>
      </c>
      <c r="CH25" s="1">
        <f>SUM(BC25:BF25)</f>
        <v>537.20000000000005</v>
      </c>
      <c r="CI25" s="1">
        <f>SUM(BG25:BJ25)</f>
        <v>736</v>
      </c>
      <c r="CJ25" s="1">
        <f>+CI25*0.9</f>
        <v>662.4</v>
      </c>
      <c r="CK25" s="1">
        <f t="shared" ref="CK25:CS25" si="15">+CJ25*0.9</f>
        <v>596.16</v>
      </c>
      <c r="CL25" s="1">
        <f t="shared" si="15"/>
        <v>536.54399999999998</v>
      </c>
      <c r="CM25" s="1">
        <f t="shared" si="15"/>
        <v>482.88959999999997</v>
      </c>
      <c r="CN25" s="1">
        <f t="shared" si="15"/>
        <v>434.60064</v>
      </c>
      <c r="CO25" s="1">
        <f t="shared" si="15"/>
        <v>391.14057600000001</v>
      </c>
      <c r="CP25" s="1">
        <f t="shared" si="15"/>
        <v>352.02651840000004</v>
      </c>
      <c r="CQ25" s="1">
        <f t="shared" si="15"/>
        <v>316.82386656000006</v>
      </c>
      <c r="CR25" s="1">
        <f t="shared" si="15"/>
        <v>285.14147990400005</v>
      </c>
      <c r="CS25" s="1">
        <f t="shared" si="15"/>
        <v>256.62733191360007</v>
      </c>
    </row>
    <row r="26" spans="2:97" s="16" customFormat="1" ht="13" x14ac:dyDescent="0.3">
      <c r="B26" s="16" t="s">
        <v>213</v>
      </c>
      <c r="C26" s="17">
        <f t="shared" ref="C26:F26" si="16">+C25+C23+C14+C3+C10</f>
        <v>112.17699999999999</v>
      </c>
      <c r="D26" s="17">
        <f t="shared" si="16"/>
        <v>107.81</v>
      </c>
      <c r="E26" s="17">
        <f t="shared" si="16"/>
        <v>102.8</v>
      </c>
      <c r="F26" s="17">
        <f t="shared" si="16"/>
        <v>123.01300000000002</v>
      </c>
      <c r="G26" s="17">
        <f>+G25+G23+G14+G3+G10</f>
        <v>231.75800000000001</v>
      </c>
      <c r="H26" s="17">
        <f t="shared" ref="H26:O26" si="17">+H25+H23+H14+H3+H10</f>
        <v>304.38</v>
      </c>
      <c r="I26" s="17">
        <f t="shared" si="17"/>
        <v>427.7</v>
      </c>
      <c r="J26" s="17">
        <f t="shared" si="17"/>
        <v>414.66200000000003</v>
      </c>
      <c r="K26" s="17">
        <f t="shared" si="17"/>
        <v>439.62399999999997</v>
      </c>
      <c r="L26" s="17">
        <f t="shared" si="17"/>
        <v>457.649</v>
      </c>
      <c r="M26" s="17">
        <f t="shared" si="17"/>
        <v>597.00900000000001</v>
      </c>
      <c r="N26" s="17">
        <f t="shared" si="17"/>
        <v>610.41800000000001</v>
      </c>
      <c r="O26" s="17">
        <f t="shared" si="17"/>
        <v>625.36199999999997</v>
      </c>
      <c r="P26" s="17">
        <f t="shared" ref="P26:V26" si="18">SUM(P3:P14)+P23+P24+P25</f>
        <v>665.69999999999993</v>
      </c>
      <c r="Q26" s="17">
        <f t="shared" si="18"/>
        <v>725.78800000000012</v>
      </c>
      <c r="R26" s="17">
        <f t="shared" si="18"/>
        <v>801.81100000000004</v>
      </c>
      <c r="S26" s="17">
        <f t="shared" si="18"/>
        <v>869.03899999999999</v>
      </c>
      <c r="T26" s="17">
        <f t="shared" si="18"/>
        <v>998.61699999999996</v>
      </c>
      <c r="U26" s="17">
        <f t="shared" si="18"/>
        <v>1137.422</v>
      </c>
      <c r="V26" s="17">
        <f t="shared" si="18"/>
        <v>1097.5529999999999</v>
      </c>
      <c r="W26" s="17">
        <f t="shared" ref="W26:AD26" si="19">SUM(W3:W14)+W23+W24+W25</f>
        <v>1200.6670000000001</v>
      </c>
      <c r="X26" s="17">
        <f t="shared" si="19"/>
        <v>1212.4099999999999</v>
      </c>
      <c r="Y26" s="17">
        <f t="shared" si="19"/>
        <v>1219.654</v>
      </c>
      <c r="Z26" s="17">
        <f t="shared" si="19"/>
        <v>1227.3059999999998</v>
      </c>
      <c r="AA26" s="17">
        <f t="shared" si="19"/>
        <v>1318.7460000000001</v>
      </c>
      <c r="AB26" s="17">
        <f t="shared" si="19"/>
        <v>1469.9829999999999</v>
      </c>
      <c r="AC26" s="17">
        <f t="shared" si="19"/>
        <v>1500.306</v>
      </c>
      <c r="AD26" s="17">
        <f t="shared" si="19"/>
        <v>1582.729</v>
      </c>
      <c r="AE26" s="17">
        <f t="shared" ref="AE26:AH26" si="20">SUM(AE3:AE14)+AE23+AE24+AE25</f>
        <v>1511.5000000000002</v>
      </c>
      <c r="AF26" s="17">
        <f t="shared" si="20"/>
        <v>1607.8000000000002</v>
      </c>
      <c r="AG26" s="17">
        <f t="shared" si="20"/>
        <v>1663.4999999999998</v>
      </c>
      <c r="AH26" s="17">
        <f t="shared" si="20"/>
        <v>1927.8</v>
      </c>
      <c r="AI26" s="17">
        <f t="shared" ref="AI26:AK26" si="21">SUM(AI3:AI14)+AI23+AI24+AI25</f>
        <v>1764.3</v>
      </c>
      <c r="AJ26" s="17">
        <f t="shared" si="21"/>
        <v>1933.3999999999999</v>
      </c>
      <c r="AK26" s="17">
        <f t="shared" si="21"/>
        <v>2048.4</v>
      </c>
      <c r="AL26" s="17">
        <f>SUM(AL3:AL14)+AL23+AL24+AL25</f>
        <v>2169.5</v>
      </c>
      <c r="AM26" s="17">
        <f t="shared" ref="AM26:AP26" si="22">SUM(AM3:AM14)+AM23+AM24+AM25</f>
        <v>1828.2</v>
      </c>
      <c r="AN26" s="17">
        <f t="shared" si="22"/>
        <v>1952.3000000000002</v>
      </c>
      <c r="AO26" s="17">
        <f t="shared" si="22"/>
        <v>2293.7999999999997</v>
      </c>
      <c r="AP26" s="17">
        <f t="shared" si="22"/>
        <v>2299.6999999999998</v>
      </c>
      <c r="AQ26" s="17">
        <f t="shared" ref="AQ26:AV26" si="23">SUM(AQ3:AQ14)+AQ23+AQ24+AQ25</f>
        <v>2529.4000000000005</v>
      </c>
      <c r="AR26" s="17">
        <f t="shared" si="23"/>
        <v>5138.7</v>
      </c>
      <c r="AS26" s="17">
        <f>SUM(AS3:AS14)+AS23+AS24+AS25</f>
        <v>3452.9</v>
      </c>
      <c r="AT26" s="17">
        <f t="shared" si="23"/>
        <v>4951.4999999999991</v>
      </c>
      <c r="AU26" s="17">
        <f t="shared" si="23"/>
        <v>2965.5000000000005</v>
      </c>
      <c r="AV26" s="17">
        <f t="shared" si="23"/>
        <v>2856.5</v>
      </c>
      <c r="AW26" s="17">
        <f t="shared" ref="AW26:BR26" si="24">SUM(AW3:AW14)+AW23+AW24+AW25</f>
        <v>2936.4</v>
      </c>
      <c r="AX26" s="17">
        <f t="shared" si="24"/>
        <v>3414.1</v>
      </c>
      <c r="AY26" s="17">
        <f t="shared" si="24"/>
        <v>3162</v>
      </c>
      <c r="AZ26" s="17">
        <f t="shared" si="24"/>
        <v>3158</v>
      </c>
      <c r="BA26" s="17">
        <f t="shared" si="24"/>
        <v>3363</v>
      </c>
      <c r="BB26" s="17">
        <f t="shared" si="24"/>
        <v>3434</v>
      </c>
      <c r="BC26" s="17">
        <f t="shared" si="24"/>
        <v>3145</v>
      </c>
      <c r="BD26" s="17">
        <f t="shared" si="24"/>
        <v>3547</v>
      </c>
      <c r="BE26" s="17">
        <f t="shared" si="24"/>
        <v>3720.2</v>
      </c>
      <c r="BF26" s="17">
        <f t="shared" si="24"/>
        <v>3789</v>
      </c>
      <c r="BG26" s="17">
        <f t="shared" si="24"/>
        <v>3029</v>
      </c>
      <c r="BH26" s="17">
        <f t="shared" si="24"/>
        <v>3676</v>
      </c>
      <c r="BI26" s="17">
        <f t="shared" si="24"/>
        <v>3754</v>
      </c>
      <c r="BJ26" s="17">
        <f t="shared" si="24"/>
        <v>3884</v>
      </c>
      <c r="BK26" s="17">
        <f t="shared" si="24"/>
        <v>3605</v>
      </c>
      <c r="BL26" s="17">
        <f t="shared" si="24"/>
        <v>4291</v>
      </c>
      <c r="BM26" s="17">
        <f t="shared" si="24"/>
        <v>0</v>
      </c>
      <c r="BN26" s="17">
        <f t="shared" si="24"/>
        <v>0</v>
      </c>
      <c r="BO26" s="17">
        <f t="shared" si="24"/>
        <v>0</v>
      </c>
      <c r="BP26" s="17">
        <f t="shared" si="24"/>
        <v>0</v>
      </c>
      <c r="BQ26" s="17">
        <f t="shared" si="24"/>
        <v>0</v>
      </c>
      <c r="BR26" s="17">
        <f t="shared" si="24"/>
        <v>0</v>
      </c>
      <c r="BT26" s="17">
        <f t="shared" ref="BT26:CC26" si="25">SUM(BT3:BT14)+BT23+BT24+BT25</f>
        <v>336.58600000000001</v>
      </c>
      <c r="BU26" s="17">
        <f>SUM(BU3:BU14)+BU23+BU24+BU25</f>
        <v>445.8</v>
      </c>
      <c r="BV26" s="17">
        <f t="shared" si="25"/>
        <v>1378.5</v>
      </c>
      <c r="BW26" s="17">
        <f t="shared" si="25"/>
        <v>2104.7000000000003</v>
      </c>
      <c r="BX26" s="17">
        <f t="shared" si="25"/>
        <v>2819.6000000000004</v>
      </c>
      <c r="BY26" s="17">
        <f>SUM(BY3:BY14)+BY23+BY24+BY25</f>
        <v>4103.7</v>
      </c>
      <c r="BZ26" s="17">
        <f>SUM(BZ3:BZ14)+BZ23+BZ24+BZ25</f>
        <v>4860.4000000000005</v>
      </c>
      <c r="CA26" s="17">
        <f t="shared" si="25"/>
        <v>5872.2000000000007</v>
      </c>
      <c r="CB26" s="17">
        <f t="shared" si="25"/>
        <v>6892.1</v>
      </c>
      <c r="CC26" s="17">
        <f t="shared" si="25"/>
        <v>7989.4</v>
      </c>
      <c r="CD26" s="17">
        <f t="shared" ref="CD26:CI26" si="26">SUM(CD3:CD14)+CD23+CD24+CD25</f>
        <v>8374</v>
      </c>
      <c r="CE26" s="17">
        <f t="shared" si="26"/>
        <v>16072.500000000002</v>
      </c>
      <c r="CF26" s="17">
        <f t="shared" si="26"/>
        <v>12172.500000000002</v>
      </c>
      <c r="CG26" s="17">
        <f t="shared" si="26"/>
        <v>13117</v>
      </c>
      <c r="CH26" s="17">
        <f t="shared" si="26"/>
        <v>14201.199999999999</v>
      </c>
      <c r="CI26" s="17">
        <f t="shared" si="26"/>
        <v>14306</v>
      </c>
      <c r="CJ26" s="17">
        <f t="shared" ref="CJ26:CS26" si="27">SUM(CJ3:CJ14)+CJ23+CJ24+CJ25</f>
        <v>14594.279999999999</v>
      </c>
      <c r="CK26" s="17">
        <f t="shared" si="27"/>
        <v>14549.2778</v>
      </c>
      <c r="CL26" s="17">
        <f t="shared" si="27"/>
        <v>14600.554278000001</v>
      </c>
      <c r="CM26" s="17">
        <f t="shared" si="27"/>
        <v>14849.842730780001</v>
      </c>
      <c r="CN26" s="17">
        <f t="shared" si="27"/>
        <v>14956.793839087803</v>
      </c>
      <c r="CO26" s="17">
        <f t="shared" si="27"/>
        <v>15250.706649578682</v>
      </c>
      <c r="CP26" s="17">
        <f t="shared" si="27"/>
        <v>13531.836347156968</v>
      </c>
      <c r="CQ26" s="17">
        <f t="shared" si="27"/>
        <v>11571.245151869538</v>
      </c>
      <c r="CR26" s="17">
        <f t="shared" si="27"/>
        <v>9663.2317891136154</v>
      </c>
      <c r="CS26" s="17">
        <f t="shared" si="27"/>
        <v>8338.8594937349208</v>
      </c>
    </row>
    <row r="27" spans="2:97" s="1" customFormat="1" x14ac:dyDescent="0.25">
      <c r="B27" s="1" t="s">
        <v>214</v>
      </c>
      <c r="C27" s="15">
        <v>0.38200000000000001</v>
      </c>
      <c r="D27" s="15">
        <v>0.39500000000000002</v>
      </c>
      <c r="E27" s="15">
        <v>0.45</v>
      </c>
      <c r="F27" s="15">
        <f>BU27-E27-D27-C27</f>
        <v>2.9889999999999999</v>
      </c>
      <c r="G27" s="15">
        <v>12.298</v>
      </c>
      <c r="H27" s="15">
        <v>21.843</v>
      </c>
      <c r="I27" s="15">
        <v>20.145</v>
      </c>
      <c r="J27" s="15">
        <f>+BV27-I27-H27-G27</f>
        <v>30.168999999999997</v>
      </c>
      <c r="K27" s="15">
        <v>29.055</v>
      </c>
      <c r="L27" s="15">
        <f>27.283+12.33</f>
        <v>39.613</v>
      </c>
      <c r="M27" s="15">
        <f>28.253+10.32</f>
        <v>38.573</v>
      </c>
      <c r="N27" s="15">
        <f>+BW27-M27-L27-K27</f>
        <v>48.114000000000011</v>
      </c>
      <c r="O27" s="15"/>
      <c r="P27" s="15"/>
      <c r="Q27" s="15"/>
      <c r="R27" s="15"/>
      <c r="S27" s="15"/>
      <c r="T27" s="15"/>
      <c r="U27" s="15"/>
      <c r="V27" s="15"/>
      <c r="W27" s="15"/>
      <c r="X27" s="15"/>
      <c r="Y27" s="15"/>
      <c r="Z27" s="15">
        <f>44.534+30.147</f>
        <v>74.680999999999997</v>
      </c>
      <c r="AA27" s="15"/>
      <c r="AB27" s="15"/>
      <c r="AC27" s="15"/>
      <c r="AD27" s="15">
        <f>52.733+53.007</f>
        <v>105.74</v>
      </c>
      <c r="AE27" s="15">
        <f>69.2+45.7</f>
        <v>114.9</v>
      </c>
      <c r="AF27" s="15">
        <f>36+55.7</f>
        <v>91.7</v>
      </c>
      <c r="AG27" s="15"/>
      <c r="AH27" s="15">
        <f>44+73.2</f>
        <v>117.2</v>
      </c>
      <c r="AI27" s="15">
        <f>70.9+108.3</f>
        <v>179.2</v>
      </c>
      <c r="AJ27" s="15">
        <f>67+85.5</f>
        <v>152.5</v>
      </c>
      <c r="AK27" s="15"/>
      <c r="AL27" s="15">
        <f>108.5+115.4</f>
        <v>223.9</v>
      </c>
      <c r="AM27" s="15">
        <f>78.8+138.5</f>
        <v>217.3</v>
      </c>
      <c r="AN27" s="15">
        <f>93.2+173</f>
        <v>266.2</v>
      </c>
      <c r="AO27" s="15">
        <v>122</v>
      </c>
      <c r="AP27" s="15">
        <f>166+173.5</f>
        <v>339.5</v>
      </c>
      <c r="AQ27" s="15">
        <f>183.2+124.8</f>
        <v>308</v>
      </c>
      <c r="AR27" s="15">
        <f>539.4+154.3</f>
        <v>693.7</v>
      </c>
      <c r="AS27" s="15">
        <v>224</v>
      </c>
      <c r="AT27" s="15">
        <f>559+170.9</f>
        <v>729.9</v>
      </c>
      <c r="AU27" s="15">
        <f>207.3+197.6</f>
        <v>404.9</v>
      </c>
      <c r="AV27" s="15">
        <f>149.2+147.9</f>
        <v>297.10000000000002</v>
      </c>
      <c r="AW27" s="15">
        <v>109</v>
      </c>
      <c r="AX27" s="15">
        <f>302.2+238.4-133.7-19.7</f>
        <v>387.20000000000005</v>
      </c>
      <c r="AY27" s="15">
        <f>208.4+249.1-18.5</f>
        <v>439</v>
      </c>
      <c r="AZ27" s="15">
        <v>163</v>
      </c>
      <c r="BA27" s="15">
        <v>180.8</v>
      </c>
      <c r="BB27" s="15">
        <f>258.9+210.2</f>
        <v>469.09999999999997</v>
      </c>
      <c r="BC27" s="15">
        <f>240.4+193.4-0.4-23.2</f>
        <v>410.20000000000005</v>
      </c>
      <c r="BD27" s="15">
        <f>257.8+222.4-0.8-25.1</f>
        <v>454.3</v>
      </c>
      <c r="BE27" s="15">
        <f>262.3-0.5-26.1+228.8</f>
        <v>464.5</v>
      </c>
      <c r="BF27" s="15">
        <f>270.8+238.6</f>
        <v>509.4</v>
      </c>
      <c r="BG27" s="15">
        <v>217</v>
      </c>
      <c r="BH27" s="1">
        <v>222</v>
      </c>
      <c r="BI27" s="1">
        <v>227</v>
      </c>
      <c r="BJ27" s="1">
        <v>257</v>
      </c>
      <c r="BK27" s="1">
        <v>209</v>
      </c>
      <c r="BL27" s="1">
        <v>222</v>
      </c>
      <c r="BU27" s="1">
        <v>4.2160000000000002</v>
      </c>
      <c r="BV27" s="1">
        <v>84.454999999999998</v>
      </c>
      <c r="BW27" s="1">
        <f>118.048+37.307</f>
        <v>155.35500000000002</v>
      </c>
      <c r="BX27" s="1">
        <f>129.03+75.988</f>
        <v>205.018</v>
      </c>
      <c r="BY27" s="1">
        <f>151.007+241.702</f>
        <v>392.709</v>
      </c>
      <c r="CD27" s="1">
        <f t="shared" ref="CD27" si="28">SUM(AM27:AP27)</f>
        <v>945</v>
      </c>
      <c r="CE27" s="1">
        <f t="shared" ref="CE27" si="29">SUM(AQ27:AT27)</f>
        <v>1955.6</v>
      </c>
      <c r="CF27" s="1">
        <f t="shared" ref="CF27" si="30">SUM(AU27:AX27)</f>
        <v>1198.2</v>
      </c>
      <c r="CG27" s="1">
        <f t="shared" ref="CG27" si="31">SUM(AY27:BB27)</f>
        <v>1251.8999999999999</v>
      </c>
      <c r="CH27" s="1">
        <f>SUM(BC27:BF27)</f>
        <v>1838.4</v>
      </c>
    </row>
    <row r="28" spans="2:97" s="1" customFormat="1" x14ac:dyDescent="0.25">
      <c r="B28" s="1" t="s">
        <v>215</v>
      </c>
      <c r="C28" s="15">
        <f t="shared" ref="C28:F28" si="32">+C26-C27</f>
        <v>111.79499999999999</v>
      </c>
      <c r="D28" s="15">
        <f t="shared" si="32"/>
        <v>107.41500000000001</v>
      </c>
      <c r="E28" s="15">
        <f t="shared" si="32"/>
        <v>102.35</v>
      </c>
      <c r="F28" s="15">
        <f t="shared" si="32"/>
        <v>120.02400000000002</v>
      </c>
      <c r="G28" s="15">
        <f t="shared" ref="G28:N28" si="33">+G26-G27</f>
        <v>219.46</v>
      </c>
      <c r="H28" s="15">
        <f t="shared" si="33"/>
        <v>282.53699999999998</v>
      </c>
      <c r="I28" s="15">
        <f t="shared" si="33"/>
        <v>407.55500000000001</v>
      </c>
      <c r="J28" s="15">
        <f t="shared" si="33"/>
        <v>384.49300000000005</v>
      </c>
      <c r="K28" s="15">
        <f t="shared" si="33"/>
        <v>410.56899999999996</v>
      </c>
      <c r="L28" s="15">
        <f t="shared" si="33"/>
        <v>418.036</v>
      </c>
      <c r="M28" s="15">
        <f t="shared" si="33"/>
        <v>558.43600000000004</v>
      </c>
      <c r="N28" s="15">
        <f t="shared" si="33"/>
        <v>562.30399999999997</v>
      </c>
      <c r="O28" s="15"/>
      <c r="P28" s="15"/>
      <c r="Q28" s="15"/>
      <c r="R28" s="15"/>
      <c r="S28" s="15"/>
      <c r="T28" s="15"/>
      <c r="U28" s="15"/>
      <c r="V28" s="15"/>
      <c r="W28" s="15"/>
      <c r="X28" s="15"/>
      <c r="Y28" s="15"/>
      <c r="Z28" s="15">
        <f t="shared" ref="Z28:AC28" si="34">+Z26-Z27</f>
        <v>1152.6249999999998</v>
      </c>
      <c r="AA28" s="15">
        <f t="shared" si="34"/>
        <v>1318.7460000000001</v>
      </c>
      <c r="AB28" s="15">
        <f t="shared" si="34"/>
        <v>1469.9829999999999</v>
      </c>
      <c r="AC28" s="15">
        <f t="shared" si="34"/>
        <v>1500.306</v>
      </c>
      <c r="AD28" s="15">
        <f>+AD26-AD27</f>
        <v>1476.989</v>
      </c>
      <c r="AE28" s="15">
        <f>+AE26-AE27</f>
        <v>1396.6000000000001</v>
      </c>
      <c r="AF28" s="15">
        <f>+AF26-AF27</f>
        <v>1516.1000000000001</v>
      </c>
      <c r="AG28" s="15"/>
      <c r="AH28" s="15">
        <f>+AH26-AH27</f>
        <v>1810.6</v>
      </c>
      <c r="AI28" s="15">
        <f>+AI26-AI27</f>
        <v>1585.1</v>
      </c>
      <c r="AJ28" s="15">
        <f>+AJ26-AJ27</f>
        <v>1780.8999999999999</v>
      </c>
      <c r="AK28" s="15"/>
      <c r="AL28" s="15">
        <f>+AL26-AL27</f>
        <v>1945.6</v>
      </c>
      <c r="AM28" s="15">
        <f t="shared" ref="AM28" si="35">+AM26-AM27</f>
        <v>1610.9</v>
      </c>
      <c r="AN28" s="15">
        <f t="shared" ref="AN28:AV28" si="36">+AN26-AN27</f>
        <v>1686.1000000000001</v>
      </c>
      <c r="AO28" s="15">
        <f t="shared" si="36"/>
        <v>2171.7999999999997</v>
      </c>
      <c r="AP28" s="15">
        <f t="shared" si="36"/>
        <v>1960.1999999999998</v>
      </c>
      <c r="AQ28" s="15">
        <f t="shared" si="36"/>
        <v>2221.4000000000005</v>
      </c>
      <c r="AR28" s="15">
        <f t="shared" si="36"/>
        <v>4445</v>
      </c>
      <c r="AS28" s="15">
        <f t="shared" si="36"/>
        <v>3228.9</v>
      </c>
      <c r="AT28" s="15">
        <f t="shared" si="36"/>
        <v>4221.5999999999995</v>
      </c>
      <c r="AU28" s="15">
        <f t="shared" si="36"/>
        <v>2560.6000000000004</v>
      </c>
      <c r="AV28" s="15">
        <f t="shared" si="36"/>
        <v>2559.4</v>
      </c>
      <c r="AW28" s="15">
        <f>+AW26-AW27</f>
        <v>2827.4</v>
      </c>
      <c r="AX28" s="15">
        <f>+AX26-AX27</f>
        <v>3026.8999999999996</v>
      </c>
      <c r="AY28" s="15">
        <f>AY26-AY27</f>
        <v>2723</v>
      </c>
      <c r="AZ28" s="15">
        <f>AZ26-AZ27</f>
        <v>2995</v>
      </c>
      <c r="BA28" s="15">
        <f>+BA26-BA27</f>
        <v>3182.2</v>
      </c>
      <c r="BB28" s="15">
        <f>+BB26-BB27</f>
        <v>2964.9</v>
      </c>
      <c r="BC28" s="15">
        <f>BC26-BC27</f>
        <v>2734.8</v>
      </c>
      <c r="BD28" s="15">
        <f>BD26-BD27</f>
        <v>3092.7</v>
      </c>
      <c r="BE28" s="15">
        <f>+BE26-BE27</f>
        <v>3255.7</v>
      </c>
      <c r="BF28" s="15">
        <f>+BF26-BF27</f>
        <v>3279.6</v>
      </c>
      <c r="BG28" s="15">
        <f>+BG26-BG27</f>
        <v>2812</v>
      </c>
      <c r="BH28" s="15">
        <f>+BH26-BH27</f>
        <v>3454</v>
      </c>
      <c r="BI28" s="15">
        <f>+BI26-BI27</f>
        <v>3527</v>
      </c>
      <c r="BJ28" s="15">
        <f>+BJ26-BJ27</f>
        <v>3627</v>
      </c>
      <c r="BK28" s="15">
        <f>+BK26-BK27</f>
        <v>3396</v>
      </c>
      <c r="BL28" s="15">
        <f>BL26-BL27</f>
        <v>4069</v>
      </c>
      <c r="BM28" s="15"/>
      <c r="BN28" s="15"/>
      <c r="BO28" s="15"/>
      <c r="BP28" s="15"/>
      <c r="BQ28" s="15"/>
      <c r="BR28" s="15"/>
      <c r="BU28" s="1">
        <f>+BU26-BU27</f>
        <v>441.584</v>
      </c>
      <c r="BV28" s="1">
        <f>+BV26-BV27</f>
        <v>1294.0450000000001</v>
      </c>
      <c r="BW28" s="1">
        <f>+BW26-BW27</f>
        <v>1949.3450000000003</v>
      </c>
      <c r="BX28" s="1">
        <f>+BX26-BX27</f>
        <v>2614.5820000000003</v>
      </c>
      <c r="BY28" s="1">
        <f>+BY26-BY27</f>
        <v>3710.991</v>
      </c>
      <c r="CD28" s="1">
        <f>+CD26-CD27</f>
        <v>7429</v>
      </c>
      <c r="CE28" s="1">
        <f t="shared" ref="CE28:CG28" si="37">+CE26-CE27</f>
        <v>14116.900000000001</v>
      </c>
      <c r="CF28" s="1">
        <f t="shared" si="37"/>
        <v>10974.300000000001</v>
      </c>
      <c r="CG28" s="1">
        <f t="shared" si="37"/>
        <v>11865.1</v>
      </c>
      <c r="CH28" s="1">
        <f>+CH26-CH27</f>
        <v>12362.8</v>
      </c>
      <c r="CI28" s="1">
        <f>CI26*0.9</f>
        <v>12875.4</v>
      </c>
      <c r="CJ28" s="1">
        <f t="shared" ref="CJ28:CS28" si="38">CJ26*0.9</f>
        <v>13134.851999999999</v>
      </c>
      <c r="CK28" s="1">
        <f t="shared" si="38"/>
        <v>13094.35002</v>
      </c>
      <c r="CL28" s="1">
        <f t="shared" si="38"/>
        <v>13140.498850200001</v>
      </c>
      <c r="CM28" s="1">
        <f t="shared" si="38"/>
        <v>13364.858457702001</v>
      </c>
      <c r="CN28" s="1">
        <f t="shared" si="38"/>
        <v>13461.114455179022</v>
      </c>
      <c r="CO28" s="1">
        <f t="shared" si="38"/>
        <v>13725.635984620814</v>
      </c>
      <c r="CP28" s="1">
        <f t="shared" si="38"/>
        <v>12178.652712441271</v>
      </c>
      <c r="CQ28" s="1">
        <f t="shared" si="38"/>
        <v>10414.120636682585</v>
      </c>
      <c r="CR28" s="1">
        <f t="shared" si="38"/>
        <v>8696.9086102022538</v>
      </c>
      <c r="CS28" s="1">
        <f t="shared" si="38"/>
        <v>7504.973544361429</v>
      </c>
    </row>
    <row r="29" spans="2:97" s="1" customFormat="1" x14ac:dyDescent="0.25">
      <c r="B29" s="1" t="s">
        <v>216</v>
      </c>
      <c r="C29" s="15">
        <v>129.392</v>
      </c>
      <c r="D29" s="15">
        <v>143.149</v>
      </c>
      <c r="E29" s="15">
        <v>127.92400000000001</v>
      </c>
      <c r="F29" s="15">
        <f>BU29-E29-D29-C29</f>
        <v>129.041</v>
      </c>
      <c r="G29" s="15">
        <v>138.86199999999999</v>
      </c>
      <c r="H29" s="15">
        <v>147.37299999999999</v>
      </c>
      <c r="I29" s="15">
        <v>158.29499999999999</v>
      </c>
      <c r="J29" s="15">
        <f>+BV29-I29-H29-G29</f>
        <v>181.02400000000003</v>
      </c>
      <c r="K29" s="15">
        <v>180.29900000000001</v>
      </c>
      <c r="L29" s="15">
        <v>187.46299999999999</v>
      </c>
      <c r="M29" s="15">
        <v>224.04499999999999</v>
      </c>
      <c r="N29" s="15">
        <f>+BW29-M29-L29-K29</f>
        <v>268.1400000000001</v>
      </c>
      <c r="O29" s="15"/>
      <c r="P29" s="15"/>
      <c r="Q29" s="15"/>
      <c r="R29" s="15"/>
      <c r="S29" s="15"/>
      <c r="T29" s="15"/>
      <c r="U29" s="15"/>
      <c r="V29" s="15"/>
      <c r="W29" s="15"/>
      <c r="X29" s="15"/>
      <c r="Y29" s="15"/>
      <c r="Z29" s="15">
        <v>479.20600000000002</v>
      </c>
      <c r="AA29" s="15"/>
      <c r="AB29" s="15"/>
      <c r="AC29" s="15"/>
      <c r="AD29" s="15">
        <v>527.98299999999995</v>
      </c>
      <c r="AE29" s="15">
        <v>198.6</v>
      </c>
      <c r="AF29" s="15">
        <v>529.29999999999995</v>
      </c>
      <c r="AG29" s="15"/>
      <c r="AH29" s="15">
        <v>601.20000000000005</v>
      </c>
      <c r="AI29" s="15">
        <v>641.79999999999995</v>
      </c>
      <c r="AJ29" s="15">
        <v>426.2</v>
      </c>
      <c r="AK29" s="15"/>
      <c r="AL29" s="15"/>
      <c r="AM29" s="15">
        <v>583.9</v>
      </c>
      <c r="AN29" s="15">
        <v>580.1</v>
      </c>
      <c r="AO29" s="15">
        <v>629</v>
      </c>
      <c r="AP29" s="15">
        <v>675</v>
      </c>
      <c r="AQ29" s="15">
        <v>742.9</v>
      </c>
      <c r="AR29" s="15">
        <v>714.2</v>
      </c>
      <c r="AS29" s="15">
        <v>592</v>
      </c>
      <c r="AT29" s="15">
        <v>639</v>
      </c>
      <c r="AU29" s="15">
        <v>843.8</v>
      </c>
      <c r="AV29" s="15">
        <f>794.3-14.6</f>
        <v>779.69999999999993</v>
      </c>
      <c r="AW29" s="15">
        <v>817</v>
      </c>
      <c r="AX29" s="15">
        <f>1043.1-1.4</f>
        <v>1041.6999999999998</v>
      </c>
      <c r="AY29" s="1">
        <f>1101.2-1.6</f>
        <v>1099.6000000000001</v>
      </c>
      <c r="AZ29" s="1">
        <v>974</v>
      </c>
      <c r="BA29" s="1">
        <v>954.4</v>
      </c>
      <c r="BB29" s="1">
        <v>1030.9000000000001</v>
      </c>
      <c r="BC29" s="1">
        <f>1248.4-3.8</f>
        <v>1244.6000000000001</v>
      </c>
      <c r="BD29" s="1">
        <f>1200-5.3</f>
        <v>1194.7</v>
      </c>
      <c r="BE29" s="15">
        <f>1271.5-2</f>
        <v>1269.5</v>
      </c>
      <c r="BF29" s="1">
        <v>1223.5999999999999</v>
      </c>
      <c r="BG29" s="1">
        <v>1186</v>
      </c>
      <c r="BH29" s="1">
        <v>1283</v>
      </c>
      <c r="BI29" s="1">
        <v>1350</v>
      </c>
      <c r="BJ29" s="1">
        <v>1331</v>
      </c>
      <c r="BK29" s="1">
        <v>1408</v>
      </c>
      <c r="BL29" s="1">
        <v>1500</v>
      </c>
      <c r="BU29" s="1">
        <v>529.50599999999997</v>
      </c>
      <c r="BV29" s="1">
        <v>625.55399999999997</v>
      </c>
      <c r="BW29" s="1">
        <v>859.947</v>
      </c>
      <c r="BX29" s="1">
        <v>1271.3530000000001</v>
      </c>
      <c r="BY29" s="1">
        <v>1620.577</v>
      </c>
      <c r="CD29" s="1">
        <f t="shared" ref="CD29:CD30" si="39">SUM(AM29:AP29)</f>
        <v>2468</v>
      </c>
      <c r="CE29" s="1">
        <f t="shared" ref="CE29:CE30" si="40">SUM(AQ29:AT29)</f>
        <v>2688.1</v>
      </c>
      <c r="CF29" s="1">
        <f t="shared" ref="CF29:CF30" si="41">SUM(AU29:AX29)</f>
        <v>3482.2</v>
      </c>
      <c r="CG29" s="1">
        <f t="shared" ref="CG29:CG30" si="42">SUM(AY29:BB29)</f>
        <v>4058.9000000000005</v>
      </c>
      <c r="CH29" s="1">
        <f>SUM(BC29:BF29)</f>
        <v>4932.3999999999996</v>
      </c>
    </row>
    <row r="30" spans="2:97" s="1" customFormat="1" x14ac:dyDescent="0.25">
      <c r="B30" s="1" t="s">
        <v>217</v>
      </c>
      <c r="C30" s="15">
        <v>23.411000000000001</v>
      </c>
      <c r="D30" s="15">
        <v>24.585000000000001</v>
      </c>
      <c r="E30" s="15">
        <v>32.915999999999997</v>
      </c>
      <c r="F30" s="15">
        <f>BU30-E30-D30-C30</f>
        <v>36.348999999999997</v>
      </c>
      <c r="G30" s="15">
        <v>58.427999999999997</v>
      </c>
      <c r="H30" s="15">
        <v>47.704999999999998</v>
      </c>
      <c r="I30" s="15">
        <v>46.883000000000003</v>
      </c>
      <c r="J30" s="15">
        <f>+BV30-I30-H30-G30</f>
        <v>57.73899999999999</v>
      </c>
      <c r="K30" s="15">
        <v>77.260000000000005</v>
      </c>
      <c r="L30" s="15">
        <v>72.462999999999994</v>
      </c>
      <c r="M30" s="15">
        <v>97.606999999999999</v>
      </c>
      <c r="N30" s="15">
        <f>+BW30-M30-L30-K30</f>
        <v>82.085000000000022</v>
      </c>
      <c r="O30" s="15"/>
      <c r="P30" s="15"/>
      <c r="Q30" s="15"/>
      <c r="R30" s="15"/>
      <c r="S30" s="15"/>
      <c r="T30" s="15"/>
      <c r="U30" s="15"/>
      <c r="V30" s="15"/>
      <c r="W30" s="15"/>
      <c r="X30" s="15"/>
      <c r="Y30" s="15"/>
      <c r="Z30" s="15">
        <v>325.93700000000001</v>
      </c>
      <c r="AA30" s="15"/>
      <c r="AB30" s="15"/>
      <c r="AC30" s="15"/>
      <c r="AD30" s="15">
        <v>409.91300000000001</v>
      </c>
      <c r="AE30" s="15">
        <v>330.8</v>
      </c>
      <c r="AF30" s="15">
        <v>364.8</v>
      </c>
      <c r="AG30" s="15"/>
      <c r="AH30" s="15">
        <v>491.3</v>
      </c>
      <c r="AI30" s="15">
        <v>410.8</v>
      </c>
      <c r="AJ30" s="15">
        <v>251.9</v>
      </c>
      <c r="AK30" s="15"/>
      <c r="AL30" s="15"/>
      <c r="AM30" s="15">
        <f>367.3-20.2</f>
        <v>347.1</v>
      </c>
      <c r="AN30" s="15">
        <v>301.39999999999998</v>
      </c>
      <c r="AO30" s="15">
        <v>291</v>
      </c>
      <c r="AP30" s="15">
        <v>381</v>
      </c>
      <c r="AQ30" s="15">
        <v>405.6</v>
      </c>
      <c r="AR30" s="15">
        <v>414.7</v>
      </c>
      <c r="AS30" s="15">
        <v>391</v>
      </c>
      <c r="AT30" s="15">
        <v>495</v>
      </c>
      <c r="AU30" s="15">
        <v>450</v>
      </c>
      <c r="AV30" s="15">
        <f>476.3-1.1</f>
        <v>475.2</v>
      </c>
      <c r="AW30" s="15">
        <v>467</v>
      </c>
      <c r="AX30" s="15">
        <f>660.5-3.5</f>
        <v>657</v>
      </c>
      <c r="AY30" s="15">
        <f>601.1-9.6</f>
        <v>591.5</v>
      </c>
      <c r="AZ30" s="15">
        <v>562</v>
      </c>
      <c r="BA30" s="15">
        <v>533.70000000000005</v>
      </c>
      <c r="BB30" s="15">
        <v>621.79999999999995</v>
      </c>
      <c r="BC30" s="15">
        <f>689-18.8</f>
        <v>670.2</v>
      </c>
      <c r="BD30" s="15">
        <f>758.8-9.7</f>
        <v>749.09999999999991</v>
      </c>
      <c r="BE30" s="15">
        <f>714.4-18.2</f>
        <v>696.19999999999993</v>
      </c>
      <c r="BF30" s="15">
        <v>680.6</v>
      </c>
      <c r="BG30" s="15">
        <v>537</v>
      </c>
      <c r="BH30" s="1">
        <v>542</v>
      </c>
      <c r="BI30" s="1">
        <v>1146</v>
      </c>
      <c r="BJ30" s="1">
        <v>691</v>
      </c>
      <c r="BK30" s="1">
        <v>560</v>
      </c>
      <c r="BL30" s="1">
        <v>574</v>
      </c>
      <c r="BU30" s="1">
        <v>117.261</v>
      </c>
      <c r="BV30" s="1">
        <v>210.755</v>
      </c>
      <c r="BW30" s="1">
        <v>329.41500000000002</v>
      </c>
      <c r="BX30" s="1">
        <v>504.755</v>
      </c>
      <c r="BY30" s="1">
        <v>838.52599999999995</v>
      </c>
      <c r="CD30" s="1">
        <f t="shared" si="39"/>
        <v>1320.5</v>
      </c>
      <c r="CE30" s="1">
        <f t="shared" si="40"/>
        <v>1706.3</v>
      </c>
      <c r="CF30" s="1">
        <f t="shared" si="41"/>
        <v>2049.1999999999998</v>
      </c>
      <c r="CG30" s="1">
        <f t="shared" si="42"/>
        <v>2309</v>
      </c>
      <c r="CH30" s="1">
        <f>SUM(BC30:BF30)</f>
        <v>2796.1</v>
      </c>
      <c r="CI30" s="1">
        <f>CI26*0.2</f>
        <v>2861.2000000000003</v>
      </c>
      <c r="CJ30" s="1">
        <f>CJ26*0.2</f>
        <v>2918.8559999999998</v>
      </c>
      <c r="CK30" s="1">
        <f t="shared" ref="CK30:CS30" si="43">CK26*0.2</f>
        <v>2909.85556</v>
      </c>
      <c r="CL30" s="1">
        <f t="shared" si="43"/>
        <v>2920.1108556000004</v>
      </c>
      <c r="CM30" s="1">
        <f t="shared" si="43"/>
        <v>2969.9685461560002</v>
      </c>
      <c r="CN30" s="1">
        <f t="shared" si="43"/>
        <v>2991.3587678175609</v>
      </c>
      <c r="CO30" s="1">
        <f t="shared" si="43"/>
        <v>3050.1413299157366</v>
      </c>
      <c r="CP30" s="1">
        <f t="shared" si="43"/>
        <v>2706.3672694313937</v>
      </c>
      <c r="CQ30" s="1">
        <f t="shared" si="43"/>
        <v>2314.2490303739078</v>
      </c>
      <c r="CR30" s="1">
        <f t="shared" si="43"/>
        <v>1932.6463578227231</v>
      </c>
      <c r="CS30" s="1">
        <f t="shared" si="43"/>
        <v>1667.7718987469843</v>
      </c>
    </row>
    <row r="31" spans="2:97" s="1" customFormat="1" x14ac:dyDescent="0.25">
      <c r="B31" s="1" t="s">
        <v>218</v>
      </c>
      <c r="C31" s="15">
        <f t="shared" ref="C31" si="44">+C30+C29</f>
        <v>152.803</v>
      </c>
      <c r="D31" s="15">
        <f t="shared" ref="D31:G31" si="45">+D30+D29</f>
        <v>167.73400000000001</v>
      </c>
      <c r="E31" s="15">
        <f t="shared" si="45"/>
        <v>160.84</v>
      </c>
      <c r="F31" s="15">
        <f t="shared" si="45"/>
        <v>165.39</v>
      </c>
      <c r="G31" s="15">
        <f t="shared" si="45"/>
        <v>197.29</v>
      </c>
      <c r="H31" s="15">
        <f t="shared" ref="H31:N31" si="46">+H30+H29</f>
        <v>195.07799999999997</v>
      </c>
      <c r="I31" s="15">
        <f t="shared" si="46"/>
        <v>205.178</v>
      </c>
      <c r="J31" s="15">
        <f t="shared" si="46"/>
        <v>238.76300000000003</v>
      </c>
      <c r="K31" s="15">
        <f t="shared" si="46"/>
        <v>257.55900000000003</v>
      </c>
      <c r="L31" s="15">
        <f t="shared" si="46"/>
        <v>259.92599999999999</v>
      </c>
      <c r="M31" s="15">
        <f t="shared" si="46"/>
        <v>321.65199999999999</v>
      </c>
      <c r="N31" s="15">
        <f t="shared" si="46"/>
        <v>350.22500000000014</v>
      </c>
      <c r="O31" s="15"/>
      <c r="P31" s="15"/>
      <c r="Q31" s="15"/>
      <c r="R31" s="15"/>
      <c r="S31" s="15"/>
      <c r="T31" s="15"/>
      <c r="U31" s="15"/>
      <c r="V31" s="15"/>
      <c r="W31" s="15"/>
      <c r="X31" s="15"/>
      <c r="Y31" s="15">
        <f t="shared" ref="Y31" si="47">+Y30+Y29</f>
        <v>0</v>
      </c>
      <c r="Z31" s="15">
        <f t="shared" ref="Z31:AD31" si="48">+Z30+Z29</f>
        <v>805.14300000000003</v>
      </c>
      <c r="AA31" s="15">
        <f t="shared" si="48"/>
        <v>0</v>
      </c>
      <c r="AB31" s="15">
        <f t="shared" si="48"/>
        <v>0</v>
      </c>
      <c r="AC31" s="15">
        <f t="shared" si="48"/>
        <v>0</v>
      </c>
      <c r="AD31" s="15">
        <f t="shared" si="48"/>
        <v>937.89599999999996</v>
      </c>
      <c r="AE31" s="15">
        <f t="shared" ref="AE31:AG31" si="49">+AE30+AE29</f>
        <v>529.4</v>
      </c>
      <c r="AF31" s="15">
        <f t="shared" si="49"/>
        <v>894.09999999999991</v>
      </c>
      <c r="AG31" s="15">
        <f t="shared" si="49"/>
        <v>0</v>
      </c>
      <c r="AH31" s="15">
        <f t="shared" ref="AH31" si="50">+AH30+AH29</f>
        <v>1092.5</v>
      </c>
      <c r="AI31" s="15">
        <f t="shared" ref="AI31" si="51">+AI30+AI29</f>
        <v>1052.5999999999999</v>
      </c>
      <c r="AJ31" s="15">
        <f t="shared" ref="AJ31:AL31" si="52">+AJ30+AJ29</f>
        <v>678.1</v>
      </c>
      <c r="AK31" s="15">
        <f t="shared" si="52"/>
        <v>0</v>
      </c>
      <c r="AL31" s="15">
        <f t="shared" si="52"/>
        <v>0</v>
      </c>
      <c r="AM31" s="15">
        <f t="shared" ref="AM31" si="53">+AM30+AM29</f>
        <v>931</v>
      </c>
      <c r="AN31" s="15">
        <f>+AN30+AN29</f>
        <v>881.5</v>
      </c>
      <c r="AO31" s="15">
        <f t="shared" ref="AO31:AS31" si="54">+AO30+AO29</f>
        <v>920</v>
      </c>
      <c r="AP31" s="15">
        <f t="shared" si="54"/>
        <v>1056</v>
      </c>
      <c r="AQ31" s="15">
        <f t="shared" si="54"/>
        <v>1148.5</v>
      </c>
      <c r="AR31" s="15">
        <f t="shared" si="54"/>
        <v>1128.9000000000001</v>
      </c>
      <c r="AS31" s="15">
        <f t="shared" si="54"/>
        <v>983</v>
      </c>
      <c r="AT31" s="15">
        <f>+AT30+AT29</f>
        <v>1134</v>
      </c>
      <c r="AU31" s="15">
        <f>+AU30+AU29</f>
        <v>1293.8</v>
      </c>
      <c r="AV31" s="15">
        <f>+AV30+AV29</f>
        <v>1254.8999999999999</v>
      </c>
      <c r="AW31" s="15">
        <f>+AW30+AW29</f>
        <v>1284</v>
      </c>
      <c r="AX31" s="15">
        <f>+AX30+AX29</f>
        <v>1698.6999999999998</v>
      </c>
      <c r="AY31" s="15">
        <f t="shared" ref="AY31:BB31" si="55">+AY30+AY29</f>
        <v>1691.1000000000001</v>
      </c>
      <c r="AZ31" s="15">
        <f t="shared" si="55"/>
        <v>1536</v>
      </c>
      <c r="BA31" s="15">
        <f t="shared" si="55"/>
        <v>1488.1</v>
      </c>
      <c r="BB31" s="15">
        <f t="shared" si="55"/>
        <v>1652.7</v>
      </c>
      <c r="BC31" s="15">
        <f t="shared" ref="BC31:BD31" si="56">+BC30+BC29</f>
        <v>1914.8000000000002</v>
      </c>
      <c r="BD31" s="15">
        <f t="shared" si="56"/>
        <v>1943.8</v>
      </c>
      <c r="BE31" s="15">
        <f t="shared" ref="BE31:BF31" si="57">+BE30+BE29</f>
        <v>1965.6999999999998</v>
      </c>
      <c r="BF31" s="15">
        <f t="shared" si="57"/>
        <v>1904.1999999999998</v>
      </c>
      <c r="BG31" s="15">
        <f t="shared" ref="BG31:BL31" si="58">+BG30+BG29</f>
        <v>1723</v>
      </c>
      <c r="BH31" s="15">
        <f t="shared" si="58"/>
        <v>1825</v>
      </c>
      <c r="BI31" s="15">
        <f t="shared" si="58"/>
        <v>2496</v>
      </c>
      <c r="BJ31" s="15">
        <f t="shared" si="58"/>
        <v>2022</v>
      </c>
      <c r="BK31" s="15">
        <f>+BK30+BK29</f>
        <v>1968</v>
      </c>
      <c r="BL31" s="15">
        <f t="shared" si="58"/>
        <v>2074</v>
      </c>
      <c r="BM31" s="15"/>
      <c r="BN31" s="15"/>
      <c r="BO31" s="15"/>
      <c r="BP31" s="15"/>
      <c r="BQ31" s="15"/>
      <c r="BR31" s="15"/>
      <c r="BU31" s="1">
        <f>+BU30+BU29</f>
        <v>646.76699999999994</v>
      </c>
      <c r="BV31" s="1">
        <f>+BV30+BV29</f>
        <v>836.30899999999997</v>
      </c>
      <c r="BW31" s="1">
        <f>+BW30+BW29</f>
        <v>1189.3620000000001</v>
      </c>
      <c r="BX31" s="1">
        <f>+BX30+BX29</f>
        <v>1776.1080000000002</v>
      </c>
      <c r="BY31" s="1">
        <f>+BY30+BY29</f>
        <v>2459.1030000000001</v>
      </c>
      <c r="CD31" s="1">
        <f>+CD29+CD30</f>
        <v>3788.5</v>
      </c>
      <c r="CE31" s="1">
        <f t="shared" ref="CE31:CG31" si="59">+CE29+CE30</f>
        <v>4394.3999999999996</v>
      </c>
      <c r="CF31" s="1">
        <f t="shared" si="59"/>
        <v>5531.4</v>
      </c>
      <c r="CG31" s="1">
        <f t="shared" si="59"/>
        <v>6367.9000000000005</v>
      </c>
      <c r="CH31" s="1">
        <f t="shared" ref="CH31:CS31" si="60">+CH29+CH30</f>
        <v>7728.5</v>
      </c>
      <c r="CI31" s="1">
        <f t="shared" si="60"/>
        <v>2861.2000000000003</v>
      </c>
      <c r="CJ31" s="1">
        <f t="shared" si="60"/>
        <v>2918.8559999999998</v>
      </c>
      <c r="CK31" s="1">
        <f t="shared" si="60"/>
        <v>2909.85556</v>
      </c>
      <c r="CL31" s="1">
        <f t="shared" si="60"/>
        <v>2920.1108556000004</v>
      </c>
      <c r="CM31" s="1">
        <f t="shared" si="60"/>
        <v>2969.9685461560002</v>
      </c>
      <c r="CN31" s="1">
        <f t="shared" si="60"/>
        <v>2991.3587678175609</v>
      </c>
      <c r="CO31" s="1">
        <f t="shared" si="60"/>
        <v>3050.1413299157366</v>
      </c>
      <c r="CP31" s="1">
        <f t="shared" si="60"/>
        <v>2706.3672694313937</v>
      </c>
      <c r="CQ31" s="1">
        <f t="shared" si="60"/>
        <v>2314.2490303739078</v>
      </c>
      <c r="CR31" s="1">
        <f t="shared" si="60"/>
        <v>1932.6463578227231</v>
      </c>
      <c r="CS31" s="1">
        <f t="shared" si="60"/>
        <v>1667.7718987469843</v>
      </c>
    </row>
    <row r="32" spans="2:97" s="1" customFormat="1" x14ac:dyDescent="0.25">
      <c r="B32" s="1" t="s">
        <v>219</v>
      </c>
      <c r="C32" s="15">
        <f t="shared" ref="C32" si="61">+C28-C31</f>
        <v>-41.00800000000001</v>
      </c>
      <c r="D32" s="15">
        <f t="shared" ref="D32:G32" si="62">+D28-D31</f>
        <v>-60.319000000000003</v>
      </c>
      <c r="E32" s="15">
        <f t="shared" si="62"/>
        <v>-58.490000000000009</v>
      </c>
      <c r="F32" s="15">
        <f t="shared" si="62"/>
        <v>-45.365999999999971</v>
      </c>
      <c r="G32" s="15">
        <f t="shared" si="62"/>
        <v>22.170000000000016</v>
      </c>
      <c r="H32" s="15">
        <f t="shared" ref="H32:N32" si="63">+H28-H31</f>
        <v>87.459000000000003</v>
      </c>
      <c r="I32" s="15">
        <f t="shared" si="63"/>
        <v>202.37700000000001</v>
      </c>
      <c r="J32" s="15">
        <f t="shared" si="63"/>
        <v>145.73000000000002</v>
      </c>
      <c r="K32" s="15">
        <f t="shared" si="63"/>
        <v>153.00999999999993</v>
      </c>
      <c r="L32" s="15">
        <f t="shared" si="63"/>
        <v>158.11000000000001</v>
      </c>
      <c r="M32" s="15">
        <f t="shared" si="63"/>
        <v>236.78400000000005</v>
      </c>
      <c r="N32" s="15">
        <f t="shared" si="63"/>
        <v>212.07899999999984</v>
      </c>
      <c r="O32" s="15"/>
      <c r="P32" s="15"/>
      <c r="Q32" s="15"/>
      <c r="R32" s="15"/>
      <c r="S32" s="15"/>
      <c r="T32" s="15"/>
      <c r="U32" s="15"/>
      <c r="V32" s="15"/>
      <c r="W32" s="15"/>
      <c r="X32" s="15"/>
      <c r="Y32" s="15">
        <f t="shared" ref="Y32" si="64">+Y28-Y31</f>
        <v>0</v>
      </c>
      <c r="Z32" s="15">
        <f t="shared" ref="Z32" si="65">+Z28-Z31</f>
        <v>347.48199999999974</v>
      </c>
      <c r="AA32" s="15">
        <f t="shared" ref="AA32" si="66">+AA28-AA31</f>
        <v>1318.7460000000001</v>
      </c>
      <c r="AB32" s="15">
        <f t="shared" ref="AB32" si="67">+AB28-AB31</f>
        <v>1469.9829999999999</v>
      </c>
      <c r="AC32" s="15">
        <f t="shared" ref="AC32" si="68">+AC28-AC31</f>
        <v>1500.306</v>
      </c>
      <c r="AD32" s="15">
        <f t="shared" ref="AD32" si="69">+AD28-AD31</f>
        <v>539.09300000000007</v>
      </c>
      <c r="AE32" s="15">
        <f t="shared" ref="AE32" si="70">+AE28-AE31</f>
        <v>867.20000000000016</v>
      </c>
      <c r="AF32" s="15">
        <f t="shared" ref="AF32" si="71">+AF28-AF31</f>
        <v>622.00000000000023</v>
      </c>
      <c r="AG32" s="15">
        <f t="shared" ref="AG32" si="72">+AG28-AG31</f>
        <v>0</v>
      </c>
      <c r="AH32" s="15">
        <f t="shared" ref="AH32:AL32" si="73">+AH28-AH31</f>
        <v>718.09999999999991</v>
      </c>
      <c r="AI32" s="15">
        <f t="shared" ref="AI32" si="74">+AI28-AI31</f>
        <v>532.5</v>
      </c>
      <c r="AJ32" s="15">
        <f t="shared" si="73"/>
        <v>1102.7999999999997</v>
      </c>
      <c r="AK32" s="15">
        <f t="shared" si="73"/>
        <v>0</v>
      </c>
      <c r="AL32" s="15">
        <f t="shared" si="73"/>
        <v>1945.6</v>
      </c>
      <c r="AM32" s="15">
        <f>+AM28-AM31</f>
        <v>679.90000000000009</v>
      </c>
      <c r="AN32" s="15">
        <f>+AN28-AN31</f>
        <v>804.60000000000014</v>
      </c>
      <c r="AO32" s="15">
        <f t="shared" ref="AO32:AS32" si="75">+AO28-AO31</f>
        <v>1251.7999999999997</v>
      </c>
      <c r="AP32" s="15">
        <f t="shared" si="75"/>
        <v>904.19999999999982</v>
      </c>
      <c r="AQ32" s="15">
        <f t="shared" si="75"/>
        <v>1072.9000000000005</v>
      </c>
      <c r="AR32" s="15">
        <f t="shared" si="75"/>
        <v>3316.1</v>
      </c>
      <c r="AS32" s="15">
        <f t="shared" si="75"/>
        <v>2245.9</v>
      </c>
      <c r="AT32" s="15">
        <f>+AT28-AT31</f>
        <v>3087.5999999999995</v>
      </c>
      <c r="AU32" s="15">
        <f>+AU28-AU31</f>
        <v>1266.8000000000004</v>
      </c>
      <c r="AV32" s="15">
        <f>+AV28-AV31</f>
        <v>1304.5000000000002</v>
      </c>
      <c r="AW32" s="15">
        <f>+AW28-AW31</f>
        <v>1543.4</v>
      </c>
      <c r="AX32" s="15">
        <f>+AX28-AX31</f>
        <v>1328.1999999999998</v>
      </c>
      <c r="AY32" s="15">
        <f t="shared" ref="AY32:BB32" si="76">+AY28-AY31</f>
        <v>1031.8999999999999</v>
      </c>
      <c r="AZ32" s="15">
        <f t="shared" si="76"/>
        <v>1459</v>
      </c>
      <c r="BA32" s="15">
        <f t="shared" si="76"/>
        <v>1694.1</v>
      </c>
      <c r="BB32" s="15">
        <f t="shared" si="76"/>
        <v>1312.2</v>
      </c>
      <c r="BC32" s="15">
        <f t="shared" ref="BC32:BD32" si="77">+BC28-BC31</f>
        <v>820</v>
      </c>
      <c r="BD32" s="15">
        <f t="shared" si="77"/>
        <v>1148.8999999999999</v>
      </c>
      <c r="BE32" s="15">
        <f t="shared" ref="BE32" si="78">+BE28-BE31</f>
        <v>1290</v>
      </c>
      <c r="BF32" s="15">
        <f>+BF28-BF31</f>
        <v>1375.4</v>
      </c>
      <c r="BG32" s="15">
        <f t="shared" ref="BG32:BL32" si="79">+BG28-BG31</f>
        <v>1089</v>
      </c>
      <c r="BH32" s="15">
        <f t="shared" si="79"/>
        <v>1629</v>
      </c>
      <c r="BI32" s="15">
        <f t="shared" si="79"/>
        <v>1031</v>
      </c>
      <c r="BJ32" s="15">
        <f t="shared" si="79"/>
        <v>1605</v>
      </c>
      <c r="BK32" s="15">
        <f>+BK28-BK31</f>
        <v>1428</v>
      </c>
      <c r="BL32" s="15">
        <f t="shared" si="79"/>
        <v>1995</v>
      </c>
      <c r="BM32" s="15"/>
      <c r="BN32" s="15"/>
      <c r="BO32" s="15"/>
      <c r="BP32" s="15"/>
      <c r="BQ32" s="15"/>
      <c r="BR32" s="15"/>
      <c r="BU32" s="1">
        <f>+BU28-BU31</f>
        <v>-205.18299999999994</v>
      </c>
      <c r="BV32" s="1">
        <f>+BV28-BV31</f>
        <v>457.7360000000001</v>
      </c>
      <c r="BW32" s="1">
        <f>+BW28-BW31</f>
        <v>759.98300000000017</v>
      </c>
      <c r="BX32" s="1">
        <f>+BX28-BX31</f>
        <v>838.47400000000016</v>
      </c>
      <c r="BY32" s="1">
        <f>+BY28-BY31</f>
        <v>1251.8879999999999</v>
      </c>
      <c r="CD32" s="1">
        <f>+CD28-CD31</f>
        <v>3640.5</v>
      </c>
      <c r="CE32" s="1">
        <f t="shared" ref="CE32:CG32" si="80">+CE28-CE31</f>
        <v>9722.5000000000018</v>
      </c>
      <c r="CF32" s="1">
        <f t="shared" si="80"/>
        <v>5442.9000000000015</v>
      </c>
      <c r="CG32" s="1">
        <f t="shared" si="80"/>
        <v>5497.2</v>
      </c>
      <c r="CH32" s="1">
        <f t="shared" ref="CH32:CS32" si="81">+CH28-CH31</f>
        <v>4634.2999999999993</v>
      </c>
      <c r="CI32" s="1">
        <f t="shared" si="81"/>
        <v>10014.199999999999</v>
      </c>
      <c r="CJ32" s="1">
        <f t="shared" si="81"/>
        <v>10215.995999999999</v>
      </c>
      <c r="CK32" s="1">
        <f t="shared" si="81"/>
        <v>10184.49446</v>
      </c>
      <c r="CL32" s="1">
        <f t="shared" si="81"/>
        <v>10220.387994600002</v>
      </c>
      <c r="CM32" s="1">
        <f t="shared" si="81"/>
        <v>10394.889911546001</v>
      </c>
      <c r="CN32" s="1">
        <f t="shared" si="81"/>
        <v>10469.755687361461</v>
      </c>
      <c r="CO32" s="1">
        <f t="shared" si="81"/>
        <v>10675.494654705079</v>
      </c>
      <c r="CP32" s="1">
        <f t="shared" si="81"/>
        <v>9472.2854430098778</v>
      </c>
      <c r="CQ32" s="1">
        <f t="shared" si="81"/>
        <v>8099.8716063086767</v>
      </c>
      <c r="CR32" s="1">
        <f t="shared" si="81"/>
        <v>6764.2622523795308</v>
      </c>
      <c r="CS32" s="1">
        <f t="shared" si="81"/>
        <v>5837.2016456144447</v>
      </c>
    </row>
    <row r="33" spans="2:138" s="1" customFormat="1" x14ac:dyDescent="0.25">
      <c r="B33" s="1" t="s">
        <v>220</v>
      </c>
      <c r="C33" s="15">
        <v>-2.6819999999999999</v>
      </c>
      <c r="D33" s="15">
        <f>-4.047+0.998</f>
        <v>-3.0489999999999995</v>
      </c>
      <c r="E33" s="15">
        <v>-3.3460000000000001</v>
      </c>
      <c r="F33" s="15">
        <f>BU33-E33-D33-C33</f>
        <v>-8.6560000000000006</v>
      </c>
      <c r="G33" s="15">
        <v>-10.55</v>
      </c>
      <c r="H33" s="15">
        <v>-10.734999999999999</v>
      </c>
      <c r="I33" s="15">
        <v>-10.896000000000001</v>
      </c>
      <c r="J33" s="15">
        <f>+BV33-I33-H33-G33</f>
        <v>-11.111000000000001</v>
      </c>
      <c r="K33" s="15">
        <v>-11.218999999999999</v>
      </c>
      <c r="L33" s="15">
        <v>-10.411</v>
      </c>
      <c r="M33" s="15">
        <v>-11.118</v>
      </c>
      <c r="N33" s="15">
        <f>+BW33-M33-L33-K33</f>
        <v>-13.919999999999996</v>
      </c>
      <c r="O33" s="15"/>
      <c r="P33" s="15"/>
      <c r="Q33" s="15"/>
      <c r="R33" s="15"/>
      <c r="S33" s="15"/>
      <c r="T33" s="15"/>
      <c r="U33" s="15"/>
      <c r="V33" s="15"/>
      <c r="W33" s="15"/>
      <c r="X33" s="15"/>
      <c r="Y33" s="15"/>
      <c r="Z33" s="15">
        <v>-5.476</v>
      </c>
      <c r="AA33" s="15"/>
      <c r="AB33" s="15"/>
      <c r="AC33" s="15"/>
      <c r="AD33" s="15">
        <v>15.956</v>
      </c>
      <c r="AE33" s="15">
        <v>18.2</v>
      </c>
      <c r="AF33" s="15">
        <v>33.9</v>
      </c>
      <c r="AG33" s="15"/>
      <c r="AH33" s="15"/>
      <c r="AI33" s="15">
        <v>66.099999999999994</v>
      </c>
      <c r="AJ33" s="15">
        <v>-90.9</v>
      </c>
      <c r="AK33" s="15"/>
      <c r="AL33" s="15"/>
      <c r="AM33" s="15">
        <f>40.4+25.3</f>
        <v>65.7</v>
      </c>
      <c r="AN33" s="15">
        <f>-50.2+7.9</f>
        <v>-42.300000000000004</v>
      </c>
      <c r="AO33" s="15">
        <v>-54.8</v>
      </c>
      <c r="AP33" s="15">
        <v>57.6</v>
      </c>
      <c r="AQ33" s="15">
        <f>40.5-14.6</f>
        <v>25.9</v>
      </c>
      <c r="AR33" s="15">
        <f>-14.4-31.3</f>
        <v>-45.7</v>
      </c>
      <c r="AS33" s="15">
        <v>-30.6</v>
      </c>
      <c r="AT33" s="15">
        <f>15.8-136.3</f>
        <v>-120.50000000000001</v>
      </c>
      <c r="AU33" s="15">
        <f>20.2-197.4</f>
        <v>-177.20000000000002</v>
      </c>
      <c r="AV33" s="15">
        <f>-133.6-13.1-17.4</f>
        <v>-164.1</v>
      </c>
      <c r="AW33" s="15">
        <v>32.6</v>
      </c>
      <c r="AX33" s="15">
        <f>195.3-17.4-80.5</f>
        <v>97.4</v>
      </c>
      <c r="AY33" s="1">
        <f>-70.7-18</f>
        <v>-88.7</v>
      </c>
      <c r="AZ33" s="1">
        <f>85.3-18.9</f>
        <v>66.400000000000006</v>
      </c>
      <c r="BB33" s="1">
        <f>193-18.3+0.5-58.1</f>
        <v>117.1</v>
      </c>
      <c r="BC33" s="1">
        <v>-50.7</v>
      </c>
      <c r="BD33" s="1">
        <f>165.9-14.8</f>
        <v>151.1</v>
      </c>
      <c r="BE33" s="1">
        <f>178.8-13.8</f>
        <v>165</v>
      </c>
      <c r="BF33" s="1">
        <f>-21.6-10.5+212.9</f>
        <v>180.8</v>
      </c>
      <c r="BG33" s="1">
        <v>-8.6999999999999993</v>
      </c>
      <c r="BH33" s="1">
        <v>-3.6</v>
      </c>
      <c r="BI33" s="1">
        <v>-19.3</v>
      </c>
      <c r="BJ33" s="1">
        <v>-12.2</v>
      </c>
      <c r="BK33" s="1">
        <v>-12.9</v>
      </c>
      <c r="BL33" s="1">
        <v>-11</v>
      </c>
      <c r="BU33" s="1">
        <v>-17.733000000000001</v>
      </c>
      <c r="BV33" s="1">
        <v>-43.292000000000002</v>
      </c>
      <c r="BW33" s="1">
        <f>-46.437-0.231</f>
        <v>-46.667999999999999</v>
      </c>
      <c r="BX33" s="1">
        <f>8.157-37.372</f>
        <v>-29.215</v>
      </c>
      <c r="BY33" s="1">
        <f>-14.241+6.283</f>
        <v>-7.9579999999999993</v>
      </c>
      <c r="CD33" s="1">
        <f t="shared" ref="CD33" si="82">SUM(AM33:AP33)</f>
        <v>26.200000000000003</v>
      </c>
      <c r="CE33" s="1">
        <f t="shared" ref="CE33" si="83">SUM(AQ33:AT33)</f>
        <v>-170.90000000000003</v>
      </c>
      <c r="CF33" s="1">
        <f t="shared" ref="CF33" si="84">SUM(AU33:AX33)</f>
        <v>-211.29999999999998</v>
      </c>
      <c r="CG33" s="1">
        <f t="shared" ref="CG33" si="85">SUM(AY33:BB33)</f>
        <v>94.8</v>
      </c>
      <c r="CH33" s="1">
        <f>SUM(BC33:BF33)</f>
        <v>446.2</v>
      </c>
    </row>
    <row r="34" spans="2:138" s="1" customFormat="1" x14ac:dyDescent="0.25">
      <c r="B34" s="1" t="s">
        <v>221</v>
      </c>
      <c r="C34" s="15">
        <f t="shared" ref="C34:F34" si="86">+C32+C33</f>
        <v>-43.690000000000012</v>
      </c>
      <c r="D34" s="15">
        <f t="shared" si="86"/>
        <v>-63.368000000000002</v>
      </c>
      <c r="E34" s="15">
        <f t="shared" si="86"/>
        <v>-61.836000000000013</v>
      </c>
      <c r="F34" s="15">
        <f t="shared" si="86"/>
        <v>-54.02199999999997</v>
      </c>
      <c r="G34" s="15">
        <f t="shared" ref="G34:N34" si="87">+G32+G33</f>
        <v>11.620000000000015</v>
      </c>
      <c r="H34" s="15">
        <f t="shared" si="87"/>
        <v>76.724000000000004</v>
      </c>
      <c r="I34" s="15">
        <f t="shared" si="87"/>
        <v>191.48099999999999</v>
      </c>
      <c r="J34" s="15">
        <f t="shared" si="87"/>
        <v>134.61900000000003</v>
      </c>
      <c r="K34" s="15">
        <f t="shared" si="87"/>
        <v>141.79099999999994</v>
      </c>
      <c r="L34" s="15">
        <f t="shared" si="87"/>
        <v>147.69900000000001</v>
      </c>
      <c r="M34" s="15">
        <f t="shared" si="87"/>
        <v>225.66600000000005</v>
      </c>
      <c r="N34" s="15">
        <f t="shared" si="87"/>
        <v>198.15899999999985</v>
      </c>
      <c r="O34" s="15"/>
      <c r="P34" s="15"/>
      <c r="Q34" s="15"/>
      <c r="R34" s="15"/>
      <c r="S34" s="15"/>
      <c r="T34" s="15"/>
      <c r="U34" s="15"/>
      <c r="V34" s="15"/>
      <c r="W34" s="15"/>
      <c r="X34" s="15"/>
      <c r="Y34" s="15">
        <f t="shared" ref="Y34:AD34" si="88">Y32+Y33</f>
        <v>0</v>
      </c>
      <c r="Z34" s="15">
        <f t="shared" si="88"/>
        <v>342.00599999999974</v>
      </c>
      <c r="AA34" s="15">
        <f t="shared" si="88"/>
        <v>1318.7460000000001</v>
      </c>
      <c r="AB34" s="15">
        <f t="shared" si="88"/>
        <v>1469.9829999999999</v>
      </c>
      <c r="AC34" s="15">
        <f t="shared" si="88"/>
        <v>1500.306</v>
      </c>
      <c r="AD34" s="15">
        <f t="shared" si="88"/>
        <v>555.04900000000009</v>
      </c>
      <c r="AE34" s="15">
        <f t="shared" ref="AE34:AG34" si="89">AE32+AE33</f>
        <v>885.4000000000002</v>
      </c>
      <c r="AF34" s="15">
        <f t="shared" si="89"/>
        <v>655.9000000000002</v>
      </c>
      <c r="AG34" s="15">
        <f t="shared" si="89"/>
        <v>0</v>
      </c>
      <c r="AH34" s="15">
        <f t="shared" ref="AH34:AL34" si="90">AH32+AH33</f>
        <v>718.09999999999991</v>
      </c>
      <c r="AI34" s="15">
        <f t="shared" si="90"/>
        <v>598.6</v>
      </c>
      <c r="AJ34" s="15">
        <f t="shared" si="90"/>
        <v>1011.8999999999997</v>
      </c>
      <c r="AK34" s="15">
        <f t="shared" si="90"/>
        <v>0</v>
      </c>
      <c r="AL34" s="15">
        <f t="shared" si="90"/>
        <v>1945.6</v>
      </c>
      <c r="AM34" s="15">
        <f t="shared" ref="AM34" si="91">AM32+AM33</f>
        <v>745.60000000000014</v>
      </c>
      <c r="AN34" s="15">
        <f t="shared" ref="AN34:AX34" si="92">AN32+AN33</f>
        <v>762.30000000000018</v>
      </c>
      <c r="AO34" s="15">
        <f t="shared" si="92"/>
        <v>1196.9999999999998</v>
      </c>
      <c r="AP34" s="15">
        <f t="shared" si="92"/>
        <v>961.79999999999984</v>
      </c>
      <c r="AQ34" s="15">
        <f t="shared" si="92"/>
        <v>1098.8000000000006</v>
      </c>
      <c r="AR34" s="15">
        <f t="shared" si="92"/>
        <v>3270.4</v>
      </c>
      <c r="AS34" s="15">
        <f t="shared" si="92"/>
        <v>2215.3000000000002</v>
      </c>
      <c r="AT34" s="15">
        <f t="shared" si="92"/>
        <v>2967.0999999999995</v>
      </c>
      <c r="AU34" s="15">
        <f t="shared" si="92"/>
        <v>1089.6000000000004</v>
      </c>
      <c r="AV34" s="15">
        <f t="shared" si="92"/>
        <v>1140.4000000000003</v>
      </c>
      <c r="AW34" s="15">
        <f t="shared" si="92"/>
        <v>1576</v>
      </c>
      <c r="AX34" s="15">
        <f t="shared" si="92"/>
        <v>1425.6</v>
      </c>
      <c r="AY34" s="15">
        <f t="shared" ref="AY34" si="93">AY32+AY33</f>
        <v>943.19999999999982</v>
      </c>
      <c r="AZ34" s="15">
        <f t="shared" ref="AZ34" si="94">AZ32+AZ33</f>
        <v>1525.4</v>
      </c>
      <c r="BA34" s="15">
        <f t="shared" ref="BA34" si="95">BA32+BA33</f>
        <v>1694.1</v>
      </c>
      <c r="BB34" s="15">
        <f t="shared" ref="BB34:BF34" si="96">BB32+BB33</f>
        <v>1429.3</v>
      </c>
      <c r="BC34" s="15">
        <f t="shared" si="96"/>
        <v>769.3</v>
      </c>
      <c r="BD34" s="15">
        <f t="shared" si="96"/>
        <v>1299.9999999999998</v>
      </c>
      <c r="BE34" s="15">
        <f t="shared" si="96"/>
        <v>1455</v>
      </c>
      <c r="BF34" s="15">
        <f t="shared" si="96"/>
        <v>1556.2</v>
      </c>
      <c r="BG34" s="15">
        <f t="shared" ref="BG34:BL34" si="97">BG32+BG33</f>
        <v>1080.3</v>
      </c>
      <c r="BH34" s="15">
        <f t="shared" si="97"/>
        <v>1625.4</v>
      </c>
      <c r="BI34" s="15">
        <f t="shared" si="97"/>
        <v>1011.7</v>
      </c>
      <c r="BJ34" s="15">
        <f t="shared" si="97"/>
        <v>1592.8</v>
      </c>
      <c r="BK34" s="15">
        <f t="shared" si="97"/>
        <v>1415.1</v>
      </c>
      <c r="BL34" s="15">
        <f t="shared" si="97"/>
        <v>1984</v>
      </c>
      <c r="BM34" s="15"/>
      <c r="BN34" s="15"/>
      <c r="BO34" s="15"/>
      <c r="BP34" s="15"/>
      <c r="BQ34" s="15"/>
      <c r="BR34" s="15"/>
      <c r="BU34" s="1">
        <f>+BU32+BU33</f>
        <v>-222.91599999999994</v>
      </c>
      <c r="BV34" s="1">
        <f>+BV32+BV33</f>
        <v>414.44400000000007</v>
      </c>
      <c r="BW34" s="1">
        <f>+BW32+BW33</f>
        <v>713.31500000000017</v>
      </c>
      <c r="BX34" s="1">
        <f>+BX32+BX33</f>
        <v>809.25900000000013</v>
      </c>
      <c r="BY34" s="1">
        <f>+BY32+BY33</f>
        <v>1243.9299999999998</v>
      </c>
      <c r="CD34" s="1">
        <f>+CD32+CD33</f>
        <v>3666.7</v>
      </c>
      <c r="CE34" s="1">
        <f t="shared" ref="CE34:CS34" si="98">+CE32+CE33</f>
        <v>9551.6000000000022</v>
      </c>
      <c r="CF34" s="1">
        <f t="shared" si="98"/>
        <v>5231.6000000000013</v>
      </c>
      <c r="CG34" s="1">
        <f t="shared" si="98"/>
        <v>5592</v>
      </c>
      <c r="CH34" s="1">
        <f t="shared" si="98"/>
        <v>5080.4999999999991</v>
      </c>
      <c r="CI34" s="1">
        <f t="shared" si="98"/>
        <v>10014.199999999999</v>
      </c>
      <c r="CJ34" s="1">
        <f t="shared" si="98"/>
        <v>10215.995999999999</v>
      </c>
      <c r="CK34" s="1">
        <f t="shared" si="98"/>
        <v>10184.49446</v>
      </c>
      <c r="CL34" s="1">
        <f t="shared" si="98"/>
        <v>10220.387994600002</v>
      </c>
      <c r="CM34" s="1">
        <f t="shared" si="98"/>
        <v>10394.889911546001</v>
      </c>
      <c r="CN34" s="1">
        <f t="shared" si="98"/>
        <v>10469.755687361461</v>
      </c>
      <c r="CO34" s="1">
        <f t="shared" si="98"/>
        <v>10675.494654705079</v>
      </c>
      <c r="CP34" s="1">
        <f t="shared" si="98"/>
        <v>9472.2854430098778</v>
      </c>
      <c r="CQ34" s="1">
        <f t="shared" si="98"/>
        <v>8099.8716063086767</v>
      </c>
      <c r="CR34" s="1">
        <f t="shared" si="98"/>
        <v>6764.2622523795308</v>
      </c>
      <c r="CS34" s="1">
        <f t="shared" si="98"/>
        <v>5837.2016456144447</v>
      </c>
    </row>
    <row r="35" spans="2:138" s="1" customFormat="1" x14ac:dyDescent="0.25">
      <c r="B35" s="1" t="s">
        <v>222</v>
      </c>
      <c r="C35" s="15">
        <v>-0.216</v>
      </c>
      <c r="D35" s="15">
        <v>-0.86299999999999999</v>
      </c>
      <c r="E35" s="15">
        <v>0.56200000000000006</v>
      </c>
      <c r="F35" s="15">
        <f>BU35-E35-D35-C35</f>
        <v>-0.61499999999999999</v>
      </c>
      <c r="G35" s="15">
        <v>0</v>
      </c>
      <c r="H35" s="15">
        <v>0</v>
      </c>
      <c r="I35" s="15">
        <v>0</v>
      </c>
      <c r="J35" s="15">
        <f>+BV35-I35-H35-G35</f>
        <v>0</v>
      </c>
      <c r="K35" s="15">
        <v>42.957000000000001</v>
      </c>
      <c r="L35" s="15">
        <v>60.316000000000003</v>
      </c>
      <c r="M35" s="15">
        <v>84.378</v>
      </c>
      <c r="N35" s="15">
        <f>+BW35-M35-L35-K35</f>
        <v>101.34700000000001</v>
      </c>
      <c r="O35" s="15"/>
      <c r="P35" s="15"/>
      <c r="Q35" s="15"/>
      <c r="R35" s="15"/>
      <c r="S35" s="15"/>
      <c r="T35" s="15"/>
      <c r="U35" s="15"/>
      <c r="V35" s="15"/>
      <c r="W35" s="15"/>
      <c r="X35" s="15"/>
      <c r="Y35" s="15"/>
      <c r="Z35" s="15">
        <v>88.412000000000006</v>
      </c>
      <c r="AA35" s="15"/>
      <c r="AB35" s="15"/>
      <c r="AC35" s="15"/>
      <c r="AD35" s="15">
        <v>381.24799999999999</v>
      </c>
      <c r="AE35" s="15">
        <v>107.4</v>
      </c>
      <c r="AF35" s="15">
        <v>104.7</v>
      </c>
      <c r="AG35" s="15"/>
      <c r="AH35" s="15"/>
      <c r="AI35" s="15">
        <v>85</v>
      </c>
      <c r="AJ35" s="15">
        <v>-31.6</v>
      </c>
      <c r="AK35" s="15"/>
      <c r="AL35" s="15"/>
      <c r="AM35" s="15">
        <v>44</v>
      </c>
      <c r="AN35" s="15">
        <v>21.6</v>
      </c>
      <c r="AO35" s="15">
        <v>156.19999999999999</v>
      </c>
      <c r="AP35" s="15">
        <v>75.400000000000006</v>
      </c>
      <c r="AQ35" s="15">
        <v>137.80000000000001</v>
      </c>
      <c r="AR35" s="15">
        <v>653.9</v>
      </c>
      <c r="AS35" s="15">
        <v>184.4</v>
      </c>
      <c r="AT35" s="15">
        <v>274.39999999999998</v>
      </c>
      <c r="AU35" s="15">
        <v>87.6</v>
      </c>
      <c r="AV35" s="15">
        <v>111.1</v>
      </c>
      <c r="AW35" s="15">
        <v>194.1</v>
      </c>
      <c r="AX35" s="15">
        <v>127.6</v>
      </c>
      <c r="AY35" s="15">
        <v>40.200000000000003</v>
      </c>
      <c r="AZ35" s="15">
        <v>114.5</v>
      </c>
      <c r="BA35" s="15">
        <v>103</v>
      </c>
      <c r="BB35" s="15">
        <f>-12+45.3</f>
        <v>33.299999999999997</v>
      </c>
      <c r="BC35" s="15">
        <v>-21.3</v>
      </c>
      <c r="BD35" s="15">
        <v>195.8</v>
      </c>
      <c r="BE35" s="15">
        <f>152.4+23.4</f>
        <v>175.8</v>
      </c>
      <c r="BF35" s="15">
        <f>40.4+112.5</f>
        <v>152.9</v>
      </c>
      <c r="BG35" s="15">
        <f>+BG34*0.116</f>
        <v>125.31480000000001</v>
      </c>
      <c r="BH35" s="15">
        <v>127.1</v>
      </c>
      <c r="BI35" s="15">
        <v>303.3</v>
      </c>
      <c r="BJ35" s="15">
        <v>199.1</v>
      </c>
      <c r="BK35" s="15">
        <v>104</v>
      </c>
      <c r="BL35" s="15">
        <v>230.9</v>
      </c>
      <c r="BM35" s="15"/>
      <c r="BN35" s="15"/>
      <c r="BO35" s="15"/>
      <c r="BP35" s="15"/>
      <c r="BQ35" s="15"/>
      <c r="BR35" s="15"/>
      <c r="BU35" s="1">
        <v>-1.1319999999999999</v>
      </c>
      <c r="BV35" s="1">
        <v>0</v>
      </c>
      <c r="BW35" s="1">
        <v>288.99799999999999</v>
      </c>
      <c r="BX35" s="1">
        <v>427.673</v>
      </c>
      <c r="BY35" s="1">
        <v>589.04100000000005</v>
      </c>
      <c r="CD35" s="1">
        <f t="shared" ref="CD35" si="99">SUM(AM35:AP35)</f>
        <v>297.2</v>
      </c>
      <c r="CE35" s="1">
        <f t="shared" ref="CE35" si="100">SUM(AQ35:AT35)</f>
        <v>1250.5</v>
      </c>
      <c r="CF35" s="1">
        <f t="shared" ref="CF35" si="101">SUM(AU35:AX35)</f>
        <v>520.4</v>
      </c>
      <c r="CG35" s="1">
        <f t="shared" ref="CG35" si="102">SUM(AY35:BB35)</f>
        <v>291</v>
      </c>
      <c r="CH35" s="1">
        <f>SUM(BC35:BF35)</f>
        <v>503.20000000000005</v>
      </c>
      <c r="CI35" s="1">
        <f>CI34*0.15</f>
        <v>1502.1299999999999</v>
      </c>
      <c r="CJ35" s="1">
        <f t="shared" ref="CJ35:CS35" si="103">CJ34*0.15</f>
        <v>1532.3993999999998</v>
      </c>
      <c r="CK35" s="1">
        <f t="shared" si="103"/>
        <v>1527.6741689999999</v>
      </c>
      <c r="CL35" s="1">
        <f t="shared" si="103"/>
        <v>1533.0581991900001</v>
      </c>
      <c r="CM35" s="1">
        <f t="shared" si="103"/>
        <v>1559.2334867319</v>
      </c>
      <c r="CN35" s="1">
        <f t="shared" si="103"/>
        <v>1570.4633531042191</v>
      </c>
      <c r="CO35" s="1">
        <f t="shared" si="103"/>
        <v>1601.3241982057618</v>
      </c>
      <c r="CP35" s="1">
        <f t="shared" si="103"/>
        <v>1420.8428164514817</v>
      </c>
      <c r="CQ35" s="1">
        <f t="shared" si="103"/>
        <v>1214.9807409463015</v>
      </c>
      <c r="CR35" s="1">
        <f t="shared" si="103"/>
        <v>1014.6393378569296</v>
      </c>
      <c r="CS35" s="1">
        <f t="shared" si="103"/>
        <v>875.58024684216673</v>
      </c>
    </row>
    <row r="36" spans="2:138" s="1" customFormat="1" x14ac:dyDescent="0.25">
      <c r="B36" s="1" t="s">
        <v>223</v>
      </c>
      <c r="C36" s="15">
        <f t="shared" ref="C36" si="104">+C34-C35</f>
        <v>-43.474000000000011</v>
      </c>
      <c r="D36" s="15">
        <f t="shared" ref="D36:N36" si="105">+D34-D35</f>
        <v>-62.505000000000003</v>
      </c>
      <c r="E36" s="15">
        <f t="shared" si="105"/>
        <v>-62.39800000000001</v>
      </c>
      <c r="F36" s="15">
        <f t="shared" si="105"/>
        <v>-53.406999999999968</v>
      </c>
      <c r="G36" s="15">
        <f t="shared" si="105"/>
        <v>11.620000000000015</v>
      </c>
      <c r="H36" s="15">
        <f t="shared" si="105"/>
        <v>76.724000000000004</v>
      </c>
      <c r="I36" s="15">
        <f t="shared" si="105"/>
        <v>191.48099999999999</v>
      </c>
      <c r="J36" s="15">
        <f t="shared" si="105"/>
        <v>134.61900000000003</v>
      </c>
      <c r="K36" s="15">
        <f t="shared" si="105"/>
        <v>98.833999999999946</v>
      </c>
      <c r="L36" s="15">
        <f t="shared" si="105"/>
        <v>87.38300000000001</v>
      </c>
      <c r="M36" s="15">
        <f t="shared" si="105"/>
        <v>141.28800000000007</v>
      </c>
      <c r="N36" s="15">
        <f t="shared" si="105"/>
        <v>96.811999999999841</v>
      </c>
      <c r="O36" s="15"/>
      <c r="P36" s="15"/>
      <c r="Q36" s="15"/>
      <c r="R36" s="15"/>
      <c r="S36" s="15"/>
      <c r="T36" s="15"/>
      <c r="U36" s="15"/>
      <c r="V36" s="15"/>
      <c r="W36" s="15"/>
      <c r="X36" s="15"/>
      <c r="Y36" s="15">
        <f t="shared" ref="Y36:AD36" si="106">+Y34-Y35</f>
        <v>0</v>
      </c>
      <c r="Z36" s="15">
        <f t="shared" si="106"/>
        <v>253.59399999999974</v>
      </c>
      <c r="AA36" s="15">
        <f t="shared" si="106"/>
        <v>1318.7460000000001</v>
      </c>
      <c r="AB36" s="15">
        <f t="shared" si="106"/>
        <v>1469.9829999999999</v>
      </c>
      <c r="AC36" s="15">
        <f t="shared" si="106"/>
        <v>1500.306</v>
      </c>
      <c r="AD36" s="15">
        <f t="shared" si="106"/>
        <v>173.8010000000001</v>
      </c>
      <c r="AE36" s="15">
        <f t="shared" ref="AE36:AG36" si="107">+AE34-AE35</f>
        <v>778.00000000000023</v>
      </c>
      <c r="AF36" s="15">
        <f t="shared" si="107"/>
        <v>551.20000000000016</v>
      </c>
      <c r="AG36" s="15">
        <f t="shared" si="107"/>
        <v>0</v>
      </c>
      <c r="AH36" s="15">
        <f t="shared" ref="AH36:AL36" si="108">+AH34-AH35</f>
        <v>718.09999999999991</v>
      </c>
      <c r="AI36" s="15">
        <f t="shared" si="108"/>
        <v>513.6</v>
      </c>
      <c r="AJ36" s="15">
        <f t="shared" si="108"/>
        <v>1043.4999999999998</v>
      </c>
      <c r="AK36" s="15">
        <f t="shared" si="108"/>
        <v>0</v>
      </c>
      <c r="AL36" s="15">
        <f t="shared" si="108"/>
        <v>1945.6</v>
      </c>
      <c r="AM36" s="15">
        <f t="shared" ref="AM36" si="109">+AM34-AM35</f>
        <v>701.60000000000014</v>
      </c>
      <c r="AN36" s="15">
        <f t="shared" ref="AN36:AX36" si="110">+AN34-AN35</f>
        <v>740.70000000000016</v>
      </c>
      <c r="AO36" s="15">
        <f t="shared" si="110"/>
        <v>1040.7999999999997</v>
      </c>
      <c r="AP36" s="15">
        <f t="shared" si="110"/>
        <v>886.39999999999986</v>
      </c>
      <c r="AQ36" s="15">
        <f t="shared" si="110"/>
        <v>961.00000000000068</v>
      </c>
      <c r="AR36" s="15">
        <f t="shared" si="110"/>
        <v>2616.5</v>
      </c>
      <c r="AS36" s="15">
        <f t="shared" si="110"/>
        <v>2030.9</v>
      </c>
      <c r="AT36" s="15">
        <f t="shared" si="110"/>
        <v>2692.6999999999994</v>
      </c>
      <c r="AU36" s="15">
        <f t="shared" si="110"/>
        <v>1002.0000000000003</v>
      </c>
      <c r="AV36" s="15">
        <f t="shared" si="110"/>
        <v>1029.3000000000004</v>
      </c>
      <c r="AW36" s="15">
        <f t="shared" si="110"/>
        <v>1381.9</v>
      </c>
      <c r="AX36" s="15">
        <f t="shared" si="110"/>
        <v>1298</v>
      </c>
      <c r="AY36" s="15">
        <f t="shared" ref="AY36" si="111">+AY34-AY35</f>
        <v>902.99999999999977</v>
      </c>
      <c r="AZ36" s="15">
        <f t="shared" ref="AZ36" si="112">+AZ34-AZ35</f>
        <v>1410.9</v>
      </c>
      <c r="BA36" s="15">
        <f t="shared" ref="BA36" si="113">+BA34-BA35</f>
        <v>1591.1</v>
      </c>
      <c r="BB36" s="15">
        <f t="shared" ref="BB36:BF36" si="114">+BB34-BB35</f>
        <v>1396</v>
      </c>
      <c r="BC36" s="15">
        <f t="shared" si="114"/>
        <v>790.59999999999991</v>
      </c>
      <c r="BD36" s="15">
        <f t="shared" si="114"/>
        <v>1104.1999999999998</v>
      </c>
      <c r="BE36" s="15">
        <f t="shared" si="114"/>
        <v>1279.2</v>
      </c>
      <c r="BF36" s="15">
        <f t="shared" si="114"/>
        <v>1403.3</v>
      </c>
      <c r="BG36" s="15">
        <f t="shared" ref="BG36:BL36" si="115">+BG34-BG35</f>
        <v>954.98519999999996</v>
      </c>
      <c r="BH36" s="15">
        <f t="shared" si="115"/>
        <v>1498.3000000000002</v>
      </c>
      <c r="BI36" s="15">
        <f t="shared" si="115"/>
        <v>708.40000000000009</v>
      </c>
      <c r="BJ36" s="15">
        <f t="shared" si="115"/>
        <v>1393.7</v>
      </c>
      <c r="BK36" s="15">
        <f t="shared" si="115"/>
        <v>1311.1</v>
      </c>
      <c r="BL36" s="15">
        <f t="shared" si="115"/>
        <v>1753.1</v>
      </c>
      <c r="BM36" s="15"/>
      <c r="BN36" s="15"/>
      <c r="BO36" s="15"/>
      <c r="BP36" s="15"/>
      <c r="BQ36" s="15"/>
      <c r="BR36" s="15"/>
      <c r="BT36" s="1">
        <f t="shared" ref="BT36:BY36" si="116">+BT34-BT35</f>
        <v>0</v>
      </c>
      <c r="BU36" s="1">
        <f t="shared" si="116"/>
        <v>-221.78399999999993</v>
      </c>
      <c r="BV36" s="1">
        <f t="shared" si="116"/>
        <v>414.44400000000007</v>
      </c>
      <c r="BW36" s="1">
        <f t="shared" si="116"/>
        <v>424.31700000000018</v>
      </c>
      <c r="BX36" s="1">
        <f t="shared" si="116"/>
        <v>381.58600000000013</v>
      </c>
      <c r="BY36" s="1">
        <f t="shared" si="116"/>
        <v>654.88899999999978</v>
      </c>
      <c r="CD36" s="1">
        <f>+CD34-CD35</f>
        <v>3369.5</v>
      </c>
      <c r="CE36" s="1">
        <f t="shared" ref="CE36:CR36" si="117">+CE34-CE35</f>
        <v>8301.1000000000022</v>
      </c>
      <c r="CF36" s="1">
        <f t="shared" si="117"/>
        <v>4711.2000000000016</v>
      </c>
      <c r="CG36" s="1">
        <f t="shared" si="117"/>
        <v>5301</v>
      </c>
      <c r="CH36" s="1">
        <f t="shared" si="117"/>
        <v>4577.2999999999993</v>
      </c>
      <c r="CI36" s="1">
        <f t="shared" si="117"/>
        <v>8512.07</v>
      </c>
      <c r="CJ36" s="1">
        <f t="shared" si="117"/>
        <v>8683.5965999999989</v>
      </c>
      <c r="CK36" s="1">
        <f t="shared" si="117"/>
        <v>8656.820291</v>
      </c>
      <c r="CL36" s="1">
        <f t="shared" si="117"/>
        <v>8687.3297954100017</v>
      </c>
      <c r="CM36" s="1">
        <f t="shared" si="117"/>
        <v>8835.6564248141003</v>
      </c>
      <c r="CN36" s="1">
        <f t="shared" si="117"/>
        <v>8899.2923342572431</v>
      </c>
      <c r="CO36" s="1">
        <f t="shared" si="117"/>
        <v>9074.1704564993161</v>
      </c>
      <c r="CP36" s="1">
        <f t="shared" si="117"/>
        <v>8051.4426265583961</v>
      </c>
      <c r="CQ36" s="1">
        <f t="shared" si="117"/>
        <v>6884.8908653623748</v>
      </c>
      <c r="CR36" s="1">
        <f t="shared" si="117"/>
        <v>5749.6229145226007</v>
      </c>
      <c r="CS36" s="1">
        <f>+CS34-CS35</f>
        <v>4961.6213987722776</v>
      </c>
      <c r="CT36" s="1">
        <f>CS36*(1+$CU$40)</f>
        <v>4812.7727568091095</v>
      </c>
      <c r="CU36" s="1">
        <f t="shared" ref="CU36:EH36" si="118">CT36*(1+$CU$40)</f>
        <v>4668.3895741048364</v>
      </c>
      <c r="CV36" s="1">
        <f t="shared" si="118"/>
        <v>4528.3378868816908</v>
      </c>
      <c r="CW36" s="1">
        <f t="shared" si="118"/>
        <v>4392.4877502752397</v>
      </c>
      <c r="CX36" s="1">
        <f t="shared" si="118"/>
        <v>4260.7131177669826</v>
      </c>
      <c r="CY36" s="1">
        <f t="shared" si="118"/>
        <v>4132.891724233973</v>
      </c>
      <c r="CZ36" s="1">
        <f t="shared" si="118"/>
        <v>4008.9049725069535</v>
      </c>
      <c r="DA36" s="1">
        <f t="shared" si="118"/>
        <v>3888.637823331745</v>
      </c>
      <c r="DB36" s="1">
        <f t="shared" si="118"/>
        <v>3771.9786886317925</v>
      </c>
      <c r="DC36" s="1">
        <f t="shared" si="118"/>
        <v>3658.8193279728384</v>
      </c>
      <c r="DD36" s="1">
        <f t="shared" si="118"/>
        <v>3549.054748133653</v>
      </c>
      <c r="DE36" s="1">
        <f t="shared" si="118"/>
        <v>3442.5831056896432</v>
      </c>
      <c r="DF36" s="1">
        <f t="shared" si="118"/>
        <v>3339.3056125189537</v>
      </c>
      <c r="DG36" s="1">
        <f t="shared" si="118"/>
        <v>3239.126444143385</v>
      </c>
      <c r="DH36" s="1">
        <f t="shared" si="118"/>
        <v>3141.9526508190834</v>
      </c>
      <c r="DI36" s="1">
        <f t="shared" si="118"/>
        <v>3047.6940712945106</v>
      </c>
      <c r="DJ36" s="1">
        <f t="shared" si="118"/>
        <v>2956.2632491556751</v>
      </c>
      <c r="DK36" s="1">
        <f t="shared" si="118"/>
        <v>2867.5753516810046</v>
      </c>
      <c r="DL36" s="1">
        <f t="shared" si="118"/>
        <v>2781.5480911305744</v>
      </c>
      <c r="DM36" s="1">
        <f t="shared" si="118"/>
        <v>2698.1016483966573</v>
      </c>
      <c r="DN36" s="1">
        <f t="shared" si="118"/>
        <v>2617.1585989447576</v>
      </c>
      <c r="DO36" s="1">
        <f t="shared" si="118"/>
        <v>2538.6438409764146</v>
      </c>
      <c r="DP36" s="1">
        <f t="shared" si="118"/>
        <v>2462.484525747122</v>
      </c>
      <c r="DQ36" s="1">
        <f t="shared" si="118"/>
        <v>2388.6099899747082</v>
      </c>
      <c r="DR36" s="1">
        <f t="shared" si="118"/>
        <v>2316.9516902754667</v>
      </c>
      <c r="DS36" s="1">
        <f t="shared" si="118"/>
        <v>2247.4431395672027</v>
      </c>
      <c r="DT36" s="1">
        <f t="shared" si="118"/>
        <v>2180.0198453801868</v>
      </c>
      <c r="DU36" s="1">
        <f t="shared" si="118"/>
        <v>2114.6192500187813</v>
      </c>
      <c r="DV36" s="1">
        <f t="shared" si="118"/>
        <v>2051.1806725182178</v>
      </c>
      <c r="DW36" s="1">
        <f t="shared" si="118"/>
        <v>1989.6452523426713</v>
      </c>
      <c r="DX36" s="1">
        <f t="shared" si="118"/>
        <v>1929.955894772391</v>
      </c>
      <c r="DY36" s="1">
        <f t="shared" si="118"/>
        <v>1872.0572179292192</v>
      </c>
      <c r="DZ36" s="1">
        <f t="shared" si="118"/>
        <v>1815.8955013913426</v>
      </c>
      <c r="EA36" s="1">
        <f t="shared" si="118"/>
        <v>1761.4186363496021</v>
      </c>
      <c r="EB36" s="1">
        <f t="shared" si="118"/>
        <v>1708.5760772591141</v>
      </c>
      <c r="EC36" s="1">
        <f t="shared" si="118"/>
        <v>1657.3187949413407</v>
      </c>
      <c r="ED36" s="1">
        <f t="shared" si="118"/>
        <v>1607.5992310931003</v>
      </c>
      <c r="EE36" s="1">
        <f t="shared" si="118"/>
        <v>1559.3712541603072</v>
      </c>
      <c r="EF36" s="1">
        <f t="shared" si="118"/>
        <v>1512.5901165354981</v>
      </c>
      <c r="EG36" s="1">
        <f t="shared" si="118"/>
        <v>1467.2124130394332</v>
      </c>
      <c r="EH36" s="1">
        <f t="shared" si="118"/>
        <v>1423.1960406482501</v>
      </c>
    </row>
    <row r="37" spans="2:138" s="45" customFormat="1" ht="13" x14ac:dyDescent="0.3">
      <c r="B37" s="16" t="s">
        <v>224</v>
      </c>
      <c r="C37" s="55">
        <f t="shared" ref="C37:N37" si="119">+C36/C38</f>
        <v>-0.48758439694040073</v>
      </c>
      <c r="D37" s="55">
        <f t="shared" si="119"/>
        <v>-0.69115175372639215</v>
      </c>
      <c r="E37" s="55">
        <f t="shared" si="119"/>
        <v>-0.68534586912110373</v>
      </c>
      <c r="F37" s="55">
        <f t="shared" si="119"/>
        <v>-0.58659359005337919</v>
      </c>
      <c r="G37" s="55">
        <f t="shared" si="119"/>
        <v>0.10785824345146394</v>
      </c>
      <c r="H37" s="55">
        <f t="shared" si="119"/>
        <v>0.6964335962674848</v>
      </c>
      <c r="I37" s="55">
        <f t="shared" si="119"/>
        <v>1.6531209531209532</v>
      </c>
      <c r="J37" s="55">
        <f t="shared" si="119"/>
        <v>1.1622118622118625</v>
      </c>
      <c r="K37" s="55">
        <f t="shared" si="119"/>
        <v>0.90367471587012727</v>
      </c>
      <c r="L37" s="55">
        <f t="shared" si="119"/>
        <v>0.78680893210877012</v>
      </c>
      <c r="M37" s="55">
        <f t="shared" si="119"/>
        <v>1.2105592350466536</v>
      </c>
      <c r="N37" s="55">
        <f t="shared" si="119"/>
        <v>0.82948771773495533</v>
      </c>
      <c r="O37" s="43"/>
      <c r="P37" s="55">
        <f t="shared" ref="P37:V37" si="120">+P36/P38</f>
        <v>0</v>
      </c>
      <c r="Q37" s="55" t="e">
        <f t="shared" si="120"/>
        <v>#DIV/0!</v>
      </c>
      <c r="R37" s="55" t="e">
        <f t="shared" si="120"/>
        <v>#DIV/0!</v>
      </c>
      <c r="S37" s="55" t="e">
        <f t="shared" si="120"/>
        <v>#DIV/0!</v>
      </c>
      <c r="T37" s="55">
        <f t="shared" si="120"/>
        <v>0</v>
      </c>
      <c r="U37" s="55" t="e">
        <f t="shared" si="120"/>
        <v>#DIV/0!</v>
      </c>
      <c r="V37" s="55" t="e">
        <f t="shared" si="120"/>
        <v>#DIV/0!</v>
      </c>
      <c r="W37" s="55" t="e">
        <f t="shared" ref="W37:AD37" si="121">+W36/W38</f>
        <v>#DIV/0!</v>
      </c>
      <c r="X37" s="55" t="e">
        <f t="shared" si="121"/>
        <v>#DIV/0!</v>
      </c>
      <c r="Y37" s="55">
        <f t="shared" si="121"/>
        <v>0</v>
      </c>
      <c r="Z37" s="55">
        <f t="shared" si="121"/>
        <v>2.1901578747365855</v>
      </c>
      <c r="AA37" s="55" t="e">
        <f t="shared" si="121"/>
        <v>#DIV/0!</v>
      </c>
      <c r="AB37" s="55" t="e">
        <f t="shared" si="121"/>
        <v>#DIV/0!</v>
      </c>
      <c r="AC37" s="55">
        <f t="shared" si="121"/>
        <v>12.820060156543732</v>
      </c>
      <c r="AD37" s="55">
        <f t="shared" si="121"/>
        <v>1.4998878111084271</v>
      </c>
      <c r="AE37" s="55">
        <f t="shared" ref="AE37:AG37" si="122">+AE36/AE38</f>
        <v>6.7711053089643185</v>
      </c>
      <c r="AF37" s="55">
        <f t="shared" si="122"/>
        <v>4.8139737991266394</v>
      </c>
      <c r="AG37" s="55" t="e">
        <f t="shared" si="122"/>
        <v>#DIV/0!</v>
      </c>
      <c r="AH37" s="55">
        <f t="shared" ref="AH37:AL37" si="123">+AH36/AH38</f>
        <v>6.2552264808362361</v>
      </c>
      <c r="AI37" s="55">
        <f t="shared" si="123"/>
        <v>4.4467532467532473</v>
      </c>
      <c r="AJ37" s="55">
        <f t="shared" si="123"/>
        <v>9.1055846422338558</v>
      </c>
      <c r="AK37" s="55" t="e">
        <f t="shared" si="123"/>
        <v>#DIV/0!</v>
      </c>
      <c r="AL37" s="55">
        <f t="shared" si="123"/>
        <v>17.021872265966753</v>
      </c>
      <c r="AM37" s="55">
        <f t="shared" ref="AM37" si="124">+AM36/AM38</f>
        <v>6.0955690703735899</v>
      </c>
      <c r="AN37" s="55">
        <f t="shared" ref="AN37:AX37" si="125">+AN36/AN38</f>
        <v>6.2087175188600181</v>
      </c>
      <c r="AO37" s="55">
        <f t="shared" si="125"/>
        <v>9.1378402107111469</v>
      </c>
      <c r="AP37" s="55">
        <f t="shared" si="125"/>
        <v>7.900178253119428</v>
      </c>
      <c r="AQ37" s="55">
        <f t="shared" si="125"/>
        <v>8.5727029438001843</v>
      </c>
      <c r="AR37" s="55">
        <f t="shared" si="125"/>
        <v>23.319964349376114</v>
      </c>
      <c r="AS37" s="55">
        <f t="shared" si="125"/>
        <v>17.830553116769096</v>
      </c>
      <c r="AT37" s="55">
        <f t="shared" si="125"/>
        <v>23.787102473498226</v>
      </c>
      <c r="AU37" s="55">
        <f t="shared" si="125"/>
        <v>8.7358326068003507</v>
      </c>
      <c r="AV37" s="55">
        <f t="shared" si="125"/>
        <v>8.9194107452339715</v>
      </c>
      <c r="AW37" s="55">
        <f t="shared" si="125"/>
        <v>12.250886524822697</v>
      </c>
      <c r="AX37" s="55">
        <f t="shared" si="125"/>
        <v>11.385964912280702</v>
      </c>
      <c r="AY37" s="55">
        <f t="shared" ref="AY37" si="126">+AY36/AY38</f>
        <v>7.9210526315789451</v>
      </c>
      <c r="AZ37" s="55">
        <f t="shared" ref="AZ37" si="127">+AZ36/AZ38</f>
        <v>12.226169844020797</v>
      </c>
      <c r="BA37" s="55">
        <f t="shared" ref="BA37" si="128">+BA36/BA38</f>
        <v>14.030864197530862</v>
      </c>
      <c r="BB37" s="55">
        <f t="shared" ref="BB37:BL37" si="129">+BB36/BB38</f>
        <v>12.118055555555555</v>
      </c>
      <c r="BC37" s="55">
        <f t="shared" si="129"/>
        <v>6.8688097306689828</v>
      </c>
      <c r="BD37" s="55">
        <f t="shared" si="129"/>
        <v>9.445680068434557</v>
      </c>
      <c r="BE37" s="55">
        <f t="shared" si="129"/>
        <v>11.008605851979347</v>
      </c>
      <c r="BF37" s="55">
        <f t="shared" si="129"/>
        <v>12.192006950477845</v>
      </c>
      <c r="BG37" s="55">
        <f t="shared" si="129"/>
        <v>8.5879964028776978</v>
      </c>
      <c r="BH37" s="55">
        <f t="shared" si="129"/>
        <v>13.796500920810315</v>
      </c>
      <c r="BI37" s="55">
        <f t="shared" si="129"/>
        <v>6.6082089552238816</v>
      </c>
      <c r="BJ37" s="55">
        <f t="shared" si="129"/>
        <v>12.964651162790698</v>
      </c>
      <c r="BK37" s="55">
        <f t="shared" si="129"/>
        <v>12.173630454967501</v>
      </c>
      <c r="BL37" s="55">
        <f t="shared" si="129"/>
        <v>16.538679245283017</v>
      </c>
      <c r="BM37" s="55"/>
      <c r="BN37" s="55"/>
      <c r="BO37" s="55"/>
      <c r="BP37" s="55"/>
      <c r="BQ37" s="55"/>
      <c r="BR37" s="55"/>
      <c r="BT37" s="56">
        <f t="shared" ref="BT37:BY37" si="130">+BT36/BT38</f>
        <v>0</v>
      </c>
      <c r="BU37" s="56">
        <f t="shared" si="130"/>
        <v>-2.4476768568590654</v>
      </c>
      <c r="BV37" s="56">
        <f t="shared" si="130"/>
        <v>3.5919294170667873</v>
      </c>
      <c r="BW37" s="56">
        <f t="shared" si="130"/>
        <v>3.8127145296073337</v>
      </c>
      <c r="BX37" s="56">
        <f t="shared" si="130"/>
        <v>3.3645701991835164</v>
      </c>
      <c r="BY37" s="56">
        <f t="shared" si="130"/>
        <v>5.683320315889957</v>
      </c>
      <c r="CD37" s="56">
        <f>+CD36/CD38</f>
        <v>29.268186753528777</v>
      </c>
      <c r="CE37" s="56">
        <f t="shared" ref="CE37:CS37" si="131">+CE36/CE38</f>
        <v>73.558706247230845</v>
      </c>
      <c r="CF37" s="56">
        <f t="shared" si="131"/>
        <v>41.244911359159566</v>
      </c>
      <c r="CG37" s="56">
        <f t="shared" si="131"/>
        <v>46.296943231441048</v>
      </c>
      <c r="CH37" s="56">
        <f t="shared" si="131"/>
        <v>39.519102093675805</v>
      </c>
      <c r="CI37" s="56">
        <f t="shared" si="131"/>
        <v>79.182046511627902</v>
      </c>
      <c r="CJ37" s="56">
        <f t="shared" si="131"/>
        <v>80.777642790697669</v>
      </c>
      <c r="CK37" s="56">
        <f t="shared" si="131"/>
        <v>80.528560846511624</v>
      </c>
      <c r="CL37" s="56">
        <f t="shared" si="131"/>
        <v>80.812370189860488</v>
      </c>
      <c r="CM37" s="56">
        <f t="shared" si="131"/>
        <v>82.192152788968372</v>
      </c>
      <c r="CN37" s="56">
        <f t="shared" si="131"/>
        <v>82.784114737276681</v>
      </c>
      <c r="CO37" s="56">
        <f t="shared" si="131"/>
        <v>84.410887967435499</v>
      </c>
      <c r="CP37" s="56">
        <f t="shared" si="131"/>
        <v>74.897140712171122</v>
      </c>
      <c r="CQ37" s="56">
        <f t="shared" si="131"/>
        <v>64.045496421975585</v>
      </c>
      <c r="CR37" s="56">
        <f t="shared" si="131"/>
        <v>53.484864321140471</v>
      </c>
      <c r="CS37" s="56">
        <f t="shared" si="131"/>
        <v>46.154617662997929</v>
      </c>
    </row>
    <row r="38" spans="2:138" s="1" customFormat="1" x14ac:dyDescent="0.25">
      <c r="B38" s="1" t="s">
        <v>37</v>
      </c>
      <c r="C38" s="15">
        <v>89.162000000000006</v>
      </c>
      <c r="D38" s="15">
        <v>90.436000000000007</v>
      </c>
      <c r="E38" s="15">
        <v>91.046000000000006</v>
      </c>
      <c r="F38" s="49">
        <f>+E38</f>
        <v>91.046000000000006</v>
      </c>
      <c r="G38" s="15">
        <v>107.73399999999999</v>
      </c>
      <c r="H38" s="15">
        <v>110.167</v>
      </c>
      <c r="I38" s="15">
        <v>115.83</v>
      </c>
      <c r="J38" s="49">
        <f>+I38</f>
        <v>115.83</v>
      </c>
      <c r="K38" s="15">
        <v>109.369</v>
      </c>
      <c r="L38" s="15">
        <v>111.06</v>
      </c>
      <c r="M38" s="15">
        <v>116.71299999999999</v>
      </c>
      <c r="N38" s="49">
        <f>+M38</f>
        <v>116.71299999999999</v>
      </c>
      <c r="O38" s="15"/>
      <c r="P38" s="15">
        <v>113.032</v>
      </c>
      <c r="Q38" s="15"/>
      <c r="R38" s="15"/>
      <c r="S38" s="15"/>
      <c r="T38" s="15">
        <v>115.259</v>
      </c>
      <c r="U38" s="15"/>
      <c r="V38" s="15"/>
      <c r="W38" s="15"/>
      <c r="X38" s="15"/>
      <c r="Y38" s="15">
        <v>116.46599999999999</v>
      </c>
      <c r="Z38" s="15">
        <v>115.788</v>
      </c>
      <c r="AA38" s="15"/>
      <c r="AB38" s="15"/>
      <c r="AC38" s="15">
        <v>117.02800000000001</v>
      </c>
      <c r="AD38" s="15">
        <v>115.876</v>
      </c>
      <c r="AE38" s="15">
        <v>114.9</v>
      </c>
      <c r="AF38" s="15">
        <v>114.5</v>
      </c>
      <c r="AG38" s="15"/>
      <c r="AH38" s="15">
        <v>114.8</v>
      </c>
      <c r="AI38" s="15">
        <v>115.5</v>
      </c>
      <c r="AJ38" s="15">
        <v>114.6</v>
      </c>
      <c r="AK38" s="15"/>
      <c r="AL38" s="15">
        <v>114.3</v>
      </c>
      <c r="AM38" s="15">
        <v>115.1</v>
      </c>
      <c r="AN38" s="15">
        <v>119.3</v>
      </c>
      <c r="AO38" s="15">
        <v>113.9</v>
      </c>
      <c r="AP38" s="15">
        <v>112.2</v>
      </c>
      <c r="AQ38" s="15">
        <v>112.1</v>
      </c>
      <c r="AR38" s="15">
        <v>112.2</v>
      </c>
      <c r="AS38" s="15">
        <v>113.9</v>
      </c>
      <c r="AT38" s="15">
        <v>113.2</v>
      </c>
      <c r="AU38" s="15">
        <v>114.7</v>
      </c>
      <c r="AV38" s="15">
        <v>115.4</v>
      </c>
      <c r="AW38" s="15">
        <v>112.8</v>
      </c>
      <c r="AX38" s="15">
        <v>114</v>
      </c>
      <c r="AY38" s="15">
        <v>114</v>
      </c>
      <c r="AZ38" s="15">
        <v>115.4</v>
      </c>
      <c r="BA38" s="15">
        <v>113.4</v>
      </c>
      <c r="BB38" s="15">
        <v>115.2</v>
      </c>
      <c r="BC38" s="15">
        <v>115.1</v>
      </c>
      <c r="BD38" s="15">
        <v>116.9</v>
      </c>
      <c r="BE38" s="15">
        <v>116.2</v>
      </c>
      <c r="BF38" s="15">
        <v>115.1</v>
      </c>
      <c r="BG38" s="15">
        <v>111.2</v>
      </c>
      <c r="BH38" s="15">
        <v>108.6</v>
      </c>
      <c r="BI38" s="15">
        <v>107.2</v>
      </c>
      <c r="BJ38" s="15">
        <v>107.5</v>
      </c>
      <c r="BK38" s="15">
        <v>107.7</v>
      </c>
      <c r="BL38" s="15">
        <v>106</v>
      </c>
      <c r="BM38" s="15"/>
      <c r="BN38" s="15"/>
      <c r="BO38" s="15"/>
      <c r="BP38" s="15"/>
      <c r="BQ38" s="15"/>
      <c r="BR38" s="15"/>
      <c r="BT38" s="1">
        <v>82.926000000000002</v>
      </c>
      <c r="BU38" s="1">
        <v>90.61</v>
      </c>
      <c r="BV38" s="1">
        <v>115.38200000000001</v>
      </c>
      <c r="BW38" s="1">
        <v>111.29</v>
      </c>
      <c r="BX38" s="1">
        <v>113.413</v>
      </c>
      <c r="BY38" s="1">
        <v>115.23</v>
      </c>
      <c r="CD38" s="1">
        <f>AVERAGE(AM38:AP38)</f>
        <v>115.12499999999999</v>
      </c>
      <c r="CE38" s="1">
        <f>AVERAGE(AQ38:AT38)</f>
        <v>112.85000000000001</v>
      </c>
      <c r="CF38" s="1">
        <f>AVERAGE(AU38:AX38)</f>
        <v>114.22500000000001</v>
      </c>
      <c r="CG38" s="1">
        <f>AVERAGE(AY38:BB38)</f>
        <v>114.5</v>
      </c>
      <c r="CH38" s="1">
        <f>AVERAGE(BC38:BF38)</f>
        <v>115.82499999999999</v>
      </c>
      <c r="CI38" s="1">
        <f>+BJ38</f>
        <v>107.5</v>
      </c>
      <c r="CJ38" s="1">
        <f t="shared" ref="CJ38:CS38" si="132">CI38</f>
        <v>107.5</v>
      </c>
      <c r="CK38" s="1">
        <f t="shared" si="132"/>
        <v>107.5</v>
      </c>
      <c r="CL38" s="1">
        <f t="shared" si="132"/>
        <v>107.5</v>
      </c>
      <c r="CM38" s="1">
        <f t="shared" si="132"/>
        <v>107.5</v>
      </c>
      <c r="CN38" s="1">
        <f t="shared" si="132"/>
        <v>107.5</v>
      </c>
      <c r="CO38" s="1">
        <f t="shared" si="132"/>
        <v>107.5</v>
      </c>
      <c r="CP38" s="1">
        <f t="shared" si="132"/>
        <v>107.5</v>
      </c>
      <c r="CQ38" s="1">
        <f t="shared" si="132"/>
        <v>107.5</v>
      </c>
      <c r="CR38" s="1">
        <f t="shared" si="132"/>
        <v>107.5</v>
      </c>
      <c r="CS38" s="1">
        <f t="shared" si="132"/>
        <v>107.5</v>
      </c>
    </row>
    <row r="40" spans="2:138" s="45" customFormat="1" ht="13" x14ac:dyDescent="0.3">
      <c r="B40" s="16" t="s">
        <v>240</v>
      </c>
      <c r="C40" s="43"/>
      <c r="D40" s="43"/>
      <c r="E40" s="43"/>
      <c r="F40" s="43"/>
      <c r="G40" s="43"/>
      <c r="H40" s="43"/>
      <c r="I40" s="43"/>
      <c r="J40" s="43"/>
      <c r="K40" s="43"/>
      <c r="L40" s="43"/>
      <c r="M40" s="43"/>
      <c r="N40" s="43"/>
      <c r="O40" s="43"/>
      <c r="P40" s="43"/>
      <c r="Q40" s="43"/>
      <c r="R40" s="43"/>
      <c r="S40" s="43"/>
      <c r="T40" s="43"/>
      <c r="U40" s="43"/>
      <c r="V40" s="43"/>
      <c r="W40" s="43"/>
      <c r="X40" s="43"/>
      <c r="Y40" s="44">
        <f t="shared" ref="Y40" si="133">Y26/U26-1</f>
        <v>7.2296825628482608E-2</v>
      </c>
      <c r="Z40" s="44">
        <f t="shared" ref="Z40" si="134">Z26/V26-1</f>
        <v>0.11822025906721589</v>
      </c>
      <c r="AA40" s="44">
        <f t="shared" ref="AA40" si="135">AA26/W26-1</f>
        <v>9.8344503513463799E-2</v>
      </c>
      <c r="AB40" s="44">
        <f t="shared" ref="AB40" si="136">AB26/X26-1</f>
        <v>0.2124471094761673</v>
      </c>
      <c r="AC40" s="44">
        <f t="shared" ref="AC40" si="137">AC26/Y26-1</f>
        <v>0.23010788305535845</v>
      </c>
      <c r="AD40" s="44">
        <f t="shared" ref="AD40" si="138">AD26/Z26-1</f>
        <v>0.28959607465456894</v>
      </c>
      <c r="AE40" s="44">
        <f t="shared" ref="AE40" si="139">AE26/AA26-1</f>
        <v>0.1461646139590187</v>
      </c>
      <c r="AF40" s="44">
        <f t="shared" ref="AF40" si="140">AF26/AB26-1</f>
        <v>9.3754145456104165E-2</v>
      </c>
      <c r="AG40" s="44">
        <f t="shared" ref="AG40" si="141">AG26/AC26-1</f>
        <v>0.10877381014273069</v>
      </c>
      <c r="AH40" s="44">
        <f t="shared" ref="AH40" si="142">AH26/AD26-1</f>
        <v>0.21802279480568054</v>
      </c>
      <c r="AI40" s="44">
        <f t="shared" ref="AI40:AK40" si="143">AI26/AE26-1</f>
        <v>0.16725107509096904</v>
      </c>
      <c r="AJ40" s="44">
        <f t="shared" si="143"/>
        <v>0.20251275034208205</v>
      </c>
      <c r="AK40" s="44">
        <f t="shared" si="143"/>
        <v>0.2313796212804331</v>
      </c>
      <c r="AL40" s="44">
        <f t="shared" ref="AL40" si="144">AL26/AH26-1</f>
        <v>0.12537607635646864</v>
      </c>
      <c r="AM40" s="44">
        <f t="shared" ref="AM40" si="145">AM26/AI26-1</f>
        <v>3.6218330215949779E-2</v>
      </c>
      <c r="AN40" s="44">
        <f t="shared" ref="AN40" si="146">AN26/AJ26-1</f>
        <v>9.7755249818973766E-3</v>
      </c>
      <c r="AO40" s="44">
        <f t="shared" ref="AO40" si="147">AO26/AK26-1</f>
        <v>0.11980082015231375</v>
      </c>
      <c r="AP40" s="44">
        <f t="shared" ref="AP40" si="148">AP26/AL26-1</f>
        <v>6.0013828070984099E-2</v>
      </c>
      <c r="AQ40" s="44">
        <f t="shared" ref="AQ40" si="149">AQ26/AM26-1</f>
        <v>0.38354665791488918</v>
      </c>
      <c r="AR40" s="44">
        <f t="shared" ref="AR40" si="150">AR26/AN26-1</f>
        <v>1.6321262101111507</v>
      </c>
      <c r="AS40" s="44">
        <f t="shared" ref="AS40:AU40" si="151">AS26/AO26-1</f>
        <v>0.50531868515127765</v>
      </c>
      <c r="AT40" s="44">
        <f t="shared" si="151"/>
        <v>1.153106926990477</v>
      </c>
      <c r="AU40" s="44">
        <f t="shared" si="151"/>
        <v>0.17241242982525495</v>
      </c>
      <c r="AV40" s="44">
        <f>AV26/AR26-1</f>
        <v>-0.44412010819857162</v>
      </c>
      <c r="AW40" s="44">
        <f t="shared" ref="AW40" si="152">AW26/AS26-1</f>
        <v>-0.14958440730979761</v>
      </c>
      <c r="AX40" s="44">
        <f>AX26/AT26-1</f>
        <v>-0.31049177017065521</v>
      </c>
      <c r="AY40" s="44">
        <f t="shared" ref="AY40" si="153">AY26/AU26-1</f>
        <v>6.626201315123903E-2</v>
      </c>
      <c r="AZ40" s="44">
        <f t="shared" ref="AZ40" si="154">AZ26/AV26-1</f>
        <v>0.10554874846840545</v>
      </c>
      <c r="BA40" s="44">
        <f t="shared" ref="BA40" si="155">BA26/AW26-1</f>
        <v>0.14527993461381272</v>
      </c>
      <c r="BB40" s="44">
        <f t="shared" ref="BB40:BJ40" si="156">BB26/AX26-1</f>
        <v>5.8287689288538669E-3</v>
      </c>
      <c r="BC40" s="44">
        <f t="shared" si="156"/>
        <v>-5.3763440860215006E-3</v>
      </c>
      <c r="BD40" s="44">
        <f t="shared" si="156"/>
        <v>0.12317922735908793</v>
      </c>
      <c r="BE40" s="44">
        <f t="shared" si="156"/>
        <v>0.10621468926553668</v>
      </c>
      <c r="BF40" s="44">
        <f t="shared" si="156"/>
        <v>0.10337798485730931</v>
      </c>
      <c r="BG40" s="44">
        <f t="shared" si="156"/>
        <v>-3.6883942766295696E-2</v>
      </c>
      <c r="BH40" s="44">
        <f t="shared" si="156"/>
        <v>3.6368762334367144E-2</v>
      </c>
      <c r="BI40" s="44">
        <f t="shared" si="156"/>
        <v>9.0855330358583508E-3</v>
      </c>
      <c r="BJ40" s="44">
        <f t="shared" si="156"/>
        <v>2.5072578516759148E-2</v>
      </c>
      <c r="BK40" s="44">
        <f t="shared" ref="BK40" si="157">BK26/BG26-1</f>
        <v>0.19016176956091124</v>
      </c>
      <c r="BL40" s="44">
        <f t="shared" ref="BL40" si="158">BL26/BH26-1</f>
        <v>0.16730141458106629</v>
      </c>
      <c r="BM40" s="44"/>
      <c r="BN40" s="44"/>
      <c r="BO40" s="44"/>
      <c r="BP40" s="44"/>
      <c r="BQ40" s="44"/>
      <c r="BR40" s="44"/>
      <c r="BU40" s="51">
        <f t="shared" ref="BU40:CG40" si="159">+BU26/BT26-1</f>
        <v>0.32447576548044177</v>
      </c>
      <c r="BV40" s="51">
        <f t="shared" si="159"/>
        <v>2.0921938088829068</v>
      </c>
      <c r="BW40" s="51">
        <f t="shared" si="159"/>
        <v>0.52680449764236514</v>
      </c>
      <c r="BX40" s="51">
        <f t="shared" si="159"/>
        <v>0.33966836128664424</v>
      </c>
      <c r="BY40" s="51">
        <f t="shared" si="159"/>
        <v>0.45541920839835415</v>
      </c>
      <c r="BZ40" s="51">
        <f t="shared" si="159"/>
        <v>0.18439457075322285</v>
      </c>
      <c r="CA40" s="51">
        <f t="shared" si="159"/>
        <v>0.20817216689984375</v>
      </c>
      <c r="CB40" s="51">
        <f t="shared" si="159"/>
        <v>0.17368277647219088</v>
      </c>
      <c r="CC40" s="51">
        <f t="shared" si="159"/>
        <v>0.15921127087534992</v>
      </c>
      <c r="CD40" s="51">
        <f t="shared" si="159"/>
        <v>4.8138783888652448E-2</v>
      </c>
      <c r="CE40" s="51">
        <f t="shared" si="159"/>
        <v>0.91933365177931714</v>
      </c>
      <c r="CF40" s="51">
        <f t="shared" si="159"/>
        <v>-0.24265048996733551</v>
      </c>
      <c r="CG40" s="51">
        <f t="shared" si="159"/>
        <v>7.7592934894228582E-2</v>
      </c>
      <c r="CH40" s="51">
        <f>+CH26/CG26-1</f>
        <v>8.2656095143706532E-2</v>
      </c>
      <c r="CT40" t="s">
        <v>363</v>
      </c>
      <c r="CU40" s="50">
        <v>-0.03</v>
      </c>
    </row>
    <row r="41" spans="2:138" s="45" customFormat="1" ht="13" x14ac:dyDescent="0.3">
      <c r="B41" s="16" t="s">
        <v>248</v>
      </c>
      <c r="C41" s="43"/>
      <c r="D41" s="43"/>
      <c r="E41" s="43"/>
      <c r="F41" s="43"/>
      <c r="G41" s="43"/>
      <c r="H41" s="43"/>
      <c r="I41" s="43"/>
      <c r="J41" s="43"/>
      <c r="K41" s="43"/>
      <c r="L41" s="43"/>
      <c r="M41" s="43"/>
      <c r="N41" s="43"/>
      <c r="O41" s="43"/>
      <c r="P41" s="43"/>
      <c r="Q41" s="43"/>
      <c r="R41" s="43"/>
      <c r="S41" s="43"/>
      <c r="T41" s="43"/>
      <c r="U41" s="43"/>
      <c r="V41" s="43"/>
      <c r="W41" s="43"/>
      <c r="X41" s="43"/>
      <c r="Y41" s="43"/>
      <c r="Z41" s="43"/>
      <c r="AA41" s="42">
        <f t="shared" ref="AA41" si="160">+AA3/W3-1</f>
        <v>9.3469910371318798E-2</v>
      </c>
      <c r="AB41" s="42">
        <f t="shared" ref="AB41" si="161">+AB3/X3-1</f>
        <v>0.10589651022864022</v>
      </c>
      <c r="AC41" s="42">
        <f t="shared" ref="AC41" si="162">+AC3/Y3-1</f>
        <v>0.11592505854800939</v>
      </c>
      <c r="AD41" s="42">
        <f t="shared" ref="AD41" si="163">+AD3/Z3-1</f>
        <v>0.13636363636363646</v>
      </c>
      <c r="AE41" s="42">
        <f t="shared" ref="AE41" si="164">+AE3/AA3-1</f>
        <v>0.15222482435597184</v>
      </c>
      <c r="AF41" s="42">
        <f t="shared" ref="AF41" si="165">+AF3/AB3-1</f>
        <v>7.9434167573449344E-2</v>
      </c>
      <c r="AG41" s="42">
        <f t="shared" ref="AG41" si="166">+AG3/AC3-1</f>
        <v>7.2193074501573973E-2</v>
      </c>
      <c r="AH41" s="42">
        <f t="shared" ref="AH41" si="167">+AH3/AD3-1</f>
        <v>0.10656410256410265</v>
      </c>
      <c r="AI41" s="42">
        <f t="shared" ref="AI41" si="168">+AI3/AE3-1</f>
        <v>9.1565040650406493E-2</v>
      </c>
      <c r="AJ41" s="42">
        <f t="shared" ref="AJ41" si="169">+AJ3/AF3-1</f>
        <v>0.16935483870967749</v>
      </c>
      <c r="AK41" s="42">
        <f t="shared" ref="AK41" si="170">+AK3/AG3-1</f>
        <v>0.16236054022313584</v>
      </c>
      <c r="AL41" s="42">
        <f t="shared" ref="AL41" si="171">+AL3/AH3-1</f>
        <v>0.13272777829270543</v>
      </c>
      <c r="AM41" s="42">
        <f t="shared" ref="AM41" si="172">+AM3/AI3-1</f>
        <v>9.1146075784377611E-2</v>
      </c>
      <c r="AN41" s="42">
        <f t="shared" ref="AN41" si="173">+AN3/AJ3-1</f>
        <v>-3.9655172413793127E-2</v>
      </c>
      <c r="AO41" s="42">
        <f t="shared" ref="AO41" si="174">+AO3/AK3-1</f>
        <v>0.10970783867980116</v>
      </c>
      <c r="AP41" s="42">
        <f t="shared" ref="AP41" si="175">+AP3/AL3-1</f>
        <v>9.8928074625644458E-2</v>
      </c>
      <c r="AQ41" s="42">
        <f t="shared" ref="AQ41" si="176">+AQ3/AM3-1</f>
        <v>0.14931740614334466</v>
      </c>
      <c r="AR41" s="42">
        <f t="shared" ref="AR41" si="177">+AR3/AN3-1</f>
        <v>0.2791741472172351</v>
      </c>
      <c r="AS41" s="42">
        <f>+AS3/AO3-1</f>
        <v>0.11760242792109254</v>
      </c>
      <c r="AT41" s="42">
        <f t="shared" ref="AT41:BD41" si="178">+AT3/AP3-1</f>
        <v>0.15189873417721511</v>
      </c>
      <c r="AU41" s="42">
        <f t="shared" si="178"/>
        <v>0.12694877505567925</v>
      </c>
      <c r="AV41" s="42">
        <f t="shared" si="178"/>
        <v>0.13754385964912275</v>
      </c>
      <c r="AW41" s="42">
        <f t="shared" si="178"/>
        <v>0.10590631364562109</v>
      </c>
      <c r="AX41" s="42">
        <f>+AX3/AT3-1</f>
        <v>-3.2967032967032961E-2</v>
      </c>
      <c r="AY41" s="42">
        <f t="shared" si="178"/>
        <v>-5.5335968379446654E-2</v>
      </c>
      <c r="AZ41" s="42">
        <f t="shared" si="178"/>
        <v>-7.464528069093157E-2</v>
      </c>
      <c r="BA41" s="42">
        <f t="shared" si="178"/>
        <v>-0.11111111111111116</v>
      </c>
      <c r="BB41" s="42">
        <f t="shared" si="178"/>
        <v>-0.10561497326203206</v>
      </c>
      <c r="BC41" s="42">
        <f t="shared" si="178"/>
        <v>-0.1617852161785216</v>
      </c>
      <c r="BD41" s="42">
        <f t="shared" si="178"/>
        <v>-0.17933333333333334</v>
      </c>
      <c r="BE41" s="42">
        <f t="shared" ref="BE41" si="179">+BE3/BA3-1</f>
        <v>-0.20953038674033153</v>
      </c>
      <c r="BF41" s="42">
        <f>+BF3/BB3-1</f>
        <v>-0.11061285500747386</v>
      </c>
      <c r="BG41" s="42">
        <f t="shared" ref="BG41" si="180">+BG3/BC3-1</f>
        <v>-0.38768718801996671</v>
      </c>
      <c r="BH41" s="42">
        <f t="shared" ref="BH41" si="181">+BH3/BD3-1</f>
        <v>-0.38748984565393985</v>
      </c>
      <c r="BI41" s="42">
        <f t="shared" ref="BI41" si="182">+BI3/BE3-1</f>
        <v>-0.40503232570330239</v>
      </c>
      <c r="BJ41" s="42">
        <f t="shared" ref="BJ41" si="183">+BJ3/BF3-1</f>
        <v>-0.51512605042016801</v>
      </c>
      <c r="BK41" s="42">
        <f t="shared" ref="BK41" si="184">+BK3/BG3-1</f>
        <v>-0.35733695652173914</v>
      </c>
      <c r="BL41" s="42">
        <f t="shared" ref="BL41" si="185">+BL3/BH3-1</f>
        <v>-0.45358090185676392</v>
      </c>
      <c r="BM41" s="42"/>
      <c r="BN41" s="42"/>
      <c r="BO41" s="42"/>
      <c r="BP41" s="42"/>
      <c r="BQ41" s="42"/>
      <c r="BR41" s="42"/>
      <c r="BU41" s="51"/>
      <c r="BV41" s="51">
        <f t="shared" ref="BV41:CH41" si="186">BV3/BU3-1</f>
        <v>32.786290322580641</v>
      </c>
      <c r="BW41" s="51">
        <f t="shared" si="186"/>
        <v>0.68122687671559867</v>
      </c>
      <c r="BX41" s="51">
        <f t="shared" si="186"/>
        <v>0.2326258252289346</v>
      </c>
      <c r="BY41" s="51">
        <f t="shared" si="186"/>
        <v>0.54111955770559761</v>
      </c>
      <c r="BZ41" s="51">
        <f t="shared" si="186"/>
        <v>0.24181614349775771</v>
      </c>
      <c r="CA41" s="51">
        <f t="shared" si="186"/>
        <v>0.11398994914387184</v>
      </c>
      <c r="CB41" s="51">
        <f t="shared" si="186"/>
        <v>0.10124530646424801</v>
      </c>
      <c r="CC41" s="51">
        <f t="shared" si="186"/>
        <v>0.13920573012485593</v>
      </c>
      <c r="CD41" s="51">
        <f t="shared" si="186"/>
        <v>6.5199603806898931E-2</v>
      </c>
      <c r="CE41" s="51">
        <f t="shared" si="186"/>
        <v>0.17081059227814843</v>
      </c>
      <c r="CF41" s="51">
        <f t="shared" si="186"/>
        <v>8.1491712707182362E-2</v>
      </c>
      <c r="CG41" s="51">
        <f t="shared" si="186"/>
        <v>-8.6845466155811013E-2</v>
      </c>
      <c r="CH41" s="51">
        <f t="shared" si="186"/>
        <v>-0.1665034965034965</v>
      </c>
      <c r="CT41" t="s">
        <v>364</v>
      </c>
      <c r="CU41" s="50">
        <v>0.08</v>
      </c>
    </row>
    <row r="42" spans="2:138" s="45" customFormat="1" ht="13" x14ac:dyDescent="0.3">
      <c r="B42" s="16" t="s">
        <v>381</v>
      </c>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2"/>
      <c r="AR42" s="42"/>
      <c r="AS42" s="42"/>
      <c r="AT42" s="42"/>
      <c r="AU42" s="42"/>
      <c r="AV42" s="42"/>
      <c r="AW42" s="42"/>
      <c r="AX42" s="42"/>
      <c r="AY42" s="42"/>
      <c r="AZ42" s="42"/>
      <c r="BA42" s="42"/>
      <c r="BB42" s="42"/>
      <c r="BC42" s="42"/>
      <c r="BD42" s="42"/>
      <c r="BE42" s="42"/>
      <c r="BF42" s="42">
        <f>(BF3+BF4)/(BB3+BB4)-1</f>
        <v>2.3271731690622799E-2</v>
      </c>
      <c r="BG42" s="42">
        <f>(BG3+BG4)/(BC3+BC4)-1</f>
        <v>-0.25606276747503565</v>
      </c>
      <c r="BH42" s="42">
        <f>(BH3+BH4)/(BD3+BD4)-1</f>
        <v>-0.25276872964169383</v>
      </c>
      <c r="BI42" s="42">
        <f>(BI3+BI4)/(BE3+BE4)-1</f>
        <v>-0.2764656125967857</v>
      </c>
      <c r="BJ42" s="42">
        <f>(BJ3+BJ4)/(BF3+BF4)-1</f>
        <v>-0.27558528428093643</v>
      </c>
      <c r="BK42" s="42">
        <f t="shared" ref="BK42:BL42" si="187">(BK3+BK4)/(BG3+BG4)-1</f>
        <v>-9.7794822627037425E-2</v>
      </c>
      <c r="BL42" s="42">
        <f t="shared" si="187"/>
        <v>-0.12118570183086308</v>
      </c>
      <c r="BM42" s="42"/>
      <c r="BN42" s="42"/>
      <c r="BO42" s="42"/>
      <c r="BP42" s="42"/>
      <c r="BQ42" s="42"/>
      <c r="BR42" s="42"/>
      <c r="CC42" s="51"/>
      <c r="CD42" s="51"/>
      <c r="CE42" s="51"/>
      <c r="CF42" s="51"/>
      <c r="CG42" s="51">
        <f>SUM(CG3:CG4)/SUM(CF3:CF4)-1</f>
        <v>-6.0344827586206851E-2</v>
      </c>
      <c r="CH42" s="51">
        <f>SUM(CH3:CH4)/SUM(CG3:CG4)-1</f>
        <v>1.4084267753992519E-2</v>
      </c>
      <c r="CT42" t="s">
        <v>365</v>
      </c>
      <c r="CU42" s="1">
        <f>NPV(CU41,CJ36:EI36)+Main!J5-Main!J6+CI36</f>
        <v>99303.662913864304</v>
      </c>
    </row>
    <row r="43" spans="2:138" x14ac:dyDescent="0.25">
      <c r="B43" s="1" t="s">
        <v>241</v>
      </c>
      <c r="AG43" s="42">
        <f t="shared" ref="AG43" si="188">AG14/AC14-1</f>
        <v>4.5375752013867565E-2</v>
      </c>
      <c r="AH43" s="42">
        <f t="shared" ref="AH43" si="189">AH14/AD14-1</f>
        <v>1.1431113204993912</v>
      </c>
      <c r="AI43" s="42">
        <f t="shared" ref="AI43" si="190">AI14/AE14-1</f>
        <v>0.97203166226912918</v>
      </c>
      <c r="AJ43" s="42">
        <f t="shared" ref="AJ43" si="191">AJ14/AF14-1</f>
        <v>0.46804037005887311</v>
      </c>
      <c r="AK43" s="42">
        <f t="shared" ref="AK43" si="192">AK14/AG14-1</f>
        <v>0.57705813499804903</v>
      </c>
      <c r="AL43" s="42">
        <f t="shared" ref="AL43" si="193">AL14/AH14-1</f>
        <v>-1.1693171188026374E-3</v>
      </c>
      <c r="AM43" s="42">
        <f t="shared" ref="AM43" si="194">AM14/AI14-1</f>
        <v>-0.33930960663633924</v>
      </c>
      <c r="AN43" s="42">
        <f t="shared" ref="AN43" si="195">AN14/AJ14-1</f>
        <v>-0.2291606989401318</v>
      </c>
      <c r="AO43" s="42">
        <f t="shared" ref="AO43" si="196">AO14/AK14-1</f>
        <v>-0.12592775853537852</v>
      </c>
      <c r="AP43" s="42">
        <f t="shared" ref="AP43" si="197">AP14/AL14-1</f>
        <v>-0.25755092484195741</v>
      </c>
      <c r="AQ43" s="42">
        <f t="shared" ref="AQ43" si="198">AQ14/AM14-1</f>
        <v>0.47752126366950209</v>
      </c>
      <c r="AR43" s="42">
        <f t="shared" ref="AR43" si="199">AR14/AN14-1</f>
        <v>0.6265328874024525</v>
      </c>
      <c r="AS43" s="42">
        <f>AS14/AO14-1</f>
        <v>0.64675912821964343</v>
      </c>
      <c r="AT43" s="42">
        <f t="shared" ref="AT43:AW43" si="200">AT14/AP14-1</f>
        <v>0.63323872595395758</v>
      </c>
      <c r="AU43" s="42">
        <f t="shared" si="200"/>
        <v>0.72944078947368385</v>
      </c>
      <c r="AV43" s="42">
        <f t="shared" si="200"/>
        <v>0.54786383367603375</v>
      </c>
      <c r="AW43" s="42">
        <f t="shared" si="200"/>
        <v>0.22275696115503596</v>
      </c>
      <c r="AX43" s="42">
        <f>AX14/AT14-1</f>
        <v>0.61401815022205053</v>
      </c>
      <c r="AY43" s="42">
        <f t="shared" ref="AY43" si="201">AY14/AU14-1</f>
        <v>0.26485972420351889</v>
      </c>
      <c r="AZ43" s="42">
        <f t="shared" ref="AZ43" si="202">AZ14/AV14-1</f>
        <v>0.39335793357933579</v>
      </c>
      <c r="BA43" s="42">
        <f t="shared" ref="BA43" si="203">BA14/AW14-1</f>
        <v>0.4970480742198482</v>
      </c>
      <c r="BB43" s="42">
        <f t="shared" ref="BB43:BD43" si="204">BB14/AX14-1</f>
        <v>0.18794114128484263</v>
      </c>
      <c r="BC43" s="42">
        <f t="shared" si="204"/>
        <v>0.14035087719298245</v>
      </c>
      <c r="BD43" s="42">
        <f t="shared" si="204"/>
        <v>0.21398305084745761</v>
      </c>
      <c r="BE43" s="42">
        <f t="shared" ref="BE43" si="205">BE14/BA14-1</f>
        <v>0.18629107981220638</v>
      </c>
      <c r="BF43" s="42">
        <f t="shared" ref="BF43" si="206">BF14/BB14-1</f>
        <v>0.22155085599194368</v>
      </c>
      <c r="BG43" s="42">
        <f t="shared" ref="BG43" si="207">BG14/BC14-1</f>
        <v>0.30000000000000004</v>
      </c>
      <c r="BH43" s="42">
        <f t="shared" ref="BH43" si="208">BH14/BD14-1</f>
        <v>0.26003490401396157</v>
      </c>
      <c r="BI43" s="42">
        <f t="shared" ref="BI43" si="209">BI14/BE14-1</f>
        <v>0.27987968972613597</v>
      </c>
      <c r="BJ43" s="42">
        <f t="shared" ref="BJ43" si="210">BJ14/BF14-1</f>
        <v>0.35201978565539993</v>
      </c>
      <c r="BK43" s="42">
        <f t="shared" ref="BK43" si="211">BK14/BG14-1</f>
        <v>0.35672020287404904</v>
      </c>
      <c r="BL43" s="42">
        <f t="shared" ref="BL43" si="212">BL14/BH14-1</f>
        <v>0.5055401662049861</v>
      </c>
      <c r="BM43" s="42"/>
      <c r="BN43" s="42"/>
      <c r="BO43" s="42"/>
      <c r="BP43" s="42"/>
      <c r="BQ43" s="42"/>
      <c r="BR43" s="42"/>
      <c r="CT43" t="s">
        <v>508</v>
      </c>
      <c r="CU43" s="21">
        <f>CU42/Main!J3</f>
        <v>936.8270086213613</v>
      </c>
    </row>
    <row r="44" spans="2:138" x14ac:dyDescent="0.25">
      <c r="B44" s="1" t="s">
        <v>242</v>
      </c>
      <c r="AG44" s="42"/>
      <c r="AH44" s="42">
        <f t="shared" ref="AH44" si="213">AH18/AD18-1</f>
        <v>1.2935251798561151</v>
      </c>
      <c r="AI44" s="42">
        <f t="shared" ref="AI44" si="214">AI18/AE18-1</f>
        <v>1.8439878234398779</v>
      </c>
      <c r="AJ44" s="42">
        <f t="shared" ref="AJ44" si="215">AJ18/AF18-1</f>
        <v>1.6639579349904396</v>
      </c>
      <c r="AK44" s="42">
        <f t="shared" ref="AK44" si="216">AK18/AG18-1</f>
        <v>1.4108910891089108</v>
      </c>
      <c r="AL44" s="42">
        <f t="shared" ref="AL44" si="217">AL18/AH18-1</f>
        <v>1.3572772898368881</v>
      </c>
      <c r="AM44" s="42">
        <f t="shared" ref="AM44" si="218">AM18/AI18-1</f>
        <v>1.2879314958522881</v>
      </c>
      <c r="AN44" s="42">
        <f t="shared" ref="AN44" si="219">AN18/AJ18-1</f>
        <v>0.69567557868293561</v>
      </c>
      <c r="AO44" s="42">
        <f t="shared" ref="AO44" si="220">AO18/AK18-1</f>
        <v>0.69420312746801427</v>
      </c>
      <c r="AP44" s="42">
        <f t="shared" ref="AP44" si="221">AP18/AL18-1</f>
        <v>0.55954757152361934</v>
      </c>
      <c r="AQ44" s="42">
        <f t="shared" ref="AQ44" si="222">AQ18/AM18-1</f>
        <v>0.47707602339181299</v>
      </c>
      <c r="AR44" s="42">
        <f t="shared" ref="AR44" si="223">AR18/AN18-1</f>
        <v>0.58624338624338623</v>
      </c>
      <c r="AS44" s="42">
        <f>AS18/AO18-1</f>
        <v>0.55034495618124213</v>
      </c>
      <c r="AT44" s="42">
        <f t="shared" ref="AT44:AW44" si="224">AT18/AP18-1</f>
        <v>0.51348122866894186</v>
      </c>
      <c r="AU44" s="42">
        <f t="shared" si="224"/>
        <v>0.43352601156069359</v>
      </c>
      <c r="AV44" s="42">
        <f t="shared" si="224"/>
        <v>0.39546364242828558</v>
      </c>
      <c r="AW44" s="42">
        <f t="shared" si="224"/>
        <v>0.40122677250586314</v>
      </c>
      <c r="AX44" s="42">
        <f>AX18/AT18-1</f>
        <v>0.38059533205547424</v>
      </c>
      <c r="AY44" s="42">
        <f t="shared" ref="AY44" si="225">AY18/AU18-1</f>
        <v>0.37262483429076432</v>
      </c>
      <c r="AZ44" s="42">
        <f t="shared" ref="AZ44" si="226">AZ18/AV18-1</f>
        <v>0.33349268572521273</v>
      </c>
      <c r="BA44" s="42">
        <f t="shared" ref="BA44" si="227">BA18/AW18-1</f>
        <v>0.32938500493541056</v>
      </c>
      <c r="BB44" s="42">
        <f t="shared" ref="BB44:BD44" si="228">BB18/AX18-1</f>
        <v>0.31328351504757235</v>
      </c>
      <c r="BC44" s="42">
        <f t="shared" si="228"/>
        <v>0.23814889336016098</v>
      </c>
      <c r="BD44" s="42">
        <f t="shared" si="228"/>
        <v>0.2749695274969528</v>
      </c>
      <c r="BE44" s="42">
        <f t="shared" ref="BE44" si="229">BE18/BA18-1</f>
        <v>0.23230888429752072</v>
      </c>
      <c r="BF44" s="42">
        <f t="shared" ref="BF44" si="230">BF18/BB18-1</f>
        <v>0.14971549392120886</v>
      </c>
      <c r="BG44" s="42">
        <f t="shared" ref="BG44" si="231">BG18/BC18-1</f>
        <v>0.19279771190847628</v>
      </c>
      <c r="BH44" s="42">
        <f t="shared" ref="BH44" si="232">BH18/BD18-1</f>
        <v>-1</v>
      </c>
      <c r="BI44" s="42">
        <f t="shared" ref="BI44" si="233">BI18/BE18-1</f>
        <v>-1</v>
      </c>
      <c r="BJ44" s="42">
        <f t="shared" ref="BJ44" si="234">BJ18/BF18-1</f>
        <v>-1</v>
      </c>
      <c r="BK44" s="42">
        <f t="shared" ref="BK44" si="235">BK18/BG18-1</f>
        <v>-1</v>
      </c>
      <c r="BL44" s="42" t="e">
        <f t="shared" ref="BL44" si="236">BL18/BH18-1</f>
        <v>#DIV/0!</v>
      </c>
      <c r="BM44" s="42"/>
      <c r="BN44" s="42"/>
      <c r="BO44" s="42"/>
      <c r="BP44" s="42"/>
      <c r="BQ44" s="42"/>
      <c r="BR44" s="42"/>
      <c r="CE44" s="50">
        <f t="shared" ref="CE44:CG44" si="237">+CE18/CD18-1</f>
        <v>0.53256193443109345</v>
      </c>
      <c r="CF44" s="50">
        <f t="shared" si="237"/>
        <v>0.40050979253379793</v>
      </c>
      <c r="CG44" s="50">
        <f t="shared" si="237"/>
        <v>0.33485002073446068</v>
      </c>
      <c r="CH44" s="50">
        <f>+CH18/CG18-1</f>
        <v>0.22090765526704126</v>
      </c>
    </row>
    <row r="45" spans="2:138" x14ac:dyDescent="0.25">
      <c r="B45" s="1" t="s">
        <v>385</v>
      </c>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CE45" s="50"/>
      <c r="CF45" s="50"/>
      <c r="CG45" s="50"/>
      <c r="CH45" s="50">
        <f>+CH5/CG5-1</f>
        <v>0.40973348783314001</v>
      </c>
    </row>
    <row r="47" spans="2:138" x14ac:dyDescent="0.25">
      <c r="B47" s="1" t="s">
        <v>215</v>
      </c>
      <c r="R47" s="42">
        <f t="shared" ref="R47:V47" si="238">+R28/R26</f>
        <v>0</v>
      </c>
      <c r="S47" s="42">
        <f t="shared" si="238"/>
        <v>0</v>
      </c>
      <c r="T47" s="42">
        <f t="shared" si="238"/>
        <v>0</v>
      </c>
      <c r="U47" s="42">
        <f t="shared" si="238"/>
        <v>0</v>
      </c>
      <c r="V47" s="42">
        <f t="shared" si="238"/>
        <v>0</v>
      </c>
      <c r="W47" s="42">
        <f t="shared" ref="W47:Y47" si="239">+W28/W26</f>
        <v>0</v>
      </c>
      <c r="X47" s="42">
        <f t="shared" si="239"/>
        <v>0</v>
      </c>
      <c r="Y47" s="42">
        <f t="shared" si="239"/>
        <v>0</v>
      </c>
      <c r="Z47" s="42">
        <f t="shared" ref="Z47:AH47" si="240">+Z28/Z26</f>
        <v>0.93915046451333239</v>
      </c>
      <c r="AA47" s="42">
        <f t="shared" si="240"/>
        <v>1</v>
      </c>
      <c r="AB47" s="42">
        <f t="shared" si="240"/>
        <v>1</v>
      </c>
      <c r="AC47" s="42">
        <f t="shared" si="240"/>
        <v>1</v>
      </c>
      <c r="AD47" s="42">
        <f t="shared" si="240"/>
        <v>0.93319134229549083</v>
      </c>
      <c r="AE47" s="42">
        <f t="shared" si="240"/>
        <v>0.92398279854449217</v>
      </c>
      <c r="AF47" s="42">
        <f t="shared" si="240"/>
        <v>0.9429655429779823</v>
      </c>
      <c r="AG47" s="42">
        <f t="shared" si="240"/>
        <v>0</v>
      </c>
      <c r="AH47" s="42">
        <f t="shared" si="240"/>
        <v>0.93920531175433131</v>
      </c>
      <c r="AI47" s="42">
        <f t="shared" ref="AI47:AL47" si="241">+AI28/AI26</f>
        <v>0.89842997222694554</v>
      </c>
      <c r="AJ47" s="42">
        <f t="shared" si="241"/>
        <v>0.92112340953760219</v>
      </c>
      <c r="AK47" s="42">
        <f t="shared" si="241"/>
        <v>0</v>
      </c>
      <c r="AL47" s="42">
        <f t="shared" si="241"/>
        <v>0.89679649688868401</v>
      </c>
      <c r="AM47" s="42">
        <f t="shared" ref="AM47" si="242">+AM28/AM26</f>
        <v>0.88113991904605626</v>
      </c>
      <c r="AN47" s="42">
        <f t="shared" ref="AN47:AU47" si="243">+AN28/AN26</f>
        <v>0.863648004917277</v>
      </c>
      <c r="AO47" s="42">
        <f t="shared" si="243"/>
        <v>0.94681314848722642</v>
      </c>
      <c r="AP47" s="42">
        <f t="shared" si="243"/>
        <v>0.85237204852806892</v>
      </c>
      <c r="AQ47" s="42">
        <f t="shared" si="243"/>
        <v>0.87823199177670597</v>
      </c>
      <c r="AR47" s="42">
        <f t="shared" si="243"/>
        <v>0.86500476774281432</v>
      </c>
      <c r="AS47" s="42">
        <f t="shared" si="243"/>
        <v>0.93512699470010718</v>
      </c>
      <c r="AT47" s="42">
        <f t="shared" si="243"/>
        <v>0.85259012420478653</v>
      </c>
      <c r="AU47" s="42">
        <f t="shared" si="243"/>
        <v>0.86346315966953291</v>
      </c>
      <c r="AV47" s="42">
        <f>+AV28/AV26</f>
        <v>0.89599159810957474</v>
      </c>
      <c r="AW47" s="42">
        <f t="shared" ref="AW47" si="244">+AW28/AW26</f>
        <v>0.96287971665985561</v>
      </c>
      <c r="AX47" s="42">
        <f t="shared" ref="AX47:BL47" si="245">+AX28/AX26</f>
        <v>0.88658797340441109</v>
      </c>
      <c r="AY47" s="42">
        <f t="shared" si="245"/>
        <v>0.86116382036685646</v>
      </c>
      <c r="AZ47" s="42">
        <f t="shared" si="245"/>
        <v>0.94838505383153893</v>
      </c>
      <c r="BA47" s="42">
        <f t="shared" si="245"/>
        <v>0.94623847754980661</v>
      </c>
      <c r="BB47" s="42">
        <f t="shared" si="245"/>
        <v>0.8633954571927781</v>
      </c>
      <c r="BC47" s="42">
        <f t="shared" si="245"/>
        <v>0.86957074721780614</v>
      </c>
      <c r="BD47" s="42">
        <f t="shared" si="245"/>
        <v>0.87191993233718634</v>
      </c>
      <c r="BE47" s="42">
        <f t="shared" si="245"/>
        <v>0.8751411214450836</v>
      </c>
      <c r="BF47" s="42">
        <f t="shared" si="245"/>
        <v>0.86555819477434681</v>
      </c>
      <c r="BG47" s="42">
        <f t="shared" si="245"/>
        <v>0.92835919445361503</v>
      </c>
      <c r="BH47" s="42">
        <f t="shared" si="245"/>
        <v>0.93960826985854184</v>
      </c>
      <c r="BI47" s="42">
        <f t="shared" si="245"/>
        <v>0.93953116675546089</v>
      </c>
      <c r="BJ47" s="42">
        <f t="shared" si="245"/>
        <v>0.93383110195674557</v>
      </c>
      <c r="BK47" s="42">
        <f t="shared" si="245"/>
        <v>0.94202496532593616</v>
      </c>
      <c r="BL47" s="42">
        <f t="shared" si="245"/>
        <v>0.94826380797017007</v>
      </c>
      <c r="BM47" s="42"/>
      <c r="BN47" s="42"/>
      <c r="BO47" s="42"/>
      <c r="BP47" s="42"/>
      <c r="BQ47" s="42"/>
      <c r="BR47" s="42"/>
    </row>
    <row r="49" spans="2:86" x14ac:dyDescent="0.25">
      <c r="B49" s="1" t="s">
        <v>397</v>
      </c>
      <c r="BD49" s="1">
        <f>+BD50-BD63</f>
        <v>15547.800000000001</v>
      </c>
      <c r="BE49" s="1">
        <f>+BE50-BE63</f>
        <v>16303.400000000001</v>
      </c>
      <c r="BF49" s="1">
        <f>+BF50-BF63</f>
        <v>15928.199999999999</v>
      </c>
      <c r="BG49" s="1">
        <f>+BG50-BG63</f>
        <v>15640.900000000001</v>
      </c>
      <c r="CH49" s="1">
        <f>+CH50-CH63</f>
        <v>15928.199999999999</v>
      </c>
    </row>
    <row r="50" spans="2:86" s="1" customFormat="1" x14ac:dyDescent="0.25">
      <c r="B50" s="1" t="s">
        <v>32</v>
      </c>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f>3105.9+4636.4+6591.8</f>
        <v>14334.099999999999</v>
      </c>
      <c r="BB50" s="1">
        <v>16241.3</v>
      </c>
      <c r="BD50" s="1">
        <f>1920.7+7888.3+7722.4</f>
        <v>17531.400000000001</v>
      </c>
      <c r="BE50" s="1">
        <f>2011.8+7784.7+8490.9</f>
        <v>18287.400000000001</v>
      </c>
      <c r="BF50" s="1">
        <v>17912.599999999999</v>
      </c>
      <c r="BG50" s="1">
        <v>17625.7</v>
      </c>
      <c r="CH50" s="1">
        <f>+BF50</f>
        <v>17912.599999999999</v>
      </c>
    </row>
    <row r="51" spans="2:86" s="1" customFormat="1" x14ac:dyDescent="0.25">
      <c r="B51" s="1" t="s">
        <v>302</v>
      </c>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v>5328.7</v>
      </c>
      <c r="BB51" s="1">
        <v>5667.3</v>
      </c>
      <c r="BD51" s="1">
        <v>5717.1</v>
      </c>
      <c r="BE51" s="1">
        <v>6107.1</v>
      </c>
      <c r="BF51" s="1">
        <v>6211.9</v>
      </c>
      <c r="BG51" s="1">
        <v>5561</v>
      </c>
      <c r="CH51" s="1">
        <f t="shared" ref="CH51:CH57" si="246">+BF51</f>
        <v>6211.9</v>
      </c>
    </row>
    <row r="52" spans="2:86" s="1" customFormat="1" x14ac:dyDescent="0.25">
      <c r="B52" s="1" t="s">
        <v>303</v>
      </c>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v>2401.9</v>
      </c>
      <c r="BB52" s="1">
        <v>2580.5</v>
      </c>
      <c r="BD52" s="1">
        <v>2873.6</v>
      </c>
      <c r="BE52" s="1">
        <v>3018</v>
      </c>
      <c r="BF52" s="1">
        <v>3087.3</v>
      </c>
      <c r="BG52" s="1">
        <v>3192.4</v>
      </c>
      <c r="CH52" s="1">
        <f t="shared" si="246"/>
        <v>3087.3</v>
      </c>
    </row>
    <row r="53" spans="2:86" s="1" customFormat="1" x14ac:dyDescent="0.25">
      <c r="B53" s="1" t="s">
        <v>304</v>
      </c>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v>411.2</v>
      </c>
      <c r="BB53" s="1">
        <v>0</v>
      </c>
      <c r="BD53" s="1">
        <v>681.9</v>
      </c>
      <c r="BE53" s="1">
        <v>412</v>
      </c>
      <c r="BF53" s="1">
        <v>0</v>
      </c>
      <c r="BG53" s="1">
        <v>0</v>
      </c>
      <c r="CH53" s="1">
        <f t="shared" si="246"/>
        <v>0</v>
      </c>
    </row>
    <row r="54" spans="2:86" s="1" customFormat="1" x14ac:dyDescent="0.25">
      <c r="B54" s="1" t="s">
        <v>305</v>
      </c>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v>3763</v>
      </c>
      <c r="BB54" s="1">
        <v>4146.3999999999996</v>
      </c>
      <c r="BD54" s="1">
        <v>4305.8999999999996</v>
      </c>
      <c r="BE54" s="1">
        <v>4439.2</v>
      </c>
      <c r="BF54" s="1">
        <v>4599.7</v>
      </c>
      <c r="BG54" s="1">
        <v>4694.2</v>
      </c>
      <c r="CH54" s="1">
        <f t="shared" si="246"/>
        <v>4599.7</v>
      </c>
    </row>
    <row r="55" spans="2:86" s="1" customFormat="1" x14ac:dyDescent="0.25">
      <c r="B55" s="1" t="s">
        <v>306</v>
      </c>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v>915.5</v>
      </c>
      <c r="BB55" s="1">
        <v>1038.5999999999999</v>
      </c>
      <c r="BD55" s="1">
        <v>1102.2</v>
      </c>
      <c r="BE55" s="1">
        <v>1120.0999999999999</v>
      </c>
      <c r="BF55" s="1">
        <v>1148.5999999999999</v>
      </c>
      <c r="BG55" s="1">
        <v>1167</v>
      </c>
      <c r="CH55" s="1">
        <f t="shared" si="246"/>
        <v>1148.5999999999999</v>
      </c>
    </row>
    <row r="56" spans="2:86" s="1" customFormat="1" x14ac:dyDescent="0.25">
      <c r="B56" s="1" t="s">
        <v>222</v>
      </c>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v>1723.7</v>
      </c>
      <c r="BB56" s="1">
        <v>2575.4</v>
      </c>
      <c r="BD56" s="1">
        <v>2880.9</v>
      </c>
      <c r="BE56" s="1">
        <v>3015.1</v>
      </c>
      <c r="BF56" s="1">
        <v>3314.1</v>
      </c>
      <c r="BG56" s="1">
        <v>3442.9</v>
      </c>
      <c r="CH56" s="1">
        <f t="shared" si="246"/>
        <v>3314.1</v>
      </c>
    </row>
    <row r="57" spans="2:86" s="1" customFormat="1" x14ac:dyDescent="0.25">
      <c r="B57" s="1" t="s">
        <v>307</v>
      </c>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v>336.4</v>
      </c>
      <c r="BB57" s="1">
        <v>830.7</v>
      </c>
      <c r="BD57" s="1">
        <v>993.8</v>
      </c>
      <c r="BE57" s="1">
        <v>1043</v>
      </c>
      <c r="BF57" s="1">
        <v>1485.2</v>
      </c>
      <c r="BG57" s="1">
        <v>1862</v>
      </c>
      <c r="CH57" s="1">
        <f t="shared" si="246"/>
        <v>1485.2</v>
      </c>
    </row>
    <row r="58" spans="2:86" s="1" customFormat="1" x14ac:dyDescent="0.25">
      <c r="B58" s="1" t="s">
        <v>308</v>
      </c>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f>SUM(AX50:AX57)</f>
        <v>29214.500000000004</v>
      </c>
      <c r="BB58" s="1">
        <f>SUM(BB50:BB57)</f>
        <v>33080.199999999997</v>
      </c>
      <c r="BD58" s="1">
        <f>SUM(BD50:BD57)</f>
        <v>36086.800000000003</v>
      </c>
      <c r="BE58" s="1">
        <f>SUM(BE50:BE57)</f>
        <v>37441.9</v>
      </c>
      <c r="BF58" s="1">
        <f>SUM(BF50:BF57)</f>
        <v>37759.399999999994</v>
      </c>
      <c r="BG58" s="1">
        <f>SUM(BG50:BG57)</f>
        <v>37545.200000000004</v>
      </c>
      <c r="CH58" s="1">
        <f>SUM(CH50:CH57)</f>
        <v>37759.399999999994</v>
      </c>
    </row>
    <row r="59" spans="2:86" x14ac:dyDescent="0.25">
      <c r="BD59" s="1"/>
    </row>
    <row r="60" spans="2:86" x14ac:dyDescent="0.25">
      <c r="B60" s="1" t="s">
        <v>309</v>
      </c>
      <c r="AX60" s="15">
        <v>589.20000000000005</v>
      </c>
      <c r="BB60" s="1">
        <v>3818.6</v>
      </c>
      <c r="BD60" s="1">
        <v>561.70000000000005</v>
      </c>
      <c r="BE60" s="1">
        <v>497.3</v>
      </c>
      <c r="BF60" s="1">
        <v>4888</v>
      </c>
      <c r="BG60" s="1">
        <v>4621.7</v>
      </c>
      <c r="CH60" s="1">
        <f>+BF60</f>
        <v>4888</v>
      </c>
    </row>
    <row r="61" spans="2:86" x14ac:dyDescent="0.25">
      <c r="B61" s="1" t="s">
        <v>310</v>
      </c>
      <c r="AX61" s="15">
        <v>2074.1999999999998</v>
      </c>
      <c r="BB61" s="1">
        <v>0</v>
      </c>
      <c r="BD61" s="1">
        <v>2360.9</v>
      </c>
      <c r="BE61" s="1">
        <v>2536.5</v>
      </c>
      <c r="BF61" s="1">
        <v>0</v>
      </c>
      <c r="BG61" s="1">
        <v>0</v>
      </c>
      <c r="CH61" s="1">
        <f t="shared" ref="CH61:CH66" si="247">+BF61</f>
        <v>0</v>
      </c>
    </row>
    <row r="62" spans="2:86" x14ac:dyDescent="0.25">
      <c r="B62" s="1" t="s">
        <v>311</v>
      </c>
      <c r="AX62" s="15">
        <f>477.9+69.8</f>
        <v>547.69999999999993</v>
      </c>
      <c r="BB62" s="1">
        <v>585.6</v>
      </c>
      <c r="BD62" s="1">
        <f>586+205.6</f>
        <v>791.6</v>
      </c>
      <c r="BE62" s="1">
        <f>627.2+207.4</f>
        <v>834.6</v>
      </c>
      <c r="BF62" s="1">
        <v>813.4</v>
      </c>
      <c r="BG62" s="1">
        <v>831.1</v>
      </c>
      <c r="CH62" s="1">
        <f t="shared" si="247"/>
        <v>813.4</v>
      </c>
    </row>
    <row r="63" spans="2:86" x14ac:dyDescent="0.25">
      <c r="B63" t="s">
        <v>29</v>
      </c>
      <c r="AX63" s="15">
        <v>1981.4</v>
      </c>
      <c r="BB63" s="1">
        <v>1982.9</v>
      </c>
      <c r="BD63" s="1">
        <v>1983.6</v>
      </c>
      <c r="BE63" s="1">
        <v>1984</v>
      </c>
      <c r="BF63" s="1">
        <v>1984.4</v>
      </c>
      <c r="BG63" s="1">
        <v>1984.8</v>
      </c>
      <c r="CH63" s="1">
        <f t="shared" si="247"/>
        <v>1984.4</v>
      </c>
    </row>
    <row r="64" spans="2:86" x14ac:dyDescent="0.25">
      <c r="B64" s="1" t="s">
        <v>312</v>
      </c>
      <c r="AX64" s="15">
        <v>720</v>
      </c>
      <c r="BB64">
        <v>720</v>
      </c>
      <c r="BD64" s="1">
        <v>720</v>
      </c>
      <c r="BE64" s="1">
        <v>720</v>
      </c>
      <c r="BF64">
        <v>720</v>
      </c>
      <c r="BG64">
        <v>720</v>
      </c>
      <c r="CH64" s="1">
        <f t="shared" si="247"/>
        <v>720</v>
      </c>
    </row>
    <row r="65" spans="2:86" s="1" customFormat="1" x14ac:dyDescent="0.25">
      <c r="B65" s="1" t="s">
        <v>315</v>
      </c>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v>638</v>
      </c>
      <c r="BB65" s="1">
        <v>0</v>
      </c>
      <c r="BD65" s="1">
        <v>1463.2</v>
      </c>
      <c r="BE65" s="1">
        <v>1543.6</v>
      </c>
      <c r="BF65" s="1">
        <v>0</v>
      </c>
      <c r="BG65" s="1">
        <v>0</v>
      </c>
      <c r="CH65" s="1">
        <f t="shared" si="247"/>
        <v>0</v>
      </c>
    </row>
    <row r="66" spans="2:86" x14ac:dyDescent="0.25">
      <c r="B66" s="1" t="s">
        <v>314</v>
      </c>
      <c r="AX66" s="15">
        <v>22664</v>
      </c>
      <c r="BB66" s="1">
        <v>25973.1</v>
      </c>
      <c r="BD66" s="1">
        <v>28205.8</v>
      </c>
      <c r="BE66" s="1">
        <v>29325.9</v>
      </c>
      <c r="BF66" s="1">
        <v>29353.599999999999</v>
      </c>
      <c r="BG66" s="1">
        <v>29387.599999999999</v>
      </c>
      <c r="CH66" s="1">
        <f t="shared" si="247"/>
        <v>29353.599999999999</v>
      </c>
    </row>
    <row r="67" spans="2:86" x14ac:dyDescent="0.25">
      <c r="B67" t="s">
        <v>313</v>
      </c>
      <c r="AX67" s="15">
        <f>SUM(AX60:AX66)</f>
        <v>29214.5</v>
      </c>
      <c r="BB67" s="1">
        <f>SUM(BB60:BB66)</f>
        <v>33080.199999999997</v>
      </c>
      <c r="BD67" s="1">
        <f>SUM(BD60:BD66)</f>
        <v>36086.800000000003</v>
      </c>
      <c r="BE67" s="1">
        <f>SUM(BE60:BE66)</f>
        <v>37441.9</v>
      </c>
      <c r="BF67" s="1">
        <f>SUM(BF60:BF66)</f>
        <v>37759.399999999994</v>
      </c>
      <c r="BG67" s="1">
        <f>SUM(BG60:BG66)</f>
        <v>37545.199999999997</v>
      </c>
      <c r="CH67" s="1">
        <f>SUM(CH60:CH66)</f>
        <v>37759.399999999994</v>
      </c>
    </row>
    <row r="68" spans="2:86" x14ac:dyDescent="0.25">
      <c r="AX68" s="15"/>
      <c r="BB68" s="1"/>
      <c r="BF68" s="1"/>
    </row>
    <row r="69" spans="2:86" x14ac:dyDescent="0.25">
      <c r="B69" s="1" t="s">
        <v>479</v>
      </c>
      <c r="AX69" s="15"/>
      <c r="BB69" s="1">
        <f t="shared" ref="BB69:BE69" si="248">+BB36</f>
        <v>1396</v>
      </c>
      <c r="BC69" s="1">
        <f t="shared" si="248"/>
        <v>790.59999999999991</v>
      </c>
      <c r="BD69" s="1">
        <f t="shared" si="248"/>
        <v>1104.1999999999998</v>
      </c>
      <c r="BE69" s="1">
        <f t="shared" si="248"/>
        <v>1279.2</v>
      </c>
      <c r="BF69" s="1">
        <f>+BF36</f>
        <v>1403.3</v>
      </c>
      <c r="BG69" s="1">
        <f>+BG36</f>
        <v>954.98519999999996</v>
      </c>
      <c r="CF69" s="1">
        <f t="shared" ref="CF69:CH69" si="249">+CF36</f>
        <v>4711.2000000000016</v>
      </c>
      <c r="CG69" s="1">
        <f t="shared" si="249"/>
        <v>5301</v>
      </c>
      <c r="CH69" s="1">
        <f t="shared" si="249"/>
        <v>4577.2999999999993</v>
      </c>
    </row>
    <row r="70" spans="2:86" s="1" customFormat="1" x14ac:dyDescent="0.25">
      <c r="B70" s="1" t="s">
        <v>480</v>
      </c>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BD70" s="1">
        <f>2154.3-BC70</f>
        <v>2154.3000000000002</v>
      </c>
      <c r="BE70" s="1">
        <f>3494.9-BD70-BC70</f>
        <v>1340.6</v>
      </c>
      <c r="BF70" s="1">
        <f>+CH70-BE70-BD70-BC70</f>
        <v>917.70000000000027</v>
      </c>
      <c r="CF70" s="1">
        <v>4338.3999999999996</v>
      </c>
      <c r="CG70" s="1">
        <v>3953.6</v>
      </c>
      <c r="CH70" s="1">
        <v>4412.6000000000004</v>
      </c>
    </row>
    <row r="71" spans="2:86" s="1" customFormat="1" x14ac:dyDescent="0.25">
      <c r="B71" s="1" t="s">
        <v>482</v>
      </c>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BD71" s="1">
        <f>234.8-BC71</f>
        <v>234.8</v>
      </c>
      <c r="BE71" s="1">
        <f>356.5-BD71-BC71</f>
        <v>121.69999999999999</v>
      </c>
      <c r="BF71" s="1">
        <f t="shared" ref="BF71:BF77" si="250">+CH71-BE71-BD71-BC71</f>
        <v>126.39999999999998</v>
      </c>
      <c r="CF71" s="1">
        <v>341.4</v>
      </c>
      <c r="CG71" s="1">
        <v>421</v>
      </c>
      <c r="CH71" s="1">
        <v>482.9</v>
      </c>
    </row>
    <row r="72" spans="2:86" s="1" customFormat="1" x14ac:dyDescent="0.25">
      <c r="B72" s="1" t="s">
        <v>481</v>
      </c>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BD72" s="1">
        <f>453.3-BC72</f>
        <v>453.3</v>
      </c>
      <c r="BE72" s="1">
        <f>678.4-BD72-BC72</f>
        <v>225.09999999999997</v>
      </c>
      <c r="BF72" s="1">
        <f t="shared" si="250"/>
        <v>304.40000000000003</v>
      </c>
      <c r="CF72" s="1">
        <v>725</v>
      </c>
      <c r="CG72" s="1">
        <v>885</v>
      </c>
      <c r="CH72" s="1">
        <v>982.8</v>
      </c>
    </row>
    <row r="73" spans="2:86" s="1" customFormat="1" x14ac:dyDescent="0.25">
      <c r="B73" s="1" t="s">
        <v>483</v>
      </c>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BD73" s="1">
        <f>-196.5-BC73</f>
        <v>-196.5</v>
      </c>
      <c r="BE73" s="1">
        <f>-331.2-BD73-BC73</f>
        <v>-134.69999999999999</v>
      </c>
      <c r="BF73" s="1">
        <f t="shared" si="250"/>
        <v>212.89999999999998</v>
      </c>
      <c r="CF73" s="1">
        <v>36.799999999999997</v>
      </c>
      <c r="CG73" s="1">
        <v>266.39999999999998</v>
      </c>
      <c r="CH73" s="1">
        <v>-118.3</v>
      </c>
    </row>
    <row r="74" spans="2:86" s="1" customFormat="1" x14ac:dyDescent="0.25">
      <c r="B74" s="1" t="s">
        <v>484</v>
      </c>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BD74" s="1">
        <f>-2.9-BC74</f>
        <v>-2.9</v>
      </c>
      <c r="BE74" s="1">
        <f>-31.9-BD74-BC74</f>
        <v>-29</v>
      </c>
      <c r="BF74" s="1">
        <f t="shared" si="250"/>
        <v>55.4</v>
      </c>
      <c r="CF74" s="1">
        <v>368</v>
      </c>
      <c r="CG74" s="1">
        <v>-0.1</v>
      </c>
      <c r="CH74" s="1">
        <v>23.5</v>
      </c>
    </row>
    <row r="75" spans="2:86" s="1" customFormat="1" x14ac:dyDescent="0.25">
      <c r="B75" s="1" t="s">
        <v>485</v>
      </c>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BD75" s="1">
        <f>-308.5-BC75</f>
        <v>-308.5</v>
      </c>
      <c r="BE75" s="1">
        <f>-477.1-BD75-BC75</f>
        <v>-168.60000000000002</v>
      </c>
      <c r="BF75" s="1">
        <f t="shared" si="250"/>
        <v>-280.19999999999993</v>
      </c>
      <c r="CF75" s="1">
        <v>-746.4</v>
      </c>
      <c r="CG75" s="1">
        <v>-837.8</v>
      </c>
      <c r="CH75" s="1">
        <v>-757.3</v>
      </c>
    </row>
    <row r="76" spans="2:86" s="1" customFormat="1" x14ac:dyDescent="0.25">
      <c r="B76" s="1" t="s">
        <v>486</v>
      </c>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BD76" s="1">
        <v>0</v>
      </c>
      <c r="BE76" s="1">
        <v>0</v>
      </c>
      <c r="BF76" s="1">
        <f t="shared" si="250"/>
        <v>12.6</v>
      </c>
      <c r="CF76" s="1">
        <v>195</v>
      </c>
      <c r="CG76" s="1">
        <v>0</v>
      </c>
      <c r="CH76" s="1">
        <v>12.6</v>
      </c>
    </row>
    <row r="77" spans="2:86" s="1" customFormat="1" x14ac:dyDescent="0.25">
      <c r="B77" s="1" t="s">
        <v>487</v>
      </c>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BD77" s="1">
        <f>-47.3-337.6-604.2+206+315.1</f>
        <v>-468.00000000000011</v>
      </c>
      <c r="BE77" s="1">
        <f>-436.2-502-352.2+249+509.5-BD77-BC77</f>
        <v>-63.899999999999977</v>
      </c>
      <c r="BF77" s="1">
        <f t="shared" si="250"/>
        <v>-86.399999999999977</v>
      </c>
      <c r="CF77" s="1">
        <f>707.8-696.5-148.6+32.4-138.4</f>
        <v>-243.30000000000004</v>
      </c>
      <c r="CG77" s="1">
        <f>-338.8-271.7-120.1+37.9+598.6</f>
        <v>-94.100000000000023</v>
      </c>
      <c r="CH77" s="1">
        <f>-554-619.7-407.5+227.8+735.1</f>
        <v>-618.30000000000007</v>
      </c>
    </row>
    <row r="78" spans="2:86" s="1" customFormat="1" x14ac:dyDescent="0.25">
      <c r="B78" s="1" t="s">
        <v>488</v>
      </c>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BC78" s="1">
        <f t="shared" ref="BC78" si="251">SUM(BC70:BC77)</f>
        <v>0</v>
      </c>
      <c r="BD78" s="1">
        <f>SUM(BD70:BD77)</f>
        <v>1866.5000000000005</v>
      </c>
      <c r="BE78" s="1">
        <f>SUM(BE70:BE77)</f>
        <v>1291.1999999999998</v>
      </c>
      <c r="BF78" s="1">
        <f>SUM(BF70:BF77)</f>
        <v>1262.8000000000006</v>
      </c>
      <c r="CF78" s="1">
        <f>SUM(CF70:CF77)</f>
        <v>5014.8999999999996</v>
      </c>
      <c r="CG78" s="1">
        <f>SUM(CG70:CG77)</f>
        <v>4593.9999999999991</v>
      </c>
      <c r="CH78" s="1">
        <f>SUM(CH70:CH77)</f>
        <v>4420.5</v>
      </c>
    </row>
    <row r="79" spans="2:86" x14ac:dyDescent="0.25">
      <c r="CC79" s="50"/>
      <c r="CD79" s="50"/>
      <c r="CE79" s="50"/>
      <c r="CF79" s="50"/>
      <c r="CG79" s="50"/>
    </row>
    <row r="80" spans="2:86" s="1" customFormat="1" x14ac:dyDescent="0.25">
      <c r="B80" s="1" t="s">
        <v>490</v>
      </c>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BE80" s="1">
        <f>-14664.5+12445.3-BD80-BC80</f>
        <v>-2219.2000000000007</v>
      </c>
      <c r="BF80" s="1">
        <f t="shared" ref="BF80:BF83" si="252">+CH80-BE80-BD80-BC80</f>
        <v>629.09999999999854</v>
      </c>
      <c r="CF80" s="1">
        <f>-7487.9+5550.5</f>
        <v>-1937.3999999999996</v>
      </c>
      <c r="CG80" s="1">
        <f>-11646+9442.2</f>
        <v>-2203.7999999999993</v>
      </c>
      <c r="CH80" s="1">
        <f>-16617.4+15027.3</f>
        <v>-1590.1000000000022</v>
      </c>
    </row>
    <row r="81" spans="2:86" s="1" customFormat="1" x14ac:dyDescent="0.25">
      <c r="B81" s="1" t="s">
        <v>491</v>
      </c>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BE81" s="1">
        <f>-556.3-BD81-BC81+20.1</f>
        <v>-536.19999999999993</v>
      </c>
      <c r="BF81" s="1">
        <f t="shared" si="252"/>
        <v>-199.60000000000002</v>
      </c>
      <c r="CF81" s="1">
        <v>-590.1</v>
      </c>
      <c r="CG81" s="1">
        <v>-718.6</v>
      </c>
      <c r="CH81" s="1">
        <f>-755.9+20.1</f>
        <v>-735.8</v>
      </c>
    </row>
    <row r="82" spans="2:86" s="1" customFormat="1" x14ac:dyDescent="0.25">
      <c r="B82" s="1" t="s">
        <v>207</v>
      </c>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BE82" s="1">
        <f>-58.3-BD82-BC82</f>
        <v>-58.3</v>
      </c>
      <c r="BF82" s="1">
        <f t="shared" si="252"/>
        <v>-67.400000000000006</v>
      </c>
      <c r="CF82" s="1">
        <v>-1026.8</v>
      </c>
      <c r="CG82" s="1">
        <v>-207.8</v>
      </c>
      <c r="CH82" s="1">
        <v>-125.7</v>
      </c>
    </row>
    <row r="83" spans="2:86" s="1" customFormat="1" x14ac:dyDescent="0.25">
      <c r="B83" s="1" t="s">
        <v>492</v>
      </c>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BE83" s="1">
        <f>-5-BD83-BC83</f>
        <v>-5</v>
      </c>
      <c r="BF83" s="1">
        <f t="shared" si="252"/>
        <v>-11.5</v>
      </c>
      <c r="CF83" s="1">
        <v>-230.3</v>
      </c>
      <c r="CG83" s="1">
        <v>-54.9</v>
      </c>
      <c r="CH83" s="1">
        <v>-16.5</v>
      </c>
    </row>
    <row r="84" spans="2:86" s="1" customFormat="1" x14ac:dyDescent="0.25">
      <c r="B84" s="1" t="s">
        <v>489</v>
      </c>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BE84" s="1">
        <f>SUM(BE80:BE83)</f>
        <v>-2818.7000000000007</v>
      </c>
      <c r="BF84" s="1">
        <f>SUM(BF80:BF83)</f>
        <v>350.59999999999854</v>
      </c>
      <c r="CF84" s="1">
        <f>SUM(CF80:CF83)</f>
        <v>-3784.5999999999995</v>
      </c>
      <c r="CG84" s="1">
        <f>SUM(CG80:CG83)</f>
        <v>-3185.0999999999995</v>
      </c>
      <c r="CH84" s="1">
        <f>SUM(CH80:CH83)</f>
        <v>-2468.1000000000022</v>
      </c>
    </row>
    <row r="85" spans="2:86" x14ac:dyDescent="0.25">
      <c r="CC85" s="50"/>
      <c r="CD85" s="50"/>
      <c r="CE85" s="50"/>
      <c r="CF85" s="50"/>
      <c r="CG85" s="50"/>
    </row>
    <row r="86" spans="2:86" s="1" customFormat="1" x14ac:dyDescent="0.25">
      <c r="B86" s="1" t="s">
        <v>493</v>
      </c>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BE86" s="1">
        <f>1374.4-BD86-BC86</f>
        <v>1374.4</v>
      </c>
      <c r="BF86" s="1">
        <f t="shared" ref="BF86:BF89" si="253">+CH86-BE86-BD86-BC86</f>
        <v>90.899999999999864</v>
      </c>
      <c r="CF86" s="1">
        <v>1519.5</v>
      </c>
      <c r="CG86" s="1">
        <v>1145.5</v>
      </c>
      <c r="CH86" s="1">
        <v>1465.3</v>
      </c>
    </row>
    <row r="87" spans="2:86" s="1" customFormat="1" x14ac:dyDescent="0.25">
      <c r="B87" s="1" t="s">
        <v>494</v>
      </c>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BE87" s="1">
        <f>-775.7-BD87-BC87</f>
        <v>-775.7</v>
      </c>
      <c r="BF87" s="1">
        <f t="shared" si="253"/>
        <v>-253.39999999999986</v>
      </c>
      <c r="CF87" s="1">
        <v>-445.7</v>
      </c>
      <c r="CG87" s="1">
        <v>-700.6</v>
      </c>
      <c r="CH87" s="1">
        <v>-1029.0999999999999</v>
      </c>
    </row>
    <row r="88" spans="2:86" s="1" customFormat="1" x14ac:dyDescent="0.25">
      <c r="B88" s="1" t="s">
        <v>495</v>
      </c>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BE88" s="1">
        <f>-1630.3-BD88-BC88</f>
        <v>-1630.3</v>
      </c>
      <c r="BF88" s="1">
        <f t="shared" si="253"/>
        <v>-973.00000000000023</v>
      </c>
      <c r="CF88" s="1">
        <v>-2082.8000000000002</v>
      </c>
      <c r="CG88" s="1">
        <v>-2235</v>
      </c>
      <c r="CH88" s="1">
        <v>-2603.3000000000002</v>
      </c>
    </row>
    <row r="89" spans="2:86" s="1" customFormat="1" x14ac:dyDescent="0.25">
      <c r="B89" s="1" t="s">
        <v>212</v>
      </c>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BE89" s="1">
        <f>-33.4-BD89-BC89</f>
        <v>-33.4</v>
      </c>
      <c r="BF89" s="1">
        <f t="shared" si="253"/>
        <v>0</v>
      </c>
      <c r="CF89" s="1">
        <v>0</v>
      </c>
      <c r="CG89" s="1">
        <v>0</v>
      </c>
      <c r="CH89" s="1">
        <v>-33.4</v>
      </c>
    </row>
    <row r="90" spans="2:86" s="1" customFormat="1" x14ac:dyDescent="0.25">
      <c r="B90" s="1" t="s">
        <v>496</v>
      </c>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BE90" s="1">
        <f t="shared" ref="BE90:BF90" si="254">SUM(BE86:BE89)</f>
        <v>-1065</v>
      </c>
      <c r="BF90" s="1">
        <f t="shared" si="254"/>
        <v>-1135.5000000000002</v>
      </c>
      <c r="CF90" s="1">
        <f t="shared" ref="CF90:CG90" si="255">SUM(CF86:CF89)</f>
        <v>-1009.0000000000002</v>
      </c>
      <c r="CG90" s="1">
        <f t="shared" si="255"/>
        <v>-1790.1</v>
      </c>
      <c r="CH90" s="1">
        <f>SUM(CH86:CH89)</f>
        <v>-2200.5000000000005</v>
      </c>
    </row>
    <row r="91" spans="2:86" s="1" customFormat="1" x14ac:dyDescent="0.25">
      <c r="B91" s="1" t="s">
        <v>497</v>
      </c>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BE91" s="1">
        <v>0</v>
      </c>
      <c r="BF91" s="1">
        <v>0</v>
      </c>
      <c r="CF91" s="1">
        <v>0</v>
      </c>
      <c r="CG91" s="1">
        <v>-0.4</v>
      </c>
      <c r="CH91" s="1">
        <v>-0.7</v>
      </c>
    </row>
    <row r="92" spans="2:86" s="1" customFormat="1" x14ac:dyDescent="0.25">
      <c r="B92" s="1" t="s">
        <v>498</v>
      </c>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BE92" s="1">
        <f>+BE91+BE90+BE84+BE78</f>
        <v>-2592.5000000000009</v>
      </c>
      <c r="BF92" s="1">
        <f>+BF91+BF90+BF84+BF78</f>
        <v>477.89999999999895</v>
      </c>
      <c r="CF92" s="1">
        <f>+CF91+CF90+CF84+CF78</f>
        <v>221.30000000000018</v>
      </c>
      <c r="CG92" s="1">
        <f>+CG91+CG90+CG84+CG78</f>
        <v>-381.60000000000036</v>
      </c>
      <c r="CH92" s="1">
        <f>+CH91+CH90+CH84+CH78</f>
        <v>-248.80000000000291</v>
      </c>
    </row>
    <row r="93" spans="2:86" x14ac:dyDescent="0.25">
      <c r="CC93" s="50"/>
      <c r="CD93" s="50"/>
      <c r="CE93" s="50"/>
      <c r="CF93" s="50"/>
      <c r="CG93" s="50"/>
    </row>
    <row r="94" spans="2:86" x14ac:dyDescent="0.25">
      <c r="B94" s="1" t="s">
        <v>383</v>
      </c>
      <c r="BT94">
        <v>32.79</v>
      </c>
      <c r="BU94">
        <v>55.36</v>
      </c>
      <c r="BV94">
        <v>170.85</v>
      </c>
      <c r="BW94">
        <v>274.89</v>
      </c>
      <c r="BX94">
        <v>409.72</v>
      </c>
      <c r="BY94">
        <v>542.16999999999996</v>
      </c>
      <c r="BZ94">
        <v>366.62</v>
      </c>
      <c r="CA94">
        <v>375.48</v>
      </c>
      <c r="CB94">
        <v>373.02</v>
      </c>
      <c r="CC94" s="21">
        <v>375</v>
      </c>
      <c r="CD94">
        <v>482.49</v>
      </c>
      <c r="CE94">
        <v>630.71</v>
      </c>
      <c r="CF94">
        <v>720.56</v>
      </c>
      <c r="CG94">
        <v>877.16</v>
      </c>
      <c r="CH94">
        <v>711.42</v>
      </c>
    </row>
    <row r="95" spans="2:86" s="45" customFormat="1" ht="13" x14ac:dyDescent="0.3">
      <c r="B95" s="16" t="s">
        <v>384</v>
      </c>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BU95" s="51">
        <f t="shared" ref="BU95:CH95" si="256">+BU94/BT94-1</f>
        <v>0.6883196096370845</v>
      </c>
      <c r="BV95" s="51">
        <f t="shared" si="256"/>
        <v>2.0861632947976876</v>
      </c>
      <c r="BW95" s="51">
        <f t="shared" si="256"/>
        <v>0.60895522388059709</v>
      </c>
      <c r="BX95" s="51">
        <f t="shared" si="256"/>
        <v>0.49048710393248229</v>
      </c>
      <c r="BY95" s="51">
        <f t="shared" si="256"/>
        <v>0.32326954993654189</v>
      </c>
      <c r="BZ95" s="51">
        <f t="shared" si="256"/>
        <v>-0.32379143073205818</v>
      </c>
      <c r="CA95" s="51">
        <f t="shared" si="256"/>
        <v>2.4166712126997947E-2</v>
      </c>
      <c r="CB95" s="51">
        <f t="shared" si="256"/>
        <v>-6.5516139341643687E-3</v>
      </c>
      <c r="CC95" s="51">
        <f t="shared" si="256"/>
        <v>5.3080263792826266E-3</v>
      </c>
      <c r="CD95" s="51">
        <f t="shared" si="256"/>
        <v>0.28664000000000001</v>
      </c>
      <c r="CE95" s="51">
        <f t="shared" si="256"/>
        <v>0.30719807664407561</v>
      </c>
      <c r="CF95" s="51">
        <f t="shared" si="256"/>
        <v>0.14245849915174946</v>
      </c>
      <c r="CG95" s="51">
        <f t="shared" si="256"/>
        <v>0.21733096480515157</v>
      </c>
      <c r="CH95" s="51">
        <f t="shared" si="256"/>
        <v>-0.18895070454649099</v>
      </c>
    </row>
    <row r="96" spans="2:86" x14ac:dyDescent="0.25">
      <c r="B96" s="1"/>
      <c r="BU96" s="1">
        <f t="shared" ref="BU96:CH96" si="257">+BU94/$BT$94</f>
        <v>1.6883196096370845</v>
      </c>
      <c r="BV96" s="1">
        <f t="shared" si="257"/>
        <v>5.2104300091491309</v>
      </c>
      <c r="BW96" s="1">
        <f t="shared" si="257"/>
        <v>8.3833485818847215</v>
      </c>
      <c r="BX96" s="1">
        <f t="shared" si="257"/>
        <v>12.49527294906984</v>
      </c>
      <c r="BY96" s="1">
        <f t="shared" si="257"/>
        <v>16.534614211649892</v>
      </c>
      <c r="BZ96" s="1">
        <f t="shared" si="257"/>
        <v>11.180847819457153</v>
      </c>
      <c r="CA96" s="1">
        <f t="shared" si="257"/>
        <v>11.451052150045747</v>
      </c>
      <c r="CB96" s="1">
        <f t="shared" si="257"/>
        <v>11.376029277218663</v>
      </c>
      <c r="CC96" s="1">
        <f t="shared" si="257"/>
        <v>11.436413540713632</v>
      </c>
      <c r="CD96" s="1">
        <f t="shared" si="257"/>
        <v>14.714547118023788</v>
      </c>
      <c r="CE96" s="1">
        <f t="shared" si="257"/>
        <v>19.234827691369322</v>
      </c>
      <c r="CF96" s="1">
        <f t="shared" si="257"/>
        <v>21.974992375724305</v>
      </c>
      <c r="CG96" s="1">
        <f t="shared" si="257"/>
        <v>26.750838670326317</v>
      </c>
      <c r="CH96" s="1">
        <f t="shared" si="257"/>
        <v>21.696248856358647</v>
      </c>
    </row>
    <row r="97" spans="2:86" x14ac:dyDescent="0.25">
      <c r="B97" s="1"/>
      <c r="BU97" s="1"/>
      <c r="BV97" s="1"/>
      <c r="BW97" s="1"/>
    </row>
    <row r="98" spans="2:86" s="45" customFormat="1" ht="13" x14ac:dyDescent="0.3">
      <c r="B98" s="16" t="s">
        <v>240</v>
      </c>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BU98" s="51">
        <f t="shared" ref="BU98:CH98" si="258">BU26/BT26-1</f>
        <v>0.32447576548044177</v>
      </c>
      <c r="BV98" s="51">
        <f t="shared" si="258"/>
        <v>2.0921938088829068</v>
      </c>
      <c r="BW98" s="51">
        <f t="shared" si="258"/>
        <v>0.52680449764236514</v>
      </c>
      <c r="BX98" s="51">
        <f t="shared" si="258"/>
        <v>0.33966836128664424</v>
      </c>
      <c r="BY98" s="51">
        <f t="shared" si="258"/>
        <v>0.45541920839835415</v>
      </c>
      <c r="BZ98" s="51">
        <f t="shared" si="258"/>
        <v>0.18439457075322285</v>
      </c>
      <c r="CA98" s="51">
        <f t="shared" si="258"/>
        <v>0.20817216689984375</v>
      </c>
      <c r="CB98" s="51">
        <f t="shared" si="258"/>
        <v>0.17368277647219088</v>
      </c>
      <c r="CC98" s="51">
        <f t="shared" si="258"/>
        <v>0.15921127087534992</v>
      </c>
      <c r="CD98" s="51">
        <f t="shared" si="258"/>
        <v>4.8138783888652448E-2</v>
      </c>
      <c r="CE98" s="51">
        <f t="shared" si="258"/>
        <v>0.91933365177931714</v>
      </c>
      <c r="CF98" s="51">
        <f t="shared" si="258"/>
        <v>-0.24265048996733551</v>
      </c>
      <c r="CG98" s="51">
        <f t="shared" si="258"/>
        <v>7.7592934894228582E-2</v>
      </c>
      <c r="CH98" s="51">
        <f t="shared" si="258"/>
        <v>8.2656095143706532E-2</v>
      </c>
    </row>
  </sheetData>
  <hyperlinks>
    <hyperlink ref="A1" location="Main!A1" display="Main" xr:uid="{D2C01981-FEC3-4A39-A852-FDD02C9DCC1E}"/>
  </hyperlink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A577-FE61-4AC6-8EA6-0BAD78F2F516}">
  <dimension ref="A1:D23"/>
  <sheetViews>
    <sheetView zoomScale="250" zoomScaleNormal="250" workbookViewId="0"/>
  </sheetViews>
  <sheetFormatPr defaultColWidth="9.1796875" defaultRowHeight="12.5" x14ac:dyDescent="0.25"/>
  <cols>
    <col min="1" max="1" width="5" style="9" bestFit="1" customWidth="1"/>
    <col min="2" max="2" width="12.81640625" style="9" bestFit="1" customWidth="1"/>
    <col min="3" max="16384" width="9.1796875" style="9"/>
  </cols>
  <sheetData>
    <row r="1" spans="1:4" x14ac:dyDescent="0.25">
      <c r="A1" s="13" t="s">
        <v>78</v>
      </c>
    </row>
    <row r="2" spans="1:4" x14ac:dyDescent="0.25">
      <c r="B2" s="9" t="s">
        <v>77</v>
      </c>
      <c r="C2" s="9" t="s">
        <v>194</v>
      </c>
    </row>
    <row r="3" spans="1:4" x14ac:dyDescent="0.25">
      <c r="B3" s="9" t="s">
        <v>75</v>
      </c>
      <c r="C3" s="9" t="s">
        <v>195</v>
      </c>
    </row>
    <row r="4" spans="1:4" x14ac:dyDescent="0.25">
      <c r="B4" s="9" t="s">
        <v>43</v>
      </c>
      <c r="C4" s="9" t="s">
        <v>476</v>
      </c>
    </row>
    <row r="5" spans="1:4" x14ac:dyDescent="0.25">
      <c r="D5" s="9" t="s">
        <v>478</v>
      </c>
    </row>
    <row r="6" spans="1:4" x14ac:dyDescent="0.25">
      <c r="D6" s="9" t="s">
        <v>477</v>
      </c>
    </row>
    <row r="7" spans="1:4" x14ac:dyDescent="0.25">
      <c r="B7" s="9" t="s">
        <v>47</v>
      </c>
      <c r="C7" s="9" t="s">
        <v>399</v>
      </c>
    </row>
    <row r="8" spans="1:4" x14ac:dyDescent="0.25">
      <c r="B8" s="9" t="s">
        <v>371</v>
      </c>
      <c r="C8" s="9" t="s">
        <v>375</v>
      </c>
    </row>
    <row r="9" spans="1:4" x14ac:dyDescent="0.25">
      <c r="C9" s="9" t="s">
        <v>469</v>
      </c>
    </row>
    <row r="10" spans="1:4" x14ac:dyDescent="0.25">
      <c r="C10" s="9" t="s">
        <v>398</v>
      </c>
    </row>
    <row r="11" spans="1:4" x14ac:dyDescent="0.25">
      <c r="C11" s="9" t="s">
        <v>396</v>
      </c>
    </row>
    <row r="12" spans="1:4" x14ac:dyDescent="0.25">
      <c r="B12" s="9" t="s">
        <v>44</v>
      </c>
    </row>
    <row r="13" spans="1:4" x14ac:dyDescent="0.25">
      <c r="B13" s="9" t="s">
        <v>131</v>
      </c>
    </row>
    <row r="14" spans="1:4" x14ac:dyDescent="0.25">
      <c r="B14" s="9" t="s">
        <v>65</v>
      </c>
    </row>
    <row r="15" spans="1:4" ht="13" x14ac:dyDescent="0.3">
      <c r="C15" s="10" t="s">
        <v>394</v>
      </c>
    </row>
    <row r="17" spans="3:3" x14ac:dyDescent="0.25">
      <c r="C17" s="9" t="s">
        <v>395</v>
      </c>
    </row>
    <row r="19" spans="3:3" ht="13" x14ac:dyDescent="0.3">
      <c r="C19" s="10" t="s">
        <v>193</v>
      </c>
    </row>
    <row r="23" spans="3:3" ht="13" x14ac:dyDescent="0.3">
      <c r="C23" s="10" t="s">
        <v>192</v>
      </c>
    </row>
  </sheetData>
  <hyperlinks>
    <hyperlink ref="A1" location="Main!A1" display="Main" xr:uid="{7F512D4E-C7B1-4959-AD4C-AD4ABBB4780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28E7-A294-46A1-850A-3A0B8CF7E06D}">
  <dimension ref="A1:L80"/>
  <sheetViews>
    <sheetView zoomScale="160" zoomScaleNormal="160" workbookViewId="0"/>
  </sheetViews>
  <sheetFormatPr defaultColWidth="9.1796875" defaultRowHeight="12.5" x14ac:dyDescent="0.25"/>
  <cols>
    <col min="1" max="1" width="5" style="9" bestFit="1" customWidth="1"/>
    <col min="2" max="2" width="14.26953125" style="9" customWidth="1"/>
    <col min="3" max="6" width="9.1796875" style="9"/>
    <col min="7" max="7" width="12.81640625" style="9" bestFit="1" customWidth="1"/>
    <col min="8" max="8" width="9.1796875" style="9"/>
    <col min="9" max="9" width="12.7265625" style="9" bestFit="1" customWidth="1"/>
    <col min="10" max="10" width="14.453125" style="9" bestFit="1" customWidth="1"/>
    <col min="11" max="11" width="12.7265625" style="9" bestFit="1" customWidth="1"/>
    <col min="12" max="16384" width="9.1796875" style="9"/>
  </cols>
  <sheetData>
    <row r="1" spans="1:3" x14ac:dyDescent="0.25">
      <c r="A1" s="62" t="s">
        <v>78</v>
      </c>
    </row>
    <row r="2" spans="1:3" x14ac:dyDescent="0.25">
      <c r="B2" s="9" t="s">
        <v>77</v>
      </c>
      <c r="C2" s="9" t="s">
        <v>367</v>
      </c>
    </row>
    <row r="3" spans="1:3" x14ac:dyDescent="0.25">
      <c r="B3" s="9" t="s">
        <v>75</v>
      </c>
      <c r="C3" s="9" t="s">
        <v>134</v>
      </c>
    </row>
    <row r="4" spans="1:3" x14ac:dyDescent="0.25">
      <c r="B4" s="9" t="s">
        <v>43</v>
      </c>
      <c r="C4" s="9" t="s">
        <v>133</v>
      </c>
    </row>
    <row r="5" spans="1:3" x14ac:dyDescent="0.25">
      <c r="B5" s="9" t="s">
        <v>47</v>
      </c>
      <c r="C5" s="9" t="s">
        <v>30</v>
      </c>
    </row>
    <row r="6" spans="1:3" x14ac:dyDescent="0.25">
      <c r="B6" s="9" t="s">
        <v>371</v>
      </c>
      <c r="C6" s="9" t="s">
        <v>372</v>
      </c>
    </row>
    <row r="7" spans="1:3" x14ac:dyDescent="0.25">
      <c r="C7" s="9" t="s">
        <v>374</v>
      </c>
    </row>
    <row r="8" spans="1:3" x14ac:dyDescent="0.25">
      <c r="C8" s="9" t="s">
        <v>462</v>
      </c>
    </row>
    <row r="9" spans="1:3" x14ac:dyDescent="0.25">
      <c r="C9" s="9" t="s">
        <v>460</v>
      </c>
    </row>
    <row r="10" spans="1:3" x14ac:dyDescent="0.25">
      <c r="C10" s="9" t="s">
        <v>461</v>
      </c>
    </row>
    <row r="11" spans="1:3" x14ac:dyDescent="0.25">
      <c r="C11" s="9" t="s">
        <v>468</v>
      </c>
    </row>
    <row r="12" spans="1:3" x14ac:dyDescent="0.25">
      <c r="B12" s="9" t="s">
        <v>45</v>
      </c>
      <c r="C12" s="9" t="s">
        <v>403</v>
      </c>
    </row>
    <row r="13" spans="1:3" x14ac:dyDescent="0.25">
      <c r="B13" s="9" t="s">
        <v>44</v>
      </c>
      <c r="C13" s="9" t="s">
        <v>132</v>
      </c>
    </row>
    <row r="14" spans="1:3" x14ac:dyDescent="0.25">
      <c r="B14" s="9" t="s">
        <v>131</v>
      </c>
      <c r="C14" s="9" t="s">
        <v>373</v>
      </c>
    </row>
    <row r="15" spans="1:3" x14ac:dyDescent="0.25">
      <c r="B15" s="9" t="s">
        <v>42</v>
      </c>
    </row>
    <row r="16" spans="1:3" x14ac:dyDescent="0.25">
      <c r="B16" s="9" t="s">
        <v>65</v>
      </c>
    </row>
    <row r="18" spans="3:11" ht="13" x14ac:dyDescent="0.3">
      <c r="C18" s="10" t="s">
        <v>368</v>
      </c>
    </row>
    <row r="19" spans="3:11" x14ac:dyDescent="0.25">
      <c r="C19" s="9" t="s">
        <v>369</v>
      </c>
    </row>
    <row r="20" spans="3:11" x14ac:dyDescent="0.25">
      <c r="C20" s="9" t="s">
        <v>370</v>
      </c>
    </row>
    <row r="23" spans="3:11" ht="13" x14ac:dyDescent="0.3">
      <c r="C23" s="10" t="s">
        <v>130</v>
      </c>
    </row>
    <row r="24" spans="3:11" x14ac:dyDescent="0.25">
      <c r="C24" s="9" t="s">
        <v>129</v>
      </c>
    </row>
    <row r="25" spans="3:11" x14ac:dyDescent="0.25">
      <c r="C25" s="9" t="s">
        <v>123</v>
      </c>
    </row>
    <row r="26" spans="3:11" x14ac:dyDescent="0.25">
      <c r="C26" s="9" t="s">
        <v>122</v>
      </c>
    </row>
    <row r="27" spans="3:11" x14ac:dyDescent="0.25">
      <c r="C27" s="9" t="s">
        <v>121</v>
      </c>
    </row>
    <row r="28" spans="3:11" x14ac:dyDescent="0.25">
      <c r="C28" s="9" t="s">
        <v>120</v>
      </c>
      <c r="H28" s="9" t="s">
        <v>118</v>
      </c>
      <c r="I28" s="9" t="s">
        <v>117</v>
      </c>
      <c r="J28" s="9" t="s">
        <v>115</v>
      </c>
      <c r="K28" s="9" t="s">
        <v>113</v>
      </c>
    </row>
    <row r="29" spans="3:11" x14ac:dyDescent="0.25">
      <c r="C29" s="9" t="s">
        <v>119</v>
      </c>
      <c r="E29" s="63">
        <v>0.93</v>
      </c>
      <c r="G29" s="9" t="s">
        <v>116</v>
      </c>
      <c r="H29" s="64">
        <v>304</v>
      </c>
      <c r="I29" s="64">
        <v>304</v>
      </c>
      <c r="J29" s="64">
        <v>301</v>
      </c>
      <c r="K29" s="64">
        <v>301</v>
      </c>
    </row>
    <row r="30" spans="3:11" x14ac:dyDescent="0.25">
      <c r="C30" s="9" t="s">
        <v>117</v>
      </c>
      <c r="E30" s="63">
        <v>0.96</v>
      </c>
      <c r="G30" s="9" t="s">
        <v>114</v>
      </c>
      <c r="H30" s="64">
        <v>78</v>
      </c>
      <c r="I30" s="64">
        <v>78</v>
      </c>
      <c r="J30" s="64">
        <v>78</v>
      </c>
      <c r="K30" s="64">
        <v>78</v>
      </c>
    </row>
    <row r="31" spans="3:11" x14ac:dyDescent="0.25">
      <c r="C31" s="9" t="s">
        <v>115</v>
      </c>
      <c r="E31" s="63">
        <v>0.91</v>
      </c>
      <c r="G31" s="9" t="s">
        <v>128</v>
      </c>
      <c r="H31" s="64">
        <v>57</v>
      </c>
      <c r="I31" s="64">
        <v>64</v>
      </c>
      <c r="J31" s="64">
        <v>56</v>
      </c>
      <c r="K31" s="64">
        <v>59</v>
      </c>
    </row>
    <row r="32" spans="3:11" x14ac:dyDescent="0.25">
      <c r="C32" s="9" t="s">
        <v>113</v>
      </c>
      <c r="E32" s="63">
        <v>0.91</v>
      </c>
      <c r="G32" s="9" t="s">
        <v>111</v>
      </c>
      <c r="H32" s="64">
        <v>54</v>
      </c>
      <c r="I32" s="64">
        <v>55</v>
      </c>
      <c r="J32" s="64">
        <v>56</v>
      </c>
      <c r="K32" s="64">
        <v>56</v>
      </c>
    </row>
    <row r="33" spans="3:12" x14ac:dyDescent="0.25">
      <c r="G33" s="65" t="s">
        <v>110</v>
      </c>
      <c r="H33" s="66">
        <v>0.94</v>
      </c>
      <c r="I33" s="66">
        <v>0.95</v>
      </c>
      <c r="J33" s="66">
        <v>0.96</v>
      </c>
      <c r="K33" s="66">
        <v>0.96</v>
      </c>
    </row>
    <row r="34" spans="3:12" x14ac:dyDescent="0.25">
      <c r="G34" s="65" t="s">
        <v>109</v>
      </c>
      <c r="H34" s="64">
        <v>8.1</v>
      </c>
      <c r="I34" s="64">
        <v>10.9</v>
      </c>
      <c r="J34" s="64" t="s">
        <v>127</v>
      </c>
      <c r="K34" s="64" t="s">
        <v>126</v>
      </c>
      <c r="L34" s="9" t="s">
        <v>105</v>
      </c>
    </row>
    <row r="35" spans="3:12" x14ac:dyDescent="0.25">
      <c r="G35" s="65" t="s">
        <v>104</v>
      </c>
      <c r="H35" s="64">
        <v>31</v>
      </c>
      <c r="I35" s="64">
        <v>38</v>
      </c>
      <c r="J35" s="64">
        <v>25</v>
      </c>
      <c r="K35" s="64">
        <v>31</v>
      </c>
    </row>
    <row r="36" spans="3:12" x14ac:dyDescent="0.25">
      <c r="H36" s="64"/>
      <c r="I36" s="64"/>
      <c r="J36" s="64"/>
      <c r="K36" s="64"/>
    </row>
    <row r="37" spans="3:12" ht="13" x14ac:dyDescent="0.3">
      <c r="C37" s="10" t="s">
        <v>125</v>
      </c>
    </row>
    <row r="38" spans="3:12" x14ac:dyDescent="0.25">
      <c r="C38" s="9" t="s">
        <v>124</v>
      </c>
    </row>
    <row r="39" spans="3:12" x14ac:dyDescent="0.25">
      <c r="C39" s="9" t="s">
        <v>123</v>
      </c>
    </row>
    <row r="40" spans="3:12" x14ac:dyDescent="0.25">
      <c r="C40" s="9" t="s">
        <v>122</v>
      </c>
    </row>
    <row r="41" spans="3:12" x14ac:dyDescent="0.25">
      <c r="C41" s="9" t="s">
        <v>121</v>
      </c>
    </row>
    <row r="42" spans="3:12" x14ac:dyDescent="0.25">
      <c r="C42" s="9" t="s">
        <v>120</v>
      </c>
    </row>
    <row r="43" spans="3:12" x14ac:dyDescent="0.25">
      <c r="C43" s="9" t="s">
        <v>119</v>
      </c>
      <c r="E43" s="63">
        <v>0.91</v>
      </c>
      <c r="H43" s="9" t="s">
        <v>118</v>
      </c>
      <c r="I43" s="9" t="s">
        <v>117</v>
      </c>
      <c r="J43" s="9" t="s">
        <v>115</v>
      </c>
      <c r="K43" s="9" t="s">
        <v>113</v>
      </c>
    </row>
    <row r="44" spans="3:12" x14ac:dyDescent="0.25">
      <c r="C44" s="9" t="s">
        <v>117</v>
      </c>
      <c r="E44" s="63">
        <v>0.9</v>
      </c>
      <c r="G44" s="9" t="s">
        <v>116</v>
      </c>
      <c r="H44" s="64">
        <v>291</v>
      </c>
      <c r="I44" s="64">
        <v>309</v>
      </c>
      <c r="J44" s="64">
        <v>296</v>
      </c>
      <c r="K44" s="64">
        <v>306</v>
      </c>
    </row>
    <row r="45" spans="3:12" x14ac:dyDescent="0.25">
      <c r="C45" s="9" t="s">
        <v>115</v>
      </c>
      <c r="E45" s="63">
        <v>0.88</v>
      </c>
      <c r="G45" s="9" t="s">
        <v>114</v>
      </c>
      <c r="H45" s="64">
        <v>73</v>
      </c>
      <c r="I45" s="64">
        <v>74</v>
      </c>
      <c r="J45" s="64">
        <v>75</v>
      </c>
      <c r="K45" s="64">
        <v>74</v>
      </c>
    </row>
    <row r="46" spans="3:12" x14ac:dyDescent="0.25">
      <c r="C46" s="9" t="s">
        <v>113</v>
      </c>
      <c r="E46" s="63">
        <v>0.91</v>
      </c>
      <c r="G46" s="9" t="s">
        <v>112</v>
      </c>
      <c r="H46" s="64">
        <v>58</v>
      </c>
      <c r="I46" s="64">
        <v>57</v>
      </c>
      <c r="J46" s="64">
        <v>50</v>
      </c>
      <c r="K46" s="64">
        <v>57</v>
      </c>
    </row>
    <row r="47" spans="3:12" x14ac:dyDescent="0.25">
      <c r="G47" s="9" t="s">
        <v>111</v>
      </c>
      <c r="H47" s="64">
        <v>54</v>
      </c>
      <c r="I47" s="64">
        <v>53</v>
      </c>
      <c r="J47" s="64">
        <v>52</v>
      </c>
      <c r="K47" s="64">
        <v>52</v>
      </c>
    </row>
    <row r="48" spans="3:12" x14ac:dyDescent="0.25">
      <c r="G48" s="65" t="s">
        <v>110</v>
      </c>
      <c r="H48" s="66">
        <v>0.94</v>
      </c>
      <c r="I48" s="66">
        <v>0.95</v>
      </c>
      <c r="J48" s="66">
        <v>0.96</v>
      </c>
      <c r="K48" s="66">
        <v>0.96</v>
      </c>
    </row>
    <row r="49" spans="3:12" x14ac:dyDescent="0.25">
      <c r="G49" s="65" t="s">
        <v>109</v>
      </c>
      <c r="H49" s="64">
        <v>9.4</v>
      </c>
      <c r="I49" s="64" t="s">
        <v>108</v>
      </c>
      <c r="J49" s="64" t="s">
        <v>107</v>
      </c>
      <c r="K49" s="64" t="s">
        <v>106</v>
      </c>
      <c r="L49" s="9" t="s">
        <v>105</v>
      </c>
    </row>
    <row r="50" spans="3:12" x14ac:dyDescent="0.25">
      <c r="G50" s="65" t="s">
        <v>104</v>
      </c>
      <c r="H50" s="64">
        <v>34</v>
      </c>
      <c r="I50" s="64">
        <v>29</v>
      </c>
      <c r="J50" s="64">
        <v>35</v>
      </c>
      <c r="K50" s="64">
        <v>31</v>
      </c>
    </row>
    <row r="51" spans="3:12" x14ac:dyDescent="0.25">
      <c r="G51" s="65"/>
      <c r="H51" s="64"/>
      <c r="I51" s="64"/>
      <c r="J51" s="64"/>
      <c r="K51" s="64"/>
    </row>
    <row r="52" spans="3:12" ht="13" x14ac:dyDescent="0.3">
      <c r="C52" s="10" t="s">
        <v>103</v>
      </c>
      <c r="G52" s="65"/>
      <c r="H52" s="64"/>
      <c r="I52" s="64"/>
      <c r="J52" s="64"/>
      <c r="K52" s="64"/>
    </row>
    <row r="53" spans="3:12" x14ac:dyDescent="0.25">
      <c r="C53" s="9" t="s">
        <v>102</v>
      </c>
      <c r="G53" s="65"/>
      <c r="H53" s="64"/>
      <c r="I53" s="64"/>
      <c r="J53" s="64"/>
      <c r="K53" s="64"/>
    </row>
    <row r="54" spans="3:12" x14ac:dyDescent="0.25">
      <c r="C54" s="9" t="s">
        <v>101</v>
      </c>
      <c r="G54" s="65"/>
      <c r="H54" s="64"/>
      <c r="I54" s="64"/>
      <c r="J54" s="64"/>
      <c r="K54" s="64"/>
    </row>
    <row r="55" spans="3:12" x14ac:dyDescent="0.25">
      <c r="C55" s="9" t="s">
        <v>100</v>
      </c>
      <c r="G55" s="65"/>
      <c r="H55" s="64"/>
      <c r="I55" s="64"/>
      <c r="J55" s="64"/>
      <c r="K55" s="64"/>
    </row>
    <row r="56" spans="3:12" x14ac:dyDescent="0.25">
      <c r="G56" s="65"/>
      <c r="H56" s="64"/>
      <c r="I56" s="64"/>
      <c r="J56" s="64"/>
      <c r="K56" s="64"/>
    </row>
    <row r="57" spans="3:12" ht="13" x14ac:dyDescent="0.3">
      <c r="C57" s="10" t="s">
        <v>99</v>
      </c>
      <c r="G57" s="65"/>
      <c r="H57" s="64"/>
      <c r="I57" s="64"/>
      <c r="J57" s="64"/>
      <c r="K57" s="64"/>
    </row>
    <row r="58" spans="3:12" ht="13" x14ac:dyDescent="0.3">
      <c r="C58" s="9" t="s">
        <v>98</v>
      </c>
      <c r="G58" s="65"/>
      <c r="H58" s="64"/>
      <c r="I58" s="64"/>
      <c r="J58" s="64"/>
      <c r="K58" s="64"/>
    </row>
    <row r="59" spans="3:12" x14ac:dyDescent="0.25">
      <c r="C59" s="9" t="s">
        <v>97</v>
      </c>
      <c r="G59" s="65"/>
      <c r="H59" s="64"/>
      <c r="I59" s="64"/>
      <c r="J59" s="64"/>
      <c r="K59" s="64"/>
    </row>
    <row r="60" spans="3:12" x14ac:dyDescent="0.25">
      <c r="C60" s="9" t="s">
        <v>96</v>
      </c>
      <c r="G60" s="65"/>
      <c r="H60" s="64"/>
      <c r="I60" s="64"/>
      <c r="J60" s="64"/>
      <c r="K60" s="64"/>
    </row>
    <row r="61" spans="3:12" x14ac:dyDescent="0.25">
      <c r="C61" s="9" t="s">
        <v>95</v>
      </c>
      <c r="G61" s="65"/>
      <c r="H61" s="64"/>
      <c r="I61" s="64"/>
      <c r="J61" s="64"/>
      <c r="K61" s="64"/>
    </row>
    <row r="62" spans="3:12" x14ac:dyDescent="0.25">
      <c r="C62" s="9" t="s">
        <v>94</v>
      </c>
      <c r="G62" s="65"/>
      <c r="H62" s="64"/>
      <c r="I62" s="64"/>
      <c r="J62" s="64"/>
      <c r="K62" s="64"/>
    </row>
    <row r="63" spans="3:12" x14ac:dyDescent="0.25">
      <c r="C63" s="9" t="s">
        <v>93</v>
      </c>
      <c r="G63" s="65"/>
      <c r="H63" s="64"/>
      <c r="I63" s="64"/>
      <c r="J63" s="64"/>
      <c r="K63" s="64"/>
    </row>
    <row r="64" spans="3:12" x14ac:dyDescent="0.25">
      <c r="C64" s="9" t="s">
        <v>92</v>
      </c>
      <c r="G64" s="65"/>
      <c r="H64" s="64"/>
      <c r="I64" s="64"/>
      <c r="J64" s="64"/>
      <c r="K64" s="64"/>
    </row>
    <row r="65" spans="3:11" x14ac:dyDescent="0.25">
      <c r="C65" s="9" t="s">
        <v>91</v>
      </c>
      <c r="G65" s="65"/>
      <c r="H65" s="64"/>
      <c r="I65" s="64"/>
      <c r="J65" s="64"/>
      <c r="K65" s="64"/>
    </row>
    <row r="66" spans="3:11" ht="13" x14ac:dyDescent="0.3">
      <c r="C66" s="9" t="s">
        <v>90</v>
      </c>
      <c r="G66" s="65"/>
      <c r="H66" s="64"/>
      <c r="I66" s="64"/>
      <c r="J66" s="64"/>
      <c r="K66" s="64"/>
    </row>
    <row r="68" spans="3:11" ht="13" x14ac:dyDescent="0.3">
      <c r="C68" s="10" t="s">
        <v>89</v>
      </c>
    </row>
    <row r="69" spans="3:11" x14ac:dyDescent="0.25">
      <c r="C69" s="9" t="s">
        <v>88</v>
      </c>
    </row>
    <row r="71" spans="3:11" ht="13" x14ac:dyDescent="0.3">
      <c r="C71" s="10" t="s">
        <v>87</v>
      </c>
    </row>
    <row r="72" spans="3:11" x14ac:dyDescent="0.25">
      <c r="C72" s="9" t="s">
        <v>86</v>
      </c>
    </row>
    <row r="73" spans="3:11" x14ac:dyDescent="0.25">
      <c r="C73" s="9" t="s">
        <v>85</v>
      </c>
    </row>
    <row r="74" spans="3:11" x14ac:dyDescent="0.25">
      <c r="C74" s="9" t="s">
        <v>84</v>
      </c>
    </row>
    <row r="76" spans="3:11" x14ac:dyDescent="0.25">
      <c r="C76" s="9" t="s">
        <v>83</v>
      </c>
    </row>
    <row r="77" spans="3:11" x14ac:dyDescent="0.25">
      <c r="C77" s="9" t="s">
        <v>82</v>
      </c>
    </row>
    <row r="78" spans="3:11" x14ac:dyDescent="0.25">
      <c r="C78" s="9" t="s">
        <v>81</v>
      </c>
    </row>
    <row r="79" spans="3:11" x14ac:dyDescent="0.25">
      <c r="C79" s="9" t="s">
        <v>80</v>
      </c>
    </row>
    <row r="80" spans="3:11" x14ac:dyDescent="0.25">
      <c r="C80" s="9" t="s">
        <v>79</v>
      </c>
    </row>
  </sheetData>
  <hyperlinks>
    <hyperlink ref="A1" location="Main!A1" display="Main" xr:uid="{55DDCF10-B603-4C33-8235-AC36ACB13C73}"/>
  </hyperlink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02A1-3CC8-415F-A135-AB0208BB49A1}">
  <dimension ref="A1:C14"/>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3" t="s">
        <v>78</v>
      </c>
    </row>
    <row r="2" spans="1:3" x14ac:dyDescent="0.25">
      <c r="B2" t="s">
        <v>404</v>
      </c>
    </row>
    <row r="3" spans="1:3" x14ac:dyDescent="0.25">
      <c r="B3" t="s">
        <v>377</v>
      </c>
      <c r="C3" s="57" t="s">
        <v>269</v>
      </c>
    </row>
    <row r="4" spans="1:3" x14ac:dyDescent="0.25">
      <c r="B4" t="s">
        <v>47</v>
      </c>
      <c r="C4" t="s">
        <v>405</v>
      </c>
    </row>
    <row r="5" spans="1:3" x14ac:dyDescent="0.25">
      <c r="B5" t="s">
        <v>43</v>
      </c>
      <c r="C5" t="s">
        <v>270</v>
      </c>
    </row>
    <row r="6" spans="1:3" x14ac:dyDescent="0.25">
      <c r="B6" t="s">
        <v>371</v>
      </c>
      <c r="C6" t="s">
        <v>449</v>
      </c>
    </row>
    <row r="7" spans="1:3" x14ac:dyDescent="0.25">
      <c r="B7" t="s">
        <v>45</v>
      </c>
      <c r="C7" t="s">
        <v>406</v>
      </c>
    </row>
    <row r="8" spans="1:3" x14ac:dyDescent="0.25">
      <c r="B8" t="s">
        <v>65</v>
      </c>
    </row>
    <row r="9" spans="1:3" ht="13" x14ac:dyDescent="0.3">
      <c r="C9" s="54" t="s">
        <v>407</v>
      </c>
    </row>
    <row r="10" spans="1:3" x14ac:dyDescent="0.25">
      <c r="C10" t="s">
        <v>408</v>
      </c>
    </row>
    <row r="14" spans="1:3" ht="13" x14ac:dyDescent="0.3">
      <c r="C14" s="54" t="s">
        <v>423</v>
      </c>
    </row>
  </sheetData>
  <hyperlinks>
    <hyperlink ref="A1" location="Main!A1" display="Main" xr:uid="{EC774840-B936-4190-8846-104354FD33E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D4E2-F63A-47DA-A63C-083C7176FD88}">
  <dimension ref="A1:C9"/>
  <sheetViews>
    <sheetView zoomScale="220" zoomScaleNormal="220" workbookViewId="0"/>
  </sheetViews>
  <sheetFormatPr defaultRowHeight="12.5" x14ac:dyDescent="0.25"/>
  <cols>
    <col min="1" max="1" width="5" bestFit="1" customWidth="1"/>
    <col min="2" max="2" width="12.26953125" bestFit="1" customWidth="1"/>
  </cols>
  <sheetData>
    <row r="1" spans="1:3" x14ac:dyDescent="0.25">
      <c r="A1" s="13" t="s">
        <v>78</v>
      </c>
    </row>
    <row r="2" spans="1:3" x14ac:dyDescent="0.25">
      <c r="B2" t="s">
        <v>404</v>
      </c>
    </row>
    <row r="3" spans="1:3" x14ac:dyDescent="0.25">
      <c r="B3" t="s">
        <v>377</v>
      </c>
      <c r="C3" s="57" t="s">
        <v>265</v>
      </c>
    </row>
    <row r="4" spans="1:3" x14ac:dyDescent="0.25">
      <c r="B4" t="s">
        <v>47</v>
      </c>
      <c r="C4" t="s">
        <v>410</v>
      </c>
    </row>
    <row r="5" spans="1:3" x14ac:dyDescent="0.25">
      <c r="B5" t="s">
        <v>409</v>
      </c>
      <c r="C5" t="s">
        <v>266</v>
      </c>
    </row>
    <row r="6" spans="1:3" x14ac:dyDescent="0.25">
      <c r="B6" t="s">
        <v>371</v>
      </c>
      <c r="C6" t="s">
        <v>443</v>
      </c>
    </row>
    <row r="7" spans="1:3" x14ac:dyDescent="0.25">
      <c r="B7" t="s">
        <v>45</v>
      </c>
      <c r="C7" t="s">
        <v>411</v>
      </c>
    </row>
    <row r="8" spans="1:3" x14ac:dyDescent="0.25">
      <c r="C8" t="s">
        <v>412</v>
      </c>
    </row>
    <row r="9" spans="1:3" x14ac:dyDescent="0.25">
      <c r="B9" t="s">
        <v>65</v>
      </c>
    </row>
  </sheetData>
  <hyperlinks>
    <hyperlink ref="A1" location="Main!A1" display="Main" xr:uid="{987FB588-21A7-489A-86F2-5604763419A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5ED54-6015-48D1-9C01-27EEB477A3F6}">
  <dimension ref="A1:C12"/>
  <sheetViews>
    <sheetView zoomScale="190" zoomScaleNormal="190" workbookViewId="0"/>
  </sheetViews>
  <sheetFormatPr defaultRowHeight="12.5" x14ac:dyDescent="0.25"/>
  <cols>
    <col min="1" max="1" width="5" bestFit="1" customWidth="1"/>
    <col min="2" max="2" width="12.26953125" bestFit="1" customWidth="1"/>
  </cols>
  <sheetData>
    <row r="1" spans="1:3" x14ac:dyDescent="0.25">
      <c r="A1" s="13" t="s">
        <v>78</v>
      </c>
    </row>
    <row r="2" spans="1:3" x14ac:dyDescent="0.25">
      <c r="B2" t="s">
        <v>404</v>
      </c>
    </row>
    <row r="3" spans="1:3" x14ac:dyDescent="0.25">
      <c r="B3" t="s">
        <v>377</v>
      </c>
      <c r="C3" t="s">
        <v>239</v>
      </c>
    </row>
    <row r="4" spans="1:3" x14ac:dyDescent="0.25">
      <c r="B4" t="s">
        <v>47</v>
      </c>
      <c r="C4" t="s">
        <v>446</v>
      </c>
    </row>
    <row r="5" spans="1:3" x14ac:dyDescent="0.25">
      <c r="B5" t="s">
        <v>409</v>
      </c>
      <c r="C5" t="s">
        <v>420</v>
      </c>
    </row>
    <row r="6" spans="1:3" x14ac:dyDescent="0.25">
      <c r="B6" t="s">
        <v>371</v>
      </c>
      <c r="C6" t="s">
        <v>445</v>
      </c>
    </row>
    <row r="7" spans="1:3" x14ac:dyDescent="0.25">
      <c r="B7" t="s">
        <v>65</v>
      </c>
    </row>
    <row r="8" spans="1:3" ht="13" x14ac:dyDescent="0.3">
      <c r="C8" s="54" t="s">
        <v>421</v>
      </c>
    </row>
    <row r="9" spans="1:3" x14ac:dyDescent="0.25">
      <c r="C9" t="s">
        <v>422</v>
      </c>
    </row>
    <row r="11" spans="1:3" ht="13" x14ac:dyDescent="0.3">
      <c r="C11" s="54" t="s">
        <v>456</v>
      </c>
    </row>
    <row r="12" spans="1:3" x14ac:dyDescent="0.25">
      <c r="C12" t="s">
        <v>457</v>
      </c>
    </row>
  </sheetData>
  <hyperlinks>
    <hyperlink ref="A1" location="Main!A1" display="Main" xr:uid="{5CE669D1-80CF-4A6F-8258-A4F55F11E73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77B6-90FA-4F6C-B6D9-3EE518AF48EE}">
  <dimension ref="A1:C11"/>
  <sheetViews>
    <sheetView zoomScale="235" zoomScaleNormal="235" workbookViewId="0"/>
  </sheetViews>
  <sheetFormatPr defaultRowHeight="12.5" x14ac:dyDescent="0.25"/>
  <cols>
    <col min="1" max="1" width="5" bestFit="1" customWidth="1"/>
    <col min="2" max="2" width="12" bestFit="1" customWidth="1"/>
  </cols>
  <sheetData>
    <row r="1" spans="1:3" x14ac:dyDescent="0.25">
      <c r="A1" s="13" t="s">
        <v>78</v>
      </c>
    </row>
    <row r="2" spans="1:3" x14ac:dyDescent="0.25">
      <c r="B2" t="s">
        <v>404</v>
      </c>
    </row>
    <row r="3" spans="1:3" x14ac:dyDescent="0.25">
      <c r="B3" t="s">
        <v>377</v>
      </c>
      <c r="C3" t="s">
        <v>274</v>
      </c>
    </row>
    <row r="4" spans="1:3" x14ac:dyDescent="0.25">
      <c r="B4" t="s">
        <v>47</v>
      </c>
      <c r="C4" t="s">
        <v>427</v>
      </c>
    </row>
    <row r="5" spans="1:3" x14ac:dyDescent="0.25">
      <c r="B5" t="s">
        <v>409</v>
      </c>
      <c r="C5" t="s">
        <v>429</v>
      </c>
    </row>
    <row r="6" spans="1:3" x14ac:dyDescent="0.25">
      <c r="B6" t="s">
        <v>65</v>
      </c>
    </row>
    <row r="7" spans="1:3" ht="13" x14ac:dyDescent="0.3">
      <c r="C7" s="54" t="s">
        <v>428</v>
      </c>
    </row>
    <row r="10" spans="1:3" ht="13" x14ac:dyDescent="0.3">
      <c r="C10" s="54" t="s">
        <v>458</v>
      </c>
    </row>
    <row r="11" spans="1:3" x14ac:dyDescent="0.25">
      <c r="C11" t="s">
        <v>459</v>
      </c>
    </row>
  </sheetData>
  <hyperlinks>
    <hyperlink ref="A1" location="Main!A1" display="Main" xr:uid="{82A014F1-E6C5-4EBE-86D2-5908AD151D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5DAB-B4CB-4B04-88E0-BB12957ED39E}">
  <dimension ref="A1:C6"/>
  <sheetViews>
    <sheetView zoomScale="205" zoomScaleNormal="205" workbookViewId="0"/>
  </sheetViews>
  <sheetFormatPr defaultRowHeight="12.5" x14ac:dyDescent="0.25"/>
  <cols>
    <col min="1" max="1" width="5" bestFit="1" customWidth="1"/>
    <col min="2" max="2" width="12.1796875" bestFit="1" customWidth="1"/>
    <col min="3" max="3" width="11.453125" customWidth="1"/>
  </cols>
  <sheetData>
    <row r="1" spans="1:3" x14ac:dyDescent="0.25">
      <c r="A1" s="13" t="s">
        <v>78</v>
      </c>
    </row>
    <row r="2" spans="1:3" x14ac:dyDescent="0.25">
      <c r="B2" t="s">
        <v>404</v>
      </c>
      <c r="C2" t="s">
        <v>453</v>
      </c>
    </row>
    <row r="3" spans="1:3" x14ac:dyDescent="0.25">
      <c r="B3" t="s">
        <v>47</v>
      </c>
      <c r="C3" t="s">
        <v>454</v>
      </c>
    </row>
    <row r="4" spans="1:3" x14ac:dyDescent="0.25">
      <c r="B4" t="s">
        <v>65</v>
      </c>
    </row>
    <row r="5" spans="1:3" ht="13" x14ac:dyDescent="0.3">
      <c r="C5" s="54" t="s">
        <v>466</v>
      </c>
    </row>
    <row r="6" spans="1:3" x14ac:dyDescent="0.25">
      <c r="C6" t="s">
        <v>467</v>
      </c>
    </row>
  </sheetData>
  <hyperlinks>
    <hyperlink ref="A1" location="Main!A1" display="Main" xr:uid="{D960F3C3-4F40-4D14-B223-27818EE8284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31EC2-5A4B-49FE-82E1-AE238EDCA55D}">
  <dimension ref="A1:H13"/>
  <sheetViews>
    <sheetView topLeftCell="A4" zoomScale="205" zoomScaleNormal="205" workbookViewId="0">
      <selection activeCell="H8" sqref="H8"/>
    </sheetView>
  </sheetViews>
  <sheetFormatPr defaultRowHeight="12.5" x14ac:dyDescent="0.25"/>
  <cols>
    <col min="1" max="1" width="5" bestFit="1" customWidth="1"/>
    <col min="2" max="2" width="12.1796875" bestFit="1" customWidth="1"/>
    <col min="4" max="4" width="11" customWidth="1"/>
  </cols>
  <sheetData>
    <row r="1" spans="1:8" x14ac:dyDescent="0.25">
      <c r="A1" s="13" t="s">
        <v>78</v>
      </c>
    </row>
    <row r="2" spans="1:8" x14ac:dyDescent="0.25">
      <c r="B2" t="s">
        <v>404</v>
      </c>
    </row>
    <row r="3" spans="1:8" x14ac:dyDescent="0.25">
      <c r="B3" t="s">
        <v>377</v>
      </c>
      <c r="C3" t="s">
        <v>430</v>
      </c>
    </row>
    <row r="4" spans="1:8" x14ac:dyDescent="0.25">
      <c r="B4" t="s">
        <v>409</v>
      </c>
      <c r="C4" t="s">
        <v>514</v>
      </c>
    </row>
    <row r="5" spans="1:8" x14ac:dyDescent="0.25">
      <c r="B5" t="s">
        <v>47</v>
      </c>
      <c r="C5" t="s">
        <v>433</v>
      </c>
    </row>
    <row r="6" spans="1:8" x14ac:dyDescent="0.25">
      <c r="B6" t="s">
        <v>65</v>
      </c>
    </row>
    <row r="7" spans="1:8" ht="13" x14ac:dyDescent="0.3">
      <c r="C7" s="54" t="s">
        <v>437</v>
      </c>
    </row>
    <row r="8" spans="1:8" x14ac:dyDescent="0.25">
      <c r="C8" t="s">
        <v>439</v>
      </c>
      <c r="H8">
        <f>149*26</f>
        <v>3874</v>
      </c>
    </row>
    <row r="9" spans="1:8" x14ac:dyDescent="0.25">
      <c r="D9" t="s">
        <v>516</v>
      </c>
      <c r="E9" t="s">
        <v>517</v>
      </c>
      <c r="G9" t="s">
        <v>521</v>
      </c>
    </row>
    <row r="10" spans="1:8" x14ac:dyDescent="0.25">
      <c r="C10" t="s">
        <v>515</v>
      </c>
      <c r="D10" s="1">
        <v>-7.9</v>
      </c>
      <c r="E10" s="1">
        <v>-15.3</v>
      </c>
      <c r="F10" s="1">
        <f>+E10+D10</f>
        <v>-23.200000000000003</v>
      </c>
      <c r="G10" s="50">
        <v>0.47</v>
      </c>
    </row>
    <row r="11" spans="1:8" x14ac:dyDescent="0.25">
      <c r="C11" t="s">
        <v>518</v>
      </c>
      <c r="D11" s="1">
        <v>-3.7</v>
      </c>
      <c r="E11" s="1">
        <v>-16.899999999999999</v>
      </c>
      <c r="F11" s="1">
        <f>+E11+D11</f>
        <v>-20.599999999999998</v>
      </c>
      <c r="G11" s="71">
        <v>0.48599999999999999</v>
      </c>
      <c r="H11" t="s">
        <v>524</v>
      </c>
    </row>
    <row r="12" spans="1:8" x14ac:dyDescent="0.25">
      <c r="C12" t="s">
        <v>519</v>
      </c>
      <c r="D12" s="1">
        <v>-4.2</v>
      </c>
      <c r="E12" s="1">
        <v>-18.899999999999999</v>
      </c>
      <c r="F12" s="1">
        <f>+E12+D12</f>
        <v>-23.099999999999998</v>
      </c>
      <c r="G12" s="71">
        <v>0.56299999999999994</v>
      </c>
      <c r="H12" t="s">
        <v>523</v>
      </c>
    </row>
    <row r="13" spans="1:8" ht="13" x14ac:dyDescent="0.3">
      <c r="C13" t="s">
        <v>520</v>
      </c>
      <c r="D13" s="1">
        <v>-2</v>
      </c>
      <c r="E13" s="1">
        <v>-25.4</v>
      </c>
      <c r="F13" s="1">
        <f>+E13+D13</f>
        <v>-27.4</v>
      </c>
      <c r="G13" s="71">
        <v>0.63800000000000001</v>
      </c>
      <c r="H13" s="72" t="s">
        <v>522</v>
      </c>
    </row>
  </sheetData>
  <hyperlinks>
    <hyperlink ref="A1" location="Main!A1" display="Main" xr:uid="{F4896753-C538-48A4-AE58-1958C6BB606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812C-74CD-4756-9BF1-6B7F162CA2F2}">
  <dimension ref="A1:C12"/>
  <sheetViews>
    <sheetView zoomScale="235" zoomScaleNormal="235" workbookViewId="0">
      <selection activeCell="C13" sqref="C13"/>
    </sheetView>
  </sheetViews>
  <sheetFormatPr defaultRowHeight="12.5" x14ac:dyDescent="0.25"/>
  <cols>
    <col min="1" max="1" width="5" bestFit="1" customWidth="1"/>
    <col min="2" max="2" width="12" bestFit="1" customWidth="1"/>
  </cols>
  <sheetData>
    <row r="1" spans="1:3" x14ac:dyDescent="0.25">
      <c r="A1" s="13" t="s">
        <v>78</v>
      </c>
    </row>
    <row r="2" spans="1:3" x14ac:dyDescent="0.25">
      <c r="B2" t="s">
        <v>404</v>
      </c>
    </row>
    <row r="3" spans="1:3" x14ac:dyDescent="0.25">
      <c r="B3" t="s">
        <v>377</v>
      </c>
      <c r="C3" t="s">
        <v>264</v>
      </c>
    </row>
    <row r="4" spans="1:3" x14ac:dyDescent="0.25">
      <c r="B4" t="s">
        <v>47</v>
      </c>
      <c r="C4" t="s">
        <v>471</v>
      </c>
    </row>
    <row r="5" spans="1:3" x14ac:dyDescent="0.25">
      <c r="B5" t="s">
        <v>409</v>
      </c>
      <c r="C5" t="s">
        <v>472</v>
      </c>
    </row>
    <row r="6" spans="1:3" x14ac:dyDescent="0.25">
      <c r="B6" t="s">
        <v>65</v>
      </c>
    </row>
    <row r="7" spans="1:3" ht="13" x14ac:dyDescent="0.3">
      <c r="C7" s="54" t="s">
        <v>473</v>
      </c>
    </row>
    <row r="8" spans="1:3" x14ac:dyDescent="0.25">
      <c r="C8" t="s">
        <v>457</v>
      </c>
    </row>
    <row r="11" spans="1:3" ht="13" x14ac:dyDescent="0.3">
      <c r="C11" s="54" t="s">
        <v>474</v>
      </c>
    </row>
    <row r="12" spans="1:3" x14ac:dyDescent="0.25">
      <c r="C12" t="s">
        <v>475</v>
      </c>
    </row>
  </sheetData>
  <hyperlinks>
    <hyperlink ref="A1" location="Main!A1" display="Main" xr:uid="{AB40CBEC-4532-4BF6-8274-758E729BB87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43F31-5886-4D2F-9CC5-0FEF387C8ED8}">
  <dimension ref="A1:C7"/>
  <sheetViews>
    <sheetView zoomScale="205" zoomScaleNormal="205" workbookViewId="0"/>
  </sheetViews>
  <sheetFormatPr defaultRowHeight="12.5" x14ac:dyDescent="0.25"/>
  <cols>
    <col min="1" max="1" width="5" bestFit="1" customWidth="1"/>
    <col min="2" max="2" width="12" bestFit="1" customWidth="1"/>
  </cols>
  <sheetData>
    <row r="1" spans="1:3" x14ac:dyDescent="0.25">
      <c r="A1" s="13" t="s">
        <v>78</v>
      </c>
    </row>
    <row r="2" spans="1:3" x14ac:dyDescent="0.25">
      <c r="B2" t="s">
        <v>404</v>
      </c>
    </row>
    <row r="3" spans="1:3" x14ac:dyDescent="0.25">
      <c r="B3" t="s">
        <v>377</v>
      </c>
      <c r="C3" t="s">
        <v>277</v>
      </c>
    </row>
    <row r="4" spans="1:3" x14ac:dyDescent="0.25">
      <c r="B4" t="s">
        <v>47</v>
      </c>
      <c r="C4" t="s">
        <v>463</v>
      </c>
    </row>
    <row r="5" spans="1:3" x14ac:dyDescent="0.25">
      <c r="B5" t="s">
        <v>409</v>
      </c>
      <c r="C5" t="s">
        <v>464</v>
      </c>
    </row>
    <row r="6" spans="1:3" x14ac:dyDescent="0.25">
      <c r="B6" t="s">
        <v>65</v>
      </c>
    </row>
    <row r="7" spans="1:3" ht="13" x14ac:dyDescent="0.3">
      <c r="C7" s="54" t="s">
        <v>465</v>
      </c>
    </row>
  </sheetData>
  <hyperlinks>
    <hyperlink ref="A1" location="Main!A1" display="Main" xr:uid="{48E87823-DE66-4E27-B714-E9C7F575BF9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835F-6C5E-42B0-A176-0B0DAC34DD63}">
  <dimension ref="A1:C16"/>
  <sheetViews>
    <sheetView zoomScale="220" zoomScaleNormal="220" workbookViewId="0"/>
  </sheetViews>
  <sheetFormatPr defaultRowHeight="12.5" x14ac:dyDescent="0.25"/>
  <cols>
    <col min="1" max="1" width="5" bestFit="1" customWidth="1"/>
    <col min="2" max="2" width="12.26953125" bestFit="1" customWidth="1"/>
  </cols>
  <sheetData>
    <row r="1" spans="1:3" x14ac:dyDescent="0.25">
      <c r="A1" s="13" t="s">
        <v>78</v>
      </c>
    </row>
    <row r="2" spans="1:3" x14ac:dyDescent="0.25">
      <c r="B2" t="s">
        <v>404</v>
      </c>
    </row>
    <row r="3" spans="1:3" x14ac:dyDescent="0.25">
      <c r="B3" t="s">
        <v>377</v>
      </c>
      <c r="C3" t="s">
        <v>434</v>
      </c>
    </row>
    <row r="4" spans="1:3" x14ac:dyDescent="0.25">
      <c r="B4" t="s">
        <v>409</v>
      </c>
      <c r="C4" t="s">
        <v>435</v>
      </c>
    </row>
    <row r="5" spans="1:3" x14ac:dyDescent="0.25">
      <c r="B5" t="s">
        <v>47</v>
      </c>
      <c r="C5" t="s">
        <v>436</v>
      </c>
    </row>
    <row r="6" spans="1:3" x14ac:dyDescent="0.25">
      <c r="B6" t="s">
        <v>65</v>
      </c>
    </row>
    <row r="7" spans="1:3" ht="13" x14ac:dyDescent="0.3">
      <c r="C7" s="54" t="s">
        <v>438</v>
      </c>
    </row>
    <row r="10" spans="1:3" ht="13" x14ac:dyDescent="0.3">
      <c r="C10" s="54" t="s">
        <v>525</v>
      </c>
    </row>
    <row r="11" spans="1:3" x14ac:dyDescent="0.25">
      <c r="C11" t="s">
        <v>441</v>
      </c>
    </row>
    <row r="13" spans="1:3" ht="13" x14ac:dyDescent="0.3">
      <c r="C13" s="54" t="s">
        <v>526</v>
      </c>
    </row>
    <row r="16" spans="1:3" x14ac:dyDescent="0.25">
      <c r="C16" t="s">
        <v>442</v>
      </c>
    </row>
  </sheetData>
  <hyperlinks>
    <hyperlink ref="A1" location="Main!A1" display="Main" xr:uid="{1A25C32C-88C8-4231-90CC-4A4B737BC16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E96A6-ABE8-4587-9E4B-81D5B9206A84}">
  <dimension ref="A1:C12"/>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3" t="s">
        <v>78</v>
      </c>
    </row>
    <row r="2" spans="1:3" x14ac:dyDescent="0.25">
      <c r="B2" t="s">
        <v>404</v>
      </c>
      <c r="C2" t="s">
        <v>281</v>
      </c>
    </row>
    <row r="3" spans="1:3" x14ac:dyDescent="0.25">
      <c r="B3" t="s">
        <v>47</v>
      </c>
    </row>
    <row r="4" spans="1:3" x14ac:dyDescent="0.25">
      <c r="B4" t="s">
        <v>409</v>
      </c>
      <c r="C4" t="s">
        <v>414</v>
      </c>
    </row>
    <row r="5" spans="1:3" x14ac:dyDescent="0.25">
      <c r="C5" t="s">
        <v>415</v>
      </c>
    </row>
    <row r="6" spans="1:3" x14ac:dyDescent="0.25">
      <c r="B6" t="s">
        <v>65</v>
      </c>
    </row>
    <row r="7" spans="1:3" ht="13" x14ac:dyDescent="0.3">
      <c r="C7" s="54" t="s">
        <v>450</v>
      </c>
    </row>
    <row r="11" spans="1:3" ht="13" x14ac:dyDescent="0.3">
      <c r="C11" s="54" t="s">
        <v>416</v>
      </c>
    </row>
    <row r="12" spans="1:3" x14ac:dyDescent="0.25">
      <c r="C12" t="s">
        <v>417</v>
      </c>
    </row>
  </sheetData>
  <hyperlinks>
    <hyperlink ref="A1" location="Main!A1" display="Main" xr:uid="{ECED9906-3877-4162-A6E8-6EDFB5D2C55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7FB1-7A08-4161-BF26-C3B1E1BB2FA2}">
  <dimension ref="A1:C12"/>
  <sheetViews>
    <sheetView zoomScale="190" zoomScaleNormal="190" workbookViewId="0">
      <selection activeCell="C7" sqref="C7"/>
    </sheetView>
  </sheetViews>
  <sheetFormatPr defaultRowHeight="12.5" x14ac:dyDescent="0.25"/>
  <cols>
    <col min="1" max="1" width="5" bestFit="1" customWidth="1"/>
    <col min="2" max="2" width="12.26953125" bestFit="1" customWidth="1"/>
  </cols>
  <sheetData>
    <row r="1" spans="1:3" x14ac:dyDescent="0.25">
      <c r="A1" s="13" t="s">
        <v>78</v>
      </c>
    </row>
    <row r="2" spans="1:3" x14ac:dyDescent="0.25">
      <c r="B2" t="s">
        <v>404</v>
      </c>
      <c r="C2" t="s">
        <v>413</v>
      </c>
    </row>
    <row r="3" spans="1:3" x14ac:dyDescent="0.25">
      <c r="B3" t="s">
        <v>47</v>
      </c>
    </row>
    <row r="4" spans="1:3" x14ac:dyDescent="0.25">
      <c r="B4" t="s">
        <v>409</v>
      </c>
      <c r="C4" t="s">
        <v>418</v>
      </c>
    </row>
    <row r="5" spans="1:3" x14ac:dyDescent="0.25">
      <c r="C5" t="s">
        <v>419</v>
      </c>
    </row>
    <row r="6" spans="1:3" x14ac:dyDescent="0.25">
      <c r="B6" t="s">
        <v>65</v>
      </c>
    </row>
    <row r="7" spans="1:3" ht="13" x14ac:dyDescent="0.3">
      <c r="C7" s="54" t="s">
        <v>450</v>
      </c>
    </row>
    <row r="11" spans="1:3" ht="13" x14ac:dyDescent="0.3">
      <c r="C11" s="54" t="s">
        <v>416</v>
      </c>
    </row>
    <row r="12" spans="1:3" x14ac:dyDescent="0.25">
      <c r="C12" t="s">
        <v>417</v>
      </c>
    </row>
  </sheetData>
  <hyperlinks>
    <hyperlink ref="A1" location="Main!A1" display="Main" xr:uid="{DE93BB85-5A91-4184-9544-84BA7E4856D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B461-B0FA-4F01-9F54-E9771F481DED}">
  <dimension ref="A1:F28"/>
  <sheetViews>
    <sheetView zoomScale="110" zoomScaleNormal="110" workbookViewId="0"/>
  </sheetViews>
  <sheetFormatPr defaultColWidth="9.1796875" defaultRowHeight="12.5" x14ac:dyDescent="0.25"/>
  <cols>
    <col min="1" max="1" width="5" style="2" bestFit="1" customWidth="1"/>
    <col min="2" max="2" width="12.81640625" style="2" bestFit="1" customWidth="1"/>
    <col min="3" max="4" width="9.1796875" style="2"/>
    <col min="5" max="5" width="13.7265625" style="2" bestFit="1" customWidth="1"/>
    <col min="6" max="16384" width="9.1796875" style="2"/>
  </cols>
  <sheetData>
    <row r="1" spans="1:4" x14ac:dyDescent="0.25">
      <c r="A1" s="8" t="s">
        <v>78</v>
      </c>
    </row>
    <row r="2" spans="1:4" x14ac:dyDescent="0.25">
      <c r="B2" s="2" t="s">
        <v>77</v>
      </c>
      <c r="C2" s="2" t="s">
        <v>76</v>
      </c>
    </row>
    <row r="3" spans="1:4" x14ac:dyDescent="0.25">
      <c r="B3" s="2" t="s">
        <v>75</v>
      </c>
      <c r="C3" s="2" t="s">
        <v>74</v>
      </c>
    </row>
    <row r="4" spans="1:4" x14ac:dyDescent="0.25">
      <c r="B4" s="2" t="s">
        <v>47</v>
      </c>
      <c r="C4" s="2" t="s">
        <v>73</v>
      </c>
    </row>
    <row r="5" spans="1:4" x14ac:dyDescent="0.25">
      <c r="C5" s="2" t="s">
        <v>72</v>
      </c>
    </row>
    <row r="6" spans="1:4" x14ac:dyDescent="0.25">
      <c r="B6" s="2" t="s">
        <v>43</v>
      </c>
      <c r="C6" s="2" t="s">
        <v>71</v>
      </c>
    </row>
    <row r="7" spans="1:4" x14ac:dyDescent="0.25">
      <c r="C7" s="2" t="s">
        <v>70</v>
      </c>
    </row>
    <row r="8" spans="1:4" x14ac:dyDescent="0.25">
      <c r="C8" s="2" t="s">
        <v>69</v>
      </c>
    </row>
    <row r="9" spans="1:4" x14ac:dyDescent="0.25">
      <c r="C9" s="2" t="s">
        <v>68</v>
      </c>
    </row>
    <row r="10" spans="1:4" x14ac:dyDescent="0.25">
      <c r="C10" s="2" t="s">
        <v>67</v>
      </c>
    </row>
    <row r="11" spans="1:4" x14ac:dyDescent="0.25">
      <c r="C11" s="2" t="s">
        <v>66</v>
      </c>
    </row>
    <row r="12" spans="1:4" x14ac:dyDescent="0.25">
      <c r="B12" s="2" t="s">
        <v>65</v>
      </c>
    </row>
    <row r="13" spans="1:4" ht="13" x14ac:dyDescent="0.3">
      <c r="C13" s="7" t="s">
        <v>64</v>
      </c>
    </row>
    <row r="14" spans="1:4" x14ac:dyDescent="0.25">
      <c r="C14" s="2" t="s">
        <v>63</v>
      </c>
    </row>
    <row r="15" spans="1:4" x14ac:dyDescent="0.25">
      <c r="D15" s="2" t="s">
        <v>62</v>
      </c>
    </row>
    <row r="16" spans="1:4" x14ac:dyDescent="0.25">
      <c r="C16" s="2" t="s">
        <v>61</v>
      </c>
    </row>
    <row r="17" spans="3:6" x14ac:dyDescent="0.25">
      <c r="D17" s="2" t="s">
        <v>60</v>
      </c>
    </row>
    <row r="18" spans="3:6" x14ac:dyDescent="0.25">
      <c r="C18" s="2" t="s">
        <v>59</v>
      </c>
    </row>
    <row r="19" spans="3:6" x14ac:dyDescent="0.25">
      <c r="D19" s="6" t="s">
        <v>58</v>
      </c>
    </row>
    <row r="21" spans="3:6" ht="13" x14ac:dyDescent="0.3">
      <c r="C21" s="5" t="s">
        <v>57</v>
      </c>
    </row>
    <row r="22" spans="3:6" x14ac:dyDescent="0.25">
      <c r="C22" s="2" t="s">
        <v>56</v>
      </c>
      <c r="D22" s="3"/>
    </row>
    <row r="23" spans="3:6" x14ac:dyDescent="0.25">
      <c r="D23" s="2" t="s">
        <v>55</v>
      </c>
      <c r="E23" s="2" t="s">
        <v>54</v>
      </c>
      <c r="F23" s="2" t="s">
        <v>53</v>
      </c>
    </row>
    <row r="24" spans="3:6" x14ac:dyDescent="0.25">
      <c r="C24" s="4" t="s">
        <v>52</v>
      </c>
      <c r="D24" s="3">
        <v>1.23</v>
      </c>
      <c r="E24" s="2">
        <v>0.35</v>
      </c>
      <c r="F24" s="2">
        <v>0.34</v>
      </c>
    </row>
    <row r="26" spans="3:6" x14ac:dyDescent="0.25">
      <c r="C26" s="2" t="s">
        <v>51</v>
      </c>
    </row>
    <row r="27" spans="3:6" x14ac:dyDescent="0.25">
      <c r="C27" s="2" t="s">
        <v>50</v>
      </c>
    </row>
    <row r="28" spans="3:6" x14ac:dyDescent="0.25">
      <c r="C28" s="2" t="s">
        <v>49</v>
      </c>
    </row>
  </sheetData>
  <hyperlinks>
    <hyperlink ref="A1" location="Main!A1" display="Main" xr:uid="{3F382476-9EC9-4FBC-B2E6-2DD8F39075F6}"/>
  </hyperlinks>
  <pageMargins left="0.75" right="0.75" top="1" bottom="1" header="0.5" footer="0.5"/>
  <pageSetup orientation="portrait" horizontalDpi="200" verticalDpi="2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CDFA-6D13-4032-9792-01B88E364A31}">
  <dimension ref="A1:F24"/>
  <sheetViews>
    <sheetView workbookViewId="0"/>
  </sheetViews>
  <sheetFormatPr defaultColWidth="9.1796875" defaultRowHeight="12.5" x14ac:dyDescent="0.25"/>
  <cols>
    <col min="1" max="1" width="5" style="9" bestFit="1" customWidth="1"/>
    <col min="2" max="2" width="17.453125" style="9" bestFit="1" customWidth="1"/>
    <col min="3" max="3" width="9.1796875" style="9"/>
    <col min="4" max="4" width="10.81640625" style="9" bestFit="1" customWidth="1"/>
    <col min="5" max="16384" width="9.1796875" style="9"/>
  </cols>
  <sheetData>
    <row r="1" spans="1:6" x14ac:dyDescent="0.25">
      <c r="A1" s="8" t="s">
        <v>78</v>
      </c>
      <c r="B1" s="2"/>
      <c r="C1" s="2"/>
      <c r="D1" s="2"/>
    </row>
    <row r="2" spans="1:6" x14ac:dyDescent="0.25">
      <c r="A2" s="2"/>
      <c r="B2" s="2" t="s">
        <v>77</v>
      </c>
      <c r="C2" s="2" t="s">
        <v>36</v>
      </c>
      <c r="D2" s="2"/>
    </row>
    <row r="3" spans="1:6" x14ac:dyDescent="0.25">
      <c r="A3" s="2"/>
      <c r="B3" s="2" t="s">
        <v>75</v>
      </c>
      <c r="C3" s="9" t="s">
        <v>134</v>
      </c>
      <c r="D3" s="2"/>
    </row>
    <row r="4" spans="1:6" x14ac:dyDescent="0.25">
      <c r="A4" s="2"/>
      <c r="B4" s="2" t="s">
        <v>43</v>
      </c>
      <c r="C4" s="2" t="s">
        <v>152</v>
      </c>
      <c r="D4" s="2"/>
    </row>
    <row r="5" spans="1:6" x14ac:dyDescent="0.25">
      <c r="A5" s="2"/>
      <c r="B5" s="2" t="s">
        <v>47</v>
      </c>
      <c r="C5" s="2" t="s">
        <v>35</v>
      </c>
      <c r="D5" s="2"/>
    </row>
    <row r="6" spans="1:6" x14ac:dyDescent="0.25">
      <c r="A6" s="2"/>
      <c r="B6" s="2" t="s">
        <v>45</v>
      </c>
      <c r="C6" s="2"/>
      <c r="D6" s="2"/>
    </row>
    <row r="7" spans="1:6" x14ac:dyDescent="0.25">
      <c r="A7" s="2"/>
      <c r="B7" s="2" t="s">
        <v>44</v>
      </c>
      <c r="C7" s="2" t="s">
        <v>151</v>
      </c>
      <c r="D7" s="2"/>
    </row>
    <row r="8" spans="1:6" x14ac:dyDescent="0.25">
      <c r="A8" s="2"/>
      <c r="B8" s="2" t="s">
        <v>131</v>
      </c>
      <c r="C8" s="2" t="s">
        <v>150</v>
      </c>
      <c r="D8" s="2"/>
    </row>
    <row r="9" spans="1:6" x14ac:dyDescent="0.25">
      <c r="A9" s="2"/>
      <c r="B9" s="2" t="s">
        <v>65</v>
      </c>
      <c r="C9" s="2"/>
      <c r="D9" s="2"/>
    </row>
    <row r="11" spans="1:6" ht="13" x14ac:dyDescent="0.3">
      <c r="C11" s="10" t="s">
        <v>149</v>
      </c>
    </row>
    <row r="12" spans="1:6" x14ac:dyDescent="0.25">
      <c r="C12" s="9" t="s">
        <v>148</v>
      </c>
      <c r="E12" s="9" t="s">
        <v>147</v>
      </c>
    </row>
    <row r="13" spans="1:6" x14ac:dyDescent="0.25">
      <c r="C13" s="9" t="s">
        <v>146</v>
      </c>
      <c r="D13" s="9" t="s">
        <v>145</v>
      </c>
      <c r="E13" s="9" t="s">
        <v>144</v>
      </c>
      <c r="F13" s="9" t="s">
        <v>143</v>
      </c>
    </row>
    <row r="14" spans="1:6" x14ac:dyDescent="0.25">
      <c r="B14" s="9" t="s">
        <v>116</v>
      </c>
      <c r="C14" s="9">
        <v>292</v>
      </c>
      <c r="D14" s="9">
        <v>293</v>
      </c>
      <c r="E14" s="9">
        <v>612</v>
      </c>
      <c r="F14" s="9">
        <v>614</v>
      </c>
    </row>
    <row r="15" spans="1:6" x14ac:dyDescent="0.25">
      <c r="B15" s="9" t="s">
        <v>142</v>
      </c>
      <c r="C15" s="11">
        <v>8.5999999999999993E-2</v>
      </c>
      <c r="D15" s="11">
        <v>0.22700000000000001</v>
      </c>
      <c r="E15" s="11">
        <v>0.111</v>
      </c>
      <c r="F15" s="11">
        <v>0.19800000000000001</v>
      </c>
    </row>
    <row r="16" spans="1:6" x14ac:dyDescent="0.25">
      <c r="B16" s="9" t="s">
        <v>141</v>
      </c>
      <c r="C16" s="9">
        <v>4.5</v>
      </c>
      <c r="D16" s="9">
        <v>7.5</v>
      </c>
      <c r="E16" s="9">
        <v>4.7</v>
      </c>
      <c r="F16" s="9">
        <v>6.9</v>
      </c>
    </row>
    <row r="17" spans="2:6" x14ac:dyDescent="0.25">
      <c r="B17" s="9" t="s">
        <v>140</v>
      </c>
      <c r="C17" s="9">
        <v>10.8</v>
      </c>
      <c r="D17" s="9">
        <v>12.9</v>
      </c>
      <c r="E17" s="9">
        <v>12.1</v>
      </c>
      <c r="F17" s="9">
        <v>13.5</v>
      </c>
    </row>
    <row r="19" spans="2:6" x14ac:dyDescent="0.25">
      <c r="C19" s="9" t="s">
        <v>139</v>
      </c>
    </row>
    <row r="20" spans="2:6" x14ac:dyDescent="0.25">
      <c r="C20" s="9" t="s">
        <v>138</v>
      </c>
    </row>
    <row r="22" spans="2:6" ht="13" x14ac:dyDescent="0.3">
      <c r="C22" s="10" t="s">
        <v>137</v>
      </c>
    </row>
    <row r="23" spans="2:6" x14ac:dyDescent="0.25">
      <c r="C23" s="9" t="s">
        <v>136</v>
      </c>
    </row>
    <row r="24" spans="2:6" x14ac:dyDescent="0.25">
      <c r="C24" s="9" t="s">
        <v>135</v>
      </c>
    </row>
  </sheetData>
  <hyperlinks>
    <hyperlink ref="A1" location="Main!A1" display="Main" xr:uid="{C182237B-2283-4E6B-8D81-C09B2FE4724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5DF0-8027-4157-B016-1C12AF5A0969}">
  <dimension ref="A1:C28"/>
  <sheetViews>
    <sheetView zoomScale="115" zoomScaleNormal="115" workbookViewId="0">
      <selection activeCell="C5" sqref="C5"/>
    </sheetView>
  </sheetViews>
  <sheetFormatPr defaultColWidth="9.1796875" defaultRowHeight="12.5" x14ac:dyDescent="0.25"/>
  <cols>
    <col min="1" max="1" width="5" style="2" bestFit="1" customWidth="1"/>
    <col min="2" max="2" width="12.453125" style="2" customWidth="1"/>
    <col min="3" max="16384" width="9.1796875" style="2"/>
  </cols>
  <sheetData>
    <row r="1" spans="1:3" x14ac:dyDescent="0.25">
      <c r="A1" s="8" t="s">
        <v>78</v>
      </c>
    </row>
    <row r="2" spans="1:3" x14ac:dyDescent="0.25">
      <c r="B2" s="2" t="s">
        <v>77</v>
      </c>
      <c r="C2" s="2" t="s">
        <v>171</v>
      </c>
    </row>
    <row r="3" spans="1:3" x14ac:dyDescent="0.25">
      <c r="B3" s="2" t="s">
        <v>75</v>
      </c>
      <c r="C3" s="2" t="s">
        <v>170</v>
      </c>
    </row>
    <row r="4" spans="1:3" x14ac:dyDescent="0.25">
      <c r="B4" s="2" t="s">
        <v>47</v>
      </c>
      <c r="C4" s="2" t="s">
        <v>169</v>
      </c>
    </row>
    <row r="5" spans="1:3" x14ac:dyDescent="0.25">
      <c r="B5" s="2" t="s">
        <v>43</v>
      </c>
      <c r="C5" s="2" t="s">
        <v>168</v>
      </c>
    </row>
    <row r="6" spans="1:3" x14ac:dyDescent="0.25">
      <c r="B6" s="2" t="s">
        <v>44</v>
      </c>
      <c r="C6" s="2" t="s">
        <v>167</v>
      </c>
    </row>
    <row r="7" spans="1:3" x14ac:dyDescent="0.25">
      <c r="B7" s="2" t="s">
        <v>65</v>
      </c>
    </row>
    <row r="8" spans="1:3" ht="13" x14ac:dyDescent="0.3">
      <c r="C8" s="5" t="s">
        <v>166</v>
      </c>
    </row>
    <row r="10" spans="1:3" ht="13" x14ac:dyDescent="0.3">
      <c r="C10" s="5" t="s">
        <v>165</v>
      </c>
    </row>
    <row r="11" spans="1:3" ht="13" x14ac:dyDescent="0.3">
      <c r="C11" s="5"/>
    </row>
    <row r="12" spans="1:3" ht="13" x14ac:dyDescent="0.3">
      <c r="C12" s="5" t="s">
        <v>164</v>
      </c>
    </row>
    <row r="13" spans="1:3" ht="13" x14ac:dyDescent="0.3">
      <c r="C13" s="5"/>
    </row>
    <row r="14" spans="1:3" ht="13" x14ac:dyDescent="0.3">
      <c r="C14" s="5" t="s">
        <v>163</v>
      </c>
    </row>
    <row r="16" spans="1:3" ht="13" x14ac:dyDescent="0.3">
      <c r="C16" s="5" t="s">
        <v>162</v>
      </c>
    </row>
    <row r="17" spans="3:3" x14ac:dyDescent="0.25">
      <c r="C17" s="2" t="s">
        <v>161</v>
      </c>
    </row>
    <row r="18" spans="3:3" x14ac:dyDescent="0.25">
      <c r="C18" s="2" t="s">
        <v>160</v>
      </c>
    </row>
    <row r="20" spans="3:3" ht="13" x14ac:dyDescent="0.3">
      <c r="C20" s="5" t="s">
        <v>159</v>
      </c>
    </row>
    <row r="21" spans="3:3" x14ac:dyDescent="0.25">
      <c r="C21" s="2" t="s">
        <v>158</v>
      </c>
    </row>
    <row r="22" spans="3:3" x14ac:dyDescent="0.25">
      <c r="C22" s="2" t="s">
        <v>157</v>
      </c>
    </row>
    <row r="24" spans="3:3" ht="13" x14ac:dyDescent="0.3">
      <c r="C24" s="5" t="s">
        <v>156</v>
      </c>
    </row>
    <row r="25" spans="3:3" x14ac:dyDescent="0.25">
      <c r="C25" s="2" t="s">
        <v>155</v>
      </c>
    </row>
    <row r="27" spans="3:3" x14ac:dyDescent="0.25">
      <c r="C27" s="12" t="s">
        <v>154</v>
      </c>
    </row>
    <row r="28" spans="3:3" x14ac:dyDescent="0.25">
      <c r="C28" s="12" t="s">
        <v>153</v>
      </c>
    </row>
  </sheetData>
  <hyperlinks>
    <hyperlink ref="A1" location="Main!A1" display="Main" xr:uid="{3B461243-A27C-412E-8A2C-014DB1DF39EA}"/>
  </hyperlinks>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99AEC-5D41-41E2-A738-1BC200DF53F7}">
  <dimension ref="A1:C21"/>
  <sheetViews>
    <sheetView zoomScale="145" zoomScaleNormal="145" workbookViewId="0"/>
  </sheetViews>
  <sheetFormatPr defaultColWidth="9.1796875" defaultRowHeight="12.5" x14ac:dyDescent="0.25"/>
  <cols>
    <col min="1" max="1" width="5" style="9" bestFit="1" customWidth="1"/>
    <col min="2" max="2" width="12.81640625" style="9" bestFit="1" customWidth="1"/>
    <col min="3" max="16384" width="9.1796875" style="9"/>
  </cols>
  <sheetData>
    <row r="1" spans="1:3" x14ac:dyDescent="0.25">
      <c r="A1" s="13" t="s">
        <v>78</v>
      </c>
    </row>
    <row r="2" spans="1:3" x14ac:dyDescent="0.25">
      <c r="B2" s="9" t="s">
        <v>77</v>
      </c>
      <c r="C2" s="9" t="s">
        <v>208</v>
      </c>
    </row>
    <row r="3" spans="1:3" x14ac:dyDescent="0.25">
      <c r="B3" s="9" t="s">
        <v>75</v>
      </c>
      <c r="C3" s="9" t="s">
        <v>185</v>
      </c>
    </row>
    <row r="4" spans="1:3" x14ac:dyDescent="0.25">
      <c r="B4" s="9" t="s">
        <v>43</v>
      </c>
      <c r="C4" s="9" t="s">
        <v>184</v>
      </c>
    </row>
    <row r="5" spans="1:3" x14ac:dyDescent="0.25">
      <c r="B5" s="9" t="s">
        <v>47</v>
      </c>
      <c r="C5" s="9" t="s">
        <v>183</v>
      </c>
    </row>
    <row r="6" spans="1:3" x14ac:dyDescent="0.25">
      <c r="B6" s="9" t="s">
        <v>45</v>
      </c>
      <c r="C6" s="9" t="s">
        <v>182</v>
      </c>
    </row>
    <row r="7" spans="1:3" x14ac:dyDescent="0.25">
      <c r="B7" s="9" t="s">
        <v>44</v>
      </c>
      <c r="C7" s="9" t="s">
        <v>20</v>
      </c>
    </row>
    <row r="8" spans="1:3" x14ac:dyDescent="0.25">
      <c r="B8" s="9" t="s">
        <v>131</v>
      </c>
      <c r="C8" s="9" t="s">
        <v>181</v>
      </c>
    </row>
    <row r="9" spans="1:3" x14ac:dyDescent="0.25">
      <c r="B9" s="9" t="s">
        <v>65</v>
      </c>
    </row>
    <row r="10" spans="1:3" ht="13" x14ac:dyDescent="0.3">
      <c r="C10" s="10" t="s">
        <v>180</v>
      </c>
    </row>
    <row r="13" spans="1:3" ht="13" x14ac:dyDescent="0.3">
      <c r="C13" s="10" t="s">
        <v>179</v>
      </c>
    </row>
    <row r="14" spans="1:3" x14ac:dyDescent="0.25">
      <c r="C14" s="9" t="s">
        <v>178</v>
      </c>
    </row>
    <row r="15" spans="1:3" x14ac:dyDescent="0.25">
      <c r="C15" s="9" t="s">
        <v>177</v>
      </c>
    </row>
    <row r="16" spans="1:3" x14ac:dyDescent="0.25">
      <c r="C16" s="9" t="s">
        <v>176</v>
      </c>
    </row>
    <row r="17" spans="3:3" x14ac:dyDescent="0.25">
      <c r="C17" s="9" t="s">
        <v>175</v>
      </c>
    </row>
    <row r="19" spans="3:3" ht="13" x14ac:dyDescent="0.3">
      <c r="C19" s="10" t="s">
        <v>174</v>
      </c>
    </row>
    <row r="20" spans="3:3" x14ac:dyDescent="0.25">
      <c r="C20" s="9" t="s">
        <v>173</v>
      </c>
    </row>
    <row r="21" spans="3:3" x14ac:dyDescent="0.25">
      <c r="C21" s="9" t="s">
        <v>172</v>
      </c>
    </row>
  </sheetData>
  <hyperlinks>
    <hyperlink ref="A1" location="Main!A1" display="Main" xr:uid="{018ACD3C-B36E-4B21-86E9-837BC80B5FD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55F3-9DBC-4C9C-B845-977453EBAB65}">
  <dimension ref="A1:C11"/>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3" t="s">
        <v>78</v>
      </c>
    </row>
    <row r="2" spans="1:3" x14ac:dyDescent="0.25">
      <c r="B2" t="s">
        <v>376</v>
      </c>
      <c r="C2" t="s">
        <v>207</v>
      </c>
    </row>
    <row r="3" spans="1:3" x14ac:dyDescent="0.25">
      <c r="B3" t="s">
        <v>377</v>
      </c>
      <c r="C3" t="s">
        <v>378</v>
      </c>
    </row>
    <row r="4" spans="1:3" x14ac:dyDescent="0.25">
      <c r="B4" t="s">
        <v>47</v>
      </c>
      <c r="C4" t="s">
        <v>379</v>
      </c>
    </row>
    <row r="5" spans="1:3" x14ac:dyDescent="0.25">
      <c r="B5" t="s">
        <v>371</v>
      </c>
      <c r="C5" t="s">
        <v>380</v>
      </c>
    </row>
    <row r="6" spans="1:3" x14ac:dyDescent="0.25">
      <c r="C6" t="s">
        <v>470</v>
      </c>
    </row>
    <row r="7" spans="1:3" x14ac:dyDescent="0.25">
      <c r="B7" t="s">
        <v>65</v>
      </c>
    </row>
    <row r="8" spans="1:3" ht="13" x14ac:dyDescent="0.3">
      <c r="C8" s="54" t="s">
        <v>400</v>
      </c>
    </row>
    <row r="9" spans="1:3" x14ac:dyDescent="0.25">
      <c r="C9" t="s">
        <v>401</v>
      </c>
    </row>
    <row r="11" spans="1:3" ht="13" x14ac:dyDescent="0.3">
      <c r="C11" s="54" t="s">
        <v>402</v>
      </c>
    </row>
  </sheetData>
  <hyperlinks>
    <hyperlink ref="A1" location="Main!A1" display="Main" xr:uid="{3CC6F868-66C6-43A5-A280-736BC733A709}"/>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00FF4-2FBC-49A7-B526-7ABB67AE6974}">
  <dimension ref="A1:C18"/>
  <sheetViews>
    <sheetView zoomScale="145" zoomScaleNormal="145" workbookViewId="0"/>
  </sheetViews>
  <sheetFormatPr defaultColWidth="9.1796875" defaultRowHeight="12.5" x14ac:dyDescent="0.25"/>
  <cols>
    <col min="1" max="1" width="5" style="9" bestFit="1" customWidth="1"/>
    <col min="2" max="2" width="12.81640625" style="9" bestFit="1" customWidth="1"/>
    <col min="3" max="16384" width="9.1796875" style="9"/>
  </cols>
  <sheetData>
    <row r="1" spans="1:3" x14ac:dyDescent="0.25">
      <c r="A1" s="13" t="s">
        <v>78</v>
      </c>
    </row>
    <row r="2" spans="1:3" x14ac:dyDescent="0.25">
      <c r="B2" s="9" t="s">
        <v>77</v>
      </c>
      <c r="C2" s="9" t="s">
        <v>260</v>
      </c>
    </row>
    <row r="3" spans="1:3" x14ac:dyDescent="0.25">
      <c r="B3" s="9" t="s">
        <v>75</v>
      </c>
      <c r="C3" s="9" t="s">
        <v>191</v>
      </c>
    </row>
    <row r="4" spans="1:3" x14ac:dyDescent="0.25">
      <c r="B4" s="9" t="s">
        <v>43</v>
      </c>
      <c r="C4" s="9" t="s">
        <v>190</v>
      </c>
    </row>
    <row r="5" spans="1:3" x14ac:dyDescent="0.25">
      <c r="B5" s="9" t="s">
        <v>47</v>
      </c>
      <c r="C5" s="9" t="s">
        <v>189</v>
      </c>
    </row>
    <row r="6" spans="1:3" x14ac:dyDescent="0.25">
      <c r="B6" s="9" t="s">
        <v>45</v>
      </c>
      <c r="C6" s="9" t="s">
        <v>188</v>
      </c>
    </row>
    <row r="7" spans="1:3" x14ac:dyDescent="0.25">
      <c r="B7" s="9" t="s">
        <v>371</v>
      </c>
      <c r="C7" s="9" t="s">
        <v>426</v>
      </c>
    </row>
    <row r="8" spans="1:3" x14ac:dyDescent="0.25">
      <c r="B8" s="9" t="s">
        <v>44</v>
      </c>
      <c r="C8" s="9" t="s">
        <v>20</v>
      </c>
    </row>
    <row r="9" spans="1:3" x14ac:dyDescent="0.25">
      <c r="B9" s="9" t="s">
        <v>131</v>
      </c>
    </row>
    <row r="10" spans="1:3" x14ac:dyDescent="0.25">
      <c r="B10" s="9" t="s">
        <v>65</v>
      </c>
    </row>
    <row r="11" spans="1:3" ht="13" x14ac:dyDescent="0.3">
      <c r="C11" s="10" t="s">
        <v>424</v>
      </c>
    </row>
    <row r="14" spans="1:3" ht="13" x14ac:dyDescent="0.3">
      <c r="C14" s="10" t="s">
        <v>425</v>
      </c>
    </row>
    <row r="17" spans="3:3" ht="13" x14ac:dyDescent="0.3">
      <c r="C17" s="10" t="s">
        <v>187</v>
      </c>
    </row>
    <row r="18" spans="3:3" x14ac:dyDescent="0.25">
      <c r="C18" s="9" t="s">
        <v>186</v>
      </c>
    </row>
  </sheetData>
  <hyperlinks>
    <hyperlink ref="A1" location="Main!A1" display="Main" xr:uid="{3A765EE9-AE7C-4B13-9916-378DECED3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Main</vt:lpstr>
      <vt:lpstr>Model</vt:lpstr>
      <vt:lpstr>Dupixent</vt:lpstr>
      <vt:lpstr>Eylea</vt:lpstr>
      <vt:lpstr>linvoseltamab</vt:lpstr>
      <vt:lpstr>odronextamab</vt:lpstr>
      <vt:lpstr>pozelimab</vt:lpstr>
      <vt:lpstr>mibavademab</vt:lpstr>
      <vt:lpstr>DB-OTO</vt:lpstr>
      <vt:lpstr>trevogrumab</vt:lpstr>
      <vt:lpstr>fianlimab</vt:lpstr>
      <vt:lpstr>garetosmab</vt:lpstr>
      <vt:lpstr>itepekimab</vt:lpstr>
      <vt:lpstr>REGN7508</vt:lpstr>
      <vt:lpstr>REGN9933</vt:lpstr>
      <vt:lpstr>Arcalyst</vt:lpstr>
      <vt:lpstr>Zaltrap</vt:lpstr>
      <vt:lpstr>VEGF Trap</vt:lpstr>
      <vt:lpstr>Praluent</vt:lpstr>
      <vt:lpstr>Libtayo</vt:lpstr>
      <vt:lpstr>Kevzara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2022-08-09T05:58:03Z</dcterms:created>
  <dcterms:modified xsi:type="dcterms:W3CDTF">2026-08-11T15:48:28Z</dcterms:modified>
</cp:coreProperties>
</file>