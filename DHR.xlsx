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8B4FAA72-7382-4C3E-B97E-4C7044313C9F}" xr6:coauthVersionLast="47" xr6:coauthVersionMax="47" xr10:uidLastSave="{00000000-0000-0000-0000-000000000000}"/>
  <bookViews>
    <workbookView xWindow="10130" yWindow="3500" windowWidth="22360" windowHeight="13710" xr2:uid="{CF1BBF8C-9364-4458-A7DF-F718D3145562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7" i="2" l="1"/>
  <c r="G18" i="2"/>
  <c r="C10" i="2"/>
  <c r="G14" i="2"/>
  <c r="G13" i="2"/>
  <c r="G10" i="2"/>
  <c r="G5" i="2"/>
  <c r="C8" i="2"/>
  <c r="C5" i="2"/>
  <c r="C18" i="2" s="1"/>
  <c r="D10" i="2"/>
  <c r="H17" i="2"/>
  <c r="H10" i="2"/>
  <c r="H5" i="2"/>
  <c r="H18" i="2" s="1"/>
  <c r="D8" i="2"/>
  <c r="D5" i="2"/>
  <c r="D18" i="2" s="1"/>
  <c r="E10" i="2"/>
  <c r="E8" i="2"/>
  <c r="E5" i="2"/>
  <c r="E18" i="2" s="1"/>
  <c r="I17" i="2"/>
  <c r="I10" i="2"/>
  <c r="I8" i="2"/>
  <c r="I5" i="2"/>
  <c r="I18" i="2" s="1"/>
  <c r="J18" i="2"/>
  <c r="F18" i="2"/>
  <c r="J17" i="2"/>
  <c r="F10" i="2"/>
  <c r="F11" i="2" s="1"/>
  <c r="F13" i="2" s="1"/>
  <c r="F14" i="2" s="1"/>
  <c r="J10" i="2"/>
  <c r="H8" i="2"/>
  <c r="H9" i="2" s="1"/>
  <c r="H11" i="2" s="1"/>
  <c r="H13" i="2" s="1"/>
  <c r="H14" i="2" s="1"/>
  <c r="G8" i="2"/>
  <c r="G9" i="2" s="1"/>
  <c r="G11" i="2" s="1"/>
  <c r="F8" i="2"/>
  <c r="F9" i="2" s="1"/>
  <c r="J8" i="2"/>
  <c r="F5" i="2"/>
  <c r="J5" i="2"/>
  <c r="J9" i="2" s="1"/>
  <c r="J7" i="1"/>
  <c r="J6" i="1"/>
  <c r="J4" i="1"/>
  <c r="C9" i="2" l="1"/>
  <c r="C11" i="2" s="1"/>
  <c r="C13" i="2" s="1"/>
  <c r="C14" i="2" s="1"/>
  <c r="J11" i="2"/>
  <c r="J13" i="2" s="1"/>
  <c r="J14" i="2" s="1"/>
  <c r="D9" i="2"/>
  <c r="D11" i="2" s="1"/>
  <c r="D13" i="2" s="1"/>
  <c r="D14" i="2" s="1"/>
  <c r="E9" i="2"/>
  <c r="E11" i="2" s="1"/>
  <c r="E13" i="2" s="1"/>
  <c r="E14" i="2" s="1"/>
  <c r="I9" i="2"/>
  <c r="I11" i="2" s="1"/>
  <c r="I13" i="2" s="1"/>
  <c r="I14" i="2" s="1"/>
</calcChain>
</file>

<file path=xl/sharedStrings.xml><?xml version="1.0" encoding="utf-8"?>
<sst xmlns="http://schemas.openxmlformats.org/spreadsheetml/2006/main" count="35" uniqueCount="31">
  <si>
    <t>Price</t>
  </si>
  <si>
    <t>Shares</t>
  </si>
  <si>
    <t>MC</t>
  </si>
  <si>
    <t>Cash</t>
  </si>
  <si>
    <t>Debt</t>
  </si>
  <si>
    <t>EV</t>
  </si>
  <si>
    <t>Q226</t>
  </si>
  <si>
    <t>Main</t>
  </si>
  <si>
    <t>Q125</t>
  </si>
  <si>
    <t>Q225</t>
  </si>
  <si>
    <t>Q325</t>
  </si>
  <si>
    <t>Q425</t>
  </si>
  <si>
    <t>Q126</t>
  </si>
  <si>
    <t>Q326</t>
  </si>
  <si>
    <t>Q426</t>
  </si>
  <si>
    <t>Revenue</t>
  </si>
  <si>
    <t>COGS</t>
  </si>
  <si>
    <t>Gross Profit</t>
  </si>
  <si>
    <t>SG&amp;A</t>
  </si>
  <si>
    <t>R&amp;D</t>
  </si>
  <si>
    <t>Operating Expenses</t>
  </si>
  <si>
    <t>Operating Income</t>
  </si>
  <si>
    <t>Interest Expense</t>
  </si>
  <si>
    <t>Pretax Income</t>
  </si>
  <si>
    <t>Taxes</t>
  </si>
  <si>
    <t>Net Income</t>
  </si>
  <si>
    <t>EPS</t>
  </si>
  <si>
    <t>Revenue y/y</t>
  </si>
  <si>
    <t>Gross Margin</t>
  </si>
  <si>
    <t>Q424</t>
  </si>
  <si>
    <t>Q324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</si>
</sst>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</xdr:colOff>
      <xdr:row>0</xdr:row>
      <xdr:rowOff>39688</xdr:rowOff>
    </xdr:from>
    <xdr:to>
      <xdr:col>10</xdr:col>
      <xdr:colOff>23812</xdr:colOff>
      <xdr:row>30</xdr:row>
      <xdr:rowOff>35719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C5E3ECE-1E69-2F0A-B9F5-4CAB9C36B43B}"/>
            </a:ext>
          </a:extLst>
        </xdr:cNvPr>
        <xdr:cNvCxnSpPr/>
      </xdr:nvCxnSpPr>
      <xdr:spPr>
        <a:xfrm>
          <a:off x="6429375" y="39688"/>
          <a:ext cx="0" cy="475853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DC980-7A26-4E66-92DB-87A175AEBA29}">
  <dimension ref="I2:K7"/>
  <sheetViews>
    <sheetView tabSelected="1" zoomScale="160" zoomScaleNormal="160" workbookViewId="0"/>
  </sheetViews>
  <sheetFormatPr defaultRowHeight="12.5" x14ac:dyDescent="0.25"/>
  <cols>
    <col min="1" max="16384" width="8.7265625" style="1"/>
  </cols>
  <sheetData>
    <row r="2" spans="9:11" x14ac:dyDescent="0.25">
      <c r="I2" s="1" t="s">
        <v>0</v>
      </c>
      <c r="J2" s="2">
        <v>170</v>
      </c>
    </row>
    <row r="3" spans="9:11" x14ac:dyDescent="0.25">
      <c r="I3" s="1" t="s">
        <v>1</v>
      </c>
      <c r="J3" s="3">
        <v>702.98605399999997</v>
      </c>
      <c r="K3" s="4" t="s">
        <v>6</v>
      </c>
    </row>
    <row r="4" spans="9:11" x14ac:dyDescent="0.25">
      <c r="I4" s="1" t="s">
        <v>2</v>
      </c>
      <c r="J4" s="3">
        <f>+J2*J3</f>
        <v>119507.62917999999</v>
      </c>
    </row>
    <row r="5" spans="9:11" x14ac:dyDescent="0.25">
      <c r="I5" s="1" t="s">
        <v>3</v>
      </c>
      <c r="J5" s="3">
        <v>4348</v>
      </c>
      <c r="K5" s="4" t="s">
        <v>6</v>
      </c>
    </row>
    <row r="6" spans="9:11" x14ac:dyDescent="0.25">
      <c r="I6" s="1" t="s">
        <v>4</v>
      </c>
      <c r="J6" s="3">
        <f>1411+25147</f>
        <v>26558</v>
      </c>
      <c r="K6" s="4" t="s">
        <v>6</v>
      </c>
    </row>
    <row r="7" spans="9:11" x14ac:dyDescent="0.25">
      <c r="I7" s="1" t="s">
        <v>5</v>
      </c>
      <c r="J7" s="3">
        <f>+J4-J5+J6</f>
        <v>141717.62917999999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D756-B9DC-4F3A-8D66-72EDFDE83E5C}">
  <dimension ref="A1:Q18"/>
  <sheetViews>
    <sheetView zoomScale="160" zoomScaleNormal="160" workbookViewId="0">
      <pane xSplit="2" ySplit="2" topLeftCell="G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2.5" x14ac:dyDescent="0.25"/>
  <cols>
    <col min="1" max="1" width="4.7265625" style="1" bestFit="1" customWidth="1"/>
    <col min="2" max="2" width="17" style="1" bestFit="1" customWidth="1"/>
    <col min="3" max="12" width="8.7265625" style="4"/>
    <col min="13" max="16384" width="8.7265625" style="1"/>
  </cols>
  <sheetData>
    <row r="1" spans="1:17" x14ac:dyDescent="0.25">
      <c r="A1" s="1" t="s">
        <v>7</v>
      </c>
    </row>
    <row r="2" spans="1:17" x14ac:dyDescent="0.25">
      <c r="C2" s="4" t="s">
        <v>30</v>
      </c>
      <c r="D2" s="4" t="s">
        <v>29</v>
      </c>
      <c r="E2" s="4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6</v>
      </c>
      <c r="K2" s="4" t="s">
        <v>13</v>
      </c>
      <c r="L2" s="4" t="s">
        <v>14</v>
      </c>
      <c r="O2" s="1">
        <v>2024</v>
      </c>
      <c r="P2" s="1">
        <v>2025</v>
      </c>
      <c r="Q2" s="1">
        <v>2026</v>
      </c>
    </row>
    <row r="3" spans="1:17" s="3" customFormat="1" x14ac:dyDescent="0.25">
      <c r="B3" s="3" t="s">
        <v>15</v>
      </c>
      <c r="C3" s="6">
        <v>5798</v>
      </c>
      <c r="D3" s="6">
        <v>6538</v>
      </c>
      <c r="E3" s="6">
        <v>5741</v>
      </c>
      <c r="F3" s="6">
        <v>5936</v>
      </c>
      <c r="G3" s="6">
        <v>6053</v>
      </c>
      <c r="H3" s="6">
        <v>6838</v>
      </c>
      <c r="I3" s="6">
        <v>5951</v>
      </c>
      <c r="J3" s="6">
        <v>6265</v>
      </c>
      <c r="K3" s="6"/>
      <c r="L3" s="6"/>
    </row>
    <row r="4" spans="1:17" s="3" customFormat="1" x14ac:dyDescent="0.25">
      <c r="B4" s="3" t="s">
        <v>16</v>
      </c>
      <c r="C4" s="6">
        <v>2397</v>
      </c>
      <c r="D4" s="6">
        <v>2648</v>
      </c>
      <c r="E4" s="6">
        <v>2230</v>
      </c>
      <c r="F4" s="6">
        <v>2413</v>
      </c>
      <c r="G4" s="6">
        <v>2530</v>
      </c>
      <c r="H4" s="6">
        <v>2872</v>
      </c>
      <c r="I4" s="6">
        <v>2360</v>
      </c>
      <c r="J4" s="6">
        <v>2654</v>
      </c>
      <c r="K4" s="6"/>
      <c r="L4" s="6"/>
    </row>
    <row r="5" spans="1:17" s="3" customFormat="1" x14ac:dyDescent="0.25">
      <c r="B5" s="3" t="s">
        <v>17</v>
      </c>
      <c r="C5" s="6">
        <f>+C3-C4</f>
        <v>3401</v>
      </c>
      <c r="D5" s="6">
        <f>+D3-D4</f>
        <v>3890</v>
      </c>
      <c r="E5" s="6">
        <f>+E3-E4</f>
        <v>3511</v>
      </c>
      <c r="F5" s="6">
        <f>+F3-F4</f>
        <v>3523</v>
      </c>
      <c r="G5" s="6">
        <f>+G3-G4</f>
        <v>3523</v>
      </c>
      <c r="H5" s="6">
        <f>+H3-H4</f>
        <v>3966</v>
      </c>
      <c r="I5" s="6">
        <f>+I3-I4</f>
        <v>3591</v>
      </c>
      <c r="J5" s="6">
        <f>+J3-J4</f>
        <v>3611</v>
      </c>
      <c r="K5" s="6"/>
      <c r="L5" s="6"/>
    </row>
    <row r="6" spans="1:17" s="3" customFormat="1" x14ac:dyDescent="0.25">
      <c r="B6" s="3" t="s">
        <v>18</v>
      </c>
      <c r="C6" s="6">
        <v>2060</v>
      </c>
      <c r="D6" s="6">
        <v>2023</v>
      </c>
      <c r="E6" s="6">
        <v>1858</v>
      </c>
      <c r="F6" s="6">
        <v>2360</v>
      </c>
      <c r="G6" s="6">
        <v>1991</v>
      </c>
      <c r="H6" s="6">
        <v>2026</v>
      </c>
      <c r="I6" s="6">
        <v>1860</v>
      </c>
      <c r="J6" s="6">
        <v>2072</v>
      </c>
      <c r="K6" s="6"/>
      <c r="L6" s="6"/>
    </row>
    <row r="7" spans="1:17" s="3" customFormat="1" x14ac:dyDescent="0.25">
      <c r="B7" s="3" t="s">
        <v>19</v>
      </c>
      <c r="C7" s="6">
        <v>383</v>
      </c>
      <c r="D7" s="6">
        <v>442</v>
      </c>
      <c r="E7" s="6">
        <v>379</v>
      </c>
      <c r="F7" s="6">
        <v>403</v>
      </c>
      <c r="G7" s="6">
        <v>378</v>
      </c>
      <c r="H7" s="6">
        <v>438</v>
      </c>
      <c r="I7" s="6">
        <v>387</v>
      </c>
      <c r="J7" s="6">
        <v>412</v>
      </c>
      <c r="K7" s="6"/>
      <c r="L7" s="6"/>
    </row>
    <row r="8" spans="1:17" s="3" customFormat="1" x14ac:dyDescent="0.25">
      <c r="B8" s="3" t="s">
        <v>20</v>
      </c>
      <c r="C8" s="6">
        <f t="shared" ref="C8:H8" si="0">+C6+C7</f>
        <v>2443</v>
      </c>
      <c r="D8" s="6">
        <f t="shared" si="0"/>
        <v>2465</v>
      </c>
      <c r="E8" s="6">
        <f t="shared" si="0"/>
        <v>2237</v>
      </c>
      <c r="F8" s="6">
        <f t="shared" si="0"/>
        <v>2763</v>
      </c>
      <c r="G8" s="6">
        <f t="shared" si="0"/>
        <v>2369</v>
      </c>
      <c r="H8" s="6">
        <f t="shared" si="0"/>
        <v>2464</v>
      </c>
      <c r="I8" s="6">
        <f>+I6+I7</f>
        <v>2247</v>
      </c>
      <c r="J8" s="6">
        <f>+J6+J7</f>
        <v>2484</v>
      </c>
      <c r="K8" s="6"/>
      <c r="L8" s="6"/>
    </row>
    <row r="9" spans="1:17" s="3" customFormat="1" x14ac:dyDescent="0.25">
      <c r="B9" s="3" t="s">
        <v>21</v>
      </c>
      <c r="C9" s="6">
        <f t="shared" ref="C9:H9" si="1">+C5-C8</f>
        <v>958</v>
      </c>
      <c r="D9" s="6">
        <f t="shared" si="1"/>
        <v>1425</v>
      </c>
      <c r="E9" s="6">
        <f t="shared" si="1"/>
        <v>1274</v>
      </c>
      <c r="F9" s="6">
        <f t="shared" si="1"/>
        <v>760</v>
      </c>
      <c r="G9" s="6">
        <f t="shared" si="1"/>
        <v>1154</v>
      </c>
      <c r="H9" s="6">
        <f t="shared" si="1"/>
        <v>1502</v>
      </c>
      <c r="I9" s="6">
        <f>+I5-I8</f>
        <v>1344</v>
      </c>
      <c r="J9" s="6">
        <f>+J5-J8</f>
        <v>1127</v>
      </c>
      <c r="K9" s="6"/>
      <c r="L9" s="6"/>
    </row>
    <row r="10" spans="1:17" s="3" customFormat="1" x14ac:dyDescent="0.25">
      <c r="B10" s="3" t="s">
        <v>22</v>
      </c>
      <c r="C10" s="6">
        <f>-87+4</f>
        <v>-83</v>
      </c>
      <c r="D10" s="6">
        <f>-61+14</f>
        <v>-47</v>
      </c>
      <c r="E10" s="6">
        <f>-72+6</f>
        <v>-66</v>
      </c>
      <c r="F10" s="6">
        <f>-71+8</f>
        <v>-63</v>
      </c>
      <c r="G10" s="6">
        <f>-67+3</f>
        <v>-64</v>
      </c>
      <c r="H10" s="6">
        <f>-55+13</f>
        <v>-42</v>
      </c>
      <c r="I10" s="6">
        <f>-63+27</f>
        <v>-36</v>
      </c>
      <c r="J10" s="6">
        <f>-107+61</f>
        <v>-46</v>
      </c>
      <c r="K10" s="6"/>
      <c r="L10" s="6"/>
    </row>
    <row r="11" spans="1:17" s="3" customFormat="1" x14ac:dyDescent="0.25">
      <c r="B11" s="3" t="s">
        <v>23</v>
      </c>
      <c r="C11" s="6">
        <f>+C9+C10</f>
        <v>875</v>
      </c>
      <c r="D11" s="6">
        <f>+D9+D10</f>
        <v>1378</v>
      </c>
      <c r="E11" s="6">
        <f>+E9+E10</f>
        <v>1208</v>
      </c>
      <c r="F11" s="6">
        <f>+F9+F10</f>
        <v>697</v>
      </c>
      <c r="G11" s="6">
        <f t="shared" ref="G11:J11" si="2">+G9+G10</f>
        <v>1090</v>
      </c>
      <c r="H11" s="6">
        <f t="shared" si="2"/>
        <v>1460</v>
      </c>
      <c r="I11" s="6">
        <f t="shared" si="2"/>
        <v>1308</v>
      </c>
      <c r="J11" s="6">
        <f t="shared" si="2"/>
        <v>1081</v>
      </c>
      <c r="K11" s="6"/>
      <c r="L11" s="6"/>
    </row>
    <row r="12" spans="1:17" s="3" customFormat="1" x14ac:dyDescent="0.25">
      <c r="B12" s="3" t="s">
        <v>24</v>
      </c>
      <c r="C12" s="6">
        <v>159</v>
      </c>
      <c r="D12" s="6">
        <v>229</v>
      </c>
      <c r="E12" s="6">
        <v>175</v>
      </c>
      <c r="F12" s="6">
        <v>100</v>
      </c>
      <c r="G12" s="6">
        <v>168</v>
      </c>
      <c r="H12" s="6">
        <v>190</v>
      </c>
      <c r="I12" s="6">
        <v>206</v>
      </c>
      <c r="J12" s="6">
        <v>208</v>
      </c>
      <c r="K12" s="6"/>
      <c r="L12" s="6"/>
    </row>
    <row r="13" spans="1:17" s="3" customFormat="1" x14ac:dyDescent="0.25">
      <c r="B13" s="3" t="s">
        <v>25</v>
      </c>
      <c r="C13" s="6">
        <f>+C11-C12</f>
        <v>716</v>
      </c>
      <c r="D13" s="6">
        <f>+D11-D12</f>
        <v>1149</v>
      </c>
      <c r="E13" s="6">
        <f>+E11-E12</f>
        <v>1033</v>
      </c>
      <c r="F13" s="6">
        <f>+F11-F12</f>
        <v>597</v>
      </c>
      <c r="G13" s="6">
        <f>+G11-G12</f>
        <v>922</v>
      </c>
      <c r="H13" s="6">
        <f>+H11-H12</f>
        <v>1270</v>
      </c>
      <c r="I13" s="6">
        <f>+I11-I12</f>
        <v>1102</v>
      </c>
      <c r="J13" s="6">
        <f>+J11-J12</f>
        <v>873</v>
      </c>
      <c r="K13" s="6"/>
      <c r="L13" s="6"/>
    </row>
    <row r="14" spans="1:17" x14ac:dyDescent="0.25">
      <c r="B14" s="1" t="s">
        <v>26</v>
      </c>
      <c r="C14" s="5">
        <f>+C13/C15</f>
        <v>0.981628735947354</v>
      </c>
      <c r="D14" s="5">
        <f>+D13/D15</f>
        <v>1.5778632243889041</v>
      </c>
      <c r="E14" s="5">
        <f>+E13/E15</f>
        <v>1.4331298557158714</v>
      </c>
      <c r="F14" s="5">
        <f>+F13/F15</f>
        <v>0.83020442219440971</v>
      </c>
      <c r="G14" s="5">
        <f>+G13/G15</f>
        <v>1.2918593246462098</v>
      </c>
      <c r="H14" s="5">
        <f>+H13/H15</f>
        <v>1.7857142857142856</v>
      </c>
      <c r="I14" s="5">
        <f>+I13/I15</f>
        <v>1.5494938132733407</v>
      </c>
      <c r="J14" s="5">
        <f>+J13/J15</f>
        <v>1.2337478801582815</v>
      </c>
    </row>
    <row r="15" spans="1:17" s="3" customFormat="1" x14ac:dyDescent="0.25">
      <c r="B15" s="3" t="s">
        <v>1</v>
      </c>
      <c r="C15" s="6">
        <v>729.4</v>
      </c>
      <c r="D15" s="6">
        <v>728.2</v>
      </c>
      <c r="E15" s="6">
        <v>720.8</v>
      </c>
      <c r="F15" s="6">
        <v>719.1</v>
      </c>
      <c r="G15" s="6">
        <v>713.7</v>
      </c>
      <c r="H15" s="6">
        <v>711.2</v>
      </c>
      <c r="I15" s="6">
        <v>711.2</v>
      </c>
      <c r="J15" s="6">
        <v>707.6</v>
      </c>
      <c r="K15" s="6"/>
      <c r="L15" s="6"/>
    </row>
    <row r="17" spans="2:10" x14ac:dyDescent="0.25">
      <c r="B17" s="1" t="s">
        <v>27</v>
      </c>
      <c r="G17" s="7">
        <f>+G3/C3-1</f>
        <v>4.3980682994135822E-2</v>
      </c>
      <c r="H17" s="7">
        <f>+H3/D3-1</f>
        <v>4.5885591924135882E-2</v>
      </c>
      <c r="I17" s="7">
        <f>+I3/E3-1</f>
        <v>3.6578993206758392E-2</v>
      </c>
      <c r="J17" s="7">
        <f>+J3/F3-1</f>
        <v>5.5424528301886822E-2</v>
      </c>
    </row>
    <row r="18" spans="2:10" x14ac:dyDescent="0.25">
      <c r="B18" s="1" t="s">
        <v>28</v>
      </c>
      <c r="C18" s="7">
        <f>+C5/C3</f>
        <v>0.58658157985512249</v>
      </c>
      <c r="D18" s="7">
        <f>+D5/D3</f>
        <v>0.59498317528296119</v>
      </c>
      <c r="E18" s="7">
        <f>+E5/E3</f>
        <v>0.61156592928061315</v>
      </c>
      <c r="F18" s="7">
        <f>+F5/F3</f>
        <v>0.59349730458221028</v>
      </c>
      <c r="G18" s="7">
        <f>+G5/G3</f>
        <v>0.58202544192962169</v>
      </c>
      <c r="H18" s="7">
        <f>+H5/H3</f>
        <v>0.57999415033635571</v>
      </c>
      <c r="I18" s="7">
        <f>+I5/I3</f>
        <v>0.60342799529490843</v>
      </c>
      <c r="J18" s="7">
        <f>+J5/J3</f>
        <v>0.57637669592976859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2026-07-21T15:30:10Z</dcterms:created>
  <dcterms:modified xsi:type="dcterms:W3CDTF">2026-07-21T15:42:59Z</dcterms:modified>
</cp:coreProperties>
</file>